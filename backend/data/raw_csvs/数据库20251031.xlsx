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350" windowHeight="6550" tabRatio="677" activeTab="7"/>
  </bookViews>
  <sheets>
    <sheet name="数据统计" sheetId="108" r:id="rId1"/>
    <sheet name="干线管道" sheetId="92" r:id="rId2"/>
    <sheet name="支线管道" sheetId="69" r:id="rId3"/>
    <sheet name="管道站场阀室关系" sheetId="107" r:id="rId4"/>
    <sheet name="分输口" sheetId="109" r:id="rId5"/>
    <sheet name="调度台" sheetId="98" r:id="rId6"/>
    <sheet name="压缩机" sheetId="96" r:id="rId7"/>
    <sheet name="储气库" sheetId="124" r:id="rId8"/>
  </sheets>
  <externalReferences>
    <externalReference r:id="rId9"/>
  </externalReferences>
  <definedNames>
    <definedName name="_xlnm._FilterDatabase" localSheetId="2" hidden="1">支线管道!$A$1:$O$409</definedName>
    <definedName name="_xlnm._FilterDatabase" localSheetId="3" hidden="1">管道站场阀室关系!$A$1:$R$4078</definedName>
    <definedName name="_xlnm._FilterDatabase" localSheetId="4" hidden="1">分输口!$A$1:$K$1646</definedName>
    <definedName name="_xlnm._FilterDatabase" localSheetId="6" hidden="1">压缩机!$A$1:$U$426</definedName>
    <definedName name="_xlnm._FilterDatabase" localSheetId="7" hidden="1">储气库!$A$1:$I$29</definedName>
    <definedName name="白银支线" localSheetId="3">管道站场阀室关系!$B$1826</definedName>
    <definedName name="白银支线">#REF!</definedName>
    <definedName name="宝钢支线" localSheetId="3">管道站场阀室关系!$B$230</definedName>
    <definedName name="宝钢支线">#REF!</definedName>
    <definedName name="宝香西管道" localSheetId="3">管道站场阀室关系!$B$1599</definedName>
    <definedName name="宝香西管道">#REF!</definedName>
    <definedName name="北海支线" localSheetId="3">管道站场阀室关系!#REF!</definedName>
    <definedName name="北海支线">#REF!</definedName>
    <definedName name="北疆联络线" localSheetId="3">管道站场阀室关系!#REF!</definedName>
    <definedName name="北疆联络线">#REF!</definedName>
    <definedName name="滨州支线" localSheetId="3">管道站场阀室关系!#REF!</definedName>
    <definedName name="滨州支线">#REF!</definedName>
    <definedName name="采育通州东支线" localSheetId="3">管道站场阀室关系!#REF!</definedName>
    <definedName name="采育通州东支线">#REF!</definedName>
    <definedName name="苍梧贺州支线" localSheetId="3">管道站场阀室关系!$B$832</definedName>
    <definedName name="苍梧贺州支线">#REF!</definedName>
    <definedName name="沧淄线干线" localSheetId="3">管道站场阀室关系!#REF!</definedName>
    <definedName name="沧淄线干线">#REF!</definedName>
    <definedName name="昌邑支线" localSheetId="3">管道站场阀室关系!#REF!</definedName>
    <definedName name="昌邑支线" localSheetId="0">#REF!</definedName>
    <definedName name="昌邑支线">#REF!</definedName>
    <definedName name="常长支线" localSheetId="3">管道站场阀室关系!$B$213</definedName>
    <definedName name="常长支线">#REF!</definedName>
    <definedName name="大连支线" localSheetId="3">管道站场阀室关系!$B$1988</definedName>
    <definedName name="大连支线">#REF!</definedName>
    <definedName name="大沈线干线" localSheetId="3">管道站场阀室关系!$B$1959</definedName>
    <definedName name="大沈线干线">#REF!</definedName>
    <definedName name="大唐煤制气管道" localSheetId="3">管道站场阀室关系!$B$1587</definedName>
    <definedName name="大唐煤制气管道">#REF!</definedName>
    <definedName name="德德支线" localSheetId="3">管道站场阀室关系!$B$325</definedName>
    <definedName name="德德支线">#REF!</definedName>
    <definedName name="德武支线" localSheetId="3">管道站场阀室关系!$B$323</definedName>
    <definedName name="德武支线">#REF!</definedName>
    <definedName name="定合支线" localSheetId="3">管道站场阀室关系!$B$190</definedName>
    <definedName name="定合支线">#REF!</definedName>
    <definedName name="都匀支线" localSheetId="3">管道站场阀室关系!$B$2559</definedName>
    <definedName name="都匀支线">#REF!</definedName>
    <definedName name="独石化支线" localSheetId="3">管道站场阀室关系!$B$604</definedName>
    <definedName name="独石化支线">#REF!</definedName>
    <definedName name="防城港支线" localSheetId="3">管道站场阀室关系!$B$2584</definedName>
    <definedName name="防城港支线">#REF!</definedName>
    <definedName name="抚顺支线" localSheetId="3">管道站场阀室关系!$B$1993</definedName>
    <definedName name="抚顺支线">#REF!</definedName>
    <definedName name="甘南支线" localSheetId="3">管道站场阀室关系!$B$1736</definedName>
    <definedName name="甘南支线">#REF!</definedName>
    <definedName name="甘南支线支线" localSheetId="3">管道站场阀室关系!$B$1743</definedName>
    <definedName name="甘南支线支线">#REF!</definedName>
    <definedName name="甘西南地区供气管道" localSheetId="3">管道站场阀室关系!$B$1731</definedName>
    <definedName name="甘西南地区供气管道">#REF!</definedName>
    <definedName name="港沧一线" localSheetId="3">管道站场阀室关系!#REF!</definedName>
    <definedName name="港沧一线" localSheetId="0">#REF!</definedName>
    <definedName name="港沧一线">#REF!</definedName>
    <definedName name="港清复线" localSheetId="3">管道站场阀室关系!$B$1419</definedName>
    <definedName name="港清复线">#REF!</definedName>
    <definedName name="港清三线" localSheetId="3">管道站场阀室关系!$B$1424</definedName>
    <definedName name="港清三线">#REF!</definedName>
    <definedName name="港清线" localSheetId="3">管道站场阀室关系!$B$1409</definedName>
    <definedName name="港清线">#REF!</definedName>
    <definedName name="高丽营西沙屯联络线" localSheetId="3">管道站场阀室关系!$B$1580</definedName>
    <definedName name="高丽营西沙屯联络线">#REF!</definedName>
    <definedName name="高青支线" localSheetId="3">管道站场阀室关系!#REF!</definedName>
    <definedName name="高青支线">#REF!</definedName>
    <definedName name="广南广西段">支线管道!$C$61</definedName>
    <definedName name="广南支干线" localSheetId="3">管道站场阀室关系!$B$800</definedName>
    <definedName name="广南支干线">#REF!</definedName>
    <definedName name="广深支干线" localSheetId="3">管道站场阀室关系!$B$883</definedName>
    <definedName name="广深支干线">#REF!</definedName>
    <definedName name="贵港玉林支线" localSheetId="3">管道站场阀室关系!$B$873</definedName>
    <definedName name="贵港玉林支线">#REF!</definedName>
    <definedName name="桂林支线" localSheetId="3">管道站场阀室关系!$B$2562</definedName>
    <definedName name="桂林支线">#REF!</definedName>
    <definedName name="河北永清京58储气库" localSheetId="3">管道站场阀室关系!$B$1449</definedName>
    <definedName name="河北永清京58储气库">#REF!</definedName>
    <definedName name="河池支线" localSheetId="3">管道站场阀室关系!$B$2589</definedName>
    <definedName name="河池支线">#REF!</definedName>
    <definedName name="葫芦岛支线" localSheetId="3">管道站场阀室关系!$B$1947</definedName>
    <definedName name="葫芦岛支线">#REF!</definedName>
    <definedName name="淮武线" localSheetId="3">管道站场阀室关系!$B$369</definedName>
    <definedName name="淮武线">#REF!</definedName>
    <definedName name="黄陂与淮武联络线" localSheetId="3">管道站场阀室关系!$B$624</definedName>
    <definedName name="黄陂与淮武联络线">#REF!</definedName>
    <definedName name="黄石支线" localSheetId="3">管道站场阀室关系!$B$1917</definedName>
    <definedName name="黄石支线">#REF!</definedName>
    <definedName name="济宁支线" localSheetId="3">管道站场阀室关系!$B$320</definedName>
    <definedName name="济宁支线">#REF!</definedName>
    <definedName name="冀宁线干线" localSheetId="3">管道站场阀室关系!$B$245</definedName>
    <definedName name="冀宁线干线">#REF!</definedName>
    <definedName name="嘉兴甪直支线" localSheetId="3">管道站场阀室关系!$B$761</definedName>
    <definedName name="嘉兴甪直支线">#REF!</definedName>
    <definedName name="嘉峪关支线" localSheetId="3">管道站场阀室关系!#REF!</definedName>
    <definedName name="嘉峪关支线">#REF!</definedName>
    <definedName name="金昌支线" localSheetId="3">管道站场阀室关系!$B$613</definedName>
    <definedName name="金昌支线">#REF!</definedName>
    <definedName name="金陵电厂支线" localSheetId="3">管道站场阀室关系!$B$225</definedName>
    <definedName name="金陵电厂支线">#REF!</definedName>
    <definedName name="金坛储气库管线" localSheetId="3">管道站场阀室关系!$B$227</definedName>
    <definedName name="金坛储气库管线">#REF!</definedName>
    <definedName name="金坛溧阳支线" localSheetId="3">管道站场阀室关系!$B$237</definedName>
    <definedName name="金坛溧阳支线">#REF!</definedName>
    <definedName name="锦西石化支线" localSheetId="3">管道站场阀室关系!#REF!</definedName>
    <definedName name="锦西石化支线">#REF!</definedName>
    <definedName name="锦州石化支线" localSheetId="3">管道站场阀室关系!$B$1954</definedName>
    <definedName name="锦州石化支线">#REF!</definedName>
    <definedName name="景泰支线" localSheetId="3">管道站场阀室关系!$B$1829</definedName>
    <definedName name="景泰支线">#REF!</definedName>
    <definedName name="酒泉支线" localSheetId="3">管道站场阀室关系!#REF!</definedName>
    <definedName name="酒泉支线">#REF!</definedName>
    <definedName name="莱钢支线" localSheetId="3">管道站场阀室关系!$B$2323</definedName>
    <definedName name="莱钢支线">#REF!</definedName>
    <definedName name="兰定线" localSheetId="3">管道站场阀室关系!$B$1745</definedName>
    <definedName name="兰定线">#REF!</definedName>
    <definedName name="兰铝支线" localSheetId="3">管道站场阀室关系!$B$1725</definedName>
    <definedName name="兰铝支线">#REF!</definedName>
    <definedName name="兰银线干线" localSheetId="3">管道站场阀室关系!$B$1807</definedName>
    <definedName name="兰银线干线">#REF!</definedName>
    <definedName name="丽江支线" localSheetId="3">管道站场阀室关系!$B$2543</definedName>
    <definedName name="丽江支线">#REF!</definedName>
    <definedName name="溧阳支线" localSheetId="3">管道站场阀室关系!#REF!</definedName>
    <definedName name="溧阳支线">#REF!</definedName>
    <definedName name="连海支线" localSheetId="3">管道站场阀室关系!#REF!</definedName>
    <definedName name="连海支线">#REF!</definedName>
    <definedName name="刘化支线" localSheetId="3">管道站场阀室关系!$B$1721</definedName>
    <definedName name="刘化支线">#REF!</definedName>
    <definedName name="琉璃河永清支线" localSheetId="3">管道站场阀室关系!$B$1330</definedName>
    <definedName name="琉璃河永清支线">#REF!</definedName>
    <definedName name="陇南支线" localSheetId="3">管道站场阀室关系!$B$2448</definedName>
    <definedName name="陇南支线">#REF!</definedName>
    <definedName name="陇西支线" localSheetId="3">管道站场阀室关系!$B$2439</definedName>
    <definedName name="陇西支线">#REF!</definedName>
    <definedName name="轮库线" localSheetId="3">管道站场阀室关系!#REF!</definedName>
    <definedName name="轮库线" localSheetId="0">#REF!</definedName>
    <definedName name="轮库线">#REF!</definedName>
    <definedName name="轮吐支干线" localSheetId="3">管道站场阀室关系!$B$628</definedName>
    <definedName name="轮吐支干线">#REF!</definedName>
    <definedName name="洛阳支线" localSheetId="3">管道站场阀室关系!$B$618</definedName>
    <definedName name="洛阳支线">#REF!</definedName>
    <definedName name="南宁百色支线" localSheetId="3">管道站场阀室关系!$B$844</definedName>
    <definedName name="南宁百色支线">#REF!</definedName>
    <definedName name="南芜支线" localSheetId="3">管道站场阀室关系!$B$202</definedName>
    <definedName name="南芜支线">#REF!</definedName>
    <definedName name="盘锦支线" localSheetId="3">管道站场阀室关系!$B$1949</definedName>
    <definedName name="盘锦支线">#REF!</definedName>
    <definedName name="邳连支线" localSheetId="3">管道站场阀室关系!$B$302</definedName>
    <definedName name="邳连支线">#REF!</definedName>
    <definedName name="邳徐支线" localSheetId="3">管道站场阀室关系!$B$315</definedName>
    <definedName name="邳徐支线">#REF!</definedName>
    <definedName name="平泰支干线" localSheetId="3">管道站场阀室关系!$B$770</definedName>
    <definedName name="平泰支干线">#REF!</definedName>
    <definedName name="潜湘支线" localSheetId="3">管道站场阀室关系!$B$1899</definedName>
    <definedName name="潜湘支线">#REF!</definedName>
    <definedName name="钦州支线" localSheetId="3">管道站场阀室关系!$B$2572</definedName>
    <definedName name="钦州支线">#REF!</definedName>
    <definedName name="秦沈线干线" localSheetId="3">管道站场阀室关系!$B$1923</definedName>
    <definedName name="秦沈线干线">#REF!</definedName>
    <definedName name="青岛威海段干线" localSheetId="3">管道站场阀室关系!$B$2311</definedName>
    <definedName name="青岛威海段干线">#REF!</definedName>
    <definedName name="青铝支线" localSheetId="3">管道站场阀室关系!#REF!</definedName>
    <definedName name="青铝支线">#REF!</definedName>
    <definedName name="庆哈线" localSheetId="3">管道站场阀室关系!#REF!</definedName>
    <definedName name="庆哈线" localSheetId="0">#REF!</definedName>
    <definedName name="庆哈线">#REF!</definedName>
    <definedName name="庆齐线" localSheetId="3">管道站场阀室关系!#REF!</definedName>
    <definedName name="庆齐线" localSheetId="0">#REF!</definedName>
    <definedName name="庆齐线">#REF!</definedName>
    <definedName name="如东_海门_崇明岛支线" localSheetId="3">管道站场阀室关系!$B$353</definedName>
    <definedName name="如东_海门_崇明岛支线">#REF!</definedName>
    <definedName name="如东线" localSheetId="3">管道站场阀室关系!$B$333</definedName>
    <definedName name="如东线">#REF!</definedName>
    <definedName name="涩宁兰复线" localSheetId="3">管道站场阀室关系!$B$1765</definedName>
    <definedName name="涩宁兰复线">#REF!</definedName>
    <definedName name="涩宁兰管道干线" localSheetId="3">管道站场阀室关系!$B$1676</definedName>
    <definedName name="涩宁兰管道干线">#REF!</definedName>
    <definedName name="山西煤层气外输管线" localSheetId="3">管道站场阀室关系!$B$183</definedName>
    <definedName name="山西煤层气外输管线">#REF!</definedName>
    <definedName name="陕京二线干线" localSheetId="3">管道站场阀室关系!$B$1337</definedName>
    <definedName name="陕京二线干线">#REF!</definedName>
    <definedName name="陕京三线干线" localSheetId="3">管道站场阀室关系!$B$1451</definedName>
    <definedName name="陕京三线干线">#REF!</definedName>
    <definedName name="陕京四线干线" localSheetId="3">管道站场阀室关系!$B$1524</definedName>
    <definedName name="陕京四线干线">#REF!</definedName>
    <definedName name="陕京一线干线" localSheetId="3">管道站场阀室关系!$B$1273</definedName>
    <definedName name="陕京一线干线">#REF!</definedName>
    <definedName name="鄯乌线" localSheetId="3">管道站场阀室关系!$B$2650</definedName>
    <definedName name="鄯乌线">#REF!</definedName>
    <definedName name="商河支线" localSheetId="3">管道站场阀室关系!#REF!</definedName>
    <definedName name="商河支线">#REF!</definedName>
    <definedName name="上海支干线" localSheetId="3">管道站场阀室关系!$B$705</definedName>
    <definedName name="上海支干线">#REF!</definedName>
    <definedName name="深中支线" localSheetId="3">管道站场阀室关系!$B$1831</definedName>
    <definedName name="深中支线">#REF!</definedName>
    <definedName name="沈阳长春段干线" localSheetId="3">管道站场阀室关系!$B$2008</definedName>
    <definedName name="沈阳长春段干线">#REF!</definedName>
    <definedName name="沈阳支线" localSheetId="3">管道站场阀室关系!$B$1952</definedName>
    <definedName name="沈阳支线">#REF!</definedName>
    <definedName name="四平白山支线" localSheetId="3">管道站场阀室关系!$B$2028</definedName>
    <definedName name="四平白山支线">#REF!</definedName>
    <definedName name="泰安青岛段干线" localSheetId="3">管道站场阀室关系!$B$2288</definedName>
    <definedName name="泰安青岛段干线">#REF!</definedName>
    <definedName name="泰兴_芙蓉支线" localSheetId="3">管道站场阀室关系!$B$362</definedName>
    <definedName name="泰兴_芙蓉支线">#REF!</definedName>
    <definedName name="唐山LNG外输管道" localSheetId="3">管道站场阀室关系!$B$1662</definedName>
    <definedName name="唐山LNG外输管道">#REF!</definedName>
    <definedName name="滕临支线" localSheetId="3">管道站场阀室关系!$B$310</definedName>
    <definedName name="滕临支线">#REF!</definedName>
    <definedName name="天水支线" localSheetId="3">管道站场阀室关系!$B$2453</definedName>
    <definedName name="天水支线">#REF!</definedName>
    <definedName name="望亭电厂支线" localSheetId="3">管道站场阀室关系!$B$221</definedName>
    <definedName name="望亭电厂支线">#REF!</definedName>
    <definedName name="潍东支线" localSheetId="3">管道站场阀室关系!#REF!</definedName>
    <definedName name="潍东支线" localSheetId="0">#REF!</definedName>
    <definedName name="潍东支线">#REF!</definedName>
    <definedName name="乌石化支线" localSheetId="3">管道站场阀室关系!#REF!</definedName>
    <definedName name="乌石化支线">#REF!</definedName>
    <definedName name="无棣支线" localSheetId="3">管道站场阀室关系!#REF!</definedName>
    <definedName name="无棣支线">#REF!</definedName>
    <definedName name="武威支线" localSheetId="3">管道站场阀室关系!#REF!</definedName>
    <definedName name="武威支线">#REF!</definedName>
    <definedName name="西二线与川气东送联络线" localSheetId="3">管道站场阀室关系!$B$621</definedName>
    <definedName name="西二线与川气东送联络线">#REF!</definedName>
    <definedName name="西气东输二线东段干线" localSheetId="3">管道站场阀室关系!$B$483</definedName>
    <definedName name="西气东输二线东段干线">#REF!</definedName>
    <definedName name="西气东输二线西段干线" localSheetId="3">管道站场阀室关系!$B$395</definedName>
    <definedName name="西气东输二线西段干线">#REF!</definedName>
    <definedName name="西气东输三线东段干线" localSheetId="3">管道站场阀室关系!$B$1087</definedName>
    <definedName name="西气东输三线东段干线">#REF!</definedName>
    <definedName name="西气东输三线西段干线" localSheetId="3">管道站场阀室关系!$B$909</definedName>
    <definedName name="西气东输三线西段干线">#REF!</definedName>
    <definedName name="西气东输一线干线" localSheetId="3">管道站场阀室关系!$B$2</definedName>
    <definedName name="西气东输一线干线">#REF!</definedName>
    <definedName name="西三线中靖联络线" localSheetId="3">管道站场阀室关系!$B$1153</definedName>
    <definedName name="西三线中靖联络线">#REF!</definedName>
    <definedName name="香港支线" localSheetId="3">管道站场阀室关系!$B$907</definedName>
    <definedName name="香港支线">#REF!</definedName>
    <definedName name="湘娄邵管道" localSheetId="3">管道站场阀室关系!#REF!</definedName>
    <definedName name="湘娄邵管道">#REF!</definedName>
    <definedName name="襄樊支线" localSheetId="3">管道站场阀室关系!$B$1888</definedName>
    <definedName name="襄樊支线">#REF!</definedName>
    <definedName name="小卞庄汪庄子支线" localSheetId="3">管道站场阀室关系!$B$1447</definedName>
    <definedName name="小卞庄汪庄子支线">#REF!</definedName>
    <definedName name="压缩机维检修支线" localSheetId="3">管道站场阀室关系!$B$1660</definedName>
    <definedName name="压缩机维检修支线">#REF!</definedName>
    <definedName name="扬巴支线" localSheetId="3">管道站场阀室关系!$B$223</definedName>
    <definedName name="扬巴支线">#REF!</definedName>
    <definedName name="伊霍支线" localSheetId="3">管道站场阀室关系!$B$1137</definedName>
    <definedName name="伊霍支线">#REF!</definedName>
    <definedName name="营盘联络线盘锦末双六段" localSheetId="3">管道站场阀室关系!$B$2006</definedName>
    <definedName name="营盘联络线盘锦末双六段">#REF!</definedName>
    <definedName name="营盘联络线营口双六段" localSheetId="3">管道站场阀室关系!$B$2000</definedName>
    <definedName name="营盘联络线营口双六段">#REF!</definedName>
    <definedName name="永京线" localSheetId="3">管道站场阀室关系!$B$1414</definedName>
    <definedName name="永京线">#REF!</definedName>
    <definedName name="永唐秦干线" localSheetId="3">管道站场阀室关系!$B$1635</definedName>
    <definedName name="永唐秦干线">#REF!</definedName>
    <definedName name="玉溪支线" localSheetId="3">管道站场阀室关系!$B$2553</definedName>
    <definedName name="玉溪支线">#REF!</definedName>
    <definedName name="枣十襄樊支线" localSheetId="3">管道站场阀室关系!$B$679</definedName>
    <definedName name="枣十襄樊支线">#REF!</definedName>
    <definedName name="枣十支干线" localSheetId="3">管道站场阀室关系!$B$665</definedName>
    <definedName name="枣十支干线">#REF!</definedName>
    <definedName name="张掖支线" localSheetId="3">管道站场阀室关系!#REF!</definedName>
    <definedName name="张掖支线">#REF!</definedName>
    <definedName name="樟湘支干线" localSheetId="3">管道站场阀室关系!$B$686</definedName>
    <definedName name="樟湘支干线">#REF!</definedName>
    <definedName name="长铝支线" localSheetId="3">管道站场阀室关系!$B$188</definedName>
    <definedName name="长铝支线">#REF!</definedName>
    <definedName name="长宁线干线" localSheetId="3">管道站场阀室关系!$B$1837</definedName>
    <definedName name="长宁线干线">#REF!</definedName>
    <definedName name="长长吉管道" localSheetId="3">管道站场阀室关系!$B$2054</definedName>
    <definedName name="长长吉管道">#REF!</definedName>
    <definedName name="中沧线" localSheetId="3">管道站场阀室关系!#REF!</definedName>
    <definedName name="中沧线" localSheetId="0">#REF!</definedName>
    <definedName name="中沧线">#REF!</definedName>
    <definedName name="中贵线干线" localSheetId="3">管道站场阀室关系!$B$2351</definedName>
    <definedName name="中贵线干线">#REF!</definedName>
    <definedName name="中靖支干线" localSheetId="3">管道站场阀室关系!$B$647</definedName>
    <definedName name="中靖支干线">#REF!</definedName>
    <definedName name="中缅管道国内段干线" localSheetId="3">管道站场阀室关系!$B$2465</definedName>
    <definedName name="中缅管道国内段干线">#REF!</definedName>
    <definedName name="中缅管道国外段干线" localSheetId="3">管道站场阀室关系!#REF!</definedName>
    <definedName name="中缅管道国外段干线">#REF!</definedName>
    <definedName name="中亚管道A线" localSheetId="3">管道站场阀室关系!#REF!</definedName>
    <definedName name="中亚管道A线">#REF!</definedName>
    <definedName name="中亚管道C线" localSheetId="3">管道站场阀室关系!#REF!</definedName>
    <definedName name="中亚管道C线">#REF!</definedName>
    <definedName name="忠武线干线" localSheetId="3">管道站场阀室关系!$B$1853</definedName>
    <definedName name="忠武线干线">#REF!</definedName>
    <definedName name="淄博支线" localSheetId="3">管道站场阀室关系!$B$2326</definedName>
    <definedName name="淄博支线">#REF!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I2721" authorId="0">
      <text>
        <r>
          <rPr>
            <b/>
            <sz val="9"/>
            <rFont val="宋体"/>
            <charset val="134"/>
          </rPr>
          <t>作者:</t>
        </r>
        <r>
          <rPr>
            <sz val="9"/>
            <rFont val="宋体"/>
            <charset val="134"/>
          </rPr>
          <t xml:space="preserve">
根据上下游估算的</t>
        </r>
      </text>
    </comment>
    <comment ref="I2743" authorId="0">
      <text>
        <r>
          <rPr>
            <b/>
            <sz val="9"/>
            <rFont val="宋体"/>
            <charset val="134"/>
          </rPr>
          <t>作者:</t>
        </r>
        <r>
          <rPr>
            <sz val="9"/>
            <rFont val="宋体"/>
            <charset val="134"/>
          </rPr>
          <t xml:space="preserve">
海口-丁村高程取自《川气东送管道基础数据》</t>
        </r>
      </text>
    </comment>
    <comment ref="I2775" authorId="0">
      <text>
        <r>
          <rPr>
            <b/>
            <sz val="9"/>
            <rFont val="宋体"/>
            <charset val="134"/>
          </rPr>
          <t>作者:</t>
        </r>
        <r>
          <rPr>
            <sz val="9"/>
            <rFont val="宋体"/>
            <charset val="134"/>
          </rPr>
          <t xml:space="preserve">
柏树-达化高程取自《川气东送管道基础数据》</t>
        </r>
      </text>
    </comment>
    <comment ref="I2779" authorId="0">
      <text>
        <r>
          <rPr>
            <b/>
            <sz val="9"/>
            <rFont val="宋体"/>
            <charset val="134"/>
          </rPr>
          <t>作者:</t>
        </r>
        <r>
          <rPr>
            <sz val="9"/>
            <rFont val="宋体"/>
            <charset val="134"/>
          </rPr>
          <t xml:space="preserve">
回龙-川维高程取自《川气东送管道基础数据》</t>
        </r>
      </text>
    </comment>
    <comment ref="I2786" authorId="0">
      <text>
        <r>
          <rPr>
            <b/>
            <sz val="9"/>
            <rFont val="宋体"/>
            <charset val="134"/>
          </rPr>
          <t>作者:</t>
        </r>
        <r>
          <rPr>
            <sz val="9"/>
            <rFont val="宋体"/>
            <charset val="134"/>
          </rPr>
          <t xml:space="preserve">
新市铺-武乙烯高程取自《川气东送管道基础数据》</t>
        </r>
      </text>
    </comment>
  </commentList>
</comments>
</file>

<file path=xl/sharedStrings.xml><?xml version="1.0" encoding="utf-8"?>
<sst xmlns="http://schemas.openxmlformats.org/spreadsheetml/2006/main" count="62861" uniqueCount="11856">
  <si>
    <t>天然气管网基本现状</t>
  </si>
  <si>
    <t>管道类型</t>
  </si>
  <si>
    <t>条数</t>
  </si>
  <si>
    <t>里程，km</t>
  </si>
  <si>
    <t>站场</t>
  </si>
  <si>
    <t>阀室</t>
  </si>
  <si>
    <t>压气站</t>
  </si>
  <si>
    <t>压缩机</t>
  </si>
  <si>
    <t>一级管道</t>
  </si>
  <si>
    <t>二级管道</t>
  </si>
  <si>
    <t>总合计</t>
  </si>
  <si>
    <t>用户与分输口</t>
  </si>
  <si>
    <t>远控</t>
  </si>
  <si>
    <t>供气点</t>
  </si>
  <si>
    <t>分输站</t>
  </si>
  <si>
    <t>其他站</t>
  </si>
  <si>
    <t>代管站</t>
  </si>
  <si>
    <t>RTU阀室</t>
  </si>
  <si>
    <t>分输口</t>
  </si>
  <si>
    <t>已投运场站总数</t>
  </si>
  <si>
    <t>序号</t>
  </si>
  <si>
    <t>干线管道</t>
  </si>
  <si>
    <t>调控级别</t>
  </si>
  <si>
    <t>长度</t>
  </si>
  <si>
    <t>物理管容</t>
  </si>
  <si>
    <t>监控阀室</t>
  </si>
  <si>
    <t>监视阀室</t>
  </si>
  <si>
    <t>普通阀室</t>
  </si>
  <si>
    <t>西气东输一线</t>
  </si>
  <si>
    <t>一级</t>
  </si>
  <si>
    <t>冀宁线</t>
  </si>
  <si>
    <t>江苏LNG外输管道</t>
  </si>
  <si>
    <t>淮武线</t>
  </si>
  <si>
    <t>西气东输二线</t>
  </si>
  <si>
    <t>轮吐支干线</t>
  </si>
  <si>
    <t>中靖支干线</t>
  </si>
  <si>
    <t>枣十支干线</t>
  </si>
  <si>
    <t>樟湘支干线</t>
  </si>
  <si>
    <t>上海支干线</t>
  </si>
  <si>
    <t>平泰支干线</t>
  </si>
  <si>
    <t>广南支干线</t>
  </si>
  <si>
    <t>广深支干线</t>
  </si>
  <si>
    <t>香港支线</t>
  </si>
  <si>
    <t>西气东输三线</t>
  </si>
  <si>
    <t>深圳LNG外输管道</t>
  </si>
  <si>
    <t>西气东输四线</t>
  </si>
  <si>
    <t>陕京一线</t>
  </si>
  <si>
    <t>陕京二线</t>
  </si>
  <si>
    <t>陕京三线</t>
  </si>
  <si>
    <t>陕京四线</t>
  </si>
  <si>
    <t>永唐秦管道</t>
  </si>
  <si>
    <t>唐山LNG外输管道</t>
  </si>
  <si>
    <t>涩宁兰管道</t>
  </si>
  <si>
    <t>涩宁兰复线</t>
  </si>
  <si>
    <t>兰银线</t>
  </si>
  <si>
    <t>长宁线</t>
  </si>
  <si>
    <t>忠武线</t>
  </si>
  <si>
    <t>秦沈线</t>
  </si>
  <si>
    <t>大沈线</t>
  </si>
  <si>
    <t>哈沈线</t>
  </si>
  <si>
    <t>长长吉管道</t>
  </si>
  <si>
    <t>中俄东线</t>
  </si>
  <si>
    <t>泰青威管道</t>
  </si>
  <si>
    <t>中贵线</t>
  </si>
  <si>
    <t>中缅线（国内段）</t>
  </si>
  <si>
    <t>青宁线</t>
  </si>
  <si>
    <t>鄂安沧管道</t>
  </si>
  <si>
    <t>川气东送一线</t>
  </si>
  <si>
    <t>川气东送二线</t>
  </si>
  <si>
    <t>川东北-川西联络线</t>
  </si>
  <si>
    <t>榆济管道</t>
  </si>
  <si>
    <t>安济线</t>
  </si>
  <si>
    <t>济青二线</t>
  </si>
  <si>
    <t>青岛LNG北干线</t>
  </si>
  <si>
    <t>天津管道</t>
  </si>
  <si>
    <t>天津LNG外输管道复线</t>
  </si>
  <si>
    <t>中开线</t>
  </si>
  <si>
    <t>重庆管道</t>
  </si>
  <si>
    <t>广西管道</t>
  </si>
  <si>
    <t>海南省管网</t>
  </si>
  <si>
    <t>二级</t>
  </si>
  <si>
    <t>蒙西管道</t>
  </si>
  <si>
    <t>新气管道</t>
  </si>
  <si>
    <t>滨海LNG外输管道</t>
  </si>
  <si>
    <t>海西二期</t>
  </si>
  <si>
    <t>漳州LNG外输管道</t>
  </si>
  <si>
    <t>广东省管网</t>
  </si>
  <si>
    <t>广东省管网（新丰专线）</t>
  </si>
  <si>
    <t>粤东LNG外输管道</t>
  </si>
  <si>
    <t>浙江省管网</t>
  </si>
  <si>
    <t>湖南省管网</t>
  </si>
  <si>
    <t>贵州省管网</t>
  </si>
  <si>
    <t>鄯乌线</t>
  </si>
  <si>
    <t>注：广东省管网和广东省管网（新丰专线）数据非公式取值。广东省管网（新丰专线）不计入干线条数。</t>
  </si>
  <si>
    <t>[原始]序号</t>
  </si>
  <si>
    <t>[关联]干线管道</t>
  </si>
  <si>
    <t>[原始]支线管道</t>
  </si>
  <si>
    <t>[原始]起点</t>
  </si>
  <si>
    <t>[原始]终点</t>
  </si>
  <si>
    <t>[计算]长度/km</t>
  </si>
  <si>
    <t>[原始]管径/mm</t>
  </si>
  <si>
    <t>[原始]主要壁厚/mm</t>
  </si>
  <si>
    <t>[原始]设计压力/MPa</t>
  </si>
  <si>
    <r>
      <rPr>
        <sz val="12"/>
        <rFont val="华文仿宋"/>
        <charset val="134"/>
      </rPr>
      <t>[原始]设计输量/10</t>
    </r>
    <r>
      <rPr>
        <vertAlign val="superscript"/>
        <sz val="12"/>
        <rFont val="华文仿宋"/>
        <charset val="134"/>
      </rPr>
      <t>8</t>
    </r>
    <r>
      <rPr>
        <sz val="12"/>
        <rFont val="华文仿宋"/>
        <charset val="134"/>
      </rPr>
      <t>m</t>
    </r>
    <r>
      <rPr>
        <vertAlign val="superscript"/>
        <sz val="12"/>
        <rFont val="华文仿宋"/>
        <charset val="134"/>
      </rPr>
      <t>3</t>
    </r>
    <r>
      <rPr>
        <sz val="12"/>
        <rFont val="华文仿宋"/>
        <charset val="134"/>
      </rPr>
      <t>/a</t>
    </r>
  </si>
  <si>
    <r>
      <rPr>
        <sz val="12"/>
        <rFont val="华文仿宋"/>
        <charset val="134"/>
      </rPr>
      <t>[原始]设计输量/10</t>
    </r>
    <r>
      <rPr>
        <vertAlign val="superscript"/>
        <sz val="12"/>
        <rFont val="华文仿宋"/>
        <charset val="134"/>
      </rPr>
      <t>4</t>
    </r>
    <r>
      <rPr>
        <sz val="12"/>
        <rFont val="华文仿宋"/>
        <charset val="134"/>
      </rPr>
      <t>m</t>
    </r>
    <r>
      <rPr>
        <vertAlign val="superscript"/>
        <sz val="12"/>
        <rFont val="华文仿宋"/>
        <charset val="134"/>
      </rPr>
      <t>3</t>
    </r>
    <r>
      <rPr>
        <sz val="12"/>
        <rFont val="华文仿宋"/>
        <charset val="134"/>
      </rPr>
      <t>/d</t>
    </r>
  </si>
  <si>
    <r>
      <rPr>
        <sz val="12"/>
        <rFont val="华文仿宋"/>
        <charset val="134"/>
      </rPr>
      <t>[计算]物理管容/m</t>
    </r>
    <r>
      <rPr>
        <vertAlign val="superscript"/>
        <sz val="12"/>
        <rFont val="华文仿宋"/>
        <charset val="134"/>
      </rPr>
      <t>3</t>
    </r>
  </si>
  <si>
    <t>[原始]管道投产时间</t>
  </si>
  <si>
    <t>[关联]调度台</t>
  </si>
  <si>
    <t>[原始]备注</t>
  </si>
  <si>
    <t>西一线干线新疆段</t>
  </si>
  <si>
    <t>轮南压气站</t>
  </si>
  <si>
    <t>红柳压气站</t>
  </si>
  <si>
    <t>西部</t>
  </si>
  <si>
    <t>西一线干线甘肃段</t>
  </si>
  <si>
    <t>中卫压气站</t>
  </si>
  <si>
    <t>西一线干线东段</t>
  </si>
  <si>
    <t>白鹤末站</t>
  </si>
  <si>
    <t>东部</t>
  </si>
  <si>
    <t>常长支线</t>
  </si>
  <si>
    <t>芙蓉分输站</t>
  </si>
  <si>
    <t>长兴末站</t>
  </si>
  <si>
    <t>南芜支线</t>
  </si>
  <si>
    <t>西一线南京站</t>
  </si>
  <si>
    <t>芜湖末站</t>
  </si>
  <si>
    <t>金陵电厂支线</t>
  </si>
  <si>
    <t>金陵电厂</t>
  </si>
  <si>
    <t>定合支线</t>
  </si>
  <si>
    <t>定远压气站</t>
  </si>
  <si>
    <t>合肥末站</t>
  </si>
  <si>
    <t>定合复线</t>
  </si>
  <si>
    <t>合肥北站</t>
  </si>
  <si>
    <t>14.3/15.9/20.6</t>
  </si>
  <si>
    <t>扬巴支线</t>
  </si>
  <si>
    <t>龙池分输站</t>
  </si>
  <si>
    <t>扬子扬巴末站</t>
  </si>
  <si>
    <t>长铝支线</t>
  </si>
  <si>
    <t>郑州压气站</t>
  </si>
  <si>
    <t>长铝末站</t>
  </si>
  <si>
    <t>望亭电厂支线</t>
  </si>
  <si>
    <t>东桥分输站</t>
  </si>
  <si>
    <t>望亭分输站</t>
  </si>
  <si>
    <t>甪宝支线</t>
  </si>
  <si>
    <t>甪直分输站</t>
  </si>
  <si>
    <t>浏河分输站</t>
  </si>
  <si>
    <t>金坛储气库支线</t>
  </si>
  <si>
    <t>镇江分输站</t>
  </si>
  <si>
    <t>金坛分输站</t>
  </si>
  <si>
    <t>-</t>
  </si>
  <si>
    <t>金溧支线</t>
  </si>
  <si>
    <t>南渡分输站</t>
  </si>
  <si>
    <t>沁水煤层气管道</t>
  </si>
  <si>
    <t>端氏首站</t>
  </si>
  <si>
    <t>沁水压气站</t>
  </si>
  <si>
    <t>长江备用线</t>
  </si>
  <si>
    <t>青山分输站</t>
  </si>
  <si>
    <t>龙潭站上游1.5km</t>
  </si>
  <si>
    <t>西一线与青宁线青山-南京联络线</t>
  </si>
  <si>
    <t>南京末站</t>
  </si>
  <si>
    <t>南京计量中心支线</t>
  </si>
  <si>
    <t>龙潭分输站</t>
  </si>
  <si>
    <t>南京计量中心</t>
  </si>
  <si>
    <t>冀宁线干线冀鲁段</t>
  </si>
  <si>
    <t>泰安分输站</t>
  </si>
  <si>
    <t>安平压气站</t>
  </si>
  <si>
    <t>冀宁线干线苏北段</t>
  </si>
  <si>
    <t>临沂支线</t>
  </si>
  <si>
    <t>滕州分输站</t>
  </si>
  <si>
    <t>临沂末站</t>
  </si>
  <si>
    <t>济宁支线</t>
  </si>
  <si>
    <t>曲阜分输站</t>
  </si>
  <si>
    <t>济宁末站</t>
  </si>
  <si>
    <t>邳徐支线</t>
  </si>
  <si>
    <t>邳州压气站</t>
  </si>
  <si>
    <t>徐州分输站</t>
  </si>
  <si>
    <t>邳连支线</t>
  </si>
  <si>
    <t>连云港分输站</t>
  </si>
  <si>
    <t>武城支线</t>
  </si>
  <si>
    <t>德州分输站</t>
  </si>
  <si>
    <t>武城末站</t>
  </si>
  <si>
    <t>德州支线</t>
  </si>
  <si>
    <t>德州末站</t>
  </si>
  <si>
    <t>泰安站联络线</t>
  </si>
  <si>
    <t>泰安压气站</t>
  </si>
  <si>
    <t>刘庄储气库支线</t>
  </si>
  <si>
    <t>淮安分输站</t>
  </si>
  <si>
    <t>刘庄储气库</t>
  </si>
  <si>
    <t>江如管道</t>
  </si>
  <si>
    <t>江都分输站</t>
  </si>
  <si>
    <t>如东分输站</t>
  </si>
  <si>
    <t>201007江都-泰州
20110518泰州-如东</t>
  </si>
  <si>
    <t>如东-海门-崇明岛支线</t>
  </si>
  <si>
    <t>崇明燃气门站</t>
  </si>
  <si>
    <t>10/6.3</t>
  </si>
  <si>
    <t>泰芙联络线</t>
  </si>
  <si>
    <t>泰兴分输站</t>
  </si>
  <si>
    <t>大唐如皋电厂支线</t>
  </si>
  <si>
    <t>如皋分输站</t>
  </si>
  <si>
    <t>大唐电厂末站</t>
  </si>
  <si>
    <t>淮阳压气站</t>
  </si>
  <si>
    <t>武汉西分输站</t>
  </si>
  <si>
    <t>西二线干线新疆段</t>
  </si>
  <si>
    <t>霍尔果斯压气站</t>
  </si>
  <si>
    <t>西二线干线甘肃段</t>
  </si>
  <si>
    <t>西二线干线中卫-吉安段</t>
  </si>
  <si>
    <t>吉安分输站</t>
  </si>
  <si>
    <t>中卫至黄陂20101118
黄陂至吉安20110620</t>
  </si>
  <si>
    <t>中部</t>
  </si>
  <si>
    <t>西二线干线吉安-广州段</t>
  </si>
  <si>
    <t>广州压气站</t>
  </si>
  <si>
    <t>南部</t>
  </si>
  <si>
    <t>独石化支线</t>
  </si>
  <si>
    <t>奎屯分输站</t>
  </si>
  <si>
    <t>独石化末站</t>
  </si>
  <si>
    <t>嘉峪关支线</t>
  </si>
  <si>
    <t>嘉峪关压气站</t>
  </si>
  <si>
    <t>嘉峪关门站</t>
  </si>
  <si>
    <t>河西五市供气支线</t>
  </si>
  <si>
    <t>酒泉支线</t>
  </si>
  <si>
    <t>酒泉门站</t>
  </si>
  <si>
    <t>张掖支线</t>
  </si>
  <si>
    <t>张掖压气站</t>
  </si>
  <si>
    <t>张掖门站</t>
  </si>
  <si>
    <t>金昌支线</t>
  </si>
  <si>
    <t>西二61#阀室</t>
  </si>
  <si>
    <t>金昌末站</t>
  </si>
  <si>
    <t>武威支线</t>
  </si>
  <si>
    <t>武威分输站</t>
  </si>
  <si>
    <t>武威门站</t>
  </si>
  <si>
    <t>洛阳支线</t>
  </si>
  <si>
    <t>洛阳分输站</t>
  </si>
  <si>
    <t>洛阳末站</t>
  </si>
  <si>
    <t>西二淮武-黄陂淮武联络线</t>
  </si>
  <si>
    <t>黄陂压气站</t>
  </si>
  <si>
    <t>淮武线15-16#阀室之间</t>
  </si>
  <si>
    <t>西二川气东送-武穴姜家湾联络线</t>
  </si>
  <si>
    <t>130#阀室与武穴站间干线</t>
  </si>
  <si>
    <t>川气东送互联站</t>
  </si>
  <si>
    <t>49.6/12</t>
  </si>
  <si>
    <t>富平支线</t>
  </si>
  <si>
    <t>92#阀室下游</t>
  </si>
  <si>
    <t>富平分输站</t>
  </si>
  <si>
    <t>1216/406.4</t>
  </si>
  <si>
    <t>动火连接处25.7/穿越段10/其他7.9</t>
  </si>
  <si>
    <t>吐鲁番压气站</t>
  </si>
  <si>
    <t>西一靖边压气站</t>
  </si>
  <si>
    <t>枣阳压气站</t>
  </si>
  <si>
    <t>十堰末站</t>
  </si>
  <si>
    <t>枣阳-襄樊508
襄樊-十堰406</t>
  </si>
  <si>
    <t>枣阳-襄樊12
襄樊-十堰7</t>
  </si>
  <si>
    <t>枣阳-襄樊20101118
襄樊-十堰20111227</t>
  </si>
  <si>
    <t>西二忠武襄樊联络线</t>
  </si>
  <si>
    <t>襄樊分输站</t>
  </si>
  <si>
    <t>襄樊计量站</t>
  </si>
  <si>
    <t>枣十1#分输支线</t>
  </si>
  <si>
    <t>枣十1#阀室</t>
  </si>
  <si>
    <t>枣十1#分输阀室</t>
  </si>
  <si>
    <t>樟树分输站</t>
  </si>
  <si>
    <t>湘潭末站</t>
  </si>
  <si>
    <t>南昌压气站</t>
  </si>
  <si>
    <t>金山末站</t>
  </si>
  <si>
    <t>西二西一嘉甪联络线</t>
  </si>
  <si>
    <t>嘉兴分输站</t>
  </si>
  <si>
    <t>嘉兴-5#阀室20120520
5#阀室-甪直20120706</t>
  </si>
  <si>
    <t>平泰河南段</t>
  </si>
  <si>
    <t>鲁山压气站</t>
  </si>
  <si>
    <t>兰考分输站</t>
  </si>
  <si>
    <t>鲁山-薛店20120314
薛店-泰安20120519</t>
  </si>
  <si>
    <t>平泰山东段</t>
  </si>
  <si>
    <t>西二中开-中开平泰联络线</t>
  </si>
  <si>
    <t>中开线开封站</t>
  </si>
  <si>
    <t>杞县分输站</t>
  </si>
  <si>
    <t>广南广东段</t>
  </si>
  <si>
    <t>梧州压气站</t>
  </si>
  <si>
    <t>广南广西段</t>
  </si>
  <si>
    <t>南宁分输站</t>
  </si>
  <si>
    <t>珊瑚支线</t>
  </si>
  <si>
    <t>广南2#阀室</t>
  </si>
  <si>
    <t>珊瑚门站</t>
  </si>
  <si>
    <t>苍梧-贺州支线</t>
  </si>
  <si>
    <t>贺州末站</t>
  </si>
  <si>
    <t>南宁-百色支线</t>
  </si>
  <si>
    <t>百色末站</t>
  </si>
  <si>
    <t>南宁-吴圩660
吴圩-百色457</t>
  </si>
  <si>
    <t>8/6.3</t>
  </si>
  <si>
    <t>南宁-吴圩20140813
吴圩-百色20150630</t>
  </si>
  <si>
    <t>贵港-玉林支线</t>
  </si>
  <si>
    <t>贵港压气站</t>
  </si>
  <si>
    <t>玉林末站</t>
  </si>
  <si>
    <t>南宁-凭祥支线（南宁-崇左段）</t>
  </si>
  <si>
    <t>吴圩分输站</t>
  </si>
  <si>
    <t>崇左输气站</t>
  </si>
  <si>
    <t>7.1/8.0</t>
  </si>
  <si>
    <t>广西管道与广南支干线南宁联络线</t>
  </si>
  <si>
    <t>广西管道南宁站</t>
  </si>
  <si>
    <t>广南南宁站</t>
  </si>
  <si>
    <t>大铲岛压气站</t>
  </si>
  <si>
    <t>广州-求雨岭1016
求雨岭-大铲岛914</t>
  </si>
  <si>
    <t>广求段20120504
求大段20121219</t>
  </si>
  <si>
    <t>樟木头支线</t>
  </si>
  <si>
    <t>11#和12#阀室之间</t>
  </si>
  <si>
    <t>樟木头分输站</t>
  </si>
  <si>
    <t>龙鼓滩分输站</t>
  </si>
  <si>
    <t>西三线干线新疆段</t>
  </si>
  <si>
    <t>霍尔果斯-乌鲁木齐20130723
乌鲁木齐-连木沁20131211
连木沁-瓜州20140702</t>
  </si>
  <si>
    <t>西三线干线甘肃段</t>
  </si>
  <si>
    <t>瓜州-67#阀室20140901
67#阀室-中卫20141120</t>
  </si>
  <si>
    <t>西三线中段</t>
  </si>
  <si>
    <t>仙桃联络站</t>
  </si>
  <si>
    <t>枣阳-仙桃20231209</t>
  </si>
  <si>
    <t>西三线干线东段</t>
  </si>
  <si>
    <t>福州末站</t>
  </si>
  <si>
    <t>吉安-漳州1219
漳州-福州末1016</t>
  </si>
  <si>
    <t>22/21</t>
  </si>
  <si>
    <t>伊霍支线</t>
  </si>
  <si>
    <t>伊宁首站</t>
  </si>
  <si>
    <t>石河子支线</t>
  </si>
  <si>
    <t>15#阀室</t>
  </si>
  <si>
    <t>石河子分输站</t>
  </si>
  <si>
    <t>新气西三潜江仙桃联络线</t>
  </si>
  <si>
    <t>新气潜江站</t>
  </si>
  <si>
    <t>长沙支线</t>
  </si>
  <si>
    <t>安沙分输站</t>
  </si>
  <si>
    <t>望城末站</t>
  </si>
  <si>
    <t>西三新气长沙联络线</t>
  </si>
  <si>
    <t>石潭村站</t>
  </si>
  <si>
    <t>安沙站</t>
  </si>
  <si>
    <t>西三德化联络线</t>
  </si>
  <si>
    <t>东田站</t>
  </si>
  <si>
    <t>南安分输联络站</t>
  </si>
  <si>
    <t>西三福州联络线</t>
  </si>
  <si>
    <t>中海油青口分输站</t>
  </si>
  <si>
    <t>西三线中靖联络线</t>
  </si>
  <si>
    <t>闽粤支干线</t>
  </si>
  <si>
    <t>广深6#阀室</t>
  </si>
  <si>
    <t>潮州分输站</t>
  </si>
  <si>
    <t>西四线干线新疆段</t>
  </si>
  <si>
    <t xml:space="preserve">红柳压气站 </t>
  </si>
  <si>
    <t>西四线干线甘肃段</t>
  </si>
  <si>
    <t>西四线54#阀室</t>
  </si>
  <si>
    <t>18.4/22</t>
  </si>
  <si>
    <t>西四线干线宁夏段</t>
  </si>
  <si>
    <t>漳州LNG接收站</t>
  </si>
  <si>
    <t>漳州分输清管站</t>
  </si>
  <si>
    <t>17.5/21/26.2</t>
  </si>
  <si>
    <t>深圳LNG东侧阀井</t>
  </si>
  <si>
    <t>广深樟木头-12#阀室之间</t>
  </si>
  <si>
    <t>深圳LNG深圳燃气联络线</t>
  </si>
  <si>
    <t>深圳LNG接收站</t>
  </si>
  <si>
    <t>深圳燃气迭福门站</t>
  </si>
  <si>
    <t>西二线深圳LNG联络线</t>
  </si>
  <si>
    <t>陕京一线干线</t>
  </si>
  <si>
    <t>陕京靖边首站</t>
  </si>
  <si>
    <t>石景山分输站</t>
  </si>
  <si>
    <t>北部</t>
  </si>
  <si>
    <t>靖边联络线</t>
  </si>
  <si>
    <t>琉璃河-永清支线</t>
  </si>
  <si>
    <t>琉璃河分输站</t>
  </si>
  <si>
    <t>永清分输站</t>
  </si>
  <si>
    <t>陕京二线干线</t>
  </si>
  <si>
    <t>通州东分输站</t>
  </si>
  <si>
    <t>靖边-采育20050720
采育-通州东20081215</t>
  </si>
  <si>
    <t>任丘支线</t>
  </si>
  <si>
    <t>任丘分输站</t>
  </si>
  <si>
    <t>任丘东站</t>
  </si>
  <si>
    <t>永京线</t>
  </si>
  <si>
    <t>通州南分输站</t>
  </si>
  <si>
    <t>港清线</t>
  </si>
  <si>
    <t>大港分输站</t>
  </si>
  <si>
    <t>港清复线</t>
  </si>
  <si>
    <t>港清三线</t>
  </si>
  <si>
    <t>永清首站</t>
  </si>
  <si>
    <t>大港末站</t>
  </si>
  <si>
    <t>霸州-大港20151121</t>
  </si>
  <si>
    <t>华北储气库配套管网</t>
  </si>
  <si>
    <t>京58储气库</t>
  </si>
  <si>
    <t>汪庄子分输站支线</t>
  </si>
  <si>
    <t>小卞庄分输站</t>
  </si>
  <si>
    <t>汪庄子分输站</t>
  </si>
  <si>
    <t>大港储气库配套管网</t>
  </si>
  <si>
    <t>大张坨储气库</t>
  </si>
  <si>
    <t>陕京三线干线</t>
  </si>
  <si>
    <t>榆林压气站</t>
  </si>
  <si>
    <t>西沙屯分输站</t>
  </si>
  <si>
    <t>榆林-安平20101208
安平-永清20101220
永清-良乡20110114
良乡-西沙屯20141214</t>
  </si>
  <si>
    <t>管头分输支线</t>
  </si>
  <si>
    <t>陕三19#阀室</t>
  </si>
  <si>
    <t>管头分输站</t>
  </si>
  <si>
    <t>陕京四线干线</t>
  </si>
  <si>
    <t>高丽营分输站</t>
  </si>
  <si>
    <t>12靖边-延庆
10延庆-高丽营</t>
  </si>
  <si>
    <t>高西联络线</t>
  </si>
  <si>
    <t>大唐煤制气管道</t>
  </si>
  <si>
    <t>巴克什营首站</t>
  </si>
  <si>
    <t>巴克什营-密云914/密云-高丽营1016</t>
  </si>
  <si>
    <t>宝香西联络线</t>
  </si>
  <si>
    <t>宝坻分输站</t>
  </si>
  <si>
    <t>西集分输站</t>
  </si>
  <si>
    <t>21/26</t>
  </si>
  <si>
    <t>密马香联络线</t>
  </si>
  <si>
    <t>密云分输站</t>
  </si>
  <si>
    <t>马坊分输站</t>
  </si>
  <si>
    <t>应张联络线</t>
  </si>
  <si>
    <t>张家口压气站</t>
  </si>
  <si>
    <t>应张末站</t>
  </si>
  <si>
    <t>怀来支线</t>
  </si>
  <si>
    <t>陕京四线39#阀室</t>
  </si>
  <si>
    <t>怀来末站</t>
  </si>
  <si>
    <t>怀安支线</t>
  </si>
  <si>
    <t>陕京四线34#阀室</t>
  </si>
  <si>
    <t>怀安末站</t>
  </si>
  <si>
    <t>34#阀室-南山12南山-怀安6.3</t>
  </si>
  <si>
    <t>下花园支线</t>
  </si>
  <si>
    <t>陕京四线38#阀室</t>
  </si>
  <si>
    <t>涿鹿末站</t>
  </si>
  <si>
    <t>38#阀室-下花园406.4/下花园-涿鹿273.1</t>
  </si>
  <si>
    <t>38#阀室-下花园12
下花园-涿鹿6.3</t>
  </si>
  <si>
    <t>万全支线</t>
  </si>
  <si>
    <t>陕京四线33#阀室</t>
  </si>
  <si>
    <t>安家堡分输站</t>
  </si>
  <si>
    <t>尚义支线</t>
  </si>
  <si>
    <t>陕京四线31#阀室</t>
  </si>
  <si>
    <t>尚义末站</t>
  </si>
  <si>
    <t>31#阀室-尚义首站406.4
尚义支线首站—尚义末站273.1</t>
  </si>
  <si>
    <t>31#阀室-尚义首站12MPa
尚义支线首站—尚义末站6.3MPa</t>
  </si>
  <si>
    <t>永唐秦干线</t>
  </si>
  <si>
    <t>秦皇岛分输站</t>
  </si>
  <si>
    <t>压缩机维检修支线</t>
  </si>
  <si>
    <t>1#阀室下游</t>
  </si>
  <si>
    <t>廊坊分输站</t>
  </si>
  <si>
    <t>唐山LNG首站</t>
  </si>
  <si>
    <t>唐山压气站</t>
  </si>
  <si>
    <t>丰南支线</t>
  </si>
  <si>
    <t>丰南分输站</t>
  </si>
  <si>
    <t>冀东油田丰南分输站</t>
  </si>
  <si>
    <t>涩宁兰管道干线</t>
  </si>
  <si>
    <t>涩北压气站</t>
  </si>
  <si>
    <t>兰州末站</t>
  </si>
  <si>
    <t>刘化支线</t>
  </si>
  <si>
    <t>涩宁兰30#阀室</t>
  </si>
  <si>
    <t>刘化分输站</t>
  </si>
  <si>
    <t>兰铝支线</t>
  </si>
  <si>
    <t>兰铝分输站</t>
  </si>
  <si>
    <t>城南支线</t>
  </si>
  <si>
    <t>西宁分输站</t>
  </si>
  <si>
    <t>城南门站</t>
  </si>
  <si>
    <t>两兰支线</t>
  </si>
  <si>
    <t>兰化门站/兰炼门站</t>
  </si>
  <si>
    <t>干线5.5km，406*5.6，去兰化1.7km，323*5.2，去兰炼0.9km，273*5.2</t>
  </si>
  <si>
    <t>5.6/5.2</t>
  </si>
  <si>
    <t>甘西南支线</t>
  </si>
  <si>
    <t>临夏分输站</t>
  </si>
  <si>
    <t>甘南支线</t>
  </si>
  <si>
    <t>合作分输站</t>
  </si>
  <si>
    <t>夏河支线</t>
  </si>
  <si>
    <t>甘南4#阀室</t>
  </si>
  <si>
    <t>夏河分输站</t>
  </si>
  <si>
    <t>兰定线</t>
  </si>
  <si>
    <t>定西末站</t>
  </si>
  <si>
    <t>兰州-和平508/和平-定西273</t>
  </si>
  <si>
    <t>6.3/5.6</t>
  </si>
  <si>
    <t>418/88</t>
  </si>
  <si>
    <t>古河联络线</t>
  </si>
  <si>
    <t>古浪压气站</t>
  </si>
  <si>
    <t>河口压气站</t>
  </si>
  <si>
    <t>涩复35#阀室</t>
  </si>
  <si>
    <t>20091125/20100919</t>
  </si>
  <si>
    <t>兰银线甘肃段</t>
  </si>
  <si>
    <t>兰州分输站</t>
  </si>
  <si>
    <t>甘塘联络站</t>
  </si>
  <si>
    <t>兰银线宁夏段</t>
  </si>
  <si>
    <t>银川压气站</t>
  </si>
  <si>
    <t>白银支线</t>
  </si>
  <si>
    <t>兰银4#阀室</t>
  </si>
  <si>
    <t>白银分输站</t>
  </si>
  <si>
    <t>景泰支线</t>
  </si>
  <si>
    <t>兰银6#阀室</t>
  </si>
  <si>
    <t>景泰分输站</t>
  </si>
  <si>
    <t>马莲湖支线</t>
  </si>
  <si>
    <t>兰银10#阀室</t>
  </si>
  <si>
    <t>马莲湖分输站</t>
  </si>
  <si>
    <t>马莲湖末站与10#阀室相邻而建</t>
  </si>
  <si>
    <t>西一兰银-甘塘联络线</t>
  </si>
  <si>
    <t>西一线59#阀室</t>
  </si>
  <si>
    <t>西二兰银-甘塘联络线</t>
  </si>
  <si>
    <t>西二线68#阀室</t>
  </si>
  <si>
    <t>长宁线干线</t>
  </si>
  <si>
    <t>长宁靖边压气站</t>
  </si>
  <si>
    <t>宁化支线</t>
  </si>
  <si>
    <t>银川站</t>
  </si>
  <si>
    <t>宁夏石化</t>
  </si>
  <si>
    <t>忠武线干线</t>
  </si>
  <si>
    <t>忠县压气站</t>
  </si>
  <si>
    <t>武汉东分输站</t>
  </si>
  <si>
    <t>7.0/6.3</t>
  </si>
  <si>
    <t>荆襄支线</t>
  </si>
  <si>
    <t>荆州清管站</t>
  </si>
  <si>
    <t>武黄支线</t>
  </si>
  <si>
    <t>黄石分输站</t>
  </si>
  <si>
    <t>潜湘支线</t>
  </si>
  <si>
    <t>潜江分输站</t>
  </si>
  <si>
    <t>西三线忠武线联络线</t>
  </si>
  <si>
    <t>仙桃联络压气站围墙外 2m</t>
  </si>
  <si>
    <t>忠武线20#阀室</t>
  </si>
  <si>
    <t>秦沈线干线</t>
  </si>
  <si>
    <t>沈阳分输站</t>
  </si>
  <si>
    <t>秦皇岛-盘锦20110303
盘锦-沈阳20110618</t>
  </si>
  <si>
    <t>葫芦岛支线</t>
  </si>
  <si>
    <t>葫芦岛分输站</t>
  </si>
  <si>
    <t>葫芦岛末站</t>
  </si>
  <si>
    <t>盘锦支线</t>
  </si>
  <si>
    <t>盘锦分输站</t>
  </si>
  <si>
    <t>盘锦压气站</t>
  </si>
  <si>
    <t>沈阳支线</t>
  </si>
  <si>
    <t>沈阳末站</t>
  </si>
  <si>
    <t>锦州石化支线</t>
  </si>
  <si>
    <t>锦州分输站</t>
  </si>
  <si>
    <t>锦州石化末站</t>
  </si>
  <si>
    <t>457/273</t>
  </si>
  <si>
    <t>锦西石化支线</t>
  </si>
  <si>
    <t>锦西石化末站</t>
  </si>
  <si>
    <t>大沈线干线</t>
  </si>
  <si>
    <t>新港首站</t>
  </si>
  <si>
    <t>营盘联络线</t>
  </si>
  <si>
    <t>营口分输站</t>
  </si>
  <si>
    <t>营口-双六711
盘锦末-双六1016</t>
  </si>
  <si>
    <t>营口-双六20140417
双六-盘锦末20140625</t>
  </si>
  <si>
    <t>抚顺支线</t>
  </si>
  <si>
    <t>沈抚分输站</t>
  </si>
  <si>
    <t>抚顺末站</t>
  </si>
  <si>
    <t>大连支线</t>
  </si>
  <si>
    <t>松岚分输站</t>
  </si>
  <si>
    <t>大连末站</t>
  </si>
  <si>
    <t>沈阳长春段干线</t>
  </si>
  <si>
    <t>长春分输站</t>
  </si>
  <si>
    <t>四平-白山支线</t>
  </si>
  <si>
    <t>四平分输站</t>
  </si>
  <si>
    <t>白山末站</t>
  </si>
  <si>
    <t>四平-通化508
通化-白山323.9</t>
  </si>
  <si>
    <t>梅河口-桦甸支线</t>
  </si>
  <si>
    <t>梅河口分输清管站</t>
  </si>
  <si>
    <t>桦甸末站</t>
  </si>
  <si>
    <t>长岭首站</t>
  </si>
  <si>
    <t>吉化末站</t>
  </si>
  <si>
    <t>长岭-长春 711
长春-吉化610</t>
  </si>
  <si>
    <t>长岭-长春23.32
长春-吉化22.49</t>
  </si>
  <si>
    <t>长岭-长春666
长春-吉化643</t>
  </si>
  <si>
    <t>2015年10月26日纳入一级调控</t>
  </si>
  <si>
    <t>长长吉中俄东-长岭联络线</t>
  </si>
  <si>
    <t>中俄长岭站</t>
  </si>
  <si>
    <t>长长吉长岭站</t>
  </si>
  <si>
    <t>中俄东线跨境段</t>
  </si>
  <si>
    <t>交气点</t>
  </si>
  <si>
    <t>黑河压气站</t>
  </si>
  <si>
    <t>1420/1422</t>
  </si>
  <si>
    <t>中俄东线北段干线</t>
  </si>
  <si>
    <t>长岭分输站</t>
  </si>
  <si>
    <t>中俄东线中段干线</t>
  </si>
  <si>
    <t>永清压气站</t>
  </si>
  <si>
    <t>长岭-沈阳1422
沈阳-永清1219</t>
  </si>
  <si>
    <t>长岭-沈阳258
沈阳-永清187</t>
  </si>
  <si>
    <t>唐山-宝坻20191216
其余20201203</t>
  </si>
  <si>
    <t>中俄东线南段干线（安平-泰兴）</t>
  </si>
  <si>
    <t>安平-泰安20220917
泰安-泰兴20221225</t>
  </si>
  <si>
    <t>中俄东线南段干线（南通-甪直）</t>
  </si>
  <si>
    <t>南通联络站</t>
  </si>
  <si>
    <t>甪直联络站</t>
  </si>
  <si>
    <t>32.1/35.2</t>
  </si>
  <si>
    <t>长岭-长春支线</t>
  </si>
  <si>
    <t>明水-哈尔滨支线</t>
  </si>
  <si>
    <t>明水压气站</t>
  </si>
  <si>
    <t>哈尔滨北站</t>
  </si>
  <si>
    <t>兰西-绥化支线</t>
  </si>
  <si>
    <t>兰西分输站</t>
  </si>
  <si>
    <t>绥化末站</t>
  </si>
  <si>
    <t>大庆-双合支线</t>
  </si>
  <si>
    <t>大庆分输站</t>
  </si>
  <si>
    <t>双合分输站</t>
  </si>
  <si>
    <t>双台子储气库双向输气管道</t>
  </si>
  <si>
    <t>盘锦联络站</t>
  </si>
  <si>
    <t>双台子集注站</t>
  </si>
  <si>
    <t>中俄东天津-武清联络线</t>
  </si>
  <si>
    <t>中俄45#阀室下游330m</t>
  </si>
  <si>
    <t>武清站下游12km</t>
  </si>
  <si>
    <t>齐齐哈尔支线</t>
  </si>
  <si>
    <t>HC11#阀室</t>
  </si>
  <si>
    <t>齐齐哈尔分输站</t>
  </si>
  <si>
    <t>HC11#阀室-富裕分输站508
富裕分输站-齐齐哈尔分输站406.4</t>
  </si>
  <si>
    <t>HC11#阀室-克东分输站16
克东分输站-富裕分输站7.1
富裕分输站-齐齐哈尔分输站6.4</t>
  </si>
  <si>
    <t>HC11#阀室-克东首站12.0
克东首站-齐齐哈尔支线6.3</t>
  </si>
  <si>
    <t>中俄东线与济青二线齐河联通线</t>
  </si>
  <si>
    <t>齐河二站</t>
  </si>
  <si>
    <t>齐河站</t>
  </si>
  <si>
    <t>14.3/17.5</t>
  </si>
  <si>
    <t>泰青威干线</t>
  </si>
  <si>
    <t>青岛分输站</t>
  </si>
  <si>
    <t>莱钢支线</t>
  </si>
  <si>
    <t>莱芜分输站</t>
  </si>
  <si>
    <t>莱钢末站</t>
  </si>
  <si>
    <t>淄博支线</t>
  </si>
  <si>
    <t>博山分输站</t>
  </si>
  <si>
    <t>淄博北分输站</t>
  </si>
  <si>
    <t>日照支线</t>
  </si>
  <si>
    <t>东港末站</t>
  </si>
  <si>
    <t>泰青威与山东管网高密联络线</t>
  </si>
  <si>
    <t>高密分输站</t>
  </si>
  <si>
    <t>平度分输站</t>
  </si>
  <si>
    <t>中贵线干线</t>
  </si>
  <si>
    <t>贵阳压气站</t>
  </si>
  <si>
    <t>中卫-南部20120710
南部-铜梁20130408
铜梁-贵阳20131023</t>
  </si>
  <si>
    <t>天水支线</t>
  </si>
  <si>
    <t>天水压气站</t>
  </si>
  <si>
    <t>天水末站</t>
  </si>
  <si>
    <t>陇南支线</t>
  </si>
  <si>
    <t>陇南分输站</t>
  </si>
  <si>
    <t>陇南末站</t>
  </si>
  <si>
    <t>陇西支线</t>
  </si>
  <si>
    <t>陇西末站</t>
  </si>
  <si>
    <t>重燃支坪支线</t>
  </si>
  <si>
    <t>江津压气站</t>
  </si>
  <si>
    <t>支坪分输站</t>
  </si>
  <si>
    <t>中贵元坝普光-元坝陵江联络线</t>
  </si>
  <si>
    <t>元坝首站</t>
  </si>
  <si>
    <t>陵江清管站</t>
  </si>
  <si>
    <t>广元燃机工程供气管道</t>
  </si>
  <si>
    <t>广元输气站</t>
  </si>
  <si>
    <t>电厂末站</t>
  </si>
  <si>
    <t>固原-原州联络线</t>
  </si>
  <si>
    <t>固原压气站</t>
  </si>
  <si>
    <t>原州站</t>
  </si>
  <si>
    <t>弯管段20.95/直管段17.5</t>
  </si>
  <si>
    <t>跨境点</t>
  </si>
  <si>
    <t>瑞丽-贵阳100
贵阳-贵港127</t>
  </si>
  <si>
    <t>瑞丽-贵阳2857贵阳-贵港3629</t>
  </si>
  <si>
    <t>瑞丽-禄丰20130801
禄丰-贵港20131013</t>
  </si>
  <si>
    <t>玉溪支线</t>
  </si>
  <si>
    <t>禄丰分输站</t>
  </si>
  <si>
    <t>玉溪末站</t>
  </si>
  <si>
    <t>禄丰-昆明西813
昆明西-玉溪323</t>
  </si>
  <si>
    <t>都匀支线</t>
  </si>
  <si>
    <t>都匀分输站</t>
  </si>
  <si>
    <t>都匀末站</t>
  </si>
  <si>
    <t>钦州支线</t>
  </si>
  <si>
    <t>广西石化末站</t>
  </si>
  <si>
    <t>初设管径为610</t>
  </si>
  <si>
    <t>中缅线桂林支线</t>
  </si>
  <si>
    <t>忻城分输站</t>
  </si>
  <si>
    <t>桂林末站</t>
  </si>
  <si>
    <t>防城港支线</t>
  </si>
  <si>
    <t>钦州分输站</t>
  </si>
  <si>
    <t>防城港末站</t>
  </si>
  <si>
    <t>河池支线</t>
  </si>
  <si>
    <t>河池压气站</t>
  </si>
  <si>
    <t>河池末站</t>
  </si>
  <si>
    <t>丽江支线</t>
  </si>
  <si>
    <t>弥渡分输站</t>
  </si>
  <si>
    <t>丽江末站</t>
  </si>
  <si>
    <t>20160125弥渡-大理
20170228大理-丽江</t>
  </si>
  <si>
    <t>独山支线</t>
  </si>
  <si>
    <t>中缅47#阀室</t>
  </si>
  <si>
    <t>独山分输站</t>
  </si>
  <si>
    <t>平塘支线</t>
  </si>
  <si>
    <t>独山首站</t>
  </si>
  <si>
    <t>平塘分输站</t>
  </si>
  <si>
    <t>福泉支线</t>
  </si>
  <si>
    <t>中缅45#阀室</t>
  </si>
  <si>
    <t>福泉末站</t>
  </si>
  <si>
    <t>45#阀室-云雾10云雾-福泉6.3</t>
  </si>
  <si>
    <t>荔波支线</t>
  </si>
  <si>
    <t>中缅50#阀室</t>
  </si>
  <si>
    <t>荔波末站</t>
  </si>
  <si>
    <t>50#-荔波首站610
荔波首站-荔波末站323.9</t>
  </si>
  <si>
    <t>50#-荔波首站10
荔波首站-荔波末站6.3</t>
  </si>
  <si>
    <t>三都支线</t>
  </si>
  <si>
    <t>荔波首站</t>
  </si>
  <si>
    <t>三都末站</t>
  </si>
  <si>
    <t>荔波首站-2#阀室15.9
2#阀室-三都末站14.3</t>
  </si>
  <si>
    <t>长顺支线</t>
  </si>
  <si>
    <t>燕楼首站</t>
  </si>
  <si>
    <t>长顺站</t>
  </si>
  <si>
    <t>青宁线干线</t>
  </si>
  <si>
    <t>青岛LNG接收站</t>
  </si>
  <si>
    <t>21/26.2</t>
  </si>
  <si>
    <t>泊里-南京20201215
青岛LNG三期-泊里20231205</t>
  </si>
  <si>
    <t>涟水支线</t>
  </si>
  <si>
    <t>成集阀室</t>
  </si>
  <si>
    <t>涟水末站</t>
  </si>
  <si>
    <t>鄯乌首站</t>
  </si>
  <si>
    <t>乌石化末站</t>
  </si>
  <si>
    <t>川气东送管道干线</t>
  </si>
  <si>
    <t>普光首站</t>
  </si>
  <si>
    <t>上海末站</t>
  </si>
  <si>
    <t>2009年2月-12月</t>
  </si>
  <si>
    <t>达化专线</t>
  </si>
  <si>
    <t>达化分输站</t>
  </si>
  <si>
    <t>川维支线</t>
  </si>
  <si>
    <t>梁平站</t>
  </si>
  <si>
    <t>川维分输站</t>
  </si>
  <si>
    <t>武石化支线</t>
  </si>
  <si>
    <t>武汉压气站</t>
  </si>
  <si>
    <t>武汉乙烯站</t>
  </si>
  <si>
    <t>江西支线</t>
  </si>
  <si>
    <t>黄梅压气站</t>
  </si>
  <si>
    <t>九江分输站</t>
  </si>
  <si>
    <t>南京支线</t>
  </si>
  <si>
    <t>十字镇站</t>
  </si>
  <si>
    <t>扬子石化站</t>
  </si>
  <si>
    <t>十字镇-南京813
南京-扬子石化508</t>
  </si>
  <si>
    <t>十字镇-金坛16.8
金坛-南京12.7
南京-扬子石化8</t>
  </si>
  <si>
    <t>十字镇-金坛10
金坛-扬子石化6.3</t>
  </si>
  <si>
    <t>金陵支线</t>
  </si>
  <si>
    <t>金陵石化站</t>
  </si>
  <si>
    <t>西一川气-青山南京联络线</t>
  </si>
  <si>
    <t>川气南京站</t>
  </si>
  <si>
    <t>川气涪王-王场联络线</t>
  </si>
  <si>
    <t>重庆管道王场站</t>
  </si>
  <si>
    <t>川气东送王场阀室</t>
  </si>
  <si>
    <t>川气忠武-宜昌联络线</t>
  </si>
  <si>
    <t>川气宜昌清管站</t>
  </si>
  <si>
    <t>忠武宜昌分输站</t>
  </si>
  <si>
    <t>江汉储气库联络线</t>
  </si>
  <si>
    <t>潜江压气站</t>
  </si>
  <si>
    <t>储气库集注站</t>
  </si>
  <si>
    <t>嘉兴联通工程</t>
  </si>
  <si>
    <t>上海支干线45~46#阀室之间</t>
  </si>
  <si>
    <t>栖真乡阀室和干窑镇阀室之间</t>
  </si>
  <si>
    <t>川气忠武-潜江联络线</t>
  </si>
  <si>
    <t>潜江计量站</t>
  </si>
  <si>
    <t>潜江清管站</t>
  </si>
  <si>
    <t>石台支线</t>
  </si>
  <si>
    <t>池州西分输站</t>
  </si>
  <si>
    <t>石台分输站</t>
  </si>
  <si>
    <t>7.1/6.4</t>
  </si>
  <si>
    <t>李家湾支线</t>
  </si>
  <si>
    <t>李家湾阀室</t>
  </si>
  <si>
    <t>李家湾分输站</t>
  </si>
  <si>
    <t>梅溪支线</t>
  </si>
  <si>
    <t>湖北湾阀室</t>
  </si>
  <si>
    <t>梅溪电厂末站</t>
  </si>
  <si>
    <t>湖北湾-梅溪首站17.5
梅溪首站-末站10.3</t>
  </si>
  <si>
    <t>湖北湾-梅溪首站10
梅溪首站-末站6.3</t>
  </si>
  <si>
    <t>川渝鄂段</t>
  </si>
  <si>
    <t>5#阀室</t>
  </si>
  <si>
    <t>铜梁压气站</t>
  </si>
  <si>
    <t>威远-内江1016
泸县-铜梁1219</t>
  </si>
  <si>
    <t>威远-内江26.2
泸县-铜梁27.5</t>
  </si>
  <si>
    <t>川二中贵-铜梁联络线</t>
  </si>
  <si>
    <t>川二线铜梁站</t>
  </si>
  <si>
    <t>中贵线铜梁站</t>
  </si>
  <si>
    <t>川东北-川西联络线干线</t>
  </si>
  <si>
    <t>元坝-平昌20131020
平昌-普光20141210</t>
  </si>
  <si>
    <t>榆济管道干线</t>
  </si>
  <si>
    <t>榆林首站</t>
  </si>
  <si>
    <t>宣章屯站</t>
  </si>
  <si>
    <t>榆林-南乐711
南乐-宣章屯610</t>
  </si>
  <si>
    <t>榆林-南乐14.2
南乐-宣章屯10</t>
  </si>
  <si>
    <t>榆林-南乐10
南乐-宣章屯8</t>
  </si>
  <si>
    <t>榆林-南乐201010
南乐-宣章屯200911</t>
  </si>
  <si>
    <t>榆麻支线</t>
  </si>
  <si>
    <t>麻黄梁末站</t>
  </si>
  <si>
    <t>安济线干线</t>
  </si>
  <si>
    <t>安济线安平站</t>
  </si>
  <si>
    <t>济南分输站</t>
  </si>
  <si>
    <t>鄂安沧管道干线</t>
  </si>
  <si>
    <t>鹿泉分输站</t>
  </si>
  <si>
    <t>沧州分输站</t>
  </si>
  <si>
    <t>鹿泉-安平1219
安平-沧州1016</t>
  </si>
  <si>
    <t>鹿泉-安平12
安平-沧州10</t>
  </si>
  <si>
    <t>保定支干线</t>
  </si>
  <si>
    <t>鄂安沧安平站</t>
  </si>
  <si>
    <t>保定分输站</t>
  </si>
  <si>
    <t>濮阳支干线</t>
  </si>
  <si>
    <t>文23注采站</t>
  </si>
  <si>
    <t>沧州联络线</t>
  </si>
  <si>
    <t>鄂安沧沧州站</t>
  </si>
  <si>
    <t>天津管道沧州站</t>
  </si>
  <si>
    <t>安平联络线</t>
  </si>
  <si>
    <t>南乐联络线</t>
  </si>
  <si>
    <t>南乐清管阀室</t>
  </si>
  <si>
    <t>榆济管道南乐站</t>
  </si>
  <si>
    <t>中石化泊里站</t>
  </si>
  <si>
    <t>青岛LNG-泊里201409
泊里-平度201512</t>
  </si>
  <si>
    <t>青岛-莱西支线</t>
  </si>
  <si>
    <t>莱西分输站</t>
  </si>
  <si>
    <t>济青二线干线</t>
  </si>
  <si>
    <t>齐河分输站</t>
  </si>
  <si>
    <t>南涪线</t>
  </si>
  <si>
    <t>南川站</t>
  </si>
  <si>
    <t>涪陵压气站</t>
  </si>
  <si>
    <t>涪王线</t>
  </si>
  <si>
    <t>涪陵站</t>
  </si>
  <si>
    <t>王场站</t>
  </si>
  <si>
    <t>17.5/21/27</t>
  </si>
  <si>
    <t>南寺线</t>
  </si>
  <si>
    <t>寺庄阀室</t>
  </si>
  <si>
    <t>中开线干线</t>
  </si>
  <si>
    <t>开封分输站</t>
  </si>
  <si>
    <t>濮范台管道</t>
  </si>
  <si>
    <t>濮阳分输站</t>
  </si>
  <si>
    <t>台前分输站</t>
  </si>
  <si>
    <t>天津管道干线（接收站-唐官屯）</t>
  </si>
  <si>
    <t>天津LNG接收站</t>
  </si>
  <si>
    <t>唐官屯站</t>
  </si>
  <si>
    <t>27.2/21.6/18/15.1</t>
  </si>
  <si>
    <t>天津管道干线（唐官屯-唐山）</t>
  </si>
  <si>
    <t>唐山末站</t>
  </si>
  <si>
    <t>唐官屯-武清1016
武清-唐山711</t>
  </si>
  <si>
    <t>天津管道干线（唐官屯-邹平）</t>
  </si>
  <si>
    <t>邹平末站</t>
  </si>
  <si>
    <t>17.5/14.4</t>
  </si>
  <si>
    <t>天津LNG外输管道复线干线（天津段）</t>
  </si>
  <si>
    <t>渤海分输站</t>
  </si>
  <si>
    <t>天津LNG外输管道复线干线（河北段）</t>
  </si>
  <si>
    <t>沧州末站</t>
  </si>
  <si>
    <t>渤海-黄骅1219/黄骅-沧州1016</t>
  </si>
  <si>
    <t>广西管道干线</t>
  </si>
  <si>
    <t>北海首站</t>
  </si>
  <si>
    <t>柳州末站</t>
  </si>
  <si>
    <t>柳州支线</t>
  </si>
  <si>
    <t>柳东站</t>
  </si>
  <si>
    <t>粤西支线</t>
  </si>
  <si>
    <t>闸口站</t>
  </si>
  <si>
    <t>茂名末站</t>
  </si>
  <si>
    <t>闸口-里山尾201904
里山尾-茂名20211023</t>
  </si>
  <si>
    <t>广西管道桂林支线</t>
  </si>
  <si>
    <t>川气新气-潜江联络线</t>
  </si>
  <si>
    <t>新气管道潜江站</t>
  </si>
  <si>
    <t>新气管道干线</t>
  </si>
  <si>
    <t>韶关末站</t>
  </si>
  <si>
    <t>潜江-郴州202010
郴州-韶关20211108</t>
  </si>
  <si>
    <t>新气与西二线韶关联络线</t>
  </si>
  <si>
    <t>西二线韶关站</t>
  </si>
  <si>
    <t>广西支干线</t>
  </si>
  <si>
    <t>衡阳分输站</t>
  </si>
  <si>
    <t>石潭村支线</t>
  </si>
  <si>
    <t>石潭村阀室</t>
  </si>
  <si>
    <t>三亚-东方管道</t>
  </si>
  <si>
    <t>三亚站</t>
  </si>
  <si>
    <t>东方站</t>
  </si>
  <si>
    <t>8.0/5.6</t>
  </si>
  <si>
    <t>东洋管道</t>
  </si>
  <si>
    <t>东方首站</t>
  </si>
  <si>
    <t>洋浦分输站</t>
  </si>
  <si>
    <t>10.3/8.7/7.1/6.4</t>
  </si>
  <si>
    <t>东方首站-儋州6.6
儋州-洋浦5.9</t>
  </si>
  <si>
    <t>东崖连接线</t>
  </si>
  <si>
    <t>东洋海三通</t>
  </si>
  <si>
    <t>儋海管道</t>
  </si>
  <si>
    <t>海口分输站</t>
  </si>
  <si>
    <t>昌江支线</t>
  </si>
  <si>
    <t>东洋海3#阀室</t>
  </si>
  <si>
    <t>昌江分输站</t>
  </si>
  <si>
    <t>海文管道</t>
  </si>
  <si>
    <t>文昌站</t>
  </si>
  <si>
    <t>约亭管道</t>
  </si>
  <si>
    <t>东路分输站</t>
  </si>
  <si>
    <t>12.5/10</t>
  </si>
  <si>
    <t>文昌三亚管道</t>
  </si>
  <si>
    <t>三亚分输站</t>
  </si>
  <si>
    <t>神州半岛支线</t>
  </si>
  <si>
    <t>万宁站</t>
  </si>
  <si>
    <t>神州半岛末站</t>
  </si>
  <si>
    <t>海南LNG复线（接收站-儋州）</t>
  </si>
  <si>
    <t>海南LNG首站</t>
  </si>
  <si>
    <t>儋州站</t>
  </si>
  <si>
    <t>海南LNG复线（儋州-海口）</t>
  </si>
  <si>
    <t>海唐支线</t>
  </si>
  <si>
    <t>大唐清管站</t>
  </si>
  <si>
    <t>洋浦石化支线</t>
  </si>
  <si>
    <t>华能电厂清管站</t>
  </si>
  <si>
    <t>BOG管道</t>
  </si>
  <si>
    <t>海南LNG</t>
  </si>
  <si>
    <t>金海浆纸厂</t>
  </si>
  <si>
    <t>定兴-黄骅输气管道</t>
  </si>
  <si>
    <t>定兴站</t>
  </si>
  <si>
    <t>黄骅站</t>
  </si>
  <si>
    <t>临港-TJ3#20181115
其他20231114</t>
  </si>
  <si>
    <t>天津LNG联络线</t>
  </si>
  <si>
    <t>临港站</t>
  </si>
  <si>
    <t>齐家务站</t>
  </si>
  <si>
    <t>廊坊支线</t>
  </si>
  <si>
    <t>霸州站</t>
  </si>
  <si>
    <t>蒙西永清站</t>
  </si>
  <si>
    <t>霸州站联通线</t>
  </si>
  <si>
    <t>廊坊支线LF1#阀室</t>
  </si>
  <si>
    <t>陕京霸州站</t>
  </si>
  <si>
    <t>国家管网天津LNG外输管道</t>
  </si>
  <si>
    <t>临港分输站</t>
  </si>
  <si>
    <t>国家管网天津LNG外输管道复线</t>
  </si>
  <si>
    <t>滨海LNG外输管道干线</t>
  </si>
  <si>
    <t>滨海首站</t>
  </si>
  <si>
    <t>肥东末站</t>
  </si>
  <si>
    <t>滨海首站-通榆1219，其他914</t>
  </si>
  <si>
    <t>阜宁支线</t>
  </si>
  <si>
    <t>通榆站</t>
  </si>
  <si>
    <t>阜宁分输清管站</t>
  </si>
  <si>
    <t>阜宁电厂专线</t>
  </si>
  <si>
    <t>阜宁电厂末站</t>
  </si>
  <si>
    <t>德化支线</t>
  </si>
  <si>
    <t>德化末站</t>
  </si>
  <si>
    <t>福州-福鼎段</t>
  </si>
  <si>
    <t>营前分输站</t>
  </si>
  <si>
    <t>福鼎末站</t>
  </si>
  <si>
    <t>漳州联络线</t>
  </si>
  <si>
    <t>天宝分输站</t>
  </si>
  <si>
    <t>漳州-诏安段</t>
  </si>
  <si>
    <t>诏安末站</t>
  </si>
  <si>
    <t>鳌头-广州干线</t>
  </si>
  <si>
    <t>鳌头站</t>
  </si>
  <si>
    <t>广东省网广州站</t>
  </si>
  <si>
    <t>省网</t>
  </si>
  <si>
    <t>广鳌联络线</t>
  </si>
  <si>
    <t>广州-惠州干线</t>
  </si>
  <si>
    <t>惠州站</t>
  </si>
  <si>
    <t>17.5/16</t>
  </si>
  <si>
    <t>广州-增城20140513
增城-潼湖20141201
潼湖-惠州20120630</t>
  </si>
  <si>
    <t>东莞支干线</t>
  </si>
  <si>
    <t>潼湖阀室</t>
  </si>
  <si>
    <t>广东省网东莞站</t>
  </si>
  <si>
    <t>穗莞干线</t>
  </si>
  <si>
    <t>广东省网增城站</t>
  </si>
  <si>
    <t>高埗末站</t>
  </si>
  <si>
    <t>园洲支线</t>
  </si>
  <si>
    <t>园洲阀室</t>
  </si>
  <si>
    <t>大唐惠州电厂</t>
  </si>
  <si>
    <t>园洲阀室-园洲分输站508/园洲分输站-大唐惠州电厂406.4</t>
  </si>
  <si>
    <t>园洲阀室-园洲分输站9.2/园洲分输站-大唐惠州电厂6.3</t>
  </si>
  <si>
    <t>广州-肇庆干线</t>
  </si>
  <si>
    <t>广东省网肇庆站</t>
  </si>
  <si>
    <t>22.2/17.5</t>
  </si>
  <si>
    <t>鳌头-大旺20130514
大旺-金利20140331
金利-肇庆20140611</t>
  </si>
  <si>
    <t>清远支干线</t>
  </si>
  <si>
    <t>清远阀室</t>
  </si>
  <si>
    <t>清远末站</t>
  </si>
  <si>
    <t>高肇联络线</t>
  </si>
  <si>
    <t>高明分输站</t>
  </si>
  <si>
    <t>肇庆-云浮支干线</t>
  </si>
  <si>
    <t>省网肇庆分输站</t>
  </si>
  <si>
    <t>云浮分输站</t>
  </si>
  <si>
    <t>粤电云河专线</t>
  </si>
  <si>
    <t>云安分输站</t>
  </si>
  <si>
    <t>肇庆-永安专线</t>
  </si>
  <si>
    <t>永安阀室</t>
  </si>
  <si>
    <t>永安电厂末站</t>
  </si>
  <si>
    <t>国能肇庆专线</t>
  </si>
  <si>
    <t>大旺分输站</t>
  </si>
  <si>
    <t>肇庆电厂末站</t>
  </si>
  <si>
    <t>国能石角专线</t>
  </si>
  <si>
    <t>石角阀室</t>
  </si>
  <si>
    <t>石角电厂末站</t>
  </si>
  <si>
    <t>石角阀室-石角分输清管站323.9/
石角分输清管站-石角电厂末站406.4</t>
  </si>
  <si>
    <t>石角阀室-石角分输清管站9.2/
石角分输清管站-石角电厂末站6.3</t>
  </si>
  <si>
    <t>珠海LNG西干线</t>
  </si>
  <si>
    <t>高栏港首站</t>
  </si>
  <si>
    <t>1016/914</t>
  </si>
  <si>
    <t>25/17.5</t>
  </si>
  <si>
    <t>龙口支线</t>
  </si>
  <si>
    <t>龙口阀室</t>
  </si>
  <si>
    <t>龙口分输站</t>
  </si>
  <si>
    <t>韶关-鳌头干线</t>
  </si>
  <si>
    <t>韶关首站</t>
  </si>
  <si>
    <t>鳌头首站</t>
  </si>
  <si>
    <t>英德支干线</t>
  </si>
  <si>
    <t>铁龙清管站</t>
  </si>
  <si>
    <t>英德末站</t>
  </si>
  <si>
    <t>韶关支干线</t>
  </si>
  <si>
    <t>始兴首站</t>
  </si>
  <si>
    <t>大桥支线</t>
  </si>
  <si>
    <t>大桥阀室</t>
  </si>
  <si>
    <t>大桥分输站</t>
  </si>
  <si>
    <t>新气与广东省网韶关联络线</t>
  </si>
  <si>
    <t>新气韶关末站</t>
  </si>
  <si>
    <t>广东省网韶关站</t>
  </si>
  <si>
    <t>新丰专线</t>
  </si>
  <si>
    <t>西二156#阀室</t>
  </si>
  <si>
    <t>新丰末站</t>
  </si>
  <si>
    <t>156#阀室-官渡10
官渡-新丰6.3</t>
  </si>
  <si>
    <t>乐昌支干线</t>
  </si>
  <si>
    <t>乐昌分输站</t>
  </si>
  <si>
    <t>乐昌末站</t>
  </si>
  <si>
    <t>乳源支干线</t>
  </si>
  <si>
    <t>乳源末站</t>
  </si>
  <si>
    <t>华电华侨园专线</t>
  </si>
  <si>
    <t>大镇分输站</t>
  </si>
  <si>
    <t>华电华侨园末站</t>
  </si>
  <si>
    <t>阳江-茂名干线</t>
  </si>
  <si>
    <t>红丰清管站</t>
  </si>
  <si>
    <t>阳江-江门干线</t>
  </si>
  <si>
    <t>阳江分输站</t>
  </si>
  <si>
    <t>双水清管站</t>
  </si>
  <si>
    <t>赤坎支线</t>
  </si>
  <si>
    <t>赤坎阀室</t>
  </si>
  <si>
    <t>赤坎分输站</t>
  </si>
  <si>
    <t>茂名-云安支线</t>
  </si>
  <si>
    <t>茂名分输站</t>
  </si>
  <si>
    <t>惠州-海丰干线</t>
  </si>
  <si>
    <t>惠州分输站</t>
  </si>
  <si>
    <t>海丰分输站</t>
  </si>
  <si>
    <t>海丰-惠来联络线</t>
  </si>
  <si>
    <t>惠来分输站</t>
  </si>
  <si>
    <t>惠州-河源支干线</t>
  </si>
  <si>
    <t>西三线河源站</t>
  </si>
  <si>
    <t>河源末站</t>
  </si>
  <si>
    <t>河源末站-河源分输站20220517</t>
  </si>
  <si>
    <t>揭阳-梅州支干线</t>
  </si>
  <si>
    <t>浮洋分输站</t>
  </si>
  <si>
    <t>梅州末站</t>
  </si>
  <si>
    <t>浮洋-揭阳914
揭阳-梅州610</t>
  </si>
  <si>
    <t>浮洋-揭阳20210301
揭阳-梅州20200930</t>
  </si>
  <si>
    <t>闽粤与广东省网揭阳联络线</t>
  </si>
  <si>
    <t>揭阳分输站</t>
  </si>
  <si>
    <t>广东省网揭阳站</t>
  </si>
  <si>
    <t>华电东江专线</t>
  </si>
  <si>
    <t>良井分输站</t>
  </si>
  <si>
    <t>东江电厂末站</t>
  </si>
  <si>
    <t>华瀛LNG外输管道</t>
  </si>
  <si>
    <t>所城首站</t>
  </si>
  <si>
    <t>莲华末站</t>
  </si>
  <si>
    <t>华瀛LNG连接线</t>
  </si>
  <si>
    <t>华瀛LNG接收站</t>
  </si>
  <si>
    <t>粤东LNG外输管道干线</t>
  </si>
  <si>
    <t>揭阳首站</t>
  </si>
  <si>
    <t>揭阳-浮洋20210301
浮洋-莲华20231031</t>
  </si>
  <si>
    <t>普宁支线</t>
  </si>
  <si>
    <t>潮南站</t>
  </si>
  <si>
    <t>普宁末站</t>
  </si>
  <si>
    <t>未投产</t>
  </si>
  <si>
    <t>潮阳支线</t>
  </si>
  <si>
    <t>西胪站</t>
  </si>
  <si>
    <t>潮阳末站</t>
  </si>
  <si>
    <t>杭湖线干线</t>
  </si>
  <si>
    <t>长兴站</t>
  </si>
  <si>
    <t>杭州站</t>
  </si>
  <si>
    <t>半山电厂支线</t>
  </si>
  <si>
    <t>半山电厂</t>
  </si>
  <si>
    <t>德清支线</t>
  </si>
  <si>
    <t>塍头阀室</t>
  </si>
  <si>
    <t>德能站</t>
  </si>
  <si>
    <t>德清分布式能源支线</t>
  </si>
  <si>
    <t>德清分布式能源</t>
  </si>
  <si>
    <t>塍头支线</t>
  </si>
  <si>
    <t>塍头站</t>
  </si>
  <si>
    <t>长兴热电支线</t>
  </si>
  <si>
    <t>长兴热电厂</t>
  </si>
  <si>
    <t>浙网西一-西气联络线</t>
  </si>
  <si>
    <t>西气长兴末站</t>
  </si>
  <si>
    <t>浙网川气-杭湖联络线</t>
  </si>
  <si>
    <t>川气湖州站</t>
  </si>
  <si>
    <t>湖州联络站</t>
  </si>
  <si>
    <t>安吉支线</t>
  </si>
  <si>
    <t>回车岭站</t>
  </si>
  <si>
    <t>回车岭支线</t>
  </si>
  <si>
    <t>回车岭阀室</t>
  </si>
  <si>
    <t>安吉站</t>
  </si>
  <si>
    <t>安吉热电支线</t>
  </si>
  <si>
    <t>琥珀安吉热电末站</t>
  </si>
  <si>
    <t>南浔支线</t>
  </si>
  <si>
    <t>南浔站</t>
  </si>
  <si>
    <t>南浔联络线</t>
  </si>
  <si>
    <t>西湾里阀室</t>
  </si>
  <si>
    <t>南浔热电支线</t>
  </si>
  <si>
    <t>南浔热电</t>
  </si>
  <si>
    <t>杭嘉线干线</t>
  </si>
  <si>
    <t>秀洲站</t>
  </si>
  <si>
    <t>下沙站</t>
  </si>
  <si>
    <t>浙网川气-杭嘉联络线</t>
  </si>
  <si>
    <t>嘉兴站</t>
  </si>
  <si>
    <t>桐乡热电支线</t>
  </si>
  <si>
    <t>屠甸站</t>
  </si>
  <si>
    <t>桐乡热电</t>
  </si>
  <si>
    <t>浙沪联络线</t>
  </si>
  <si>
    <t>浙沪联络站</t>
  </si>
  <si>
    <t>屠甸-海盐201812
海盐-浙沪联络站20240101</t>
  </si>
  <si>
    <t>杭甬线干线</t>
  </si>
  <si>
    <t>春晓站</t>
  </si>
  <si>
    <t>北仑支线</t>
  </si>
  <si>
    <t>北仑阀室</t>
  </si>
  <si>
    <t>北仑站</t>
  </si>
  <si>
    <t>镇海电厂支线</t>
  </si>
  <si>
    <t>镇海站</t>
  </si>
  <si>
    <t>镇海电厂</t>
  </si>
  <si>
    <t>镇海炼化支线</t>
  </si>
  <si>
    <t>镇海炼化</t>
  </si>
  <si>
    <t>余姚支线</t>
  </si>
  <si>
    <t>余姚清管站</t>
  </si>
  <si>
    <t>余姚站</t>
  </si>
  <si>
    <t>国华电厂支线</t>
  </si>
  <si>
    <t>牛头山阀室</t>
  </si>
  <si>
    <t>国华站</t>
  </si>
  <si>
    <t>萧山支线</t>
  </si>
  <si>
    <t>红垦阀室</t>
  </si>
  <si>
    <t>萧山电厂站</t>
  </si>
  <si>
    <t>红垦-临浦660
临浦-萧山电厂406.4</t>
  </si>
  <si>
    <t>浙网西二-萧山联络线</t>
  </si>
  <si>
    <t>西二线萧山分输站</t>
  </si>
  <si>
    <t>浙江省网萧山站</t>
  </si>
  <si>
    <t>油气处理厂支线</t>
  </si>
  <si>
    <t>春晓油气处理厂</t>
  </si>
  <si>
    <t>LNG配套管线</t>
  </si>
  <si>
    <t>宁波LNG接收站</t>
  </si>
  <si>
    <t>春晓热电支线</t>
  </si>
  <si>
    <t>春晓热电厂</t>
  </si>
  <si>
    <t>镇海热电支线</t>
  </si>
  <si>
    <t>澥浦阀室</t>
  </si>
  <si>
    <t>镇海热电站</t>
  </si>
  <si>
    <t>大唐江滨支线</t>
  </si>
  <si>
    <t>大吉庵阀室</t>
  </si>
  <si>
    <t>江滨站</t>
  </si>
  <si>
    <t>上三线</t>
  </si>
  <si>
    <t>上虞站</t>
  </si>
  <si>
    <t>三门站</t>
  </si>
  <si>
    <t>萧义线</t>
  </si>
  <si>
    <t>临浦站</t>
  </si>
  <si>
    <t>义乌站</t>
  </si>
  <si>
    <t>诸暨联络线</t>
  </si>
  <si>
    <t>西二线诸暨分输站</t>
  </si>
  <si>
    <t>浙江省网诸暨站</t>
  </si>
  <si>
    <t>甬台温干线一</t>
  </si>
  <si>
    <t>温州站</t>
  </si>
  <si>
    <t>甬台温干线二</t>
  </si>
  <si>
    <t>乐清站</t>
  </si>
  <si>
    <t>龙湾站</t>
  </si>
  <si>
    <t>龙湾支线</t>
  </si>
  <si>
    <t>龙湾电厂</t>
  </si>
  <si>
    <t>苍南支线</t>
  </si>
  <si>
    <t>苍南站</t>
  </si>
  <si>
    <t>仙居支线</t>
  </si>
  <si>
    <t>汇溪阀室</t>
  </si>
  <si>
    <t>仙居站</t>
  </si>
  <si>
    <t>宁海-象山支线</t>
  </si>
  <si>
    <t>江瑶阀室</t>
  </si>
  <si>
    <t>象山末站</t>
  </si>
  <si>
    <t>金丽温线干线</t>
  </si>
  <si>
    <t>浙江省网金华站</t>
  </si>
  <si>
    <t>金华门站支线</t>
  </si>
  <si>
    <t>金华燃气</t>
  </si>
  <si>
    <t>1.85</t>
  </si>
  <si>
    <t>浙网西二-金华联络线</t>
  </si>
  <si>
    <t>西二线金华站</t>
  </si>
  <si>
    <t>油竹支线</t>
  </si>
  <si>
    <t>油竹阀室</t>
  </si>
  <si>
    <t>油竹站</t>
  </si>
  <si>
    <t>丽水遂昌支线</t>
  </si>
  <si>
    <t>丽水站</t>
  </si>
  <si>
    <t>遂昌站</t>
  </si>
  <si>
    <t>丽水-石塘813
石塘-遂昌406.4</t>
  </si>
  <si>
    <t>云和龙泉支线一</t>
  </si>
  <si>
    <t>石塘阀室</t>
  </si>
  <si>
    <t>龙泉站</t>
  </si>
  <si>
    <t>石塘-崇头813
崇头-云和406.4</t>
  </si>
  <si>
    <t>云和龙泉支线二</t>
  </si>
  <si>
    <t>崇头站</t>
  </si>
  <si>
    <t>云和站</t>
  </si>
  <si>
    <t>金华义乌线</t>
  </si>
  <si>
    <t>金华站</t>
  </si>
  <si>
    <t>金华中燃支线</t>
  </si>
  <si>
    <t>鞋塘阀室</t>
  </si>
  <si>
    <t>金华中燃</t>
  </si>
  <si>
    <t>磐安支线</t>
  </si>
  <si>
    <t>磐安站</t>
  </si>
  <si>
    <t>义乌-东阳201809
东阳-磐安202109</t>
  </si>
  <si>
    <t>浦江支线</t>
  </si>
  <si>
    <t>浦江站</t>
  </si>
  <si>
    <t>金华龙游支线</t>
  </si>
  <si>
    <t>龙游站</t>
  </si>
  <si>
    <t>兰溪支线</t>
  </si>
  <si>
    <t>下窑站</t>
  </si>
  <si>
    <t>兰溪燃气</t>
  </si>
  <si>
    <t>金华燃机支线</t>
  </si>
  <si>
    <t>金华燃机站</t>
  </si>
  <si>
    <t>龙游支线</t>
  </si>
  <si>
    <t>浙江省网衢州站</t>
  </si>
  <si>
    <t>龙游热电支线</t>
  </si>
  <si>
    <t>龙游热电</t>
  </si>
  <si>
    <t>江山支线</t>
  </si>
  <si>
    <t>江山站</t>
  </si>
  <si>
    <t>航埠支线</t>
  </si>
  <si>
    <t>航埠阀室</t>
  </si>
  <si>
    <t>航埠站</t>
  </si>
  <si>
    <t>浙网西二-衢州联络线</t>
  </si>
  <si>
    <t>西二线衢州站</t>
  </si>
  <si>
    <t>常山支线</t>
  </si>
  <si>
    <t>常山站</t>
  </si>
  <si>
    <t>常山开化支线</t>
  </si>
  <si>
    <t>开化站</t>
  </si>
  <si>
    <t>常山电厂支线</t>
  </si>
  <si>
    <t>常山热电</t>
  </si>
  <si>
    <t>柯城电厂支线</t>
  </si>
  <si>
    <t>塘下阀室</t>
  </si>
  <si>
    <t>柯城热电</t>
  </si>
  <si>
    <t>华容-南县-安乡输气管道</t>
  </si>
  <si>
    <t>湖北湖南省界（上游首站为湖北荆石线石首分输站）</t>
  </si>
  <si>
    <t>安乡分输站</t>
  </si>
  <si>
    <t>8.8/10</t>
  </si>
  <si>
    <t>邵阳市-邵阳县-邵东市输气管道</t>
  </si>
  <si>
    <t>湘娄邵邵阳分输站</t>
  </si>
  <si>
    <t>邵东分输站</t>
  </si>
  <si>
    <t>6.1/7.1</t>
  </si>
  <si>
    <t>湘娄邵邵阳-邵阳东20181229
邵阳东-邵东20200902</t>
  </si>
  <si>
    <t>邵东-双峰输气管道</t>
  </si>
  <si>
    <t>双峰末站</t>
  </si>
  <si>
    <t>6.3/7.1</t>
  </si>
  <si>
    <t>永州-邵阳输气管道</t>
  </si>
  <si>
    <t>新气永州分输站</t>
  </si>
  <si>
    <t>邵阳西分输站</t>
  </si>
  <si>
    <t>邵阳-洞口-新宁输气管道干线</t>
  </si>
  <si>
    <t>邵阳市-邵阳县-邵东市输气管道3#阀室</t>
  </si>
  <si>
    <t>355.6/219.1</t>
  </si>
  <si>
    <t>邵阳市-邵阳县-邵东市3#阀室-2#阀室20250206</t>
  </si>
  <si>
    <t>已投产至2#阀室</t>
  </si>
  <si>
    <t>邵阳-洞口-新宁输气管道隆回支线</t>
  </si>
  <si>
    <t>3#阀室</t>
  </si>
  <si>
    <t>隆回末站</t>
  </si>
  <si>
    <t>邵阳-洞口-新宁输气管道洞口支线</t>
  </si>
  <si>
    <t>洞口末站</t>
  </si>
  <si>
    <t>桂阳-郴州-资兴输气管道</t>
  </si>
  <si>
    <t>新气郴州分输站</t>
  </si>
  <si>
    <t>资兴分输站</t>
  </si>
  <si>
    <t>桂阳-临武输气管道</t>
  </si>
  <si>
    <t>桂阳分输站</t>
  </si>
  <si>
    <t>临武分输站</t>
  </si>
  <si>
    <t>406.4/273.1</t>
  </si>
  <si>
    <t>8.8/10/6.4</t>
  </si>
  <si>
    <t>龙山-花垣输气管道</t>
  </si>
  <si>
    <t>ALS001桩（上游首站为重庆祥龙天然气公司酉阳分输站）</t>
  </si>
  <si>
    <t>花垣分输站</t>
  </si>
  <si>
    <t>6.3/7.1/8.0</t>
  </si>
  <si>
    <t>花垣-张家界输气管道</t>
  </si>
  <si>
    <t>张家界分输站</t>
  </si>
  <si>
    <t>花垣-怀化输气管道</t>
  </si>
  <si>
    <t>怀化分输站</t>
  </si>
  <si>
    <t>花垣-吉首20221230
吉首-怀化20230921</t>
  </si>
  <si>
    <t>麻阳-辰溪输气管道</t>
  </si>
  <si>
    <t>花垣-怀化6#阀室</t>
  </si>
  <si>
    <t>辰溪分输站</t>
  </si>
  <si>
    <t>6.4/7.1/8.0</t>
  </si>
  <si>
    <t>燕楼-孟关支线</t>
  </si>
  <si>
    <t>孟关输气站</t>
  </si>
  <si>
    <t>清镇支线</t>
  </si>
  <si>
    <t>中贵71#阀室</t>
  </si>
  <si>
    <t>清镇分输站</t>
  </si>
  <si>
    <t>遵义南-和平支线</t>
  </si>
  <si>
    <t>中贵63#阀室</t>
  </si>
  <si>
    <t>和平分输站</t>
  </si>
  <si>
    <t>遵义-高坪支线</t>
  </si>
  <si>
    <t>遵义压气站</t>
  </si>
  <si>
    <t>高坪分输站</t>
  </si>
  <si>
    <t>盘州支线</t>
  </si>
  <si>
    <t>中缅33#阀室</t>
  </si>
  <si>
    <t>盘州分输站</t>
  </si>
  <si>
    <t>息烽支线</t>
  </si>
  <si>
    <t>中贵68#阀室</t>
  </si>
  <si>
    <t>息烽分输站</t>
  </si>
  <si>
    <t>播州东支线</t>
  </si>
  <si>
    <t>遵义南站</t>
  </si>
  <si>
    <t>团溪分输站</t>
  </si>
  <si>
    <t>桐梓支线</t>
  </si>
  <si>
    <t>中贵58#阀室</t>
  </si>
  <si>
    <t>桐梓分输站</t>
  </si>
  <si>
    <t>/</t>
  </si>
  <si>
    <t>修文支线</t>
  </si>
  <si>
    <t>修文分输站</t>
  </si>
  <si>
    <t>普安支线</t>
  </si>
  <si>
    <t>中缅35#阀室</t>
  </si>
  <si>
    <t>普安分输站</t>
  </si>
  <si>
    <t>六枝支线</t>
  </si>
  <si>
    <t>中缅38#阀室</t>
  </si>
  <si>
    <t>六枝分输站</t>
  </si>
  <si>
    <t>安顺支线</t>
  </si>
  <si>
    <t>安顺分输站</t>
  </si>
  <si>
    <t>贵州管网安顺站</t>
  </si>
  <si>
    <t>平坝支线</t>
  </si>
  <si>
    <t>中缅41#阀室</t>
  </si>
  <si>
    <t>平坝分输站</t>
  </si>
  <si>
    <t>贵州省网都匀支线</t>
  </si>
  <si>
    <t>贵州管网都匀站</t>
  </si>
  <si>
    <t>[关联]支线管道</t>
  </si>
  <si>
    <t>[原始]站场阀室</t>
  </si>
  <si>
    <t>[计算]站场阀室</t>
  </si>
  <si>
    <t>[原始]区域公司</t>
  </si>
  <si>
    <t>[原始]作业区</t>
  </si>
  <si>
    <t>[原始]里程,km</t>
  </si>
  <si>
    <t>[原始]站间距,km</t>
  </si>
  <si>
    <t>[原始]高程,m</t>
  </si>
  <si>
    <t>[原始]站间管容,方</t>
  </si>
  <si>
    <t>[原始]累计管容,方</t>
  </si>
  <si>
    <t>[原始]支线管道简称</t>
  </si>
  <si>
    <t>[原始]符号
●跨接
★监控阀室
▲监视阀室</t>
  </si>
  <si>
    <t>[原始]2024年类型</t>
  </si>
  <si>
    <t>[原始]2025年类型</t>
  </si>
  <si>
    <t>[原始]地理位置</t>
  </si>
  <si>
    <t>轮南压气站●</t>
  </si>
  <si>
    <t>西部管道</t>
  </si>
  <si>
    <t>轮南作业区</t>
  </si>
  <si>
    <t>西一、轮吐合建</t>
  </si>
  <si>
    <t>西一</t>
  </si>
  <si>
    <t>●</t>
  </si>
  <si>
    <t>新疆维吾尔自治区巴音郭楞蒙古自治州轮台县轮南镇西南侧约1m</t>
  </si>
  <si>
    <t>西一1#阀室</t>
  </si>
  <si>
    <t>1#阀室★</t>
  </si>
  <si>
    <t>★</t>
  </si>
  <si>
    <t>新疆维吾尔自治区巴音郭楞蒙古自治州轮台县阿克萨来乡</t>
  </si>
  <si>
    <t>西一2#阀室</t>
  </si>
  <si>
    <t>2#阀室★</t>
  </si>
  <si>
    <t>新疆维吾尔自治区巴音郭楞蒙古自治州轮台县</t>
  </si>
  <si>
    <t>西一3#阀室</t>
  </si>
  <si>
    <t>3#阀室★</t>
  </si>
  <si>
    <t>西一4#阀室</t>
  </si>
  <si>
    <t>4#阀室★</t>
  </si>
  <si>
    <t>库尔勒作业区</t>
  </si>
  <si>
    <t>新疆维吾尔自治区巴音郭楞蒙古自治州库尔勒市</t>
  </si>
  <si>
    <t>西一5#阀室</t>
  </si>
  <si>
    <t>5#阀室★</t>
  </si>
  <si>
    <t>新疆维吾尔自治区巴音郭楞蒙古自治州库尔勒市上户镇</t>
  </si>
  <si>
    <t>孔雀河压气站</t>
  </si>
  <si>
    <t>孔雀河压气站●</t>
  </si>
  <si>
    <t>西一、轮吐合建、连通</t>
  </si>
  <si>
    <t>新疆维吾尔自治区巴音郭楞蒙古自治州库尔勒市新城街道</t>
  </si>
  <si>
    <t>西一6#阀室</t>
  </si>
  <si>
    <t>6#阀室★</t>
  </si>
  <si>
    <t>新疆维吾尔自治区巴音郭楞蒙古自治州博湖县博斯腾湖乡西南侧约25km</t>
  </si>
  <si>
    <t>西一7#阀室</t>
  </si>
  <si>
    <t>7#阀室★</t>
  </si>
  <si>
    <t>新疆维吾尔自治区巴音郭楞蒙古自治州博湖县博斯腾湖乡东侧约6km</t>
  </si>
  <si>
    <t>西一8#阀室</t>
  </si>
  <si>
    <t>8#阀室★</t>
  </si>
  <si>
    <t>新疆维吾尔自治区巴音郭楞蒙古自治州博湖县博斯腾湖乡东侧约38km</t>
  </si>
  <si>
    <t>西一9#阀室</t>
  </si>
  <si>
    <t>9#阀室★</t>
  </si>
  <si>
    <t>马兰作业区</t>
  </si>
  <si>
    <t>新疆维吾尔自治区巴音郭楞蒙古自治州和硕县乌什塔拉乡南侧6km</t>
  </si>
  <si>
    <t>四道班压气站</t>
  </si>
  <si>
    <t/>
  </si>
  <si>
    <t>新疆维吾尔自治区巴音郭楞蒙古自治州和硕县乌什塔拉乡南侧65km</t>
  </si>
  <si>
    <t>西一10#阀室</t>
  </si>
  <si>
    <t>10#阀室★</t>
  </si>
  <si>
    <t>库米什压气站</t>
  </si>
  <si>
    <t>新疆维吾尔自治区吐鲁番市托克逊县库米什镇</t>
  </si>
  <si>
    <t>西一11#阀室</t>
  </si>
  <si>
    <t>11#阀室★</t>
  </si>
  <si>
    <t>新疆维吾尔自治区吐鲁番市托克逊县库米什镇西南侧43km</t>
  </si>
  <si>
    <t>西一11A#阀室</t>
  </si>
  <si>
    <t>11A#阀室★</t>
  </si>
  <si>
    <t>新疆维吾尔自治区吐鲁番地区托克逊县</t>
  </si>
  <si>
    <t>西一12#阀室</t>
  </si>
  <si>
    <t>12#阀室★</t>
  </si>
  <si>
    <t>西一13#阀室</t>
  </si>
  <si>
    <t>13#阀室★</t>
  </si>
  <si>
    <t>新疆维吾尔自治区吐鲁番市鄯善县迪坎乡</t>
  </si>
  <si>
    <t>西一14#阀室</t>
  </si>
  <si>
    <t>14#阀室★</t>
  </si>
  <si>
    <t>鄯善压气站</t>
  </si>
  <si>
    <t>西一15#阀室</t>
  </si>
  <si>
    <t>15#阀室★</t>
  </si>
  <si>
    <t>西一16#阀室</t>
  </si>
  <si>
    <t>16#阀室★</t>
  </si>
  <si>
    <t>西一17#阀室</t>
  </si>
  <si>
    <t>17#阀室★</t>
  </si>
  <si>
    <t>西一18#阀室</t>
  </si>
  <si>
    <t>18#阀室★</t>
  </si>
  <si>
    <t>哈密压气站</t>
  </si>
  <si>
    <t>西一19#阀室</t>
  </si>
  <si>
    <t>19#阀室★</t>
  </si>
  <si>
    <t>西一20#阀室</t>
  </si>
  <si>
    <t>20#阀室★</t>
  </si>
  <si>
    <t>西一21#阀室</t>
  </si>
  <si>
    <t>21#阀室★</t>
  </si>
  <si>
    <t>西一22#阀室</t>
  </si>
  <si>
    <t>22#阀室★</t>
  </si>
  <si>
    <t>新疆维吾尔自治区哈密市伊州区大南湖乡</t>
  </si>
  <si>
    <t>西一23#阀室</t>
  </si>
  <si>
    <t>23#阀室★</t>
  </si>
  <si>
    <t>雅满苏压气站</t>
  </si>
  <si>
    <t>新疆维吾尔自治区哈密市伊州区雅满苏镇</t>
  </si>
  <si>
    <t>西一25#阀室</t>
  </si>
  <si>
    <t>25#阀室★</t>
  </si>
  <si>
    <t>西一26#阀室</t>
  </si>
  <si>
    <t>26#阀室★</t>
  </si>
  <si>
    <t>西一27#阀室</t>
  </si>
  <si>
    <t>27#阀室★</t>
  </si>
  <si>
    <t>西一28#阀室</t>
  </si>
  <si>
    <t>28#阀室★</t>
  </si>
  <si>
    <t>烟墩作业区</t>
  </si>
  <si>
    <t>新疆维吾尔自治区哈密市伊州区星星峡镇</t>
  </si>
  <si>
    <t>红柳压气站●</t>
  </si>
  <si>
    <t>甘肃公司</t>
  </si>
  <si>
    <t>红柳作业区</t>
  </si>
  <si>
    <t>西一、西二、西三合建、连通</t>
  </si>
  <si>
    <t>甘肃省酒泉市安西县柳园镇安西极旱荒漠自然保护区</t>
  </si>
  <si>
    <t>西一29#阀室</t>
  </si>
  <si>
    <t>29#阀室★</t>
  </si>
  <si>
    <t>西一30#阀室</t>
  </si>
  <si>
    <t>30#阀室★</t>
  </si>
  <si>
    <t>甘肃省酒泉市安西县柳园镇戈壁滩</t>
  </si>
  <si>
    <t>西一31#阀室</t>
  </si>
  <si>
    <t>31#阀室★</t>
  </si>
  <si>
    <t>西一32#阀室</t>
  </si>
  <si>
    <t>32#阀室★</t>
  </si>
  <si>
    <t>瓜州作业区</t>
  </si>
  <si>
    <t>甘肃省酒泉市瓜州县戈壁滩</t>
  </si>
  <si>
    <t>柳园压气站</t>
  </si>
  <si>
    <t>甘肃省酒泉市瓜州县布隆吉乡</t>
  </si>
  <si>
    <t>西一33#阀室</t>
  </si>
  <si>
    <t>33#阀室★</t>
  </si>
  <si>
    <t>甘肃省酒泉市瓜州县腰站子乡9组</t>
  </si>
  <si>
    <t>西一34#阀室</t>
  </si>
  <si>
    <t>34#阀室★</t>
  </si>
  <si>
    <t>玉门作业区</t>
  </si>
  <si>
    <t>甘肃省酒泉市玉门市柳河乡向南5公里</t>
  </si>
  <si>
    <t>西一35#阀室</t>
  </si>
  <si>
    <t>35#阀室★</t>
  </si>
  <si>
    <t>甘肃省酒泉市玉门市下西号代家滩村东侧1公里处</t>
  </si>
  <si>
    <t>西一36#阀室</t>
  </si>
  <si>
    <t>36#阀室★</t>
  </si>
  <si>
    <t>甘肃省酒泉市玉门市银达乡低窝铺</t>
  </si>
  <si>
    <t>西一37#阀室</t>
  </si>
  <si>
    <t>37#阀室★</t>
  </si>
  <si>
    <t>甘肃省酒泉市玉门市赤金镇东湖村</t>
  </si>
  <si>
    <t>玉门压气站</t>
  </si>
  <si>
    <t>酒泉作业区</t>
  </si>
  <si>
    <t>甘肃省酒泉市玉门市清泉乡新民堡村</t>
  </si>
  <si>
    <t>西一38#阀室</t>
  </si>
  <si>
    <t>38#阀室★</t>
  </si>
  <si>
    <t>甘肃省嘉峪关市黑山湖戈壁滩</t>
  </si>
  <si>
    <t>西一39#阀室</t>
  </si>
  <si>
    <t>39#阀室★</t>
  </si>
  <si>
    <t>甘肃省嘉峪关市文殊镇</t>
  </si>
  <si>
    <t>西一40#阀室</t>
  </si>
  <si>
    <t>40#阀室★</t>
  </si>
  <si>
    <t>甘肃省酒泉市肃州区上坝镇新上村</t>
  </si>
  <si>
    <t>西一41#阀室</t>
  </si>
  <si>
    <t>41#阀室★</t>
  </si>
  <si>
    <t>甘肃省酒泉市肃州区丰乐乡三坝村</t>
  </si>
  <si>
    <t>西一42#阀室</t>
  </si>
  <si>
    <t>42#阀室★</t>
  </si>
  <si>
    <t>甘肃省酒泉市肃州区清水镇沙山村</t>
  </si>
  <si>
    <t>西一43#阀室</t>
  </si>
  <si>
    <t>43#阀室★</t>
  </si>
  <si>
    <t>张掖作业区</t>
  </si>
  <si>
    <t>甘肃省张掖市高台县骆驼城乡戈壁滩</t>
  </si>
  <si>
    <t>酒泉压气站</t>
  </si>
  <si>
    <t>甘肃省张掖市临泽县新华镇明泉村</t>
  </si>
  <si>
    <t>西一44#阀室</t>
  </si>
  <si>
    <t>44#阀室★</t>
  </si>
  <si>
    <t>甘肃省张掖市临泽县沙河镇何家庄村</t>
  </si>
  <si>
    <t>西一45#阀室</t>
  </si>
  <si>
    <t>45#阀室★</t>
  </si>
  <si>
    <t>甘肃省张掖市甘州区乌江镇平原堡</t>
  </si>
  <si>
    <t>西一46#阀室</t>
  </si>
  <si>
    <t>46#阀室★</t>
  </si>
  <si>
    <t>甘肃省张掖市甘州区三闸镇东王堡村</t>
  </si>
  <si>
    <t>西一47#阀室</t>
  </si>
  <si>
    <t>47#阀室★</t>
  </si>
  <si>
    <t>山丹作业区</t>
  </si>
  <si>
    <t>甘肃省张掖市山丹县东乐乡西屯村北侧约1km处</t>
  </si>
  <si>
    <t>西一48#阀室</t>
  </si>
  <si>
    <t>48#阀室★</t>
  </si>
  <si>
    <t>甘肃省张掖市山丹县清泉镇南湾村山平公路东侧2m</t>
  </si>
  <si>
    <t>山丹压气站</t>
  </si>
  <si>
    <t>甘肃省张掖市山丹县陈户镇东门村山丹压气站</t>
  </si>
  <si>
    <t>西一49#阀室</t>
  </si>
  <si>
    <t>49#阀室★</t>
  </si>
  <si>
    <t>甘肃省张掖市山丹县老军乡牧场区内</t>
  </si>
  <si>
    <t>西一50#阀室</t>
  </si>
  <si>
    <t>50#阀室★</t>
  </si>
  <si>
    <t>永昌作业区</t>
  </si>
  <si>
    <t>甘肃省金昌市永昌县红山窑乡马家坪村六组</t>
  </si>
  <si>
    <t>西一51#阀室</t>
  </si>
  <si>
    <t>51#阀室★</t>
  </si>
  <si>
    <t>甘肃省金昌市永昌县永昌盐场门口2m处</t>
  </si>
  <si>
    <t>金昌压气站</t>
  </si>
  <si>
    <t>甘肃省金昌市永昌县六坝乡南庄</t>
  </si>
  <si>
    <t>西一53#阀室</t>
  </si>
  <si>
    <t>53#阀室★</t>
  </si>
  <si>
    <t>甘肃省武威市凉州区怀安乡三中村</t>
  </si>
  <si>
    <t>西一54#阀室</t>
  </si>
  <si>
    <t>54#阀室★</t>
  </si>
  <si>
    <t>甘肃省武威市凉州区武南镇大河滩沙头坝村</t>
  </si>
  <si>
    <t>古浪分输站</t>
  </si>
  <si>
    <t>古浪作业区</t>
  </si>
  <si>
    <t>甘肃省武威市古浪县土门镇新胜村</t>
  </si>
  <si>
    <t>甘肃省武威市古浪县大靖镇李家湾村</t>
  </si>
  <si>
    <t>西一56#阀室</t>
  </si>
  <si>
    <t>56#阀室★</t>
  </si>
  <si>
    <t>甘肃省武威市古浪县直滩乡大岭村</t>
  </si>
  <si>
    <t>西一57#阀室</t>
  </si>
  <si>
    <t>57#阀室★</t>
  </si>
  <si>
    <t>甘肃省白银市景泰县上沙沃镇白墩子村</t>
  </si>
  <si>
    <t>西一58#阀室</t>
  </si>
  <si>
    <t>58#阀室★</t>
  </si>
  <si>
    <t>西一59#阀室</t>
  </si>
  <si>
    <t>59#阀室★</t>
  </si>
  <si>
    <t>西北公司</t>
  </si>
  <si>
    <t>甘塘作业区</t>
  </si>
  <si>
    <t>宁夏回族自治区中卫市沙坡头区甘塘镇</t>
  </si>
  <si>
    <t>西一60#阀室</t>
  </si>
  <si>
    <t>60#阀室★</t>
  </si>
  <si>
    <t>西一61#阀室</t>
  </si>
  <si>
    <t>61#阀室★</t>
  </si>
  <si>
    <t>宁夏回族自治区中卫市沙坡头区孟家湾乡</t>
  </si>
  <si>
    <t>西一62#阀室</t>
  </si>
  <si>
    <t>62#阀室★</t>
  </si>
  <si>
    <t>西一63#阀室</t>
  </si>
  <si>
    <t>63#阀室★</t>
  </si>
  <si>
    <t>宁夏回族自治区中卫市沙坡头区常乐镇</t>
  </si>
  <si>
    <t>中卫压气站●</t>
  </si>
  <si>
    <t>西一、西二、西三、中贵、中靖合建、连通</t>
  </si>
  <si>
    <t>西一64#阀室</t>
  </si>
  <si>
    <t>64#阀室★</t>
  </si>
  <si>
    <t>宁夏回族自治区中卫市沙坡头区永康镇</t>
  </si>
  <si>
    <t>西一65#阀室</t>
  </si>
  <si>
    <t>65#阀室★</t>
  </si>
  <si>
    <t>宁夏回族自治区中卫市沙坡头区宣和镇</t>
  </si>
  <si>
    <t>西一66#阀室</t>
  </si>
  <si>
    <t>66#阀室★</t>
  </si>
  <si>
    <t>宁夏回族自治区中卫市中宁县宁安镇古城村</t>
  </si>
  <si>
    <t>西一67#阀室</t>
  </si>
  <si>
    <t>67#阀室★</t>
  </si>
  <si>
    <t>宁夏回族自治区中卫市中宁县新堡乡</t>
  </si>
  <si>
    <t>西一68#阀室</t>
  </si>
  <si>
    <t>68#阀室★</t>
  </si>
  <si>
    <t>盐池作业区</t>
  </si>
  <si>
    <t>宁夏回族自治区吴忠市红寺堡区开发区</t>
  </si>
  <si>
    <t>西一69#阀室</t>
  </si>
  <si>
    <t>69#阀室★</t>
  </si>
  <si>
    <t>宁夏回族自治区吴忠市红寺堡区开发区红塔村</t>
  </si>
  <si>
    <t>西一70#阀室</t>
  </si>
  <si>
    <t>70#阀室★</t>
  </si>
  <si>
    <t>西一71#阀室</t>
  </si>
  <si>
    <t>71#阀室★</t>
  </si>
  <si>
    <t>宁夏回族自治区吴忠市盐池县惠安堡镇</t>
  </si>
  <si>
    <t>西一72#阀室</t>
  </si>
  <si>
    <t>72#阀室★</t>
  </si>
  <si>
    <t>宁夏回族自治区吴忠市盐池县大水坑镇</t>
  </si>
  <si>
    <t>西一盐池压气站</t>
  </si>
  <si>
    <t>盐池压气站●</t>
  </si>
  <si>
    <t>宁夏回族自治区吴忠市盐池县大水坑镇红井子村</t>
  </si>
  <si>
    <t>西一73#阀室</t>
  </si>
  <si>
    <t>73#阀室★</t>
  </si>
  <si>
    <t>靖边作业区</t>
  </si>
  <si>
    <t>陕西省榆林市定边县贺圈镇红庄村</t>
  </si>
  <si>
    <t>西一74#阀室</t>
  </si>
  <si>
    <t>74#阀室★</t>
  </si>
  <si>
    <t>陕西省榆林市定边县贺圈镇石井子村</t>
  </si>
  <si>
    <t>西一75#阀室</t>
  </si>
  <si>
    <t>75#阀室★</t>
  </si>
  <si>
    <t>陕西省榆林市定边县安边镇北园子村</t>
  </si>
  <si>
    <t>西一76#阀室</t>
  </si>
  <si>
    <t>76#阀室★</t>
  </si>
  <si>
    <t>陕西省榆林市定边县郝滩镇蒋峁村</t>
  </si>
  <si>
    <t>西一77#阀室</t>
  </si>
  <si>
    <t>77#阀室★</t>
  </si>
  <si>
    <t>陕西省榆林市靖边县东坑镇硬地梁村</t>
  </si>
  <si>
    <t>靖边压气站●</t>
  </si>
  <si>
    <t>西一、西二中靖、西三中靖合建、连通</t>
  </si>
  <si>
    <t>陕西省榆林市靖边县张家畔镇胡伙场村</t>
  </si>
  <si>
    <t>西一78#阀室</t>
  </si>
  <si>
    <t>78#阀室★</t>
  </si>
  <si>
    <t>陕西省榆林市靖边县张家畔镇新房滩村</t>
  </si>
  <si>
    <t>西一79#阀室</t>
  </si>
  <si>
    <t>79#阀室★</t>
  </si>
  <si>
    <t>陕西省榆林市靖边县乔沟湾乡乔沟湾村</t>
  </si>
  <si>
    <t>西一80#阀室</t>
  </si>
  <si>
    <t>80#阀室★</t>
  </si>
  <si>
    <t>陕西省榆林市靖边县青阳岔镇阳平村</t>
  </si>
  <si>
    <t>西一81#阀室</t>
  </si>
  <si>
    <t>81#阀室★</t>
  </si>
  <si>
    <t>延川作业区</t>
  </si>
  <si>
    <t>陕西省延安市子长市李家岔镇李家岔村</t>
  </si>
  <si>
    <t>西一82#阀室</t>
  </si>
  <si>
    <t>82#阀室★</t>
  </si>
  <si>
    <t>陕西省延安市子长县栾家坪乡桃园村</t>
  </si>
  <si>
    <t>子长分输站</t>
  </si>
  <si>
    <t>原82#阀室</t>
  </si>
  <si>
    <t>西一83#阀室</t>
  </si>
  <si>
    <t>83#阀室★</t>
  </si>
  <si>
    <t>陕西省延安市延川县永坪镇永坪村</t>
  </si>
  <si>
    <t>延川压气站</t>
  </si>
  <si>
    <t>陕西省延安市延川县冯家坪乡寺村</t>
  </si>
  <si>
    <t>西一84#阀室</t>
  </si>
  <si>
    <t>84#阀室★</t>
  </si>
  <si>
    <t>陕西省延安市延川县延川镇杨家圪崂村</t>
  </si>
  <si>
    <t>延川西分输站</t>
  </si>
  <si>
    <t>84#阀室接出</t>
  </si>
  <si>
    <t>西一85#阀室</t>
  </si>
  <si>
    <t>85#阀室★</t>
  </si>
  <si>
    <t>陕西省延安市延川县延水关镇杨家山村</t>
  </si>
  <si>
    <t>西一86#阀室</t>
  </si>
  <si>
    <t>86#阀室★</t>
  </si>
  <si>
    <t>蒲县作业区</t>
  </si>
  <si>
    <t>山西省临汾市永和县南庄乡刘家屹崂村</t>
  </si>
  <si>
    <t>西一87#阀室</t>
  </si>
  <si>
    <t>87#阀室★</t>
  </si>
  <si>
    <t>山西省临汾市永和县芝河镇龙吞泉村</t>
  </si>
  <si>
    <t>西一88#阀室</t>
  </si>
  <si>
    <t>88#阀室★</t>
  </si>
  <si>
    <t>山西省临汾市永和县桑壁镇庄则坡村</t>
  </si>
  <si>
    <t>西一89#阀室</t>
  </si>
  <si>
    <t>89#阀室★</t>
  </si>
  <si>
    <t>山西省临汾市大宁县太德乡乌落村</t>
  </si>
  <si>
    <t>蒲县压气站</t>
  </si>
  <si>
    <t>山西省临汾市蒲县薛关镇略东村</t>
  </si>
  <si>
    <t>西一90#阀室</t>
  </si>
  <si>
    <t>90#阀室★</t>
  </si>
  <si>
    <t>山西省临汾市蒲县黑龙关镇化乐村</t>
  </si>
  <si>
    <t>西一91#阀室</t>
  </si>
  <si>
    <t>91#阀室★</t>
  </si>
  <si>
    <t>山西省临汾市尧都区土门镇土门村</t>
  </si>
  <si>
    <t>临汾分输站</t>
  </si>
  <si>
    <t>原92#阀室</t>
  </si>
  <si>
    <t>山西省临汾市尧都区屯里镇西芦村</t>
  </si>
  <si>
    <t>西一93#阀室</t>
  </si>
  <si>
    <t>93#阀室★</t>
  </si>
  <si>
    <t>山西省临汾市尧都区屯里镇河上村</t>
  </si>
  <si>
    <t>西一94#阀室</t>
  </si>
  <si>
    <t>94#阀室★</t>
  </si>
  <si>
    <t>山西省临汾市浮山县张庄乡西韩村</t>
  </si>
  <si>
    <t>西一95#阀室</t>
  </si>
  <si>
    <t>95#阀室★</t>
  </si>
  <si>
    <t>山西省临汾市浮山县天坛镇十里塬村</t>
  </si>
  <si>
    <t>西一96#阀室</t>
  </si>
  <si>
    <t>96#阀室★</t>
  </si>
  <si>
    <t>山西省临汾市浮山县寨圪塔乡石口村</t>
  </si>
  <si>
    <t>西一97#阀室</t>
  </si>
  <si>
    <t>97#阀室★</t>
  </si>
  <si>
    <t>沁水作业区</t>
  </si>
  <si>
    <t>山西省晋城市沁水县樊村河乡段沟村</t>
  </si>
  <si>
    <t>山西省晋城市沁水县龙港镇小岭村</t>
  </si>
  <si>
    <t>西一98#阀室</t>
  </si>
  <si>
    <t>98#阀室★</t>
  </si>
  <si>
    <t>山西省晋城市阳城县芦河镇川河村</t>
  </si>
  <si>
    <t>西一99#阀室</t>
  </si>
  <si>
    <t>99#阀室★</t>
  </si>
  <si>
    <t>山西省晋城市阳城县町店镇</t>
  </si>
  <si>
    <t>阳城清管站</t>
  </si>
  <si>
    <t>山西省晋城市阳城县北留镇崇上村</t>
  </si>
  <si>
    <t>西一100#阀室</t>
  </si>
  <si>
    <t>100#阀室★</t>
  </si>
  <si>
    <t>山西省晋城市泽州县山河镇柳树街村</t>
  </si>
  <si>
    <t>西一101#阀室</t>
  </si>
  <si>
    <t>101#阀室★</t>
  </si>
  <si>
    <t>北方管道</t>
  </si>
  <si>
    <t>郑州作业区</t>
  </si>
  <si>
    <t>河南省焦作市沁阳市西万镇北窑头村</t>
  </si>
  <si>
    <t>博爱分输站</t>
  </si>
  <si>
    <t>河南省焦作市博爱县磨头镇前十里村</t>
  </si>
  <si>
    <t>西一102#阀室</t>
  </si>
  <si>
    <t>102#阀室★</t>
  </si>
  <si>
    <t>河南省焦作市博爱县金城乡南张茹村</t>
  </si>
  <si>
    <t>西一103#阀室</t>
  </si>
  <si>
    <t>103#阀室★</t>
  </si>
  <si>
    <t>河南省焦作市温县赵堡镇北平皋村</t>
  </si>
  <si>
    <t>西一104#阀室</t>
  </si>
  <si>
    <t>104#阀室★</t>
  </si>
  <si>
    <t>河南省焦作市沁阳市王村镇</t>
  </si>
  <si>
    <t>河南省郑州市中原区须水镇三十里铺</t>
  </si>
  <si>
    <t>西一105#阀室</t>
  </si>
  <si>
    <t>105#阀室★</t>
  </si>
  <si>
    <t>河南省郑州市新郑市龙湖镇梅山村</t>
  </si>
  <si>
    <t>薛店分输站</t>
  </si>
  <si>
    <t>薛店作业区</t>
  </si>
  <si>
    <t>西一、平泰合建</t>
  </si>
  <si>
    <t>河南省郑州市新郑市薛店镇</t>
  </si>
  <si>
    <t>西一106A#阀室</t>
  </si>
  <si>
    <t>106A#阀室★</t>
  </si>
  <si>
    <t>河南省开封市尉氏县大马乡大马村</t>
  </si>
  <si>
    <t>西一106B#阀室</t>
  </si>
  <si>
    <t>106B#阀室★</t>
  </si>
  <si>
    <t>西一107#阀室</t>
  </si>
  <si>
    <t>107#阀室★</t>
  </si>
  <si>
    <t>河南省开封市尉氏县南曹乡周庄</t>
  </si>
  <si>
    <t>西一108#阀室</t>
  </si>
  <si>
    <t>108#阀室★</t>
  </si>
  <si>
    <t>河南省周口市扶沟县大李庄乡高庄</t>
  </si>
  <si>
    <t>西一109#阀室</t>
  </si>
  <si>
    <t>109#阀室★</t>
  </si>
  <si>
    <t>淮阳分输压气站</t>
  </si>
  <si>
    <t>河南省周口市西华县西华营镇大赵村</t>
  </si>
  <si>
    <t>西一110#阀室</t>
  </si>
  <si>
    <t>110#阀室★</t>
  </si>
  <si>
    <t>河南省周口市淮阳县曹河乡朱庄村</t>
  </si>
  <si>
    <t>河南省周口市淮阳区王店乡大李村</t>
  </si>
  <si>
    <t>西一111#阀室</t>
  </si>
  <si>
    <t>111#阀室★</t>
  </si>
  <si>
    <t>河南省周口市郸城县巴集乡槐李村</t>
  </si>
  <si>
    <t>西一112#阀室</t>
  </si>
  <si>
    <t>112#阀室★</t>
  </si>
  <si>
    <t>河南省周口市郸城县秋渠乡孙庄村</t>
  </si>
  <si>
    <t>西一113#阀室</t>
  </si>
  <si>
    <t>113#阀室★</t>
  </si>
  <si>
    <t>西气东输</t>
  </si>
  <si>
    <t>蚌埠作业区</t>
  </si>
  <si>
    <t>安徽省阜阳市太和县洪山镇张册村</t>
  </si>
  <si>
    <t>太和分输站</t>
  </si>
  <si>
    <t>113#阀室接出</t>
  </si>
  <si>
    <t>西一114#阀室</t>
  </si>
  <si>
    <t>114#阀室★</t>
  </si>
  <si>
    <t>安徽省阜阳市太和县三堂镇站西行政村尹庄村</t>
  </si>
  <si>
    <t>西一115#阀室</t>
  </si>
  <si>
    <t>115#阀室★</t>
  </si>
  <si>
    <t>安徽省亳州市利辛县孙集镇刘郢村夏庙庄</t>
  </si>
  <si>
    <t>利辛分输站</t>
  </si>
  <si>
    <t>安徽省亳州市利辛县城关镇董集村</t>
  </si>
  <si>
    <t>西一116#阀室</t>
  </si>
  <si>
    <t>116#阀室★</t>
  </si>
  <si>
    <t>安徽省亳州市蒙城县三义镇集东社区张庄</t>
  </si>
  <si>
    <t>西一117#阀室</t>
  </si>
  <si>
    <t>117#阀室★</t>
  </si>
  <si>
    <t>安徽省亳州市蒙城县立仓镇罗集社区芡南村</t>
  </si>
  <si>
    <t>西一118#阀室</t>
  </si>
  <si>
    <t>118#阀室★</t>
  </si>
  <si>
    <t>安徽省蚌埠市怀远县万福镇刘楼村</t>
  </si>
  <si>
    <t>西一119#阀室</t>
  </si>
  <si>
    <t>119#阀室★</t>
  </si>
  <si>
    <t>安徽省蚌埠市怀远县唐集镇计集村</t>
  </si>
  <si>
    <t>西一120#阀室</t>
  </si>
  <si>
    <t>120#阀室★</t>
  </si>
  <si>
    <t>安徽省蚌埠市怀远县常坟镇镇北新村</t>
  </si>
  <si>
    <t>西一121#阀室</t>
  </si>
  <si>
    <t>121#阀室★</t>
  </si>
  <si>
    <t>安徽省蚌埠市禹会区马城镇朱村</t>
  </si>
  <si>
    <t>刘巷子分输站</t>
  </si>
  <si>
    <t>安徽省蚌埠市怀远县马城镇刘巷村</t>
  </si>
  <si>
    <t>西一122#阀室</t>
  </si>
  <si>
    <t>122#阀室★</t>
  </si>
  <si>
    <t>定远作业区</t>
  </si>
  <si>
    <t>安徽省滁州市定远县永康镇靠山村邵家村民组</t>
  </si>
  <si>
    <t>安徽省滁州市定远县严桥乡</t>
  </si>
  <si>
    <t>西一123#阀室</t>
  </si>
  <si>
    <t>123#阀室★</t>
  </si>
  <si>
    <t>安徽省滁州市定远县藕塘镇大徐村大吴村民组</t>
  </si>
  <si>
    <t>西一124#阀室</t>
  </si>
  <si>
    <t>124#阀室★</t>
  </si>
  <si>
    <t>芜湖作业区</t>
  </si>
  <si>
    <t>安徽省滁州市南谯区珠龙镇北关村长坝村民组</t>
  </si>
  <si>
    <t>滁州分输站</t>
  </si>
  <si>
    <t>安徽省滁州市琅琊区扬子街道办事处营房社区机场队</t>
  </si>
  <si>
    <t>西一125#阀室</t>
  </si>
  <si>
    <t>125#阀室★</t>
  </si>
  <si>
    <t>安徽省滁州市来安县雷官镇雷官村大圩队</t>
  </si>
  <si>
    <t>青山作业区</t>
  </si>
  <si>
    <t>江苏省南京市六合区长芦街道留左村</t>
  </si>
  <si>
    <t>西一126#阀室</t>
  </si>
  <si>
    <t>126#阀室★</t>
  </si>
  <si>
    <t>江苏省南京市六合区横梁街道王子村</t>
  </si>
  <si>
    <t>江苏省扬州市仪征市青山镇砖井村</t>
  </si>
  <si>
    <t>镇江作业区</t>
  </si>
  <si>
    <t>江苏省南京市栖霞区龙潭镇</t>
  </si>
  <si>
    <t>西一127#阀室</t>
  </si>
  <si>
    <t>127#阀室★</t>
  </si>
  <si>
    <t>江苏省镇江市句容市下蜀镇新村</t>
  </si>
  <si>
    <t>西一127A#阀室</t>
  </si>
  <si>
    <t>127A#阀室★</t>
  </si>
  <si>
    <t>江苏省镇江市丹徒区丹徒区石马乡长香路</t>
  </si>
  <si>
    <t>西一127B#阀室</t>
  </si>
  <si>
    <t>127B#阀室★</t>
  </si>
  <si>
    <t>江苏省镇江市丹徒区上党镇墅山村</t>
  </si>
  <si>
    <t>江苏镇江市丹徒区谷阳镇槐荫村</t>
  </si>
  <si>
    <t>丹阳分输站</t>
  </si>
  <si>
    <t>丹阳分输站★</t>
  </si>
  <si>
    <t>江苏镇江市丹阳市开发区永安社区</t>
  </si>
  <si>
    <t>西一129#阀室</t>
  </si>
  <si>
    <t>129#阀室★</t>
  </si>
  <si>
    <t>江苏省常州市新北区罗溪镇鸦鹊村</t>
  </si>
  <si>
    <t>西一130#阀室</t>
  </si>
  <si>
    <t>130#阀室★</t>
  </si>
  <si>
    <t>江苏省常州市新北区薛家镇薛家村</t>
  </si>
  <si>
    <t>常州分输站</t>
  </si>
  <si>
    <t>江苏省常州市天宁区青龙镇福成村</t>
  </si>
  <si>
    <t>无锡作业区</t>
  </si>
  <si>
    <t>江苏常州市武进区横山桥镇</t>
  </si>
  <si>
    <t>西一131#阀室</t>
  </si>
  <si>
    <t>131#阀室★</t>
  </si>
  <si>
    <t>江苏省无锡市惠山区丁塔村</t>
  </si>
  <si>
    <t>西一132#阀室</t>
  </si>
  <si>
    <t>132#阀室★</t>
  </si>
  <si>
    <t>江苏省无锡市惠山区农坝村</t>
  </si>
  <si>
    <t>无锡分输站</t>
  </si>
  <si>
    <t>江苏省无锡市新吴区群力村</t>
  </si>
  <si>
    <t xml:space="preserve">江苏省苏州市相城区东桥镇汤埂村 </t>
  </si>
  <si>
    <t>西一133阀室</t>
  </si>
  <si>
    <t>133阀室★</t>
  </si>
  <si>
    <t>江苏省苏州市金阊区白洋湾街道张网村</t>
  </si>
  <si>
    <t>西一134阀室</t>
  </si>
  <si>
    <t>134阀室★</t>
  </si>
  <si>
    <t>江苏省苏州市相城区元和街道古巷村</t>
  </si>
  <si>
    <t>苏州分输站</t>
  </si>
  <si>
    <t>甪直作业区</t>
  </si>
  <si>
    <t>原135#阀室</t>
  </si>
  <si>
    <t>江苏省苏州市</t>
  </si>
  <si>
    <t>西一136#阀室</t>
  </si>
  <si>
    <t>136#阀室★</t>
  </si>
  <si>
    <t>江苏省苏州市苏州工业园区唯亭街道唯新东路</t>
  </si>
  <si>
    <t>西一137#阀室</t>
  </si>
  <si>
    <t>137#阀室★</t>
  </si>
  <si>
    <t>江苏省苏州市工业园区胜浦街道海关保税区</t>
  </si>
  <si>
    <t>西一、上海支合建</t>
  </si>
  <si>
    <t>江苏省苏州市吴中区甪直镇云龙村</t>
  </si>
  <si>
    <t>昆山分输站</t>
  </si>
  <si>
    <t>上海白鹤作业区</t>
  </si>
  <si>
    <t>原138#阀室</t>
  </si>
  <si>
    <t>江苏省苏州市昆山市千灯镇南湾村</t>
  </si>
  <si>
    <t>上海市青浦区白鹤镇金项村</t>
  </si>
  <si>
    <t>煤层气端氏首站</t>
  </si>
  <si>
    <t>山西煤层气</t>
  </si>
  <si>
    <t>山西省晋城市沁水县端氏镇</t>
  </si>
  <si>
    <t>煤层气郑庄阀室</t>
  </si>
  <si>
    <t>煤层气郑庄阀室★</t>
  </si>
  <si>
    <t>山西省晋城市沁水县沁水县郑庄镇张沟村</t>
  </si>
  <si>
    <t>长铝</t>
  </si>
  <si>
    <t>河南省郑州市上街区铝厂7万吨南门对面</t>
  </si>
  <si>
    <t>定合1#阀室</t>
  </si>
  <si>
    <t>1#阀室</t>
  </si>
  <si>
    <t>定合</t>
  </si>
  <si>
    <t>安徽省滁州市定远县张桥镇陶铺村</t>
  </si>
  <si>
    <t>定合2#阀室</t>
  </si>
  <si>
    <t>2#阀室</t>
  </si>
  <si>
    <t>安徽省滁州市定远县连江镇仆岗村</t>
  </si>
  <si>
    <t>定合3#阀室</t>
  </si>
  <si>
    <t>安徽省合肥市肥东县八斗镇花张路小普村</t>
  </si>
  <si>
    <t>定合4#阀室</t>
  </si>
  <si>
    <t>4#阀室</t>
  </si>
  <si>
    <t>安徽省合肥市肥东县梁园镇管湾村李岗村民组</t>
  </si>
  <si>
    <t>定合5#阀室</t>
  </si>
  <si>
    <t>安徽省合肥市瑶海区磨店乡沿河村罗小村民组</t>
  </si>
  <si>
    <t>安徽省合肥市肥东县龙岗镇三十埠村</t>
  </si>
  <si>
    <t>定合复1#阀室</t>
  </si>
  <si>
    <t>定合复</t>
  </si>
  <si>
    <t>安徽省滁州市定远县严桥乡上蒋家村</t>
  </si>
  <si>
    <t>定合复2#阀室</t>
  </si>
  <si>
    <t>安徽省滁州市定远县蒋集镇井岗村</t>
  </si>
  <si>
    <t>定合复3#阀室</t>
  </si>
  <si>
    <t>安徽省合肥市长丰县下塘镇埠里村</t>
  </si>
  <si>
    <t>南芜1#阀室</t>
  </si>
  <si>
    <t>南芜</t>
  </si>
  <si>
    <t>江苏省南京市栖霞区龙潭街道龙潭村</t>
  </si>
  <si>
    <t>南京分输站</t>
  </si>
  <si>
    <t>江苏省南京市栖霞区栖霞街道东湖村</t>
  </si>
  <si>
    <t>南芜2#阀室</t>
  </si>
  <si>
    <t>江苏省南京市江宁区汤山街道</t>
  </si>
  <si>
    <t>南芜3#阀室</t>
  </si>
  <si>
    <t>江苏省南京市江宁区江宁科学园</t>
  </si>
  <si>
    <t>江宁分输站</t>
  </si>
  <si>
    <t>江苏省南京市江宁区秣陵镇双金社区</t>
  </si>
  <si>
    <t>南芜5#阀室</t>
  </si>
  <si>
    <t>江苏省南京市江宁区横溪街道陶吴社区</t>
  </si>
  <si>
    <t>马鞍山分输站</t>
  </si>
  <si>
    <t>安徽省马鞍山市花山区霍里镇弯凹大队</t>
  </si>
  <si>
    <t>南芜6#阀室</t>
  </si>
  <si>
    <t>6#阀室</t>
  </si>
  <si>
    <t>安徽省马鞍山市当涂县姑熟镇白纻村</t>
  </si>
  <si>
    <t>南芜7#阀室</t>
  </si>
  <si>
    <t>7#阀室</t>
  </si>
  <si>
    <t>安徽省马鞍山市当涂县太白镇芮港村</t>
  </si>
  <si>
    <t>安徽省芜湖市鸠江区大桥镇红星村</t>
  </si>
  <si>
    <t>常长1#阀室</t>
  </si>
  <si>
    <t>常长</t>
  </si>
  <si>
    <t>江苏省常州市武进区横林镇北湖村</t>
  </si>
  <si>
    <t>武进分输站</t>
  </si>
  <si>
    <t>江苏省常州市武进区洛阳镇岑村</t>
  </si>
  <si>
    <t>常长2#阀室</t>
  </si>
  <si>
    <t>江苏省无锡市宜兴市周铁镇王茂村</t>
  </si>
  <si>
    <t>宜兴分输站</t>
  </si>
  <si>
    <t>江苏省常州市武进区牛塘镇南湾村</t>
  </si>
  <si>
    <t>常长3#阀室</t>
  </si>
  <si>
    <t>江苏省无锡市宜兴市丁蜀镇大港村</t>
  </si>
  <si>
    <t>常长4#阀室</t>
  </si>
  <si>
    <t>长兴分输站</t>
  </si>
  <si>
    <t>浙江省湖州市长兴县夹浦镇环沉村</t>
  </si>
  <si>
    <t>浙江省湖州市长兴县五里桥村</t>
  </si>
  <si>
    <t>望亭电厂</t>
  </si>
  <si>
    <t>江苏省苏州市相城区望亭镇何家角村</t>
  </si>
  <si>
    <t>扬子末站</t>
  </si>
  <si>
    <t>扬巴</t>
  </si>
  <si>
    <t>江苏省南京市六合区长芦镇水家湾社区</t>
  </si>
  <si>
    <t>用户站场</t>
  </si>
  <si>
    <t>江苏省南京市栖霞区栖霞街道</t>
  </si>
  <si>
    <t>金坛1#阀室</t>
  </si>
  <si>
    <t>金坛</t>
  </si>
  <si>
    <t>江苏省镇江市丹徒区宝堰镇鲁溪村</t>
  </si>
  <si>
    <t>储气库公司</t>
  </si>
  <si>
    <t>金坛作业区</t>
  </si>
  <si>
    <t>徐州</t>
  </si>
  <si>
    <t>江苏省常州市金坛区茅西镇汀湘村</t>
  </si>
  <si>
    <t>巴城分输站</t>
  </si>
  <si>
    <t>原1#阀室</t>
  </si>
  <si>
    <t>宝钢</t>
  </si>
  <si>
    <t>江苏省苏州市昆山市巴城镇黄金村</t>
  </si>
  <si>
    <t>周市分输站</t>
  </si>
  <si>
    <t>原2#阀室</t>
  </si>
  <si>
    <t>江苏省苏州市昆山市周市镇种植村</t>
  </si>
  <si>
    <t>太仓分输站</t>
  </si>
  <si>
    <t>原3#阀室</t>
  </si>
  <si>
    <t>江苏省苏州市太仓市</t>
  </si>
  <si>
    <t>宝钢4#阀室</t>
  </si>
  <si>
    <t>江苏省苏州市太仓市浮桥镇</t>
  </si>
  <si>
    <t>江苏省苏州市太仓市浏河镇</t>
  </si>
  <si>
    <t>金石路分输站</t>
  </si>
  <si>
    <t>上海市宝山区罗泾镇</t>
  </si>
  <si>
    <t>金溧1#阀室</t>
  </si>
  <si>
    <t>1#阀室▲</t>
  </si>
  <si>
    <t>金溧</t>
  </si>
  <si>
    <t>▲</t>
  </si>
  <si>
    <t>江苏省常州市金坛区罗村镇</t>
  </si>
  <si>
    <t>金溧2#阀室</t>
  </si>
  <si>
    <t>2#阀室▲</t>
  </si>
  <si>
    <t>江苏省常州市溧阳市薛埠镇盛家村</t>
  </si>
  <si>
    <t>江苏省常州市溧阳市南渡镇</t>
  </si>
  <si>
    <t>江都作业区</t>
  </si>
  <si>
    <t>青宁</t>
  </si>
  <si>
    <t>江苏省扬州市仪征市</t>
  </si>
  <si>
    <t>南京计量检定室</t>
  </si>
  <si>
    <t>江苏省南京市栖霞区靖安镇宣闸村</t>
  </si>
  <si>
    <t>冀宁1#阀室</t>
  </si>
  <si>
    <t>冀宁</t>
  </si>
  <si>
    <t>江苏省扬州市仪征市马集镇红光村</t>
  </si>
  <si>
    <t>仪征分输站</t>
  </si>
  <si>
    <t>2#阀室接出</t>
  </si>
  <si>
    <t>江苏省扬州市邗江区杨庙镇</t>
  </si>
  <si>
    <t>扬州分输站</t>
  </si>
  <si>
    <t>冀宁3#阀室</t>
  </si>
  <si>
    <t>江苏省扬州市邗江区酒甸集镇</t>
  </si>
  <si>
    <t>江苏省扬州市江都区邵伯镇谢庄村</t>
  </si>
  <si>
    <t>冀宁4#阀室</t>
  </si>
  <si>
    <t>宝应作业区</t>
  </si>
  <si>
    <t>江苏省扬州市江都市真武镇真武村</t>
  </si>
  <si>
    <t>冀宁5#阀室</t>
  </si>
  <si>
    <t>江苏省扬州市高邮市卸甲镇金家村</t>
  </si>
  <si>
    <t>高邮分输站</t>
  </si>
  <si>
    <t>原6#阀室</t>
  </si>
  <si>
    <t>江苏省扬州市高邮市卸甲镇周庄村</t>
  </si>
  <si>
    <t>冀宁7#阀室</t>
  </si>
  <si>
    <t>江苏省扬州市高邮市龙虬镇兴北村</t>
  </si>
  <si>
    <t>冀宁8#阀室</t>
  </si>
  <si>
    <t>8#阀室</t>
  </si>
  <si>
    <t>江苏省扬州市宝应县夏集镇王桥村</t>
  </si>
  <si>
    <t>冀宁9#阀室</t>
  </si>
  <si>
    <t>9#阀室</t>
  </si>
  <si>
    <t>江苏省扬州市宝应县范水镇郎儿村</t>
  </si>
  <si>
    <t>宝应分输站</t>
  </si>
  <si>
    <t>原10#阀室</t>
  </si>
  <si>
    <t>江苏省扬州市宝应县望直港镇望直村</t>
  </si>
  <si>
    <t>冀宁11#阀室</t>
  </si>
  <si>
    <t>11#阀室</t>
  </si>
  <si>
    <t>江苏省扬州市宝应县泾河镇张北村</t>
  </si>
  <si>
    <t>楚州分输站</t>
  </si>
  <si>
    <t>淮安作业区</t>
  </si>
  <si>
    <t>原12#阀室</t>
  </si>
  <si>
    <t>江苏省淮安市楚州区上河镇五洞村</t>
  </si>
  <si>
    <t>冀宁13#阀室</t>
  </si>
  <si>
    <t>13#阀室</t>
  </si>
  <si>
    <t>江苏省淮安市清浦区盐河镇盐河村</t>
  </si>
  <si>
    <t>江苏省淮安市清浦区武墩镇普墩村</t>
  </si>
  <si>
    <t>冀宁14#阀室</t>
  </si>
  <si>
    <t>14#阀室</t>
  </si>
  <si>
    <t>江苏省淮安市淮阴区吴城镇头庄村</t>
  </si>
  <si>
    <t>泗阳分输站</t>
  </si>
  <si>
    <t>泗水管理站</t>
  </si>
  <si>
    <t>原15#阀室</t>
  </si>
  <si>
    <t>江苏省宿迁市泗阳县城厢街道城南村</t>
  </si>
  <si>
    <t>冀宁16#阀室</t>
  </si>
  <si>
    <t>16#阀室</t>
  </si>
  <si>
    <t>宿迁分输站</t>
  </si>
  <si>
    <t>江苏省宿迁市宿城区仓集镇夏洼村</t>
  </si>
  <si>
    <t>江苏省宿迁市宿城区南蔡乡范庄村</t>
  </si>
  <si>
    <t>冀宁17#阀室</t>
  </si>
  <si>
    <t>17#阀室</t>
  </si>
  <si>
    <t>江苏省宿迁市宿城区三棵树乡前周村</t>
  </si>
  <si>
    <t>冀宁18#阀室</t>
  </si>
  <si>
    <t>江苏省宿迁市宿城区王官集镇苗圩村</t>
  </si>
  <si>
    <t>睢宁站</t>
  </si>
  <si>
    <t>18#阀室接出</t>
  </si>
  <si>
    <t>冀宁19#阀室</t>
  </si>
  <si>
    <t>19#阀室</t>
  </si>
  <si>
    <t>邳州作业区</t>
  </si>
  <si>
    <t>江苏省徐州市邳州市议堂镇南代庄村</t>
  </si>
  <si>
    <t>江苏省徐州市邳州市赵墩镇天庙村</t>
  </si>
  <si>
    <t>冀宁20#阀室</t>
  </si>
  <si>
    <t>20#阀室</t>
  </si>
  <si>
    <t>江苏省徐州市邳州市车夫山镇车前村</t>
  </si>
  <si>
    <t>冀宁21#阀室</t>
  </si>
  <si>
    <t>山东公司</t>
  </si>
  <si>
    <t>济宁作业区</t>
  </si>
  <si>
    <t>山东省枣庄市台儿庄区马兰镇抗埠村</t>
  </si>
  <si>
    <t>冀宁22#阀室</t>
  </si>
  <si>
    <t>22#阀室</t>
  </si>
  <si>
    <t>山东省枣庄市峄城区榴园镇韩楼村</t>
  </si>
  <si>
    <t>峄城站</t>
  </si>
  <si>
    <t>22#阀室接出</t>
  </si>
  <si>
    <t>枣庄分输站</t>
  </si>
  <si>
    <t>山东省枣庄市市中区永安乡遗棠村西</t>
  </si>
  <si>
    <t>冀宁23#阀室</t>
  </si>
  <si>
    <t>23#阀室</t>
  </si>
  <si>
    <t>山东省枣庄市薛城区邹坞镇张岭村</t>
  </si>
  <si>
    <t>山东省枣庄市山亭区桑村镇芹沃村</t>
  </si>
  <si>
    <t>冀宁24#阀室</t>
  </si>
  <si>
    <t>24#阀室</t>
  </si>
  <si>
    <t>山东省枣庄市滕州市东郭镇辛绪村</t>
  </si>
  <si>
    <t>冀宁25#阀室</t>
  </si>
  <si>
    <t>25#阀室</t>
  </si>
  <si>
    <t>山东省济宁市邹城市张庄镇刘洼村</t>
  </si>
  <si>
    <t>山东省济宁市曲阜市尼山镇西余村</t>
  </si>
  <si>
    <t>冀宁26#阀室</t>
  </si>
  <si>
    <t>山东省济宁市曲阜市防山镇徐家村</t>
  </si>
  <si>
    <t>冀宁27#阀室</t>
  </si>
  <si>
    <t>27#阀室</t>
  </si>
  <si>
    <t>济南作业区</t>
  </si>
  <si>
    <t>山东省泰安市宁阳县葛石镇刘庄村</t>
  </si>
  <si>
    <t>肥城分输站</t>
  </si>
  <si>
    <t>山东省泰安市肥城市汶阳镇张孝门村</t>
  </si>
  <si>
    <t>山东省泰安市岱岳区道朗镇鱼池村</t>
  </si>
  <si>
    <t>冀宁29#阀室</t>
  </si>
  <si>
    <t>29#阀室</t>
  </si>
  <si>
    <t>山东省济南市长清区马山镇大元村</t>
  </si>
  <si>
    <t>山东省济南市长清区归德镇开发区</t>
  </si>
  <si>
    <t>冀宁30#阀室</t>
  </si>
  <si>
    <t>30#阀室</t>
  </si>
  <si>
    <t>德州作业区</t>
  </si>
  <si>
    <t>山东省德州市齐河县胡官镇纸坊村</t>
  </si>
  <si>
    <t>冀宁31#阀室</t>
  </si>
  <si>
    <t>31#阀室0</t>
  </si>
  <si>
    <t>31#阀室接出</t>
  </si>
  <si>
    <t>山东省德州市齐河县刘桥乡马庄村</t>
  </si>
  <si>
    <t>冀宁32#阀室</t>
  </si>
  <si>
    <t>山东省德州市禹城市房寺镇石佛寺村</t>
  </si>
  <si>
    <t>冀宁33#阀室</t>
  </si>
  <si>
    <t>33#阀室</t>
  </si>
  <si>
    <t>山东省德州市平原县王庙镇韩庄村</t>
  </si>
  <si>
    <t>冀宁34#阀室</t>
  </si>
  <si>
    <t>34#阀室</t>
  </si>
  <si>
    <t>山东省德州市平原县恩城镇十里铺村</t>
  </si>
  <si>
    <t>山东省德州市武城县四女寺镇白庄村</t>
  </si>
  <si>
    <t>冀宁35#阀室</t>
  </si>
  <si>
    <t>35#阀室0</t>
  </si>
  <si>
    <t>故城分输站</t>
  </si>
  <si>
    <t>河北省衡水市故城县辛庄乡东辛庄村</t>
  </si>
  <si>
    <t>冀宁36#阀室</t>
  </si>
  <si>
    <t>36#阀室</t>
  </si>
  <si>
    <t>河北省衡水市景县龙华镇前孙庄村</t>
  </si>
  <si>
    <t>衡水分输站</t>
  </si>
  <si>
    <t>河北省衡水市武邑县武邑镇石家庄村</t>
  </si>
  <si>
    <t>冀宁37#阀室</t>
  </si>
  <si>
    <t>37#阀室</t>
  </si>
  <si>
    <t>河北省衡水市深州市护驾迟镇莲花池村</t>
  </si>
  <si>
    <t>冀宁38#阀室</t>
  </si>
  <si>
    <t>河北省衡水市深州市深州镇良知台村</t>
  </si>
  <si>
    <t>冀宁39#阀室</t>
  </si>
  <si>
    <t>39#阀室</t>
  </si>
  <si>
    <t>河北省衡水市深州市唐奉镇赵八庄村</t>
  </si>
  <si>
    <t>北京管道</t>
  </si>
  <si>
    <t>石家庄作业区</t>
  </si>
  <si>
    <t>统计陕二</t>
  </si>
  <si>
    <t>河北省衡水市安平县马店镇崔岭村</t>
  </si>
  <si>
    <t>邳连1#阀室</t>
  </si>
  <si>
    <t>邳连</t>
  </si>
  <si>
    <t>江苏省徐州市邳州市运河镇张楼村</t>
  </si>
  <si>
    <t>邳连2#阀室</t>
  </si>
  <si>
    <t>江苏省徐州市新沂市港头镇板桥村</t>
  </si>
  <si>
    <t>新沂分输站</t>
  </si>
  <si>
    <t>江苏省徐州市新沂市唐甸镇</t>
  </si>
  <si>
    <t>邳连4#阀室</t>
  </si>
  <si>
    <t>江苏省徐州市新沂市双塘镇九墩村</t>
  </si>
  <si>
    <t>邳连5#阀室</t>
  </si>
  <si>
    <t>江苏省连云港市东海县牛山镇吴庄村</t>
  </si>
  <si>
    <t>邳连6#阀室</t>
  </si>
  <si>
    <t>江苏省连云港市东海县北塔埠镇后蔷薇村</t>
  </si>
  <si>
    <t>江苏省连云港市海洲区浦南镇浦北村</t>
  </si>
  <si>
    <t>滕临1#阀室</t>
  </si>
  <si>
    <t>滕临</t>
  </si>
  <si>
    <t>山东省枣庄市山亭区徐庄镇水门口村</t>
  </si>
  <si>
    <t>滕临2#阀室</t>
  </si>
  <si>
    <t>日照作业区</t>
  </si>
  <si>
    <t>山东省临沂市费县石井镇沙家店村</t>
  </si>
  <si>
    <t>滕临3#阀室</t>
  </si>
  <si>
    <t>山东省临沂市兰陵县大仲村镇下流井村</t>
  </si>
  <si>
    <t>山东省临沂市罗庄区罗西乡坞南庄村</t>
  </si>
  <si>
    <t>邳徐1#阀室</t>
  </si>
  <si>
    <t>邳徐</t>
  </si>
  <si>
    <t>江苏省徐州市铜山区大许镇太山村</t>
  </si>
  <si>
    <t>邳徐2#阀室</t>
  </si>
  <si>
    <t>江苏省徐州市贾汪区大吴镇虎山村</t>
  </si>
  <si>
    <t>大吴分输站</t>
  </si>
  <si>
    <t>江苏省徐州市鼓楼区大庙镇贺庄村</t>
  </si>
  <si>
    <t>小雪分输站</t>
  </si>
  <si>
    <t>济宁</t>
  </si>
  <si>
    <t>山东省济宁市曲阜市陵城镇东郭村</t>
  </si>
  <si>
    <t>山东省济宁市兖州区王因镇景云路</t>
  </si>
  <si>
    <t>山东省德州市武城县武城镇孙河沟庄村</t>
  </si>
  <si>
    <t>山东省德州市德城区黄河崖镇果子李村</t>
  </si>
  <si>
    <t>刘庄1#阀室</t>
  </si>
  <si>
    <t>1#阀室0</t>
  </si>
  <si>
    <t>刘庄</t>
  </si>
  <si>
    <t>淮安市和平镇路东庄村</t>
  </si>
  <si>
    <t>刘庄2#阀室</t>
  </si>
  <si>
    <t>2#阀室0</t>
  </si>
  <si>
    <t>淮安市万集镇后朱村</t>
  </si>
  <si>
    <t>金北街道军王村</t>
  </si>
  <si>
    <t>如东1#阀室</t>
  </si>
  <si>
    <t>如东1#阀室▲</t>
  </si>
  <si>
    <t>江苏省扬州市江都区丁伙镇倪庄南</t>
  </si>
  <si>
    <t>如东2#阀室</t>
  </si>
  <si>
    <t>如东2#阀室▲</t>
  </si>
  <si>
    <t>江苏省扬州市江都区郭村镇四庄村</t>
  </si>
  <si>
    <t>泰州分输站</t>
  </si>
  <si>
    <t>泰兴作业区</t>
  </si>
  <si>
    <t>江苏省泰州市高港区刁铺镇</t>
  </si>
  <si>
    <t>高港分输站</t>
  </si>
  <si>
    <t>江苏省泰州市高港区野徐镇杨家桥</t>
  </si>
  <si>
    <t>如东4#阀室</t>
  </si>
  <si>
    <t>如东4#阀室▲</t>
  </si>
  <si>
    <t>江苏省泰州市高港区胡庄镇田家厦</t>
  </si>
  <si>
    <t>如东5#阀室</t>
  </si>
  <si>
    <t>如东5#阀室▲</t>
  </si>
  <si>
    <t>江苏省泰州市泰兴市姚王镇徐家庄</t>
  </si>
  <si>
    <t>江苏省泰州市泰兴市溪桥镇唐家庄</t>
  </si>
  <si>
    <t>如东6#阀室</t>
  </si>
  <si>
    <t>如东6#阀室▲</t>
  </si>
  <si>
    <t>江苏省泰州市泰兴市珊瑚镇蒋家岱</t>
  </si>
  <si>
    <t>如东7#阀室</t>
  </si>
  <si>
    <t>如东7#阀室▲</t>
  </si>
  <si>
    <t>南通作业区</t>
  </si>
  <si>
    <t>江苏省南通市如皋市石庄镇唐家埠</t>
  </si>
  <si>
    <t>江苏省南通市如皋市郭园镇野庄</t>
  </si>
  <si>
    <t>如东8#阀室</t>
  </si>
  <si>
    <t>如东8#阀室▲</t>
  </si>
  <si>
    <t>江苏省南通市如皋市九华镇西高原</t>
  </si>
  <si>
    <t>南通分输站</t>
  </si>
  <si>
    <t>江苏省南通市通州区刘桥镇新联南</t>
  </si>
  <si>
    <t>如东9#阀室</t>
  </si>
  <si>
    <t>如东9#阀室▲</t>
  </si>
  <si>
    <t>江苏省南通市如东县新店镇双丰闸九组</t>
  </si>
  <si>
    <t>如东10#阀室</t>
  </si>
  <si>
    <t>江苏省南通市如东县马塘镇银杏村十二组</t>
  </si>
  <si>
    <t>如东11#阀室</t>
  </si>
  <si>
    <t>如东11#阀室▲</t>
  </si>
  <si>
    <t>江苏省南通市如东县苴镇凤阳村七组</t>
  </si>
  <si>
    <t>江苏省南通市如东县长沙镇洋口港开发区</t>
  </si>
  <si>
    <t>如皋1#阀室</t>
  </si>
  <si>
    <t>海门1#阀室</t>
  </si>
  <si>
    <t>海门1#阀室▲</t>
  </si>
  <si>
    <t>海门末站</t>
  </si>
  <si>
    <t>江苏省南通市如东县长沙镇富阳村</t>
  </si>
  <si>
    <t>海门2#阀室</t>
  </si>
  <si>
    <t>海门2#阀室★</t>
  </si>
  <si>
    <t>江苏省南通市如东县大豫镇东凌村</t>
  </si>
  <si>
    <t>海门3#阀室</t>
  </si>
  <si>
    <t>海门3#阀室★</t>
  </si>
  <si>
    <t>江苏省南通市通州区江苏宁港开发公司</t>
  </si>
  <si>
    <t>海门4#阀室</t>
  </si>
  <si>
    <t>海门4#阀室★</t>
  </si>
  <si>
    <t>江苏省南通市通州区海晏镇中闸村</t>
  </si>
  <si>
    <t>海门5#阀室</t>
  </si>
  <si>
    <t>海门5#阀室★</t>
  </si>
  <si>
    <t>江苏省南通市通州区骑岸镇东南村</t>
  </si>
  <si>
    <t>海门6#阀室</t>
  </si>
  <si>
    <t>海门6#阀室▲</t>
  </si>
  <si>
    <t>江苏省南通市海门市四甲镇胜利村</t>
  </si>
  <si>
    <t>海门分输站</t>
  </si>
  <si>
    <t>江苏省南通市海门市三厂镇孝汉村</t>
  </si>
  <si>
    <t>用户站场，不计入统计</t>
  </si>
  <si>
    <t>上海市崇明区新村乡</t>
  </si>
  <si>
    <t>如东12#阀室</t>
  </si>
  <si>
    <t>如东12#阀室▲</t>
  </si>
  <si>
    <t>江苏省泰州市靖江市生祠镇鞠双村</t>
  </si>
  <si>
    <t>靖江分输站</t>
  </si>
  <si>
    <t>江苏省泰州市靖江市东兴镇何德村</t>
  </si>
  <si>
    <t>江阴分输站</t>
  </si>
  <si>
    <t>江苏省无锡市江阴市利港镇仁和村</t>
  </si>
  <si>
    <t>如东13#阀室</t>
  </si>
  <si>
    <t>如东13#阀室▲</t>
  </si>
  <si>
    <t>江苏常州市武进区郑陆镇翟家湾村</t>
  </si>
  <si>
    <t>如东14#阀室</t>
  </si>
  <si>
    <t>如东14#阀室▲</t>
  </si>
  <si>
    <t>江苏常州市武进区横山桥镇董村</t>
  </si>
  <si>
    <t>淮武1#阀室</t>
  </si>
  <si>
    <t>淮武</t>
  </si>
  <si>
    <t>河南省周口市项城市南顿镇周大庄村</t>
  </si>
  <si>
    <t>淮武2#阀室</t>
  </si>
  <si>
    <t>潢川作业区</t>
  </si>
  <si>
    <t>河南省周口市项城市高寺镇高寺寨村</t>
  </si>
  <si>
    <t>淮武3#阀室</t>
  </si>
  <si>
    <t>河南省驻马店市平舆县东和店镇东和店村</t>
  </si>
  <si>
    <t>平舆分输站</t>
  </si>
  <si>
    <t>淮武4#阀室</t>
  </si>
  <si>
    <t>3#阀室接出</t>
  </si>
  <si>
    <t>河南省驻马店市新蔡县孙召乡马庄村</t>
  </si>
  <si>
    <t>淮武5#阀室</t>
  </si>
  <si>
    <t>河南省驻马店市新蔡县关津乡黄夹道村</t>
  </si>
  <si>
    <t>淮武6#阀室</t>
  </si>
  <si>
    <t>河南省信阳市息县小回镇曹庄村</t>
  </si>
  <si>
    <t>淮武7#阀室</t>
  </si>
  <si>
    <t>河南省信阳市息县陈棚乡饶庄村</t>
  </si>
  <si>
    <t>潢川分输站</t>
  </si>
  <si>
    <t>河南省信阳市潢川县定城街道方店村</t>
  </si>
  <si>
    <t>淮武8A#阀室</t>
  </si>
  <si>
    <t>8A#阀室★</t>
  </si>
  <si>
    <t>河南省信阳市光山县十里镇五里店村</t>
  </si>
  <si>
    <t>淮武8B#阀室</t>
  </si>
  <si>
    <t>8B#阀室★</t>
  </si>
  <si>
    <t>淮武9#阀室</t>
  </si>
  <si>
    <t>河南省信阳市光山县文殊乡花山村</t>
  </si>
  <si>
    <t>淮武10#阀室</t>
  </si>
  <si>
    <t>10#阀室</t>
  </si>
  <si>
    <t>河南省信阳市新县千斤乡大堂村</t>
  </si>
  <si>
    <t>淮武11#阀室</t>
  </si>
  <si>
    <t>华中公司</t>
  </si>
  <si>
    <t>红安分输站</t>
  </si>
  <si>
    <t>湖北省黄冈市红安县七里坪镇八一村</t>
  </si>
  <si>
    <t>淮武12#阀室</t>
  </si>
  <si>
    <t>湖北省黄冈市红安县杏花乡星光村</t>
  </si>
  <si>
    <t>12#阀室接出</t>
  </si>
  <si>
    <t>淮武13#阀室</t>
  </si>
  <si>
    <t>湖北省黄冈市红安县高桥镇何家湾村</t>
  </si>
  <si>
    <t>淮武14#阀室</t>
  </si>
  <si>
    <t>黄陂作业区</t>
  </si>
  <si>
    <t>湖北省武汉市黄陂区蔡家榨镇永福村</t>
  </si>
  <si>
    <t>淮武15#阀室</t>
  </si>
  <si>
    <t>湖北省武汉市黄陂区王家河镇合丰村</t>
  </si>
  <si>
    <t>淮武16#阀室</t>
  </si>
  <si>
    <t>湖北省武汉市黄陂区横店街道陈东湾村</t>
  </si>
  <si>
    <t>淮武17#阀室</t>
  </si>
  <si>
    <t>湖北省武汉市东西湖区柏泉街道</t>
  </si>
  <si>
    <t>淮武18#阀室</t>
  </si>
  <si>
    <t>湖北省武汉市东西湖区走马岭街道六合村</t>
  </si>
  <si>
    <t>淮武19#阀室</t>
  </si>
  <si>
    <t>武汉作业区</t>
  </si>
  <si>
    <t>湖北省武汉市蔡甸区张湾镇张家淌村</t>
  </si>
  <si>
    <t>淮武20#阀室</t>
  </si>
  <si>
    <t>湖北省武汉市蔡甸区奓山镇老世陈村</t>
  </si>
  <si>
    <t>湖北省武汉市蔡甸区军山镇幸福桥村</t>
  </si>
  <si>
    <t>霍尔果斯压气站●</t>
  </si>
  <si>
    <t>霍尔果斯作业区</t>
  </si>
  <si>
    <t>西二、西三、伊霍支线合建、连通</t>
  </si>
  <si>
    <t>西二</t>
  </si>
  <si>
    <t>新疆维吾尔自治区伊犁哈萨克自治州伊宁市农四师62团</t>
  </si>
  <si>
    <t>西二1#阀室</t>
  </si>
  <si>
    <t>新疆维吾尔自治区伊犁哈萨克自治州伊宁市霍城县大西沟乡</t>
  </si>
  <si>
    <t>西二2#阀室</t>
  </si>
  <si>
    <t>2#阀室★●</t>
  </si>
  <si>
    <t>与西三2#阀室连通</t>
  </si>
  <si>
    <t>★●</t>
  </si>
  <si>
    <t>新疆维吾尔自治区伊犁哈萨克自治州伊宁市霍城县芦草沟乡</t>
  </si>
  <si>
    <t>西二3#阀室</t>
  </si>
  <si>
    <t>3#阀室★●</t>
  </si>
  <si>
    <t>精河压气站</t>
  </si>
  <si>
    <t>与西三3#阀室连通</t>
  </si>
  <si>
    <t>新疆维吾尔自治区伊犁哈萨克自治州伊宁市霍城县果子沟乡</t>
  </si>
  <si>
    <t>西二4#阀室</t>
  </si>
  <si>
    <t>4#阀室▲●</t>
  </si>
  <si>
    <t>与西三4#阀室连通</t>
  </si>
  <si>
    <t>▲●</t>
  </si>
  <si>
    <t>新疆维吾尔自治区博尔塔拉蒙古自治州博乐市三台</t>
  </si>
  <si>
    <t>西二5#阀室</t>
  </si>
  <si>
    <t>5#阀室▲</t>
  </si>
  <si>
    <t>新疆维吾尔自治区博尔塔拉蒙古自治州博乐市四台</t>
  </si>
  <si>
    <t>精河压气站●</t>
  </si>
  <si>
    <t>西二、西三合建、连通</t>
  </si>
  <si>
    <t>新疆维吾尔自治区博尔塔拉蒙古自治州精河县大河沿子镇</t>
  </si>
  <si>
    <t>西二6#阀室</t>
  </si>
  <si>
    <t>6#阀室▲</t>
  </si>
  <si>
    <t>新疆维吾尔自治区博尔塔拉蒙古自治州精河县精河沙山子</t>
  </si>
  <si>
    <t>西二7#阀室</t>
  </si>
  <si>
    <t>7#阀室▲</t>
  </si>
  <si>
    <t>新疆维吾尔自治区博尔塔拉蒙古自治州精河县</t>
  </si>
  <si>
    <t>西二8#阀室</t>
  </si>
  <si>
    <t>新疆维吾尔自治区博尔塔拉蒙古自治州精河县精河盐场</t>
  </si>
  <si>
    <t>西二9#阀室</t>
  </si>
  <si>
    <t>9#阀室▲</t>
  </si>
  <si>
    <t>乌苏作业区</t>
  </si>
  <si>
    <t>新疆维吾尔自治区博尔塔拉蒙古自治州精河县托托镇</t>
  </si>
  <si>
    <t>西二10#阀室</t>
  </si>
  <si>
    <t>10#阀室▲</t>
  </si>
  <si>
    <t>新疆维吾尔自治区塔城地区乌苏市古尔图乡</t>
  </si>
  <si>
    <t>乌苏压气站</t>
  </si>
  <si>
    <t>乌苏压气站●</t>
  </si>
  <si>
    <t>新疆维吾尔自治区塔城地区乌苏市四棵树乡</t>
  </si>
  <si>
    <t>西二11#阀室</t>
  </si>
  <si>
    <t>新疆维吾尔自治区塔城地区乌苏市西大沟乡</t>
  </si>
  <si>
    <t>独山子作业区</t>
  </si>
  <si>
    <t>新疆维吾尔自治区伊犁哈萨克自治州奎屯市</t>
  </si>
  <si>
    <t>西二13#阀室</t>
  </si>
  <si>
    <t>13#阀室▲</t>
  </si>
  <si>
    <t>新疆维吾尔自治区塔城地区沙湾县安集海镇</t>
  </si>
  <si>
    <t>西二14#阀室</t>
  </si>
  <si>
    <t>14#阀室▲</t>
  </si>
  <si>
    <t>新疆维吾尔自治区塔城地区沙湾县金沟河镇</t>
  </si>
  <si>
    <t>西二15#阀室</t>
  </si>
  <si>
    <t>15#阀室▲</t>
  </si>
  <si>
    <t>新疆维吾尔自治区石河子市石河子乡</t>
  </si>
  <si>
    <t>玛纳斯压气站</t>
  </si>
  <si>
    <t>玛纳斯压气站●</t>
  </si>
  <si>
    <t>玛纳斯作业区</t>
  </si>
  <si>
    <t>西二、西三合建；连通</t>
  </si>
  <si>
    <t>新疆维吾尔自治区昌吉回族自治州玛纳斯县乐土驿镇</t>
  </si>
  <si>
    <t>西二16#阀室</t>
  </si>
  <si>
    <t>16#阀室▲</t>
  </si>
  <si>
    <t>新疆维吾尔自治区昌吉回族自治州呼图壁县五工台镇</t>
  </si>
  <si>
    <t>西二17#阀室</t>
  </si>
  <si>
    <t>17#阀室▲</t>
  </si>
  <si>
    <t>王家沟作业区</t>
  </si>
  <si>
    <t>新疆维吾尔自治区昌吉回族自治州昌吉市兵团农六师军户农场3连</t>
  </si>
  <si>
    <t>昌吉分输站</t>
  </si>
  <si>
    <t>昌吉分输站●</t>
  </si>
  <si>
    <t>大流量计量站乌鲁木齐分站</t>
  </si>
  <si>
    <t>新疆维吾尔自治区昌吉回族自治州昌吉市</t>
  </si>
  <si>
    <t>西二19#阀室</t>
  </si>
  <si>
    <t>新疆维吾尔自治区乌鲁木齐市乌鲁木齐县农十二师14团4连</t>
  </si>
  <si>
    <t>乌鲁木齐压气站</t>
  </si>
  <si>
    <t>乌鲁木齐压气站●</t>
  </si>
  <si>
    <t>乌鲁木齐作业区</t>
  </si>
  <si>
    <t>新疆维吾尔自治区乌鲁木齐市天山区乌拉泊</t>
  </si>
  <si>
    <t>西二20#阀室</t>
  </si>
  <si>
    <t>20#阀室▲</t>
  </si>
  <si>
    <t>新疆维吾尔自治区乌鲁木齐市达坂城区柴窝堡乡</t>
  </si>
  <si>
    <t>西二21#阀室</t>
  </si>
  <si>
    <t>21#阀室▲</t>
  </si>
  <si>
    <t>新疆维吾尔自治区乌鲁木齐市达坂城区</t>
  </si>
  <si>
    <t>西二22#阀室</t>
  </si>
  <si>
    <t>22#阀室▲</t>
  </si>
  <si>
    <t>连木沁作业区</t>
  </si>
  <si>
    <t>新疆维吾尔自治区吐鲁番市高昌区大河沿镇</t>
  </si>
  <si>
    <t>吐鲁番压气站●</t>
  </si>
  <si>
    <t>新疆维吾尔自治区吐鲁番市高昌区大河沿镇南</t>
  </si>
  <si>
    <t>西二24#阀室</t>
  </si>
  <si>
    <t>24#阀室▲</t>
  </si>
  <si>
    <t>新疆维吾尔自治区吐鲁番市高昌区葡萄镇</t>
  </si>
  <si>
    <t>西二25#阀室</t>
  </si>
  <si>
    <t>25#阀室▲</t>
  </si>
  <si>
    <t>新疆维吾尔自治区吐鲁番市高昌区胜金乡</t>
  </si>
  <si>
    <t>连木沁压气站</t>
  </si>
  <si>
    <t>连木沁压气站●</t>
  </si>
  <si>
    <t>新疆维吾尔自治区吐鲁番市鄯善县连木沁镇北</t>
  </si>
  <si>
    <t>西二26#阀室</t>
  </si>
  <si>
    <t>26#阀室▲</t>
  </si>
  <si>
    <t>鄯善作业区</t>
  </si>
  <si>
    <t>新疆维吾尔自治区吐鲁番市鄯善县火车站镇西</t>
  </si>
  <si>
    <t>西二27#阀室</t>
  </si>
  <si>
    <t>新疆维吾尔自治区吐鲁番市鄯善县火车站镇东</t>
  </si>
  <si>
    <t>温吉桑阀室</t>
  </si>
  <si>
    <t>新疆省维吾尔自治区吐鲁番市鄯善县七克台镇温吉桑阀室</t>
  </si>
  <si>
    <t>西二28#阀室</t>
  </si>
  <si>
    <t>西二29#阀室</t>
  </si>
  <si>
    <t>29#阀室▲</t>
  </si>
  <si>
    <t>新疆维吾尔自治区哈密市伊州区红台火车站东</t>
  </si>
  <si>
    <t>西二30#阀室</t>
  </si>
  <si>
    <t>30#阀室▲</t>
  </si>
  <si>
    <t>新疆维吾尔自治区哈密市伊州区十三间房火车站东南</t>
  </si>
  <si>
    <t>了墩压气站</t>
  </si>
  <si>
    <t>了墩压气站●</t>
  </si>
  <si>
    <t>了墩作业区</t>
  </si>
  <si>
    <t>新疆维吾尔自治区哈密市伊州区七角井镇</t>
  </si>
  <si>
    <t>西二31#阀室</t>
  </si>
  <si>
    <t>31#阀室▲</t>
  </si>
  <si>
    <t>新疆维吾尔自治区哈密市伊州区五堡镇</t>
  </si>
  <si>
    <t>西二32#阀室</t>
  </si>
  <si>
    <t>32#阀室▲</t>
  </si>
  <si>
    <t>西二33#阀室</t>
  </si>
  <si>
    <t>33#阀室▲</t>
  </si>
  <si>
    <t>哈密分输站</t>
  </si>
  <si>
    <t>新疆维吾尔自治区哈密市伊州区花园乡</t>
  </si>
  <si>
    <t>西二35#阀室</t>
  </si>
  <si>
    <t>35#阀室▲</t>
  </si>
  <si>
    <t>新疆维吾尔自治区哈密市伊州区大泉湾镇</t>
  </si>
  <si>
    <t>烟墩压气站</t>
  </si>
  <si>
    <t>烟墩压气站●</t>
  </si>
  <si>
    <t>西二36#阀室</t>
  </si>
  <si>
    <t>36#阀室▲</t>
  </si>
  <si>
    <t>西二37#阀室</t>
  </si>
  <si>
    <t>西二38#阀室</t>
  </si>
  <si>
    <t>38#阀室▲</t>
  </si>
  <si>
    <t>西二39#阀室</t>
  </si>
  <si>
    <t>39#阀室▲</t>
  </si>
  <si>
    <t>西二40#阀室</t>
  </si>
  <si>
    <t>40#阀室▲</t>
  </si>
  <si>
    <t>西二41#阀室</t>
  </si>
  <si>
    <t>41#阀室▲</t>
  </si>
  <si>
    <t>西二42#阀室</t>
  </si>
  <si>
    <t>42#阀室▲</t>
  </si>
  <si>
    <t>西二43#阀室</t>
  </si>
  <si>
    <t>西二44#阀室</t>
  </si>
  <si>
    <t>44#阀室▲</t>
  </si>
  <si>
    <t>甘肃省酒泉市瓜州县布隆吉乡西侧约2公里</t>
  </si>
  <si>
    <t>瓜州压气站</t>
  </si>
  <si>
    <t>瓜州压气站●</t>
  </si>
  <si>
    <t>甘肃省酒泉市瓜州县腰站子乡腰站子九队</t>
  </si>
  <si>
    <t>西二45#阀室</t>
  </si>
  <si>
    <t>45#阀室▲</t>
  </si>
  <si>
    <t>甘肃省酒泉市玉门市玉门镇戈壁滩</t>
  </si>
  <si>
    <t>西二46#阀室</t>
  </si>
  <si>
    <t>46#阀室▲</t>
  </si>
  <si>
    <t>甘肃省酒泉市玉门市甘肃矿区银达乡低窝铺南侧1米</t>
  </si>
  <si>
    <t>西二47#阀室</t>
  </si>
  <si>
    <t>47#阀室▲</t>
  </si>
  <si>
    <t>甘肃省酒泉市玉门市赤金镇东沙门村向西3公里</t>
  </si>
  <si>
    <t>西二48#阀室</t>
  </si>
  <si>
    <t>48#阀室▲</t>
  </si>
  <si>
    <t>甘肃省酒泉市玉门市清泉乡新民堡村西侧5公里</t>
  </si>
  <si>
    <t>西二49#阀室</t>
  </si>
  <si>
    <t>甘肃省嘉峪关市酒钢农场南</t>
  </si>
  <si>
    <t>嘉峪关压气站●</t>
  </si>
  <si>
    <t>甘肃省嘉峪关市文殊镇团结三队</t>
  </si>
  <si>
    <t>西二50#阀室</t>
  </si>
  <si>
    <t>50#阀室▲</t>
  </si>
  <si>
    <t>甘肃省酒泉市肃州区总寨镇沙格楞村</t>
  </si>
  <si>
    <t>西二51#阀室</t>
  </si>
  <si>
    <t>51#阀室▲</t>
  </si>
  <si>
    <t>甘肃省酒泉市肃州区金佛寺镇西三坝村</t>
  </si>
  <si>
    <t>西二52#阀室</t>
  </si>
  <si>
    <t>52#阀室▲</t>
  </si>
  <si>
    <t>甘肃省酒泉市肃州区清水镇马营河西侧</t>
  </si>
  <si>
    <t>西二53#阀室</t>
  </si>
  <si>
    <t>甘肃省张掖市高台县新坝乡戈壁滩</t>
  </si>
  <si>
    <t>西二54#阀室</t>
  </si>
  <si>
    <t>54#阀室▲</t>
  </si>
  <si>
    <t>甘肃省张掖市高台县南华镇火车站东侧</t>
  </si>
  <si>
    <t>西二55#阀室</t>
  </si>
  <si>
    <t>55#阀室▲</t>
  </si>
  <si>
    <t>甘肃省张掖市临泽县新华镇大寨村</t>
  </si>
  <si>
    <t>张掖压气站●</t>
  </si>
  <si>
    <t>甘肃省张掖市甘州区沙井镇小闸村</t>
  </si>
  <si>
    <t>西二56#阀室</t>
  </si>
  <si>
    <t>56#阀室▲</t>
  </si>
  <si>
    <t>甘肃省张掖市甘州区上秦镇东王堡村</t>
  </si>
  <si>
    <t>西二57#阀室</t>
  </si>
  <si>
    <t>57#阀室▲</t>
  </si>
  <si>
    <t>甘肃省张掖市山丹县东乐镇东乐火车站东4千米</t>
  </si>
  <si>
    <t>西二58#阀室</t>
  </si>
  <si>
    <t>甘肃省张掖市山丹县位奇镇高寨村</t>
  </si>
  <si>
    <t>西二59#阀室</t>
  </si>
  <si>
    <t>59#阀室▲</t>
  </si>
  <si>
    <t>甘肃省张掖市山丹县老军乡丰城堡村</t>
  </si>
  <si>
    <t>永昌压气站</t>
  </si>
  <si>
    <t>永昌压气站●</t>
  </si>
  <si>
    <t>甘肃省金昌市永昌县红山窑乡水泉村</t>
  </si>
  <si>
    <t>西二60#阀室</t>
  </si>
  <si>
    <t>60#阀室▲</t>
  </si>
  <si>
    <t>甘肃省金昌市永昌县焦家庄乡楼庄子村</t>
  </si>
  <si>
    <t>61#阀室▲</t>
  </si>
  <si>
    <t>甘肃省金昌市永昌县六坝乡七坝村</t>
  </si>
  <si>
    <t>西二62#阀室</t>
  </si>
  <si>
    <t>甘肃省武威市凉州区永丰镇</t>
  </si>
  <si>
    <t>甘肃省武威市凉州区高坝镇红中村</t>
  </si>
  <si>
    <t>西二64#阀室</t>
  </si>
  <si>
    <t>64#阀室▲</t>
  </si>
  <si>
    <t>甘肃省武威市凉州区黄羊镇亚麻厂</t>
  </si>
  <si>
    <t>西二65#阀室</t>
  </si>
  <si>
    <t>65#阀室▲</t>
  </si>
  <si>
    <t>甘肃省武威市古浪县西靖镇平原村</t>
  </si>
  <si>
    <t>西二66#阀室</t>
  </si>
  <si>
    <t>66#阀室▲</t>
  </si>
  <si>
    <t>甘肃省白银市景泰县漫水滩镇高墩村</t>
  </si>
  <si>
    <t>西二67#阀室</t>
  </si>
  <si>
    <t>西二68#阀室</t>
  </si>
  <si>
    <t>68#阀室▲●</t>
  </si>
  <si>
    <t>与西三68#阀室连通</t>
  </si>
  <si>
    <t>宁夏回族自治区中卫市沙坡头区迎水镇营盘水村</t>
  </si>
  <si>
    <t>西二69#阀室</t>
  </si>
  <si>
    <t>69#阀室▲</t>
  </si>
  <si>
    <t>宁夏回族自治区中卫市沙坡头区迎水镇长流水村</t>
  </si>
  <si>
    <t>西二70#阀室</t>
  </si>
  <si>
    <t>西二71#阀室</t>
  </si>
  <si>
    <t>宁夏回族自治区中卫市沙坡头区常乐镇水车村</t>
  </si>
  <si>
    <t>西一、西二、西三、中贵、中靖合建</t>
  </si>
  <si>
    <t>西二72#阀室</t>
  </si>
  <si>
    <t>72#阀室▲</t>
  </si>
  <si>
    <t>宁夏回族自治区中卫市沙坡头区宣和镇敬农村</t>
  </si>
  <si>
    <t>西二73#阀室</t>
  </si>
  <si>
    <t>海原压气站</t>
  </si>
  <si>
    <t>宁夏回族自治区吴忠市同心县河西镇刺呀咀村</t>
  </si>
  <si>
    <t>西二74#阀室</t>
  </si>
  <si>
    <t>74#阀室▲</t>
  </si>
  <si>
    <t>宁夏回族自治区中卫市海原县高崖乡红古村</t>
  </si>
  <si>
    <t>宁夏回族自治区中卫市海原县李旺镇白圪垯村</t>
  </si>
  <si>
    <t>西二75#阀室</t>
  </si>
  <si>
    <t>75#阀室▲</t>
  </si>
  <si>
    <t>宁夏回族自治区中卫市海原县七营镇杨堡村</t>
  </si>
  <si>
    <t>西二76#阀室</t>
  </si>
  <si>
    <t>76#阀室▲</t>
  </si>
  <si>
    <t>宁夏回族自治区中卫市海原县黑城镇黑城村</t>
  </si>
  <si>
    <t>西二77#阀室</t>
  </si>
  <si>
    <t>彭阳作业区</t>
  </si>
  <si>
    <t>宁夏回族自治区固原市原州区头营镇胡大堡村</t>
  </si>
  <si>
    <t>固原分输站</t>
  </si>
  <si>
    <t>宁夏回族自治区固原市原州区开城镇小马庄村</t>
  </si>
  <si>
    <t>彭阳压气站</t>
  </si>
  <si>
    <t>宁夏回族自治区固原市彭阳县古城镇</t>
  </si>
  <si>
    <t>西二79#阀室</t>
  </si>
  <si>
    <t>79#阀室▲</t>
  </si>
  <si>
    <t>宁夏回族自治区固原市彭阳县红河乡宽坪村</t>
  </si>
  <si>
    <t>西二80#阀室</t>
  </si>
  <si>
    <t>80#阀室▲</t>
  </si>
  <si>
    <t>宁夏回族自治区固原市彭阳县红河乡何塬村</t>
  </si>
  <si>
    <t>西二81#阀室</t>
  </si>
  <si>
    <t>81#阀室▲</t>
  </si>
  <si>
    <t>灵台作业区</t>
  </si>
  <si>
    <t>甘肃省庆阳市镇原县新城乡孟寨村</t>
  </si>
  <si>
    <t>平泉分输站</t>
  </si>
  <si>
    <t>甘肃省庆阳市镇原县平泉镇上刘村</t>
  </si>
  <si>
    <t>西二82#阀室</t>
  </si>
  <si>
    <t>82#阀室▲</t>
  </si>
  <si>
    <t>甘肃省庆阳市镇原县中原乡高胜村</t>
  </si>
  <si>
    <t>西二83#阀室</t>
  </si>
  <si>
    <t>83#阀室▲</t>
  </si>
  <si>
    <t>甘肃省平凉市泾川县党原乡城刘村</t>
  </si>
  <si>
    <t>泾川分输站</t>
  </si>
  <si>
    <t>甘肃省平凉市泾川县丰台乡</t>
  </si>
  <si>
    <t>西二85#阀室</t>
  </si>
  <si>
    <t>85#阀室▲</t>
  </si>
  <si>
    <t>甘肃省平凉市泾川县高平镇</t>
  </si>
  <si>
    <t>灵台压气站</t>
  </si>
  <si>
    <t>甘肃省平凉市灵台县独店镇姚李村</t>
  </si>
  <si>
    <t>西二86#阀室</t>
  </si>
  <si>
    <t>86#阀室▲</t>
  </si>
  <si>
    <t>陕西省宝鸡市麟游县河西镇南沟村</t>
  </si>
  <si>
    <t>西二87#阀室</t>
  </si>
  <si>
    <t>陕西省咸阳市永寿县</t>
  </si>
  <si>
    <t>乾县西分输站</t>
  </si>
  <si>
    <t>高陵作业区</t>
  </si>
  <si>
    <t>原88#阀室</t>
  </si>
  <si>
    <t>陕西省咸阳市乾县吴店乡吴店村</t>
  </si>
  <si>
    <t>乾县东分输站</t>
  </si>
  <si>
    <t>原89#阀室</t>
  </si>
  <si>
    <t>陕西省咸阳市乾县阳洪镇</t>
  </si>
  <si>
    <t>礼泉分输站</t>
  </si>
  <si>
    <t>礼泉分输站▲</t>
  </si>
  <si>
    <t>陕西省咸阳市礼泉县张堡镇东寨村</t>
  </si>
  <si>
    <t>泾阳分输站</t>
  </si>
  <si>
    <t>陕西省咸阳市泾阳县燕王乡小杨村</t>
  </si>
  <si>
    <t>高陵压气站</t>
  </si>
  <si>
    <t>陕西省西安市高陵区湾子镇大夫雷村</t>
  </si>
  <si>
    <t>西二92#阀室</t>
  </si>
  <si>
    <t>92#阀室▲</t>
  </si>
  <si>
    <t>陕西省西安市临潼区</t>
  </si>
  <si>
    <t>临潼分输站</t>
  </si>
  <si>
    <t>西二93#阀室</t>
  </si>
  <si>
    <t>93#阀室▲</t>
  </si>
  <si>
    <t>陕西省西安市阎良区武屯镇东孙村</t>
  </si>
  <si>
    <t>西二94#阀室</t>
  </si>
  <si>
    <t>94#阀室▲</t>
  </si>
  <si>
    <t>陕西省渭南市临渭区田市镇伏家东村</t>
  </si>
  <si>
    <t>渭南煤层气站</t>
  </si>
  <si>
    <t>94#阀室接出</t>
  </si>
  <si>
    <t>陕西省渭南市临渭区</t>
  </si>
  <si>
    <t>渭南京蓝站</t>
  </si>
  <si>
    <t>西二95A#阀室</t>
  </si>
  <si>
    <t>95A#阀室▲</t>
  </si>
  <si>
    <t>西二95B#阀室</t>
  </si>
  <si>
    <t>95B#阀室★</t>
  </si>
  <si>
    <t>潼关作业区</t>
  </si>
  <si>
    <t>陕西省渭南市华州区辛庄乡马庄村</t>
  </si>
  <si>
    <t>华阴分输站</t>
  </si>
  <si>
    <t>陕西省渭南市华阴市罗敷镇台头村</t>
  </si>
  <si>
    <t>西二97#阀室</t>
  </si>
  <si>
    <t>97#阀室▲</t>
  </si>
  <si>
    <t>陕西省渭南市华阴市</t>
  </si>
  <si>
    <t>西二98#阀室</t>
  </si>
  <si>
    <t>98#阀室▲</t>
  </si>
  <si>
    <t>陕西省渭南市潼关县中军帐镇南营村</t>
  </si>
  <si>
    <t>潼关压气站</t>
  </si>
  <si>
    <t>陕西省渭南市潼关县代子营乡川城子村</t>
  </si>
  <si>
    <t>西二99#阀室</t>
  </si>
  <si>
    <t>99#阀室▲</t>
  </si>
  <si>
    <t>洛宁作业区</t>
  </si>
  <si>
    <t>河南省三门峡市灵宝市故县镇神底村</t>
  </si>
  <si>
    <t>西二100#阀室</t>
  </si>
  <si>
    <t>100#阀室▲</t>
  </si>
  <si>
    <t>河南省三门峡市灵宝市西闫乡南滩寨村</t>
  </si>
  <si>
    <t>西二101#阀室</t>
  </si>
  <si>
    <t>101#阀室▲</t>
  </si>
  <si>
    <t>河南省三门峡市灵宝市焦村镇高家庄村</t>
  </si>
  <si>
    <t>三门峡分输站</t>
  </si>
  <si>
    <t>河南省三门峡市灵宝市大王镇沟北村</t>
  </si>
  <si>
    <t>西二102#阀室</t>
  </si>
  <si>
    <t>102#阀室▲</t>
  </si>
  <si>
    <t>河南省三门峡市陕县菜园乡下庄村</t>
  </si>
  <si>
    <t>西二103#阀室</t>
  </si>
  <si>
    <t>103#阀室▲</t>
  </si>
  <si>
    <t>河南省三门峡市陕县宫前乡池头村</t>
  </si>
  <si>
    <t>洛宁压气站</t>
  </si>
  <si>
    <t>河南省洛阳市洛宁县东宋乡官庄村</t>
  </si>
  <si>
    <t>西二104#阀室</t>
  </si>
  <si>
    <t>104#阀室▲</t>
  </si>
  <si>
    <t>河南省洛阳市宜阳县张午乡程子村</t>
  </si>
  <si>
    <t>西二105#阀室</t>
  </si>
  <si>
    <t>105#阀室▲</t>
  </si>
  <si>
    <t>河南省洛阳市宜阳县赵堡乡东赵村</t>
  </si>
  <si>
    <t>河南省洛阳市伊川县鸣皋镇中溪村</t>
  </si>
  <si>
    <t>西二106#阀室</t>
  </si>
  <si>
    <t>106#阀室▲</t>
  </si>
  <si>
    <t>河南省洛阳市汝阳县蔡店乡辛庄村</t>
  </si>
  <si>
    <t>西二107#阀室</t>
  </si>
  <si>
    <t>107#阀室▲</t>
  </si>
  <si>
    <t>鲁山作业区</t>
  </si>
  <si>
    <t>河南省平顶山市汝州市温泉镇邓于村</t>
  </si>
  <si>
    <t>西二108#阀室</t>
  </si>
  <si>
    <t>108#阀室▲</t>
  </si>
  <si>
    <t>河南省平顶山市汝州市蟒川镇孙岭村</t>
  </si>
  <si>
    <t>西二109#阀室</t>
  </si>
  <si>
    <t>109#阀室▲</t>
  </si>
  <si>
    <t>河南省平顶山市宝丰县大营镇段寨村</t>
  </si>
  <si>
    <t>河南省平顶山市鲁山县辛集乡盆郭村</t>
  </si>
  <si>
    <t>西二110#阀室</t>
  </si>
  <si>
    <t>110#阀室▲</t>
  </si>
  <si>
    <t>河南省平顶山市鲁山县张良镇余庄村</t>
  </si>
  <si>
    <t>平顶山分输站</t>
  </si>
  <si>
    <t>河南省平顶山市叶县常村乡常村</t>
  </si>
  <si>
    <t>西二111#阀室</t>
  </si>
  <si>
    <t>111#阀室▲</t>
  </si>
  <si>
    <t>河南省南阳市方城县独树镇陈庄村</t>
  </si>
  <si>
    <t>西二112#阀室</t>
  </si>
  <si>
    <t>112#阀室▲</t>
  </si>
  <si>
    <t>河南省南阳市方城县二郞庙乡石窝村南</t>
  </si>
  <si>
    <t>社旗分输站</t>
  </si>
  <si>
    <t>原113#阀室</t>
  </si>
  <si>
    <t>河南省南阳市社旗县郝寨镇王十里村</t>
  </si>
  <si>
    <t>西二114#阀室</t>
  </si>
  <si>
    <t>114#阀室▲</t>
  </si>
  <si>
    <t>河南省南阳市唐河县源潭镇前焦岗村</t>
  </si>
  <si>
    <t>南阳分输站</t>
  </si>
  <si>
    <t>河南省南阳市唐河县古城乡阚庄村</t>
  </si>
  <si>
    <t>西二115#阀室</t>
  </si>
  <si>
    <t>115#阀室▲</t>
  </si>
  <si>
    <t>河南省南阳市唐河县祁仪乡板仓村</t>
  </si>
  <si>
    <t>西二116#阀室</t>
  </si>
  <si>
    <t>116#阀室▲</t>
  </si>
  <si>
    <t>枣阳作业区</t>
  </si>
  <si>
    <t>湖北省襄阳市枣阳市钱岗乡霍邑村二组</t>
  </si>
  <si>
    <t>湖北省襄阳市枣阳市刘升镇习家湾村</t>
  </si>
  <si>
    <t>西二117#阀室</t>
  </si>
  <si>
    <t>117#阀室▲</t>
  </si>
  <si>
    <t>湖北省随州市随县唐镇新桥村五组</t>
  </si>
  <si>
    <t>西二118#阀室</t>
  </si>
  <si>
    <t>118#阀室▲</t>
  </si>
  <si>
    <t>湖北省随州市随县历山镇三星村七组</t>
  </si>
  <si>
    <t>随州分输站</t>
  </si>
  <si>
    <t>湖北省随州市曾都区南郊街道和平村</t>
  </si>
  <si>
    <t>西二119#阀室</t>
  </si>
  <si>
    <t>119#阀室▲</t>
  </si>
  <si>
    <t>湖北省随州市曾都区淅河镇虹桥村一组</t>
  </si>
  <si>
    <t>西二120#阀室</t>
  </si>
  <si>
    <t>湖北省随州市广水市长岭镇土滩埔村</t>
  </si>
  <si>
    <t>西二121#阀室</t>
  </si>
  <si>
    <t>121#阀室▲</t>
  </si>
  <si>
    <t>湖北省孝感市安陆市洑水镇坝堤村</t>
  </si>
  <si>
    <t>西二122#阀室</t>
  </si>
  <si>
    <t>122#阀室▲</t>
  </si>
  <si>
    <t>湖北省孝感市安陆市陈店乡黄巷村</t>
  </si>
  <si>
    <t>孝感分输站</t>
  </si>
  <si>
    <t>湖北省孝感市孝昌县陡山乡陆光村</t>
  </si>
  <si>
    <t>西二123#阀室</t>
  </si>
  <si>
    <t>123#阀室▲</t>
  </si>
  <si>
    <t>湖北省孝感市孝南区杨店镇胡家田村</t>
  </si>
  <si>
    <t>湖北省武汉市黄陂区罗汉街道周寨村</t>
  </si>
  <si>
    <t>西二124#阀室</t>
  </si>
  <si>
    <t>124#阀室▲</t>
  </si>
  <si>
    <t>湖北省武汉市黄陂区六指街道许桥村匡家寨</t>
  </si>
  <si>
    <t>西二125#阀室</t>
  </si>
  <si>
    <t>125#阀室▲</t>
  </si>
  <si>
    <t>湖北省武汉市新洲区李集街道长岭村</t>
  </si>
  <si>
    <t>西二126#阀室</t>
  </si>
  <si>
    <t>126#阀室▲</t>
  </si>
  <si>
    <t>武穴作业区</t>
  </si>
  <si>
    <t>湖北省黄冈市团风县淋山河镇凤凰村11组</t>
  </si>
  <si>
    <t>黄冈分输站</t>
  </si>
  <si>
    <t>湖北省黄冈市黄州区陈策楼镇六庙村</t>
  </si>
  <si>
    <t>黄州分输站</t>
  </si>
  <si>
    <t>由黄冈站接出，连接管道为用户资产。黄州站设计压力为 10.0MPa，设计温度-19℃～70℃，设计输量为3.9×108Nm3/a</t>
  </si>
  <si>
    <t>西二127#阀室</t>
  </si>
  <si>
    <t>127#阀室▲</t>
  </si>
  <si>
    <t>湖北省黄冈市浠水县巴河镇枣茨岭村五组</t>
  </si>
  <si>
    <t>西二128#阀室</t>
  </si>
  <si>
    <t>128#阀室★</t>
  </si>
  <si>
    <t>湖北省黄冈市浠水县丁司垱镇庙龙村四组</t>
  </si>
  <si>
    <t>西二129#阀室</t>
  </si>
  <si>
    <t>129#阀室▲</t>
  </si>
  <si>
    <t>湖北省黄冈市蕲春县赤东镇北风头村</t>
  </si>
  <si>
    <t>蕲春分输站</t>
  </si>
  <si>
    <t>西二130#阀室</t>
  </si>
  <si>
    <t>130#阀室▲</t>
  </si>
  <si>
    <t>湖北省黄冈市武穴市四望镇魏家村</t>
  </si>
  <si>
    <t>武穴压气站</t>
  </si>
  <si>
    <t>湖北省黄冈市武穴市石佛寺镇郭道石村</t>
  </si>
  <si>
    <t>西二131#阀室</t>
  </si>
  <si>
    <t>湖北省黄冈市武穴市龙坪镇大树村</t>
  </si>
  <si>
    <t>西二132#阀室</t>
  </si>
  <si>
    <t>南昌作业区</t>
  </si>
  <si>
    <t>江西省九江市柴桑区城子镇白马湖村</t>
  </si>
  <si>
    <t>江西省 九江市柴桑区港口街道胡家湾村</t>
  </si>
  <si>
    <t>西二133#阀室</t>
  </si>
  <si>
    <t>133#阀室▲</t>
  </si>
  <si>
    <t>江西省九江市柴桑区岷山乡文桥村</t>
  </si>
  <si>
    <t>西二134#阀室</t>
  </si>
  <si>
    <t>134#阀室▲</t>
  </si>
  <si>
    <t>江西省九江市德安县宝塔乡九里村</t>
  </si>
  <si>
    <t>西二135#阀室</t>
  </si>
  <si>
    <t>135#阀室▲</t>
  </si>
  <si>
    <t>江西省九江市永修县艾城镇千田村</t>
  </si>
  <si>
    <t>昌北分输站</t>
  </si>
  <si>
    <t>江西省南昌市安义县东阳镇礼贤村</t>
  </si>
  <si>
    <t>西二136#阀室</t>
  </si>
  <si>
    <t>136#阀室▲</t>
  </si>
  <si>
    <t>江西省南昌市安义县石鼻镇燕坊村</t>
  </si>
  <si>
    <t>江西省宜春市高安市大城镇舒家村与大禾村之间</t>
  </si>
  <si>
    <t>西二137#阀室</t>
  </si>
  <si>
    <t>137#阀室▲</t>
  </si>
  <si>
    <t>江西省宜春市高安市荷岭镇荷岭林场</t>
  </si>
  <si>
    <t>西二138#阀室</t>
  </si>
  <si>
    <t>138#阀室▲</t>
  </si>
  <si>
    <t>吉安作业区</t>
  </si>
  <si>
    <t>江西省宜春市樟树市经楼镇湾头村</t>
  </si>
  <si>
    <t>江西省宜春市樟树市昌付镇浯塘村</t>
  </si>
  <si>
    <t>西二139#阀室</t>
  </si>
  <si>
    <t>139#阀室▲</t>
  </si>
  <si>
    <t>江西省新余市渝水区南安乡丰洲村村委</t>
  </si>
  <si>
    <t>西二140#阀室</t>
  </si>
  <si>
    <t>140#阀室▲</t>
  </si>
  <si>
    <t>江西省吉安市峡江县罗田镇新江村委秧坑村</t>
  </si>
  <si>
    <t>西二141#阀室</t>
  </si>
  <si>
    <t>141#阀室▲</t>
  </si>
  <si>
    <t>江西省吉安市吉水县尚贤乡黄竹溪村</t>
  </si>
  <si>
    <t>吉安压气站</t>
  </si>
  <si>
    <t>江西省吉安市吉州区兴桥镇东坑村</t>
  </si>
  <si>
    <t>西二142#阀室</t>
  </si>
  <si>
    <t>142#阀室▲</t>
  </si>
  <si>
    <t>江西省吉安市吉安县永阳镇蒋坊村</t>
  </si>
  <si>
    <t>西二143#阀室</t>
  </si>
  <si>
    <t>143#阀室▲</t>
  </si>
  <si>
    <t>江西省吉安市泰和县苏溪镇雷岗村</t>
  </si>
  <si>
    <t>西二144#阀室</t>
  </si>
  <si>
    <t>144#阀室▲</t>
  </si>
  <si>
    <t>江西省吉安市万安县潞田镇邹江村</t>
  </si>
  <si>
    <t>西二145#阀室</t>
  </si>
  <si>
    <t>145#阀室★</t>
  </si>
  <si>
    <t>赣州作业区</t>
  </si>
  <si>
    <t>江西省吉安市遂川县枚江乡张塘村</t>
  </si>
  <si>
    <t>西二146#阀室</t>
  </si>
  <si>
    <t>146#阀室▲</t>
  </si>
  <si>
    <t>江西省赣州市南康区隆木乡晓源村</t>
  </si>
  <si>
    <t>西二147#阀室</t>
  </si>
  <si>
    <t>147#阀室▲</t>
  </si>
  <si>
    <t>江西省赣州市南康区麻双乡坝孜村</t>
  </si>
  <si>
    <t>赣州分输站</t>
  </si>
  <si>
    <t>江西省赣州市南康区龙华乡双江村</t>
  </si>
  <si>
    <t>西二148#阀室</t>
  </si>
  <si>
    <t>148#阀室▲</t>
  </si>
  <si>
    <t>江西省赣州市南康市赤土畲族乡瓦岭村</t>
  </si>
  <si>
    <t>西二149#阀室</t>
  </si>
  <si>
    <t>149#阀室▲</t>
  </si>
  <si>
    <t>江西省赣州市大余县池江镇长江村</t>
  </si>
  <si>
    <t>西二150#阀室</t>
  </si>
  <si>
    <t>150#阀室★</t>
  </si>
  <si>
    <t>华南公司</t>
  </si>
  <si>
    <t>韶关作业区</t>
  </si>
  <si>
    <t>广东省韶关市南雄市油山镇夹河口村</t>
  </si>
  <si>
    <t>南雄分输站</t>
  </si>
  <si>
    <t>南雄分输站▲</t>
  </si>
  <si>
    <t>原151#阀室</t>
  </si>
  <si>
    <t>广东省韶关市南雄市珠玑镇叟里元村</t>
  </si>
  <si>
    <t>西二152#阀室</t>
  </si>
  <si>
    <t>152#阀室▲</t>
  </si>
  <si>
    <t>广东省韶关市始兴县古市镇古市村</t>
  </si>
  <si>
    <t>广东省韶关市始兴县顿岗镇高留村</t>
  </si>
  <si>
    <t>西二153#阀室</t>
  </si>
  <si>
    <t>153#阀室▲</t>
  </si>
  <si>
    <t>广东省韶关市始兴县司前镇河口村</t>
  </si>
  <si>
    <t>西二154#阀室</t>
  </si>
  <si>
    <t>154#阀室★</t>
  </si>
  <si>
    <t>广东省韶关市翁源县坝仔镇上洞村</t>
  </si>
  <si>
    <t>西二155#阀室</t>
  </si>
  <si>
    <t>155#阀室▲</t>
  </si>
  <si>
    <t>广东省韶关市翁源县江尾镇中村村</t>
  </si>
  <si>
    <t>156#阀室▲</t>
  </si>
  <si>
    <t>广东省韶关市翁源县官渡镇新南村</t>
  </si>
  <si>
    <t>西二157#阀室</t>
  </si>
  <si>
    <t>157#阀室▲</t>
  </si>
  <si>
    <t>广东省清远市英德市白沙镇太平村</t>
  </si>
  <si>
    <t>西二158#阀室</t>
  </si>
  <si>
    <t>158#阀室★</t>
  </si>
  <si>
    <t>广州作业区</t>
  </si>
  <si>
    <t>广东省清远市佛冈县迳头镇大陂村</t>
  </si>
  <si>
    <t>西二159#阀室</t>
  </si>
  <si>
    <t>159#阀室▲</t>
  </si>
  <si>
    <t>广东省清远市佛冈县石角镇观山村</t>
  </si>
  <si>
    <t>西二160#阀室</t>
  </si>
  <si>
    <t>160#阀室▲</t>
  </si>
  <si>
    <t>广东省清远市佛冈县龙山镇门楼富村</t>
  </si>
  <si>
    <t>广东省广州市从化区鳌头镇下西村十一队</t>
  </si>
  <si>
    <t>独石化</t>
  </si>
  <si>
    <t>新疆维吾尔自治区克拉玛依市独山子区</t>
  </si>
  <si>
    <t>嘉峪关</t>
  </si>
  <si>
    <t>甘肃省嘉峪关市</t>
  </si>
  <si>
    <t>酒泉</t>
  </si>
  <si>
    <t>甘肃省酒泉市</t>
  </si>
  <si>
    <t>张掖</t>
  </si>
  <si>
    <t>甘肃省张掖市</t>
  </si>
  <si>
    <t>永昌分输站</t>
  </si>
  <si>
    <t>河西堡阀室</t>
  </si>
  <si>
    <t>金昌</t>
  </si>
  <si>
    <t>甘肃省金昌市金川区</t>
  </si>
  <si>
    <t>武威</t>
  </si>
  <si>
    <t>甘肃省武威市</t>
  </si>
  <si>
    <t>洛阳1#阀室</t>
  </si>
  <si>
    <t>洛阳1#阀室0</t>
  </si>
  <si>
    <t>河南省洛阳市伊川县城关镇瑶湾村</t>
  </si>
  <si>
    <t>末站</t>
  </si>
  <si>
    <t>洛阳</t>
  </si>
  <si>
    <t>河南省洛阳市伊川县</t>
  </si>
  <si>
    <t>13#阀室与武穴站间干线</t>
  </si>
  <si>
    <t>干线开口</t>
  </si>
  <si>
    <t>姜家湾分输站</t>
  </si>
  <si>
    <t>湖北省黄冈市武穴市四望镇向边村</t>
  </si>
  <si>
    <t>川气东送45#阀室</t>
  </si>
  <si>
    <t>黄梅作业区</t>
  </si>
  <si>
    <t>富平</t>
  </si>
  <si>
    <t>西安市临潼区</t>
  </si>
  <si>
    <t>渭南市富平县</t>
  </si>
  <si>
    <t>轮吐1#阀室</t>
  </si>
  <si>
    <t>轮吐</t>
  </si>
  <si>
    <t>轮吐2#阀室</t>
  </si>
  <si>
    <t>轮吐3#阀室</t>
  </si>
  <si>
    <t>轮吐4#阀室</t>
  </si>
  <si>
    <t>4#阀室▲</t>
  </si>
  <si>
    <t>轮吐5#阀室</t>
  </si>
  <si>
    <t>轮吐6#阀室</t>
  </si>
  <si>
    <t>分输</t>
  </si>
  <si>
    <t>新疆维吾尔自治区巴音郭楞蒙古自治州博湖县博湖乡</t>
  </si>
  <si>
    <t>轮吐7#阀室</t>
  </si>
  <si>
    <t>轮吐8#阀室</t>
  </si>
  <si>
    <t>8#阀室▲</t>
  </si>
  <si>
    <t>轮吐9#阀室</t>
  </si>
  <si>
    <t>新疆维吾尔自治区巴音郭楞蒙古自治州和硕县乌什塔拉乡</t>
  </si>
  <si>
    <t>轮吐10#阀室</t>
  </si>
  <si>
    <t>轮吐11#阀室</t>
  </si>
  <si>
    <t>11#阀室▲</t>
  </si>
  <si>
    <t>库米什作业区</t>
  </si>
  <si>
    <t>轮吐12#阀室</t>
  </si>
  <si>
    <t>12#阀室▲</t>
  </si>
  <si>
    <t>轮吐13#阀室</t>
  </si>
  <si>
    <t>新疆维吾尔自治区吐鲁番市高昌区艾丁湖镇</t>
  </si>
  <si>
    <t>轮吐14#阀室</t>
  </si>
  <si>
    <t>新疆维吾尔自治区吐鲁番市托克逊县夏乡</t>
  </si>
  <si>
    <t>轮吐15#阀室</t>
  </si>
  <si>
    <t>0 </t>
  </si>
  <si>
    <t>中靖1#阀室</t>
  </si>
  <si>
    <t>中靖</t>
  </si>
  <si>
    <t>宁夏回族自治区中卫市沙坡头区永康镇艾湾村</t>
  </si>
  <si>
    <t>中靖2#阀室</t>
  </si>
  <si>
    <t>中靖3#阀室</t>
  </si>
  <si>
    <t>3#阀室▲</t>
  </si>
  <si>
    <t>宁夏回族自治区中卫市中宁县宁安镇古城村三队</t>
  </si>
  <si>
    <t>中靖4#阀室</t>
  </si>
  <si>
    <t>宁夏回族自治区中卫市中宁县新堡乡刘庙村八队</t>
  </si>
  <si>
    <t>中靖5#阀室</t>
  </si>
  <si>
    <t>红寺堡分输站</t>
  </si>
  <si>
    <t>5＃阀室接出</t>
  </si>
  <si>
    <t>中靖6#阀室</t>
  </si>
  <si>
    <t>中靖7#阀室</t>
  </si>
  <si>
    <t>宁夏回族自治区吴忠市利通区太阳山开发区</t>
  </si>
  <si>
    <t>太阳山分输站</t>
  </si>
  <si>
    <t>7＃阀室接出</t>
  </si>
  <si>
    <t>中靖8#阀室</t>
  </si>
  <si>
    <t>一二三线合建</t>
  </si>
  <si>
    <t>中靖9#阀室</t>
  </si>
  <si>
    <t>陕西省定边县贺圈镇红庄村</t>
  </si>
  <si>
    <t>中靖10#阀室</t>
  </si>
  <si>
    <t>陕西省定边县贺圈镇石井子村</t>
  </si>
  <si>
    <t>中靖11#阀室</t>
  </si>
  <si>
    <t>陕西省定边县安边镇北园子村</t>
  </si>
  <si>
    <t>中靖12#阀室</t>
  </si>
  <si>
    <t>陕西省靖边县宁条梁镇黄蒿塘村</t>
  </si>
  <si>
    <t>中靖13#阀室</t>
  </si>
  <si>
    <t>陕西省靖边县东坑镇冯家峁林地</t>
  </si>
  <si>
    <t>西一、中靖合建</t>
  </si>
  <si>
    <t>枣十1#阀室0</t>
  </si>
  <si>
    <t>枣十</t>
  </si>
  <si>
    <t>湖北省襄阳市枣阳市环城街道双庙村</t>
  </si>
  <si>
    <t>枣十2#阀室</t>
  </si>
  <si>
    <t>襄阳作业区</t>
  </si>
  <si>
    <t>湖北省襄阳市枣阳市七方镇杜坡村</t>
  </si>
  <si>
    <t>枣十3#阀室</t>
  </si>
  <si>
    <t>湖北省襄阳市襄州区双沟镇陈湾村二组</t>
  </si>
  <si>
    <t>湖北省襄阳市襄州区伙牌镇侯阎家村</t>
  </si>
  <si>
    <t>枣十4#阀室</t>
  </si>
  <si>
    <t>湖北省襄阳市襄州区龙王镇胡营村</t>
  </si>
  <si>
    <t>仙人渡分输站</t>
  </si>
  <si>
    <t>原5#阀室</t>
  </si>
  <si>
    <t>湖北省襄阳市老河口市仙人渡镇循环经济产业园</t>
  </si>
  <si>
    <t>枣十6#阀室</t>
  </si>
  <si>
    <t>湖北省襄阳市谷城县冷集镇龙畈村</t>
  </si>
  <si>
    <t>枣十7#阀室</t>
  </si>
  <si>
    <t>湖北省襄阳市谷城县石花镇界牌垭村</t>
  </si>
  <si>
    <t>枣十8#阀室</t>
  </si>
  <si>
    <t>湖北省十堰市丹江口市丁家营镇车站路3号</t>
  </si>
  <si>
    <t>丹江口分输站</t>
  </si>
  <si>
    <t>原9#阀室</t>
  </si>
  <si>
    <t>湖北省十堰市丹江口市六里坪镇江家沟村一组6号</t>
  </si>
  <si>
    <t>丹江口北分输站</t>
  </si>
  <si>
    <t>丹江口分输站接出</t>
  </si>
  <si>
    <t>枣十10#阀室</t>
  </si>
  <si>
    <t>湖北省十堰市茅箭区东城经济开发区梘槽村8组</t>
  </si>
  <si>
    <t>湖北省十堰市张湾区汉江街道七里垭村</t>
  </si>
  <si>
    <t>江北分输站</t>
  </si>
  <si>
    <t>襄樊</t>
  </si>
  <si>
    <t>湖北省襄阳市襄州区石桥镇张营村</t>
  </si>
  <si>
    <t>襄樊1#阀室</t>
  </si>
  <si>
    <t>襄樊1#阀室▲</t>
  </si>
  <si>
    <t>湖北省襄阳市樊城区柿铺街道白湾村</t>
  </si>
  <si>
    <t>襄樊2#阀室</t>
  </si>
  <si>
    <t>襄樊2#阀室▲</t>
  </si>
  <si>
    <t>湖北省襄阳市襄城区卧龙镇花木店村</t>
  </si>
  <si>
    <t>鄂州</t>
  </si>
  <si>
    <t>湖北省襄阳市襄城区檀溪街道贾洲村三组</t>
  </si>
  <si>
    <t>枣十1#分输阀室★</t>
  </si>
  <si>
    <t>樟湘1#阀室</t>
  </si>
  <si>
    <t>宜春作业区</t>
  </si>
  <si>
    <t>樟湘</t>
  </si>
  <si>
    <t>江西省新余市渝水区下村镇花木里村</t>
  </si>
  <si>
    <t>新余分输站</t>
  </si>
  <si>
    <t>江西省新余市东陂管理处检查陇村</t>
  </si>
  <si>
    <t>樟湘2#阀室</t>
  </si>
  <si>
    <t>江西省新余市渝水区观巢镇上沂村</t>
  </si>
  <si>
    <t>樟湘3#阀室</t>
  </si>
  <si>
    <t>分宜分输站</t>
  </si>
  <si>
    <t>江西省宜春市分宜县分宜镇大台村</t>
  </si>
  <si>
    <t>樟湘4#阀室</t>
  </si>
  <si>
    <t>江西省宜春市袁州区彬江镇兴阳村</t>
  </si>
  <si>
    <t>宜春分输站</t>
  </si>
  <si>
    <t>江西宜春市宜阳新区张家山居委会李家组</t>
  </si>
  <si>
    <t>樟湘5#阀室</t>
  </si>
  <si>
    <t>江西省宜春市袁州区新田乡</t>
  </si>
  <si>
    <t>樟湘6#阀室</t>
  </si>
  <si>
    <t>江西省宜春市袁州区竹亭镇巨田村</t>
  </si>
  <si>
    <t>萍乡分输站</t>
  </si>
  <si>
    <t>江西萍乡市上栗县赤山镇院背村</t>
  </si>
  <si>
    <t>樟湘7#阀室</t>
  </si>
  <si>
    <t>江西省萍乡市湘东区荷尧镇源头村</t>
  </si>
  <si>
    <t>樟湘8#阀室</t>
  </si>
  <si>
    <t>醴陵作业区</t>
  </si>
  <si>
    <t>湖南省株洲市醴陵市枫树坪文家洲</t>
  </si>
  <si>
    <t>醴陵压气站</t>
  </si>
  <si>
    <t>湖南公司</t>
  </si>
  <si>
    <t>湖南省株洲市醴陵市黄泥坳街道横店村</t>
  </si>
  <si>
    <t>醴陵分输站</t>
  </si>
  <si>
    <t>樟湘9#阀室</t>
  </si>
  <si>
    <t>湖南省株洲市芦淞区白关镇同化寺村</t>
  </si>
  <si>
    <t>株洲分输站</t>
  </si>
  <si>
    <t>湖南省株洲市河塘区明照乡茶元村</t>
  </si>
  <si>
    <t>樟湘10#阀室</t>
  </si>
  <si>
    <t>湖南省长沙市长沙县跳马乡杨林村</t>
  </si>
  <si>
    <t>湖南湘潭市岳塘区昭山乡上横塘黄矛村</t>
  </si>
  <si>
    <t>上海1#阀室</t>
  </si>
  <si>
    <t>上海</t>
  </si>
  <si>
    <t>江西省南昌市新建区流湖乡淑溪村</t>
  </si>
  <si>
    <t>上海2#阀室</t>
  </si>
  <si>
    <t>昌东分输站</t>
  </si>
  <si>
    <t>江西省南昌市南昌县岗上镇安仁村</t>
  </si>
  <si>
    <t>上海3#阀室</t>
  </si>
  <si>
    <t>江西省南昌市南昌县黄马乡岭前村</t>
  </si>
  <si>
    <t>上海4#阀室</t>
  </si>
  <si>
    <t>抚州作业区</t>
  </si>
  <si>
    <t xml:space="preserve">
江西省进贤县南昌市张公镇渣兰村</t>
  </si>
  <si>
    <t>上海5#阀室</t>
  </si>
  <si>
    <t>江西省南昌市进贤县下埠集乡涂港村</t>
  </si>
  <si>
    <t>上海6#阀室</t>
  </si>
  <si>
    <t>江西省抚州市东乡区邓家乡古圩村</t>
  </si>
  <si>
    <t>上海7#阀室</t>
  </si>
  <si>
    <t>江西省抚州市东乡区小璜镇古墩村</t>
  </si>
  <si>
    <t>抚州压气站</t>
  </si>
  <si>
    <t>江西省抚州市东乡区珀玕乡笔村</t>
  </si>
  <si>
    <t>鹰潭分输站</t>
  </si>
  <si>
    <t>江西省鹰潭市余江区中童镇徐杨村</t>
  </si>
  <si>
    <t>上海8#阀室</t>
  </si>
  <si>
    <t>江西省鹰潭市贵溪市泗沥镇何家村</t>
  </si>
  <si>
    <t>上海9#阀室</t>
  </si>
  <si>
    <t>江西省鹰潭市贵溪市河潭镇白庙江家</t>
  </si>
  <si>
    <t>上海10#阀室</t>
  </si>
  <si>
    <t>江西省上饶市弋阳县朱坑镇蔡家村牛家组</t>
  </si>
  <si>
    <t>上海11#阀室</t>
  </si>
  <si>
    <t>铅山分输站</t>
  </si>
  <si>
    <t>江西省上饶市铅山县新滩乡杨家村</t>
  </si>
  <si>
    <t>上饶分输站</t>
  </si>
  <si>
    <t>上海12#阀室</t>
  </si>
  <si>
    <t>江西省上饶市广信区皂头镇周家墩村</t>
  </si>
  <si>
    <t>上海13#阀室</t>
  </si>
  <si>
    <t>江西省上饶市信州区朝阳乡任宅村</t>
  </si>
  <si>
    <t>上海14#阀室</t>
  </si>
  <si>
    <t>江西省上饶市上饶县皂头镇象山村</t>
  </si>
  <si>
    <t>上海15#阀室</t>
  </si>
  <si>
    <t>江西省上饶市信州区秦峰乡路底村</t>
  </si>
  <si>
    <t>上海16#阀室</t>
  </si>
  <si>
    <t>衢州分输压气站</t>
  </si>
  <si>
    <t>江西省上饶市广丰县湖丰镇回树村</t>
  </si>
  <si>
    <t>上海17#阀室</t>
  </si>
  <si>
    <t>江西省上饶市玉山县横街镇王村坂村</t>
  </si>
  <si>
    <t>上海18#阀室</t>
  </si>
  <si>
    <t>18#阀室▲</t>
  </si>
  <si>
    <t>浙江省衢州市常山县招贤镇大弄村</t>
  </si>
  <si>
    <t>衢州压气站</t>
  </si>
  <si>
    <t>浙江省衢州市衢江区浮石街道新田铺村</t>
  </si>
  <si>
    <t>上海19#阀室</t>
  </si>
  <si>
    <t>19#阀室▲</t>
  </si>
  <si>
    <t>浙江省衢州市衢江区高家镇上大路村</t>
  </si>
  <si>
    <t>上海20#阀室</t>
  </si>
  <si>
    <t>浙江省衢州市龙游县龙游镇街路村</t>
  </si>
  <si>
    <t>上海21#阀室</t>
  </si>
  <si>
    <t>浙江省衢州市龙游县湖镇镇蒲塘村</t>
  </si>
  <si>
    <t>上海22#阀室</t>
  </si>
  <si>
    <t>金华分输站</t>
  </si>
  <si>
    <t>浙江省金华市婺城区罗埠镇下郑村</t>
  </si>
  <si>
    <t>上海23#阀室</t>
  </si>
  <si>
    <t>浙江省金华市婺城区白龙桥镇下窑村</t>
  </si>
  <si>
    <t>金华大唐电厂分输站</t>
  </si>
  <si>
    <t>上海23-1#阀室</t>
  </si>
  <si>
    <t>23-1#阀室</t>
  </si>
  <si>
    <t>浙江省金华市婺城区新狮街道下裴村</t>
  </si>
  <si>
    <t>上海24#阀室</t>
  </si>
  <si>
    <t>浙江省金华市金东区赤松镇小下王村</t>
  </si>
  <si>
    <t>上海25#阀室</t>
  </si>
  <si>
    <t>浙江省金华市婺城区罗店镇推包井村</t>
  </si>
  <si>
    <t>上海26#阀室</t>
  </si>
  <si>
    <t>浙江省金华市金东区鞋塘镇畈田洪村</t>
  </si>
  <si>
    <t>上海27#阀室</t>
  </si>
  <si>
    <t>浙江省金华市义乌市城西街道</t>
  </si>
  <si>
    <t>上海28#阀室</t>
  </si>
  <si>
    <t>28#阀室▲</t>
  </si>
  <si>
    <t>诸暨分输站</t>
  </si>
  <si>
    <t>浙江省金华市浦江县黄宅镇石斛桥村</t>
  </si>
  <si>
    <t>上海29#阀室</t>
  </si>
  <si>
    <t>浙江省绍兴市诸暨市安华镇杨宅村</t>
  </si>
  <si>
    <t>浙江省绍兴市诸暨市诸暨市同山镇上山头村</t>
  </si>
  <si>
    <t>上海30#阀室</t>
  </si>
  <si>
    <t>浙江省绍兴市诸暨市草塔镇南山村</t>
  </si>
  <si>
    <t>上海31#阀室</t>
  </si>
  <si>
    <t>浙江省绍兴市诸暨市大唐镇里蒋村</t>
  </si>
  <si>
    <t>上海33#阀室</t>
  </si>
  <si>
    <t>萧山分输站</t>
  </si>
  <si>
    <t>浙江省杭州市萧山区浦阳镇陶家桥村</t>
  </si>
  <si>
    <t>上海34#阀室</t>
  </si>
  <si>
    <t>34#阀室▲</t>
  </si>
  <si>
    <t>浙江省杭州市萧山区所前镇湾里童村</t>
  </si>
  <si>
    <t>上海35#阀室</t>
  </si>
  <si>
    <t>浙江省杭州市萧山区新塘街道叶家埭村</t>
  </si>
  <si>
    <t>上海36#阀室</t>
  </si>
  <si>
    <t>浙江省杭州市萧山区新街街道沿江村</t>
  </si>
  <si>
    <t>上海37#阀室</t>
  </si>
  <si>
    <t>浙江省杭州市萧山区河庄街道三联村</t>
  </si>
  <si>
    <t>浙江省杭州市萧山区南阳街道红山村</t>
  </si>
  <si>
    <t>上海38#阀室</t>
  </si>
  <si>
    <t>浙江省杭州市萧山区经济开发区</t>
  </si>
  <si>
    <t>上海39#阀室</t>
  </si>
  <si>
    <t>上海金山作业区</t>
  </si>
  <si>
    <t>上海40#阀室</t>
  </si>
  <si>
    <t>浙江省嘉兴市海宁市周王庙镇尤家庄</t>
  </si>
  <si>
    <t>上海41#阀室</t>
  </si>
  <si>
    <t>浙江省嘉兴市海宁市丁桥镇群英村</t>
  </si>
  <si>
    <t>上海42#阀室</t>
  </si>
  <si>
    <t>浙江省嘉兴市海盐县通元镇长山河村</t>
  </si>
  <si>
    <t>原嘉兴阀室</t>
  </si>
  <si>
    <t>浙江省嘉兴市平湖县曹桥街道马厩村</t>
  </si>
  <si>
    <t>上海43#阀室</t>
  </si>
  <si>
    <t>43#阀室▲</t>
  </si>
  <si>
    <t>浙江省嘉兴市平湖市黄姑镇韩庙村</t>
  </si>
  <si>
    <t>上海金山站</t>
  </si>
  <si>
    <t>上海市金山区金山卫镇永联村</t>
  </si>
  <si>
    <t>嘉兴分输站★</t>
  </si>
  <si>
    <t>上海44#阀室</t>
  </si>
  <si>
    <t>浙江省嘉兴市南湖区大桥镇向阳村</t>
  </si>
  <si>
    <t>上海45#阀室</t>
  </si>
  <si>
    <t>浙江省嘉兴市嘉善县魏塘镇东进村</t>
  </si>
  <si>
    <t>上海46#阀室</t>
  </si>
  <si>
    <t>浙江省嘉兴市嘉善县天凝镇陶墓村</t>
  </si>
  <si>
    <t>吴江分输站</t>
  </si>
  <si>
    <t>江苏省苏州市吴江市汾湖镇南大月村</t>
  </si>
  <si>
    <t>上海47#阀室</t>
  </si>
  <si>
    <t>江苏省苏州市吴江市同里镇北岭召理村</t>
  </si>
  <si>
    <t>上海48#阀室</t>
  </si>
  <si>
    <t>江苏省苏州市吴江市同里镇沐庄村</t>
  </si>
  <si>
    <t>上海49#阀室</t>
  </si>
  <si>
    <t>江苏省苏州市吴中区甪直镇柴积浜</t>
  </si>
  <si>
    <t>平泰1#阀室</t>
  </si>
  <si>
    <t>平泰</t>
  </si>
  <si>
    <t>河南省平顶山市宝丰县闹店镇小营新疆</t>
  </si>
  <si>
    <t>平泰2#阀室</t>
  </si>
  <si>
    <t>河南省许昌市禹州市小吕乡西南</t>
  </si>
  <si>
    <t>平泰3#阀室</t>
  </si>
  <si>
    <t>禹州分输站</t>
  </si>
  <si>
    <t>河南省许昌市禹州市郭连乡瓦里庙南</t>
  </si>
  <si>
    <t>平泰4#阀室</t>
  </si>
  <si>
    <t>河南省郑州市新郑市观音寺镇西南</t>
  </si>
  <si>
    <t>平泰5#阀室</t>
  </si>
  <si>
    <t>河南省郑州市新郑市新村乡新疆</t>
  </si>
  <si>
    <t>中牟分输站</t>
  </si>
  <si>
    <t>河南省郑州市中牟县八岗乡祥符刘南</t>
  </si>
  <si>
    <t>平泰6#阀室</t>
  </si>
  <si>
    <t>河南省郑州市中牟县韩寺乡南张庄新疆</t>
  </si>
  <si>
    <t>河南省开封市祥符区朱仙镇小店王村北</t>
  </si>
  <si>
    <t>平泰7#阀室</t>
  </si>
  <si>
    <t>河南省开封市开封县半坡乡老潘村西</t>
  </si>
  <si>
    <t>杞县分输站★</t>
  </si>
  <si>
    <t>河南省开封市杞县泥沟乡东南</t>
  </si>
  <si>
    <t>河南省开封市兰考县仪封乡圈头村北</t>
  </si>
  <si>
    <t>平泰10#阀室</t>
  </si>
  <si>
    <t>聊城作业区</t>
  </si>
  <si>
    <t>河南省开封市兰考县小宋乡</t>
  </si>
  <si>
    <t>平泰11#阀室</t>
  </si>
  <si>
    <t>山东省菏泽市曹县桃源集镇韩寨村南</t>
  </si>
  <si>
    <t>平泰12#阀室</t>
  </si>
  <si>
    <t>山东省菏泽市定陶区张湾镇吕沟村南（省道261路东）</t>
  </si>
  <si>
    <t>菏泽分输站</t>
  </si>
  <si>
    <t>山东省菏泽市定陶区陈集镇朱庄村西侧</t>
  </si>
  <si>
    <t>平泰13#阀室</t>
  </si>
  <si>
    <t>山东省菏泽市牡丹区安兴镇孙堂村南5米</t>
  </si>
  <si>
    <t>平泰14#阀室</t>
  </si>
  <si>
    <t>山东省菏泽市郓城县郭屯镇南5米路东</t>
  </si>
  <si>
    <t>巨野分输站</t>
  </si>
  <si>
    <t>山东省菏泽市巨野县田庄镇东北</t>
  </si>
  <si>
    <t>平泰15#阀室</t>
  </si>
  <si>
    <t>山东省济宁市嘉祥县大张楼镇运联村</t>
  </si>
  <si>
    <t>济宁分输站</t>
  </si>
  <si>
    <t>山东省济宁市汶上县南站镇北村</t>
  </si>
  <si>
    <t>平泰16#阀室</t>
  </si>
  <si>
    <t>山东省济宁市汶上县白石镇杨庄村</t>
  </si>
  <si>
    <t>平泰17#阀室</t>
  </si>
  <si>
    <t>山东省泰安市肥城市安庄镇红庙村</t>
  </si>
  <si>
    <t>平泰18#阀室</t>
  </si>
  <si>
    <t>山东省泰安市肥城市边院镇营盘村</t>
  </si>
  <si>
    <t>山东省泰安市岱岳区道朗镇</t>
  </si>
  <si>
    <t>中开平泰1#阀室</t>
  </si>
  <si>
    <t>中开平泰1#阀室★</t>
  </si>
  <si>
    <t>清远分输站</t>
  </si>
  <si>
    <t>广南</t>
  </si>
  <si>
    <t>广东省清远市源墰县老窑乡斑鸠坳村与坦塘村之间</t>
  </si>
  <si>
    <t>广南1#阀室</t>
  </si>
  <si>
    <t>广东省广州市从化市鳌头镇宝溪村</t>
  </si>
  <si>
    <t>广东省广州市从化市城郊镇光联村</t>
  </si>
  <si>
    <t>佛山分输站</t>
  </si>
  <si>
    <t>广东省广州市从化市江埔镇高峰村</t>
  </si>
  <si>
    <t>肇庆分输站</t>
  </si>
  <si>
    <t>广东省肇庆市四会市大旺镇东华村</t>
  </si>
  <si>
    <t>广南4#阀室</t>
  </si>
  <si>
    <t>广东省肇庆市四会市石狗镇都崀村</t>
  </si>
  <si>
    <t>高要分输站</t>
  </si>
  <si>
    <t>广东省肇庆市高要区水南镇大播村</t>
  </si>
  <si>
    <t>广南6#阀室</t>
  </si>
  <si>
    <t>广东省肇庆市德庆县武垄镇云楼村</t>
  </si>
  <si>
    <t>广南7#阀室</t>
  </si>
  <si>
    <t>广东省肇庆市德庆县凤村镇匝村</t>
  </si>
  <si>
    <t>德庆分输站</t>
  </si>
  <si>
    <t>广东省肇庆市德庆县马圩镇东升村</t>
  </si>
  <si>
    <t>广南9#阀室</t>
  </si>
  <si>
    <t>广东省肇庆市德庆县回龙镇陈村</t>
  </si>
  <si>
    <t>广南10#阀室</t>
  </si>
  <si>
    <t>广东省肇庆市封开县长岗镇联合村</t>
  </si>
  <si>
    <t>广南11#阀室</t>
  </si>
  <si>
    <t>广东省云浮市郁南县都城镇水塘村</t>
  </si>
  <si>
    <t>广西公司</t>
  </si>
  <si>
    <t>梧州作业区</t>
  </si>
  <si>
    <t>广西壮族自治区梧州市龙圩区大坡镇松柏村</t>
  </si>
  <si>
    <t>广南12#阀室</t>
  </si>
  <si>
    <t>广西壮族自治区梧州市藤县埌南镇新光村</t>
  </si>
  <si>
    <t>广南13#阀室</t>
  </si>
  <si>
    <t>广西壮族自治区梧州市藤县金鸡镇思善村</t>
  </si>
  <si>
    <t>广南14#阀室</t>
  </si>
  <si>
    <t>广西壮族自治区梧州市藤县天平镇龙旺村</t>
  </si>
  <si>
    <t>广南15#阀室</t>
  </si>
  <si>
    <t>广西壮族自治区贵港市平南县大安镇新城村</t>
  </si>
  <si>
    <t>广南16#阀室</t>
  </si>
  <si>
    <t>贵港作业区</t>
  </si>
  <si>
    <t>广西壮族自治区贵港市桂平市社坡镇太安村</t>
  </si>
  <si>
    <t>广南17#阀室</t>
  </si>
  <si>
    <t>广西壮族自治区贵港市桂平市蒙圩镇流兰村</t>
  </si>
  <si>
    <t>广南18#阀室</t>
  </si>
  <si>
    <t>广西壮族自治区贵港市桂平市厚禄乡镇良村</t>
  </si>
  <si>
    <t>广南19#阀室</t>
  </si>
  <si>
    <t>广西壮族自治区贵港市港北区港城镇石寨村</t>
  </si>
  <si>
    <t>中缅</t>
  </si>
  <si>
    <t>广西壮族自治区贵港市港北区根竹乡根竹村</t>
  </si>
  <si>
    <t>广南20#阀室</t>
  </si>
  <si>
    <t>南宁作业区</t>
  </si>
  <si>
    <t xml:space="preserve"> 广西壮族自治区南宁市横县云表镇莲塘村</t>
  </si>
  <si>
    <t>广南21#阀室</t>
  </si>
  <si>
    <t>广西壮族自治区南宁市横县陶圩镇船塘村</t>
  </si>
  <si>
    <t>横县分输站</t>
  </si>
  <si>
    <t>广南22#阀室</t>
  </si>
  <si>
    <t>广西壮族自治区南宁市横县六景镇木塘村</t>
  </si>
  <si>
    <t>广南23#阀室</t>
  </si>
  <si>
    <t>23#阀室▲</t>
  </si>
  <si>
    <t>广西壮族自治区南宁市青秀区南阳镇施厚村</t>
  </si>
  <si>
    <t>广西壮族自治区南宁市邕宁区蒲庙镇良勇村</t>
  </si>
  <si>
    <t>苍梧分输站</t>
  </si>
  <si>
    <t>15.6km处接出，接出点至站场0.3km</t>
  </si>
  <si>
    <t>苍贺</t>
  </si>
  <si>
    <t>广西壮族自治区梧州市龙圩区新地镇古代村</t>
  </si>
  <si>
    <t>广西壮族自治区梧州市藤县塘步镇六坊村</t>
  </si>
  <si>
    <t>长洲分输站</t>
  </si>
  <si>
    <t>广西壮族自治区梧州市长洲区长洲镇平浪村</t>
  </si>
  <si>
    <t>苍贺2#阀室</t>
  </si>
  <si>
    <t>广西壮族自治区梧州市万秀区旺甫镇龙洞村</t>
  </si>
  <si>
    <t>苍贺3#阀室</t>
  </si>
  <si>
    <t>广西壮族自治区梧州市苍梧县黎埠镇黎埠村</t>
  </si>
  <si>
    <t>苍贺4#阀室</t>
  </si>
  <si>
    <t>广西壮族自治区梧州市苍梧县沙头镇塘湾村</t>
  </si>
  <si>
    <t>苍贺5#阀室</t>
  </si>
  <si>
    <t>广西壮族自治区贺州市八步区仁义镇大洞村</t>
  </si>
  <si>
    <t>苍贺6#阀室</t>
  </si>
  <si>
    <t>广西壮族自治区贺州市八步区步头镇梅中村</t>
  </si>
  <si>
    <t>苍贺7#阀室</t>
  </si>
  <si>
    <t>广西壮族自治区贺州市八步区贺街镇西南村</t>
  </si>
  <si>
    <t>苍贺8#阀室</t>
  </si>
  <si>
    <t>广西壮族自治区贺州市八步区莲塘镇古柏村</t>
  </si>
  <si>
    <t>广西壮族自治区贺州市平桂区沙田镇道石村</t>
  </si>
  <si>
    <t>南百1#阀室</t>
  </si>
  <si>
    <t>南百</t>
  </si>
  <si>
    <t>广西壮族自治区南宁市邕宁区新江镇屯亮村屯木坡</t>
  </si>
  <si>
    <t>南百2#阀室</t>
  </si>
  <si>
    <t xml:space="preserve">广西壮族自治区南宁市江南区金凯街道新联村
</t>
  </si>
  <si>
    <t>广西壮族自治区南宁市江南区江西镇同新村木村坡</t>
  </si>
  <si>
    <t>南百3#阀室</t>
  </si>
  <si>
    <t>广西壮族自治区南宁市江南区江西镇智信村</t>
  </si>
  <si>
    <t>南百4#阀室</t>
  </si>
  <si>
    <t>广西壮族自治区南宁市西乡塘区坛洛镇定顿村</t>
  </si>
  <si>
    <t>隆安分输站</t>
  </si>
  <si>
    <t>广西壮族自治区南宁市隆安县那桐镇定江村雷布屯</t>
  </si>
  <si>
    <t>南百6#阀室</t>
  </si>
  <si>
    <t>广西壮族自治区南宁市隆安县南圩镇儒浩村</t>
  </si>
  <si>
    <t>南百7#阀室</t>
  </si>
  <si>
    <t>广西壮族自治区南宁市隆安县南圩镇万朗村那桑屯</t>
  </si>
  <si>
    <t>南百8#阀室</t>
  </si>
  <si>
    <t>广西壮族自治区南宁市隆安县南圩镇联隆村平隆屯</t>
  </si>
  <si>
    <t>南百9#阀室</t>
  </si>
  <si>
    <t>广西壮族自治区南宁市平果市新安镇楞烦村</t>
  </si>
  <si>
    <t>南百10#阀室</t>
  </si>
  <si>
    <t>广西壮族自治区百色市平果县果化镇定西屯</t>
  </si>
  <si>
    <t>南百11#阀室</t>
  </si>
  <si>
    <t>广西壮族自治区百色市平果县果化镇那龙村</t>
  </si>
  <si>
    <t>南百12#阀室</t>
  </si>
  <si>
    <t>广西壮族自治区百色市田东县思林镇良余村</t>
  </si>
  <si>
    <t>南百13#阀室</t>
  </si>
  <si>
    <t>广西壮族自治区百色市田东县林逢镇德利村</t>
  </si>
  <si>
    <t>南百14#阀室</t>
  </si>
  <si>
    <t>广西壮族自治区百色市田东县平马镇东达村</t>
  </si>
  <si>
    <t>田东分输站</t>
  </si>
  <si>
    <t>南百15#阀室</t>
  </si>
  <si>
    <t>广西壮族自治区百色市田阳区百育镇六联村</t>
  </si>
  <si>
    <t>南百16#阀室</t>
  </si>
  <si>
    <t>广西壮族自治区百色市田阳区头塘镇百里村</t>
  </si>
  <si>
    <t>南百17#阀室</t>
  </si>
  <si>
    <t>广西壮族自治区百色市田阳区头塘镇新山村</t>
  </si>
  <si>
    <t>广西壮族自治区百色市右江区四塘镇社马村</t>
  </si>
  <si>
    <t>南凭</t>
  </si>
  <si>
    <t>广西壮族自治区南宁市江南区江西镇木村</t>
  </si>
  <si>
    <t>广西壮族自治区南宁市江南区吴圩镇定宁村</t>
  </si>
  <si>
    <t>苏圩输气站</t>
  </si>
  <si>
    <t>广西壮族自治区南宁市江南区苏圩镇保城村</t>
  </si>
  <si>
    <t>广西壮族自治区崇左市扶绥县岜盆乡弄廪村</t>
  </si>
  <si>
    <t>扶绥输气站</t>
  </si>
  <si>
    <t>广西壮族自治区崇左市扶绥县渠黎镇东斗村</t>
  </si>
  <si>
    <t>广西壮族自治区崇左市江州区濑湍镇六京村</t>
  </si>
  <si>
    <t xml:space="preserve">广西壮族自治区崇左市江州区江州镇东门林场 </t>
  </si>
  <si>
    <t>贵玉1#阀室</t>
  </si>
  <si>
    <t>贵玉</t>
  </si>
  <si>
    <t>广西壮族自治区贵港市港北区贵城街道西江农场</t>
  </si>
  <si>
    <t>贵玉2#阀室</t>
  </si>
  <si>
    <t>广西壮族自治区贵港市覃塘区石卡镇陆村</t>
  </si>
  <si>
    <t>贵玉3#阀室</t>
  </si>
  <si>
    <t>广西壮族自治区贵港市港南区新塘镇岭尾村</t>
  </si>
  <si>
    <t>贵玉4#阀室</t>
  </si>
  <si>
    <t>广西壮族自治区贵港市港南区桥圩镇振南村</t>
  </si>
  <si>
    <t>贵玉5#阀室</t>
  </si>
  <si>
    <t>广西壮族自治区玉林市兴业县山心镇寨门村</t>
  </si>
  <si>
    <t>贵玉6#阀室</t>
  </si>
  <si>
    <t>广西壮族自治区玉林市兴业县龙安镇螺网村</t>
  </si>
  <si>
    <t>广西壮族自治区玉林市玉州区仁厚镇下罗村</t>
  </si>
  <si>
    <t>广西管道南宁分输站</t>
  </si>
  <si>
    <t>广南支干线南宁分输站</t>
  </si>
  <si>
    <t>广深1#阀室</t>
  </si>
  <si>
    <t>广深</t>
  </si>
  <si>
    <t>广深2#阀室</t>
  </si>
  <si>
    <t>广深3#阀室</t>
  </si>
  <si>
    <t>广深4#阀室</t>
  </si>
  <si>
    <t>广东省广州市增城市派潭镇拖罗村</t>
  </si>
  <si>
    <t>广深5#阀室</t>
  </si>
  <si>
    <t>广东省广州市增城市派潭镇长潭村</t>
  </si>
  <si>
    <t>广东省广州市增城市增江街增江街光辉村</t>
  </si>
  <si>
    <t>广深8#阀室</t>
  </si>
  <si>
    <t>深圳作业区</t>
  </si>
  <si>
    <t>广东省惠州市博罗县龙华镇太平山林场</t>
  </si>
  <si>
    <t>广深9#阀室</t>
  </si>
  <si>
    <t>广东省惠州市惠城区潼湖镇赤岗村</t>
  </si>
  <si>
    <t>广深10#阀室</t>
  </si>
  <si>
    <t>广东省惠州市惠城区潼湖镇</t>
  </si>
  <si>
    <t>东莞分输站</t>
  </si>
  <si>
    <t>广东省东莞市谢岗镇</t>
  </si>
  <si>
    <t>广深11#阀室</t>
  </si>
  <si>
    <t>广东省东莞市常平镇朗州村</t>
  </si>
  <si>
    <t>广深12#阀室</t>
  </si>
  <si>
    <t>广东省东莞市清溪镇长山头村</t>
  </si>
  <si>
    <t>广深13#阀室</t>
  </si>
  <si>
    <t>广东省东莞市塘厦镇石潭布社区</t>
  </si>
  <si>
    <t>广深14#阀室</t>
  </si>
  <si>
    <t>广东省东莞市凤岗镇竹尾田村</t>
  </si>
  <si>
    <t>求雨岭分输站</t>
  </si>
  <si>
    <t>广东省深圳市龙华区观澜街道求雨岭</t>
  </si>
  <si>
    <t>广深15#阀室</t>
  </si>
  <si>
    <t>广东省深圳市龙华区观澜街道桂花社区</t>
  </si>
  <si>
    <t>广深16#阀室</t>
  </si>
  <si>
    <t>广东省深圳市光明区光明街道碧眼社区</t>
  </si>
  <si>
    <t>广深17#阀室</t>
  </si>
  <si>
    <t>广东省深圳市光明区公明街道玉律社区</t>
  </si>
  <si>
    <t>广深18#阀室</t>
  </si>
  <si>
    <t>广东省深圳市宝安区西乡街道铁岗社区</t>
  </si>
  <si>
    <t>广深19#阀室</t>
  </si>
  <si>
    <t>广东省深圳市宝安区西乡街道固戍社区</t>
  </si>
  <si>
    <t>广东省深圳市南山区蛇口街道</t>
  </si>
  <si>
    <t>广东省东莞市樟木头镇</t>
  </si>
  <si>
    <t>香港</t>
  </si>
  <si>
    <t>香港特别行政区新界屯门区涌浪路龙鼓滩分输站（龙鼓滩发电C厂内）</t>
  </si>
  <si>
    <t>西三1#阀室</t>
  </si>
  <si>
    <t>西三</t>
  </si>
  <si>
    <t>西三2#阀室</t>
  </si>
  <si>
    <t>与西二2#阀室连通</t>
  </si>
  <si>
    <t>西三3#阀室</t>
  </si>
  <si>
    <t>与西二3#阀室连通</t>
  </si>
  <si>
    <t>西三4#阀室</t>
  </si>
  <si>
    <t>与西二4#阀室连通</t>
  </si>
  <si>
    <t>西三5#阀室</t>
  </si>
  <si>
    <t>西三6#阀室</t>
  </si>
  <si>
    <t>西三7#阀室</t>
  </si>
  <si>
    <t>西三8#阀室</t>
  </si>
  <si>
    <t>西三9#阀室</t>
  </si>
  <si>
    <t>西三10#阀室</t>
  </si>
  <si>
    <t>西三11#阀室</t>
  </si>
  <si>
    <t>西三12#阀室</t>
  </si>
  <si>
    <t>西三13#阀室</t>
  </si>
  <si>
    <t>西三14#阀室</t>
  </si>
  <si>
    <t>西三15#阀室</t>
  </si>
  <si>
    <t>西三16#阀室</t>
  </si>
  <si>
    <t>西三17#阀室</t>
  </si>
  <si>
    <t>西三19#阀室</t>
  </si>
  <si>
    <t>西三20#阀室</t>
  </si>
  <si>
    <t>西三21#阀室</t>
  </si>
  <si>
    <t>西三22#阀室</t>
  </si>
  <si>
    <t>新疆维吾尔自治区吐鲁番市托克逊县小草湖</t>
  </si>
  <si>
    <t>西三24#阀室</t>
  </si>
  <si>
    <t>24#阀室★</t>
  </si>
  <si>
    <t>新疆维吾尔自治区吐鲁番市高昌区葡萄沟</t>
  </si>
  <si>
    <t>西三25#阀室</t>
  </si>
  <si>
    <t>西三25A#阀室</t>
  </si>
  <si>
    <t>25A#阀室▲</t>
  </si>
  <si>
    <t>西三25B#阀室</t>
  </si>
  <si>
    <t>25B#阀室▲</t>
  </si>
  <si>
    <t>西三26#阀室</t>
  </si>
  <si>
    <t>西三27#阀室</t>
  </si>
  <si>
    <t>温吉桑阀室★</t>
  </si>
  <si>
    <t>西三28#阀室</t>
  </si>
  <si>
    <t>西三29#阀室</t>
  </si>
  <si>
    <t>西三30#阀室</t>
  </si>
  <si>
    <t>西三31#阀室</t>
  </si>
  <si>
    <t>新疆维吾尔自治区哈密市伊州区三道岭镇南</t>
  </si>
  <si>
    <t>西三32#阀室</t>
  </si>
  <si>
    <t>西三33#阀室</t>
  </si>
  <si>
    <t>33#阀室●▲</t>
  </si>
  <si>
    <t>●▲</t>
  </si>
  <si>
    <t>新疆维吾尔自治区哈密市伊州区四堡</t>
  </si>
  <si>
    <t>西三34#阀室</t>
  </si>
  <si>
    <t>新疆维吾尔自治区哈密市伊州区哈密瓜园西</t>
  </si>
  <si>
    <t>西三35#阀室</t>
  </si>
  <si>
    <t>西三36#阀室</t>
  </si>
  <si>
    <t>西三37#阀室</t>
  </si>
  <si>
    <t>西三38#阀室</t>
  </si>
  <si>
    <t>西三39#阀室</t>
  </si>
  <si>
    <t>西三40#阀室</t>
  </si>
  <si>
    <t>西三41#阀室</t>
  </si>
  <si>
    <t>西三42#阀室</t>
  </si>
  <si>
    <t>西三43#阀室</t>
  </si>
  <si>
    <t>西三44#阀室</t>
  </si>
  <si>
    <t>甘肃省酒泉市瓜州县柳沟工业园区戈壁滩</t>
  </si>
  <si>
    <t>西三45#阀室</t>
  </si>
  <si>
    <t>西三46#阀室</t>
  </si>
  <si>
    <t>甘肃省酒泉市玉门市甘肃矿区低窝铺南侧1米</t>
  </si>
  <si>
    <t>西三47#阀室</t>
  </si>
  <si>
    <t>西三48#阀室</t>
  </si>
  <si>
    <t>甘肃省酒泉市玉门市清泉乡新民堡村西侧5千米</t>
  </si>
  <si>
    <t>西三49#阀室</t>
  </si>
  <si>
    <t>西三50#阀室</t>
  </si>
  <si>
    <t>西三51#阀室</t>
  </si>
  <si>
    <t>甘肃省酒泉市肃州区下河清航天公路西侧</t>
  </si>
  <si>
    <t>西三52#阀室</t>
  </si>
  <si>
    <t>西三53#阀室</t>
  </si>
  <si>
    <t>西三54#阀室</t>
  </si>
  <si>
    <t>西三55#阀室</t>
  </si>
  <si>
    <t>西三56#阀室</t>
  </si>
  <si>
    <t>甘肃省张掖市甘州区东王堡村</t>
  </si>
  <si>
    <t>山丹分输站</t>
  </si>
  <si>
    <t>原西三57#阀室</t>
  </si>
  <si>
    <t>西三58#阀室</t>
  </si>
  <si>
    <t>甘肃省张掖市山丹县山丹农场东3千米</t>
  </si>
  <si>
    <t>西三59#阀室</t>
  </si>
  <si>
    <t>甘肃省张掖市山丹县丰城堡东南4千米</t>
  </si>
  <si>
    <t>西三60#阀室</t>
  </si>
  <si>
    <t>西三61#阀室</t>
  </si>
  <si>
    <t>西三62#阀室</t>
  </si>
  <si>
    <t>西三63#阀室</t>
  </si>
  <si>
    <t>63#阀室▲</t>
  </si>
  <si>
    <t>西三64#阀室</t>
  </si>
  <si>
    <t>西三65#阀室</t>
  </si>
  <si>
    <t>西三66#阀室</t>
  </si>
  <si>
    <t>西三67#阀室</t>
  </si>
  <si>
    <t>西三68#阀室</t>
  </si>
  <si>
    <t>与西二68#阀室连通</t>
  </si>
  <si>
    <t>西三69#阀室</t>
  </si>
  <si>
    <t>西三70#阀室</t>
  </si>
  <si>
    <t>西三71#阀室</t>
  </si>
  <si>
    <t>中卫二站</t>
  </si>
  <si>
    <t>在已建中卫联络压气站进行压力分界改造</t>
  </si>
  <si>
    <t>西三72#阀室</t>
  </si>
  <si>
    <t>宁夏中卫市宣和镇</t>
  </si>
  <si>
    <t>西三73#阀室</t>
  </si>
  <si>
    <t>与 CPS-1、光通信中继站合建</t>
  </si>
  <si>
    <t>宁夏中卫市中宁县长山头村</t>
  </si>
  <si>
    <t>西三74#阀室</t>
  </si>
  <si>
    <t>宁夏吴忠市同心县河西镇红旗村</t>
  </si>
  <si>
    <t>西三75#阀室</t>
  </si>
  <si>
    <t>宁夏吴忠市同心县兴隆乡红古村</t>
  </si>
  <si>
    <t>与二线站场合建</t>
  </si>
  <si>
    <t>宁夏中卫市海原县李旺镇杨山大队二队</t>
  </si>
  <si>
    <t>西三76#阀室</t>
  </si>
  <si>
    <t>与二线 75#阀室合建</t>
  </si>
  <si>
    <t>宁夏中卫市海原县七营镇北嘴村</t>
  </si>
  <si>
    <t>西三77#阀室</t>
  </si>
  <si>
    <t>与二线 76#阀室邻建</t>
  </si>
  <si>
    <t>宁夏中卫市海原县海兴开发区东川村</t>
  </si>
  <si>
    <t>海兴分输站</t>
  </si>
  <si>
    <t>西三78#阀室</t>
  </si>
  <si>
    <t>宁夏固原市原州区三营镇鸦儿沟村</t>
  </si>
  <si>
    <t>西三79#阀室</t>
  </si>
  <si>
    <t>与 CPS-2、光通信中继站合建</t>
  </si>
  <si>
    <t>宁夏固原市原州区头营镇北岗村</t>
  </si>
  <si>
    <t>西三80#阀室</t>
  </si>
  <si>
    <t>与原州联络站合建</t>
  </si>
  <si>
    <t>宁夏固原市原州区中河乡曹河村</t>
  </si>
  <si>
    <t>西三81#阀室</t>
  </si>
  <si>
    <t>宁夏固原市原州区开城镇郭庙村</t>
  </si>
  <si>
    <t>彭阳分输压气站</t>
  </si>
  <si>
    <t>宁夏固原市彭阳县古城镇下磨村</t>
  </si>
  <si>
    <t>西三82#阀室</t>
  </si>
  <si>
    <t>与二线 79#阀室合建</t>
  </si>
  <si>
    <t>宁夏固原市彭阳县红河乡张家河村</t>
  </si>
  <si>
    <t>西三83#阀室</t>
  </si>
  <si>
    <t>宁夏固原市彭阳县红河乡常崾岘</t>
  </si>
  <si>
    <t>西三84#阀室</t>
  </si>
  <si>
    <t>甘肃庆阳市镇原县新城乡沈嘴村</t>
  </si>
  <si>
    <t>西三85#阀室</t>
  </si>
  <si>
    <t>与 CPS-3、光通信中继站合建，与二线 82#阀室合建</t>
  </si>
  <si>
    <t>甘肃庆阳市镇原县中原乡下李家</t>
  </si>
  <si>
    <t>西三86#阀室</t>
  </si>
  <si>
    <t>与二线 83#阀合建</t>
  </si>
  <si>
    <t>甘肃平凉市泾川县党原乡湾口村</t>
  </si>
  <si>
    <t>西三87#阀室</t>
  </si>
  <si>
    <t>甘肃平凉市泾川县玉都镇摆旗村</t>
  </si>
  <si>
    <t>西三88#阀室</t>
  </si>
  <si>
    <t>甘肃平凉市泾川县丰台乡大堡子</t>
  </si>
  <si>
    <t>西三89#阀室</t>
  </si>
  <si>
    <t>与二线 85#阀室合建</t>
  </si>
  <si>
    <t>甘肃平凉市泾川县高平镇东坡村</t>
  </si>
  <si>
    <t>1252.8/1252.5</t>
  </si>
  <si>
    <t>甘肃平凉市灵台县独店乡姚李村</t>
  </si>
  <si>
    <t>西三90#阀室</t>
  </si>
  <si>
    <t>甘肃平凉市灵台县邵塞镇白崖村</t>
  </si>
  <si>
    <t>西三91#阀室</t>
  </si>
  <si>
    <t>与 CPS-4 合建</t>
  </si>
  <si>
    <t>陕西宝鸡市麟游县崔木镇北庄村</t>
  </si>
  <si>
    <t>西三92#阀室</t>
  </si>
  <si>
    <t>92#阀室★</t>
  </si>
  <si>
    <t>与二线 87#阀室合建</t>
  </si>
  <si>
    <t>陕西咸阳市永寿县甘井镇岳御史村</t>
  </si>
  <si>
    <t>西三93#阀室</t>
  </si>
  <si>
    <t>陕西咸阳市乾县梁山镇齐南村</t>
  </si>
  <si>
    <t>乾县分输清管站</t>
  </si>
  <si>
    <t>陕西咸阳市乾县阳洪镇上陆陌村</t>
  </si>
  <si>
    <t>西三94#阀室</t>
  </si>
  <si>
    <t>陕西咸阳市礼泉县城关镇东徐村</t>
  </si>
  <si>
    <t>西三95#阀室</t>
  </si>
  <si>
    <t>与二线礼泉分输站（原二线 90#
阀室）合建</t>
  </si>
  <si>
    <t>陕西咸阳市礼泉县西张堡镇东寨村</t>
  </si>
  <si>
    <t>西三96#阀室</t>
  </si>
  <si>
    <t>陕西咸阳市泾阳县兴隆镇张李庄村</t>
  </si>
  <si>
    <t>西三97#阀室</t>
  </si>
  <si>
    <t>与 CPS-5 合建</t>
  </si>
  <si>
    <t>陕西咸阳市泾阳县安吴镇孟家塬村</t>
  </si>
  <si>
    <t>西三98#阀室</t>
  </si>
  <si>
    <t>陕西咸阳市三原县陵前镇铁家村</t>
  </si>
  <si>
    <t>西三99#阀室</t>
  </si>
  <si>
    <t>陕西渭南市富平县庄里镇吴家</t>
  </si>
  <si>
    <t>西三99A#阀室</t>
  </si>
  <si>
    <t>99A#阀室★</t>
  </si>
  <si>
    <t>陕西渭南市富平县淡村镇前郭村</t>
  </si>
  <si>
    <t>富平分输压气站</t>
  </si>
  <si>
    <t>陕西渭南市富平县东华街道</t>
  </si>
  <si>
    <t>西三100#阀室</t>
  </si>
  <si>
    <t>陕西渭南市富平县张桥镇南坪村</t>
  </si>
  <si>
    <t>西三101#阀室</t>
  </si>
  <si>
    <t>陕西渭南市官道镇伏家村</t>
  </si>
  <si>
    <t>渭南分输清管站</t>
  </si>
  <si>
    <t>陕西渭南市经开区阳曲街道</t>
  </si>
  <si>
    <t>西三102#阀室</t>
  </si>
  <si>
    <t>陕西西安市临潼区零口街办孟塬村</t>
  </si>
  <si>
    <t>西三103#阀室</t>
  </si>
  <si>
    <t>与 CPS-6、光通信中继站合建</t>
  </si>
  <si>
    <t>陕西渭南市临渭区阳郭镇牛寺庙村</t>
  </si>
  <si>
    <t>西三104#阀室</t>
  </si>
  <si>
    <t>陕西西安市蓝田县玉山镇河东村</t>
  </si>
  <si>
    <t>西三105#阀室</t>
  </si>
  <si>
    <t>陕西西安市蓝田县九间房镇十亩地</t>
  </si>
  <si>
    <t>西三106#阀室</t>
  </si>
  <si>
    <t>106#阀室★</t>
  </si>
  <si>
    <t>陕西商洛市商州区三岔河镇秦龙村</t>
  </si>
  <si>
    <t>西三107#阀室</t>
  </si>
  <si>
    <t>陕西商洛市商州区金陵寺镇赵家村</t>
  </si>
  <si>
    <t>西三108#阀室</t>
  </si>
  <si>
    <t>陕西商洛市商州区刘湾街道办事处赵村</t>
  </si>
  <si>
    <t>商洛分输压气站</t>
  </si>
  <si>
    <t>陕西商洛市商州区夜村镇洞底村</t>
  </si>
  <si>
    <t>西三109#阀室</t>
  </si>
  <si>
    <t>与 CPS-7合建</t>
  </si>
  <si>
    <t>陕西商洛市丹凤县棣花镇万湾村</t>
  </si>
  <si>
    <t>西三111#阀室</t>
  </si>
  <si>
    <t>陕西商洛市丹凤县龙驹寨镇资峪村</t>
  </si>
  <si>
    <t>西三112#阀室</t>
  </si>
  <si>
    <t>陕西商洛市丹凤县铁峪铺镇杨家湾村</t>
  </si>
  <si>
    <t>西三113#阀室</t>
  </si>
  <si>
    <t>陕西商洛市商南县清油河镇红瓦房</t>
  </si>
  <si>
    <t>西三114#阀室</t>
  </si>
  <si>
    <t>陕西商洛市商南县城关镇郭家村</t>
  </si>
  <si>
    <t>商南分输站</t>
  </si>
  <si>
    <t>陕西商洛市商南县潼关街道五里铺村</t>
  </si>
  <si>
    <t>西三115#阀室</t>
  </si>
  <si>
    <t>陕西商洛市商南县富水镇王家楼村</t>
  </si>
  <si>
    <t>西峡北分输站</t>
  </si>
  <si>
    <t>河南南阳市西峡县西坪镇操场村</t>
  </si>
  <si>
    <t>西三116#阀室</t>
  </si>
  <si>
    <t>与CPS-8合建</t>
  </si>
  <si>
    <t>河南南阳市西峡县重阳镇杜家岗村</t>
  </si>
  <si>
    <t>西三117#阀室</t>
  </si>
  <si>
    <t>河南南阳市西峡县五里桥镇赵湾</t>
  </si>
  <si>
    <t>西三118#阀室</t>
  </si>
  <si>
    <t>河南南阳市西峡县回车镇上河村</t>
  </si>
  <si>
    <t>西峡分输压气站</t>
  </si>
  <si>
    <t>河南南阳市西峡县丹水镇黄龙庙村</t>
  </si>
  <si>
    <t>西三119#阀室</t>
  </si>
  <si>
    <t>河南南阳市内乡县赵店乡梁沟村</t>
  </si>
  <si>
    <t>西三120#阀室</t>
  </si>
  <si>
    <t>河南南阳市内乡县大桥乡封营村</t>
  </si>
  <si>
    <t>西三120A#阀室</t>
  </si>
  <si>
    <t>120A#阀室★</t>
  </si>
  <si>
    <t>河南南阳市内乡县湍东镇江园村</t>
  </si>
  <si>
    <t>西三121#阀室</t>
  </si>
  <si>
    <t>河南南阳市邓州市赵集镇秦阳营</t>
  </si>
  <si>
    <t>西三122#阀室</t>
  </si>
  <si>
    <t>西三123#阀室</t>
  </si>
  <si>
    <t>与CPS-9、光通信中继站合建</t>
  </si>
  <si>
    <t>河南南阳市邓州市张楼乡寺后村</t>
  </si>
  <si>
    <t>西三124#阀室</t>
  </si>
  <si>
    <t>河南南阳市邓州市汲滩镇大陈营</t>
  </si>
  <si>
    <t>西三125#阀室</t>
  </si>
  <si>
    <t>河南南阳市新野县城郊乡官碾村</t>
  </si>
  <si>
    <t>西三126#阀室</t>
  </si>
  <si>
    <t>河南南阳市唐河县苍台镇谢家状村</t>
  </si>
  <si>
    <t>西三127#阀室</t>
  </si>
  <si>
    <t>河南南阳市唐河县龙潭镇吊桥村</t>
  </si>
  <si>
    <t>西三128#阀室</t>
  </si>
  <si>
    <t>湖北省枣阳市杨垱镇杜庙村</t>
  </si>
  <si>
    <t>西三129#阀室</t>
  </si>
  <si>
    <t>湖北省枣阳市太平镇杨岗村</t>
  </si>
  <si>
    <t>西三130#阀室</t>
  </si>
  <si>
    <t>与CPS-10、光通信中继站合建</t>
  </si>
  <si>
    <t>湖北省枣阳市鹿头镇邓店村</t>
  </si>
  <si>
    <t>西三131#阀室</t>
  </si>
  <si>
    <t>湖北省枣阳市兴隆镇刘塆村</t>
  </si>
  <si>
    <t>西三132#阀室</t>
  </si>
  <si>
    <t>湖北省枣阳市王城镇资山村</t>
  </si>
  <si>
    <t>西三133#阀室</t>
  </si>
  <si>
    <t>133#阀室★</t>
  </si>
  <si>
    <t>湖北省随州市随县澴潭镇魏家垄</t>
  </si>
  <si>
    <t>西三134#阀室</t>
  </si>
  <si>
    <t>134#阀室★</t>
  </si>
  <si>
    <t>湖北省随州市随县洪山镇朱集村</t>
  </si>
  <si>
    <t>西三135#阀室</t>
  </si>
  <si>
    <t>135#阀室★</t>
  </si>
  <si>
    <t>湖北省随州市随县长岗镇韭岩冲</t>
  </si>
  <si>
    <t>西三136#阀室</t>
  </si>
  <si>
    <t>湖北省随州市随县三里岗镇仓台冲</t>
  </si>
  <si>
    <t>西三137#阀室</t>
  </si>
  <si>
    <t>湖北省京山市三阳镇协和冲</t>
  </si>
  <si>
    <t>西三138#阀室</t>
  </si>
  <si>
    <t>138#阀室★</t>
  </si>
  <si>
    <t>湖北省京山市宋河镇江家畈村</t>
  </si>
  <si>
    <t>京山分输站</t>
  </si>
  <si>
    <t>湖北省京山市永兴镇苏家冲</t>
  </si>
  <si>
    <t>西三139#阀室</t>
  </si>
  <si>
    <t>139#阀室★</t>
  </si>
  <si>
    <t>湖北省京山市钱场镇舒家岭村</t>
  </si>
  <si>
    <t>西三140#阀室</t>
  </si>
  <si>
    <t>西三140#阀室★</t>
  </si>
  <si>
    <t>湖北省天门市石河镇堤湾村</t>
  </si>
  <si>
    <t>西三141#阀室</t>
  </si>
  <si>
    <t>141#阀室★</t>
  </si>
  <si>
    <t>湖北省天门市岳口镇程家小湾</t>
  </si>
  <si>
    <t>西三142#阀室</t>
  </si>
  <si>
    <t>142#阀室★</t>
  </si>
  <si>
    <t>湖北省天门市岳口镇蔡家巷</t>
  </si>
  <si>
    <t>湖北省仙桃市三伏潭镇冯台村</t>
  </si>
  <si>
    <t>潜江站</t>
  </si>
  <si>
    <t>西三156#阀室</t>
  </si>
  <si>
    <t>156#阀室★</t>
  </si>
  <si>
    <t>江西省吉安市吉安县横江镇车田村</t>
  </si>
  <si>
    <t>西三157#阀室</t>
  </si>
  <si>
    <t>157#阀室★</t>
  </si>
  <si>
    <t>江西省吉安市泰和县沿溪镇高坪村</t>
  </si>
  <si>
    <t>西三158#阀室</t>
  </si>
  <si>
    <t>江西省吉安市泰和县沙村镇坪洲村</t>
  </si>
  <si>
    <t>西三159#阀室</t>
  </si>
  <si>
    <t>159#阀室★</t>
  </si>
  <si>
    <t>江西省赣州市兴国县茶园乡茶园村</t>
  </si>
  <si>
    <t>西三160#阀室</t>
  </si>
  <si>
    <t>160#阀室★</t>
  </si>
  <si>
    <t>江西省赣州市兴国县高兴镇新圩村</t>
  </si>
  <si>
    <t>西三161#阀室</t>
  </si>
  <si>
    <t>161#阀室★</t>
  </si>
  <si>
    <t>江西省赣州市兴国县长岗乡合富村</t>
  </si>
  <si>
    <t>西三162#阀室</t>
  </si>
  <si>
    <t>162#阀室★</t>
  </si>
  <si>
    <t>江西省赣州市兴国县江背镇果源村</t>
  </si>
  <si>
    <t>于都分输站</t>
  </si>
  <si>
    <t>江西省赣州市于都县银坑镇谢坑村</t>
  </si>
  <si>
    <t>西三163#阀室</t>
  </si>
  <si>
    <t>163#阀室★</t>
  </si>
  <si>
    <t>江西省赣州市于都县银坑镇周新村</t>
  </si>
  <si>
    <t>西三164#阀室</t>
  </si>
  <si>
    <t>164#阀室★</t>
  </si>
  <si>
    <t>江西省赣州市瑞金市冈面乡店背村</t>
  </si>
  <si>
    <t>瑞金分输站</t>
  </si>
  <si>
    <t>江西省赣州市瑞金市黄柏乡胡岭村</t>
  </si>
  <si>
    <t>西三165#阀室</t>
  </si>
  <si>
    <t>165#阀室★</t>
  </si>
  <si>
    <t>江西省赣州市瑞金市叶坪乡谢排村</t>
  </si>
  <si>
    <t>西三166#阀室</t>
  </si>
  <si>
    <t>166#阀室★</t>
  </si>
  <si>
    <t>福建公司</t>
  </si>
  <si>
    <t>龙岩作业区</t>
  </si>
  <si>
    <t>福建省龙岩市长汀县古城镇</t>
  </si>
  <si>
    <t>西三167#阀室</t>
  </si>
  <si>
    <t>167#阀室★</t>
  </si>
  <si>
    <t>福建省龙岩市长汀县河田镇蔡坊四组</t>
  </si>
  <si>
    <t>长汀分输站</t>
  </si>
  <si>
    <t>西三168#阀室</t>
  </si>
  <si>
    <t>168#阀室★</t>
  </si>
  <si>
    <t>福建省龙岩市长汀县涂坊镇洋坑村</t>
  </si>
  <si>
    <t>西三169#阀室</t>
  </si>
  <si>
    <t>169#阀室▲</t>
  </si>
  <si>
    <t>福建省龙岩市连城县新泉镇上罗地村</t>
  </si>
  <si>
    <t>西三170#阀室</t>
  </si>
  <si>
    <t>170#阀室★</t>
  </si>
  <si>
    <t>福建省龙岩市连城县庙前镇丰图村</t>
  </si>
  <si>
    <t>西三171#阀室</t>
  </si>
  <si>
    <t>171#阀室▲</t>
  </si>
  <si>
    <t>福建省龙岩市上杭县古田镇苏家坡</t>
  </si>
  <si>
    <t>西三172#阀室</t>
  </si>
  <si>
    <t>172#阀室▲</t>
  </si>
  <si>
    <t>福建省龙岩市新罗区大池镇红斜村</t>
  </si>
  <si>
    <t>龙岩分输站</t>
  </si>
  <si>
    <t>福建省龙岩市新罗区红坊镇东阳村</t>
  </si>
  <si>
    <t>西三173#阀室</t>
  </si>
  <si>
    <t>173#阀室▲</t>
  </si>
  <si>
    <t>福建省龙岩市永定县培丰镇长流村</t>
  </si>
  <si>
    <t>西三174#阀室</t>
  </si>
  <si>
    <t>174#阀室▲</t>
  </si>
  <si>
    <t>福建省龙岩市新罗区适中镇仁和村</t>
  </si>
  <si>
    <t>西三175#阀室</t>
  </si>
  <si>
    <t>175#阀室▲</t>
  </si>
  <si>
    <t>厦门作业区</t>
  </si>
  <si>
    <t>福建省漳州市南靖县金山镇北星村</t>
  </si>
  <si>
    <t>西三176#阀室</t>
  </si>
  <si>
    <t>176#阀室▲</t>
  </si>
  <si>
    <t>福建省漳州市南靖县龙山镇南蔗村</t>
  </si>
  <si>
    <t>漳州分输站</t>
  </si>
  <si>
    <t>福建省漳州市芗城区天宝镇仙都村</t>
  </si>
  <si>
    <t>西三177#阀室</t>
  </si>
  <si>
    <t>177#阀室★</t>
  </si>
  <si>
    <t>福建省漳州市芗城区浦南镇</t>
  </si>
  <si>
    <t>西三178#阀室</t>
  </si>
  <si>
    <t>178#阀室★</t>
  </si>
  <si>
    <t>福建省漳州市龙文区郭坑镇洛滨村</t>
  </si>
  <si>
    <t>西三179#阀室</t>
  </si>
  <si>
    <t>179#阀室▲</t>
  </si>
  <si>
    <t>福建省漳州市龙海市九湖镇新村</t>
  </si>
  <si>
    <t>角美分输站</t>
  </si>
  <si>
    <t>179#阀室接出</t>
  </si>
  <si>
    <t>海沧分输站</t>
  </si>
  <si>
    <t>福建省厦门市海沧区东孚镇洪塘村</t>
  </si>
  <si>
    <t>西三180#阀室</t>
  </si>
  <si>
    <t>180#阀室★</t>
  </si>
  <si>
    <t>福建省厦门市集美区灌口镇双岭村</t>
  </si>
  <si>
    <t>同安分输站</t>
  </si>
  <si>
    <t>福建省厦门市同安区灌口镇南山社区</t>
  </si>
  <si>
    <t>西三181#阀室</t>
  </si>
  <si>
    <t>181#阀室★</t>
  </si>
  <si>
    <t>福建省厦门市同安区莲花镇云埔村</t>
  </si>
  <si>
    <t>西三182#阀室</t>
  </si>
  <si>
    <t>182#阀室▲</t>
  </si>
  <si>
    <t>福建省厦门市同安区汀溪镇五峰村</t>
  </si>
  <si>
    <t>西三183#阀室</t>
  </si>
  <si>
    <t>183#阀室▲</t>
  </si>
  <si>
    <t>福建省泉州市南安市东田镇美洋村</t>
  </si>
  <si>
    <t>东田分输站</t>
  </si>
  <si>
    <t>183#分阀室下游400米新建</t>
  </si>
  <si>
    <t>西三184#阀室</t>
  </si>
  <si>
    <t>184#阀室▲</t>
  </si>
  <si>
    <t>福建省泉州市南安市溪美镇宣化村</t>
  </si>
  <si>
    <t>泉州分输站</t>
  </si>
  <si>
    <t>福建省泉州市南安市霞美镇张坑村</t>
  </si>
  <si>
    <t>西三185#阀室</t>
  </si>
  <si>
    <t>185#阀室▲</t>
  </si>
  <si>
    <t>福建省泉州市南安市洪濑镇都心村</t>
  </si>
  <si>
    <t>西三186#阀室</t>
  </si>
  <si>
    <t>186#阀室▲</t>
  </si>
  <si>
    <t>福建省泉州市南安市洪梅镇洪溪村</t>
  </si>
  <si>
    <t>西三187#阀室</t>
  </si>
  <si>
    <t>187#阀室▲</t>
  </si>
  <si>
    <t>福建省泉州市洛江区洪山乡前板村</t>
  </si>
  <si>
    <t>仙游分输站</t>
  </si>
  <si>
    <t>福州作业区</t>
  </si>
  <si>
    <t>未建</t>
  </si>
  <si>
    <t>福建省莆田市仙游县龙华镇貂峰村</t>
  </si>
  <si>
    <t>西三189#阀室</t>
  </si>
  <si>
    <t>189#阀室▲</t>
  </si>
  <si>
    <t>福建省莆田市仙游县傍头頜芹山村</t>
  </si>
  <si>
    <t>西三190#阀室</t>
  </si>
  <si>
    <t>190#阀室▲</t>
  </si>
  <si>
    <t>福建省莆田市仙游县游洋镇双峰村</t>
  </si>
  <si>
    <t>莆田分输站</t>
  </si>
  <si>
    <t>福建省莆田市涵江区庄边镇百俊村</t>
  </si>
  <si>
    <t>西三191#阀室</t>
  </si>
  <si>
    <t>191#阀室▲</t>
  </si>
  <si>
    <t>福建省莆田市涵江区新县镇大贤村</t>
  </si>
  <si>
    <t>福清分输站</t>
  </si>
  <si>
    <t>福建省福州市福清市镜洋镇下施村</t>
  </si>
  <si>
    <t>福建省福州市闽候县青口镇</t>
  </si>
  <si>
    <t>伊霍</t>
  </si>
  <si>
    <t>新疆维吾尔自治区伊犁哈萨克自治州伊宁市</t>
  </si>
  <si>
    <t>伊霍1#阀室</t>
  </si>
  <si>
    <t>新疆维吾尔自治区伊犁哈萨克自治州霍尔果斯市</t>
  </si>
  <si>
    <t>伊霍2#阀室</t>
  </si>
  <si>
    <t>新疆维吾尔自治区伊犁哈萨克自治州霍城县兰干乡</t>
  </si>
  <si>
    <t>西二、伊霍合建</t>
  </si>
  <si>
    <t>长沙作业区</t>
  </si>
  <si>
    <t>由忠武线潜湘支线8#阀室下游2km处接出，连接线长0.52km</t>
  </si>
  <si>
    <t>长沙</t>
  </si>
  <si>
    <t>湖南省长沙市长沙县安沙镇唐田村杜家屋组</t>
  </si>
  <si>
    <t>长沙1#阀室</t>
  </si>
  <si>
    <t>湖南省长沙市长沙县北山镇蒿塘社区何家冲组</t>
  </si>
  <si>
    <t>长沙2#阀室</t>
  </si>
  <si>
    <t>湖南省长沙市望城区桥驿镇白石村黎家尖</t>
  </si>
  <si>
    <t>湖南省长沙市望城区高塘岭街道湘江村</t>
  </si>
  <si>
    <t>福建省泉州市南安市兰溪村</t>
  </si>
  <si>
    <t>中海油</t>
  </si>
  <si>
    <t>合建</t>
  </si>
  <si>
    <t>西三中靖1#阀室</t>
  </si>
  <si>
    <t>西三中靖</t>
  </si>
  <si>
    <t>西三中靖2#阀室</t>
  </si>
  <si>
    <t>西三中靖3#阀室</t>
  </si>
  <si>
    <t>西三中靖4#阀室</t>
  </si>
  <si>
    <t>西三中靖5#阀室</t>
  </si>
  <si>
    <t>西三中靖6#阀室</t>
  </si>
  <si>
    <t>宁夏回族自治区吴忠市红寺堡区太阳山镇买河村</t>
  </si>
  <si>
    <t>西三中靖7#阀室</t>
  </si>
  <si>
    <t>西三中靖8#阀室</t>
  </si>
  <si>
    <t>一二线合建</t>
  </si>
  <si>
    <t>西三中靖9#阀室</t>
  </si>
  <si>
    <t>西三中靖10#阀室</t>
  </si>
  <si>
    <t>陕西省榆林市定边县砖井镇十里塘村</t>
  </si>
  <si>
    <t>西三中靖11#阀室</t>
  </si>
  <si>
    <t>陕西省榆林市定边县安边镇</t>
  </si>
  <si>
    <t>西三中靖12#阀室</t>
  </si>
  <si>
    <t>陕西省榆林市靖边县宁条梁镇尚德村</t>
  </si>
  <si>
    <t>西三中靖13#阀室</t>
  </si>
  <si>
    <t>陕西省榆林市靖边县东坑镇大坑沿村</t>
  </si>
  <si>
    <t>增城分输站</t>
  </si>
  <si>
    <t>闽粤</t>
  </si>
  <si>
    <t>广东省广州市增城区增江街道</t>
  </si>
  <si>
    <t>闽粤1#阀室</t>
  </si>
  <si>
    <t>广东省惠州市龙门县麻榨镇</t>
  </si>
  <si>
    <t>闽粤2#阀室</t>
  </si>
  <si>
    <t>闽粤3#阀室</t>
  </si>
  <si>
    <t>广东省惠州市龙门县龙江镇</t>
  </si>
  <si>
    <t>闽粤4#阀室</t>
  </si>
  <si>
    <t>广东省惠州市博罗县麻陂镇</t>
  </si>
  <si>
    <t>河源分输站</t>
  </si>
  <si>
    <t>广东省河源市源城区埔前镇</t>
  </si>
  <si>
    <t>闽粤5#阀室</t>
  </si>
  <si>
    <t>广东省河源市东江新区古竹镇</t>
  </si>
  <si>
    <t>闽粤6#阀室</t>
  </si>
  <si>
    <t>广东省河源市紫金县义容镇</t>
  </si>
  <si>
    <t>闽粤7#阀室</t>
  </si>
  <si>
    <t>广东省河源市紫金县蓝塘镇</t>
  </si>
  <si>
    <t>闽粤8#阀室</t>
  </si>
  <si>
    <t>广东省河源市紫金县瓦溪镇</t>
  </si>
  <si>
    <t>闽粤9#阀室</t>
  </si>
  <si>
    <t>广东省河源市紫金县紫城镇</t>
  </si>
  <si>
    <t>闽粤10#阀室</t>
  </si>
  <si>
    <t>汕头作业区</t>
  </si>
  <si>
    <t>广东省梅州市五华县华阳镇</t>
  </si>
  <si>
    <t>闽粤11#阀室</t>
  </si>
  <si>
    <t>广东省梅州市五华县梅林镇</t>
  </si>
  <si>
    <t>闽粤12#阀室</t>
  </si>
  <si>
    <t>广东省梅州市五华县棉洋镇</t>
  </si>
  <si>
    <t>闽粤13#阀室</t>
  </si>
  <si>
    <t>广东省揭阳市揭西县河婆街道</t>
  </si>
  <si>
    <t>闽粤14#阀室</t>
  </si>
  <si>
    <t>广东省揭阳市揭西县龙潭镇</t>
  </si>
  <si>
    <t>闽粤15#阀室</t>
  </si>
  <si>
    <t>广东省揭阳市揭西县五经富镇</t>
  </si>
  <si>
    <t>广东省揭阳市揭东区玉湖镇</t>
  </si>
  <si>
    <t>闽粤16#阀室</t>
  </si>
  <si>
    <t>广东省梅州市丰顺县汤坑镇</t>
  </si>
  <si>
    <t>闽粤17#阀室</t>
  </si>
  <si>
    <t>广东省梅州市丰顺县潘田镇</t>
  </si>
  <si>
    <t>广东省潮州市潮安区登塘镇</t>
  </si>
  <si>
    <t>与西二线、西三线、轮吐线吐鲁番联络站合建</t>
  </si>
  <si>
    <t>西四1#阀室</t>
  </si>
  <si>
    <t>西四1#阀室★</t>
  </si>
  <si>
    <t>西四2#阀室</t>
  </si>
  <si>
    <t>西四2#阀室★</t>
  </si>
  <si>
    <t>西四3#阀室</t>
  </si>
  <si>
    <t>西四3#阀室★</t>
  </si>
  <si>
    <t>与西二线、西三线连木沁压气站合建</t>
  </si>
  <si>
    <t>西四4#阀室</t>
  </si>
  <si>
    <t>西四4#阀室★</t>
  </si>
  <si>
    <t>西四5#阀室</t>
  </si>
  <si>
    <t>西四5#阀室★</t>
  </si>
  <si>
    <t>西四6#阀室</t>
  </si>
  <si>
    <t>西四6#阀室★●</t>
  </si>
  <si>
    <t>与西三线 28#阀室合建，跨接</t>
  </si>
  <si>
    <t>西四7#阀室</t>
  </si>
  <si>
    <t>西四7#阀室★</t>
  </si>
  <si>
    <t>西四8#阀室</t>
  </si>
  <si>
    <t>西四8#阀室★</t>
  </si>
  <si>
    <t>与西二线、西三线了墩压气站合建</t>
  </si>
  <si>
    <t>西四9#阀室</t>
  </si>
  <si>
    <t>西四9#阀室★</t>
  </si>
  <si>
    <t>西四10#阀室</t>
  </si>
  <si>
    <t>西四10#阀室★</t>
  </si>
  <si>
    <t>西四11#阀室</t>
  </si>
  <si>
    <t>西四11#阀室★●</t>
  </si>
  <si>
    <t>与西三线 33#阀室合建，跨接</t>
  </si>
  <si>
    <t>西四12#阀室</t>
  </si>
  <si>
    <t>西四12#阀室★</t>
  </si>
  <si>
    <t>西四13#阀室</t>
  </si>
  <si>
    <t>西四13#阀室★</t>
  </si>
  <si>
    <t>西四14#阀室</t>
  </si>
  <si>
    <t>西四14#阀室★</t>
  </si>
  <si>
    <t>与西二线、西三线烟墩压气站合建</t>
  </si>
  <si>
    <t>西四15#阀室</t>
  </si>
  <si>
    <t>西四15#阀室★</t>
  </si>
  <si>
    <t>西四16#阀室</t>
  </si>
  <si>
    <t>西四16#阀室★</t>
  </si>
  <si>
    <t>西四17#阀室</t>
  </si>
  <si>
    <t>西四17#阀室★●</t>
  </si>
  <si>
    <t>与西三线 38#阀室合建，跨接</t>
  </si>
  <si>
    <t>西四18#阀室</t>
  </si>
  <si>
    <t>西四18#阀室★</t>
  </si>
  <si>
    <t>与西一线、西二线、西三线红柳压气站合建</t>
  </si>
  <si>
    <t>西四19#阀室</t>
  </si>
  <si>
    <t>西四19#阀室★</t>
  </si>
  <si>
    <t>与西三线 40#阀室合建</t>
  </si>
  <si>
    <t>西四20#阀室</t>
  </si>
  <si>
    <t>西四20#阀室★</t>
  </si>
  <si>
    <t>西四21#阀室</t>
  </si>
  <si>
    <t>西四21#阀室★</t>
  </si>
  <si>
    <t>西四22#阀室</t>
  </si>
  <si>
    <t>西四22#阀室★●</t>
  </si>
  <si>
    <t>与西三线 42#阀室合建，跨接</t>
  </si>
  <si>
    <t>西四23#阀室</t>
  </si>
  <si>
    <t>西四23#阀室★</t>
  </si>
  <si>
    <t>西四24#阀室</t>
  </si>
  <si>
    <t>西四24#阀室★</t>
  </si>
  <si>
    <t>与西三线 44#阀室合建</t>
  </si>
  <si>
    <t>与西二线、西三线瓜州压气站合建</t>
  </si>
  <si>
    <t>西四25#阀室</t>
  </si>
  <si>
    <t>西四25#阀室★</t>
  </si>
  <si>
    <t>西四26#阀室</t>
  </si>
  <si>
    <t>西四26#阀室★</t>
  </si>
  <si>
    <t>西四27#阀室</t>
  </si>
  <si>
    <t>西四27#阀室★</t>
  </si>
  <si>
    <t>西四28#阀室</t>
  </si>
  <si>
    <t>西四28#阀室★</t>
  </si>
  <si>
    <t>西四29#阀室</t>
  </si>
  <si>
    <t>西四29#阀室★●</t>
  </si>
  <si>
    <t>与西三线 47#阀室合建，跨接</t>
  </si>
  <si>
    <t>西四30#阀室</t>
  </si>
  <si>
    <t>西四30#阀室★</t>
  </si>
  <si>
    <t>西四31#阀室</t>
  </si>
  <si>
    <t>西四31#阀室★</t>
  </si>
  <si>
    <t>与西二线、西三线嘉峪关压气站合建</t>
  </si>
  <si>
    <t>西四32#阀室</t>
  </si>
  <si>
    <t>西四32#阀室★</t>
  </si>
  <si>
    <t>与西三线 50#阀室合建</t>
  </si>
  <si>
    <t>西四33#阀室</t>
  </si>
  <si>
    <t>西四33#阀室★</t>
  </si>
  <si>
    <t>西四34#阀室</t>
  </si>
  <si>
    <t>西四34#阀室★</t>
  </si>
  <si>
    <t>与西三线 52#阀室合建</t>
  </si>
  <si>
    <t>西四35#阀室</t>
  </si>
  <si>
    <t>西四35#阀室★●</t>
  </si>
  <si>
    <t>与西三线 53#阀室合建，跨接</t>
  </si>
  <si>
    <t>西四36#阀室</t>
  </si>
  <si>
    <t>西四36#阀室★</t>
  </si>
  <si>
    <t>与西三线 54#阀室合建</t>
  </si>
  <si>
    <t>西四37#阀室</t>
  </si>
  <si>
    <t>西四37#阀室★</t>
  </si>
  <si>
    <t>西四38#阀室</t>
  </si>
  <si>
    <t>西四38#阀室★</t>
  </si>
  <si>
    <t>与西二线、西三线张掖压气站合建</t>
  </si>
  <si>
    <t>西四39#阀室</t>
  </si>
  <si>
    <t>西四39#阀室★</t>
  </si>
  <si>
    <t>西四40#阀室</t>
  </si>
  <si>
    <t>西四40#阀室★</t>
  </si>
  <si>
    <t>西四41#阀室</t>
  </si>
  <si>
    <t>西四41#阀室★</t>
  </si>
  <si>
    <t>西四42#阀室</t>
  </si>
  <si>
    <t>西四42#阀室★●</t>
  </si>
  <si>
    <t>与西三线 58#阀室合建，跨接</t>
  </si>
  <si>
    <t>西四43#阀室</t>
  </si>
  <si>
    <t>西四43#阀室★</t>
  </si>
  <si>
    <t>与西二线、西三线永昌压气站合建</t>
  </si>
  <si>
    <t>西四44#阀室</t>
  </si>
  <si>
    <t>西四44#阀室★</t>
  </si>
  <si>
    <t>西四45#阀室</t>
  </si>
  <si>
    <t>西四45#阀室★</t>
  </si>
  <si>
    <t>西四46#阀室</t>
  </si>
  <si>
    <t>西四46#阀室★</t>
  </si>
  <si>
    <t>西四47#阀室</t>
  </si>
  <si>
    <t>西四47#阀室★</t>
  </si>
  <si>
    <t>西四48#阀室</t>
  </si>
  <si>
    <t>西四48#阀室★</t>
  </si>
  <si>
    <t>民勤清管站</t>
  </si>
  <si>
    <t>民勤清管站●</t>
  </si>
  <si>
    <t>西四49#阀室</t>
  </si>
  <si>
    <t>西四49#阀室★</t>
  </si>
  <si>
    <t>西四50#阀室</t>
  </si>
  <si>
    <t>西四50#阀室★</t>
  </si>
  <si>
    <t>西四51#阀室</t>
  </si>
  <si>
    <t>西四51#阀室★</t>
  </si>
  <si>
    <t>西四52#阀室</t>
  </si>
  <si>
    <t>西四52#阀室★</t>
  </si>
  <si>
    <t>古浪压气站●</t>
  </si>
  <si>
    <t>与西二线、西三线古浪压气站合建</t>
  </si>
  <si>
    <t>西四53#阀室</t>
  </si>
  <si>
    <t>西四53#阀室★</t>
  </si>
  <si>
    <t>西四54#阀室</t>
  </si>
  <si>
    <t>西四54#阀室★</t>
  </si>
  <si>
    <t>西四55#阀室</t>
  </si>
  <si>
    <t>西四55#阀室★</t>
  </si>
  <si>
    <t>西四56#阀室</t>
  </si>
  <si>
    <t>西四56#阀室★</t>
  </si>
  <si>
    <t>与西三线 69#阀室合建</t>
  </si>
  <si>
    <t>西四57#阀室</t>
  </si>
  <si>
    <t>西四57#阀室★</t>
  </si>
  <si>
    <t>与西三线 70#阀室合建</t>
  </si>
  <si>
    <t>西四58#阀室</t>
  </si>
  <si>
    <t>西四58#阀室★</t>
  </si>
  <si>
    <t>与西三线 71#阀室合建</t>
  </si>
  <si>
    <t>与西一线、西二线、西三线中卫联络站、中贵线中
卫首站合建</t>
  </si>
  <si>
    <t>深圳LNG</t>
  </si>
  <si>
    <t>深圳LNG1#阀室</t>
  </si>
  <si>
    <t>深圳LNG2#阀室</t>
  </si>
  <si>
    <t>深圳LNG3#阀室</t>
  </si>
  <si>
    <t>深圳LNG4#阀室</t>
  </si>
  <si>
    <t>深圳LNG5#阀室</t>
  </si>
  <si>
    <t>清溪清管站</t>
  </si>
  <si>
    <t>陕一</t>
  </si>
  <si>
    <t>陕西省榆林市靖边县张家畔街道胡伙场村</t>
  </si>
  <si>
    <t>小界则阀室</t>
  </si>
  <si>
    <t>小界则阀室★</t>
  </si>
  <si>
    <t>陕西省榆林市靖边县黄蒿界乡小界则村</t>
  </si>
  <si>
    <t>打雁峁阀室</t>
  </si>
  <si>
    <t>打雁峁阀室★</t>
  </si>
  <si>
    <t>陕西省榆林市横山区雷龙湾乡永忠村</t>
  </si>
  <si>
    <t>脑海圪堵阀室</t>
  </si>
  <si>
    <t>脑海圪堵阀室★</t>
  </si>
  <si>
    <t>榆林作业区</t>
  </si>
  <si>
    <t>陕西省榆林市横山区雷龙湾乡张油坊村</t>
  </si>
  <si>
    <t>乔家峁阀室</t>
  </si>
  <si>
    <t>乔家峁阀室★</t>
  </si>
  <si>
    <t>陕西省榆林市榆阳区巴拉素乡元大滩村乔家峁小村</t>
  </si>
  <si>
    <t>榆林压气站●</t>
  </si>
  <si>
    <t>陕京一二三线连通</t>
  </si>
  <si>
    <t>陕西省榆林市榆阳区芹河乡马家峁村</t>
  </si>
  <si>
    <t>金鸡滩阀室</t>
  </si>
  <si>
    <t>金鸡滩阀室★</t>
  </si>
  <si>
    <t>神府作业区</t>
  </si>
  <si>
    <t>金鸡滩分输站</t>
  </si>
  <si>
    <t>陕西省榆林市榆阳区金鸡滩镇金鸡滩村</t>
  </si>
  <si>
    <t>大保当阀室</t>
  </si>
  <si>
    <t>大保当阀室★</t>
  </si>
  <si>
    <t>大保当分输站</t>
  </si>
  <si>
    <t>陕西省榆林市神木市大堡当镇打坝梁村</t>
  </si>
  <si>
    <t>马场阀室</t>
  </si>
  <si>
    <t>马场阀室★</t>
  </si>
  <si>
    <t>马场分输站</t>
  </si>
  <si>
    <t>陕西省榆林市神木市锦界镇黄土庙村</t>
  </si>
  <si>
    <t>三道河阀室</t>
  </si>
  <si>
    <t>三道河阀室★</t>
  </si>
  <si>
    <t>陕西省榆林市神木市西沟街道三道河村</t>
  </si>
  <si>
    <t>神木分输站</t>
  </si>
  <si>
    <t>陕西省榆林市神木市</t>
  </si>
  <si>
    <t>马梁湾阀室</t>
  </si>
  <si>
    <t>马梁湾阀室★</t>
  </si>
  <si>
    <t>陕西省榆林市神木市永兴街道马梁湾村</t>
  </si>
  <si>
    <t>永兴公社阀室</t>
  </si>
  <si>
    <t>永兴公社阀室★</t>
  </si>
  <si>
    <t>陕西省榆林市神木市永兴街道店房沟村</t>
  </si>
  <si>
    <t>黄家梁阀室</t>
  </si>
  <si>
    <t>黄家梁阀室★</t>
  </si>
  <si>
    <t>陕西省榆林市府谷县新民镇黄家梁村</t>
  </si>
  <si>
    <t>小疙瘩阀室</t>
  </si>
  <si>
    <t>小疙瘩阀室★</t>
  </si>
  <si>
    <t>陕西省榆林市府谷县孤山乡李家洼村</t>
  </si>
  <si>
    <t>小疙瘩分输站</t>
  </si>
  <si>
    <t>府谷压气站</t>
  </si>
  <si>
    <t>陕西省榆林市府谷县府谷镇石庙焉村</t>
  </si>
  <si>
    <t>刘家畔阀室</t>
  </si>
  <si>
    <t>刘家畔阀室★</t>
  </si>
  <si>
    <t>朔州作业区</t>
  </si>
  <si>
    <t>山西省忻州市保德县义门镇刘家畔村</t>
  </si>
  <si>
    <t>沙泉阀室</t>
  </si>
  <si>
    <t>沙泉阀室★</t>
  </si>
  <si>
    <t>山西省忻州市河曲县沙泉乡沙泉村</t>
  </si>
  <si>
    <t>三岔阀室</t>
  </si>
  <si>
    <t>三岔阀室★</t>
  </si>
  <si>
    <t>山西省忻州市五寨县韩家楼乡丈字沟村</t>
  </si>
  <si>
    <t>大黑庄阀室</t>
  </si>
  <si>
    <t>大黑庄阀室★</t>
  </si>
  <si>
    <t>山西省忻州市神池县义井镇大黑庄村</t>
  </si>
  <si>
    <t>神池清管站</t>
  </si>
  <si>
    <t>神池分输站</t>
  </si>
  <si>
    <t>神池清管站接出，非国家管网</t>
  </si>
  <si>
    <t>山西省忻州市神池县龙泉镇温岭村</t>
  </si>
  <si>
    <t>神池联络站</t>
  </si>
  <si>
    <t>朔州分输站</t>
  </si>
  <si>
    <t>山西省朔州市朔城区贾庄乡北曹村</t>
  </si>
  <si>
    <t>黑疙瘩乡阀室</t>
  </si>
  <si>
    <t>黑疙瘩乡阀室★</t>
  </si>
  <si>
    <t>山西省朔州市山阴县黑圪塔乡双寨村</t>
  </si>
  <si>
    <t>应县压气站</t>
  </si>
  <si>
    <t>应县作业区</t>
  </si>
  <si>
    <t>山西省朔州市应县南河种镇北曹山村</t>
  </si>
  <si>
    <t>罗庄阀室</t>
  </si>
  <si>
    <t>罗庄阀室★</t>
  </si>
  <si>
    <t>山西省朔州市应县大临河乡罗庄村</t>
  </si>
  <si>
    <t>郝家寨1#阀室</t>
  </si>
  <si>
    <t>郝家寨1#阀室★</t>
  </si>
  <si>
    <t>山西省大同市浑源县东坊城乡郝家寨村</t>
  </si>
  <si>
    <t>郝家寨2#阀室</t>
  </si>
  <si>
    <t>郝家寨2#阀室★</t>
  </si>
  <si>
    <t>山西省大同市浑源县东坊城乡常柴岭村</t>
  </si>
  <si>
    <t>中庄铺阀室</t>
  </si>
  <si>
    <t>中庄铺阀室★</t>
  </si>
  <si>
    <t>山西省大同市浑源县千佛岭乡中庄铺村</t>
  </si>
  <si>
    <t>西会村阀室</t>
  </si>
  <si>
    <t>西会村阀室★</t>
  </si>
  <si>
    <t>山西省大同市浑源县王庄堡镇西会村</t>
  </si>
  <si>
    <t>灵丘分输站</t>
  </si>
  <si>
    <t>山西省大同市灵丘县武灵镇高家庄村</t>
  </si>
  <si>
    <t>巨羊坨阀室</t>
  </si>
  <si>
    <t>巨羊坨阀室★</t>
  </si>
  <si>
    <t>山西省大同市灵丘县落水河乡巨羊驼村</t>
  </si>
  <si>
    <t>云彩岭阀室</t>
  </si>
  <si>
    <t>云彩岭阀室★</t>
  </si>
  <si>
    <t>红泉村阀室</t>
  </si>
  <si>
    <t>红泉村阀室★</t>
  </si>
  <si>
    <t>易县作业区</t>
  </si>
  <si>
    <t>河北省保定市涞源县北石佛乡红泉村</t>
  </si>
  <si>
    <t>涞源分输站</t>
  </si>
  <si>
    <t>河北省保定市涞源县涞源镇西关村</t>
  </si>
  <si>
    <t>铁岭阀室</t>
  </si>
  <si>
    <t>铁岭阀室★</t>
  </si>
  <si>
    <t>河北省保定市涞源县杨家庄镇铁岭村</t>
  </si>
  <si>
    <t>小河乡阀室</t>
  </si>
  <si>
    <t>小河乡阀室★</t>
  </si>
  <si>
    <t>河北省保定市涞源县杨家庄镇小河村</t>
  </si>
  <si>
    <t>王安镇阀室</t>
  </si>
  <si>
    <t>王安镇阀室★</t>
  </si>
  <si>
    <t>河北省保定市涞源县王安镇村</t>
  </si>
  <si>
    <t>紫荆关清管站</t>
  </si>
  <si>
    <t>河北省保定市易县紫荆关镇校场村</t>
  </si>
  <si>
    <t>新畔石村阀室</t>
  </si>
  <si>
    <t>新畔石村阀室★</t>
  </si>
  <si>
    <t>河北省保定市易县西陵镇新畔石村</t>
  </si>
  <si>
    <t>西山北阀室</t>
  </si>
  <si>
    <t>西山北阀室★</t>
  </si>
  <si>
    <t>河北省保定市涞水县永阳镇居士村</t>
  </si>
  <si>
    <t>易县分输站</t>
  </si>
  <si>
    <t>西山北阀室接出，非国家管网</t>
  </si>
  <si>
    <t>二站村阀室</t>
  </si>
  <si>
    <t>二站村阀室★</t>
  </si>
  <si>
    <t>涿州分输站</t>
  </si>
  <si>
    <t>二站村阀室接出，非国家管网</t>
  </si>
  <si>
    <t>河北省保定市涿州市东城坊镇西庄头村</t>
  </si>
  <si>
    <t>琉璃河作业区</t>
  </si>
  <si>
    <t>陕京一三线连通</t>
  </si>
  <si>
    <t>北京市房山区石楼镇吉羊村</t>
  </si>
  <si>
    <t>炒米店阀室</t>
  </si>
  <si>
    <t>炒米店阀室★</t>
  </si>
  <si>
    <t>北京市房山区阎村镇东沿村</t>
  </si>
  <si>
    <t>王村阀室</t>
  </si>
  <si>
    <t>王村阀室★</t>
  </si>
  <si>
    <t>北京市房山区拱辰街道黄辛庄村</t>
  </si>
  <si>
    <t>吕村阀室</t>
  </si>
  <si>
    <t>吕村阀室★</t>
  </si>
  <si>
    <t>北京市丰台区长辛店镇吕村</t>
  </si>
  <si>
    <t>京丰电厂天然气调压站</t>
  </si>
  <si>
    <t>吕村阀室接出</t>
  </si>
  <si>
    <t>北京市石景山区衙门口村东方向1公里</t>
  </si>
  <si>
    <t>陈家坟阀室</t>
  </si>
  <si>
    <t>陈家坟阀室★</t>
  </si>
  <si>
    <t>琉永</t>
  </si>
  <si>
    <t>莲池分输站</t>
  </si>
  <si>
    <t>河北省保定市涿州市清凉寺街道莲池村</t>
  </si>
  <si>
    <t>滨海分输站</t>
  </si>
  <si>
    <t>陈家坟阀室接出，非国家管网</t>
  </si>
  <si>
    <t>宫村阀室</t>
  </si>
  <si>
    <t>宫村阀室★</t>
  </si>
  <si>
    <t>永清作业区</t>
  </si>
  <si>
    <t>河北省廊坊市固安县宫村镇小杨先务村</t>
  </si>
  <si>
    <t>大韩寨阀室</t>
  </si>
  <si>
    <t>大韩寨阀室★</t>
  </si>
  <si>
    <t>河北省廊坊市固安县东红寺乡大韩寨村</t>
  </si>
  <si>
    <t>河北省廊坊市永清县佃庄村</t>
  </si>
  <si>
    <t>陕二A#阀室</t>
  </si>
  <si>
    <t>A#阀室★</t>
  </si>
  <si>
    <t>陕二</t>
  </si>
  <si>
    <t>陕西省榆林市靖边县红墩界镇长胜村</t>
  </si>
  <si>
    <t>陕二B#阀室</t>
  </si>
  <si>
    <t>B#阀室★</t>
  </si>
  <si>
    <t>内蒙古自治区鄂尔多斯市乌审旗无定河镇庙滩村</t>
  </si>
  <si>
    <t>陕二C#阀室</t>
  </si>
  <si>
    <t>C#阀室★</t>
  </si>
  <si>
    <t>陕西省榆林市榆阳区巴拉素乡闹牛海则村</t>
  </si>
  <si>
    <t>陕二1#阀室</t>
  </si>
  <si>
    <t>陕西省榆林市榆阳区榆阳区牛家梁乡杜家湾村</t>
  </si>
  <si>
    <t>陕二2#阀室</t>
  </si>
  <si>
    <t>高家堡作业区</t>
  </si>
  <si>
    <t>陕西省榆林市榆阳区榆阳区麻黄梁镇双山村</t>
  </si>
  <si>
    <t>榆阳分输站</t>
  </si>
  <si>
    <t>陕二3#阀室</t>
  </si>
  <si>
    <t>陕西省榆林市神木市乔岔滩乡石墩塔村</t>
  </si>
  <si>
    <t>项家输气站</t>
  </si>
  <si>
    <t>陕二4#阀室</t>
  </si>
  <si>
    <t>陕西省榆林市神木市乔岔滩乡乔岔滩村</t>
  </si>
  <si>
    <t>陕二5#阀室</t>
  </si>
  <si>
    <t>陕西省榆林市神木市太和寨乡张家窑村</t>
  </si>
  <si>
    <t>陕二6#阀室</t>
  </si>
  <si>
    <t>陕西省榆林市神木市贺家川乡张家塔村</t>
  </si>
  <si>
    <t>陕二7#阀室</t>
  </si>
  <si>
    <t>兴县作业区</t>
  </si>
  <si>
    <t>山西省吕梁市兴县高家村镇前店村</t>
  </si>
  <si>
    <t>兴县分输站</t>
  </si>
  <si>
    <t>7#-8#阀室间接出，非国家管网</t>
  </si>
  <si>
    <t>山西省吕梁市兴县城关镇东关村</t>
  </si>
  <si>
    <t>陕二8#阀室</t>
  </si>
  <si>
    <t>山西省吕梁市兴县奥家湾乡奥家湾村</t>
  </si>
  <si>
    <t>陕二9#阀室</t>
  </si>
  <si>
    <t>山西省吕梁市兴县</t>
  </si>
  <si>
    <t>兴县压气站</t>
  </si>
  <si>
    <t>进出站管线与9#阀室上下游相连</t>
  </si>
  <si>
    <t>山西省吕梁市兴县奥家湾乡曲家沟村</t>
  </si>
  <si>
    <t>陕二10#阀室</t>
  </si>
  <si>
    <t>山西省吕梁市岚县界河口乡西口子村</t>
  </si>
  <si>
    <t>陕二11#阀室</t>
  </si>
  <si>
    <t>山西省吕梁市岚县大蛇头乡郭沙沟村</t>
  </si>
  <si>
    <t>岚县分输站</t>
  </si>
  <si>
    <t>岚县作业区</t>
  </si>
  <si>
    <t>山西省吕梁市岚县岚城镇前庄村</t>
  </si>
  <si>
    <t>陕二12#阀室</t>
  </si>
  <si>
    <t>山西省忻州市静乐县鹅城镇王端庄村</t>
  </si>
  <si>
    <t>陕二13#阀室</t>
  </si>
  <si>
    <t>13#阀室★●</t>
  </si>
  <si>
    <t>山西省忻州市静乐县娘子神乡娘子神村</t>
  </si>
  <si>
    <t>陕二14#阀室</t>
  </si>
  <si>
    <t>山西省忻州市静乐县康家会乡新开岭村</t>
  </si>
  <si>
    <t>陕二15#阀室</t>
  </si>
  <si>
    <t>阳曲作业区</t>
  </si>
  <si>
    <t>山西省忻州市忻府区三交镇峪口村</t>
  </si>
  <si>
    <t>陕二16#阀室</t>
  </si>
  <si>
    <t>山西省忻州市忻府区庄磨镇冯村</t>
  </si>
  <si>
    <t>阳曲压气站</t>
  </si>
  <si>
    <t>阳曲压气站●</t>
  </si>
  <si>
    <t>陕京二三线连通</t>
  </si>
  <si>
    <t>山西省太原市阳曲县大盂镇大运路西</t>
  </si>
  <si>
    <t>阳曲大盂站</t>
  </si>
  <si>
    <t>阳曲站接出</t>
  </si>
  <si>
    <t>陕二17#阀室</t>
  </si>
  <si>
    <t>山西省太原市阳曲县东凌井乡东凌井村</t>
  </si>
  <si>
    <t>陕二18#阀室</t>
  </si>
  <si>
    <t>盂县作业区</t>
  </si>
  <si>
    <t>山西省阳泉市盂县东梁乡辛庄村</t>
  </si>
  <si>
    <t>陕二19#阀室</t>
  </si>
  <si>
    <t>山西省阳泉市盂县南楼乡路家峪口村</t>
  </si>
  <si>
    <t>盂县分输站</t>
  </si>
  <si>
    <t>山西省阳泉市盂县秀水镇西城武村</t>
  </si>
  <si>
    <t>陕二20#阀室</t>
  </si>
  <si>
    <t>20#阀室★●</t>
  </si>
  <si>
    <t>山西省阳泉市盂县仙人乡交口村</t>
  </si>
  <si>
    <t>陕二21#阀室</t>
  </si>
  <si>
    <t>山西省阳泉市盂县仙人乡又道沟村</t>
  </si>
  <si>
    <t>陕二22#阀室</t>
  </si>
  <si>
    <t>河北省石家庄市井陉县辛庄乡张家庄村</t>
  </si>
  <si>
    <t>陕二23#阀室</t>
  </si>
  <si>
    <t>河北省石家庄市井陉县小作镇库隆峰村</t>
  </si>
  <si>
    <t>陕二24#阀室</t>
  </si>
  <si>
    <t>河北省石家庄市井陉县孙庄乡北王庄村</t>
  </si>
  <si>
    <t>陕二25#阀室</t>
  </si>
  <si>
    <t>河北省石家庄市鹿泉市宜安镇牛山村</t>
  </si>
  <si>
    <t>河北省石家庄市鹿泉市宜安镇北胡庄村</t>
  </si>
  <si>
    <t>鹿泉华泽站</t>
  </si>
  <si>
    <t>鹿泉站接出</t>
  </si>
  <si>
    <t>鹿泉华电九期站</t>
  </si>
  <si>
    <t>陕二27#阀室</t>
  </si>
  <si>
    <t>27#阀室▲</t>
  </si>
  <si>
    <t>河北省石家庄市正定县新安镇吴兴村</t>
  </si>
  <si>
    <t>正定分输站</t>
  </si>
  <si>
    <t>河北省石家庄市正定县南牛乡西杨庄村</t>
  </si>
  <si>
    <t>石家庄压气站</t>
  </si>
  <si>
    <t>石家庄压气站●</t>
  </si>
  <si>
    <t>河北省石家庄市藁城市张家庄镇北蒲城村</t>
  </si>
  <si>
    <t>石家庄华泽站</t>
  </si>
  <si>
    <t>石家庄站接出</t>
  </si>
  <si>
    <t>石家庄潜能站</t>
  </si>
  <si>
    <t>陕二28#阀室</t>
  </si>
  <si>
    <t>河北省石家庄市无极县里城道镇周家庄村</t>
  </si>
  <si>
    <t>陕二29#阀室</t>
  </si>
  <si>
    <t>安平作业区</t>
  </si>
  <si>
    <t>河北省石家庄市深泽县赵八镇北羊村</t>
  </si>
  <si>
    <t>陕二30#阀室</t>
  </si>
  <si>
    <t>河北省保定市安国市南娄底乡</t>
  </si>
  <si>
    <t>陕二31#阀室</t>
  </si>
  <si>
    <t>河北省保定市蠡县南庄镇洪善堡村</t>
  </si>
  <si>
    <t>陕二32#阀室</t>
  </si>
  <si>
    <t>河北省保定市蠡县鲍墟乡齐家营村</t>
  </si>
  <si>
    <t>陕二33#阀室</t>
  </si>
  <si>
    <t>河北省保定市高阳县庞佐乡边渡口村</t>
  </si>
  <si>
    <t>陕二34#阀室</t>
  </si>
  <si>
    <t>陕二35#阀室</t>
  </si>
  <si>
    <t>河北省沧州市任丘市于村乡西八方村</t>
  </si>
  <si>
    <t>陕二36#阀室</t>
  </si>
  <si>
    <t>霸州作业区</t>
  </si>
  <si>
    <t>文安分输站</t>
  </si>
  <si>
    <t>非国家管网</t>
  </si>
  <si>
    <t xml:space="preserve">河北省廊坊市文安县大围河回族满族乡薛疙瘩村 </t>
  </si>
  <si>
    <t>霸州分输站</t>
  </si>
  <si>
    <t>河北省廊坊市霸州市康仙庄镇刘家坟村</t>
  </si>
  <si>
    <t>陕二38#阀室</t>
  </si>
  <si>
    <t>河北省廊坊市永清县刘街乡南范庄村</t>
  </si>
  <si>
    <t>顺达站</t>
  </si>
  <si>
    <t>38#阀室接出</t>
  </si>
  <si>
    <t>陕二39#阀室</t>
  </si>
  <si>
    <t>河北省廊坊市永清县工业园区南胡其营村</t>
  </si>
  <si>
    <t>陕二40#阀室</t>
  </si>
  <si>
    <t>河北省廊坊市广阳区九州镇九州三村</t>
  </si>
  <si>
    <t>陕二41#阀室</t>
  </si>
  <si>
    <t>通州作业区</t>
  </si>
  <si>
    <t xml:space="preserve">北京市大兴区采育镇铜佛寺村 </t>
  </si>
  <si>
    <t>采育分输站</t>
  </si>
  <si>
    <t>北京市大兴区采育开发区采业路13号</t>
  </si>
  <si>
    <t>陕二42#阀室</t>
  </si>
  <si>
    <t>北京市通州区于家务回族乡西马坊村</t>
  </si>
  <si>
    <t>陕二43#阀室</t>
  </si>
  <si>
    <t>北京市通州区西集镇郎西村</t>
  </si>
  <si>
    <t>北京市通州区潞城镇东堡村东南</t>
  </si>
  <si>
    <t>任丘分输站●</t>
  </si>
  <si>
    <t>河北省沧州市任丘市出岸镇大辛庄村</t>
  </si>
  <si>
    <t>任丘东分输站</t>
  </si>
  <si>
    <t>河北省沧州市任丘市</t>
  </si>
  <si>
    <t>统计陕一</t>
  </si>
  <si>
    <t>里兰城阀室</t>
  </si>
  <si>
    <t>里兰城阀室★</t>
  </si>
  <si>
    <t>港清</t>
  </si>
  <si>
    <t>河北省廊坊市永清县里澜城镇惠济场村</t>
  </si>
  <si>
    <t>杨芬港A阀室</t>
  </si>
  <si>
    <t>杨芬港A阀室★</t>
  </si>
  <si>
    <t>河北省廊坊市霸州市杨芬港乡大汪庄村</t>
  </si>
  <si>
    <t>天津市西青区闫庄子</t>
  </si>
  <si>
    <t>天津市滨海新区鱼苇管理所</t>
  </si>
  <si>
    <t>旧州阀室</t>
  </si>
  <si>
    <t>旧州阀室★</t>
  </si>
  <si>
    <t>永京</t>
  </si>
  <si>
    <t>留民营阀室</t>
  </si>
  <si>
    <t>留民营阀室★</t>
  </si>
  <si>
    <t>北京市大兴区长子营镇留民营村</t>
  </si>
  <si>
    <t>马驹桥分输站</t>
  </si>
  <si>
    <t>北京市通州区马驹桥镇史村西</t>
  </si>
  <si>
    <t>北京市通州区台湖镇次渠西口1千米处</t>
  </si>
  <si>
    <t>安茨阀室</t>
  </si>
  <si>
    <t>安茨阀室★</t>
  </si>
  <si>
    <t>港复</t>
  </si>
  <si>
    <t>河北省廊坊市安次区东沽港乡十二号村</t>
  </si>
  <si>
    <t>杨芬港B阀室</t>
  </si>
  <si>
    <t>杨芬港B阀室★</t>
  </si>
  <si>
    <t>统计港清</t>
  </si>
  <si>
    <t>港三</t>
  </si>
  <si>
    <t>河北省廊坊市永清县养马庄乡韩城村</t>
  </si>
  <si>
    <t>韩城门站</t>
  </si>
  <si>
    <t>港三1#阀室</t>
  </si>
  <si>
    <t>河北省廊坊市永清县龙虎庄乡马家营村</t>
  </si>
  <si>
    <t>港三2#阀室</t>
  </si>
  <si>
    <t>河北省廊坊市霸州市王庄子乡靳家堡村</t>
  </si>
  <si>
    <t>港三3#阀室</t>
  </si>
  <si>
    <t>静海作业区</t>
  </si>
  <si>
    <t>天津市静海区台头镇胜利村</t>
  </si>
  <si>
    <t>港三4#阀室</t>
  </si>
  <si>
    <t>天津市静海区梁头镇东河头村</t>
  </si>
  <si>
    <t>东河头门站</t>
  </si>
  <si>
    <t>静海分输站</t>
  </si>
  <si>
    <t>天津市静海区陈官屯镇王官屯村</t>
  </si>
  <si>
    <t>港三5#阀室</t>
  </si>
  <si>
    <t>大邱庄分输站</t>
  </si>
  <si>
    <t>天津市静海区大邱庄镇大屯村</t>
  </si>
  <si>
    <t>常流分输站</t>
  </si>
  <si>
    <t>大港作业区</t>
  </si>
  <si>
    <t>天津市滨海新区中塘镇常流庄村</t>
  </si>
  <si>
    <t xml:space="preserve">天津市滨海新区滨海北路离津岐公路3公里处
</t>
  </si>
  <si>
    <t>板中南储气库</t>
  </si>
  <si>
    <t>板中北储气库</t>
  </si>
  <si>
    <t>板876储气库</t>
  </si>
  <si>
    <t>板808/828储气库</t>
  </si>
  <si>
    <t>天津市西青区中北镇</t>
  </si>
  <si>
    <t>河北省廊坊市永清县韩村镇</t>
  </si>
  <si>
    <t>陕京一二三连通</t>
  </si>
  <si>
    <t>陕三1#阀室</t>
  </si>
  <si>
    <t>陕三</t>
  </si>
  <si>
    <t>陕西省榆林市榆阳区牛家梁镇城大圪堵村</t>
  </si>
  <si>
    <t>陕三2#阀室</t>
  </si>
  <si>
    <t>榆佳作业区</t>
  </si>
  <si>
    <t>陕西省榆林市榆阳区刘千河乡鸭罗畔村</t>
  </si>
  <si>
    <t>陕三3#阀室</t>
  </si>
  <si>
    <t>陕西省榆林市佳县王家砭镇</t>
  </si>
  <si>
    <t>榆佳分输站</t>
  </si>
  <si>
    <t>陕三4#阀室</t>
  </si>
  <si>
    <t>陕西省榆林市佳县王家砭镇雷家洼村</t>
  </si>
  <si>
    <t>陕三5#阀室</t>
  </si>
  <si>
    <t>陕西省榆林市佳县朱家洼乡沙湾村</t>
  </si>
  <si>
    <t>陕三6#阀室</t>
  </si>
  <si>
    <t>临县作业区</t>
  </si>
  <si>
    <t>山西省吕梁市临县八堡乡杨家洼村</t>
  </si>
  <si>
    <t>八堡分输站</t>
  </si>
  <si>
    <t>陕三7#阀室</t>
  </si>
  <si>
    <t>山西省吕梁市临县雷家碛乡刘家塔村</t>
  </si>
  <si>
    <t>雷家碛分输站</t>
  </si>
  <si>
    <t>陕三8#阀室</t>
  </si>
  <si>
    <t>山西省吕梁市临县城庄镇武家坪村</t>
  </si>
  <si>
    <t>临县压气站</t>
  </si>
  <si>
    <t>山西省吕梁市临县白文镇白文村</t>
  </si>
  <si>
    <t>临县分输站</t>
  </si>
  <si>
    <t>陕三9#阀室</t>
  </si>
  <si>
    <t>山西省吕梁市兴县东会乡东南村</t>
  </si>
  <si>
    <t>陕三10#阀室</t>
  </si>
  <si>
    <t>山西省吕梁市岚县王狮乡王狮村</t>
  </si>
  <si>
    <t>陕三11#阀室</t>
  </si>
  <si>
    <t>山西省吕梁市岚县东村镇西村</t>
  </si>
  <si>
    <t>陕三12#阀室</t>
  </si>
  <si>
    <t>山西省忻州市静乐县神峪沟乡东大树村</t>
  </si>
  <si>
    <t>陕三13#阀室</t>
  </si>
  <si>
    <t>陕京二线、三线跨接阀室</t>
  </si>
  <si>
    <t>陕三14#阀室</t>
  </si>
  <si>
    <t>陕三15#阀室</t>
  </si>
  <si>
    <t>山西省忻州市忻府区三交镇娄子沟村</t>
  </si>
  <si>
    <t>陕三16#阀室</t>
  </si>
  <si>
    <t>山西省忻州市忻府区庄磨镇下冯村</t>
  </si>
  <si>
    <t>陕京二三连通</t>
  </si>
  <si>
    <t>陕三17#阀室</t>
  </si>
  <si>
    <t>山西省太原市阳曲县凌井店乡汉胡村</t>
  </si>
  <si>
    <t>陕三18#阀室</t>
  </si>
  <si>
    <t>盂县西分输站</t>
  </si>
  <si>
    <t>19#阀室接出</t>
  </si>
  <si>
    <t>山西省阳泉市盂县南娄镇管头村</t>
  </si>
  <si>
    <t>陕三20#阀室</t>
  </si>
  <si>
    <t>山西省阳泉市盂县孙家庄镇西盂北村</t>
  </si>
  <si>
    <t>陕三21#阀室</t>
  </si>
  <si>
    <t>21#阀室★●</t>
  </si>
  <si>
    <t>与二线20#跨接</t>
  </si>
  <si>
    <t>陕三22#阀室</t>
  </si>
  <si>
    <t>陕三23#阀室</t>
  </si>
  <si>
    <t>河北省石家庄市井陉县辛庄乡胡仁村</t>
  </si>
  <si>
    <t>陕三24#阀室</t>
  </si>
  <si>
    <t>24#阀室★●</t>
  </si>
  <si>
    <t>与二线24#跨接</t>
  </si>
  <si>
    <t>井陉分输站</t>
  </si>
  <si>
    <t>由24#阀室接出</t>
  </si>
  <si>
    <t>河北省石家庄市井陉县孙庄乡寨坡村</t>
  </si>
  <si>
    <t>陕三25#阀室</t>
  </si>
  <si>
    <t>陕三26#阀室</t>
  </si>
  <si>
    <t>河北省石家庄市鹿泉市李村镇西小壁村</t>
  </si>
  <si>
    <t>鹿泉东分输站</t>
  </si>
  <si>
    <t>陕三27#阀室</t>
  </si>
  <si>
    <t>河北省石家庄市正定县正定镇北贾村</t>
  </si>
  <si>
    <t>陕三28#阀室</t>
  </si>
  <si>
    <t>陕三29#阀室</t>
  </si>
  <si>
    <t>深泽北分输站</t>
  </si>
  <si>
    <t>29#阀室接出</t>
  </si>
  <si>
    <t>陕三30#阀室</t>
  </si>
  <si>
    <t>陕京二三连通，统计陕二</t>
  </si>
  <si>
    <t>陕三31#阀室</t>
  </si>
  <si>
    <t>陕三32#阀室</t>
  </si>
  <si>
    <t>高阳分输站</t>
  </si>
  <si>
    <t>原33#阀室</t>
  </si>
  <si>
    <t>陕三34#阀室</t>
  </si>
  <si>
    <t>34#阀室★●</t>
  </si>
  <si>
    <t>与二线任丘站跨接</t>
  </si>
  <si>
    <t>陕三35#阀室</t>
  </si>
  <si>
    <t>陕三36#阀室</t>
  </si>
  <si>
    <t>陕京霸州分输站</t>
  </si>
  <si>
    <t>蒙西</t>
  </si>
  <si>
    <t>陕三38#阀室</t>
  </si>
  <si>
    <t>陕京一二三连通，统计陕一</t>
  </si>
  <si>
    <t>陕三39#阀室</t>
  </si>
  <si>
    <t>河北省廊坊市固安县东红寺乡北宋村</t>
  </si>
  <si>
    <t>陕三40#阀室</t>
  </si>
  <si>
    <t>河北省廊坊市固安县宫村镇中公由村</t>
  </si>
  <si>
    <t>陕三41#阀室</t>
  </si>
  <si>
    <t>向阳五村分输站</t>
  </si>
  <si>
    <t>涿州东分输站</t>
  </si>
  <si>
    <t>陕京一三连通</t>
  </si>
  <si>
    <t>陕三42#阀室</t>
  </si>
  <si>
    <t>北京市房山区窦店镇苏村</t>
  </si>
  <si>
    <t>良乡分输站</t>
  </si>
  <si>
    <t>北京市房山区阎村镇南梨园村东南部1Km处</t>
  </si>
  <si>
    <t>陕三43#阀室</t>
  </si>
  <si>
    <t>北京市房山区青龙湖镇果各庄村</t>
  </si>
  <si>
    <t>陕三44#阀室</t>
  </si>
  <si>
    <t>北京市丰台区王佐镇沙锅村</t>
  </si>
  <si>
    <t>大灰厂分输站</t>
  </si>
  <si>
    <t>陕三45#阀室</t>
  </si>
  <si>
    <t>北京市门头沟区潭柘寺镇鲁家滩村</t>
  </si>
  <si>
    <t>潭柘寺分输站</t>
  </si>
  <si>
    <t>延庆作业区</t>
  </si>
  <si>
    <t>陕三46#阀室</t>
  </si>
  <si>
    <t>北京市门头沟区妙峰山镇担礼村</t>
  </si>
  <si>
    <t>陕三47#阀室</t>
  </si>
  <si>
    <t>北京市海淀区苏家坨镇南安河村</t>
  </si>
  <si>
    <t>陕三48#阀室</t>
  </si>
  <si>
    <t>北京市海淀区苏家坨镇后沙涧村</t>
  </si>
  <si>
    <t>陕三49#阀室</t>
  </si>
  <si>
    <t>北京市昌平区马池口镇土城村</t>
  </si>
  <si>
    <t>北京市昌平区马池口镇白浮村南</t>
  </si>
  <si>
    <t>陕四1#阀室</t>
  </si>
  <si>
    <t>陕四</t>
  </si>
  <si>
    <t>陕西省榆林市靖边县海则滩乡野马梁村</t>
  </si>
  <si>
    <t>红墩界压气站</t>
  </si>
  <si>
    <t>陕四2#阀室</t>
  </si>
  <si>
    <t>鄂尔多斯作业区</t>
  </si>
  <si>
    <t>内蒙古自治区鄂尔多斯市乌审旗无定河镇水清湾村</t>
  </si>
  <si>
    <t>陕四3#阀室</t>
  </si>
  <si>
    <t>内蒙古自治区鄂尔多斯市乌审旗无定河镇排子湾村</t>
  </si>
  <si>
    <t>陕四4#阀室</t>
  </si>
  <si>
    <t>内蒙古自治区鄂尔多斯市乌审旗嘎鲁图镇深水台村</t>
  </si>
  <si>
    <t>陕四5#阀室</t>
  </si>
  <si>
    <t>内蒙古自治区鄂尔多斯市乌审旗嘎鲁图镇斯布呼勒嘎查</t>
  </si>
  <si>
    <t>陕四6#阀室</t>
  </si>
  <si>
    <t>内蒙古自治区鄂尔多斯市乌审旗乌兰陶勒盖镇巴音希里嘎查</t>
  </si>
  <si>
    <t>陕四7#阀室</t>
  </si>
  <si>
    <t>内蒙古自治区鄂尔多斯市乌审旗乌审召镇乌审召嘎查</t>
  </si>
  <si>
    <t>陕四8#阀室</t>
  </si>
  <si>
    <t>内蒙古自治区鄂尔多斯市乌审旗乌审召镇巴嘎淖尔村</t>
  </si>
  <si>
    <t>陕四9#阀室</t>
  </si>
  <si>
    <t>内蒙古自治区鄂尔多斯市伊金霍洛旗红庆河镇木呼敖包村</t>
  </si>
  <si>
    <t>鄂尔多斯压气站</t>
  </si>
  <si>
    <t>内蒙古自治区鄂尔多斯市伊金霍洛旗苏布尔嘎镇敖包圪台村</t>
  </si>
  <si>
    <t>陕四10#阀室</t>
  </si>
  <si>
    <t>内蒙古自治区鄂尔多斯市伊金霍洛旗苏布尔嘎镇阿斯日音希里村</t>
  </si>
  <si>
    <t>陕四11#阀室</t>
  </si>
  <si>
    <t>内蒙古自治区鄂尔多斯市东胜区罕台镇九城功村</t>
  </si>
  <si>
    <t>陕四12#阀室</t>
  </si>
  <si>
    <t>内蒙古自治区鄂尔多斯市达拉特旗展旦召苏木青达门村</t>
  </si>
  <si>
    <t>陕四13#阀室</t>
  </si>
  <si>
    <t>内蒙古自治区鄂尔多斯市达拉特旗展旦召苏木塔并召村</t>
  </si>
  <si>
    <t>陕四14#阀室</t>
  </si>
  <si>
    <t>内蒙古自治区鄂尔多斯市达拉特旗树林召镇沟心召村</t>
  </si>
  <si>
    <t>陕四15#阀室</t>
  </si>
  <si>
    <t>内蒙古自治区鄂尔多斯市达拉特旗白泥井镇召壕村</t>
  </si>
  <si>
    <t>陕四16#阀室</t>
  </si>
  <si>
    <t>内蒙古自治区鄂尔多斯市达拉特旗吉格斯泰镇沟心召村</t>
  </si>
  <si>
    <t>陕四17#阀室</t>
  </si>
  <si>
    <t>托克托作业区</t>
  </si>
  <si>
    <t>内蒙古自治区鄂尔多斯市准格尔旗十二连城乡广太昌村</t>
  </si>
  <si>
    <t>陕四18#阀室</t>
  </si>
  <si>
    <t>内蒙古自治区鄂尔多斯市准格尔旗十二连城乡脑包湾村</t>
  </si>
  <si>
    <t>陕四19#阀室</t>
  </si>
  <si>
    <t>内蒙古自治区呼和浩特市托克托县黄河湿地管理委员会北柳林滩村</t>
  </si>
  <si>
    <t>托克托压气站</t>
  </si>
  <si>
    <t>内蒙古自治区呼和浩特市托克托县伍什家镇树林子村</t>
  </si>
  <si>
    <t>陕四20#阀室</t>
  </si>
  <si>
    <t>内蒙古自治区呼和浩特市托克托县古城镇永圣域村</t>
  </si>
  <si>
    <t>陕四21#阀室</t>
  </si>
  <si>
    <t>内蒙古自治区呼和浩特市土默特左旗沙尔营乡甲尔旦村</t>
  </si>
  <si>
    <t>呼和浩特分输站</t>
  </si>
  <si>
    <t>陕四22#阀室</t>
  </si>
  <si>
    <t>内蒙古自治区呼和浩特市赛罕区金河镇大一间房村</t>
  </si>
  <si>
    <t>陕四23#阀室</t>
  </si>
  <si>
    <t>内蒙古自治区呼和浩特市赛罕区黄合少镇朱亥村</t>
  </si>
  <si>
    <t>陕四24#阀室</t>
  </si>
  <si>
    <t>乌兰察布作业区</t>
  </si>
  <si>
    <t>内蒙古自治区乌兰察布市凉城县蛮汉镇岱州窑村</t>
  </si>
  <si>
    <t>陕四25#阀室</t>
  </si>
  <si>
    <t>内蒙古自治区乌兰察布市卓资县大榆树乡西壕堑村</t>
  </si>
  <si>
    <t>陕四26#阀室</t>
  </si>
  <si>
    <t>内蒙古自治区乌兰察布市卓资县大榆树乡羊圈湾村</t>
  </si>
  <si>
    <t>陕四27#阀室</t>
  </si>
  <si>
    <t>内蒙古自治区乌兰察布市卓资县十八台镇双水泉村</t>
  </si>
  <si>
    <t>乌兰察布压气站</t>
  </si>
  <si>
    <t>内蒙古自治区乌兰察布市察哈尔右翼前旗土贵乌拉镇呼和乌素乡大庙村新疆</t>
  </si>
  <si>
    <t>陕四28#阀室</t>
  </si>
  <si>
    <t>内蒙古自治区乌兰察布察哈尔右翼前旗乌拉哈乌拉乡庆丰村</t>
  </si>
  <si>
    <t>陕四29#阀室</t>
  </si>
  <si>
    <t>内蒙古自治区乌兰察布市兴和县鄂尔栋镇庆云村</t>
  </si>
  <si>
    <t>陕四29-1#阀室</t>
  </si>
  <si>
    <t>29-1#阀室★</t>
  </si>
  <si>
    <t>内蒙古自治区乌兰察布市兴和县二台子镇元山村</t>
  </si>
  <si>
    <t>兴和分输站</t>
  </si>
  <si>
    <t>由29-1#阀室接出，非国家管网</t>
  </si>
  <si>
    <t>内蒙古自治区乌兰察布市兴和县二台子镇元山子村</t>
  </si>
  <si>
    <t>陕四30#阀室</t>
  </si>
  <si>
    <t>内蒙古自治区乌兰察布市兴和县高庙子乡高庙子村</t>
  </si>
  <si>
    <t>陕四31#阀室</t>
  </si>
  <si>
    <t>张家口作业区</t>
  </si>
  <si>
    <t>河北省张家口市尚义县小蒜沟镇小蒜沟村</t>
  </si>
  <si>
    <t>陕四32#阀室</t>
  </si>
  <si>
    <t>河北省张家口市万全县洗马林镇太平湾村</t>
  </si>
  <si>
    <t>陕四33#阀室</t>
  </si>
  <si>
    <t>河北省张家口市万全县安家堡乡第八屯村</t>
  </si>
  <si>
    <t>陕四34#阀室</t>
  </si>
  <si>
    <t>河北省张家口市宣化县区江家屯乡胶泥湾村</t>
  </si>
  <si>
    <t>河北张家口市宣化区江家屯乡西前所村东南</t>
  </si>
  <si>
    <t>陕四35#阀室</t>
  </si>
  <si>
    <t>河北省张家口市宣化县顾家营镇郜家洼村</t>
  </si>
  <si>
    <t>陕四36#阀室</t>
  </si>
  <si>
    <t>河北省张家口市下花园区辛庄子乡董家庄村</t>
  </si>
  <si>
    <t>陕四37#阀室</t>
  </si>
  <si>
    <t>河北省张家口市怀来县鸡鸣驿乡施家营村</t>
  </si>
  <si>
    <t>陕四38#阀室</t>
  </si>
  <si>
    <t>河北省张家口市怀来县新保安镇东园子村</t>
  </si>
  <si>
    <t>怀来首站</t>
  </si>
  <si>
    <t>河北省张家口市怀来县土木乡霸王庄村</t>
  </si>
  <si>
    <t>陕四40#阀室</t>
  </si>
  <si>
    <t>河北省张家口市怀来县狼山乡青山庄村</t>
  </si>
  <si>
    <t>陕四41#阀室</t>
  </si>
  <si>
    <t>北京市延庆县张山营镇张山营村</t>
  </si>
  <si>
    <t>延庆分输站</t>
  </si>
  <si>
    <t>北京市延庆县张山营镇中羊坊村东侧</t>
  </si>
  <si>
    <t>陕四42#阀室</t>
  </si>
  <si>
    <t>北京市延庆县旧县镇车坊村</t>
  </si>
  <si>
    <t>陕四43#阀室</t>
  </si>
  <si>
    <t>北京市延庆县大庄科乡水泉沟村水泉沟村</t>
  </si>
  <si>
    <t>陕四44#阀室</t>
  </si>
  <si>
    <t>北京市怀柔区九渡河镇局里村</t>
  </si>
  <si>
    <t>陕四45#阀室</t>
  </si>
  <si>
    <t>北京市怀柔区桥梓镇新王峪村</t>
  </si>
  <si>
    <t>北京市顺义区北石槽镇</t>
  </si>
  <si>
    <t>密云作业区</t>
  </si>
  <si>
    <t>高西1#阀室</t>
  </si>
  <si>
    <t>高西</t>
  </si>
  <si>
    <t>北京市昌平区兴寿镇麦庄村北约725米</t>
  </si>
  <si>
    <t>高西2#阀室</t>
  </si>
  <si>
    <t>北京市昌平区兴寿镇南约1.4千米</t>
  </si>
  <si>
    <t>香屯分输站</t>
  </si>
  <si>
    <t>2#阀室接出，非国家管网</t>
  </si>
  <si>
    <t>高西3#阀室</t>
  </si>
  <si>
    <t>北京市昌平区百善镇良各庄村东约4米</t>
  </si>
  <si>
    <t>高西4#阀室</t>
  </si>
  <si>
    <t>北京市昌平区南邵镇张各庄村南约9米</t>
  </si>
  <si>
    <t>大唐</t>
  </si>
  <si>
    <t>河北省承德市滦平县巴克什营镇北山根村</t>
  </si>
  <si>
    <t>大唐1#阀室</t>
  </si>
  <si>
    <t>北京市密云区太师屯镇车道峪村</t>
  </si>
  <si>
    <t>大唐2#阀室</t>
  </si>
  <si>
    <t>北京市密云区巨各庄镇张家庄村西</t>
  </si>
  <si>
    <t>大唐3#阀室</t>
  </si>
  <si>
    <t>北京市密云区巨各庄镇丰各庄村</t>
  </si>
  <si>
    <t>大唐4#阀室</t>
  </si>
  <si>
    <t>北京市密云区河南寨镇圣水头村</t>
  </si>
  <si>
    <t>大唐5#阀室</t>
  </si>
  <si>
    <t>北京市密云区河南寨镇荆栗园村</t>
  </si>
  <si>
    <t>大唐6#阀室</t>
  </si>
  <si>
    <t>木林分输站</t>
  </si>
  <si>
    <t>6#阀室接出，非国家管网</t>
  </si>
  <si>
    <t>北京市顺义区木林镇大韩庄村</t>
  </si>
  <si>
    <t>大唐7#阀室</t>
  </si>
  <si>
    <t>北京市怀柔区庙城镇大杜两河村</t>
  </si>
  <si>
    <t>大唐8#阀室</t>
  </si>
  <si>
    <t>北京市怀柔区庙城镇桃山村</t>
  </si>
  <si>
    <t>宝坻作业区</t>
  </si>
  <si>
    <t>与永唐秦宝坻站合建</t>
  </si>
  <si>
    <t>永唐秦</t>
  </si>
  <si>
    <t>天津市宝坻区大口屯镇金家台村</t>
  </si>
  <si>
    <t>宝香西1#阀室</t>
  </si>
  <si>
    <t>宝香西</t>
  </si>
  <si>
    <t>天津市宝坻区大口屯镇西刘举人村</t>
  </si>
  <si>
    <t>苑家庄门站</t>
  </si>
  <si>
    <t>宝香西2#阀室</t>
  </si>
  <si>
    <t>河北省廊坊市香河县安头屯镇商汪甸村</t>
  </si>
  <si>
    <t>香河分输站</t>
  </si>
  <si>
    <t>河北省廊坊市香河县渠口镇躲各庄村</t>
  </si>
  <si>
    <t>钱旺分输站</t>
  </si>
  <si>
    <t>香河站接出，非国家管网</t>
  </si>
  <si>
    <t>宝香西3#阀室</t>
  </si>
  <si>
    <t>河北省廊坊市香河县钱旺乡刘庄村</t>
  </si>
  <si>
    <t>与陕二43#阀室相连</t>
  </si>
  <si>
    <t>密马段1#阀室</t>
  </si>
  <si>
    <t>密马段1#阀室★</t>
  </si>
  <si>
    <t>密马</t>
  </si>
  <si>
    <t>北京市密云区东邵渠镇太保庄村西</t>
  </si>
  <si>
    <t>密马段2#阀室</t>
  </si>
  <si>
    <t>密马段2#阀室★</t>
  </si>
  <si>
    <t>北京市平谷区刘家店镇辛庄子村北</t>
  </si>
  <si>
    <t>密马段3#阀室</t>
  </si>
  <si>
    <t>密马段3#阀室★</t>
  </si>
  <si>
    <t>北京市平谷区峪口镇北辛庄村西</t>
  </si>
  <si>
    <t>密马段4#阀室</t>
  </si>
  <si>
    <t>密马段4#阀室★</t>
  </si>
  <si>
    <t>北京市平谷区大兴庄镇大兴庄村西</t>
  </si>
  <si>
    <t>北京市平谷区东高村镇崔家庄村西</t>
  </si>
  <si>
    <t>马香2#阀室</t>
  </si>
  <si>
    <t>马香段2#阀室★</t>
  </si>
  <si>
    <t>马香</t>
  </si>
  <si>
    <t>三河分输站</t>
  </si>
  <si>
    <t>马香1#阀室</t>
  </si>
  <si>
    <t>马香段1#阀室★</t>
  </si>
  <si>
    <t>河北省张家口市宣化区暖店湾村南</t>
  </si>
  <si>
    <t>0</t>
  </si>
  <si>
    <t>张家口市怀来县土木镇阎标庄西南</t>
  </si>
  <si>
    <t>张家口市怀来县土木镇霸王庄西北</t>
  </si>
  <si>
    <t>南山分输站</t>
  </si>
  <si>
    <t>张家口市宣化区胶泥湾村西</t>
  </si>
  <si>
    <t>左卫分输站</t>
  </si>
  <si>
    <t>左卫分输站0</t>
  </si>
  <si>
    <t>张家口市怀安县第四屯村东</t>
  </si>
  <si>
    <t>张家口市怀安县刘家窑村北</t>
  </si>
  <si>
    <t>下花园首站</t>
  </si>
  <si>
    <t>张家口市怀来县武家堡村北</t>
  </si>
  <si>
    <t>张家堡分输站</t>
  </si>
  <si>
    <t>张家口市涿鹿县张家堡村东南</t>
  </si>
  <si>
    <t>张家口市涿鹿县北张庄村南</t>
  </si>
  <si>
    <t>尚义县小蒜沟镇东南</t>
  </si>
  <si>
    <t>尚义支线首站</t>
  </si>
  <si>
    <t>尚义县小蒜沟镇西</t>
  </si>
  <si>
    <t>尚义县永胜地村东</t>
  </si>
  <si>
    <t>尚义县土城子村东南</t>
  </si>
  <si>
    <t>扩建</t>
  </si>
  <si>
    <t>永唐秦1#阀室</t>
  </si>
  <si>
    <t>安次分输站</t>
  </si>
  <si>
    <t>1#阀室接出，非国家管网</t>
  </si>
  <si>
    <t>河北省廊坊市安次区码头镇村崔辛屯村</t>
  </si>
  <si>
    <t>永唐秦2#阀室</t>
  </si>
  <si>
    <t>天津市武清区东浦洼乡大南宫村村西</t>
  </si>
  <si>
    <t>永唐秦3#阀室</t>
  </si>
  <si>
    <t>天津市武清区南蔡村镇北商村</t>
  </si>
  <si>
    <t>永唐秦4#阀室</t>
  </si>
  <si>
    <t>天津市武清区南蔡村镇翁羊房村</t>
  </si>
  <si>
    <t>武清分输站</t>
  </si>
  <si>
    <t>4#阀室接出</t>
  </si>
  <si>
    <t>武清华电门站</t>
  </si>
  <si>
    <t>武清站接出</t>
  </si>
  <si>
    <t>原5＃阀室扩建，设计供气能力171.4万方/天，分输压力4.0MPa。</t>
  </si>
  <si>
    <t>永唐秦6#阀室</t>
  </si>
  <si>
    <t>天津市宝坻区王卜庄镇北史村</t>
  </si>
  <si>
    <t>永唐秦7#阀室</t>
  </si>
  <si>
    <t>唐山作业区</t>
  </si>
  <si>
    <t>河北省唐山市玉田县窝洛沽镇刘家胡同村南</t>
  </si>
  <si>
    <t>永唐秦8#阀室</t>
  </si>
  <si>
    <t>河北省唐山市丰润区任各庄镇陶立营村</t>
  </si>
  <si>
    <t>设计供气能力270万方/天，分输压力4.0MPa。</t>
  </si>
  <si>
    <t>河北省唐山市丰润区丰登坞镇庄户上村</t>
  </si>
  <si>
    <t>永唐秦9#阀室</t>
  </si>
  <si>
    <t>河北省唐山市丰润区常庄乡常一村</t>
  </si>
  <si>
    <t>永唐秦10#阀室</t>
  </si>
  <si>
    <t>秦皇岛作业区</t>
  </si>
  <si>
    <t>河北省唐山市滦县榛子镇河南庄北、12国道南</t>
  </si>
  <si>
    <t>永唐秦11#阀室</t>
  </si>
  <si>
    <t>河北省唐山市迁安市太平庄乡东蛇探峪村</t>
  </si>
  <si>
    <t>迁安分输站</t>
  </si>
  <si>
    <t>原12＃阀室扩建，设计供气能力171.4万方/天，分输压力4.0MPa。</t>
  </si>
  <si>
    <t xml:space="preserve">河北省唐山市迁安市野鸡坨镇卜官营村    </t>
  </si>
  <si>
    <t>建朗分输站</t>
  </si>
  <si>
    <t>迁安站接出，非国家管网</t>
  </si>
  <si>
    <t>永唐秦13#阀室</t>
  </si>
  <si>
    <t>卢龙分输站</t>
  </si>
  <si>
    <t>13#阀室接出，非国家管网</t>
  </si>
  <si>
    <t>河北省秦皇岛市卢龙县下寨乡赵家洼村</t>
  </si>
  <si>
    <t>永唐秦14#阀室</t>
  </si>
  <si>
    <t>河北省秦皇岛市抚宁县茶棚乡前石河村</t>
  </si>
  <si>
    <t>永唐秦15#阀室</t>
  </si>
  <si>
    <t>抚宁分输站</t>
  </si>
  <si>
    <t>15#阀室接出</t>
  </si>
  <si>
    <t>河北省秦皇岛市抚宁县榆关镇龙口店村</t>
  </si>
  <si>
    <t>河北省秦皇岛市抚宁县石门寨镇杜庄乡小部落村</t>
  </si>
  <si>
    <t>永唐秦1-2#阀室之间</t>
  </si>
  <si>
    <t>压维1#阀室</t>
  </si>
  <si>
    <t>压维</t>
  </si>
  <si>
    <t>唐山LNG接收站</t>
  </si>
  <si>
    <t>唐山LNG</t>
  </si>
  <si>
    <t>河北省唐山市曹妃甸区</t>
  </si>
  <si>
    <t>唐山LNG１#阀室</t>
  </si>
  <si>
    <t>１#阀室★</t>
  </si>
  <si>
    <t>曹妃甸分输站</t>
  </si>
  <si>
    <t>河北省唐山市原曹妃甸工业园区管廊带内纳潮河上游东南约1米处</t>
  </si>
  <si>
    <t>唐山LNG2#阀室</t>
  </si>
  <si>
    <t>河北省唐山市原唐海县中小产业园区国信物流有限公司场院内</t>
  </si>
  <si>
    <t>十里海计量站</t>
  </si>
  <si>
    <t>十里海分输站</t>
  </si>
  <si>
    <t>唐山LNG3#阀室</t>
  </si>
  <si>
    <t>河北省唐山市南堡开发区滨海镇东南街村</t>
  </si>
  <si>
    <t>河北省唐山市丰南区黄各庄镇西城坨村</t>
  </si>
  <si>
    <t>唐山LNG4#阀室</t>
  </si>
  <si>
    <t>河北省唐山市丰南区唐坊镇石桥沽村</t>
  </si>
  <si>
    <t>唐山LNG5#阀室</t>
  </si>
  <si>
    <t>河北省唐山市路北区果园乡袁家庄村</t>
  </si>
  <si>
    <t>唐山LNG南塘1#阀室</t>
  </si>
  <si>
    <t>南塘1#阀室★</t>
  </si>
  <si>
    <t>天津市宁河区</t>
  </si>
  <si>
    <t>涩北压气站●</t>
  </si>
  <si>
    <t>涩北压气首站</t>
  </si>
  <si>
    <t>与涩宁兰复线连通</t>
  </si>
  <si>
    <t>涩宁兰</t>
  </si>
  <si>
    <t>青海省海西蒙古族藏族自治州格尔木市</t>
  </si>
  <si>
    <t>涩宁兰1#阀室</t>
  </si>
  <si>
    <t>涩宁兰2#阀室</t>
  </si>
  <si>
    <t>青海省海西蒙古族藏族自治州大柴旦镇</t>
  </si>
  <si>
    <t>涩宁兰3#阀室</t>
  </si>
  <si>
    <t>涩宁兰4#阀室</t>
  </si>
  <si>
    <t>涩宁兰5#阀室</t>
  </si>
  <si>
    <t>涩宁兰6#阀室</t>
  </si>
  <si>
    <t>涩宁兰7#阀室</t>
  </si>
  <si>
    <t>羊肠子沟压气站</t>
  </si>
  <si>
    <t>羊肠子沟压气站●</t>
  </si>
  <si>
    <t>德令哈作业区</t>
  </si>
  <si>
    <t>涩宁兰8#阀室</t>
  </si>
  <si>
    <t>青海省海西蒙古族藏族自治州德令哈市怀头他拉镇</t>
  </si>
  <si>
    <t>涩宁兰9#阀室</t>
  </si>
  <si>
    <t>涩宁兰10#阀室</t>
  </si>
  <si>
    <t>涩宁兰11#阀室</t>
  </si>
  <si>
    <t>青海省海西蒙古族藏族自治州德令哈市郭里木乡</t>
  </si>
  <si>
    <t>德令哈分输站</t>
  </si>
  <si>
    <t>德令哈分输站●</t>
  </si>
  <si>
    <t>青海省海西蒙古族藏族自治州德令哈市尕海镇</t>
  </si>
  <si>
    <t>涩宁兰12#阀室</t>
  </si>
  <si>
    <t>涩宁兰13#阀室</t>
  </si>
  <si>
    <t>青海省海西蒙古族藏族自治州乌兰县柯柯镇</t>
  </si>
  <si>
    <t>涩宁兰14#阀室</t>
  </si>
  <si>
    <t>乌兰压气站</t>
  </si>
  <si>
    <t>乌兰压气站●</t>
  </si>
  <si>
    <t>青海省海西蒙古族藏族自治州乌兰县希里沟镇</t>
  </si>
  <si>
    <t>涩宁兰15#阀室</t>
  </si>
  <si>
    <t>涩宁兰16#阀室</t>
  </si>
  <si>
    <t>青海省海西蒙古族藏族自治州乌兰县茶卡镇</t>
  </si>
  <si>
    <t>涩宁兰17#阀室</t>
  </si>
  <si>
    <t>涩宁兰18#阀室</t>
  </si>
  <si>
    <t>青海省海南藏族自治州共和县黑马河乡</t>
  </si>
  <si>
    <t>大水桥清管站</t>
  </si>
  <si>
    <t>涩宁兰19#阀室</t>
  </si>
  <si>
    <t>湖东压气站</t>
  </si>
  <si>
    <t>涩宁兰20#阀室</t>
  </si>
  <si>
    <t>涩宁兰21#阀室</t>
  </si>
  <si>
    <t>青海省海南藏族自治州共和县江西沟乡</t>
  </si>
  <si>
    <t>湖东压气站●</t>
  </si>
  <si>
    <t>青海省海南藏族自治州共和县倒淌河镇</t>
  </si>
  <si>
    <t>涩宁兰22#阀室</t>
  </si>
  <si>
    <t>涩宁兰23#阀室</t>
  </si>
  <si>
    <t>西宁作业区</t>
  </si>
  <si>
    <t>青海省海南藏族自治州贵德县</t>
  </si>
  <si>
    <t>西宁分输站●</t>
  </si>
  <si>
    <t>青海省西宁市湟中县上新庄镇</t>
  </si>
  <si>
    <t>城东门站</t>
  </si>
  <si>
    <t>甘和门站</t>
  </si>
  <si>
    <t>涩宁兰24#阀室</t>
  </si>
  <si>
    <t>青海省西宁市湟中县田家寨镇</t>
  </si>
  <si>
    <t>涩宁兰25#阀室</t>
  </si>
  <si>
    <t>与涩宁兰复线25#连通</t>
  </si>
  <si>
    <t>青海省海东市平安区平安镇</t>
  </si>
  <si>
    <t>平安分输站</t>
  </si>
  <si>
    <t>25#阀室接出</t>
  </si>
  <si>
    <t>涩宁兰26#阀室</t>
  </si>
  <si>
    <t>青海省海东市乐都区岗沟镇沈熊村</t>
  </si>
  <si>
    <t>乐都门站</t>
  </si>
  <si>
    <t>老线26#、复线27#阀室接出</t>
  </si>
  <si>
    <t>涩宁兰27#阀室</t>
  </si>
  <si>
    <t>青海省海东市乐都区洪水乡阿东村</t>
  </si>
  <si>
    <t>民和阀室</t>
  </si>
  <si>
    <t>青海省海东市民和县川口镇</t>
  </si>
  <si>
    <t>涩宁兰28#阀室</t>
  </si>
  <si>
    <t>青海省海东市民和县马场垣乡</t>
  </si>
  <si>
    <t>涩宁兰29#阀室</t>
  </si>
  <si>
    <t>甘肃省兰州市红古区花庄镇</t>
  </si>
  <si>
    <t>河口作业区</t>
  </si>
  <si>
    <t>甘肃省兰州市红古区平安镇</t>
  </si>
  <si>
    <t>涩宁兰31#阀室</t>
  </si>
  <si>
    <t>甘肃省兰州市西固区河口乡</t>
  </si>
  <si>
    <t>涩宁兰32#阀室</t>
  </si>
  <si>
    <t>32#阀室▲●</t>
  </si>
  <si>
    <t>32#阀室前几百米处与涩宁兰复线35#阀室连通</t>
  </si>
  <si>
    <t>甘肃省兰州市西固区新城镇</t>
  </si>
  <si>
    <t>甘肃省兰州市西固区柳泉乡</t>
  </si>
  <si>
    <t>刘化1#阀室</t>
  </si>
  <si>
    <t>刘化1#阀室0</t>
  </si>
  <si>
    <t>刘化2#阀室</t>
  </si>
  <si>
    <t>刘化2#阀室0</t>
  </si>
  <si>
    <t>甘肃省兰州市</t>
  </si>
  <si>
    <t>青海省西宁市</t>
  </si>
  <si>
    <t>兰州作业区</t>
  </si>
  <si>
    <t>甘西南1#阀室</t>
  </si>
  <si>
    <t>甘西南</t>
  </si>
  <si>
    <t>甘西南2#阀室</t>
  </si>
  <si>
    <t>临夏作业区</t>
  </si>
  <si>
    <t>甘西南3#阀室</t>
  </si>
  <si>
    <t>甘肃省临夏回族自治州临夏市</t>
  </si>
  <si>
    <t>甘南1#阀室</t>
  </si>
  <si>
    <t>甘南</t>
  </si>
  <si>
    <t>甘南2#阀室</t>
  </si>
  <si>
    <t>甘南3#阀室</t>
  </si>
  <si>
    <t>甘南5#阀室</t>
  </si>
  <si>
    <t>甘肃省甘南藏族自治州合作县</t>
  </si>
  <si>
    <t>甘肃省甘南藏族自治州夏河县</t>
  </si>
  <si>
    <t>兰定1#阀室</t>
  </si>
  <si>
    <t>兰定</t>
  </si>
  <si>
    <t>甘肃省兰州市七里河区</t>
  </si>
  <si>
    <t>兰定2#阀室</t>
  </si>
  <si>
    <t>甘肃省兰州市榆中县和平镇</t>
  </si>
  <si>
    <t>兰定3#阀室</t>
  </si>
  <si>
    <t>甘肃省兰州市榆中县</t>
  </si>
  <si>
    <t>榆中分输站</t>
  </si>
  <si>
    <t>兰定4#阀室</t>
  </si>
  <si>
    <t>兰定5#阀室</t>
  </si>
  <si>
    <t>甘肃省定西市安定区</t>
  </si>
  <si>
    <t>兰定6#阀室</t>
  </si>
  <si>
    <t>古浪首站</t>
  </si>
  <si>
    <t>古河</t>
  </si>
  <si>
    <t>河口末站</t>
  </si>
  <si>
    <t>与涩宁兰老线连通</t>
  </si>
  <si>
    <t>涩复1#阀室</t>
  </si>
  <si>
    <t>涩复</t>
  </si>
  <si>
    <t>涩复2#阀室</t>
  </si>
  <si>
    <t>涩复3#阀室</t>
  </si>
  <si>
    <t>涩复4#阀室</t>
  </si>
  <si>
    <t>涩复5#阀室</t>
  </si>
  <si>
    <t>涩复6#阀室</t>
  </si>
  <si>
    <t>涩复7#阀室</t>
  </si>
  <si>
    <t>涩复8#阀室</t>
  </si>
  <si>
    <t>涩复9#阀室</t>
  </si>
  <si>
    <t>涩复10#阀室</t>
  </si>
  <si>
    <t>10#阀室★●</t>
  </si>
  <si>
    <t>在德令哈站内，与老线连通</t>
  </si>
  <si>
    <t>涩复11#阀室</t>
  </si>
  <si>
    <t>涩复12#阀室</t>
  </si>
  <si>
    <t>涩复13#阀室</t>
  </si>
  <si>
    <t>涩复14#阀室</t>
  </si>
  <si>
    <t>涩复15#阀室</t>
  </si>
  <si>
    <t>涩复16#阀室</t>
  </si>
  <si>
    <t>涩复17#阀室</t>
  </si>
  <si>
    <t>涩复18#阀室</t>
  </si>
  <si>
    <t>涩复19#阀室</t>
  </si>
  <si>
    <t>涩复20#阀室</t>
  </si>
  <si>
    <t>涩复21#阀室</t>
  </si>
  <si>
    <t>与用户的倒淌河站相连，倒淌河站属用户，不计入统计</t>
  </si>
  <si>
    <t>涩复22#阀室</t>
  </si>
  <si>
    <t>与用户的贵德门站相连，贵德门站属用户，不计入统计</t>
  </si>
  <si>
    <t>拉脊山分输站</t>
  </si>
  <si>
    <t>22#阀室接出，0.015km</t>
  </si>
  <si>
    <t>涩复23#阀室</t>
  </si>
  <si>
    <t>涩复24#阀室</t>
  </si>
  <si>
    <t>涩复25#阀室</t>
  </si>
  <si>
    <t>25#阀室★●</t>
  </si>
  <si>
    <t>分输阀室，与涩宁兰25#阀室连通</t>
  </si>
  <si>
    <t>涩复26#阀室</t>
  </si>
  <si>
    <t>青海省海东市</t>
  </si>
  <si>
    <t>涩复27#阀室</t>
  </si>
  <si>
    <t>分输阀室</t>
  </si>
  <si>
    <t>涩复28#阀室</t>
  </si>
  <si>
    <t>涩复29#阀室</t>
  </si>
  <si>
    <t>涩复30#阀室</t>
  </si>
  <si>
    <t>涩复31#阀室</t>
  </si>
  <si>
    <t>涩复32#阀室</t>
  </si>
  <si>
    <t>涩复33#阀室</t>
  </si>
  <si>
    <t>涩复34#阀室</t>
  </si>
  <si>
    <t>统计兰银</t>
  </si>
  <si>
    <t>兰银</t>
  </si>
  <si>
    <t>35#阀室★●</t>
  </si>
  <si>
    <t>清管分输阀室，与涩宁兰32#阀室前几百米处连通</t>
  </si>
  <si>
    <t>甘肃省兰州市西固区</t>
  </si>
  <si>
    <t>周家庄阀室</t>
  </si>
  <si>
    <t>兰银1#阀室</t>
  </si>
  <si>
    <t>甘肃省兰州市永登县</t>
  </si>
  <si>
    <t>兰银2#阀室</t>
  </si>
  <si>
    <t>兰银3#阀室</t>
  </si>
  <si>
    <t>景泰作业区</t>
  </si>
  <si>
    <t>甘肃省白银市景泰县</t>
  </si>
  <si>
    <t>兰银5#阀室</t>
  </si>
  <si>
    <t>兰银7#阀室</t>
  </si>
  <si>
    <t>甘塘分输站</t>
  </si>
  <si>
    <t>兰银8#阀室</t>
  </si>
  <si>
    <t>内蒙古自治区阿拉善盟阿拉善左旗</t>
  </si>
  <si>
    <t>兰银9#阀室</t>
  </si>
  <si>
    <t>内蒙古自治区阿拉善盟阿拉善左旗孪井管委会马莲湖</t>
  </si>
  <si>
    <t>内蒙古自治区阿拉善盟孪井管委会马连湖</t>
  </si>
  <si>
    <t>兰银11#阀室</t>
  </si>
  <si>
    <t>内蒙古自治区阿拉善盟孪井管委会</t>
  </si>
  <si>
    <t>兰银12#阀室</t>
  </si>
  <si>
    <t>12#阀室</t>
  </si>
  <si>
    <t>内蒙古自治区阿拉善盟阿拉善左旗巴润阿克图</t>
  </si>
  <si>
    <t>阿拉善左旗分输站</t>
  </si>
  <si>
    <t>原13#阀室</t>
  </si>
  <si>
    <t>兰银14#阀室</t>
  </si>
  <si>
    <t>银川作业区</t>
  </si>
  <si>
    <t>宁夏回族自治区银川市永宁县李俊乡黄羊滩</t>
  </si>
  <si>
    <t>兰银15#阀室</t>
  </si>
  <si>
    <t>宁夏回族自治区银川市西夏区平吉堡镇</t>
  </si>
  <si>
    <t>宁夏回族自治区银川市西夏区</t>
  </si>
  <si>
    <t>白银1#阀室</t>
  </si>
  <si>
    <t>甘肃省白银市白银区</t>
  </si>
  <si>
    <t>长宁1#阀室</t>
  </si>
  <si>
    <t>长宁</t>
  </si>
  <si>
    <t>内蒙古自治区鄂尔多斯市乌审旗无定河镇萨拉乌苏村</t>
  </si>
  <si>
    <t>城川分输站</t>
  </si>
  <si>
    <t>内蒙古自治区鄂尔多斯市鄂托克前旗城川镇</t>
  </si>
  <si>
    <t>长宁3#阀室</t>
  </si>
  <si>
    <t>长宁4#阀室</t>
  </si>
  <si>
    <t>陕西省榆林市定边县周台子乡公步井村</t>
  </si>
  <si>
    <t>长宁盐池站</t>
  </si>
  <si>
    <t>盐池站</t>
  </si>
  <si>
    <t>宁夏回族自治区吴忠市盐池县物流园区大东梁</t>
  </si>
  <si>
    <t>长宁5#阀室</t>
  </si>
  <si>
    <t>宁夏回族自治区吴忠市盐池县高沙窝镇南梁村</t>
  </si>
  <si>
    <t>长宁6#阀室</t>
  </si>
  <si>
    <t>宁夏回族自治区吴忠市盐池县高沙窝镇魏庄子村</t>
  </si>
  <si>
    <t>宁东分输站</t>
  </si>
  <si>
    <t>宁夏回族自治区吴忠市灵武市宁东镇</t>
  </si>
  <si>
    <t>长宁7#阀室</t>
  </si>
  <si>
    <t>宁夏回族自治区银川市灵武市临河乡甜水河村</t>
  </si>
  <si>
    <t>长宁8#阀室</t>
  </si>
  <si>
    <t>宁夏回族自治区银川市灵武市梧桐树乡</t>
  </si>
  <si>
    <t>仁存分输站</t>
  </si>
  <si>
    <t>宁夏回族自治区银川市永宁县李俊镇</t>
  </si>
  <si>
    <t>长宁10#阀室</t>
  </si>
  <si>
    <t>宁夏回族自治区银川市永宁县胜利乡</t>
  </si>
  <si>
    <t>宁化</t>
  </si>
  <si>
    <t>西南管道</t>
  </si>
  <si>
    <t>忠县作业区</t>
  </si>
  <si>
    <t>忠武</t>
  </si>
  <si>
    <t>重庆市忠县干井镇灯树村</t>
  </si>
  <si>
    <t>忠武1#阀室</t>
  </si>
  <si>
    <t>重庆市忠县复兴镇西流村</t>
  </si>
  <si>
    <t>忠武2#阀室</t>
  </si>
  <si>
    <t>重庆市石柱土家族自治县石家乡黄龙村</t>
  </si>
  <si>
    <t>忠武3#阀室</t>
  </si>
  <si>
    <t>重庆市石柱土家族自治县枫木乡莲花村</t>
  </si>
  <si>
    <t>忠武4#阀室</t>
  </si>
  <si>
    <t>湖北省恩施土家族苗族自治州利川市汪营镇沙子坎村</t>
  </si>
  <si>
    <t>忠武5#阀室</t>
  </si>
  <si>
    <t>湖北省恩施土家族苗族自治州利川市都亭街道大塘村</t>
  </si>
  <si>
    <t>忠武6#阀室</t>
  </si>
  <si>
    <t>湖北省恩施土家族苗族自治州利川市团堡镇野猫水村</t>
  </si>
  <si>
    <t>恩施清管站</t>
  </si>
  <si>
    <t>湖北省恩施土家族苗族自治州恩施市屯堡镇罗针田村</t>
  </si>
  <si>
    <t>恩施分输站</t>
  </si>
  <si>
    <t>原7#阀室</t>
  </si>
  <si>
    <t>湖北省恩施土家族苗族自治州恩施市小渡船街道小村</t>
  </si>
  <si>
    <t>忠武8#阀室</t>
  </si>
  <si>
    <t>湖北省恩施土家族苗族自治州白杨坪乡熊家岩村</t>
  </si>
  <si>
    <t>忠武9#阀室</t>
  </si>
  <si>
    <t>湖北省恩施土家族苗族自治州崔家坝镇崔家坝村</t>
  </si>
  <si>
    <t>忠武10#阀室</t>
  </si>
  <si>
    <t>湖北省恩施土家族苗族自治州建始县红岩寺镇桃园村</t>
  </si>
  <si>
    <t>忠武11#阀室</t>
  </si>
  <si>
    <t>宜昌作业区</t>
  </si>
  <si>
    <t>湖北省恩施土家族苗族自治州巴东县大支坪镇野三坝村</t>
  </si>
  <si>
    <t>忠武12#阀室</t>
  </si>
  <si>
    <t>湖北省恩施土家族苗族自治州巴东县野三关镇张家村</t>
  </si>
  <si>
    <t>榔枰清管站</t>
  </si>
  <si>
    <t>湖北省宜昌市长阳土家族自治县榔坪镇</t>
  </si>
  <si>
    <t>忠武13#阀室</t>
  </si>
  <si>
    <t>湖北省宜昌市长阳土家族自治县贺家坪镇芦子坪村</t>
  </si>
  <si>
    <t>忠武14#阀室</t>
  </si>
  <si>
    <t>湖北省宜昌市长阳土家族自治县贺家坪镇白咸池村余家湾</t>
  </si>
  <si>
    <t>忠武15#阀室</t>
  </si>
  <si>
    <t>湖北省宜昌市长阳土家族自治县高家堰镇青岩坪村</t>
  </si>
  <si>
    <t>长阳分输站</t>
  </si>
  <si>
    <t>原16#阀室</t>
  </si>
  <si>
    <t>湖北省宜昌市长阳土家族自治县龙舟坪镇白氏坪村</t>
  </si>
  <si>
    <t>宜昌分输站</t>
  </si>
  <si>
    <t>湖北省宜昌市宜都市红花套镇光明村</t>
  </si>
  <si>
    <t>忠武17#阀室</t>
  </si>
  <si>
    <t>湖北省宜昌市枝江市安福寺镇上柏坪村</t>
  </si>
  <si>
    <t>枝江分输站</t>
  </si>
  <si>
    <t>湖北省宜昌市枝江市马家店镇计划村二组</t>
  </si>
  <si>
    <t>忠武18#阀室</t>
  </si>
  <si>
    <t>湖北省宜昌市枝江市七星台镇杨林湖村</t>
  </si>
  <si>
    <t>荆门作业区</t>
  </si>
  <si>
    <t>湖北省荆州市荆州区纪南镇拍马村</t>
  </si>
  <si>
    <t>荆州分输站</t>
  </si>
  <si>
    <t>湖北省荆州市沙市区锣场镇向湖村</t>
  </si>
  <si>
    <t>忠武19#阀室</t>
  </si>
  <si>
    <t>仙桃作业区</t>
  </si>
  <si>
    <t>湖北省潜江市浩口镇苏家港村</t>
  </si>
  <si>
    <t>湖北省潜江市章华南路（高速公路北）</t>
  </si>
  <si>
    <t>忠武20#阀室</t>
  </si>
  <si>
    <t>湖北省仙桃市三伏潭镇毛小村二组</t>
  </si>
  <si>
    <t>干河分输站</t>
  </si>
  <si>
    <t>湖北省仙桃市干河街道郑仁口村西侧约5m</t>
  </si>
  <si>
    <t>仙桃分输站</t>
  </si>
  <si>
    <t>湖北省仙桃市龙华山街道九十墩村煤气站北</t>
  </si>
  <si>
    <t>忠武21#阀室</t>
  </si>
  <si>
    <t>武汉东作业区</t>
  </si>
  <si>
    <t>湖北省武汉市蔡甸区成功乡国光村</t>
  </si>
  <si>
    <t>忠武22#阀室</t>
  </si>
  <si>
    <t>湖北省武汉市江夏区金口街道旭光村</t>
  </si>
  <si>
    <t>湖北省武汉市江夏区五里界镇肖家扎房</t>
  </si>
  <si>
    <t>荆门分输站</t>
  </si>
  <si>
    <t>宜城</t>
  </si>
  <si>
    <t>湖北省荆门市掇刀区掇刀石街道迎春村</t>
  </si>
  <si>
    <t>襄樊3#阀室</t>
  </si>
  <si>
    <t>湖北省荆门市东宝区子陵镇子陵村二组</t>
  </si>
  <si>
    <t>襄樊4#阀室</t>
  </si>
  <si>
    <t>湖北省荆门市钟祥市双河镇长冲村四组</t>
  </si>
  <si>
    <t>胡集分输站</t>
  </si>
  <si>
    <t>2016年距管道850m处新建分输站投产</t>
  </si>
  <si>
    <t>湖北省荆门市钟祥市胡集镇桥垱桥村九队港华燃气公司</t>
  </si>
  <si>
    <t>襄樊5#阀室</t>
  </si>
  <si>
    <t>湖北省荆门市钟祥市胡集镇尹湾村四组</t>
  </si>
  <si>
    <t>宜城分输站</t>
  </si>
  <si>
    <t>湖北省襄阳市宜城市鄢城镇白庙村</t>
  </si>
  <si>
    <t>襄樊6#阀室</t>
  </si>
  <si>
    <t>湖北省襄阳市宜城市小河镇高庄村 999急救</t>
  </si>
  <si>
    <t>潜湘1#阀室</t>
  </si>
  <si>
    <t>潜湘</t>
  </si>
  <si>
    <t>湖北省荆州市监利县新沟镇晏桥村四组</t>
  </si>
  <si>
    <t>监利分输站</t>
  </si>
  <si>
    <t>湖北省荆州市监利市红城乡新港村九组</t>
  </si>
  <si>
    <t>潜湘2#阀室</t>
  </si>
  <si>
    <t>湖北省荆州市监利县朱河镇朱塔村三组</t>
  </si>
  <si>
    <t>监利清管站</t>
  </si>
  <si>
    <t>湖北省荆州市监利市柘木桥乡</t>
  </si>
  <si>
    <t>潜湘3#阀室</t>
  </si>
  <si>
    <t>岳阳作业区</t>
  </si>
  <si>
    <t>湖南省岳阳市云溪区永济乡杨树港村</t>
  </si>
  <si>
    <t>云溪分输站</t>
  </si>
  <si>
    <t>湖南省岳阳市云溪区云溪镇建军村</t>
  </si>
  <si>
    <t>岳阳分输站</t>
  </si>
  <si>
    <t>湖南省岳阳市经济开发区北港村中南大市场17国道旁</t>
  </si>
  <si>
    <t>潜湘4#阀室</t>
  </si>
  <si>
    <t>湖南省岳阳市岳阳县新开镇九龙村</t>
  </si>
  <si>
    <t>岳阳南分输站</t>
  </si>
  <si>
    <t>岳阳南分输站▲</t>
  </si>
  <si>
    <t>湖南省岳阳市岳阳县新墙镇双港村</t>
  </si>
  <si>
    <t>潜湘5#阀室</t>
  </si>
  <si>
    <t>湖南省岳阳市岳阳县长湖乡胡山村</t>
  </si>
  <si>
    <t>潜湘6#阀室</t>
  </si>
  <si>
    <t>湖南省岳阳市汨罗市红花乡红花村</t>
  </si>
  <si>
    <t>汨罗分输站</t>
  </si>
  <si>
    <t>湖南省岳阳市汨罗市新市镇八里村丛塘砖厂旁</t>
  </si>
  <si>
    <t>潜湘7#阀室</t>
  </si>
  <si>
    <t>湖南省岳阳市汨罗市黄柏乡英桥村</t>
  </si>
  <si>
    <t>潜湘8#阀室</t>
  </si>
  <si>
    <t>湖南省长沙市长沙县青山铺镇青山村</t>
  </si>
  <si>
    <t>长沙分输站</t>
  </si>
  <si>
    <t>湖南省长沙市星沙县星沙镇松雅小区旁</t>
  </si>
  <si>
    <t>潜湘9#阀室</t>
  </si>
  <si>
    <t>湘潭分输站</t>
  </si>
  <si>
    <t>湖南省长沙市长沙县跳马乡梅怡村</t>
  </si>
  <si>
    <t>武汉计量研究中心</t>
  </si>
  <si>
    <t>黄石1#阀室</t>
  </si>
  <si>
    <t>黄石</t>
  </si>
  <si>
    <t>湖北省鄂州市梁子湖区东沟镇鲊洲村</t>
  </si>
  <si>
    <t>鄂州分输站</t>
  </si>
  <si>
    <t>汨罗</t>
  </si>
  <si>
    <t>湖北省鄂州市鄂城区泽林镇泽林村</t>
  </si>
  <si>
    <t>同安</t>
  </si>
  <si>
    <t>湖北省黄石市下陆区团成山街道肖家铺社区</t>
  </si>
  <si>
    <t>仙桃联络压气站</t>
  </si>
  <si>
    <t>忠武线20#阀室★</t>
  </si>
  <si>
    <t>秦沈1#阀室</t>
  </si>
  <si>
    <t>秦沈</t>
  </si>
  <si>
    <t>河北省秦皇岛市海港区杜庄镇蒋家洼村</t>
  </si>
  <si>
    <t>秦沈2#阀室</t>
  </si>
  <si>
    <t>河北省秦皇岛市山海关区石河镇户远寨村</t>
  </si>
  <si>
    <t>秦沈3#阀室</t>
  </si>
  <si>
    <t>东北公司</t>
  </si>
  <si>
    <t>绥中管道管理站</t>
  </si>
  <si>
    <t>辽宁省葫芦岛市绥中县高岭镇兴隆店村</t>
  </si>
  <si>
    <t>秦沈4#阀室</t>
  </si>
  <si>
    <t>辽宁省葫芦岛市绥中县沙河镇叶大屯村</t>
  </si>
  <si>
    <t>秦沈5#阀室</t>
  </si>
  <si>
    <t>辽宁省葫芦岛市绥中县高台堡乡胡家村</t>
  </si>
  <si>
    <t>秦沈6#阀室</t>
  </si>
  <si>
    <t>辽宁省葫芦岛市兴城市望海乡范罗村</t>
  </si>
  <si>
    <t>秦沈7#阀室</t>
  </si>
  <si>
    <t>葫芦岛作业区</t>
  </si>
  <si>
    <t>辽宁省葫芦岛市兴城市羊安乡芹菜沟村</t>
  </si>
  <si>
    <t>秦沈8#阀室</t>
  </si>
  <si>
    <t>辽宁省葫芦岛市兴城市元台子乡灰山村</t>
  </si>
  <si>
    <t>辽宁省葫芦岛市连山区寺儿堡镇尖山子村</t>
  </si>
  <si>
    <t>秦沈9#阀室</t>
  </si>
  <si>
    <t>辽宁省葫芦岛市连山区高桥镇杜家屯村</t>
  </si>
  <si>
    <t>锦州压气站</t>
  </si>
  <si>
    <t>锦州作业区</t>
  </si>
  <si>
    <t>中俄</t>
  </si>
  <si>
    <t>辽宁省锦州市太和区杏山街道梁屯村</t>
  </si>
  <si>
    <t>秦沈10#阀室</t>
  </si>
  <si>
    <t>辽宁省锦州市太和区娘娘宫街道高山村</t>
  </si>
  <si>
    <t>秦沈11#阀室</t>
  </si>
  <si>
    <t>辽宁省锦州市凌海市新庄子镇六段村</t>
  </si>
  <si>
    <t>秦沈12#阀室</t>
  </si>
  <si>
    <t>辽宁省锦州市凌海市石山镇榜石村</t>
  </si>
  <si>
    <t>秦沈13#阀室</t>
  </si>
  <si>
    <t>辽宁省锦州市凌海市三台子镇大上五旗村</t>
  </si>
  <si>
    <t>秦沈14#阀室</t>
  </si>
  <si>
    <t>盘锦作业区</t>
  </si>
  <si>
    <t>辽宁省锦州市北镇市沟帮子镇姚屯村</t>
  </si>
  <si>
    <t>辽宁省锦州市北镇市青堆子镇六台村</t>
  </si>
  <si>
    <t>秦沈15#阀室</t>
  </si>
  <si>
    <t>辽宁省锦州市北镇市高山子镇</t>
  </si>
  <si>
    <t>秦沈16#阀室</t>
  </si>
  <si>
    <t>沈阳作业区</t>
  </si>
  <si>
    <t>辽宁省鞍山市台安县桓洞镇榆驼子村</t>
  </si>
  <si>
    <t>秦沈17#阀室</t>
  </si>
  <si>
    <t>辽宁省沈阳市辽中区牛心坨镇花牛沟村</t>
  </si>
  <si>
    <t>秦沈18#阀室</t>
  </si>
  <si>
    <t>辽宁省沈阳市辽中区冷子堡镇冷西街</t>
  </si>
  <si>
    <t>秦沈19#阀室</t>
  </si>
  <si>
    <t>辽宁省沈阳市新民市大民屯镇瓦盆窑</t>
  </si>
  <si>
    <t>辽宁省沈阳市新民市大喇嘛乡</t>
  </si>
  <si>
    <t>葫芦岛</t>
  </si>
  <si>
    <t>辽宁省葫芦岛市连山区沙河营乡东官沟村</t>
  </si>
  <si>
    <t>盘锦1#阀室</t>
  </si>
  <si>
    <t>盘锦</t>
  </si>
  <si>
    <t>辽宁省盘锦市盘山县胡家镇</t>
  </si>
  <si>
    <t>辽宁省盘锦市盘山县太平镇</t>
  </si>
  <si>
    <t>沈阳</t>
  </si>
  <si>
    <t>辽宁省沈阳市于洪区马三家镇曹台村</t>
  </si>
  <si>
    <t>汤河子分输站</t>
  </si>
  <si>
    <t>锦州石化</t>
  </si>
  <si>
    <t>辽宁省锦州市太和区女儿河乡</t>
  </si>
  <si>
    <t>辽宁省锦州市古塔区锦州石化公司热电厂北侧</t>
  </si>
  <si>
    <t>锦西石化</t>
  </si>
  <si>
    <t>新港作业区</t>
  </si>
  <si>
    <t>大沈</t>
  </si>
  <si>
    <t>辽宁省大连市金州区新港镇</t>
  </si>
  <si>
    <t>大沈1#阀室</t>
  </si>
  <si>
    <t>辽宁省大连市金州区西太平洋石化南</t>
  </si>
  <si>
    <t>西太平洋石化末站</t>
  </si>
  <si>
    <t>1#阀室下游0.86km接出</t>
  </si>
  <si>
    <t>辽宁省大连市金州区</t>
  </si>
  <si>
    <t>大沈2#阀室</t>
  </si>
  <si>
    <t>辽宁省大连市金州区大连齐化化工有限公司东北</t>
  </si>
  <si>
    <t>大沈3#阀室</t>
  </si>
  <si>
    <t>辽宁省大连市金州区大连万德服装有限公司西</t>
  </si>
  <si>
    <t>松岚输气站</t>
  </si>
  <si>
    <t>辽宁省大连市开发区与保税区交界处</t>
  </si>
  <si>
    <t>大沈4#阀室</t>
  </si>
  <si>
    <t>辽宁省大连市保税区亮甲店镇杨家店东</t>
  </si>
  <si>
    <t>大沈5#阀室</t>
  </si>
  <si>
    <t>辽宁省大连市保税区亮甲店镇皇庄东南</t>
  </si>
  <si>
    <t>大沈6#阀室</t>
  </si>
  <si>
    <t>普兰店分输</t>
  </si>
  <si>
    <t>辽宁省大连市普兰店区大刘家镇黄糖房新疆</t>
  </si>
  <si>
    <t>大沈7#阀室</t>
  </si>
  <si>
    <t>辽宁省大连市普兰店区大潭镇前刘沟新疆</t>
  </si>
  <si>
    <t>大沈8#阀室</t>
  </si>
  <si>
    <t>瓦房店作业区</t>
  </si>
  <si>
    <t>辽宁省大连市普兰店区元台镇郭家店新疆</t>
  </si>
  <si>
    <t>大沈9#阀室</t>
  </si>
  <si>
    <t>辽宁省大连市瓦房店市孙家屯东</t>
  </si>
  <si>
    <t>大沈10#阀室</t>
  </si>
  <si>
    <t>辽宁省大连市瓦房店市赵屯东</t>
  </si>
  <si>
    <t>大沈11#阀室</t>
  </si>
  <si>
    <t>辽宁省大连市瓦房店市许屯镇矫家窑西</t>
  </si>
  <si>
    <t>盖州压气站</t>
  </si>
  <si>
    <t>盖州作业区</t>
  </si>
  <si>
    <t>由12#阀室改建</t>
  </si>
  <si>
    <t>辽宁省营口市盖州市九寨镇南台村南</t>
  </si>
  <si>
    <t>大沈13#阀室</t>
  </si>
  <si>
    <t>辽宁省营口市盖州市陈屯镇朴家沟西南</t>
  </si>
  <si>
    <t>大沈14#阀室</t>
  </si>
  <si>
    <t>辽宁省营口市盖州市徐屯镇后塔子沟北</t>
  </si>
  <si>
    <t>大沈15#阀室</t>
  </si>
  <si>
    <t>辽宁省营口市盖州市徐屯镇二道河子西南</t>
  </si>
  <si>
    <t>大沈16#阀室</t>
  </si>
  <si>
    <t>盖州分输</t>
  </si>
  <si>
    <t>辽宁省营口市盖州市中屯村新疆</t>
  </si>
  <si>
    <t>大沈17#阀室</t>
  </si>
  <si>
    <t>大石桥作业区</t>
  </si>
  <si>
    <t>辽宁省营口市大石桥市常喜屯村西</t>
  </si>
  <si>
    <t>辽宁省营口市大石桥市工业园区</t>
  </si>
  <si>
    <t>大沈18#阀室</t>
  </si>
  <si>
    <t>鞍山作业区</t>
  </si>
  <si>
    <t>辽宁省鞍山市海城市感王镇马圈子北</t>
  </si>
  <si>
    <t>大沈19#阀室</t>
  </si>
  <si>
    <t>辽宁省鞍山市海城市牛庄镇大路沿村东南</t>
  </si>
  <si>
    <t>辽鞍分输站</t>
  </si>
  <si>
    <t>辽宁省辽阳市辽阳县唐马寨镇头道沟村西</t>
  </si>
  <si>
    <t>大沈20#阀室</t>
  </si>
  <si>
    <t>辽宁省辽阳市辽阳县黄泥洼镇黄泥洼西</t>
  </si>
  <si>
    <t>又名灯塔分输站</t>
  </si>
  <si>
    <t>辽宁省辽阳市灯塔市五星镇小黄腊坨村</t>
  </si>
  <si>
    <t>大沈21#阀室</t>
  </si>
  <si>
    <t>辽宁省沈阳市辽中区潘家堡镇张家村</t>
  </si>
  <si>
    <t>大沈22#阀室</t>
  </si>
  <si>
    <t>辽宁省沈阳市新民市法哈牛镇巴图营子村</t>
  </si>
  <si>
    <t>大连1#阀室</t>
  </si>
  <si>
    <t>大连输气站</t>
  </si>
  <si>
    <t>大连</t>
  </si>
  <si>
    <t>辽宁省大连市金州区马桥子街道</t>
  </si>
  <si>
    <t>大连2#阀室</t>
  </si>
  <si>
    <t>辽宁省大连市金州区马桥子街道杏林小区西</t>
  </si>
  <si>
    <t>大连3#阀室</t>
  </si>
  <si>
    <t>监控兼甘井子区分输预留</t>
  </si>
  <si>
    <t>辽宁省大连市甘井子区大连湾南</t>
  </si>
  <si>
    <t>辽宁省大连市甘井子区煤气新厂外</t>
  </si>
  <si>
    <t>抚顺1#阀室</t>
  </si>
  <si>
    <t>抚顺</t>
  </si>
  <si>
    <t>辽宁省辽阳市灯塔市大新庄北</t>
  </si>
  <si>
    <t>抚顺2#阀室</t>
  </si>
  <si>
    <t>辽宁省沈阳市苏家屯区大范屯西</t>
  </si>
  <si>
    <t>抚顺3#阀室</t>
  </si>
  <si>
    <t>抚顺作业区</t>
  </si>
  <si>
    <t>辽宁省沈阳市苏家屯区佟沟乡刘家后地西</t>
  </si>
  <si>
    <t>抚顺4#阀室</t>
  </si>
  <si>
    <t>辽宁省沈阳市浑南区桃仙镇石庙子村</t>
  </si>
  <si>
    <t>抚顺5#阀室</t>
  </si>
  <si>
    <t>辽宁省沈阳市浑南区小李相屯村与永胜村中间</t>
  </si>
  <si>
    <t>辽宁省抚顺市望花区拉古满族乡刘山村</t>
  </si>
  <si>
    <t>营盘1#阀室</t>
  </si>
  <si>
    <t>营盘</t>
  </si>
  <si>
    <t>辽宁省营口市大石桥市高坎镇西</t>
  </si>
  <si>
    <t>营盘2#阀室</t>
  </si>
  <si>
    <t>辽宁省营口市大石桥市石佛乡西</t>
  </si>
  <si>
    <t>营盘3#阀室</t>
  </si>
  <si>
    <t>辽宁省盘锦市大洼县唐家镇张家洼子南</t>
  </si>
  <si>
    <t>营盘4#阀室</t>
  </si>
  <si>
    <t>辽宁省盘锦市大洼县毛家屯南</t>
  </si>
  <si>
    <t>双6分输站</t>
  </si>
  <si>
    <t>辽宁省盘锦市大洼县清水乡育红村</t>
  </si>
  <si>
    <t>营盘截断阀室</t>
  </si>
  <si>
    <t>营盘截断阀室▲</t>
  </si>
  <si>
    <t>辽宁省盘锦市</t>
  </si>
  <si>
    <t>哈沈19#阀室</t>
  </si>
  <si>
    <t>哈沈</t>
  </si>
  <si>
    <t>辽宁省沈阳市新民市兴隆镇代家窝堡</t>
  </si>
  <si>
    <t>沈阳北分输站</t>
  </si>
  <si>
    <t>辽宁省沈阳市新民市三道岗子村</t>
  </si>
  <si>
    <t>哈沈18#阀室</t>
  </si>
  <si>
    <t>法库作业区</t>
  </si>
  <si>
    <t>辽宁省沈阳市法库县依牛堡子镇东团山子南</t>
  </si>
  <si>
    <t>哈沈17#阀室</t>
  </si>
  <si>
    <t>铁岭作业区</t>
  </si>
  <si>
    <t>辽宁省铁岭市铁岭县蔡牛乡榆树堡村</t>
  </si>
  <si>
    <t>铁岭分输站</t>
  </si>
  <si>
    <t>辽宁省铁岭市铁岭县镇西堡镇东南</t>
  </si>
  <si>
    <t>哈沈16#阀室</t>
  </si>
  <si>
    <t>辽宁省铁岭市开原市庆云乡三家子村</t>
  </si>
  <si>
    <t>开原分输站</t>
  </si>
  <si>
    <t>辽宁省铁岭市开原市金沟子镇西单楼台村西</t>
  </si>
  <si>
    <t>哈沈15#阀室</t>
  </si>
  <si>
    <t>昌图作业区</t>
  </si>
  <si>
    <t>辽宁省铁岭市昌图县亮中桥镇赵家炉村</t>
  </si>
  <si>
    <t>昌图分输站</t>
  </si>
  <si>
    <t>辽宁省铁岭市昌图县老城镇张家炉村长山堡河南</t>
  </si>
  <si>
    <t>哈沈14#阀室</t>
  </si>
  <si>
    <t>辽宁省铁岭市昌图县鴜鹭树镇中心小学东北25米</t>
  </si>
  <si>
    <t>哈沈13#阀室</t>
  </si>
  <si>
    <t>辽宁省铁岭市昌图县老四平镇中家槽子村</t>
  </si>
  <si>
    <t>梨树作业区</t>
  </si>
  <si>
    <t>辽宁省四平市铁西区平西乡西八大村</t>
  </si>
  <si>
    <t>哈沈12#阀室</t>
  </si>
  <si>
    <t>辽宁省四平市梨树县梨树镇马地方村</t>
  </si>
  <si>
    <t>哈沈11#阀室</t>
  </si>
  <si>
    <t>辽宁省四平市梨树县万发镇关家岗村</t>
  </si>
  <si>
    <t>公主岭分输站</t>
  </si>
  <si>
    <t>辽宁省四平市公主岭市朝阳坡镇北</t>
  </si>
  <si>
    <t>哈沈10#阀室</t>
  </si>
  <si>
    <t>辽宁省四平市公主岭市怀德镇管家屯北</t>
  </si>
  <si>
    <t>哈沈9#阀室</t>
  </si>
  <si>
    <t>垂杨作业区</t>
  </si>
  <si>
    <t>吉林省长春市农安县烧锅店镇天成店村北</t>
  </si>
  <si>
    <t>哈沈8#阀室</t>
  </si>
  <si>
    <t>吉林省长春市农安县合隆镇陈家店村大蔡家堡屯北</t>
  </si>
  <si>
    <t>长春作业区</t>
  </si>
  <si>
    <t>长长吉</t>
  </si>
  <si>
    <t>吉林省长春市德惠市米沙子镇</t>
  </si>
  <si>
    <t>白山1#阀室</t>
  </si>
  <si>
    <t>梅河口作业区</t>
  </si>
  <si>
    <t>白山</t>
  </si>
  <si>
    <t>辽宁省四平市梨树县十家堡镇</t>
  </si>
  <si>
    <t>白山2#阀室</t>
  </si>
  <si>
    <t>辽宁省四平市铁东区石岭镇</t>
  </si>
  <si>
    <t>白山3#阀室</t>
  </si>
  <si>
    <t>辽宁省辽源市东辽县泉太镇北川村</t>
  </si>
  <si>
    <t>辽源分输站</t>
  </si>
  <si>
    <t>吉林省辽源市东丰县三合朝鲜族满族乡</t>
  </si>
  <si>
    <t>白山4#阀室</t>
  </si>
  <si>
    <t>吉林省辽源市东辽县安石镇朝阳村</t>
  </si>
  <si>
    <t>白山5#阀室</t>
  </si>
  <si>
    <t>吉林省辽源市龙山区寿山镇礼让村</t>
  </si>
  <si>
    <t>白山6#阀室</t>
  </si>
  <si>
    <t>吉林省辽源市东丰县大兴镇金凤村</t>
  </si>
  <si>
    <t>白山7#阀室</t>
  </si>
  <si>
    <t>吉林省辽源市东丰县东丰镇横道子村</t>
  </si>
  <si>
    <t>梅河口分输站</t>
  </si>
  <si>
    <t>吉林省通化市梅河口市湾龙乡</t>
  </si>
  <si>
    <t>白山8#阀室</t>
  </si>
  <si>
    <t>吉林省通化梅河口市杏岭乡</t>
  </si>
  <si>
    <t>白山9#阀室</t>
  </si>
  <si>
    <t>通化作业区</t>
  </si>
  <si>
    <t>吉林省通化市柳河县柳河镇吉祥村</t>
  </si>
  <si>
    <t>白山10#阀室</t>
  </si>
  <si>
    <t>吉林省通化市柳河县驼腰岭镇</t>
  </si>
  <si>
    <t>白山11#阀室</t>
  </si>
  <si>
    <t>吉林省通化市柳河县三源浦镇</t>
  </si>
  <si>
    <t>白山12#阀室</t>
  </si>
  <si>
    <t>吉林省通化市通化县光华镇新华村</t>
  </si>
  <si>
    <t>通化分输站</t>
  </si>
  <si>
    <t>吉林省通化市东昌区环通乡长流村</t>
  </si>
  <si>
    <t>白山13#阀室</t>
  </si>
  <si>
    <t>吉林省通化市二道江区</t>
  </si>
  <si>
    <t>白山14#阀室</t>
  </si>
  <si>
    <t>吉林省通化市通化县大安镇</t>
  </si>
  <si>
    <t>吉林省白山市镁工业园</t>
  </si>
  <si>
    <t>白山支线梅河口分输站改造</t>
  </si>
  <si>
    <t>梅桦</t>
  </si>
  <si>
    <t>辉南分输站</t>
  </si>
  <si>
    <t>磐石分输站</t>
  </si>
  <si>
    <t>长岭作业区</t>
  </si>
  <si>
    <t>吉林省松原市前郭县乌兰图噶镇</t>
  </si>
  <si>
    <t>长长吉1#阀室</t>
  </si>
  <si>
    <t>吉林省松原市长岭县巨宝镇</t>
  </si>
  <si>
    <t>长长吉2#阀室</t>
  </si>
  <si>
    <t>吉林省长春市农安县伏龙泉镇</t>
  </si>
  <si>
    <t>长长吉3#阀室</t>
  </si>
  <si>
    <t>吉林省长春市农安县华家镇</t>
  </si>
  <si>
    <t>长长吉4#阀室</t>
  </si>
  <si>
    <t>吉林省长春市农安县开安镇</t>
  </si>
  <si>
    <t>长长吉5#阀室</t>
  </si>
  <si>
    <t>长长吉6#阀室</t>
  </si>
  <si>
    <t>吉林省长春市九台区龙嘉镇</t>
  </si>
  <si>
    <t>长长吉6-1#阀室</t>
  </si>
  <si>
    <t>6-1#阀室▲</t>
  </si>
  <si>
    <t>长长吉7#阀室</t>
  </si>
  <si>
    <t>吉林作业区</t>
  </si>
  <si>
    <t>吉林省长春市九台区波泥河镇</t>
  </si>
  <si>
    <t>长长吉8#阀室</t>
  </si>
  <si>
    <t>吉林省吉林市昌邑区桦皮厂镇</t>
  </si>
  <si>
    <t>吉林分输站</t>
  </si>
  <si>
    <t>吉林省吉林市船营区新北街道</t>
  </si>
  <si>
    <t>长长吉9#阀室</t>
  </si>
  <si>
    <t>吉林省吉林市昌邑区九站街道</t>
  </si>
  <si>
    <t>吉林省吉林市龙潭区江北乡棋盘村</t>
  </si>
  <si>
    <t>中俄长岭分输站</t>
  </si>
  <si>
    <t>吉林省松原市前郭县</t>
  </si>
  <si>
    <t>黑河作业区</t>
  </si>
  <si>
    <t>中俄跨境</t>
  </si>
  <si>
    <t>中俄跨境00#阀室</t>
  </si>
  <si>
    <t>00#阀室</t>
  </si>
  <si>
    <t>交气点-HC00#清管阀室双管敷设</t>
  </si>
  <si>
    <t>黑龙江省黑河市爱辉区</t>
  </si>
  <si>
    <t>HC1#阀室</t>
  </si>
  <si>
    <t>HC1#阀室★</t>
  </si>
  <si>
    <t>HC2#阀室</t>
  </si>
  <si>
    <t>HC2#阀室▲</t>
  </si>
  <si>
    <t>HC3#阀室</t>
  </si>
  <si>
    <t>HC3#阀室★</t>
  </si>
  <si>
    <t>HC4#阀室</t>
  </si>
  <si>
    <t>HC4#阀室★</t>
  </si>
  <si>
    <t>黑龙江省黑河市孙吴县</t>
  </si>
  <si>
    <t>HC5#阀室</t>
  </si>
  <si>
    <t>HC5#阀室▲</t>
  </si>
  <si>
    <t>HC6#阀室</t>
  </si>
  <si>
    <t>HC6#阀室▲</t>
  </si>
  <si>
    <t>HC7#阀室</t>
  </si>
  <si>
    <t>HC7#阀室▲</t>
  </si>
  <si>
    <t>黑龙江省黑河市五大连池市</t>
  </si>
  <si>
    <t>五大连池压气站</t>
  </si>
  <si>
    <t>HC8#阀室</t>
  </si>
  <si>
    <t>HC8#阀室▲</t>
  </si>
  <si>
    <t>HC9#阀室</t>
  </si>
  <si>
    <t>HC9#阀室★</t>
  </si>
  <si>
    <t>HC10#阀室</t>
  </si>
  <si>
    <t>HC10#阀室★</t>
  </si>
  <si>
    <t>黑龙江省齐齐哈尔市克东县</t>
  </si>
  <si>
    <t>HC11#阀室★</t>
  </si>
  <si>
    <t>明水作业区</t>
  </si>
  <si>
    <t>HC12#阀室</t>
  </si>
  <si>
    <t>HC12#阀室▲</t>
  </si>
  <si>
    <t>HC13#阀室</t>
  </si>
  <si>
    <t>HC13#阀室★</t>
  </si>
  <si>
    <t>HC14#阀室</t>
  </si>
  <si>
    <t>HC14#阀室▲</t>
  </si>
  <si>
    <t>HC15#阀室</t>
  </si>
  <si>
    <t>HC15#阀室▲</t>
  </si>
  <si>
    <t>黑龙江省绥化市明水县</t>
  </si>
  <si>
    <t>HC16#阀室</t>
  </si>
  <si>
    <t>HC16#阀室▲</t>
  </si>
  <si>
    <t>黑龙江省绥化市青冈县</t>
  </si>
  <si>
    <t>HC17#阀室</t>
  </si>
  <si>
    <t>HC17#阀室★</t>
  </si>
  <si>
    <t>HC18#阀室</t>
  </si>
  <si>
    <t>HC18#阀室▲</t>
  </si>
  <si>
    <t>肇源作业区</t>
  </si>
  <si>
    <t>黑龙江省绥化市安达市</t>
  </si>
  <si>
    <t>HC19#阀室</t>
  </si>
  <si>
    <t>HC19#阀室▲</t>
  </si>
  <si>
    <t>HC20#阀室</t>
  </si>
  <si>
    <t>HC20#阀室★</t>
  </si>
  <si>
    <t>HC21#阀室</t>
  </si>
  <si>
    <t>HC21#阀室▲</t>
  </si>
  <si>
    <t>黑龙江省绥化市肇东市</t>
  </si>
  <si>
    <t>黑龙江省大庆市肇州县</t>
  </si>
  <si>
    <t>HC22#阀室</t>
  </si>
  <si>
    <t>HC22#阀室▲</t>
  </si>
  <si>
    <t>HC23#阀室</t>
  </si>
  <si>
    <t>HC23#阀室▲</t>
  </si>
  <si>
    <t>肇源压气站</t>
  </si>
  <si>
    <t>黑龙江省大庆市肇源县</t>
  </si>
  <si>
    <t>HC24#阀室</t>
  </si>
  <si>
    <t>HC24#阀室★</t>
  </si>
  <si>
    <t>HC25#阀室</t>
  </si>
  <si>
    <t>HC25#阀室★</t>
  </si>
  <si>
    <t>新庙作业区</t>
  </si>
  <si>
    <t>HC26#阀室</t>
  </si>
  <si>
    <t>HC26#阀室▲</t>
  </si>
  <si>
    <t>HC27#阀室</t>
  </si>
  <si>
    <t>HC27#阀室★</t>
  </si>
  <si>
    <t>双辽作业区</t>
  </si>
  <si>
    <t>HC28#阀室</t>
  </si>
  <si>
    <t>HC28#阀室▲</t>
  </si>
  <si>
    <t>CY01#阀室</t>
  </si>
  <si>
    <t>CY01#阀室▲</t>
  </si>
  <si>
    <t>CY02#阀室</t>
  </si>
  <si>
    <t>CY02#阀室▲</t>
  </si>
  <si>
    <t>CY03#阀室</t>
  </si>
  <si>
    <t>CY03#阀室★</t>
  </si>
  <si>
    <t>CY04#阀室</t>
  </si>
  <si>
    <t>CY04#阀室▲</t>
  </si>
  <si>
    <t>CY05#阀室</t>
  </si>
  <si>
    <t>CY05#阀室▲</t>
  </si>
  <si>
    <t>双辽分输站</t>
  </si>
  <si>
    <t>CY06#阀室</t>
  </si>
  <si>
    <t>CY06#阀室★</t>
  </si>
  <si>
    <t>通辽分输站</t>
  </si>
  <si>
    <t>CY08#阀室</t>
  </si>
  <si>
    <t>CY08#阀室★</t>
  </si>
  <si>
    <t>CY09#阀室</t>
  </si>
  <si>
    <t>CY09#阀室▲</t>
  </si>
  <si>
    <t>CY10#阀室</t>
  </si>
  <si>
    <t>CY10#阀室▲</t>
  </si>
  <si>
    <t>CY11#阀室</t>
  </si>
  <si>
    <t>CY11#阀室▲</t>
  </si>
  <si>
    <t>CY12#阀室</t>
  </si>
  <si>
    <t>CY12#阀室★</t>
  </si>
  <si>
    <t>CY13#阀室</t>
  </si>
  <si>
    <t>CY13#阀室▲</t>
  </si>
  <si>
    <t>沈阳压气站</t>
  </si>
  <si>
    <t>CY14#阀室</t>
  </si>
  <si>
    <t>CY14#阀室▲</t>
  </si>
  <si>
    <t>CY15#阀室</t>
  </si>
  <si>
    <t>CY15#阀室★</t>
  </si>
  <si>
    <t>CY16#阀室</t>
  </si>
  <si>
    <t>CY16#阀室★</t>
  </si>
  <si>
    <t>CY17#阀室</t>
  </si>
  <si>
    <t>CY17#阀室▲</t>
  </si>
  <si>
    <t>CY18#阀室</t>
  </si>
  <si>
    <t>CY18#阀室▲</t>
  </si>
  <si>
    <t>CY19#阀室</t>
  </si>
  <si>
    <t>CY19#阀室▲</t>
  </si>
  <si>
    <t>CY20#阀室</t>
  </si>
  <si>
    <t>CY20#阀室▲</t>
  </si>
  <si>
    <t>CY21#阀室</t>
  </si>
  <si>
    <t>CY21#阀室★</t>
  </si>
  <si>
    <t>CY22#阀室</t>
  </si>
  <si>
    <t>CY22#阀室▲</t>
  </si>
  <si>
    <t>CY23#阀室</t>
  </si>
  <si>
    <t>CY23#阀室▲</t>
  </si>
  <si>
    <t>CY24#阀室</t>
  </si>
  <si>
    <t>CY24#阀室▲</t>
  </si>
  <si>
    <t>CY25#阀室</t>
  </si>
  <si>
    <t>CY25#阀室▲</t>
  </si>
  <si>
    <t>CY26#阀室</t>
  </si>
  <si>
    <t>CY26#阀室★</t>
  </si>
  <si>
    <t>CY26A#阀室</t>
  </si>
  <si>
    <t>CY26A#阀室★</t>
  </si>
  <si>
    <t>CY27#阀室</t>
  </si>
  <si>
    <t>CY27#阀室★</t>
  </si>
  <si>
    <t>CY28#阀室</t>
  </si>
  <si>
    <t>CY28#阀室▲</t>
  </si>
  <si>
    <t>CY29#阀室</t>
  </si>
  <si>
    <t>CY29#阀室▲</t>
  </si>
  <si>
    <t>CY30#阀室</t>
  </si>
  <si>
    <t>CY30#阀室★</t>
  </si>
  <si>
    <t>CY31#阀室</t>
  </si>
  <si>
    <t>CY31#阀室0</t>
  </si>
  <si>
    <t>中俄秦皇岛分输站</t>
  </si>
  <si>
    <t>CY31A#阀室</t>
  </si>
  <si>
    <t>CY31A#阀室★</t>
  </si>
  <si>
    <t>CY32#阀室</t>
  </si>
  <si>
    <t>CY32#阀室▲</t>
  </si>
  <si>
    <t>CY33#阀室</t>
  </si>
  <si>
    <t>CY33#阀室▲</t>
  </si>
  <si>
    <t>CY34#阀室</t>
  </si>
  <si>
    <t>CY34#阀室★</t>
  </si>
  <si>
    <t>CY35#阀室</t>
  </si>
  <si>
    <t>CY35#阀室★</t>
  </si>
  <si>
    <t>CY36#阀室</t>
  </si>
  <si>
    <t>CY36#阀室▲</t>
  </si>
  <si>
    <t>CY37#阀室</t>
  </si>
  <si>
    <t>CY37#阀室★</t>
  </si>
  <si>
    <t>CY38#阀室</t>
  </si>
  <si>
    <t>CY38#阀室★</t>
  </si>
  <si>
    <t>CY39#阀室</t>
  </si>
  <si>
    <t>CY39#阀室★</t>
  </si>
  <si>
    <t>中俄唐山压气站</t>
  </si>
  <si>
    <t>CY40#阀室</t>
  </si>
  <si>
    <t>CY40#阀室▲</t>
  </si>
  <si>
    <t>CY41#阀室</t>
  </si>
  <si>
    <t>CY41#阀室▲</t>
  </si>
  <si>
    <t>CY42#阀室</t>
  </si>
  <si>
    <t>CY42#阀室▲</t>
  </si>
  <si>
    <t>中俄宝坻分输站</t>
  </si>
  <si>
    <t>CY43#阀室</t>
  </si>
  <si>
    <t>CY43#阀室▲</t>
  </si>
  <si>
    <t>CY44#阀室</t>
  </si>
  <si>
    <t>CY44#阀室▲</t>
  </si>
  <si>
    <t>CY45#阀室</t>
  </si>
  <si>
    <t>CY45#阀室★</t>
  </si>
  <si>
    <t>CY46#阀室</t>
  </si>
  <si>
    <t>CY46#阀室★</t>
  </si>
  <si>
    <t>CY47#阀室</t>
  </si>
  <si>
    <t>CY47#阀室▲</t>
  </si>
  <si>
    <t>YS01＃阀室</t>
  </si>
  <si>
    <t>YS01＃阀室★</t>
  </si>
  <si>
    <t>YS02＃阀室</t>
  </si>
  <si>
    <t>YS02＃阀室★</t>
  </si>
  <si>
    <t>YS03＃阀室</t>
  </si>
  <si>
    <t>YS03＃阀室★</t>
  </si>
  <si>
    <t>YS04＃阀室</t>
  </si>
  <si>
    <t>YS04＃阀室★</t>
  </si>
  <si>
    <t>YS05＃阀室</t>
  </si>
  <si>
    <t>YS05＃阀室★</t>
  </si>
  <si>
    <t>YS06＃阀室</t>
  </si>
  <si>
    <t>YS06＃阀室★</t>
  </si>
  <si>
    <t>YS07＃阀室</t>
  </si>
  <si>
    <t>YS07＃阀室★</t>
  </si>
  <si>
    <t>YS08＃阀室</t>
  </si>
  <si>
    <t>YS08＃阀室★</t>
  </si>
  <si>
    <t>YS09＃阀室</t>
  </si>
  <si>
    <t>YS09＃阀室★</t>
  </si>
  <si>
    <t>YS10＃阀室</t>
  </si>
  <si>
    <t>YS10＃阀室★</t>
  </si>
  <si>
    <t>YS11＃阀室</t>
  </si>
  <si>
    <t>YS11＃阀室★</t>
  </si>
  <si>
    <t>YS12＃阀室</t>
  </si>
  <si>
    <t>YS12＃阀室★</t>
  </si>
  <si>
    <t>济南西站</t>
  </si>
  <si>
    <t>YS14＃阀室</t>
  </si>
  <si>
    <t>YS14＃阀室★</t>
  </si>
  <si>
    <t>YS14A＃阀室</t>
  </si>
  <si>
    <t>YS14A＃阀室★</t>
  </si>
  <si>
    <r>
      <rPr>
        <sz val="12"/>
        <color indexed="8"/>
        <rFont val="华文仿宋"/>
        <charset val="134"/>
      </rPr>
      <t>YS15</t>
    </r>
    <r>
      <rPr>
        <sz val="12"/>
        <color theme="1"/>
        <rFont val="华文仿宋"/>
        <charset val="134"/>
      </rPr>
      <t>＃阀室</t>
    </r>
  </si>
  <si>
    <t>YS15＃阀室★</t>
  </si>
  <si>
    <r>
      <rPr>
        <sz val="12"/>
        <color indexed="8"/>
        <rFont val="华文仿宋"/>
        <charset val="134"/>
      </rPr>
      <t>YS16</t>
    </r>
    <r>
      <rPr>
        <sz val="12"/>
        <color theme="1"/>
        <rFont val="华文仿宋"/>
        <charset val="134"/>
      </rPr>
      <t>＃阀室</t>
    </r>
  </si>
  <si>
    <t>YS16＃阀室★</t>
  </si>
  <si>
    <r>
      <rPr>
        <sz val="12"/>
        <color indexed="8"/>
        <rFont val="华文仿宋"/>
        <charset val="134"/>
      </rPr>
      <t>YS17</t>
    </r>
    <r>
      <rPr>
        <sz val="12"/>
        <color theme="1"/>
        <rFont val="华文仿宋"/>
        <charset val="134"/>
      </rPr>
      <t>＃阀室</t>
    </r>
  </si>
  <si>
    <t>YS17＃阀室★</t>
  </si>
  <si>
    <r>
      <rPr>
        <sz val="12"/>
        <color indexed="8"/>
        <rFont val="华文仿宋"/>
        <charset val="134"/>
      </rPr>
      <t>YS18</t>
    </r>
    <r>
      <rPr>
        <sz val="12"/>
        <color theme="1"/>
        <rFont val="华文仿宋"/>
        <charset val="134"/>
      </rPr>
      <t>＃阀室</t>
    </r>
  </si>
  <si>
    <t>YS18＃阀室★</t>
  </si>
  <si>
    <t>泗水分输清管站</t>
  </si>
  <si>
    <r>
      <rPr>
        <sz val="12"/>
        <color indexed="8"/>
        <rFont val="华文仿宋"/>
        <charset val="134"/>
      </rPr>
      <t>YS20</t>
    </r>
    <r>
      <rPr>
        <sz val="12"/>
        <color theme="1"/>
        <rFont val="华文仿宋"/>
        <charset val="134"/>
      </rPr>
      <t>＃阀室</t>
    </r>
  </si>
  <si>
    <t>YS20＃阀室★</t>
  </si>
  <si>
    <r>
      <rPr>
        <sz val="12"/>
        <color indexed="8"/>
        <rFont val="华文仿宋"/>
        <charset val="134"/>
      </rPr>
      <t>YS21</t>
    </r>
    <r>
      <rPr>
        <sz val="12"/>
        <color theme="1"/>
        <rFont val="华文仿宋"/>
        <charset val="134"/>
      </rPr>
      <t>＃阀室</t>
    </r>
  </si>
  <si>
    <t>YS21＃阀室★</t>
  </si>
  <si>
    <r>
      <rPr>
        <sz val="12"/>
        <color indexed="8"/>
        <rFont val="华文仿宋"/>
        <charset val="134"/>
      </rPr>
      <t>YS22</t>
    </r>
    <r>
      <rPr>
        <sz val="12"/>
        <color theme="1"/>
        <rFont val="华文仿宋"/>
        <charset val="134"/>
      </rPr>
      <t>＃阀室</t>
    </r>
  </si>
  <si>
    <t>YS22＃阀室★</t>
  </si>
  <si>
    <r>
      <rPr>
        <sz val="12"/>
        <color indexed="8"/>
        <rFont val="华文仿宋"/>
        <charset val="134"/>
      </rPr>
      <t>YS23</t>
    </r>
    <r>
      <rPr>
        <sz val="12"/>
        <color theme="1"/>
        <rFont val="华文仿宋"/>
        <charset val="134"/>
      </rPr>
      <t>＃阀室</t>
    </r>
  </si>
  <si>
    <t>YS23＃阀室★</t>
  </si>
  <si>
    <r>
      <rPr>
        <sz val="12"/>
        <color indexed="8"/>
        <rFont val="华文仿宋"/>
        <charset val="134"/>
      </rPr>
      <t>YS24</t>
    </r>
    <r>
      <rPr>
        <sz val="12"/>
        <color theme="1"/>
        <rFont val="华文仿宋"/>
        <charset val="134"/>
      </rPr>
      <t>＃阀室</t>
    </r>
  </si>
  <si>
    <t>YS24＃阀室★</t>
  </si>
  <si>
    <r>
      <rPr>
        <sz val="12"/>
        <color indexed="8"/>
        <rFont val="华文仿宋"/>
        <charset val="134"/>
      </rPr>
      <t>YS25</t>
    </r>
    <r>
      <rPr>
        <sz val="12"/>
        <color theme="1"/>
        <rFont val="华文仿宋"/>
        <charset val="134"/>
      </rPr>
      <t>＃阀室</t>
    </r>
  </si>
  <si>
    <t>YS25＃阀室★</t>
  </si>
  <si>
    <t>临沂分输清管站</t>
  </si>
  <si>
    <r>
      <rPr>
        <sz val="12"/>
        <color indexed="8"/>
        <rFont val="华文仿宋"/>
        <charset val="134"/>
      </rPr>
      <t>YS26</t>
    </r>
    <r>
      <rPr>
        <sz val="12"/>
        <color theme="1"/>
        <rFont val="华文仿宋"/>
        <charset val="134"/>
      </rPr>
      <t>＃阀室</t>
    </r>
  </si>
  <si>
    <t>YS26＃阀室★</t>
  </si>
  <si>
    <r>
      <rPr>
        <sz val="12"/>
        <color indexed="8"/>
        <rFont val="华文仿宋"/>
        <charset val="134"/>
      </rPr>
      <t>YS27</t>
    </r>
    <r>
      <rPr>
        <sz val="12"/>
        <color theme="1"/>
        <rFont val="华文仿宋"/>
        <charset val="134"/>
      </rPr>
      <t>＃阀室</t>
    </r>
  </si>
  <si>
    <t>YS27＃阀室★</t>
  </si>
  <si>
    <r>
      <rPr>
        <sz val="12"/>
        <color indexed="8"/>
        <rFont val="华文仿宋"/>
        <charset val="134"/>
      </rPr>
      <t>YS28</t>
    </r>
    <r>
      <rPr>
        <sz val="12"/>
        <color theme="1"/>
        <rFont val="华文仿宋"/>
        <charset val="134"/>
      </rPr>
      <t>＃阀室</t>
    </r>
  </si>
  <si>
    <t>YS28＃阀室★</t>
  </si>
  <si>
    <t>28#下游2.7km为地区公司分界</t>
  </si>
  <si>
    <r>
      <rPr>
        <sz val="12"/>
        <color indexed="8"/>
        <rFont val="华文仿宋"/>
        <charset val="134"/>
      </rPr>
      <t>YS29</t>
    </r>
    <r>
      <rPr>
        <sz val="12"/>
        <color theme="1"/>
        <rFont val="华文仿宋"/>
        <charset val="134"/>
      </rPr>
      <t>＃阀室</t>
    </r>
  </si>
  <si>
    <t>YS29＃阀室★</t>
  </si>
  <si>
    <t>中俄连云港分输压气站</t>
  </si>
  <si>
    <r>
      <rPr>
        <sz val="12"/>
        <color indexed="8"/>
        <rFont val="华文仿宋"/>
        <charset val="134"/>
      </rPr>
      <t>YS30</t>
    </r>
    <r>
      <rPr>
        <sz val="12"/>
        <color theme="1"/>
        <rFont val="华文仿宋"/>
        <charset val="134"/>
      </rPr>
      <t>＃阀室</t>
    </r>
  </si>
  <si>
    <t>YS30＃阀室★</t>
  </si>
  <si>
    <r>
      <rPr>
        <sz val="12"/>
        <color indexed="8"/>
        <rFont val="华文仿宋"/>
        <charset val="134"/>
      </rPr>
      <t>YS31</t>
    </r>
    <r>
      <rPr>
        <sz val="12"/>
        <color theme="1"/>
        <rFont val="华文仿宋"/>
        <charset val="134"/>
      </rPr>
      <t>＃阀室</t>
    </r>
  </si>
  <si>
    <t>YS31＃阀室★</t>
  </si>
  <si>
    <t>连云港分输压气站</t>
  </si>
  <si>
    <r>
      <rPr>
        <sz val="12"/>
        <color indexed="8"/>
        <rFont val="华文仿宋"/>
        <charset val="134"/>
      </rPr>
      <t>YS32A</t>
    </r>
    <r>
      <rPr>
        <sz val="12"/>
        <color theme="1"/>
        <rFont val="华文仿宋"/>
        <charset val="134"/>
      </rPr>
      <t>＃阀室</t>
    </r>
  </si>
  <si>
    <t>YS32A＃阀室★</t>
  </si>
  <si>
    <t>中俄灌南分输站</t>
  </si>
  <si>
    <r>
      <rPr>
        <sz val="12"/>
        <color indexed="8"/>
        <rFont val="华文仿宋"/>
        <charset val="134"/>
      </rPr>
      <t>YS32</t>
    </r>
    <r>
      <rPr>
        <sz val="12"/>
        <color theme="1"/>
        <rFont val="华文仿宋"/>
        <charset val="134"/>
      </rPr>
      <t>＃阀室</t>
    </r>
  </si>
  <si>
    <t>YS32＃阀室★</t>
  </si>
  <si>
    <r>
      <rPr>
        <sz val="12"/>
        <color indexed="8"/>
        <rFont val="华文仿宋"/>
        <charset val="134"/>
      </rPr>
      <t>YS33</t>
    </r>
    <r>
      <rPr>
        <sz val="12"/>
        <color theme="1"/>
        <rFont val="华文仿宋"/>
        <charset val="134"/>
      </rPr>
      <t>＃阀室</t>
    </r>
  </si>
  <si>
    <t>YS33＃阀室★</t>
  </si>
  <si>
    <r>
      <rPr>
        <sz val="12"/>
        <color indexed="8"/>
        <rFont val="华文仿宋"/>
        <charset val="134"/>
      </rPr>
      <t>YS34</t>
    </r>
    <r>
      <rPr>
        <sz val="12"/>
        <color theme="1"/>
        <rFont val="华文仿宋"/>
        <charset val="134"/>
      </rPr>
      <t>＃阀室</t>
    </r>
  </si>
  <si>
    <t>YS34＃阀室★</t>
  </si>
  <si>
    <r>
      <rPr>
        <sz val="12"/>
        <color indexed="8"/>
        <rFont val="华文仿宋"/>
        <charset val="134"/>
      </rPr>
      <t>YS35</t>
    </r>
    <r>
      <rPr>
        <sz val="12"/>
        <color theme="1"/>
        <rFont val="华文仿宋"/>
        <charset val="134"/>
      </rPr>
      <t>＃阀室</t>
    </r>
  </si>
  <si>
    <t>YS35＃阀室★</t>
  </si>
  <si>
    <t>灌南分输站</t>
  </si>
  <si>
    <r>
      <rPr>
        <sz val="12"/>
        <color indexed="8"/>
        <rFont val="华文仿宋"/>
        <charset val="134"/>
      </rPr>
      <t>YS36</t>
    </r>
    <r>
      <rPr>
        <sz val="12"/>
        <color theme="1"/>
        <rFont val="华文仿宋"/>
        <charset val="134"/>
      </rPr>
      <t>＃阀室</t>
    </r>
  </si>
  <si>
    <t>YS36＃阀室★</t>
  </si>
  <si>
    <r>
      <rPr>
        <sz val="12"/>
        <color indexed="8"/>
        <rFont val="华文仿宋"/>
        <charset val="134"/>
      </rPr>
      <t>YS37</t>
    </r>
    <r>
      <rPr>
        <sz val="12"/>
        <color theme="1"/>
        <rFont val="华文仿宋"/>
        <charset val="134"/>
      </rPr>
      <t>＃阀室</t>
    </r>
  </si>
  <si>
    <t>YS37＃阀室★</t>
  </si>
  <si>
    <t>中俄阜宁分输站</t>
  </si>
  <si>
    <r>
      <rPr>
        <sz val="12"/>
        <color indexed="8"/>
        <rFont val="华文仿宋"/>
        <charset val="134"/>
      </rPr>
      <t>YS38</t>
    </r>
    <r>
      <rPr>
        <sz val="12"/>
        <color theme="1"/>
        <rFont val="华文仿宋"/>
        <charset val="134"/>
      </rPr>
      <t>＃阀室</t>
    </r>
  </si>
  <si>
    <t>YS38＃阀室★</t>
  </si>
  <si>
    <t>阜宁联络站</t>
  </si>
  <si>
    <t>阜宁分输站</t>
  </si>
  <si>
    <r>
      <rPr>
        <sz val="12"/>
        <color indexed="8"/>
        <rFont val="华文仿宋"/>
        <charset val="134"/>
      </rPr>
      <t>YS40</t>
    </r>
    <r>
      <rPr>
        <sz val="12"/>
        <color theme="1"/>
        <rFont val="华文仿宋"/>
        <charset val="134"/>
      </rPr>
      <t>＃阀室</t>
    </r>
  </si>
  <si>
    <t>YS40＃阀室★</t>
  </si>
  <si>
    <r>
      <rPr>
        <sz val="12"/>
        <color indexed="8"/>
        <rFont val="华文仿宋"/>
        <charset val="134"/>
      </rPr>
      <t>YS41</t>
    </r>
    <r>
      <rPr>
        <sz val="12"/>
        <color theme="1"/>
        <rFont val="华文仿宋"/>
        <charset val="134"/>
      </rPr>
      <t>＃阀室</t>
    </r>
  </si>
  <si>
    <t>YS41＃阀室★</t>
  </si>
  <si>
    <t>中俄盐城分输清管站</t>
  </si>
  <si>
    <t>盐城分输清管站</t>
  </si>
  <si>
    <r>
      <rPr>
        <sz val="12"/>
        <color indexed="8"/>
        <rFont val="华文仿宋"/>
        <charset val="134"/>
      </rPr>
      <t>YS42</t>
    </r>
    <r>
      <rPr>
        <sz val="12"/>
        <color theme="1"/>
        <rFont val="华文仿宋"/>
        <charset val="134"/>
      </rPr>
      <t>＃阀室</t>
    </r>
  </si>
  <si>
    <t>YS42＃阀室★</t>
  </si>
  <si>
    <t>盐都分输站</t>
  </si>
  <si>
    <t>中俄盐都分输站</t>
  </si>
  <si>
    <t>盐都南分输站</t>
  </si>
  <si>
    <t>兴化分输站</t>
  </si>
  <si>
    <r>
      <rPr>
        <sz val="12"/>
        <color indexed="8"/>
        <rFont val="华文仿宋"/>
        <charset val="134"/>
      </rPr>
      <t>YS44</t>
    </r>
    <r>
      <rPr>
        <sz val="12"/>
        <color theme="1"/>
        <rFont val="华文仿宋"/>
        <charset val="134"/>
      </rPr>
      <t>＃阀室</t>
    </r>
  </si>
  <si>
    <t>YS44＃阀室★</t>
  </si>
  <si>
    <r>
      <rPr>
        <sz val="12"/>
        <color indexed="8"/>
        <rFont val="华文仿宋"/>
        <charset val="134"/>
      </rPr>
      <t>YS45</t>
    </r>
    <r>
      <rPr>
        <sz val="12"/>
        <color theme="1"/>
        <rFont val="华文仿宋"/>
        <charset val="134"/>
      </rPr>
      <t>＃阀室</t>
    </r>
  </si>
  <si>
    <t>YS45＃阀室★</t>
  </si>
  <si>
    <t>东台分输站</t>
  </si>
  <si>
    <t>中俄东台分输站</t>
  </si>
  <si>
    <r>
      <rPr>
        <sz val="12"/>
        <color indexed="8"/>
        <rFont val="华文仿宋"/>
        <charset val="134"/>
      </rPr>
      <t>YS46</t>
    </r>
    <r>
      <rPr>
        <sz val="12"/>
        <color theme="1"/>
        <rFont val="华文仿宋"/>
        <charset val="134"/>
      </rPr>
      <t>＃阀室</t>
    </r>
  </si>
  <si>
    <t>YS46＃阀室★</t>
  </si>
  <si>
    <t>海安分输站</t>
  </si>
  <si>
    <t>中俄海安分输站</t>
  </si>
  <si>
    <r>
      <rPr>
        <sz val="12"/>
        <color indexed="8"/>
        <rFont val="华文仿宋"/>
        <charset val="134"/>
      </rPr>
      <t>YS47A</t>
    </r>
    <r>
      <rPr>
        <sz val="12"/>
        <color theme="1"/>
        <rFont val="华文仿宋"/>
        <charset val="134"/>
      </rPr>
      <t>＃阀室</t>
    </r>
  </si>
  <si>
    <t>YS47A＃阀室★</t>
  </si>
  <si>
    <r>
      <rPr>
        <sz val="12"/>
        <color indexed="8"/>
        <rFont val="华文仿宋"/>
        <charset val="134"/>
      </rPr>
      <t>YS47</t>
    </r>
    <r>
      <rPr>
        <sz val="12"/>
        <color theme="1"/>
        <rFont val="华文仿宋"/>
        <charset val="134"/>
      </rPr>
      <t>＃阀室</t>
    </r>
  </si>
  <si>
    <t>YS47＃阀室★</t>
  </si>
  <si>
    <r>
      <rPr>
        <sz val="12"/>
        <color indexed="8"/>
        <rFont val="华文仿宋"/>
        <charset val="134"/>
      </rPr>
      <t>YS48</t>
    </r>
    <r>
      <rPr>
        <sz val="12"/>
        <color theme="1"/>
        <rFont val="华文仿宋"/>
        <charset val="134"/>
      </rPr>
      <t>＃阀室</t>
    </r>
  </si>
  <si>
    <t>YS48＃阀室★</t>
  </si>
  <si>
    <r>
      <rPr>
        <sz val="12"/>
        <color indexed="8"/>
        <rFont val="华文仿宋"/>
        <charset val="134"/>
      </rPr>
      <t>YS49</t>
    </r>
    <r>
      <rPr>
        <sz val="12"/>
        <color theme="1"/>
        <rFont val="华文仿宋"/>
        <charset val="134"/>
      </rPr>
      <t>＃阀室</t>
    </r>
  </si>
  <si>
    <t>YS49＃阀室★</t>
  </si>
  <si>
    <t>泰兴联络站</t>
  </si>
  <si>
    <t>YS50#阀室</t>
  </si>
  <si>
    <t>YS50#阀室★</t>
  </si>
  <si>
    <t>YS51#阀室</t>
  </si>
  <si>
    <t>YS51#阀室★</t>
  </si>
  <si>
    <t>YS52#阀室</t>
  </si>
  <si>
    <t>YS52#阀室★</t>
  </si>
  <si>
    <t>YS52A#阀室</t>
  </si>
  <si>
    <t>YS52A#阀室★</t>
  </si>
  <si>
    <t>YS53#阀室</t>
  </si>
  <si>
    <t>YS53#阀室★</t>
  </si>
  <si>
    <t>YS54#阀室</t>
  </si>
  <si>
    <t>YS54#阀室★</t>
  </si>
  <si>
    <t>YS55#阀室</t>
  </si>
  <si>
    <t>YS55#阀室★</t>
  </si>
  <si>
    <t>YS56#阀室</t>
  </si>
  <si>
    <t>YS56#阀室★</t>
  </si>
  <si>
    <t>YS57#阀室</t>
  </si>
  <si>
    <t>YS57#阀室★</t>
  </si>
  <si>
    <t>YS57A#阀室</t>
  </si>
  <si>
    <t>YS57A#阀室★</t>
  </si>
  <si>
    <t>常熟分输站</t>
  </si>
  <si>
    <t>YS59#阀室</t>
  </si>
  <si>
    <t>YS59#阀室★</t>
  </si>
  <si>
    <t>YS60#阀室</t>
  </si>
  <si>
    <t>YS60#阀室★</t>
  </si>
  <si>
    <t>YS61#阀室</t>
  </si>
  <si>
    <t>YS61#阀室★</t>
  </si>
  <si>
    <t>YS62#阀室</t>
  </si>
  <si>
    <t>YS62#阀室★</t>
  </si>
  <si>
    <t>YS63#阀室</t>
  </si>
  <si>
    <t>YS63#阀室★</t>
  </si>
  <si>
    <t>长岭1#阀室</t>
  </si>
  <si>
    <t>长岭</t>
  </si>
  <si>
    <t>吉林省松原市长岭县</t>
  </si>
  <si>
    <t>长岭2#阀室</t>
  </si>
  <si>
    <t>吉林省长春市农安县</t>
  </si>
  <si>
    <t>长岭3#阀室</t>
  </si>
  <si>
    <t>长岭4#阀室</t>
  </si>
  <si>
    <t>明哈1#阀室</t>
  </si>
  <si>
    <t>明哈</t>
  </si>
  <si>
    <t>明哈2#阀室</t>
  </si>
  <si>
    <t>明哈3#阀室</t>
  </si>
  <si>
    <t>明哈4#阀室</t>
  </si>
  <si>
    <t>明哈5#阀室</t>
  </si>
  <si>
    <t>明哈6#阀室</t>
  </si>
  <si>
    <t>大庆1#阀室</t>
  </si>
  <si>
    <t>大庆1#阀室▲</t>
  </si>
  <si>
    <t>黑龙江省绥化市肇东市郭家屯村西</t>
  </si>
  <si>
    <t>大庆2#阀室</t>
  </si>
  <si>
    <t>大庆2#阀室▲</t>
  </si>
  <si>
    <t>黑龙江省大庆市肇州县老身房村北</t>
  </si>
  <si>
    <t>双台子1#阀室</t>
  </si>
  <si>
    <t>双台子</t>
  </si>
  <si>
    <t>盘锦市盘山县毛屯村东54m</t>
  </si>
  <si>
    <t>双台子2#阀室</t>
  </si>
  <si>
    <t>盘锦市兴隆台区新农村东3m</t>
  </si>
  <si>
    <t>盘锦市大洼区育红村北49m</t>
  </si>
  <si>
    <t>中俄45#下游330m</t>
  </si>
  <si>
    <t>中俄45#下游33m</t>
  </si>
  <si>
    <t>武清计量站</t>
  </si>
  <si>
    <t>克东县邢家油坊村西</t>
  </si>
  <si>
    <t>克东首站</t>
  </si>
  <si>
    <t>克山分输站</t>
  </si>
  <si>
    <t>克山县齐心村东</t>
  </si>
  <si>
    <t>克山县后宫村西</t>
  </si>
  <si>
    <t>依安县常占科村西</t>
  </si>
  <si>
    <t>依安分输站</t>
  </si>
  <si>
    <t>依安县二中队北</t>
  </si>
  <si>
    <t>依安县新立屯村北</t>
  </si>
  <si>
    <t>富裕县宏生村东南</t>
  </si>
  <si>
    <t>富裕分输站</t>
  </si>
  <si>
    <t>富裕县新民村西</t>
  </si>
  <si>
    <t>富裕县老虎屯北</t>
  </si>
  <si>
    <t>富裕县冯屯村北</t>
  </si>
  <si>
    <t>德州市齐河县刘桥镇西侧</t>
  </si>
  <si>
    <t>德州市齐河县葛李庄村北侧</t>
  </si>
  <si>
    <t>泰青威1#阀室</t>
  </si>
  <si>
    <t>泰青威</t>
  </si>
  <si>
    <t>山东省泰安市岱岳区天平街道孙家沟村</t>
  </si>
  <si>
    <t>泰青威2#阀室</t>
  </si>
  <si>
    <t>山东省泰安市泰山区省庄镇苑庄村</t>
  </si>
  <si>
    <t>范镇分输站</t>
  </si>
  <si>
    <t>山东省泰安市岱岳区范镇后杨村</t>
  </si>
  <si>
    <t>泰青威4#阀室</t>
  </si>
  <si>
    <t>山东省济南市莱芜区羊里镇辛庄子村</t>
  </si>
  <si>
    <t>山东省济南市莱芜区口镇上水河村</t>
  </si>
  <si>
    <t>泰青威5#阀室</t>
  </si>
  <si>
    <t>山东省济南市莱芜区苗山镇中方山村</t>
  </si>
  <si>
    <t>泰青威6#阀室</t>
  </si>
  <si>
    <t>山东省济南市莱芜区苗山镇南文字村</t>
  </si>
  <si>
    <t>山东省淄博市博山区博山镇东瓦峪村</t>
  </si>
  <si>
    <t>泰青威7#阀室</t>
  </si>
  <si>
    <t>山东省淄博市沂源县南鲁山镇璞丘村</t>
  </si>
  <si>
    <t>泰青威8#阀室</t>
  </si>
  <si>
    <t>潍坊作业区</t>
  </si>
  <si>
    <t>山东省潍坊市临朐县五井镇翁节村</t>
  </si>
  <si>
    <t>泰青威9#阀室</t>
  </si>
  <si>
    <t>山东省潍坊市临朐县冶源镇豹伏岭村</t>
  </si>
  <si>
    <t>临朐分输站</t>
  </si>
  <si>
    <t>山东省潍坊市临朐县辛寨镇段家庄村</t>
  </si>
  <si>
    <t>泰青威10#阀室</t>
  </si>
  <si>
    <t>山东省潍坊市昌乐县鄌郚镇西钟家村</t>
  </si>
  <si>
    <t>昌乐天泰分输站</t>
  </si>
  <si>
    <t>泰青威11#阀室</t>
  </si>
  <si>
    <t>山东省潍坊市昌乐县营兵镇西韩河村</t>
  </si>
  <si>
    <t>潍坊分输站</t>
  </si>
  <si>
    <t>山东省潍坊市安丘市新安街道前朱家官庄</t>
  </si>
  <si>
    <t>泰青威12#阀室</t>
  </si>
  <si>
    <t>山东省潍坊市坊子区黄旗堡街道西门口村</t>
  </si>
  <si>
    <t>峡山分输站</t>
  </si>
  <si>
    <t>泰青威13#阀室</t>
  </si>
  <si>
    <t>山东省潍坊市峡山区太保庄街道牛脊埠村</t>
  </si>
  <si>
    <t>山东省潍坊市高密市姜庄镇仁和社区张庄村东</t>
  </si>
  <si>
    <t>泰青威14#阀室</t>
  </si>
  <si>
    <t>山东省潍坊市高密市夏庄镇大栏村西</t>
  </si>
  <si>
    <t>青岛作业区</t>
  </si>
  <si>
    <t>山东省青岛市胶州市胶莱街道沟里村以北南顶子村以南</t>
  </si>
  <si>
    <t>泰青威15#阀室</t>
  </si>
  <si>
    <t>山东省青岛市即墨区移风店镇大蓝村西</t>
  </si>
  <si>
    <t>泰青威16#阀室</t>
  </si>
  <si>
    <t>山东省青岛市莱西市夏格庄镇官庄村</t>
  </si>
  <si>
    <t>泰青威17#阀室</t>
  </si>
  <si>
    <t>山东省青岛市莱西市姜山镇东庄村</t>
  </si>
  <si>
    <t>泰青威18#阀室</t>
  </si>
  <si>
    <t>山东省烟台市莱阳市照旺庄镇东昌山村</t>
  </si>
  <si>
    <t>莱阳分输站</t>
  </si>
  <si>
    <t>山东省烟台市莱阳市吕格庄镇吕格庄村</t>
  </si>
  <si>
    <t>泰青威19#阀室</t>
  </si>
  <si>
    <t>山东省烟台市莱阳市万第镇北寨庄头村</t>
  </si>
  <si>
    <t>泰青威徐家店分输阀室</t>
  </si>
  <si>
    <t>徐家店分输阀室▲</t>
  </si>
  <si>
    <t>山东省烟台市海阳市徐家店镇上吼山村</t>
  </si>
  <si>
    <t>泰青威20#阀室</t>
  </si>
  <si>
    <t>山东省烟台市牟平区观水镇大石疃村</t>
  </si>
  <si>
    <t>烟台分输站</t>
  </si>
  <si>
    <t>山东省烟台市莱山区院格庄街道办沐浴村</t>
  </si>
  <si>
    <t>泰青威21#阀室</t>
  </si>
  <si>
    <t>山东省烟台市牟平区高陵镇北堠子夼村</t>
  </si>
  <si>
    <t>泰青威22#阀室</t>
  </si>
  <si>
    <t>山东省烟台市牟平区龙泉镇神童村</t>
  </si>
  <si>
    <t>威海分输站</t>
  </si>
  <si>
    <t>山东省威海市环翠区汪疃镇地文头村</t>
  </si>
  <si>
    <t>莱钢1#阀室</t>
  </si>
  <si>
    <t>莱钢</t>
  </si>
  <si>
    <t>山东省济南市莱芜区张家洼街道王梁坡村</t>
  </si>
  <si>
    <t>山东省济南市钢城区辛庄镇石头湾村</t>
  </si>
  <si>
    <t>博山北分输站</t>
  </si>
  <si>
    <t>淄博</t>
  </si>
  <si>
    <t>山东省淄博市博山区源泉镇岱西村</t>
  </si>
  <si>
    <t>淄博1#阀室</t>
  </si>
  <si>
    <t>山东省淄博市淄川区龙泉镇龙一村</t>
  </si>
  <si>
    <t>淄博2#阀室</t>
  </si>
  <si>
    <t>寨里分输站</t>
  </si>
  <si>
    <t>原2#阀室，2016年改建为分输站</t>
  </si>
  <si>
    <t>山东省淄博市淄川区寨里镇寨里村</t>
  </si>
  <si>
    <t>淄博3#阀室</t>
  </si>
  <si>
    <t>山东省淄博市张店区沣水镇大高村</t>
  </si>
  <si>
    <t>沣水分输站</t>
  </si>
  <si>
    <t>淄博4#阀室</t>
  </si>
  <si>
    <t>山东省淄博市临淄区金岭回族镇辛安店村12省道和冯北路交叉口东3米路南</t>
  </si>
  <si>
    <t>山东省淄博市张店区四宝山镇隽山村工业路177号东侧</t>
  </si>
  <si>
    <t>沧淄线对接处</t>
  </si>
  <si>
    <t>山东省淄博市张店区四宝山镇隽山村</t>
  </si>
  <si>
    <t>日照1#阀室</t>
  </si>
  <si>
    <t>日照</t>
  </si>
  <si>
    <t>山东省青岛市胶州市胶北镇西丰村</t>
  </si>
  <si>
    <t>日照2#阀室</t>
  </si>
  <si>
    <t>山东省青岛市胶州市胶西镇张家庄</t>
  </si>
  <si>
    <t>日照3#阀室</t>
  </si>
  <si>
    <t>山东省青岛市胶州市洋河镇石门子村</t>
  </si>
  <si>
    <t>日照4#阀室</t>
  </si>
  <si>
    <t>山东省青岛市黄岛区铁山街道徐家大村</t>
  </si>
  <si>
    <t>日照5#阀室</t>
  </si>
  <si>
    <t>山东省青岛市黄岛区张家楼镇石河头村</t>
  </si>
  <si>
    <t>日照6#阀室</t>
  </si>
  <si>
    <t>山东省青岛市黄岛区泊里镇周村</t>
  </si>
  <si>
    <t>泊里分输站</t>
  </si>
  <si>
    <t>6#阀室接出，8.3km</t>
  </si>
  <si>
    <t>日照7#阀室</t>
  </si>
  <si>
    <t>山东省日照市东港区两城镇七村</t>
  </si>
  <si>
    <t>日照8#阀室</t>
  </si>
  <si>
    <t>山东省日照市东港区日照街道花家院村</t>
  </si>
  <si>
    <t>山东省日照市东港区日照街道前鹅庄村</t>
  </si>
  <si>
    <t>中贵1#阀室</t>
  </si>
  <si>
    <t>固原作业区</t>
  </si>
  <si>
    <t>中贵</t>
  </si>
  <si>
    <t>宁夏回族自治区中卫市沙坡头区</t>
  </si>
  <si>
    <t>中贵2#阀室</t>
  </si>
  <si>
    <t>宁夏回族自治区中卫市中宁县</t>
  </si>
  <si>
    <t>中贵3#阀室</t>
  </si>
  <si>
    <t>为同心预留</t>
  </si>
  <si>
    <t>宁夏回族自治区吴忠市同心县</t>
  </si>
  <si>
    <t>中贵4#阀室</t>
  </si>
  <si>
    <t>宁夏回族自治区中卫市海原县</t>
  </si>
  <si>
    <t>中贵5#阀室</t>
  </si>
  <si>
    <t>中贵6#阀室</t>
  </si>
  <si>
    <t>宁夏回族自治区固原市原州区</t>
  </si>
  <si>
    <t>中贵7#阀室</t>
  </si>
  <si>
    <t>中贵8#阀室</t>
  </si>
  <si>
    <t>中贵9#阀室</t>
  </si>
  <si>
    <t>宁夏回族自治区固原市西吉县</t>
  </si>
  <si>
    <t>硝河分输站</t>
  </si>
  <si>
    <t>9#阀室接出</t>
  </si>
  <si>
    <t>中贵10#阀室</t>
  </si>
  <si>
    <t>西吉清管站</t>
  </si>
  <si>
    <t>中贵11#阀室</t>
  </si>
  <si>
    <t>为静宁县预留</t>
  </si>
  <si>
    <t>甘肃省平凉市静宁县</t>
  </si>
  <si>
    <t>中贵12#阀室</t>
  </si>
  <si>
    <t>中贵13#阀室</t>
  </si>
  <si>
    <t>为通渭县预留</t>
  </si>
  <si>
    <t>甘肃省定西市通渭县</t>
  </si>
  <si>
    <t>中贵14#阀室</t>
  </si>
  <si>
    <t>天水作业区</t>
  </si>
  <si>
    <t>中贵15#阀室</t>
  </si>
  <si>
    <t>甘肃省天水市秦安县</t>
  </si>
  <si>
    <t>中贵16#阀室</t>
  </si>
  <si>
    <t>为秦安县预留</t>
  </si>
  <si>
    <t>中贵17#阀室</t>
  </si>
  <si>
    <t>甘肃省天水市麦积区</t>
  </si>
  <si>
    <t>中贵18#阀室</t>
  </si>
  <si>
    <t>甘肃省天水市秦州区</t>
  </si>
  <si>
    <t>中贵19#阀室</t>
  </si>
  <si>
    <t>为礼县预留</t>
  </si>
  <si>
    <t>甘肃省陇南市礼县</t>
  </si>
  <si>
    <t>中贵20#阀室</t>
  </si>
  <si>
    <t>成县作业区</t>
  </si>
  <si>
    <t>为西和县预留</t>
  </si>
  <si>
    <t>甘肃省陇南市西和县</t>
  </si>
  <si>
    <t>中贵21#阀室</t>
  </si>
  <si>
    <t>甘肃省陇南市成县</t>
  </si>
  <si>
    <t>中贵22#阀室</t>
  </si>
  <si>
    <t>为成县预留</t>
  </si>
  <si>
    <t>中贵23#阀室</t>
  </si>
  <si>
    <t>中贵24#阀室</t>
  </si>
  <si>
    <t>甘肃省陇南市康县</t>
  </si>
  <si>
    <t>陇南作业区</t>
  </si>
  <si>
    <t>中贵25#阀室</t>
  </si>
  <si>
    <t>中贵26#阀室</t>
  </si>
  <si>
    <t>中贵27#阀室</t>
  </si>
  <si>
    <t>中贵28#阀室</t>
  </si>
  <si>
    <t>广元作业区</t>
  </si>
  <si>
    <t>为宁强县预留</t>
  </si>
  <si>
    <t>陕西省汉中市宁强县</t>
  </si>
  <si>
    <t>中贵29#阀室</t>
  </si>
  <si>
    <t>四川省广元市朝天区</t>
  </si>
  <si>
    <t>中贵30#阀室</t>
  </si>
  <si>
    <t>中贵31#阀室</t>
  </si>
  <si>
    <t>四川省广元市利州区</t>
  </si>
  <si>
    <t>广元压气站</t>
  </si>
  <si>
    <t>中贵32#阀室</t>
  </si>
  <si>
    <t>嘉陵江穿越</t>
  </si>
  <si>
    <t>中贵33#阀室</t>
  </si>
  <si>
    <t>四川省广元市元坝区</t>
  </si>
  <si>
    <t>中贵34#阀室</t>
  </si>
  <si>
    <t>中贵35#阀室</t>
  </si>
  <si>
    <t>四川省广元市苍溪县</t>
  </si>
  <si>
    <t>中贵36#阀室</t>
  </si>
  <si>
    <t>为苍溪县预留</t>
  </si>
  <si>
    <t>中贵37#阀室</t>
  </si>
  <si>
    <t>南充作业区</t>
  </si>
  <si>
    <t>为阆中市预留</t>
  </si>
  <si>
    <t>四川省南充市阆中市</t>
  </si>
  <si>
    <t>中贵38#阀室</t>
  </si>
  <si>
    <t>南部分输站</t>
  </si>
  <si>
    <t>与北外环连接</t>
  </si>
  <si>
    <t>四川省南充市南部县</t>
  </si>
  <si>
    <t>中贵39#阀室</t>
  </si>
  <si>
    <t>四川省南充市西充县</t>
  </si>
  <si>
    <t>中贵40#阀室</t>
  </si>
  <si>
    <t>为西充县预留</t>
  </si>
  <si>
    <t>四川省南充市顺庆区</t>
  </si>
  <si>
    <t>南充压气站</t>
  </si>
  <si>
    <t>四川省南充市嘉陵区</t>
  </si>
  <si>
    <t>中贵41#阀室</t>
  </si>
  <si>
    <t>武胜分输站</t>
  </si>
  <si>
    <t>与北内环连接</t>
  </si>
  <si>
    <t>四川省广安市武胜县</t>
  </si>
  <si>
    <t>中贵42#阀室</t>
  </si>
  <si>
    <t>为合川区预留</t>
  </si>
  <si>
    <t>重庆市合川区</t>
  </si>
  <si>
    <t>中贵43#阀室</t>
  </si>
  <si>
    <t>为潼南县预留</t>
  </si>
  <si>
    <t>重庆市潼南县</t>
  </si>
  <si>
    <t>中贵44#阀室</t>
  </si>
  <si>
    <t>江津作业区</t>
  </si>
  <si>
    <t>重庆市铜梁县</t>
  </si>
  <si>
    <t>铜梁分输站</t>
  </si>
  <si>
    <t>中贵45#阀室</t>
  </si>
  <si>
    <t>为大足县预留</t>
  </si>
  <si>
    <t>中贵46#阀室</t>
  </si>
  <si>
    <t>中贵47#阀室</t>
  </si>
  <si>
    <t>为重庆市永川区预留</t>
  </si>
  <si>
    <t>重庆市永川区</t>
  </si>
  <si>
    <t>中贵马坊分输站</t>
  </si>
  <si>
    <t>为重庆市璧山县预留，原48#阀室</t>
  </si>
  <si>
    <t>重庆市璧山县</t>
  </si>
  <si>
    <t>中贵49#阀室</t>
  </si>
  <si>
    <t>长江穿越</t>
  </si>
  <si>
    <t>重庆市江津区</t>
  </si>
  <si>
    <t>中贵50#阀室</t>
  </si>
  <si>
    <t>与南东段连接</t>
  </si>
  <si>
    <t>中贵51#阀室</t>
  </si>
  <si>
    <t>中贵52#阀室</t>
  </si>
  <si>
    <t>中贵53#阀室</t>
  </si>
  <si>
    <t>53#阀室▲</t>
  </si>
  <si>
    <t>中贵54#阀室</t>
  </si>
  <si>
    <t>遵义作业区</t>
  </si>
  <si>
    <t>贵州省遵义市习水县</t>
  </si>
  <si>
    <t>中贵55#阀室</t>
  </si>
  <si>
    <t>55#阀室★</t>
  </si>
  <si>
    <t>为遵义市习水县预留</t>
  </si>
  <si>
    <t>中贵56#阀室</t>
  </si>
  <si>
    <t>中贵57#阀室</t>
  </si>
  <si>
    <t>贵州省遵义市桐梓县</t>
  </si>
  <si>
    <t>中贵59#阀室</t>
  </si>
  <si>
    <t>中贵60#阀室</t>
  </si>
  <si>
    <t>贵州省遵义市汇川区</t>
  </si>
  <si>
    <t>中贵61#阀室</t>
  </si>
  <si>
    <t>中贵62#阀室</t>
  </si>
  <si>
    <t>62#阀室▲</t>
  </si>
  <si>
    <t>贵州省遵义市遵义县</t>
  </si>
  <si>
    <t>为遵义市遵义县预留</t>
  </si>
  <si>
    <t>中贵64#阀室</t>
  </si>
  <si>
    <t>乌江北岸</t>
  </si>
  <si>
    <t>中贵65#阀室</t>
  </si>
  <si>
    <t>贵阳作业区</t>
  </si>
  <si>
    <t>乌江南岸</t>
  </si>
  <si>
    <t>贵州省贵阳市息烽县</t>
  </si>
  <si>
    <t>中贵66#阀室</t>
  </si>
  <si>
    <t>为贵阳市息烽县预留　</t>
  </si>
  <si>
    <t>中贵67#阀室</t>
  </si>
  <si>
    <t>67#阀室▲</t>
  </si>
  <si>
    <t>为贵阳市修文县预留</t>
  </si>
  <si>
    <t>贵州省贵阳市修文县</t>
  </si>
  <si>
    <t>中贵69#阀室</t>
  </si>
  <si>
    <t>贵阳北分输站</t>
  </si>
  <si>
    <t>白云分输站</t>
  </si>
  <si>
    <t>贵州省贵阳市白云区</t>
  </si>
  <si>
    <t>中贵70#阀室</t>
  </si>
  <si>
    <t>贵州省贵阳市金阳新区</t>
  </si>
  <si>
    <t>中贵72#阀室</t>
  </si>
  <si>
    <t>贵州省贵阳市花溪区</t>
  </si>
  <si>
    <t>中贵73#阀室</t>
  </si>
  <si>
    <t>贵州省贵阳市花溪区燕楼乡摆古村</t>
  </si>
  <si>
    <t>陇西1#阀室</t>
  </si>
  <si>
    <t>陇西</t>
  </si>
  <si>
    <t>甘肃省天水市秦州区秦岭</t>
  </si>
  <si>
    <t>陇西2#阀室</t>
  </si>
  <si>
    <t>甘肃省天水市秦州区秦岭关子公社时家湾</t>
  </si>
  <si>
    <t>陇西3#阀室</t>
  </si>
  <si>
    <t>武山作业区</t>
  </si>
  <si>
    <t>甘肃省天水市甘谷县武家河</t>
  </si>
  <si>
    <t>陇西4#阀室</t>
  </si>
  <si>
    <t>甘肃省天水市甘谷县三十里铺</t>
  </si>
  <si>
    <t>陇西5#阀室</t>
  </si>
  <si>
    <t>甘肃省天水市甘谷县年家湾</t>
  </si>
  <si>
    <t>陇西6#阀室</t>
  </si>
  <si>
    <t>甘肃省天水市武山县大坪头</t>
  </si>
  <si>
    <t>陇西7#阀室</t>
  </si>
  <si>
    <t>甘肃省天水市陇西县曹家湾</t>
  </si>
  <si>
    <t>甘肃省天水市陇西县三十里铺</t>
  </si>
  <si>
    <t>陇南1#阀室</t>
  </si>
  <si>
    <t>陇南</t>
  </si>
  <si>
    <t>甘肃省陇南市康县三官乡</t>
  </si>
  <si>
    <t>陇南2#阀室</t>
  </si>
  <si>
    <t>陇南末</t>
  </si>
  <si>
    <t>甘肃省陇南市武都县佛崖乡</t>
  </si>
  <si>
    <t>陇南3#阀室</t>
  </si>
  <si>
    <t>陇西支线陇西4#</t>
  </si>
  <si>
    <t>甘肃省陇南市武都县甘泉乡</t>
  </si>
  <si>
    <t>陇西支线6#</t>
  </si>
  <si>
    <t>甘肃省陇南市武都县汉王镇</t>
  </si>
  <si>
    <t>天水1#阀室</t>
  </si>
  <si>
    <t>天水</t>
  </si>
  <si>
    <t>甘肃省天水市秦州区店镇乡</t>
  </si>
  <si>
    <t>甘肃省天水市麦积区花牛镇</t>
  </si>
  <si>
    <t>重庆市江津区支坪镇</t>
  </si>
  <si>
    <t>元坝作业区</t>
  </si>
  <si>
    <t>川东北</t>
  </si>
  <si>
    <t>四川省广元市苍溪县元坝镇大坪村</t>
  </si>
  <si>
    <t>广元电厂末站</t>
  </si>
  <si>
    <t>原州联络站</t>
  </si>
  <si>
    <t>云南公司</t>
  </si>
  <si>
    <t>瑞丽分输站</t>
  </si>
  <si>
    <t>瑞丽作业区</t>
  </si>
  <si>
    <t xml:space="preserve"> 与油管道瑞丽泵站合建;计量、分输、清管、增压</t>
  </si>
  <si>
    <t>云南省德宏傣族景颇族自治州瑞丽市弄岛镇拉相村</t>
  </si>
  <si>
    <t>中缅1#阀室</t>
  </si>
  <si>
    <t>云南省德宏傣族景颇族自治州瑞丽市勐卯镇姐东村</t>
  </si>
  <si>
    <t>中缅2#阀室</t>
  </si>
  <si>
    <t>云南省德宏傣族景颇族自治州瑞丽市勐卯镇芒令村</t>
  </si>
  <si>
    <t>中缅3#阀室</t>
  </si>
  <si>
    <t>中缅4#阀室</t>
  </si>
  <si>
    <t>云南省德宏傣族景颇族自治州芒市遮放镇户弄村</t>
  </si>
  <si>
    <t>芒市分输站</t>
  </si>
  <si>
    <t xml:space="preserve">与油管道芒市泵站合建; 分输、清管 </t>
  </si>
  <si>
    <t>云南省德宏傣族景颇族自治州芒市风平镇</t>
  </si>
  <si>
    <t>中缅5#阀室</t>
  </si>
  <si>
    <t>云南省德宏傣族景颇族自治州芒市风平镇芒别村</t>
  </si>
  <si>
    <t>中缅6#阀室</t>
  </si>
  <si>
    <t>云南省德宏傣族景颇族自治州芒市芒市镇木康村</t>
  </si>
  <si>
    <t>龙陵分输站</t>
  </si>
  <si>
    <t>保山作业区</t>
  </si>
  <si>
    <t xml:space="preserve">与油管道龙陵泵站合建; 分输 </t>
  </si>
  <si>
    <t>云南省保山市龙陵县龙新乡黄草坝村</t>
  </si>
  <si>
    <t>中缅7#阀室</t>
  </si>
  <si>
    <t>云南省保山市龙陵县龙新乡李家寨</t>
  </si>
  <si>
    <t>中缅8#阀室</t>
  </si>
  <si>
    <t>云南省保山市隆阳区潞江镇白花村</t>
  </si>
  <si>
    <t>中缅9#阀室</t>
  </si>
  <si>
    <t>云南省保山市施甸县水长乡平场子村</t>
  </si>
  <si>
    <t>中缅10#阀室</t>
  </si>
  <si>
    <t>云南省保山市隆阳区辛街镇霍家坡村</t>
  </si>
  <si>
    <t>保山压气站</t>
  </si>
  <si>
    <t xml:space="preserve">与油管道保山泵站合建; 增压、分输、清管 </t>
  </si>
  <si>
    <t>云南省保山市隆阳区河图镇大官庙村</t>
  </si>
  <si>
    <t>中缅11#阀室</t>
  </si>
  <si>
    <t>云南省保山市隆阳区板桥镇石河坝</t>
  </si>
  <si>
    <t>中缅12#阀室</t>
  </si>
  <si>
    <t>云南省保山市隆阳区水寨乡水寨村</t>
  </si>
  <si>
    <t>中缅13#阀室</t>
  </si>
  <si>
    <t>云南省大理白族自治州永平县厂街乡岔路村</t>
  </si>
  <si>
    <t>中缅14#阀室</t>
  </si>
  <si>
    <t>云南省大理白族自治州永平县龙街镇上村</t>
  </si>
  <si>
    <t>中缅15#阀室</t>
  </si>
  <si>
    <t>云南省大理白族自治州漾濞县瓦厂乡黑马村</t>
  </si>
  <si>
    <t>中缅16#阀室</t>
  </si>
  <si>
    <t>大理作业区</t>
  </si>
  <si>
    <t>云南省大理白族自治州巍山县永建镇小围埂村</t>
  </si>
  <si>
    <t xml:space="preserve">与油管道弥渡清管站合建; 分输、清管 </t>
  </si>
  <si>
    <t>云南省大理白族自治州弥渡县红岩镇桥头哨村</t>
  </si>
  <si>
    <t>中缅17#阀室</t>
  </si>
  <si>
    <t>云南省大理白族自治州祥云县下庄镇纸房村</t>
  </si>
  <si>
    <t>中缅18#阀室</t>
  </si>
  <si>
    <t>中缅19#阀室</t>
  </si>
  <si>
    <t>楚雄作业区</t>
  </si>
  <si>
    <t>云南省楚雄彝族自治州南华县沙桥镇向阳村</t>
  </si>
  <si>
    <t>中缅20#阀室</t>
  </si>
  <si>
    <t>云南省楚雄彝族自治州南华县龙川镇火星村</t>
  </si>
  <si>
    <t>中缅21#阀室</t>
  </si>
  <si>
    <t>云南省楚雄彝族自治州楚雄市东瓜镇龙河村</t>
  </si>
  <si>
    <t>楚雄分输站</t>
  </si>
  <si>
    <t>云南省楚雄彝族自治州楚雄市苍岭镇李家村</t>
  </si>
  <si>
    <t>中缅22#阀室</t>
  </si>
  <si>
    <t>云南省楚雄彝族自治州禄丰县彩云镇</t>
  </si>
  <si>
    <t xml:space="preserve">与油管道禄丰分输站合建; 分输、清管 </t>
  </si>
  <si>
    <t>云南省楚雄彝族自治州禄丰县金山镇</t>
  </si>
  <si>
    <t>中缅23#阀室</t>
  </si>
  <si>
    <t>云南省楚雄彝族自治州禄丰县碧城镇</t>
  </si>
  <si>
    <t>中缅24#阀室</t>
  </si>
  <si>
    <t>安宁作业区</t>
  </si>
  <si>
    <t>云南省昆明市富民县赤鹫镇罗兔村</t>
  </si>
  <si>
    <t>中缅25#阀室</t>
  </si>
  <si>
    <t>云南省昆明市富民县款庄镇村</t>
  </si>
  <si>
    <t>中缅26#阀室</t>
  </si>
  <si>
    <t>曲靖作业区</t>
  </si>
  <si>
    <t>云南省昆明市寻甸回族彝族自治县先锋镇</t>
  </si>
  <si>
    <t>寻甸分输站</t>
  </si>
  <si>
    <t>又名昆明东分输站</t>
  </si>
  <si>
    <t>云南省昆明市寻甸回族彝族自治县羊街镇</t>
  </si>
  <si>
    <t>中缅27#阀室</t>
  </si>
  <si>
    <t>云南省昆明市寻甸回族彝族自治县七星镇</t>
  </si>
  <si>
    <t>中缅28#阀室</t>
  </si>
  <si>
    <t>云南省曲靖市马龙县王家庄镇</t>
  </si>
  <si>
    <t>曲靖分输站</t>
  </si>
  <si>
    <t xml:space="preserve">与油管道曲靖泵站合建; 分输、清管 </t>
  </si>
  <si>
    <t>云南省曲靖市麒麟区西城街道</t>
  </si>
  <si>
    <t>中缅29#阀室</t>
  </si>
  <si>
    <t>云南省曲靖市沾益县盘江镇河西村</t>
  </si>
  <si>
    <t>中缅30#阀室</t>
  </si>
  <si>
    <t>云南省曲靖市沾益县白水镇大德基村</t>
  </si>
  <si>
    <t>中缅31#阀室</t>
  </si>
  <si>
    <t>云南省曲靖市沾益县中安街道勺达村</t>
  </si>
  <si>
    <t>中缅32#阀室</t>
  </si>
  <si>
    <t>云南省曲靖市富源县后所镇卡泥村</t>
  </si>
  <si>
    <t>安顺作业区</t>
  </si>
  <si>
    <t>贵州省六盘水市盘县刘官镇吴官村1组</t>
  </si>
  <si>
    <t>中缅34#阀室</t>
  </si>
  <si>
    <t>贵州省六盘水市盘县英武镇旧营乡平田村海马组</t>
  </si>
  <si>
    <t>贵州省黔西南布依族苗族自治州普安县江西坡镇白石村</t>
  </si>
  <si>
    <t>中缅35A#阀室</t>
  </si>
  <si>
    <t>35A#阀室★</t>
  </si>
  <si>
    <t>2019年改线新建</t>
  </si>
  <si>
    <t>贵州省黔西南布依族苗族自治州</t>
  </si>
  <si>
    <t>中缅36#阀室</t>
  </si>
  <si>
    <t>贵州省黔西南布依族苗族自治州晴隆县光照镇上归磨村</t>
  </si>
  <si>
    <t>中缅37#阀室</t>
  </si>
  <si>
    <t>贵州省安顺市关岭县沙营乡红叉村</t>
  </si>
  <si>
    <t>贵州省安顺市六枝县落别乡村</t>
  </si>
  <si>
    <t>中缅39#阀室</t>
  </si>
  <si>
    <t>贵州省安顺市西秀区马关镇坡头村</t>
  </si>
  <si>
    <t xml:space="preserve">与油管道安顺泵站合建; 分输、清管 </t>
  </si>
  <si>
    <t>贵州省安顺市普定县白岩乡薛家坝</t>
  </si>
  <si>
    <t>中缅40#阀室</t>
  </si>
  <si>
    <t>贵州省安顺市西秀区七眼桥镇</t>
  </si>
  <si>
    <t>贵州省安顺市平坝县白云镇元河村</t>
  </si>
  <si>
    <t>中缅42#阀室</t>
  </si>
  <si>
    <t>贵州省贵阳市贵安新区高峰镇桥头村</t>
  </si>
  <si>
    <t xml:space="preserve">与中贵线贵阳分输站合建; 增压、清管 </t>
  </si>
  <si>
    <t>中缅43#阀室</t>
  </si>
  <si>
    <t>贵州省贵阳市花溪区青岩镇思潜村</t>
  </si>
  <si>
    <t>中缅44#阀室</t>
  </si>
  <si>
    <t>都匀作业区</t>
  </si>
  <si>
    <t>贵州省黔南布依族苗族自治州都匀市龙里县摆省乡摆主村</t>
  </si>
  <si>
    <t>中缅45#阀室0</t>
  </si>
  <si>
    <t>贵州省黔南布依族苗族自治州贵定县云雾镇铁厂乡</t>
  </si>
  <si>
    <t>中缅46#阀室</t>
  </si>
  <si>
    <t>贵州省黔南布依族苗族自治州都匀市石龙乡甲壤村</t>
  </si>
  <si>
    <t xml:space="preserve"> 分输、清管 </t>
  </si>
  <si>
    <t>贵州省黔南布依族苗族自治州都匀市墨冲镇朵罗村</t>
  </si>
  <si>
    <t>中缅47#阀室★</t>
  </si>
  <si>
    <t>贵州省黔南布依族苗族自治州独山县羊风乡</t>
  </si>
  <si>
    <t>中缅48#阀室</t>
  </si>
  <si>
    <t>贵州省黔南布依族苗族自治州独山县基长镇上道村</t>
  </si>
  <si>
    <t>中缅49#阀室</t>
  </si>
  <si>
    <t>49#阀室▲</t>
  </si>
  <si>
    <t>贵州省黔南布依族苗族自治州独山县基长镇董秧村</t>
  </si>
  <si>
    <t>贵州省黔南布依族苗族自治州三都县周覃镇塘黄组</t>
  </si>
  <si>
    <t>中缅51#阀室</t>
  </si>
  <si>
    <t>贵州省黔南布依族苗族自治州荔波县茂兰镇瑶埃村</t>
  </si>
  <si>
    <t>中缅52#阀室</t>
  </si>
  <si>
    <t>河池作业区</t>
  </si>
  <si>
    <t>广西壮族自治州河池市环江县川山镇何顿村</t>
  </si>
  <si>
    <t>中缅53#阀室</t>
  </si>
  <si>
    <t>广西壮族自治州河池市环江县洛阳镇洛阳社区</t>
  </si>
  <si>
    <t xml:space="preserve"> 计量、分输、清管、增压</t>
  </si>
  <si>
    <t>广西壮族自治州河池市环江县大才乡三合村</t>
  </si>
  <si>
    <t>中缅54#阀室</t>
  </si>
  <si>
    <t>广西壮族自治州河池市宜州市怀远镇坪上村</t>
  </si>
  <si>
    <t>宜州分输站</t>
  </si>
  <si>
    <t>广西壮族自治州河池市宜州市庆远镇矮山村</t>
  </si>
  <si>
    <t>中缅55#阀室</t>
  </si>
  <si>
    <t>广西壮族自治州河池市宜州市石别镇清潭村</t>
  </si>
  <si>
    <t>柳州作业区</t>
  </si>
  <si>
    <t>广西壮族自治州来宾市忻城县大塘镇敬流村</t>
  </si>
  <si>
    <t>中缅56#阀室</t>
  </si>
  <si>
    <t>广西壮族自治州来宾市忻城县安东乡国辉村</t>
  </si>
  <si>
    <t>中缅57#阀室</t>
  </si>
  <si>
    <t>广西壮族自治州来宾市兴宾区良塘镇街尾</t>
  </si>
  <si>
    <t>中缅58#阀室</t>
  </si>
  <si>
    <t>广西壮族自治州来宾市兴宾区桥巩乡岜寺村</t>
  </si>
  <si>
    <t>来宾分输站</t>
  </si>
  <si>
    <t>广西壮族自治州来宾市兴宾区良江镇龙安村</t>
  </si>
  <si>
    <t>中缅59#阀室</t>
  </si>
  <si>
    <t>广西壮族自治州来宾市兴宾区五山乡周乐村</t>
  </si>
  <si>
    <t>中缅60#阀室</t>
  </si>
  <si>
    <t>广西壮族自治州贵港市覃塘区蒙公乡</t>
  </si>
  <si>
    <t>大理分输站</t>
  </si>
  <si>
    <t>丽江</t>
  </si>
  <si>
    <t>云南省大理白族自治州大理市凤仪镇吉祥新村</t>
  </si>
  <si>
    <t>丽江1#阀室</t>
  </si>
  <si>
    <t>云南省大理白族自治州宾川县大营镇排营村</t>
  </si>
  <si>
    <t>丽江2#阀室</t>
  </si>
  <si>
    <t>云南省大理白族自治州宾川县鸡足山镇花桥村</t>
  </si>
  <si>
    <t>丽江3#阀室</t>
  </si>
  <si>
    <t>云南省大理白族自治州鹤庆县黄坪镇长官村</t>
  </si>
  <si>
    <t>丽江4#阀室</t>
  </si>
  <si>
    <t>云南省大理白族自治州鹤庆县西邑镇炭窑村</t>
  </si>
  <si>
    <t>丽江5#阀室</t>
  </si>
  <si>
    <t>云南省大理白族自治州鹤庆县松桂镇三庄村</t>
  </si>
  <si>
    <t>丽江6#阀室</t>
  </si>
  <si>
    <t>云南省大理白族自治州鹤庆县金墩乡北溪村</t>
  </si>
  <si>
    <t>丽江7#阀室</t>
  </si>
  <si>
    <t>云南省大理白族自治州鹤庆县辛屯镇如意村</t>
  </si>
  <si>
    <t xml:space="preserve">云南省丽江市古城区金山乡寿南村
</t>
  </si>
  <si>
    <t>玉溪1#阀室</t>
  </si>
  <si>
    <t>玉溪</t>
  </si>
  <si>
    <t>云南省昆明市安宁市禄脿镇塔弯</t>
  </si>
  <si>
    <t>安宁分输站</t>
  </si>
  <si>
    <t>又名昆明西分输站</t>
  </si>
  <si>
    <t>云南省昆明市安宁市草铺镇上权甫村</t>
  </si>
  <si>
    <t>玉溪2#阀室</t>
  </si>
  <si>
    <t>玉溪作业区</t>
  </si>
  <si>
    <t>云南省昆明市晋宁区二街镇柿子村</t>
  </si>
  <si>
    <t>玉溪3#阀室</t>
  </si>
  <si>
    <t>云南省昆明市晋宁区宝峰镇</t>
  </si>
  <si>
    <t>云南省玉溪市红塔区梅园镇下庄子村</t>
  </si>
  <si>
    <t>都匀1#阀室</t>
  </si>
  <si>
    <t>都匀</t>
  </si>
  <si>
    <t>贵州省黔南布依族苗族自治州都匀市旧司村</t>
  </si>
  <si>
    <t>贵州省黔南布依族苗族自治州都匀市小围寨街道坝干村</t>
  </si>
  <si>
    <t>桂林1#阀室</t>
  </si>
  <si>
    <t>桂林</t>
  </si>
  <si>
    <t>广西壮族自治州柳州市柳江县土博镇土博村</t>
  </si>
  <si>
    <t>柳州分输站</t>
  </si>
  <si>
    <t>广西壮族自治州柳州市柳江县流山镇流山村</t>
  </si>
  <si>
    <t>桂林2#阀室</t>
  </si>
  <si>
    <t>广西壮族自治州柳州市柳城县社冲乡冲江村</t>
  </si>
  <si>
    <t>桂林3#阀室</t>
  </si>
  <si>
    <t>广西壮族自治州柳州市柳城县东泉镇雷塘村</t>
  </si>
  <si>
    <t>桂林4#阀室</t>
  </si>
  <si>
    <t>广西壮族自治州柳州市鹿寨县平山镇朝阳村</t>
  </si>
  <si>
    <t>桂林5#阀室</t>
  </si>
  <si>
    <t>广西壮族自治州柳州市鹿寨县黄冕镇黄冕村</t>
  </si>
  <si>
    <t>桂林6#阀室</t>
  </si>
  <si>
    <t>桂林作业区</t>
  </si>
  <si>
    <t>广西壮族自治州桂林市永福县广福乡矮岭村白岩屯</t>
  </si>
  <si>
    <t>永福分输站</t>
  </si>
  <si>
    <t>广西壮族自治州桂林市永福县堡里乡罗田村</t>
  </si>
  <si>
    <t>广西壮族自治州桂林市临桂县四塘镇东畔村</t>
  </si>
  <si>
    <t>钦州1#阀室</t>
  </si>
  <si>
    <t>钦州</t>
  </si>
  <si>
    <t>广西壮族自治州南宁市邕宁区那楼镇那利村</t>
  </si>
  <si>
    <t>钦州2#阀室</t>
  </si>
  <si>
    <t>钦州作业区</t>
  </si>
  <si>
    <t>广西壮族自治州钦州市钦北区新棠镇哥志村</t>
  </si>
  <si>
    <t>钦州3#阀室</t>
  </si>
  <si>
    <t>广西壮族自治州钦州市钦北区长滩镇屯良村</t>
  </si>
  <si>
    <t>广西壮族自治州钦州市钦北区大垌镇米家村</t>
  </si>
  <si>
    <t>钦州4#阀室</t>
  </si>
  <si>
    <t>广西壮族自治州钦州市钦南区久隆镇丁屋村</t>
  </si>
  <si>
    <t>钦州5#阀室</t>
  </si>
  <si>
    <t>初设为钦州南站，改为阀室</t>
  </si>
  <si>
    <t>广西壮族自治州钦州市钦南区久隆镇那庆村</t>
  </si>
  <si>
    <t>钦州6#阀室</t>
  </si>
  <si>
    <t>广西壮族自治州钦州市钦南区大番坡镇何家村</t>
  </si>
  <si>
    <t>大番坡分输站</t>
  </si>
  <si>
    <t>--</t>
  </si>
  <si>
    <t>6#阀室接出</t>
  </si>
  <si>
    <t>河东分输站</t>
  </si>
  <si>
    <t>钦州7#阀室</t>
  </si>
  <si>
    <t>广西壮族自治州钦州市钦南区大番坡镇大白坟村</t>
  </si>
  <si>
    <t>钦州港分输站</t>
  </si>
  <si>
    <t>广西壮族自治州钦州港经济开发区中间坑村</t>
  </si>
  <si>
    <t>防城港1#阀室</t>
  </si>
  <si>
    <t>防城港</t>
  </si>
  <si>
    <t>广西壮族自治州钦州市钦北区大垌镇平辽村</t>
  </si>
  <si>
    <t>防城港2#阀室</t>
  </si>
  <si>
    <t>广西壮族自治州钦州市钦南区黄屋屯镇圩埠村</t>
  </si>
  <si>
    <t>防城港3#阀室</t>
  </si>
  <si>
    <t>广西壮族自治州防城港市防城区防城镇冲仑村</t>
  </si>
  <si>
    <t>广西壮族自治州防城港市港口区公车镇水尾组</t>
  </si>
  <si>
    <t>河池</t>
  </si>
  <si>
    <t>广西壮族自治州河池市金城江区东江镇里仁村</t>
  </si>
  <si>
    <t>独山</t>
  </si>
  <si>
    <t>贵州省黔南布依族苗族自治州独山县羊风乡拉林村</t>
  </si>
  <si>
    <t>平塘</t>
  </si>
  <si>
    <t>贵州省黔南布依族苗族自治州平塘县平舟镇</t>
  </si>
  <si>
    <t>云雾首站</t>
  </si>
  <si>
    <t>福泉</t>
  </si>
  <si>
    <t>昌明分输站</t>
  </si>
  <si>
    <t>福泉1#阀室</t>
  </si>
  <si>
    <t>贵定分输站</t>
  </si>
  <si>
    <t>福泉2#阀室</t>
  </si>
  <si>
    <t>三都</t>
  </si>
  <si>
    <t>贵州省黔南布依族苗族自治州三都县九阡镇下水错</t>
  </si>
  <si>
    <t>贵州省黔南布依族苗族自治州三都县中和镇岜炮村</t>
  </si>
  <si>
    <t>中和阀室</t>
  </si>
  <si>
    <t>中和阀室★</t>
  </si>
  <si>
    <t>贵州省黔南布依族苗族自治州三都县中和镇板庙村</t>
  </si>
  <si>
    <t>贵州省黔南布依族苗族自治州三都县中和镇上道寨</t>
  </si>
  <si>
    <t>贵州省黔南布依族苗族自治州三都县三合街道董跳村</t>
  </si>
  <si>
    <t>依托贵阳站</t>
  </si>
  <si>
    <t>长顺</t>
  </si>
  <si>
    <t>贵阳市花溪区燕楼镇</t>
  </si>
  <si>
    <t>广顺分输站</t>
  </si>
  <si>
    <t>长顺县白云山镇巴茅哨</t>
  </si>
  <si>
    <t>长顺分输站</t>
  </si>
  <si>
    <t>长顺县长寨街道种获村</t>
  </si>
  <si>
    <t>中石化青岛LNG</t>
  </si>
  <si>
    <t>山东省青岛市黄岛区</t>
  </si>
  <si>
    <t>青宁泊里站</t>
  </si>
  <si>
    <t>泊里站</t>
  </si>
  <si>
    <t>青宁1#海清阀室</t>
  </si>
  <si>
    <t>1#海清阀室★</t>
  </si>
  <si>
    <t>山东省日照市岚山区</t>
  </si>
  <si>
    <t>青宁2#河山阀室</t>
  </si>
  <si>
    <t>2#河山阀室★</t>
  </si>
  <si>
    <t>青宁3#城关阀室</t>
  </si>
  <si>
    <t>3#城关阀室★</t>
  </si>
  <si>
    <t>青宁4#高兴阀室</t>
  </si>
  <si>
    <t>4#高兴阀室★</t>
  </si>
  <si>
    <t>青宁5#巨峰阀室</t>
  </si>
  <si>
    <t>5#巨峰阀室★</t>
  </si>
  <si>
    <t>岚山分输站</t>
  </si>
  <si>
    <t>柘汪分输站</t>
  </si>
  <si>
    <t>连云港作业区</t>
  </si>
  <si>
    <t>江苏省连云港市赣榆区</t>
  </si>
  <si>
    <t>青宁6#金山阀室</t>
  </si>
  <si>
    <t>6#金山阀室★</t>
  </si>
  <si>
    <t>青宁柘汪分输站</t>
  </si>
  <si>
    <t>赣榆分输站</t>
  </si>
  <si>
    <t>青宁7#墩尚阀室</t>
  </si>
  <si>
    <t>7#墩尚阀室★</t>
  </si>
  <si>
    <t>青宁赣榆分输站</t>
  </si>
  <si>
    <t>青宁连云港分输站</t>
  </si>
  <si>
    <t>江苏省连云港市海州区</t>
  </si>
  <si>
    <t>青宁8#平明阀室</t>
  </si>
  <si>
    <t>8#平明阀室★</t>
  </si>
  <si>
    <t>江苏省连云港市东海县</t>
  </si>
  <si>
    <t>青宁9#湖东阀室</t>
  </si>
  <si>
    <t>9#湖东阀室★</t>
  </si>
  <si>
    <t>青宁宿迁分输站</t>
  </si>
  <si>
    <t>江苏省宿迁市沭阳县</t>
  </si>
  <si>
    <t>青宁10#吴集阀室</t>
  </si>
  <si>
    <t>10#吴集阀室★</t>
  </si>
  <si>
    <t>青宁11#周集阀室</t>
  </si>
  <si>
    <t>11#周集阀室★</t>
  </si>
  <si>
    <t>青宁12#成集阀室</t>
  </si>
  <si>
    <t>12#成集阀室★</t>
  </si>
  <si>
    <t>青宁淮安分输站</t>
  </si>
  <si>
    <t>江苏省淮安市涟水县</t>
  </si>
  <si>
    <t>青宁13#保滩阀室</t>
  </si>
  <si>
    <t>13#保滩阀室★</t>
  </si>
  <si>
    <t>青宁14#顺河阀室</t>
  </si>
  <si>
    <t>14#顺河阀室★</t>
  </si>
  <si>
    <t>江苏省淮安市淮安区</t>
  </si>
  <si>
    <t>青宁15#曹甸阀室</t>
  </si>
  <si>
    <t>15#曹甸阀室★</t>
  </si>
  <si>
    <t>青宁宝应分输站</t>
  </si>
  <si>
    <t>江苏省高邮市宝应县</t>
  </si>
  <si>
    <t>青宁16#鲁垛阀室</t>
  </si>
  <si>
    <t>16#鲁垛阀室★</t>
  </si>
  <si>
    <t>青宁17#周山阀室</t>
  </si>
  <si>
    <t>17#周山阀室★</t>
  </si>
  <si>
    <t>江苏省扬州市高邮市</t>
  </si>
  <si>
    <t>青宁高邮分输站</t>
  </si>
  <si>
    <t>青宁18#车逻阀室</t>
  </si>
  <si>
    <t>18#车逻阀室★</t>
  </si>
  <si>
    <t>青宁19#郭集阀室</t>
  </si>
  <si>
    <t>19#郭集阀室★</t>
  </si>
  <si>
    <t>送桥分输站</t>
  </si>
  <si>
    <t>青宁21#大仪阀室</t>
  </si>
  <si>
    <t>21#大仪阀室★</t>
  </si>
  <si>
    <t>青宁扬州分输站</t>
  </si>
  <si>
    <t>青宁22#陈集阀室</t>
  </si>
  <si>
    <t>22#陈集阀室★</t>
  </si>
  <si>
    <t>青宁12#成集阀室★</t>
  </si>
  <si>
    <t>涟水分输站</t>
  </si>
  <si>
    <t>是</t>
  </si>
  <si>
    <t>鄯善首站</t>
  </si>
  <si>
    <t>鄯乌</t>
  </si>
  <si>
    <t>新疆维吾尔自治区鄯善县火车站镇东侧</t>
  </si>
  <si>
    <t>鄯乌1#阀室</t>
  </si>
  <si>
    <t>鄯乌2#阀室</t>
  </si>
  <si>
    <t>新疆维吾尔自治区吐鲁番市高昌区胜金乡北</t>
  </si>
  <si>
    <t>鄯乌3#阀室</t>
  </si>
  <si>
    <t>新疆维吾尔自治区吐鲁番市葡萄沟北</t>
  </si>
  <si>
    <t>大河沿</t>
  </si>
  <si>
    <t>鄯乌4#阀室</t>
  </si>
  <si>
    <t>鄯乌5#阀室</t>
  </si>
  <si>
    <t>新化站</t>
  </si>
  <si>
    <t>新疆维吾尔自治区乌鲁木齐市乌鲁木齐县</t>
  </si>
  <si>
    <t>乌鲁木齐城市站</t>
  </si>
  <si>
    <t>氮气封存</t>
  </si>
  <si>
    <t>新疆维吾尔自治区乌鲁木齐市天山区</t>
  </si>
  <si>
    <t>鄯乌6#阀室</t>
  </si>
  <si>
    <t>鄯乌7#阀室</t>
  </si>
  <si>
    <t>乌石化站</t>
  </si>
  <si>
    <t>新疆维吾尔自治区乌鲁木齐市米东区</t>
  </si>
  <si>
    <t>涩宁兰732km+300m</t>
  </si>
  <si>
    <t>732km+3m</t>
  </si>
  <si>
    <t>涩复857km+800m</t>
  </si>
  <si>
    <t>857km+8m</t>
  </si>
  <si>
    <t>长宁6#阀室-15.25km</t>
  </si>
  <si>
    <t>6#阀室-15.25km</t>
  </si>
  <si>
    <t>长宁7#阀室-11km</t>
  </si>
  <si>
    <t>7#阀室-11km</t>
  </si>
  <si>
    <t>长宁9#阀室-10.38km</t>
  </si>
  <si>
    <t>9#阀室-1.38km</t>
  </si>
  <si>
    <t>长宁10#阀室-1.6km</t>
  </si>
  <si>
    <t>1#阀室-1.6km</t>
  </si>
  <si>
    <t>长宁10#阀室+11km</t>
  </si>
  <si>
    <t>1#阀室+11km</t>
  </si>
  <si>
    <t>兰银131km+100m</t>
  </si>
  <si>
    <t>131km+1m</t>
  </si>
  <si>
    <t>兰银9km</t>
  </si>
  <si>
    <t>9km</t>
  </si>
  <si>
    <t>达州作业区</t>
  </si>
  <si>
    <t>川气</t>
  </si>
  <si>
    <t>1#燕子窝阀室</t>
  </si>
  <si>
    <t>1#燕子窝阀室★</t>
  </si>
  <si>
    <t>2#天生阀室</t>
  </si>
  <si>
    <t>2#天生阀室★</t>
  </si>
  <si>
    <t>3#金山阀室</t>
  </si>
  <si>
    <t>3#金山阀室★</t>
  </si>
  <si>
    <t>4#靖安阀室</t>
  </si>
  <si>
    <t>4#靖安阀室★</t>
  </si>
  <si>
    <t>5#新街阀室</t>
  </si>
  <si>
    <t>5#新街阀室★</t>
  </si>
  <si>
    <t>梁平输气站</t>
  </si>
  <si>
    <t>梁平作业区</t>
  </si>
  <si>
    <t>6#柏家阀室</t>
  </si>
  <si>
    <t>6#柏家阀室★</t>
  </si>
  <si>
    <t>7#青峰阀室</t>
  </si>
  <si>
    <t>7#青峰阀室★</t>
  </si>
  <si>
    <t>黄金压气站</t>
  </si>
  <si>
    <t>8#忠县长江1号阀室</t>
  </si>
  <si>
    <t>8#忠县长江1号阀室★</t>
  </si>
  <si>
    <t>9#忠县长江2号阀室</t>
  </si>
  <si>
    <t>9#忠县长江2号阀室★</t>
  </si>
  <si>
    <t>10#王场阀室</t>
  </si>
  <si>
    <t>10#王场阀室★</t>
  </si>
  <si>
    <t>11#红沙溪阀室</t>
  </si>
  <si>
    <t>11#红沙溪阀室★</t>
  </si>
  <si>
    <t>12#苏家湾阀室</t>
  </si>
  <si>
    <t>12#苏家湾阀室★</t>
  </si>
  <si>
    <t>恩施作业区</t>
  </si>
  <si>
    <t>13#青塘铺阀室</t>
  </si>
  <si>
    <t>13#青塘铺阀室★</t>
  </si>
  <si>
    <t>利川压气站</t>
  </si>
  <si>
    <t>14#大坝村阀室</t>
  </si>
  <si>
    <t>14#大坝村阀室★</t>
  </si>
  <si>
    <t>15#沙子坡阀室</t>
  </si>
  <si>
    <t>15#沙子坡阀室★</t>
  </si>
  <si>
    <t>16#龙马阀室</t>
  </si>
  <si>
    <t>16#龙马阀室★</t>
  </si>
  <si>
    <t>恩施输气站</t>
  </si>
  <si>
    <t>17#白岩阀室</t>
  </si>
  <si>
    <t>17#白岩阀室★</t>
  </si>
  <si>
    <t>18#小石坪阀室</t>
  </si>
  <si>
    <t>18#小石坪阀室★</t>
  </si>
  <si>
    <t>19#高店子阀室</t>
  </si>
  <si>
    <t>19#高店子阀室★</t>
  </si>
  <si>
    <t>20#庙坪阀室</t>
  </si>
  <si>
    <t>20#庙坪阀室★</t>
  </si>
  <si>
    <t>野三关压气站</t>
  </si>
  <si>
    <t>21#榔坪阀室</t>
  </si>
  <si>
    <t>21#榔坪阀室★</t>
  </si>
  <si>
    <t>宜昌东作业区</t>
  </si>
  <si>
    <t>22#碑坳阀室</t>
  </si>
  <si>
    <t>22#碑坳阀室★</t>
  </si>
  <si>
    <t>23#高家岭阀室</t>
  </si>
  <si>
    <t>23#高家岭阀室★</t>
  </si>
  <si>
    <t>24#丹水阀室</t>
  </si>
  <si>
    <t>24#丹水阀室★</t>
  </si>
  <si>
    <t>25#白洪溪阀室</t>
  </si>
  <si>
    <t>25#白洪溪阀室★</t>
  </si>
  <si>
    <t>宜昌清管站</t>
  </si>
  <si>
    <t>宜昌压气站</t>
  </si>
  <si>
    <t>26#桑树河阀室</t>
  </si>
  <si>
    <t>26#桑树河阀室★</t>
  </si>
  <si>
    <t>枝江输气站</t>
  </si>
  <si>
    <t>27#沮漳河阀室</t>
  </si>
  <si>
    <t>27#沮漳河阀室▲</t>
  </si>
  <si>
    <t>荆州输气站</t>
  </si>
  <si>
    <t>27A#高路村阀室</t>
  </si>
  <si>
    <t>27A#高路村阀室▲</t>
  </si>
  <si>
    <t>28#花坮村阀室</t>
  </si>
  <si>
    <t>28#花坮村阀室★</t>
  </si>
  <si>
    <t>29#西河五队阀室</t>
  </si>
  <si>
    <t>29#西河五队阀室▲</t>
  </si>
  <si>
    <t>潜江作业区</t>
  </si>
  <si>
    <t>30#鄢家咀阀室</t>
  </si>
  <si>
    <t>30#鄢家咀阀室▲</t>
  </si>
  <si>
    <t>31#南台子阀室</t>
  </si>
  <si>
    <t>31#南台子阀室▲</t>
  </si>
  <si>
    <t>32#下麻港阀室</t>
  </si>
  <si>
    <t>32#下麻港阀室▲</t>
  </si>
  <si>
    <t>33#余积湖阀室</t>
  </si>
  <si>
    <t>33#余积湖阀室★</t>
  </si>
  <si>
    <t>连接仙桃输气站</t>
  </si>
  <si>
    <t>川气仙桃站</t>
  </si>
  <si>
    <t>34#西流河阀室</t>
  </si>
  <si>
    <t>34#西流河阀室▲</t>
  </si>
  <si>
    <t>35#捞子湖阀室</t>
  </si>
  <si>
    <t>35#捞子湖阀室▲</t>
  </si>
  <si>
    <t>36#周家河阀室</t>
  </si>
  <si>
    <t>36#周家河阀室★</t>
  </si>
  <si>
    <t>37#大咀阀室</t>
  </si>
  <si>
    <t>37#大咀阀室★</t>
  </si>
  <si>
    <t>38#中湾阀室</t>
  </si>
  <si>
    <t>38#中湾阀室▲</t>
  </si>
  <si>
    <t>武汉输气站</t>
  </si>
  <si>
    <t>39#王通阀室</t>
  </si>
  <si>
    <t>39#王通阀室★</t>
  </si>
  <si>
    <t>黄石作业区</t>
  </si>
  <si>
    <t>40#刘如山阀室</t>
  </si>
  <si>
    <t>40#刘如山阀室▲</t>
  </si>
  <si>
    <t>41#新屋阀室</t>
  </si>
  <si>
    <t>41#新屋阀室★</t>
  </si>
  <si>
    <t>黄石输气站</t>
  </si>
  <si>
    <t>42#太子阀室</t>
  </si>
  <si>
    <t>42#太子阀室▲</t>
  </si>
  <si>
    <t>43#黄颡口阀室</t>
  </si>
  <si>
    <t>43#黄颡口阀室▲</t>
  </si>
  <si>
    <t>44#蕲州阀室</t>
  </si>
  <si>
    <t>44#蕲州阀室★</t>
  </si>
  <si>
    <t>45#姜家湾阀室</t>
  </si>
  <si>
    <t>45#姜家湾阀室▲</t>
  </si>
  <si>
    <t>46#花桥阀室</t>
  </si>
  <si>
    <t>46#花桥阀室▲</t>
  </si>
  <si>
    <t>47#陶垄阀室</t>
  </si>
  <si>
    <t>47#陶垄阀室▲</t>
  </si>
  <si>
    <t>48#堰塘角阀室</t>
  </si>
  <si>
    <t>48#堰塘角阀室★</t>
  </si>
  <si>
    <t>安庆作业区</t>
  </si>
  <si>
    <t>49#周家湾阀室</t>
  </si>
  <si>
    <t>49#周家湾阀室★</t>
  </si>
  <si>
    <t>50#袁家林阀室</t>
  </si>
  <si>
    <t>50#袁家林阀室★</t>
  </si>
  <si>
    <t>51#李店阀室</t>
  </si>
  <si>
    <t>51#李店阀室★</t>
  </si>
  <si>
    <t>52#万集阀室</t>
  </si>
  <si>
    <t>52#万集阀室★</t>
  </si>
  <si>
    <t>安庆输气站</t>
  </si>
  <si>
    <t>53#海口阀室</t>
  </si>
  <si>
    <t>53#海口阀室★</t>
  </si>
  <si>
    <t>54#杨桥阀室</t>
  </si>
  <si>
    <t>54#杨桥阀室★</t>
  </si>
  <si>
    <t>55#裕丰村阀室</t>
  </si>
  <si>
    <t>56#殷汇阀室</t>
  </si>
  <si>
    <t>56#殷汇阀室★</t>
  </si>
  <si>
    <t>57#清溪阀室</t>
  </si>
  <si>
    <t>57#清溪阀室★</t>
  </si>
  <si>
    <t>池州输气站</t>
  </si>
  <si>
    <t>58#八子庙阀室</t>
  </si>
  <si>
    <t>58#八子庙阀室★</t>
  </si>
  <si>
    <t>59#木安阀室</t>
  </si>
  <si>
    <t>59#木安阀室★</t>
  </si>
  <si>
    <t>60#刘店村阀室</t>
  </si>
  <si>
    <t>60#刘店村阀室★</t>
  </si>
  <si>
    <t>宣城作业区</t>
  </si>
  <si>
    <t>牌楼分输站</t>
  </si>
  <si>
    <t>62#李村阀室</t>
  </si>
  <si>
    <t>62#李村阀室★</t>
  </si>
  <si>
    <t>宣城输气站</t>
  </si>
  <si>
    <t>63#卫村阀室</t>
  </si>
  <si>
    <t>63#卫村阀室★</t>
  </si>
  <si>
    <t>64#丁村阀室</t>
  </si>
  <si>
    <t>64#丁村阀室★</t>
  </si>
  <si>
    <t>十字镇输气站</t>
  </si>
  <si>
    <t>65#晏公殿阀室</t>
  </si>
  <si>
    <t>66#杨家冲阀室</t>
  </si>
  <si>
    <t>66#杨家冲阀室★</t>
  </si>
  <si>
    <t>67#后林村阀室</t>
  </si>
  <si>
    <t>67#后林村阀室★</t>
  </si>
  <si>
    <t>嘉兴作业区</t>
  </si>
  <si>
    <t>68#湖北湾阀室</t>
  </si>
  <si>
    <t>68#湖北湾阀室★</t>
  </si>
  <si>
    <t>69#城山村阀室</t>
  </si>
  <si>
    <t>69#城山村阀室★</t>
  </si>
  <si>
    <t>湖州输气站</t>
  </si>
  <si>
    <t>70#西湾里阀室</t>
  </si>
  <si>
    <t>70#西湾里阀室★</t>
  </si>
  <si>
    <t>71#李家湾阀室</t>
  </si>
  <si>
    <t>71#李家湾阀室★</t>
  </si>
  <si>
    <t>72#乌镇阀室</t>
  </si>
  <si>
    <t>72#乌镇阀室★</t>
  </si>
  <si>
    <t>嘉兴输气站</t>
  </si>
  <si>
    <t>73#栖真乡阀室</t>
  </si>
  <si>
    <t>73#栖真乡阀室★</t>
  </si>
  <si>
    <t>74#干窑镇阀室</t>
  </si>
  <si>
    <t>74#干窑镇阀室★</t>
  </si>
  <si>
    <t>上海输气站</t>
  </si>
  <si>
    <t>3#柏树阀室</t>
  </si>
  <si>
    <t>3#柏树阀室★</t>
  </si>
  <si>
    <t>达化输气站</t>
  </si>
  <si>
    <t>1#石牛阀室</t>
  </si>
  <si>
    <t>1#石牛阀室★</t>
  </si>
  <si>
    <t>2#回龙阀室</t>
  </si>
  <si>
    <t>2#回龙阀室★</t>
  </si>
  <si>
    <t>3#城北阀室</t>
  </si>
  <si>
    <t>3#城北阀室★</t>
  </si>
  <si>
    <t>4#永远阀室</t>
  </si>
  <si>
    <t>4#永远阀室★</t>
  </si>
  <si>
    <t>5#罗大丘阀室</t>
  </si>
  <si>
    <t>5#罗大丘阀室★</t>
  </si>
  <si>
    <t>6#大当湾阀室</t>
  </si>
  <si>
    <t>6#大当湾阀室★</t>
  </si>
  <si>
    <t>川维输气站</t>
  </si>
  <si>
    <t>1#新市铺阀室</t>
  </si>
  <si>
    <t>1#新市铺阀室★</t>
  </si>
  <si>
    <t>2#尹家湾阀室</t>
  </si>
  <si>
    <t>五里界输气站</t>
  </si>
  <si>
    <t>3#前河湾阀室</t>
  </si>
  <si>
    <t>3#前河湾阀室▲</t>
  </si>
  <si>
    <t>4#栗庙阀室</t>
  </si>
  <si>
    <t>5#郑黄湾阀室</t>
  </si>
  <si>
    <t>5#郑黄湾阀室★</t>
  </si>
  <si>
    <t>6#兰家湾阀室</t>
  </si>
  <si>
    <t>7#鲍家村阀室</t>
  </si>
  <si>
    <t>7#鲍家村阀室★</t>
  </si>
  <si>
    <t>8#后山村阀室</t>
  </si>
  <si>
    <t>8#后山村阀室★</t>
  </si>
  <si>
    <t>武钢输气站</t>
  </si>
  <si>
    <t>武汉乙烯输气站</t>
  </si>
  <si>
    <t>1#杨柳湖阀室</t>
  </si>
  <si>
    <t>1#杨柳湖阀室★</t>
  </si>
  <si>
    <t>2#唐家湾阀室</t>
  </si>
  <si>
    <t>3#胡营村阀室</t>
  </si>
  <si>
    <t>九江输气站</t>
  </si>
  <si>
    <t>1#殷村阀室</t>
  </si>
  <si>
    <t>1#殷村阀室★</t>
  </si>
  <si>
    <t>2#社渚阀室</t>
  </si>
  <si>
    <t>2#社渚阀室★</t>
  </si>
  <si>
    <t>南京作业区</t>
  </si>
  <si>
    <t>3#南渡阀室</t>
  </si>
  <si>
    <t>3#南渡阀室★</t>
  </si>
  <si>
    <t>4#竹箦阀室</t>
  </si>
  <si>
    <t>4#竹箦阀室★</t>
  </si>
  <si>
    <t>5#张家村阀室</t>
  </si>
  <si>
    <t>5#张家村阀室★</t>
  </si>
  <si>
    <t>金坛输气站</t>
  </si>
  <si>
    <t>6#宝堰阀室</t>
  </si>
  <si>
    <t>上党输气站</t>
  </si>
  <si>
    <t>7#石马阀室</t>
  </si>
  <si>
    <t>7#石马阀室★</t>
  </si>
  <si>
    <t>8#桥头阀室</t>
  </si>
  <si>
    <t>8#桥头阀室★</t>
  </si>
  <si>
    <t>龙潭输气站</t>
  </si>
  <si>
    <t>9#永安洲阀室</t>
  </si>
  <si>
    <t>南京输气站</t>
  </si>
  <si>
    <t>10#船董阀室</t>
  </si>
  <si>
    <t>10#船董阀室★</t>
  </si>
  <si>
    <t>扬子石化输气站</t>
  </si>
  <si>
    <t>1#摄山阀室</t>
  </si>
  <si>
    <t>金陵输气站</t>
  </si>
  <si>
    <t>西气东输一线青山分输清管站</t>
  </si>
  <si>
    <t>1#王场阀室★</t>
  </si>
  <si>
    <t>周桥村阀室</t>
  </si>
  <si>
    <t>周桥村阀室★</t>
  </si>
  <si>
    <t>湖北省潜江市杨市办事处周桥村</t>
  </si>
  <si>
    <t>莲市村阀室</t>
  </si>
  <si>
    <t>莲市村阀室★</t>
  </si>
  <si>
    <t>湖北省潜江市熊口镇莲市村</t>
  </si>
  <si>
    <t>工农村阀室</t>
  </si>
  <si>
    <t>工农村阀室★</t>
  </si>
  <si>
    <t>湖北省潜江市园林办事处工农村</t>
  </si>
  <si>
    <t>周叽阀室</t>
  </si>
  <si>
    <t>周叽阀室★</t>
  </si>
  <si>
    <t>湖北省潜江市周叽管理区</t>
  </si>
  <si>
    <t>湖北省潜江市王场镇</t>
  </si>
  <si>
    <t>嘉善联络站</t>
  </si>
  <si>
    <t>浙江省嘉兴市嘉善县洪南村</t>
  </si>
  <si>
    <t>湖北省潜江市泰丰街道黄垸村</t>
  </si>
  <si>
    <t>湖北省潜江市总口管理区江湾社区</t>
  </si>
  <si>
    <t>石台</t>
  </si>
  <si>
    <t>石台北分输站</t>
  </si>
  <si>
    <t>李家湾</t>
  </si>
  <si>
    <t>梅溪</t>
  </si>
  <si>
    <t>梅溪首站</t>
  </si>
  <si>
    <t>川二线川渝鄂</t>
  </si>
  <si>
    <t>四川省资阳市安岳县元坝镇</t>
  </si>
  <si>
    <t>四川省资阳市安岳县忠义镇</t>
  </si>
  <si>
    <t>重庆市大足区中敖镇</t>
  </si>
  <si>
    <t>重庆市铜梁区平滩镇</t>
  </si>
  <si>
    <t>重庆市铜梁区太平镇</t>
  </si>
  <si>
    <t>重庆市铜梁区旧县镇</t>
  </si>
  <si>
    <t>川东北8#阀室</t>
  </si>
  <si>
    <t>四川省南充市阆中市龙泉镇达摩垭村</t>
  </si>
  <si>
    <t>川东北7#阀室</t>
  </si>
  <si>
    <t>四川省巴中市恩阳区渔溪镇新桥村</t>
  </si>
  <si>
    <t>川东北6#阀室</t>
  </si>
  <si>
    <t>四川省巴中市巴州区盘兴物流园区燕飞村</t>
  </si>
  <si>
    <t>川东北5#阀室</t>
  </si>
  <si>
    <t>四川省巴中市巴州区曾口镇寿星村</t>
  </si>
  <si>
    <t>川东北4#阀室</t>
  </si>
  <si>
    <t>四川省巴中市平昌县驷马镇创举村</t>
  </si>
  <si>
    <t>平昌分输站</t>
  </si>
  <si>
    <t>四川省巴中市平昌县五木镇前锋村</t>
  </si>
  <si>
    <t>川东北3#阀室</t>
  </si>
  <si>
    <t>四川省巴中市平昌县澌滩乡金银村</t>
  </si>
  <si>
    <t>川东北2#阀室</t>
  </si>
  <si>
    <t>四川省巴中市平昌县泥龙乡多佛村</t>
  </si>
  <si>
    <t>川东北1#阀室</t>
  </si>
  <si>
    <t>四川省达州市宣汉县花池乡亮垭村</t>
  </si>
  <si>
    <t>川东北普光首站</t>
  </si>
  <si>
    <t>四川省达州市宣汉县普光镇铜坎社区</t>
  </si>
  <si>
    <t>涪陵输气站</t>
  </si>
  <si>
    <t>涪陵作业区</t>
  </si>
  <si>
    <t>重庆</t>
  </si>
  <si>
    <t>涪陵增压站</t>
  </si>
  <si>
    <t>1#焦石阀室</t>
  </si>
  <si>
    <t>1#焦石阀室★</t>
  </si>
  <si>
    <t>石柱作业区</t>
  </si>
  <si>
    <t>2#罗云阀室</t>
  </si>
  <si>
    <t>2#罗云阀室★</t>
  </si>
  <si>
    <t>3#双路阀室</t>
  </si>
  <si>
    <t>3#双路阀室★</t>
  </si>
  <si>
    <t>4#兴义阀室</t>
  </si>
  <si>
    <t>4#兴义阀室★</t>
  </si>
  <si>
    <t>5#龙孔阀室</t>
  </si>
  <si>
    <t>5#龙孔阀室★</t>
  </si>
  <si>
    <t>6#曹家阀室</t>
  </si>
  <si>
    <t>6#曹家阀室★</t>
  </si>
  <si>
    <t>7#磨子阀室</t>
  </si>
  <si>
    <t>7#磨子阀室★</t>
  </si>
  <si>
    <t>8#万朝阀室</t>
  </si>
  <si>
    <t>8#万朝阀室★</t>
  </si>
  <si>
    <t>王场输气站</t>
  </si>
  <si>
    <t>南川输气站</t>
  </si>
  <si>
    <t>1#平桥阀室</t>
  </si>
  <si>
    <t>1#平桥阀室★</t>
  </si>
  <si>
    <t>2#鸭江阀室</t>
  </si>
  <si>
    <t>2#鸭江阀室★</t>
  </si>
  <si>
    <t>3#白涛阀室</t>
  </si>
  <si>
    <t>3#白涛阀室★</t>
  </si>
  <si>
    <t>4#山窝阀室</t>
  </si>
  <si>
    <t>4#山窝阀室★</t>
  </si>
  <si>
    <t>榆济作业区</t>
  </si>
  <si>
    <t>榆济</t>
  </si>
  <si>
    <t>三道沟阀室</t>
  </si>
  <si>
    <t>三道沟阀室▲</t>
  </si>
  <si>
    <t>刘千河阀室</t>
  </si>
  <si>
    <t>刘千河阀室★</t>
  </si>
  <si>
    <t>方塌阀室</t>
  </si>
  <si>
    <t>方塌阀室★</t>
  </si>
  <si>
    <t>孙家峁阀室</t>
  </si>
  <si>
    <t>孙家峁阀室▲</t>
  </si>
  <si>
    <t>佳县输气站</t>
  </si>
  <si>
    <t>黄河西阀室</t>
  </si>
  <si>
    <t>黄河西阀室★</t>
  </si>
  <si>
    <t>黄河东阀室</t>
  </si>
  <si>
    <t>黄河东阀室★</t>
  </si>
  <si>
    <t>兔坂阀室</t>
  </si>
  <si>
    <t>兔坂阀室★</t>
  </si>
  <si>
    <t>梁家会阀室</t>
  </si>
  <si>
    <t>梁家会阀室★</t>
  </si>
  <si>
    <t>安坪阀室</t>
  </si>
  <si>
    <t>安坪阀室▲</t>
  </si>
  <si>
    <t>高家山阀室</t>
  </si>
  <si>
    <t>高家山阀室★</t>
  </si>
  <si>
    <t>方山输气站</t>
  </si>
  <si>
    <t>横梁阀室</t>
  </si>
  <si>
    <t>横梁阀室★</t>
  </si>
  <si>
    <t>上楼桥阀室</t>
  </si>
  <si>
    <t>上楼桥阀室★</t>
  </si>
  <si>
    <t>李家湾阀室▲</t>
  </si>
  <si>
    <t>北偏城阀室</t>
  </si>
  <si>
    <t>北偏城阀室▲</t>
  </si>
  <si>
    <t>汾阳输气站</t>
  </si>
  <si>
    <t>招贤村阀室</t>
  </si>
  <si>
    <t>招贤村阀室★</t>
  </si>
  <si>
    <t>平遥增压站</t>
  </si>
  <si>
    <t>西源祠阀室</t>
  </si>
  <si>
    <t>西源祠阀室▲</t>
  </si>
  <si>
    <t>石门村阀室</t>
  </si>
  <si>
    <t>石门村阀室★</t>
  </si>
  <si>
    <t>杨家峪阀室</t>
  </si>
  <si>
    <t>杨家峪阀室★</t>
  </si>
  <si>
    <t>山交河阀室</t>
  </si>
  <si>
    <t>山交河阀室▲</t>
  </si>
  <si>
    <t>武乡输气站</t>
  </si>
  <si>
    <t>北社阀室</t>
  </si>
  <si>
    <t>北社阀室▲</t>
  </si>
  <si>
    <t>土地垴阀室</t>
  </si>
  <si>
    <t>土地垴阀室★</t>
  </si>
  <si>
    <t>平头阀室</t>
  </si>
  <si>
    <t>平头阀室▲</t>
  </si>
  <si>
    <t>黎城输气站</t>
  </si>
  <si>
    <t>岩井阀室</t>
  </si>
  <si>
    <t>岩井阀室▲</t>
  </si>
  <si>
    <t>阳高阀室</t>
  </si>
  <si>
    <t>阳高阀室▲</t>
  </si>
  <si>
    <t>龙门阀室</t>
  </si>
  <si>
    <t>龙门阀室★</t>
  </si>
  <si>
    <t>遮峪阀室</t>
  </si>
  <si>
    <t>遮峪阀室★</t>
  </si>
  <si>
    <t>任村阀室</t>
  </si>
  <si>
    <t>任村阀室★</t>
  </si>
  <si>
    <t>东水阀室</t>
  </si>
  <si>
    <t>东水阀室▲</t>
  </si>
  <si>
    <t>孙家岗阀室</t>
  </si>
  <si>
    <t>孙家岗阀室▲</t>
  </si>
  <si>
    <t>安阳输气站</t>
  </si>
  <si>
    <t>高村阀室</t>
  </si>
  <si>
    <t>高村阀室★</t>
  </si>
  <si>
    <t>北豆供阀室</t>
  </si>
  <si>
    <t>北豆供阀室▲</t>
  </si>
  <si>
    <t>东同住阀室</t>
  </si>
  <si>
    <t>东同住阀室★</t>
  </si>
  <si>
    <t>宋耿落阀室</t>
  </si>
  <si>
    <t>宋耿落阀室▲</t>
  </si>
  <si>
    <t>韩楼阀室</t>
  </si>
  <si>
    <t>韩楼阀室▲</t>
  </si>
  <si>
    <t>后刘家阀室</t>
  </si>
  <si>
    <t>后刘家阀室▲</t>
  </si>
  <si>
    <t>聊城西输气站</t>
  </si>
  <si>
    <t>郭庄阀室</t>
  </si>
  <si>
    <t>郭庄阀室0</t>
  </si>
  <si>
    <t>金庄阀室</t>
  </si>
  <si>
    <t>金庄阀室▲</t>
  </si>
  <si>
    <t>望鲁店阀室</t>
  </si>
  <si>
    <t>望鲁店阀室★</t>
  </si>
  <si>
    <t>孟店阀室</t>
  </si>
  <si>
    <t>孟店阀室▲</t>
  </si>
  <si>
    <t>齐河输气站</t>
  </si>
  <si>
    <t>宣章屯输气站（中石化）</t>
  </si>
  <si>
    <t>中石化</t>
  </si>
  <si>
    <t>部分阀门和收发球筒属于国家管网</t>
  </si>
  <si>
    <t>乔界阀室</t>
  </si>
  <si>
    <t>黄城乡阀室</t>
  </si>
  <si>
    <t>东里满乡阀室</t>
  </si>
  <si>
    <t>辰时阀室</t>
  </si>
  <si>
    <t>辰时阀室★</t>
  </si>
  <si>
    <t>圈头乡阀室</t>
  </si>
  <si>
    <t>衡水输气站</t>
  </si>
  <si>
    <t>紫塔乡阀室</t>
  </si>
  <si>
    <t>紫塔乡阀室★</t>
  </si>
  <si>
    <t>王谦寺阀室</t>
  </si>
  <si>
    <t>王谦寺阀室★</t>
  </si>
  <si>
    <t>北留智乡阀室</t>
  </si>
  <si>
    <t>二屯站</t>
  </si>
  <si>
    <t>赵虎乡阀室</t>
  </si>
  <si>
    <t>德州输气站</t>
  </si>
  <si>
    <t>王凤楼阀室</t>
  </si>
  <si>
    <t>辛店阀室</t>
  </si>
  <si>
    <t>大黄乡阀室</t>
  </si>
  <si>
    <t>大黄乡阀室★</t>
  </si>
  <si>
    <t>属中石化</t>
  </si>
  <si>
    <t>齐河站（中石化）</t>
  </si>
  <si>
    <t>济青</t>
  </si>
  <si>
    <t>晏城阀室</t>
  </si>
  <si>
    <t>孙耿阀室</t>
  </si>
  <si>
    <t>济阳站</t>
  </si>
  <si>
    <t>北高居阀室</t>
  </si>
  <si>
    <t>王寨阀室</t>
  </si>
  <si>
    <t>绿金分输站</t>
  </si>
  <si>
    <t>魏桥阀室</t>
  </si>
  <si>
    <t>孙镇阀室</t>
  </si>
  <si>
    <t>邹平站</t>
  </si>
  <si>
    <t>马桥站</t>
  </si>
  <si>
    <t>原马桥阀室</t>
  </si>
  <si>
    <t>桓台站</t>
  </si>
  <si>
    <t>博兴站</t>
  </si>
  <si>
    <t>乐安阀室</t>
  </si>
  <si>
    <t>广饶站</t>
  </si>
  <si>
    <t>大码头阀室</t>
  </si>
  <si>
    <t>寿光站</t>
  </si>
  <si>
    <t>侯镇阀室</t>
  </si>
  <si>
    <t>侯镇阀室★</t>
  </si>
  <si>
    <t>滨海站</t>
  </si>
  <si>
    <t>昌邑站</t>
  </si>
  <si>
    <t>卜庄阀室</t>
  </si>
  <si>
    <t>卜庄阀室★</t>
  </si>
  <si>
    <t>田庄阀室</t>
  </si>
  <si>
    <t>同和阀室</t>
  </si>
  <si>
    <t>平度站</t>
  </si>
  <si>
    <t>泊里站（中石化）</t>
  </si>
  <si>
    <t>青岛</t>
  </si>
  <si>
    <t>大村阀室</t>
  </si>
  <si>
    <t>六汪阀室</t>
  </si>
  <si>
    <t>张应站</t>
  </si>
  <si>
    <t>胶西阀室</t>
  </si>
  <si>
    <t>胶北阀室</t>
  </si>
  <si>
    <t>胶北阀室★</t>
  </si>
  <si>
    <t>东北乡阀室</t>
  </si>
  <si>
    <t>南村阀室</t>
  </si>
  <si>
    <t>仁兆阀室</t>
  </si>
  <si>
    <t>仁兆阀室★</t>
  </si>
  <si>
    <t>店埠阀室</t>
  </si>
  <si>
    <t>店埠阀室★</t>
  </si>
  <si>
    <t>姜山阀室</t>
  </si>
  <si>
    <t>莱西站</t>
  </si>
  <si>
    <t>衡水作业区</t>
  </si>
  <si>
    <t>捷地阀室</t>
  </si>
  <si>
    <t>捷地阀室★</t>
  </si>
  <si>
    <t>黄递铺阀室</t>
  </si>
  <si>
    <t>黄递铺阀室★</t>
  </si>
  <si>
    <t>高官阀室</t>
  </si>
  <si>
    <t>高官阀室★</t>
  </si>
  <si>
    <t>献县分输站</t>
  </si>
  <si>
    <t>万里阀室</t>
  </si>
  <si>
    <t>万里阀室★</t>
  </si>
  <si>
    <t>大官亭阀室</t>
  </si>
  <si>
    <t>大官亭阀室★</t>
  </si>
  <si>
    <t>南娄底阀室</t>
  </si>
  <si>
    <t>南娄底阀室★</t>
  </si>
  <si>
    <t>保定作业区</t>
  </si>
  <si>
    <t>留村阀室</t>
  </si>
  <si>
    <t>留村阀室★</t>
  </si>
  <si>
    <t>里城道阀室</t>
  </si>
  <si>
    <t>里城道阀室★</t>
  </si>
  <si>
    <t>藁城分输站</t>
  </si>
  <si>
    <t>南牛阀室</t>
  </si>
  <si>
    <t>南牛阀室★</t>
  </si>
  <si>
    <t>正定阀室</t>
  </si>
  <si>
    <t>正定阀室★</t>
  </si>
  <si>
    <t>曲阳桥阀室</t>
  </si>
  <si>
    <t>曲阳桥阀室★</t>
  </si>
  <si>
    <t>鹿泉分输清管站</t>
  </si>
  <si>
    <t>南王庄阀室</t>
  </si>
  <si>
    <t>南王庄阀室★</t>
  </si>
  <si>
    <t>前营阀室</t>
  </si>
  <si>
    <t>前营阀室★</t>
  </si>
  <si>
    <t>马庄阀室</t>
  </si>
  <si>
    <t>马庄阀室★</t>
  </si>
  <si>
    <t>码头李阀室</t>
  </si>
  <si>
    <t>码头李阀室★</t>
  </si>
  <si>
    <t>冀州分输站</t>
  </si>
  <si>
    <t>邯郸作业区</t>
  </si>
  <si>
    <t>大高村阀室</t>
  </si>
  <si>
    <t>大高村阀室★</t>
  </si>
  <si>
    <t>章台阀室</t>
  </si>
  <si>
    <t>章台阀室★</t>
  </si>
  <si>
    <t>梨园屯阀室</t>
  </si>
  <si>
    <t>梨园屯阀室★</t>
  </si>
  <si>
    <t>固献阀室</t>
  </si>
  <si>
    <t>固献阀室★</t>
  </si>
  <si>
    <t>梁二庄阀室</t>
  </si>
  <si>
    <t>梁二庄阀室★</t>
  </si>
  <si>
    <t>馆陶分输站</t>
  </si>
  <si>
    <t>王桥阀室</t>
  </si>
  <si>
    <t>王桥阀室★</t>
  </si>
  <si>
    <t>红庙阀室</t>
  </si>
  <si>
    <t>红庙阀室★</t>
  </si>
  <si>
    <t>龙王庙阀室</t>
  </si>
  <si>
    <t>龙王庙阀室★</t>
  </si>
  <si>
    <t>南乐阀室</t>
  </si>
  <si>
    <t>南乐阀室★</t>
  </si>
  <si>
    <t>马村阀室</t>
  </si>
  <si>
    <t>马村阀室★</t>
  </si>
  <si>
    <t>六塔阀室</t>
  </si>
  <si>
    <t>六塔阀室★</t>
  </si>
  <si>
    <t>博野阀室</t>
  </si>
  <si>
    <t>博野阀室★</t>
  </si>
  <si>
    <t>温仁阀室</t>
  </si>
  <si>
    <t>温仁阀室★</t>
  </si>
  <si>
    <t>保定分输清管站</t>
  </si>
  <si>
    <t>天津管道沧州站下游10km</t>
  </si>
  <si>
    <t>天津管道沧州站下游1km</t>
  </si>
  <si>
    <t>冀鲁作业区</t>
  </si>
  <si>
    <t>南乐清管阀室★</t>
  </si>
  <si>
    <t>天津</t>
  </si>
  <si>
    <t>工业园阀室一</t>
  </si>
  <si>
    <t>工业园阀室一0</t>
  </si>
  <si>
    <t>工业园阀室二</t>
  </si>
  <si>
    <t>工业园阀室二0</t>
  </si>
  <si>
    <t>工业园阀室三</t>
  </si>
  <si>
    <t>工业园阀室三0</t>
  </si>
  <si>
    <t>南港阀室</t>
  </si>
  <si>
    <t>南港阀室★</t>
  </si>
  <si>
    <t>独流阀室一</t>
  </si>
  <si>
    <t>独流阀室一★</t>
  </si>
  <si>
    <t>团泊洼阀室</t>
  </si>
  <si>
    <t>团泊洼阀室★</t>
  </si>
  <si>
    <t>蔡公庄阀室</t>
  </si>
  <si>
    <t>陈官屯阀室</t>
  </si>
  <si>
    <t>梁头阀室</t>
  </si>
  <si>
    <t>梁头阀室★</t>
  </si>
  <si>
    <t>独流阀室</t>
  </si>
  <si>
    <t>独流阀室★</t>
  </si>
  <si>
    <t>西青阀室</t>
  </si>
  <si>
    <t>西青阀室★</t>
  </si>
  <si>
    <t>王庆坨阀室</t>
  </si>
  <si>
    <t>黄花店阀室</t>
  </si>
  <si>
    <t>黄花店阀室★</t>
  </si>
  <si>
    <t>城关阀室</t>
  </si>
  <si>
    <t>3#城关阀室</t>
  </si>
  <si>
    <t>南蔡阀室</t>
  </si>
  <si>
    <t>后巷阀室</t>
  </si>
  <si>
    <t>大口屯阀室</t>
  </si>
  <si>
    <t>大口屯阀室★</t>
  </si>
  <si>
    <t>林亭口阀室</t>
  </si>
  <si>
    <t>林亭口阀室★</t>
  </si>
  <si>
    <t>袁罗庄阀室</t>
  </si>
  <si>
    <t>潮洛窝阀室</t>
  </si>
  <si>
    <t>唐官屯阀室</t>
  </si>
  <si>
    <t>金牛阀室</t>
  </si>
  <si>
    <t>金牛阀室★</t>
  </si>
  <si>
    <t>兴济阀室</t>
  </si>
  <si>
    <t>兴济阀室★</t>
  </si>
  <si>
    <t>管道沧州站</t>
  </si>
  <si>
    <t>牛进庄阀室</t>
  </si>
  <si>
    <t>牛进庄阀室★</t>
  </si>
  <si>
    <t>盐山站</t>
  </si>
  <si>
    <t>常庄阀室</t>
  </si>
  <si>
    <t>常庄阀室★</t>
  </si>
  <si>
    <t>王猛阀室</t>
  </si>
  <si>
    <t>王猛阀室★</t>
  </si>
  <si>
    <t>庆云站</t>
  </si>
  <si>
    <t>银高阀室</t>
  </si>
  <si>
    <t>银高阀室★</t>
  </si>
  <si>
    <t>翟王阀室</t>
  </si>
  <si>
    <t>麻店阀室</t>
  </si>
  <si>
    <t>滨州站</t>
  </si>
  <si>
    <t>黄河阀室</t>
  </si>
  <si>
    <t>黄河阀室★</t>
  </si>
  <si>
    <t>花沟阀室</t>
  </si>
  <si>
    <t>首站</t>
  </si>
  <si>
    <t>主1#阀室</t>
  </si>
  <si>
    <t>主1#阀室★</t>
  </si>
  <si>
    <t>主2#阀室</t>
  </si>
  <si>
    <t>主2#阀室★</t>
  </si>
  <si>
    <t>主3#阀室</t>
  </si>
  <si>
    <t>主3#阀室★</t>
  </si>
  <si>
    <t>主4#阀室</t>
  </si>
  <si>
    <t>主4#阀室★</t>
  </si>
  <si>
    <t>主5#阀室</t>
  </si>
  <si>
    <t>主5#阀室★</t>
  </si>
  <si>
    <t>河北省沧州市渤海新区南大港产业园区</t>
  </si>
  <si>
    <t>主6#阀室</t>
  </si>
  <si>
    <t>主6#阀室★</t>
  </si>
  <si>
    <t>河北省沧州市渤海新区中捷产业园区</t>
  </si>
  <si>
    <t>黄骅分输清管站</t>
  </si>
  <si>
    <t>河北省黄骅市羊二庄回族镇</t>
  </si>
  <si>
    <t>支1#阀室</t>
  </si>
  <si>
    <t>支1#阀室★</t>
  </si>
  <si>
    <t>黄骅南分输站</t>
  </si>
  <si>
    <t>河北省黄骅市黄骅镇</t>
  </si>
  <si>
    <t>支2#阀室</t>
  </si>
  <si>
    <t>支2#阀室★</t>
  </si>
  <si>
    <t>河北省黄骅市常郭镇</t>
  </si>
  <si>
    <t>鄂安沧管道沧州末站改扩建</t>
  </si>
  <si>
    <t>河北省沧州市沧县旧州镇</t>
  </si>
  <si>
    <t>濮阳作业区</t>
  </si>
  <si>
    <t>中开1#阀室</t>
  </si>
  <si>
    <t>中原管道</t>
  </si>
  <si>
    <t>濮阳站</t>
  </si>
  <si>
    <t>中开2#阀室</t>
  </si>
  <si>
    <t>中开3#阀室</t>
  </si>
  <si>
    <t>中开4#阀室</t>
  </si>
  <si>
    <t>中开5#阀室</t>
  </si>
  <si>
    <t>开封作业区</t>
  </si>
  <si>
    <t>东明站</t>
  </si>
  <si>
    <t>中开6#阀室</t>
  </si>
  <si>
    <t>中开7#阀室</t>
  </si>
  <si>
    <t>中开8#阀室</t>
  </si>
  <si>
    <t>中原管道兰考站</t>
  </si>
  <si>
    <t>兰考站</t>
  </si>
  <si>
    <t>中开9#阀室</t>
  </si>
  <si>
    <t>中原管道开封站</t>
  </si>
  <si>
    <t>开封站</t>
  </si>
  <si>
    <t>范县输气站</t>
  </si>
  <si>
    <t>濮范台1#阀室</t>
  </si>
  <si>
    <t>濮范台2#阀室</t>
  </si>
  <si>
    <t>台前输气站</t>
  </si>
  <si>
    <t>南寺1#阀室</t>
  </si>
  <si>
    <t>LNG接收站</t>
  </si>
  <si>
    <t>LNG公司</t>
  </si>
  <si>
    <t>北海LNG</t>
  </si>
  <si>
    <t>北海作业区</t>
  </si>
  <si>
    <t>闸口输气站</t>
  </si>
  <si>
    <t>山背岭阀室</t>
  </si>
  <si>
    <t>山背岭阀室★</t>
  </si>
  <si>
    <t>花屋洞阀室</t>
  </si>
  <si>
    <t>花屋洞阀室★</t>
  </si>
  <si>
    <t>崩塘阀室</t>
  </si>
  <si>
    <t>崩塘阀室★</t>
  </si>
  <si>
    <t>六湖阀室</t>
  </si>
  <si>
    <t>六湖阀室★</t>
  </si>
  <si>
    <t>平湖阀室</t>
  </si>
  <si>
    <t>平湖阀室★</t>
  </si>
  <si>
    <t>钦州输气站</t>
  </si>
  <si>
    <t>长滩阀室</t>
  </si>
  <si>
    <t>长滩阀室★</t>
  </si>
  <si>
    <t>邕宁输气站</t>
  </si>
  <si>
    <t>新江阀室</t>
  </si>
  <si>
    <t>新江阀室★</t>
  </si>
  <si>
    <t>南宁输气站</t>
  </si>
  <si>
    <t>伶俐阀室</t>
  </si>
  <si>
    <t>伶俐阀室★</t>
  </si>
  <si>
    <t>六景阀室</t>
  </si>
  <si>
    <t>六景阀室★</t>
  </si>
  <si>
    <t>合庄阀室</t>
  </si>
  <si>
    <t>合庄阀室★</t>
  </si>
  <si>
    <t>稔竹阀室</t>
  </si>
  <si>
    <t>稔竹阀室★</t>
  </si>
  <si>
    <t>黎塘输气站</t>
  </si>
  <si>
    <t>小平阳阀室</t>
  </si>
  <si>
    <t>小平阳阀室★</t>
  </si>
  <si>
    <t>三五街阀室</t>
  </si>
  <si>
    <t>三五街阀室★</t>
  </si>
  <si>
    <t>来宾合建站</t>
  </si>
  <si>
    <t>新安阀室</t>
  </si>
  <si>
    <t>新安阀室★</t>
  </si>
  <si>
    <t>来宾输气站</t>
  </si>
  <si>
    <t>龙岩阀室</t>
  </si>
  <si>
    <t>龙岩阀室★</t>
  </si>
  <si>
    <t>闷村阀室</t>
  </si>
  <si>
    <t>闷村阀室★</t>
  </si>
  <si>
    <t>龙朝阀室</t>
  </si>
  <si>
    <t>龙朝阀室★</t>
  </si>
  <si>
    <t>龙朝门站</t>
  </si>
  <si>
    <t>前村阀室</t>
  </si>
  <si>
    <t>前村阀室★</t>
  </si>
  <si>
    <t>柳州输气站</t>
  </si>
  <si>
    <t>公馆输气站</t>
  </si>
  <si>
    <t>白沙输气站</t>
  </si>
  <si>
    <t>白沙输气站★</t>
  </si>
  <si>
    <t>南门垌阀室</t>
  </si>
  <si>
    <t>南门垌阀室★</t>
  </si>
  <si>
    <t>上白路岭阀室</t>
  </si>
  <si>
    <t>上白路岭阀室★</t>
  </si>
  <si>
    <t>鸭菜岭阀室</t>
  </si>
  <si>
    <t>鸭菜岭阀室★</t>
  </si>
  <si>
    <t>书房仔阀室</t>
  </si>
  <si>
    <t>书房仔阀室★</t>
  </si>
  <si>
    <t>廉江分输站</t>
  </si>
  <si>
    <t>书房仔阀室接出</t>
  </si>
  <si>
    <t>湛江输气站</t>
  </si>
  <si>
    <t>里山尾阀室</t>
  </si>
  <si>
    <t>里山尾阀室★</t>
  </si>
  <si>
    <t>东岸阀室</t>
  </si>
  <si>
    <t>东岸阀室★</t>
  </si>
  <si>
    <t>竹山阀室</t>
  </si>
  <si>
    <t>竹山阀室★</t>
  </si>
  <si>
    <t>共和阀室</t>
  </si>
  <si>
    <t>共和阀室★</t>
  </si>
  <si>
    <t>柳东输气站</t>
  </si>
  <si>
    <t>1#大洞1#阀室</t>
  </si>
  <si>
    <t>1#大洞1#阀室★</t>
  </si>
  <si>
    <t>柳州市柳城县社冲乡</t>
  </si>
  <si>
    <t>2#大洞2#阀室</t>
  </si>
  <si>
    <t>2#大洞2#阀室★</t>
  </si>
  <si>
    <t>柳州市柳城县沙埔镇</t>
  </si>
  <si>
    <t>3#社八阀室</t>
  </si>
  <si>
    <t>3#社八阀室★</t>
  </si>
  <si>
    <t>柳州市鹿寨县平山镇</t>
  </si>
  <si>
    <t>4#中渡阀室</t>
  </si>
  <si>
    <t>4#中渡阀室★</t>
  </si>
  <si>
    <t>柳州市鹿寨县中渡镇</t>
  </si>
  <si>
    <t>5#潮水阀室</t>
  </si>
  <si>
    <t>5#潮水阀室★</t>
  </si>
  <si>
    <t>柳州市鹿寨县黄冕镇</t>
  </si>
  <si>
    <t>6#古拉阀室</t>
  </si>
  <si>
    <t>6#古拉阀室★</t>
  </si>
  <si>
    <t>桂林市永福县广福乡</t>
  </si>
  <si>
    <t>7#曾村阀室</t>
  </si>
  <si>
    <t>7#曾村阀室★</t>
  </si>
  <si>
    <t>桂林市永福县永福镇</t>
  </si>
  <si>
    <t>桂林输气站</t>
  </si>
  <si>
    <t>桂林市临桂区四塘镇</t>
  </si>
  <si>
    <t>岳阳输气管理处</t>
  </si>
  <si>
    <t>1#排湾村阀室</t>
  </si>
  <si>
    <t>1#排湾村阀室★</t>
  </si>
  <si>
    <t>潜江枢纽站</t>
  </si>
  <si>
    <t>2#横台村阀室</t>
  </si>
  <si>
    <t>2#横台村阀室★</t>
  </si>
  <si>
    <t>3#群力村阀室</t>
  </si>
  <si>
    <t>3#群力村阀室★</t>
  </si>
  <si>
    <t>新气管道监利站</t>
  </si>
  <si>
    <t>监利站</t>
  </si>
  <si>
    <t>4#黄花村阀室</t>
  </si>
  <si>
    <t>4#黄花村阀室★</t>
  </si>
  <si>
    <t>5#龚王村阀室</t>
  </si>
  <si>
    <t>5#龚王村阀室★</t>
  </si>
  <si>
    <t>6#白螺阀室</t>
  </si>
  <si>
    <t>6#白螺阀室★</t>
  </si>
  <si>
    <t>7#陆城阀室</t>
  </si>
  <si>
    <t>7#陆城阀室★</t>
  </si>
  <si>
    <t>岳阳分输清管站</t>
  </si>
  <si>
    <t>8#双花阀室</t>
  </si>
  <si>
    <t>8#双花阀室★</t>
  </si>
  <si>
    <t>双花分输站</t>
  </si>
  <si>
    <t>双花阀室接出DN300联络线，约0.56km，设计输量3×108Nm³/a，设计压力10MPa。</t>
  </si>
  <si>
    <t>湖南省岳阳市云溪区云溪镇铁路冲村</t>
  </si>
  <si>
    <t>9#三联村阀室</t>
  </si>
  <si>
    <t>9#三联村阀室★</t>
  </si>
  <si>
    <t>10#横铺村阀室</t>
  </si>
  <si>
    <t>10#横铺村阀室★</t>
  </si>
  <si>
    <t>新气管道岳阳站</t>
  </si>
  <si>
    <t>岳阳站</t>
  </si>
  <si>
    <t>11#双港阀室</t>
  </si>
  <si>
    <t>11#双港阀室★</t>
  </si>
  <si>
    <t>12#金星阀室</t>
  </si>
  <si>
    <t>12#金星阀室★</t>
  </si>
  <si>
    <t>13#嵩华阀室</t>
  </si>
  <si>
    <t>13#嵩华阀室★</t>
  </si>
  <si>
    <t>14#梅树村阀室</t>
  </si>
  <si>
    <t>14#梅树村阀室★</t>
  </si>
  <si>
    <t>15#福林铺阀室</t>
  </si>
  <si>
    <t>15#福林铺阀室★</t>
  </si>
  <si>
    <t>16#石潭村阀室</t>
  </si>
  <si>
    <t>16#石潭村阀室0</t>
  </si>
  <si>
    <t>17#金鼎村阀室</t>
  </si>
  <si>
    <t>17#金鼎村阀室★</t>
  </si>
  <si>
    <t>新气管道长沙站</t>
  </si>
  <si>
    <t>长沙站</t>
  </si>
  <si>
    <t>18#万古村阀室</t>
  </si>
  <si>
    <t>18#万古村阀室★</t>
  </si>
  <si>
    <t>19#北星村阀室</t>
  </si>
  <si>
    <t>19#北星村阀室★</t>
  </si>
  <si>
    <t>新气管道株洲站</t>
  </si>
  <si>
    <t>株洲站</t>
  </si>
  <si>
    <t>衡阳输气管理处</t>
  </si>
  <si>
    <t>20#苏塘村阀室</t>
  </si>
  <si>
    <t>20#苏塘村阀室★</t>
  </si>
  <si>
    <t>株洲分输清管站</t>
  </si>
  <si>
    <t>21#马洲村阀室</t>
  </si>
  <si>
    <t>21#马洲村阀室★</t>
  </si>
  <si>
    <t>22#九丘坳阀室</t>
  </si>
  <si>
    <t>22#九丘坳阀室★</t>
  </si>
  <si>
    <t>23#荷花塘阀室</t>
  </si>
  <si>
    <t>23#荷花塘阀室★</t>
  </si>
  <si>
    <t>衡阳分输清管站</t>
  </si>
  <si>
    <t>24#红茶亭阀室</t>
  </si>
  <si>
    <t>24#红茶亭阀室★</t>
  </si>
  <si>
    <t>红茶亭分输站</t>
  </si>
  <si>
    <t>衡东分输站</t>
  </si>
  <si>
    <t>原25#老头冲阀室</t>
  </si>
  <si>
    <t>衡阳站</t>
  </si>
  <si>
    <t>衡阳站★</t>
  </si>
  <si>
    <t>26#洲上阀室</t>
  </si>
  <si>
    <t>26#洲上阀室★</t>
  </si>
  <si>
    <t>27#长泉村阀室</t>
  </si>
  <si>
    <t>27#长泉村阀室★</t>
  </si>
  <si>
    <t>28#里王村阀室</t>
  </si>
  <si>
    <t>28#里王村阀室★</t>
  </si>
  <si>
    <t>耒阳分输站</t>
  </si>
  <si>
    <t>28#阀室接出，长度约0.766km，管径 Φ323.9×12.5mm，设计压力 10MPa，设计输量 4.2×108m3/年</t>
  </si>
  <si>
    <t>29#梧桥阀室</t>
  </si>
  <si>
    <t>29#梧桥阀室★</t>
  </si>
  <si>
    <t>30#土桥阀室</t>
  </si>
  <si>
    <t>30#土桥阀室★</t>
  </si>
  <si>
    <t>郴州分输清管站</t>
  </si>
  <si>
    <t>31#东冲阀室</t>
  </si>
  <si>
    <t>31#东冲阀室★</t>
  </si>
  <si>
    <t>郴州站</t>
  </si>
  <si>
    <t>32#黄家阀室</t>
  </si>
  <si>
    <t>32#黄家阀室★</t>
  </si>
  <si>
    <t>33#邓家塘阀室</t>
  </si>
  <si>
    <t>33#邓家塘阀室★</t>
  </si>
  <si>
    <t>34#段家阀室</t>
  </si>
  <si>
    <t>34#段家阀室★</t>
  </si>
  <si>
    <t>35#廊头阀室</t>
  </si>
  <si>
    <t>35#廊头阀室★</t>
  </si>
  <si>
    <t>36#周雷阀室</t>
  </si>
  <si>
    <t>36#周雷阀室★</t>
  </si>
  <si>
    <t>37#深源阀室</t>
  </si>
  <si>
    <t>37#深源阀室★</t>
  </si>
  <si>
    <t>38#井塘阀室</t>
  </si>
  <si>
    <t>38#井塘阀室★</t>
  </si>
  <si>
    <t>乐昌站</t>
  </si>
  <si>
    <t>39#内腾阀室</t>
  </si>
  <si>
    <t>39#内腾阀室★</t>
  </si>
  <si>
    <t>40#拗背阀室</t>
  </si>
  <si>
    <t>40#拗背阀室★</t>
  </si>
  <si>
    <t>新气管道韶关站</t>
  </si>
  <si>
    <t>韶关站</t>
  </si>
  <si>
    <t>周田镇1#阀室</t>
  </si>
  <si>
    <t>周田镇1#阀室★</t>
  </si>
  <si>
    <t>周田镇2#阀室</t>
  </si>
  <si>
    <t>周田镇2#阀室★</t>
  </si>
  <si>
    <t>城南镇阀室</t>
  </si>
  <si>
    <t>城南镇阀室★</t>
  </si>
  <si>
    <t>1#茶市镇阀室</t>
  </si>
  <si>
    <t>1#茶市镇阀室★</t>
  </si>
  <si>
    <t>永州分输清管站</t>
  </si>
  <si>
    <t>衡阳市衡南县茶市镇</t>
  </si>
  <si>
    <t>2#云集镇 1#阀室</t>
  </si>
  <si>
    <t>2#云集镇 1#阀室★</t>
  </si>
  <si>
    <t>衡阳市衡南县云集镇</t>
  </si>
  <si>
    <t>3#云集镇 2#阀室</t>
  </si>
  <si>
    <t>3#云集镇 2#阀室★</t>
  </si>
  <si>
    <t>4#栗江镇阀室</t>
  </si>
  <si>
    <t>4#栗江镇阀室★</t>
  </si>
  <si>
    <t>衡阳市衡南县栗江镇</t>
  </si>
  <si>
    <t>5#硫市镇阀室</t>
  </si>
  <si>
    <t>5#硫市镇阀室★</t>
  </si>
  <si>
    <t>衡阳市衡南县硫市镇</t>
  </si>
  <si>
    <t>6#茅市镇阀室</t>
  </si>
  <si>
    <t>6#茅市镇阀室★</t>
  </si>
  <si>
    <t>衡阳市衡南县茅市镇</t>
  </si>
  <si>
    <t>7#鸟江镇阀室</t>
  </si>
  <si>
    <t>7#鸟江镇阀室★</t>
  </si>
  <si>
    <t>衡阳市祁东县鸟江镇</t>
  </si>
  <si>
    <t>8#潘市镇1#阀室</t>
  </si>
  <si>
    <t>8#潘市镇1#阀室★</t>
  </si>
  <si>
    <t>永州市祁阳县潘市镇</t>
  </si>
  <si>
    <t>9#潘市镇2#阀室</t>
  </si>
  <si>
    <t>9#潘市镇2#阀室★</t>
  </si>
  <si>
    <t>永州市祁阳县白水镇</t>
  </si>
  <si>
    <t>10#白水镇阀室</t>
  </si>
  <si>
    <t>10#白水镇阀室★</t>
  </si>
  <si>
    <t>11#大忠桥镇阀</t>
  </si>
  <si>
    <t>11#大忠桥镇阀★</t>
  </si>
  <si>
    <t>永州市祁阳县大忠桥镇</t>
  </si>
  <si>
    <t>永州分输站</t>
  </si>
  <si>
    <t>永州市零陵区邮亭圩镇</t>
  </si>
  <si>
    <t>12#凼底乡阀室</t>
  </si>
  <si>
    <t>12#凼底乡阀室★</t>
  </si>
  <si>
    <t>永州市零陵区凼底乡</t>
  </si>
  <si>
    <t>13#黄田铺镇阀室</t>
  </si>
  <si>
    <t>13#黄田铺镇阀室★</t>
  </si>
  <si>
    <t>永州市零陵区黄田铺镇</t>
  </si>
  <si>
    <t>14#珠山镇阀室</t>
  </si>
  <si>
    <t>14#珠山镇阀室★</t>
  </si>
  <si>
    <t>永州市零陵区珠山镇</t>
  </si>
  <si>
    <t>15#永岁乡1#阀室</t>
  </si>
  <si>
    <t>15#永岁乡1#阀室★</t>
  </si>
  <si>
    <t>桂林市全州县永岁乡</t>
  </si>
  <si>
    <t>16#永岁乡2#阀室</t>
  </si>
  <si>
    <t>16#永岁乡2#阀室★</t>
  </si>
  <si>
    <t>才湾分输站</t>
  </si>
  <si>
    <t>才湾分输站★</t>
  </si>
  <si>
    <t>桂林市全州县才湾镇</t>
  </si>
  <si>
    <t>17#凤凰镇阀室</t>
  </si>
  <si>
    <t>17#凤凰镇阀室★</t>
  </si>
  <si>
    <t>桂林市全州县凤凰镇</t>
  </si>
  <si>
    <t>18#界首镇阀室</t>
  </si>
  <si>
    <t>18#界首镇阀室★</t>
  </si>
  <si>
    <t>桂林市兴安县界首镇</t>
  </si>
  <si>
    <t>19#严关镇阀室</t>
  </si>
  <si>
    <t>19#严关镇阀室★</t>
  </si>
  <si>
    <t>桂林市兴安县严关镇</t>
  </si>
  <si>
    <t>20#溶江镇阀室</t>
  </si>
  <si>
    <t>20#溶江镇阀室★</t>
  </si>
  <si>
    <t>桂林市兴安县溶江镇</t>
  </si>
  <si>
    <t>马洲村站</t>
  </si>
  <si>
    <t>原21#阀室</t>
  </si>
  <si>
    <t>桂林市灵川县三街镇</t>
  </si>
  <si>
    <t>22#潭下镇阀室</t>
  </si>
  <si>
    <t>22#潭下镇阀室★</t>
  </si>
  <si>
    <t>桂林市灵川县潭下镇</t>
  </si>
  <si>
    <t>23#定江镇阀室</t>
  </si>
  <si>
    <t>23#定江镇阀室★</t>
  </si>
  <si>
    <t>桂林市灵川县定江镇</t>
  </si>
  <si>
    <t>24#临桂镇阀室</t>
  </si>
  <si>
    <t>24#临桂镇阀室★</t>
  </si>
  <si>
    <t>桂林市临桂区临桂镇</t>
  </si>
  <si>
    <t>东方作业区</t>
  </si>
  <si>
    <t>海南</t>
  </si>
  <si>
    <t>三八1#阀室</t>
  </si>
  <si>
    <t>三亚作业区</t>
  </si>
  <si>
    <t>三八2#阀室</t>
  </si>
  <si>
    <t>三八3#阀室</t>
  </si>
  <si>
    <t>东洋1#阀室</t>
  </si>
  <si>
    <t>东洋2#阀室</t>
  </si>
  <si>
    <t>东洋3#阀室</t>
  </si>
  <si>
    <t>东洋4#阀室</t>
  </si>
  <si>
    <t>东洋5#阀室</t>
  </si>
  <si>
    <t>东洋6#阀室</t>
  </si>
  <si>
    <t>东洋7#阀室</t>
  </si>
  <si>
    <t>海口作业区</t>
  </si>
  <si>
    <t>东洋8#阀室</t>
  </si>
  <si>
    <t>洋浦站</t>
  </si>
  <si>
    <t>东洋3#阀室★</t>
  </si>
  <si>
    <t>昌江站</t>
  </si>
  <si>
    <t>儋海9#阀室</t>
  </si>
  <si>
    <t>儋海10#阀室</t>
  </si>
  <si>
    <t>儋海11#阀室</t>
  </si>
  <si>
    <t>儋海12#阀室</t>
  </si>
  <si>
    <t>海文14#阀室</t>
  </si>
  <si>
    <t>海文15#阀室</t>
  </si>
  <si>
    <t>海文16#阀室</t>
  </si>
  <si>
    <t>文昌作业区</t>
  </si>
  <si>
    <t>海文17#阀室</t>
  </si>
  <si>
    <t>海文18#阀室</t>
  </si>
  <si>
    <t>文东1#阀室</t>
  </si>
  <si>
    <t>文东1#阀室★</t>
  </si>
  <si>
    <t>东路站</t>
  </si>
  <si>
    <t>文昌三亚19#阀室</t>
  </si>
  <si>
    <t>琼海分输站</t>
  </si>
  <si>
    <t>文昌三亚20#阀室</t>
  </si>
  <si>
    <t>文昌三亚21#阀室</t>
  </si>
  <si>
    <t>文昌三亚22#阀室</t>
  </si>
  <si>
    <t>文昌三亚23#阀室</t>
  </si>
  <si>
    <t>北大分输站</t>
  </si>
  <si>
    <t>文昌三亚24#阀室</t>
  </si>
  <si>
    <t>万宁分输站</t>
  </si>
  <si>
    <t>文昌三亚25#阀室</t>
  </si>
  <si>
    <t>文昌三亚26#阀室</t>
  </si>
  <si>
    <t>文昌三亚27#阀室</t>
  </si>
  <si>
    <t>文昌三亚28#阀室</t>
  </si>
  <si>
    <t>文昌三亚29#阀室</t>
  </si>
  <si>
    <t>文昌三亚30#阀室</t>
  </si>
  <si>
    <t>文昌三亚31#阀室</t>
  </si>
  <si>
    <t>文昌三亚32#阀室</t>
  </si>
  <si>
    <t>文昌三亚33#阀室</t>
  </si>
  <si>
    <t>文昌三亚34#阀室</t>
  </si>
  <si>
    <t>文昌三亚35#阀室</t>
  </si>
  <si>
    <t>神州半岛站</t>
  </si>
  <si>
    <t>海南LNG接收站</t>
  </si>
  <si>
    <t>ＬＮＧ公司</t>
  </si>
  <si>
    <t>海南ＬＮＧ</t>
  </si>
  <si>
    <t>LNG复线1#阀室</t>
  </si>
  <si>
    <t>LNG复线1#阀室★</t>
  </si>
  <si>
    <t>LNG复线2#阀室</t>
  </si>
  <si>
    <t>LNG复线2#阀室★</t>
  </si>
  <si>
    <t>LNG复线3#阀室</t>
  </si>
  <si>
    <t>LNG复线3#阀室★</t>
  </si>
  <si>
    <t>LNG复线4#阀室</t>
  </si>
  <si>
    <t>LNG复线4#阀室★</t>
  </si>
  <si>
    <t>海南省澄迈县老城镇美岭村</t>
  </si>
  <si>
    <t>定兴分输站</t>
  </si>
  <si>
    <t>GX31#阀室</t>
  </si>
  <si>
    <t>GX31#阀室★</t>
  </si>
  <si>
    <t>固安作业区</t>
  </si>
  <si>
    <t>GX31+1#阀室</t>
  </si>
  <si>
    <t>GX31+1#阀室★</t>
  </si>
  <si>
    <t>GX32#阀室</t>
  </si>
  <si>
    <t>GX32#阀室★</t>
  </si>
  <si>
    <t>GX32+1#阀室</t>
  </si>
  <si>
    <t>GX32+1#阀室★</t>
  </si>
  <si>
    <t>蒙西霸州站</t>
  </si>
  <si>
    <t>GX33#阀室</t>
  </si>
  <si>
    <t>GX33#阀室★</t>
  </si>
  <si>
    <t>GX34#阀室</t>
  </si>
  <si>
    <t>GX34#阀室★</t>
  </si>
  <si>
    <t>GX35#阀室</t>
  </si>
  <si>
    <t>GX35#阀室★</t>
  </si>
  <si>
    <t>GX36#阀室</t>
  </si>
  <si>
    <t>GX36#阀室★</t>
  </si>
  <si>
    <t xml:space="preserve">静海分输站 </t>
  </si>
  <si>
    <t>GX37#阀室</t>
  </si>
  <si>
    <t>GX37#阀室★</t>
  </si>
  <si>
    <t xml:space="preserve">大港分输站 </t>
  </si>
  <si>
    <t>大港分输站 ★</t>
  </si>
  <si>
    <t>滨海作业区</t>
  </si>
  <si>
    <t>齐家务计量清管站</t>
  </si>
  <si>
    <t>齐家务计量清管站★</t>
  </si>
  <si>
    <t>GX38#阀室</t>
  </si>
  <si>
    <t>GX38#阀室★</t>
  </si>
  <si>
    <t xml:space="preserve">黄骅末站 </t>
  </si>
  <si>
    <t>TJ1#阀室</t>
  </si>
  <si>
    <t>TJ1#阀室★</t>
  </si>
  <si>
    <t>TJ2#阀室</t>
  </si>
  <si>
    <t>TJ2#阀室★</t>
  </si>
  <si>
    <t>TJ3#阀室</t>
  </si>
  <si>
    <t>TJ3#阀室★</t>
  </si>
  <si>
    <t>TJ4#阀室</t>
  </si>
  <si>
    <t>TJ4#阀室★</t>
  </si>
  <si>
    <t>TJ5#阀室</t>
  </si>
  <si>
    <t>TJ5#阀室★</t>
  </si>
  <si>
    <t>LF1#阀室</t>
  </si>
  <si>
    <t>LF1#阀室★</t>
  </si>
  <si>
    <t>LF2#阀室</t>
  </si>
  <si>
    <t>LF2#阀室★</t>
  </si>
  <si>
    <t>LF3#阀室</t>
  </si>
  <si>
    <t>LF4#阀室</t>
  </si>
  <si>
    <t>廊坊末站</t>
  </si>
  <si>
    <t>廊坊支线LF1#阀室★</t>
  </si>
  <si>
    <t>粤东</t>
  </si>
  <si>
    <t>广东省揭阳市惠来县前詹镇</t>
  </si>
  <si>
    <t>惠来站</t>
  </si>
  <si>
    <t>广东省揭阳市惠来县华湖镇</t>
  </si>
  <si>
    <t>广东省汕头市潮南区两英镇</t>
  </si>
  <si>
    <t>司马浦阀室</t>
  </si>
  <si>
    <t>司马浦阀室★</t>
  </si>
  <si>
    <t>广东省汕头市潮南区司马浦镇</t>
  </si>
  <si>
    <t>铜盂阀室</t>
  </si>
  <si>
    <t>铜盂阀室★</t>
  </si>
  <si>
    <t>广东省汕头市潮阳区铜盂镇</t>
  </si>
  <si>
    <t>广东省汕头市潮阳区西胪镇</t>
  </si>
  <si>
    <t>关埠阀室</t>
  </si>
  <si>
    <t>关埠阀室★</t>
  </si>
  <si>
    <t>广东省汕头市潮阳区关埠镇</t>
  </si>
  <si>
    <t>登岗站</t>
  </si>
  <si>
    <t>广东省揭阳市空港经济区登岗镇</t>
  </si>
  <si>
    <t>浮洋站</t>
  </si>
  <si>
    <t>广东省潮州市潮安区浮洋镇仙庭村</t>
  </si>
  <si>
    <t>浮洋阀室</t>
  </si>
  <si>
    <t>浮洋阀室★</t>
  </si>
  <si>
    <t>广东省潮州市潮安区浮洋镇</t>
  </si>
  <si>
    <t>磷溪阀室</t>
  </si>
  <si>
    <t>磷溪阀室★</t>
  </si>
  <si>
    <t>广东省潮州市湘桥区磷溪镇</t>
  </si>
  <si>
    <t>广东省汕头市澄海区莲华镇</t>
  </si>
  <si>
    <t>广东省揭阳市普宁市</t>
  </si>
  <si>
    <t>广东省汕头市潮阳区</t>
  </si>
  <si>
    <t>滨海</t>
  </si>
  <si>
    <t>0#阀室★</t>
  </si>
  <si>
    <t>苏皖滨海分输站</t>
  </si>
  <si>
    <t>通榆分输清管站</t>
  </si>
  <si>
    <t>苏皖通榆分输清管站</t>
  </si>
  <si>
    <t>苏皖淮安分输清管站</t>
  </si>
  <si>
    <t>淮安分输清管站</t>
  </si>
  <si>
    <t>苏皖旧铺分输清管站</t>
  </si>
  <si>
    <t>旧铺分输清管站</t>
  </si>
  <si>
    <t>全椒作业区</t>
  </si>
  <si>
    <t>18#阀室</t>
  </si>
  <si>
    <t>滁州分输清管站</t>
  </si>
  <si>
    <t>全椒分输站</t>
  </si>
  <si>
    <t>21#阀室</t>
  </si>
  <si>
    <t>苏皖阜宁分输清管站</t>
  </si>
  <si>
    <r>
      <rPr>
        <sz val="12"/>
        <color theme="1"/>
        <rFont val="华文仿宋"/>
        <charset val="134"/>
      </rPr>
      <t>2#</t>
    </r>
    <r>
      <rPr>
        <sz val="12"/>
        <color rgb="FF000000"/>
        <rFont val="华文仿宋"/>
        <charset val="134"/>
      </rPr>
      <t>阀室</t>
    </r>
  </si>
  <si>
    <t>德化作业区</t>
  </si>
  <si>
    <t>安溪分输站</t>
  </si>
  <si>
    <r>
      <rPr>
        <sz val="12"/>
        <color theme="1"/>
        <rFont val="华文仿宋"/>
        <charset val="134"/>
      </rPr>
      <t>3#</t>
    </r>
    <r>
      <rPr>
        <sz val="12"/>
        <color rgb="FF000000"/>
        <rFont val="华文仿宋"/>
        <charset val="134"/>
      </rPr>
      <t>阀室</t>
    </r>
  </si>
  <si>
    <t>南安分输站</t>
  </si>
  <si>
    <t>永春分输站</t>
  </si>
  <si>
    <r>
      <rPr>
        <sz val="12"/>
        <color theme="1"/>
        <rFont val="华文仿宋"/>
        <charset val="134"/>
      </rPr>
      <t>4#</t>
    </r>
    <r>
      <rPr>
        <sz val="12"/>
        <color rgb="FF000000"/>
        <rFont val="华文仿宋"/>
        <charset val="134"/>
      </rPr>
      <t>阀室</t>
    </r>
  </si>
  <si>
    <t>德化分输站</t>
  </si>
  <si>
    <t>中海油资产</t>
  </si>
  <si>
    <t>福建省福州市长乐区营前街道</t>
  </si>
  <si>
    <t>后山阀室</t>
  </si>
  <si>
    <t>后山阀室★</t>
  </si>
  <si>
    <t>福建省福州市长乐区吴航镇后山村</t>
  </si>
  <si>
    <t>琅岐分输站</t>
  </si>
  <si>
    <t>福建省福州市马尾区南尾村</t>
  </si>
  <si>
    <t>连江分输站</t>
  </si>
  <si>
    <t>福建省福州市连江县横槎村</t>
  </si>
  <si>
    <t>蓼沿阀室</t>
  </si>
  <si>
    <t>蓼沿阀室★</t>
  </si>
  <si>
    <t>福建省福州市连江县丹阳镇</t>
  </si>
  <si>
    <t>坂顶阀室</t>
  </si>
  <si>
    <t>坂顶阀室★</t>
  </si>
  <si>
    <t>福建省福州市连江县丹阳镇坂顶村</t>
  </si>
  <si>
    <t>罗源分输站</t>
  </si>
  <si>
    <t>福建省福州市罗源县长治村</t>
  </si>
  <si>
    <t>宁德分输站</t>
  </si>
  <si>
    <t>宁德作业区</t>
  </si>
  <si>
    <t>福建省宁德市蕉城区金涵村</t>
  </si>
  <si>
    <t>七都阀室</t>
  </si>
  <si>
    <t>七都阀室★</t>
  </si>
  <si>
    <t>福建省宁德市蕉城区七都镇</t>
  </si>
  <si>
    <t>双木洋分输清管站</t>
  </si>
  <si>
    <t>福建省宁德市福安市甘棠镇双木洋村</t>
  </si>
  <si>
    <t>岩下阀室</t>
  </si>
  <si>
    <t>岩下阀室★</t>
  </si>
  <si>
    <t>福建省宁德市福安市锦埔村</t>
  </si>
  <si>
    <t>福安分输站</t>
  </si>
  <si>
    <t>福建省宁德市福安市洋中厝</t>
  </si>
  <si>
    <t>霞洋阀室</t>
  </si>
  <si>
    <t>霞洋阀室★</t>
  </si>
  <si>
    <t>福建省宁德市柘荣县富溪镇霞洋村</t>
  </si>
  <si>
    <t>柘荣分输站</t>
  </si>
  <si>
    <t>福建省宁德市柘荣县</t>
  </si>
  <si>
    <t>管阳阀室</t>
  </si>
  <si>
    <t>管阳阀室★</t>
  </si>
  <si>
    <t>福建省宁德市福鼎市管阳镇宅里村</t>
  </si>
  <si>
    <t>福建省宁德市福鼎市</t>
  </si>
  <si>
    <t>福建省漳州市芗城区浦南镇布坑村</t>
  </si>
  <si>
    <t>天宝分输清管站</t>
  </si>
  <si>
    <t>福建省漳州市龙文区芗城区天宝镇</t>
  </si>
  <si>
    <t>福建省漳州市南靖县田边村</t>
  </si>
  <si>
    <t>程溪联络站</t>
  </si>
  <si>
    <t>福建省漳州市龙海区程溪镇社仔村西南</t>
  </si>
  <si>
    <t>福建省漳州市龙海区程溪镇奎坑村</t>
  </si>
  <si>
    <t>福建省漳州市漳浦县绥安镇马坑村</t>
  </si>
  <si>
    <t>旧镇分输站</t>
  </si>
  <si>
    <t>福建省漳州市漳浦县陈仓村</t>
  </si>
  <si>
    <t>福建省漳州市漳浦县沙西镇打山村</t>
  </si>
  <si>
    <t>福建省漳州市云霄县云霄县东厦镇东坑村</t>
  </si>
  <si>
    <t>常山分输站</t>
  </si>
  <si>
    <t>福建省漳州市云霄县常山经济开发区大水堀管区老虎山村</t>
  </si>
  <si>
    <t>福建省漳州市诏安县四都镇</t>
  </si>
  <si>
    <t>福建省漳州市诏安县西潭乡山河村</t>
  </si>
  <si>
    <t>福建省漳州市龙海区隆教畲族乡流会村东</t>
  </si>
  <si>
    <t>港尾分输站</t>
  </si>
  <si>
    <t>福建省漳州市龙海区港尾镇浦口村东</t>
  </si>
  <si>
    <t>福建省漳州市龙海区白水镇下寮村东南</t>
  </si>
  <si>
    <t>福建省漳州市龙海区东泗乡西岭村东</t>
  </si>
  <si>
    <t>福建省漳州市龙海区程溪镇芙山新村东</t>
  </si>
  <si>
    <t>福建省漳州市高新区草坂村西南</t>
  </si>
  <si>
    <t>福建省漳州市南靖县靖城镇新村北</t>
  </si>
  <si>
    <t>从化分输站</t>
  </si>
  <si>
    <t>广州站</t>
  </si>
  <si>
    <t>中新阀室</t>
  </si>
  <si>
    <t>中新阀室★</t>
  </si>
  <si>
    <t>朱村阀室</t>
  </si>
  <si>
    <t>朱村阀室★</t>
  </si>
  <si>
    <t>增城站</t>
  </si>
  <si>
    <t>园洲阀室★</t>
  </si>
  <si>
    <t>长宁阀室</t>
  </si>
  <si>
    <t>长宁阀室★</t>
  </si>
  <si>
    <t>龙溪阀室</t>
  </si>
  <si>
    <t>龙溪阀室★</t>
  </si>
  <si>
    <t>潼湖分输阀室</t>
  </si>
  <si>
    <t>潼湖分输阀室★</t>
  </si>
  <si>
    <t>镇隆阀室</t>
  </si>
  <si>
    <t>镇隆阀室★</t>
  </si>
  <si>
    <t>永湖阀室</t>
  </si>
  <si>
    <t>永湖阀室★</t>
  </si>
  <si>
    <t>东莞站</t>
  </si>
  <si>
    <t>广东省广州市增城区</t>
  </si>
  <si>
    <t>广东省东莞市高埗镇</t>
  </si>
  <si>
    <t>园洲分输站</t>
  </si>
  <si>
    <t>清城阀室</t>
  </si>
  <si>
    <t>清城阀室★</t>
  </si>
  <si>
    <t>源潭阀室</t>
  </si>
  <si>
    <t>源潭阀室★</t>
  </si>
  <si>
    <t>龙塘阀室</t>
  </si>
  <si>
    <t>龙塘阀室★</t>
  </si>
  <si>
    <t>清远分输阀室</t>
  </si>
  <si>
    <t>清远分输阀室★</t>
  </si>
  <si>
    <t>石角阀室★</t>
  </si>
  <si>
    <t>大塘阀室</t>
  </si>
  <si>
    <t>大塘阀室★</t>
  </si>
  <si>
    <t>三水分输站</t>
  </si>
  <si>
    <t>大旺阀室</t>
  </si>
  <si>
    <t>大旺阀室★</t>
  </si>
  <si>
    <t>大沙阀室</t>
  </si>
  <si>
    <t>大沙阀室★</t>
  </si>
  <si>
    <t>永安阀室★</t>
  </si>
  <si>
    <t>金利分输站</t>
  </si>
  <si>
    <t>蚬岗阀室</t>
  </si>
  <si>
    <t>蚬岗阀室★</t>
  </si>
  <si>
    <t>肇庆站</t>
  </si>
  <si>
    <t>广东省肇庆市高要区金 渡镇腰岗村</t>
  </si>
  <si>
    <t>阳江作业区</t>
  </si>
  <si>
    <t>白土阀室</t>
  </si>
  <si>
    <t>白土阀室★</t>
  </si>
  <si>
    <t>广东省肇庆市高要区白 土镇茆山村</t>
  </si>
  <si>
    <t>南岸阀室</t>
  </si>
  <si>
    <t>南岸阀室★</t>
  </si>
  <si>
    <t>广东省肇庆市南岸街道 定江村</t>
  </si>
  <si>
    <t>白诸阀室</t>
  </si>
  <si>
    <t>白诸阀室★</t>
  </si>
  <si>
    <t>广东省肇庆市高要区那 龙镇珍竹围村</t>
  </si>
  <si>
    <t>广东省云浮市思劳镇鸡村</t>
  </si>
  <si>
    <t>云浮作业区</t>
  </si>
  <si>
    <t>安塘阀室</t>
  </si>
  <si>
    <t>安塘阀室★</t>
  </si>
  <si>
    <t>云浮市云城区安塘街道钱罗村</t>
  </si>
  <si>
    <t>云城分输站</t>
  </si>
  <si>
    <t>云浮市云城区河口街道八和村</t>
  </si>
  <si>
    <t>云浮市云安区六都镇林屋村云安分输站</t>
  </si>
  <si>
    <t>石角分输清管站</t>
  </si>
  <si>
    <t>中海油高栏港站</t>
  </si>
  <si>
    <t>平沙阀室</t>
  </si>
  <si>
    <t>平沙阀室★</t>
  </si>
  <si>
    <t>斗门分输站</t>
  </si>
  <si>
    <t>斗门分输站★</t>
  </si>
  <si>
    <t>崖门分输站</t>
  </si>
  <si>
    <t>双水分输站</t>
  </si>
  <si>
    <t>潭江阀室</t>
  </si>
  <si>
    <t>潭江阀室★</t>
  </si>
  <si>
    <t>蓬江分输站</t>
  </si>
  <si>
    <t>龙口阀室★</t>
  </si>
  <si>
    <t>杨和阀室</t>
  </si>
  <si>
    <t>杨和阀室★</t>
  </si>
  <si>
    <t>苏村阀室</t>
  </si>
  <si>
    <t>苏村阀室★</t>
  </si>
  <si>
    <t>广东省韶关市曲江区大塘镇苏村</t>
  </si>
  <si>
    <t>曲江分输站</t>
  </si>
  <si>
    <t>广东省韶关市曲江区马坝镇老曹屋村</t>
  </si>
  <si>
    <t>广东省韶关市翁源县铁龙林场龙集村</t>
  </si>
  <si>
    <t>翁源分输站</t>
  </si>
  <si>
    <t>广东省韶关市翁源县瓮城镇大吴屋</t>
  </si>
  <si>
    <t>广东省清远市英德市大镇镇坑尾村</t>
  </si>
  <si>
    <t>东华阀室</t>
  </si>
  <si>
    <t>东华阀室★</t>
  </si>
  <si>
    <t>广东省清远市英德市东华镇汶潭村</t>
  </si>
  <si>
    <t>高岗阀室</t>
  </si>
  <si>
    <t>高岗阀室★</t>
  </si>
  <si>
    <t>广东省清远市佛冈县高岗镇新村</t>
  </si>
  <si>
    <t>佛冈分输站</t>
  </si>
  <si>
    <t>广东省清远市佛冈县石角镇雷公尾村</t>
  </si>
  <si>
    <t>汤塘阀室</t>
  </si>
  <si>
    <t>汤塘阀室★</t>
  </si>
  <si>
    <t>广东省清远市佛冈县汤塘镇新村</t>
  </si>
  <si>
    <t>石坑阀室</t>
  </si>
  <si>
    <t>石坑阀室★</t>
  </si>
  <si>
    <t>广东省韶关市英德市沙口镇石坑村</t>
  </si>
  <si>
    <t>平峰阀室</t>
  </si>
  <si>
    <t>平峰阀室★</t>
  </si>
  <si>
    <t>广东省韶关市英德市沙口镇平峰村</t>
  </si>
  <si>
    <t>广东省韶关市英德市英红镇星光村梁屋组</t>
  </si>
  <si>
    <t>沈所阀室</t>
  </si>
  <si>
    <t>沈所阀室★</t>
  </si>
  <si>
    <t>大桥阀室★</t>
  </si>
  <si>
    <t>西二线156#阀室</t>
  </si>
  <si>
    <t>西二线156#阀室★</t>
  </si>
  <si>
    <t>官渡首站</t>
  </si>
  <si>
    <t xml:space="preserve">广东省韶关市乐昌市长来镇安口村 </t>
  </si>
  <si>
    <t>乐昌门站</t>
  </si>
  <si>
    <t>广东省韶关市乐昌市廊田镇西瓜地新村</t>
  </si>
  <si>
    <t>广东省韶关市乐昌市长来镇安口村</t>
  </si>
  <si>
    <t>桂头阀室</t>
  </si>
  <si>
    <t>桂头阀室★</t>
  </si>
  <si>
    <t>广东省韶关市乳源瑶族自治县桂头镇</t>
  </si>
  <si>
    <t>游溪阀室</t>
  </si>
  <si>
    <t>游溪阀室★</t>
  </si>
  <si>
    <t>广东省韶关市乳源瑶族自治县游溪镇</t>
  </si>
  <si>
    <t>广东省韶关市乳源瑶族自治县一六镇</t>
  </si>
  <si>
    <t>镇盛阀室</t>
  </si>
  <si>
    <t>镇盛阀室★</t>
  </si>
  <si>
    <t>坡心阀室</t>
  </si>
  <si>
    <t>坡心阀室★</t>
  </si>
  <si>
    <t>林头阀室</t>
  </si>
  <si>
    <t>林头阀室★</t>
  </si>
  <si>
    <t>观珠阀室</t>
  </si>
  <si>
    <t>观珠阀室★</t>
  </si>
  <si>
    <t>马踏清管站</t>
  </si>
  <si>
    <t>新墟阀室</t>
  </si>
  <si>
    <t>新墟阀室★</t>
  </si>
  <si>
    <t>织篢阀室</t>
  </si>
  <si>
    <t>织篢阀室★</t>
  </si>
  <si>
    <t>织篢分输站</t>
  </si>
  <si>
    <t>河口阀室</t>
  </si>
  <si>
    <t>河口阀室★</t>
  </si>
  <si>
    <t>阳江市阳东区红丰镇红五月农场</t>
  </si>
  <si>
    <t>阳江市江城区双捷镇林公村</t>
  </si>
  <si>
    <t>塘坪阀室</t>
  </si>
  <si>
    <t>塘坪阀室★</t>
  </si>
  <si>
    <t>大八阀室</t>
  </si>
  <si>
    <t>大八阀室★</t>
  </si>
  <si>
    <t>阳江市阳东区大八镇周亨村</t>
  </si>
  <si>
    <t>那龙阀室</t>
  </si>
  <si>
    <t>那龙阀室★</t>
  </si>
  <si>
    <t>大槐阀室</t>
  </si>
  <si>
    <t>大槐阀室★</t>
  </si>
  <si>
    <t>恩平分输站</t>
  </si>
  <si>
    <t>东成阀室</t>
  </si>
  <si>
    <t>东成阀室★</t>
  </si>
  <si>
    <t>风洞阀室</t>
  </si>
  <si>
    <t>风洞阀室★</t>
  </si>
  <si>
    <t>赤坎阀室★</t>
  </si>
  <si>
    <t>台城阀室</t>
  </si>
  <si>
    <t>台城阀室★</t>
  </si>
  <si>
    <t>台山分输站</t>
  </si>
  <si>
    <t>罗坑阀室</t>
  </si>
  <si>
    <t>罗坑阀室★</t>
  </si>
  <si>
    <t>广东省茂名市茂南区公馆镇</t>
  </si>
  <si>
    <t>金塘阀室</t>
  </si>
  <si>
    <t>金塘阀室★</t>
  </si>
  <si>
    <t>广东省茂名市茂南区金塘镇邓屋村</t>
  </si>
  <si>
    <t>高州分输站</t>
  </si>
  <si>
    <t>广东省茂名市高州市金山街道合山村</t>
  </si>
  <si>
    <t>谢鸡阀室</t>
  </si>
  <si>
    <t>谢鸡阀室★</t>
  </si>
  <si>
    <t>广东省茂名市高州市谢鸡镇义山村</t>
  </si>
  <si>
    <t>曹江阀室</t>
  </si>
  <si>
    <t>曹江阀室★</t>
  </si>
  <si>
    <t>广东省茂名市高州市曹江镇上南山村</t>
  </si>
  <si>
    <t>广东省茂名市高州市东岸镇山鸡坑村</t>
  </si>
  <si>
    <t>信宜末站</t>
  </si>
  <si>
    <t>广东省茂名市信宜市水口镇木梗村</t>
  </si>
  <si>
    <t>惠州市惠南高新科技产业园</t>
  </si>
  <si>
    <t>惠州市惠阳区良井镇</t>
  </si>
  <si>
    <t>白花分输站</t>
  </si>
  <si>
    <t>惠州市惠东县白花镇</t>
  </si>
  <si>
    <t>平山阀室</t>
  </si>
  <si>
    <t>平山阀室★</t>
  </si>
  <si>
    <t>惠州市惠东县平山街道</t>
  </si>
  <si>
    <t>增光阀室</t>
  </si>
  <si>
    <t>增光阀室★</t>
  </si>
  <si>
    <t>惠州市惠东县九龙峰管委会</t>
  </si>
  <si>
    <t>多祝阀室</t>
  </si>
  <si>
    <t>多祝阀室★</t>
  </si>
  <si>
    <t>惠州市惠东县多祝镇</t>
  </si>
  <si>
    <t>莲花山分输站</t>
  </si>
  <si>
    <t>深汕特别合作区赤石镇</t>
  </si>
  <si>
    <t>梅陇阀室</t>
  </si>
  <si>
    <t>梅陇阀室★</t>
  </si>
  <si>
    <t>汕尾市海丰县梅陇镇</t>
  </si>
  <si>
    <t>汕尾市海丰县陶河镇</t>
  </si>
  <si>
    <t>广东省汕尾市海丰县</t>
  </si>
  <si>
    <t>平东阀室</t>
  </si>
  <si>
    <t>平东阀室★</t>
  </si>
  <si>
    <t>广东省汕尾市陆丰市平东镇</t>
  </si>
  <si>
    <t>大安阀室</t>
  </si>
  <si>
    <t>大安阀室★</t>
  </si>
  <si>
    <t>广东省汕尾市陆丰市大安镇</t>
  </si>
  <si>
    <t>河东阀室</t>
  </si>
  <si>
    <t>河东阀室★</t>
  </si>
  <si>
    <t>广东省汕尾市陆丰市河东镇</t>
  </si>
  <si>
    <t>内湖阀室</t>
  </si>
  <si>
    <t>内湖阀室★</t>
  </si>
  <si>
    <t>广东省汕尾市陆丰市内湖镇</t>
  </si>
  <si>
    <t>鳌江阀室</t>
  </si>
  <si>
    <t>鳌江阀室★</t>
  </si>
  <si>
    <t>广东省揭阳市惠来县鳌江镇</t>
  </si>
  <si>
    <t>隆江阀室</t>
  </si>
  <si>
    <t>隆江阀室★</t>
  </si>
  <si>
    <t>广东省揭阳市惠来县隆江镇</t>
  </si>
  <si>
    <t>惠来首站</t>
  </si>
  <si>
    <t>云路阀室</t>
  </si>
  <si>
    <t>广东省揭阳市揭东区云路镇永和村</t>
  </si>
  <si>
    <t>埔田阀室</t>
  </si>
  <si>
    <t>埔田阀室★</t>
  </si>
  <si>
    <t>广东省揭阳市揭东区埔田镇金东岭村</t>
  </si>
  <si>
    <t>揭阳站</t>
  </si>
  <si>
    <t>广东省揭阳市揭东区玉湖镇洋边村</t>
  </si>
  <si>
    <t>汤西阀室</t>
  </si>
  <si>
    <t>汤西阀室★</t>
  </si>
  <si>
    <t>广东省梅州市丰顺县汤南镇长坑村</t>
  </si>
  <si>
    <t>北斗阀室</t>
  </si>
  <si>
    <t>北斗阀室★</t>
  </si>
  <si>
    <t>广东省梅州市丰顺县北斗镇茜坑村</t>
  </si>
  <si>
    <t>畲江阀室</t>
  </si>
  <si>
    <t>畲江阀室★</t>
  </si>
  <si>
    <t>广东省梅州市梅县区畲江镇连江村</t>
  </si>
  <si>
    <t>梅南阀室</t>
  </si>
  <si>
    <t>梅南阀室★</t>
  </si>
  <si>
    <t>广东省梅州市梅县区梅南镇龙岗村</t>
  </si>
  <si>
    <t>广东省梅州市梅县区程江镇横岗村</t>
  </si>
  <si>
    <t>北联阀室</t>
  </si>
  <si>
    <t>北联阀室★</t>
  </si>
  <si>
    <t>惠州市惠城区水口街道</t>
  </si>
  <si>
    <t>潮州市饶平县所城镇下湾村</t>
  </si>
  <si>
    <t>所城阀室</t>
  </si>
  <si>
    <t>所城阀室★</t>
  </si>
  <si>
    <t>潮州市饶平县黄冈镇仙春村</t>
  </si>
  <si>
    <t>饶平分输站</t>
  </si>
  <si>
    <t>潮州市饶平县联饶镇葛藤村</t>
  </si>
  <si>
    <t>钱东阀室</t>
  </si>
  <si>
    <t>钱东阀室★</t>
  </si>
  <si>
    <t>潮州市饶平县钱东镇多年楼村</t>
  </si>
  <si>
    <t>铁铺分输站</t>
  </si>
  <si>
    <t>潮州市湘桥区铁铺镇洪厝埔村</t>
  </si>
  <si>
    <t>汕头市澄海区莲华镇白沙寨</t>
  </si>
  <si>
    <t>浙江省网长兴站</t>
  </si>
  <si>
    <t>浙北作业区</t>
  </si>
  <si>
    <t>湖州站</t>
  </si>
  <si>
    <t>浙江省管网公司</t>
  </si>
  <si>
    <t>青山阀室</t>
  </si>
  <si>
    <t>青山阀室★</t>
  </si>
  <si>
    <t>塍头阀室★</t>
  </si>
  <si>
    <t>渔公桥阀室</t>
  </si>
  <si>
    <t>渔公桥阀室★</t>
  </si>
  <si>
    <t>浙中作业区</t>
  </si>
  <si>
    <t>半山电厂末站</t>
  </si>
  <si>
    <t>德清站</t>
  </si>
  <si>
    <t>妙西阀室</t>
  </si>
  <si>
    <t>妙西阀室★</t>
  </si>
  <si>
    <t>回车岭阀室★</t>
  </si>
  <si>
    <t>徐村湾站</t>
  </si>
  <si>
    <t>群益阀室</t>
  </si>
  <si>
    <t>群益阀室★</t>
  </si>
  <si>
    <t>双林1#阀室</t>
  </si>
  <si>
    <t>双林1#阀室★</t>
  </si>
  <si>
    <t>双林2#阀室</t>
  </si>
  <si>
    <t>双林2#阀室★</t>
  </si>
  <si>
    <t>徐家洋阀室</t>
  </si>
  <si>
    <t>徐家洋阀室★</t>
  </si>
  <si>
    <t>浙江省网嘉兴站</t>
  </si>
  <si>
    <t>王店阀室</t>
  </si>
  <si>
    <t>王店阀室★</t>
  </si>
  <si>
    <t>南沈门阀室</t>
  </si>
  <si>
    <t>南沈门阀室★</t>
  </si>
  <si>
    <t>章家塔阀室</t>
  </si>
  <si>
    <t>章家塔阀室★</t>
  </si>
  <si>
    <t>天明阀室</t>
  </si>
  <si>
    <t>天明阀室★</t>
  </si>
  <si>
    <t>天明站</t>
  </si>
  <si>
    <t>新玄阀室</t>
  </si>
  <si>
    <t>新玄阀室★</t>
  </si>
  <si>
    <t>长新阀室</t>
  </si>
  <si>
    <t>长新阀室★</t>
  </si>
  <si>
    <t>联庄阀室</t>
  </si>
  <si>
    <t>联庄阀室★</t>
  </si>
  <si>
    <t>联丰阀室</t>
  </si>
  <si>
    <t>联丰阀室★</t>
  </si>
  <si>
    <t>桐乡热电站</t>
  </si>
  <si>
    <t>殳山阀室</t>
  </si>
  <si>
    <t>殳山阀室★</t>
  </si>
  <si>
    <t>百步站</t>
  </si>
  <si>
    <t>于城阀室</t>
  </si>
  <si>
    <t>于城阀室★</t>
  </si>
  <si>
    <t>海盐站</t>
  </si>
  <si>
    <t>望海阀室</t>
  </si>
  <si>
    <t>望海阀室★</t>
  </si>
  <si>
    <t>平湖分输站</t>
  </si>
  <si>
    <t>当湖阀室</t>
  </si>
  <si>
    <t>当湖阀室★</t>
  </si>
  <si>
    <t>独山港阀室</t>
  </si>
  <si>
    <t>独山港阀室★</t>
  </si>
  <si>
    <t>新仓阀室</t>
  </si>
  <si>
    <t>新仓阀室★</t>
  </si>
  <si>
    <t>沿山港阀室</t>
  </si>
  <si>
    <t>沿山港阀室★</t>
  </si>
  <si>
    <t>紫云站</t>
  </si>
  <si>
    <t>沿山港阀室接出</t>
  </si>
  <si>
    <t>丁桥阀室</t>
  </si>
  <si>
    <t>丁桥阀室★</t>
  </si>
  <si>
    <t>下沙阀室</t>
  </si>
  <si>
    <t>下沙阀室★</t>
  </si>
  <si>
    <t>萧山联络站</t>
  </si>
  <si>
    <t>红垦阀室★</t>
  </si>
  <si>
    <t>萧山站</t>
  </si>
  <si>
    <t>壶瓶山阀室</t>
  </si>
  <si>
    <t>壶瓶山阀室★</t>
  </si>
  <si>
    <t>绍兴站</t>
  </si>
  <si>
    <t>大吉庵阀室★</t>
  </si>
  <si>
    <t>西直河阀室</t>
  </si>
  <si>
    <t>西直河阀室★</t>
  </si>
  <si>
    <t>百官阀室</t>
  </si>
  <si>
    <t>百官阀室★</t>
  </si>
  <si>
    <t>金盾站</t>
  </si>
  <si>
    <t>百官阀室接出</t>
  </si>
  <si>
    <t>牛头山阀室★</t>
  </si>
  <si>
    <t>浙东作业区</t>
  </si>
  <si>
    <t>毛竹山阀室</t>
  </si>
  <si>
    <t>毛竹山阀室★</t>
  </si>
  <si>
    <t>官路沿阀室</t>
  </si>
  <si>
    <t>官路沿阀室★</t>
  </si>
  <si>
    <t>江北1#阀室</t>
  </si>
  <si>
    <t>江北1#阀室★</t>
  </si>
  <si>
    <t>江北2#阀室</t>
  </si>
  <si>
    <t>江北2#阀室★</t>
  </si>
  <si>
    <t>半江王阀室</t>
  </si>
  <si>
    <t>半江王阀室★</t>
  </si>
  <si>
    <t>龙山阀室</t>
  </si>
  <si>
    <t>龙山阀室★</t>
  </si>
  <si>
    <t>钟家沙阀室</t>
  </si>
  <si>
    <t>钟家沙阀室★</t>
  </si>
  <si>
    <t>北仑阀室★</t>
  </si>
  <si>
    <t>镇海电厂站</t>
  </si>
  <si>
    <t>镇海炼化站</t>
  </si>
  <si>
    <t>国华电厂</t>
  </si>
  <si>
    <t>国华电厂站</t>
  </si>
  <si>
    <t>城郊阀室</t>
  </si>
  <si>
    <t>城郊阀室★</t>
  </si>
  <si>
    <t>杨汛桥阀室</t>
  </si>
  <si>
    <t>杨汛桥阀室★</t>
  </si>
  <si>
    <t>中宅站</t>
  </si>
  <si>
    <t>郑家堂阀室</t>
  </si>
  <si>
    <t>郑家堂阀室★</t>
  </si>
  <si>
    <t>下庙阀室</t>
  </si>
  <si>
    <t>下庙阀室★</t>
  </si>
  <si>
    <t>澥浦阀室★</t>
  </si>
  <si>
    <t>镇海动力中心</t>
  </si>
  <si>
    <t>大唐江滨站</t>
  </si>
  <si>
    <t>曹娥阀室</t>
  </si>
  <si>
    <t>曹娥阀室★</t>
  </si>
  <si>
    <t>东关阀室</t>
  </si>
  <si>
    <t>东关阀室★</t>
  </si>
  <si>
    <t>汤浦阀室</t>
  </si>
  <si>
    <t>汤浦阀室★</t>
  </si>
  <si>
    <t>上虞南站</t>
  </si>
  <si>
    <t>浦口阀室</t>
  </si>
  <si>
    <t>浦口阀室★</t>
  </si>
  <si>
    <t>嵊州站</t>
  </si>
  <si>
    <t>羽林阀室</t>
  </si>
  <si>
    <t>羽林阀室★</t>
  </si>
  <si>
    <t>儒岙阀室</t>
  </si>
  <si>
    <t>儒岙阀室★</t>
  </si>
  <si>
    <t>白鹤阀室</t>
  </si>
  <si>
    <t>白鹤阀室★</t>
  </si>
  <si>
    <t>天台分输站</t>
  </si>
  <si>
    <t>始丰阀室</t>
  </si>
  <si>
    <t>始丰阀室★</t>
  </si>
  <si>
    <t>三合阀室</t>
  </si>
  <si>
    <t>三合阀室★</t>
  </si>
  <si>
    <t>洪畴阀室</t>
  </si>
  <si>
    <t>洪畴阀室★</t>
  </si>
  <si>
    <t>临浦清管站</t>
  </si>
  <si>
    <t>进化阀室</t>
  </si>
  <si>
    <t>进化阀室★</t>
  </si>
  <si>
    <t>次坞阀室</t>
  </si>
  <si>
    <t>次坞阀室★</t>
  </si>
  <si>
    <t>店口阀室</t>
  </si>
  <si>
    <t>店口阀室★</t>
  </si>
  <si>
    <t>陶朱阀室</t>
  </si>
  <si>
    <t>陶朱阀室★</t>
  </si>
  <si>
    <t>诸暨站</t>
  </si>
  <si>
    <t>同山阀室</t>
  </si>
  <si>
    <t>同山阀室★</t>
  </si>
  <si>
    <t>白马阀室</t>
  </si>
  <si>
    <t>白马阀室★</t>
  </si>
  <si>
    <t>浙西作业区</t>
  </si>
  <si>
    <t>后宅阀室</t>
  </si>
  <si>
    <t>后宅阀室★</t>
  </si>
  <si>
    <t>咸祥阀室</t>
  </si>
  <si>
    <t>咸祥阀室★</t>
  </si>
  <si>
    <t>松岙阀室</t>
  </si>
  <si>
    <t>松岙阀室★</t>
  </si>
  <si>
    <t>奉化站</t>
  </si>
  <si>
    <t>莼湖阀室</t>
  </si>
  <si>
    <t>莼湖阀室★</t>
  </si>
  <si>
    <t>江瑶阀室★</t>
  </si>
  <si>
    <t>宁海站</t>
  </si>
  <si>
    <t>岭南阀室</t>
  </si>
  <si>
    <t>岭南阀室★</t>
  </si>
  <si>
    <t>桑洲阀室</t>
  </si>
  <si>
    <t>桑洲阀室★</t>
  </si>
  <si>
    <t>汇溪阀室★</t>
  </si>
  <si>
    <t>临海站</t>
  </si>
  <si>
    <t>长甸阀室</t>
  </si>
  <si>
    <t>长甸阀室★</t>
  </si>
  <si>
    <t>台州清管站</t>
  </si>
  <si>
    <t>澄江阀室</t>
  </si>
  <si>
    <t>澄江阀室★</t>
  </si>
  <si>
    <t>院桥阀室</t>
  </si>
  <si>
    <t>院桥阀室★</t>
  </si>
  <si>
    <t>院桥站</t>
  </si>
  <si>
    <t>院桥阀室接出</t>
  </si>
  <si>
    <t>温岭站</t>
  </si>
  <si>
    <t>湖雾阀室</t>
  </si>
  <si>
    <t>湖雾阀室★</t>
  </si>
  <si>
    <t>清江阀室</t>
  </si>
  <si>
    <t>清江阀室★</t>
  </si>
  <si>
    <t>南岳阀室</t>
  </si>
  <si>
    <t>南岳阀室★</t>
  </si>
  <si>
    <t>乐成阀室</t>
  </si>
  <si>
    <t>乐成阀室★</t>
  </si>
  <si>
    <t>乐清清管站</t>
  </si>
  <si>
    <t>象阳阀室</t>
  </si>
  <si>
    <t>象阳阀室★</t>
  </si>
  <si>
    <t>浙南作业区</t>
  </si>
  <si>
    <t>北白象站</t>
  </si>
  <si>
    <t>乌牛阀室</t>
  </si>
  <si>
    <t>乌牛阀室★</t>
  </si>
  <si>
    <t>永嘉站</t>
  </si>
  <si>
    <t>桥下阀室</t>
  </si>
  <si>
    <t>桥下阀室★</t>
  </si>
  <si>
    <t>温州末站</t>
  </si>
  <si>
    <t>黄华阀室</t>
  </si>
  <si>
    <t>黄华阀室★</t>
  </si>
  <si>
    <t>灵昆阀室</t>
  </si>
  <si>
    <t>灵昆阀室★</t>
  </si>
  <si>
    <t>永兴阀室</t>
  </si>
  <si>
    <t>永兴阀室★</t>
  </si>
  <si>
    <t>瑞安站</t>
  </si>
  <si>
    <t>飞云阀室</t>
  </si>
  <si>
    <t>飞云阀室★</t>
  </si>
  <si>
    <t>平阳站</t>
  </si>
  <si>
    <t>鳌江分输站</t>
  </si>
  <si>
    <t>河头阀室</t>
  </si>
  <si>
    <t>河头阀室★</t>
  </si>
  <si>
    <t>永丰阀室</t>
  </si>
  <si>
    <t>永丰阀室★</t>
  </si>
  <si>
    <t>白水洋阀室</t>
  </si>
  <si>
    <t>白水洋阀室★</t>
  </si>
  <si>
    <t>桥头胡阀室</t>
  </si>
  <si>
    <t>桥头胡阀室★</t>
  </si>
  <si>
    <t>宁海县桥头胡街道</t>
  </si>
  <si>
    <t>大佳何阀室</t>
  </si>
  <si>
    <t>大佳何阀室★</t>
  </si>
  <si>
    <t>宁海县大佳何镇</t>
  </si>
  <si>
    <t>象山县西周镇</t>
  </si>
  <si>
    <t>东孝阀室</t>
  </si>
  <si>
    <t>东孝阀室★</t>
  </si>
  <si>
    <t>澧浦阀室</t>
  </si>
  <si>
    <t>澧浦阀室★</t>
  </si>
  <si>
    <t>履坦阀室</t>
  </si>
  <si>
    <t>履坦阀室★</t>
  </si>
  <si>
    <t>履坦站</t>
  </si>
  <si>
    <t>履坦阀室外接200m管道所连</t>
  </si>
  <si>
    <t>武义站</t>
  </si>
  <si>
    <t>永康站</t>
  </si>
  <si>
    <t>缙云站</t>
  </si>
  <si>
    <t>七里阀室</t>
  </si>
  <si>
    <t>七里阀室★</t>
  </si>
  <si>
    <t>双黄阀室</t>
  </si>
  <si>
    <t>双黄阀室★</t>
  </si>
  <si>
    <t>紫金阀室</t>
  </si>
  <si>
    <t>紫金阀室★</t>
  </si>
  <si>
    <t>海口阀室</t>
  </si>
  <si>
    <t>海口阀室★</t>
  </si>
  <si>
    <t>船寮阀室</t>
  </si>
  <si>
    <t>船寮阀室★</t>
  </si>
  <si>
    <t>青田站</t>
  </si>
  <si>
    <t>油竹阀室★</t>
  </si>
  <si>
    <t>浙江省网金华分输站</t>
  </si>
  <si>
    <t>南明山阀室</t>
  </si>
  <si>
    <t>南明山阀室★</t>
  </si>
  <si>
    <t>大港头阀室</t>
  </si>
  <si>
    <t>大港头阀室★</t>
  </si>
  <si>
    <t>石塘清管站</t>
  </si>
  <si>
    <t>象溪阀室</t>
  </si>
  <si>
    <t>象溪阀室★</t>
  </si>
  <si>
    <t>松阳站</t>
  </si>
  <si>
    <t>赤寿阀室</t>
  </si>
  <si>
    <t>赤寿阀室★</t>
  </si>
  <si>
    <t>紧水滩阀室</t>
  </si>
  <si>
    <t>紧水滩阀室★</t>
  </si>
  <si>
    <t>崇头清管站</t>
  </si>
  <si>
    <t>安仁阀室</t>
  </si>
  <si>
    <t>安仁阀室★</t>
  </si>
  <si>
    <t>鞋塘阀室★</t>
  </si>
  <si>
    <t>下金阀室</t>
  </si>
  <si>
    <t>下金阀室★</t>
  </si>
  <si>
    <t>南王店阀室</t>
  </si>
  <si>
    <t>南王店阀室★</t>
  </si>
  <si>
    <t>西坞阀室</t>
  </si>
  <si>
    <t>西坞阀室★</t>
  </si>
  <si>
    <t>东阳站</t>
  </si>
  <si>
    <t>横店无人站</t>
  </si>
  <si>
    <t>屠梁阀室</t>
  </si>
  <si>
    <t>屠梁阀室★</t>
  </si>
  <si>
    <t>祥旺阀室</t>
  </si>
  <si>
    <t>祥旺阀室★</t>
  </si>
  <si>
    <t>塘岭阀室</t>
  </si>
  <si>
    <t>塘岭阀室★</t>
  </si>
  <si>
    <t>罗埠阀室</t>
  </si>
  <si>
    <t>罗埠阀室★</t>
  </si>
  <si>
    <t>蒲塘阀室</t>
  </si>
  <si>
    <t>蒲塘阀室★</t>
  </si>
  <si>
    <t>古方阀室</t>
  </si>
  <si>
    <t>古方阀室★</t>
  </si>
  <si>
    <t>金华燃机</t>
  </si>
  <si>
    <t>衢州站</t>
  </si>
  <si>
    <t>欧塘阀室</t>
  </si>
  <si>
    <t>欧塘阀室★</t>
  </si>
  <si>
    <t>湖镇阀室</t>
  </si>
  <si>
    <t>湖镇阀室★</t>
  </si>
  <si>
    <t>四都阀室</t>
  </si>
  <si>
    <t>四都阀室★</t>
  </si>
  <si>
    <t>坛石阀室</t>
  </si>
  <si>
    <t>坛石阀室★</t>
  </si>
  <si>
    <t>江山热电站</t>
  </si>
  <si>
    <t>塘下阀室★</t>
  </si>
  <si>
    <t>五里阀室</t>
  </si>
  <si>
    <t>五里阀室★</t>
  </si>
  <si>
    <t>高峰阀室</t>
  </si>
  <si>
    <t>高峰阀室★</t>
  </si>
  <si>
    <t>湖北荆石线石首分输站</t>
  </si>
  <si>
    <t>1#桩（湖北、湖南省界）</t>
  </si>
  <si>
    <t>1#桩距离石首16.77km</t>
  </si>
  <si>
    <t>湖南省岳阳市华容县鲇鱼须镇时兴村</t>
  </si>
  <si>
    <t>华容分输站</t>
  </si>
  <si>
    <t>南县分输站</t>
  </si>
  <si>
    <t>湖南省岳阳市安乡县深柳镇新开口村</t>
  </si>
  <si>
    <t>湖南省邵阳市高崇山镇浏阳村</t>
  </si>
  <si>
    <t>邵阳东分输站</t>
  </si>
  <si>
    <t>湖南省邵阳市双清区渡头桥镇两塘村</t>
  </si>
  <si>
    <t>湖南省邵阳市邵阳县塘渡口镇黄塘乡牛牯坪村</t>
  </si>
  <si>
    <t>湖南省邵东市牛马司镇柳公桥村</t>
  </si>
  <si>
    <t>湖南省娄底市双峰县印塘乡金鸡坳村</t>
  </si>
  <si>
    <t>永州北分输站</t>
  </si>
  <si>
    <t>湖南省永州市零陵区邮亭玗镇杨家巷村</t>
  </si>
  <si>
    <t>湖南省邵阳市邵阳县塘渡口镇牛牯坪村</t>
  </si>
  <si>
    <t>邵阳市-邵阳县3#阀室</t>
  </si>
  <si>
    <t>湖南省邵阳市邵阳县塘渡口石虎村</t>
  </si>
  <si>
    <t>湖南省武冈市马坪乡满背村</t>
  </si>
  <si>
    <t>湖南省邵阳市隆回县七里村</t>
  </si>
  <si>
    <t>湖南省邵阳市洞口县花古街道园艺场</t>
  </si>
  <si>
    <t>国家管网郴州分输清管站</t>
  </si>
  <si>
    <t>郴州西分输站</t>
  </si>
  <si>
    <t>湖南省郴州市北湖区华塘镇吴山村</t>
  </si>
  <si>
    <t>湖南省郴州市桂阳县正和镇官溪村</t>
  </si>
  <si>
    <t>郴州东分输站</t>
  </si>
  <si>
    <t>湖南省资兴市唐洞街道汉宁路西端</t>
  </si>
  <si>
    <t>荷叶清管站</t>
  </si>
  <si>
    <t>湖南省郴州市临武县武水镇山青村</t>
  </si>
  <si>
    <t>重庆祥龙天然气公司酉阳分输站</t>
  </si>
  <si>
    <t>龙山首站</t>
  </si>
  <si>
    <t>酉阳分输站-龙山首站0.003km，龙山首站-ALS001桩1.07</t>
  </si>
  <si>
    <t>ALS001桩（重庆、湖南省界）</t>
  </si>
  <si>
    <t>湖南省湘西州龙山县咱果乡王家村</t>
  </si>
  <si>
    <t>白云山隧道</t>
  </si>
  <si>
    <t>湖南省湘西州花垣县长乐乡打落坪村</t>
  </si>
  <si>
    <t>保靖分输站</t>
  </si>
  <si>
    <t>永顺分输站</t>
  </si>
  <si>
    <t>湖南省张家界市永定区枫香岗街道龙盘岗村</t>
  </si>
  <si>
    <t>吉首分输站</t>
  </si>
  <si>
    <t>凤凰分输站</t>
  </si>
  <si>
    <t>麻阳分输站</t>
  </si>
  <si>
    <t>湖南省怀化市鹤城区黄楼上村</t>
  </si>
  <si>
    <t>湖南省怀化市鹤城区黄金坳镇败泥冲村</t>
  </si>
  <si>
    <t>湖南省怀化市怀化市辰溪县锦滨镇锦滨村</t>
  </si>
  <si>
    <t>贵州省贵阳市花溪区燕楼镇摆古村</t>
  </si>
  <si>
    <t>白蜡冲分输站</t>
  </si>
  <si>
    <t>孟关分输站</t>
  </si>
  <si>
    <t>贵州省贵阳市花溪区黔陶乡黔陶村</t>
  </si>
  <si>
    <t>贵州省贵阳市观山湖区金华镇蒿芝村</t>
  </si>
  <si>
    <t>贵州省清镇市百花社区石关村</t>
  </si>
  <si>
    <t>贵州省遵义市播州区三岔镇高山村</t>
  </si>
  <si>
    <t>遵义南分输站</t>
  </si>
  <si>
    <t>贵州省遵义市播州区宝峰社区五星村</t>
  </si>
  <si>
    <t>贵州省遵义市汇川区团泽镇凤山村</t>
  </si>
  <si>
    <t>遵义分输站</t>
  </si>
  <si>
    <t>贵州省遵义市汇川区高坪镇永胜村</t>
  </si>
  <si>
    <t>贵州省六盘水市盘州市两河街道吴官村</t>
  </si>
  <si>
    <t>贵州省贵阳市息烽县小寨坝新寨</t>
  </si>
  <si>
    <t>贵州省遵义市播州区三岔镇九岭岗</t>
  </si>
  <si>
    <t>龙坪分输站</t>
  </si>
  <si>
    <t>贵州省遵义市播州区龙坪镇代村</t>
  </si>
  <si>
    <t>贵州省遵义市播州区团溪镇青桠村</t>
  </si>
  <si>
    <t>贵州省遵义市桐梓县娄山关镇水井村</t>
  </si>
  <si>
    <t>贵州省贵阳市修文县龙场镇营关村</t>
  </si>
  <si>
    <t>贵州省黔西南州普安县江西坡镇高潮村</t>
  </si>
  <si>
    <t>贵州省六盘水市六枝特区落别乡落别村</t>
  </si>
  <si>
    <t>贵州省安顺市普定县白岩镇河西薛家坝村</t>
  </si>
  <si>
    <t>贵州省安顺市平坝区白云镇林下村</t>
  </si>
  <si>
    <t>贵州省黔南州都匀市小围寨坝干村</t>
  </si>
  <si>
    <t>[关联]
干线管道</t>
  </si>
  <si>
    <t>[原始]
分输口</t>
  </si>
  <si>
    <t xml:space="preserve">[原始]
自动分输
</t>
  </si>
  <si>
    <t>[原始]站场/阀室/干线开口</t>
  </si>
  <si>
    <t>[关联]站场简称</t>
  </si>
  <si>
    <t>备注</t>
  </si>
  <si>
    <t>站场计量设备情况</t>
  </si>
  <si>
    <t>站场调压设备情况</t>
  </si>
  <si>
    <t>用户合同接气压力
MPa</t>
  </si>
  <si>
    <t>投产时间</t>
  </si>
  <si>
    <t>新捷伊犁&lt;伊宁&gt;</t>
  </si>
  <si>
    <t>五期</t>
  </si>
  <si>
    <t>伊宁首</t>
  </si>
  <si>
    <t>1用1备</t>
  </si>
  <si>
    <t>3.8-10</t>
  </si>
  <si>
    <t>新捷伊犁&lt;霍尔果斯&gt;</t>
  </si>
  <si>
    <t>二期</t>
  </si>
  <si>
    <t>霍尔果斯</t>
  </si>
  <si>
    <t>干线压力</t>
  </si>
  <si>
    <t>兵团燃气（喀什）&lt;霍尔果斯&gt;</t>
  </si>
  <si>
    <t>新捷博乐&lt;精河&gt;</t>
  </si>
  <si>
    <t>精河</t>
  </si>
  <si>
    <t>新捷博乐&lt;西二9#&gt;</t>
  </si>
  <si>
    <t>2024年已报</t>
  </si>
  <si>
    <t>西二9#</t>
  </si>
  <si>
    <t>5.5-11.0</t>
  </si>
  <si>
    <t>乌苏宏江&lt;乌苏&gt;</t>
  </si>
  <si>
    <t>三期</t>
  </si>
  <si>
    <t>乌苏</t>
  </si>
  <si>
    <t>玛纳斯新捷&lt;玛纳斯&gt;</t>
  </si>
  <si>
    <t>玛纳斯</t>
  </si>
  <si>
    <t>天富天源（西三线）&lt;石河子&gt;</t>
  </si>
  <si>
    <t>石河子</t>
  </si>
  <si>
    <t>独山子石化(西二线)&lt;奎屯&gt;</t>
  </si>
  <si>
    <t>奎屯</t>
  </si>
  <si>
    <t>奎屯德信&lt;奎屯&gt;</t>
  </si>
  <si>
    <t>奎屯非创&lt;奎屯&gt;</t>
  </si>
  <si>
    <t>奎屯新捷&lt;奎屯&gt;</t>
  </si>
  <si>
    <t>四期</t>
  </si>
  <si>
    <t>沙湾东升&lt;西二14#&gt;</t>
  </si>
  <si>
    <t>西二14#</t>
  </si>
  <si>
    <t>鑫泰燃气公司(米泉)&lt;乌石化&gt;</t>
  </si>
  <si>
    <t>一期</t>
  </si>
  <si>
    <t>乌石化</t>
  </si>
  <si>
    <t>新疆油田&lt;乌石化&gt;</t>
  </si>
  <si>
    <t>无</t>
  </si>
  <si>
    <t>4.5-9.0</t>
  </si>
  <si>
    <t>乌石化(西二线)&lt;乌石化&gt;</t>
  </si>
  <si>
    <t>新捷燃气&lt;西二19#&gt;</t>
  </si>
  <si>
    <t>西二19#</t>
  </si>
  <si>
    <t>2用1备</t>
  </si>
  <si>
    <t>7-11.6</t>
  </si>
  <si>
    <t>昊通百圣&lt;昌吉&gt;</t>
  </si>
  <si>
    <t>昌吉</t>
  </si>
  <si>
    <t>7.0-11.5</t>
  </si>
  <si>
    <t>东方环宇&lt;昌吉&gt;</t>
  </si>
  <si>
    <t>不改</t>
  </si>
  <si>
    <t>8.0-12.0</t>
  </si>
  <si>
    <t>新疆燃气(西二线)&lt;王家沟&gt;A</t>
  </si>
  <si>
    <t>王家沟</t>
  </si>
  <si>
    <t>新捷燃气&lt;王家沟&gt;</t>
  </si>
  <si>
    <t>新疆油田&lt;王家沟&gt;</t>
  </si>
  <si>
    <t>3.0-6.0</t>
  </si>
  <si>
    <t>新疆燃气(西二线)&lt;乌鲁木齐&gt;</t>
  </si>
  <si>
    <t>乌鲁木齐</t>
  </si>
  <si>
    <t>新捷燃气&lt;乌鲁木齐&gt;</t>
  </si>
  <si>
    <t>巴州洪通&lt;孔雀河&gt;</t>
  </si>
  <si>
    <t>孔雀河</t>
  </si>
  <si>
    <t>2.5-9.0</t>
  </si>
  <si>
    <t>昆仑燃气巴州分公司&lt;孔雀河&gt;</t>
  </si>
  <si>
    <t>2025已投</t>
  </si>
  <si>
    <t>2.5-9</t>
  </si>
  <si>
    <t>国泰鸿远&lt;轮吐6#&gt;</t>
  </si>
  <si>
    <t>轮吐6#</t>
  </si>
  <si>
    <t>吐鲁番新捷&lt;库米什&gt;</t>
  </si>
  <si>
    <t>库米什</t>
  </si>
  <si>
    <t>2.5-10.0</t>
  </si>
  <si>
    <t>托克逊新捷&lt;轮吐14#&gt;</t>
  </si>
  <si>
    <t>轮吐14#</t>
  </si>
  <si>
    <t>哈密新捷&lt;哈密&gt;A</t>
  </si>
  <si>
    <t>哈密</t>
  </si>
  <si>
    <t>哈密新捷&lt;哈密&gt;B</t>
  </si>
  <si>
    <t>5.0-12.0</t>
  </si>
  <si>
    <t>哈密洪通&lt;哈密&gt;</t>
  </si>
  <si>
    <t>5.0-10.0</t>
  </si>
  <si>
    <t>瓜州昆仑&lt;瓜州&gt;</t>
  </si>
  <si>
    <t>瓜州</t>
  </si>
  <si>
    <t>4-10</t>
  </si>
  <si>
    <t>嘉峪关昆仑&lt;嘉峪关&gt;</t>
  </si>
  <si>
    <t>酒泉昆仑&lt;嘉峪关&gt;</t>
  </si>
  <si>
    <t>嘉峪关昆仑(新)&lt;嘉峪关&gt;</t>
  </si>
  <si>
    <t>2024已投</t>
  </si>
  <si>
    <t>两用一备</t>
  </si>
  <si>
    <t>0.5-6.3</t>
  </si>
  <si>
    <t>张掖中油&lt;张掖&gt;</t>
  </si>
  <si>
    <t>张掖昆仑&lt;张掖&gt;</t>
  </si>
  <si>
    <t>丰聚能源&lt;西二57#&gt;</t>
  </si>
  <si>
    <t>西二57#</t>
  </si>
  <si>
    <t>2用2备</t>
  </si>
  <si>
    <t>甘肃浩源&lt;金昌&gt;</t>
  </si>
  <si>
    <t>金昌昆仑&lt;金昌&gt;</t>
  </si>
  <si>
    <t>武威昆仑&lt;武威&gt;</t>
  </si>
  <si>
    <t>时代燃气&lt;霍尔果斯&gt;</t>
  </si>
  <si>
    <t>2台流量计，FT112011、FT112021</t>
  </si>
  <si>
    <t>等压</t>
  </si>
  <si>
    <t>6-11.5</t>
  </si>
  <si>
    <t>2024.10</t>
  </si>
  <si>
    <t>华海电厂&lt;德庆&gt;</t>
  </si>
  <si>
    <t>德庆</t>
  </si>
  <si>
    <t>2024.12</t>
  </si>
  <si>
    <t>峡江新奥&lt;樟树&gt;</t>
  </si>
  <si>
    <t>樟树</t>
  </si>
  <si>
    <t>2.0-4.0</t>
  </si>
  <si>
    <t>富平通源&lt;富平&gt;</t>
  </si>
  <si>
    <t>3.8-4.0</t>
  </si>
  <si>
    <t>富平中民&lt;富平&gt;</t>
  </si>
  <si>
    <t>德令哈正和&lt;德令哈&gt;</t>
  </si>
  <si>
    <t>德令哈</t>
  </si>
  <si>
    <t>1用2备</t>
  </si>
  <si>
    <t>海西金地&lt;德令哈&gt;</t>
  </si>
  <si>
    <t>海西新源&lt;德令哈&gt;</t>
  </si>
  <si>
    <t xml:space="preserve"> </t>
  </si>
  <si>
    <t>大柴旦金地&lt;羊肠子沟&gt;</t>
  </si>
  <si>
    <t>羊肠子沟</t>
  </si>
  <si>
    <t>1用0备</t>
  </si>
  <si>
    <t>0用0备</t>
  </si>
  <si>
    <t>2.0-6.3</t>
  </si>
  <si>
    <t>海晏正和&lt;湖东&gt;</t>
  </si>
  <si>
    <t>湖东</t>
  </si>
  <si>
    <t>0.6-6.3</t>
  </si>
  <si>
    <t>桂鲁化工&lt;西宁&gt;</t>
  </si>
  <si>
    <t>西宁</t>
  </si>
  <si>
    <t>湟中华润&lt;西宁&gt;</t>
  </si>
  <si>
    <t>西宁中油&lt;西宁&gt;</t>
  </si>
  <si>
    <t>中复神鹰&lt;西宁&gt;</t>
  </si>
  <si>
    <t>西宁中油&lt;涩宁兰732km+300m&gt;</t>
  </si>
  <si>
    <t>甘河中油&lt;甘和门&gt;</t>
  </si>
  <si>
    <t>甘和门</t>
  </si>
  <si>
    <t>中油燃气投资&lt;涩复21#&gt;</t>
  </si>
  <si>
    <t>涩复21#</t>
  </si>
  <si>
    <t>贵德华天&lt;涩复22#&gt;</t>
  </si>
  <si>
    <t>涩复22#</t>
  </si>
  <si>
    <t>菏泽燃气&lt;拉脊山&gt;</t>
  </si>
  <si>
    <t>拉脊山</t>
  </si>
  <si>
    <t>2-6.3</t>
  </si>
  <si>
    <t>东部中油&lt;平安&gt;</t>
  </si>
  <si>
    <t>平安</t>
  </si>
  <si>
    <t>互助金地&lt;平安&gt;B</t>
  </si>
  <si>
    <t>平安森昌&lt;平安&gt;</t>
  </si>
  <si>
    <t>互助金地&lt;平安&gt;A</t>
  </si>
  <si>
    <t>化隆畅辉&lt;平安&gt;</t>
  </si>
  <si>
    <t>1.6-4.0</t>
  </si>
  <si>
    <t>东部中油&lt;涩宁兰26#&gt;</t>
  </si>
  <si>
    <t>涩宁兰26#</t>
  </si>
  <si>
    <t>乌兰新源&lt;乌兰&gt;</t>
  </si>
  <si>
    <t>乌兰</t>
  </si>
  <si>
    <t>乌兰金地&lt;乌兰&gt;</t>
  </si>
  <si>
    <t>3（干线压力）</t>
  </si>
  <si>
    <t>海东华润&lt;涩复27#&gt;</t>
  </si>
  <si>
    <t>涩复27#</t>
  </si>
  <si>
    <t>青海川垣&lt;涩复857km+800m&gt;</t>
  </si>
  <si>
    <t>民和川中&lt;涩复30#&gt;</t>
  </si>
  <si>
    <t>涩复30#</t>
  </si>
  <si>
    <t>甘南昆仑&lt;合作&gt;</t>
  </si>
  <si>
    <t>合作</t>
  </si>
  <si>
    <t>0.4-0.6</t>
  </si>
  <si>
    <t>甘南鑫源&lt;合作&gt;</t>
  </si>
  <si>
    <t>甘南昆仑&lt;夏河&gt;</t>
  </si>
  <si>
    <t>夏河</t>
  </si>
  <si>
    <t>红古鑫源&lt;涩宁兰30#&gt;</t>
  </si>
  <si>
    <t>涩宁兰30#</t>
  </si>
  <si>
    <t>中铝兰州&lt;兰铝&gt;</t>
  </si>
  <si>
    <t>兰铝</t>
  </si>
  <si>
    <t>永靖三峡&lt;甘西南1#&gt;</t>
  </si>
  <si>
    <t>甘西南1#</t>
  </si>
  <si>
    <t>一线1用1备/
二线1用1备/三线1用1备/盐锅峡1用1备</t>
  </si>
  <si>
    <t>一线1用1备
二线1用1备</t>
  </si>
  <si>
    <t>刘化集团&lt;刘化&gt;</t>
  </si>
  <si>
    <t>刘化</t>
  </si>
  <si>
    <t>涩宁兰老线</t>
  </si>
  <si>
    <t>永靖三峡（新）&lt;刘化&gt;</t>
  </si>
  <si>
    <t>0.4-2.4</t>
  </si>
  <si>
    <t>临夏昆仑&lt;临夏&gt;</t>
  </si>
  <si>
    <t>临夏</t>
  </si>
  <si>
    <t>1.2-5.67</t>
  </si>
  <si>
    <t>甘肃盛和&lt;临夏&gt;</t>
  </si>
  <si>
    <t>1.6-2.5</t>
  </si>
  <si>
    <t>昌宏商贸&lt;甘西南3#&gt;</t>
  </si>
  <si>
    <t>甘西南3#</t>
  </si>
  <si>
    <t>蓝星化工&lt;涩宁兰32#&gt;</t>
  </si>
  <si>
    <t>涩宁兰32#</t>
  </si>
  <si>
    <t>甘肃昆仑&lt;涩复35#&gt;</t>
  </si>
  <si>
    <t>涩复35#</t>
  </si>
  <si>
    <t>1用2备（夏季）2用1备（冬季）</t>
  </si>
  <si>
    <t>兰州石化&lt;兰州&gt;</t>
  </si>
  <si>
    <t>兰州</t>
  </si>
  <si>
    <t>二线1用1备</t>
  </si>
  <si>
    <t>甘肃昆仑&lt;兰州&gt;</t>
  </si>
  <si>
    <t xml:space="preserve">
二线1用2备（夏季
二线2用1备（冬季）</t>
  </si>
  <si>
    <t>一线1用3备
二线1用1备</t>
  </si>
  <si>
    <t>甘肃销售&lt;兰州&gt;</t>
  </si>
  <si>
    <t>榆中昆仑&lt;和平&gt;</t>
  </si>
  <si>
    <t>和平</t>
  </si>
  <si>
    <t>1.4-2.2</t>
  </si>
  <si>
    <t>榆中昆仑&lt;榆中&gt;</t>
  </si>
  <si>
    <t>榆中</t>
  </si>
  <si>
    <t>甘肃金地&lt;甘西南2#&gt;</t>
  </si>
  <si>
    <t>甘西南2#</t>
  </si>
  <si>
    <t>定西昆仑&lt;定西&gt;</t>
  </si>
  <si>
    <t>定西</t>
  </si>
  <si>
    <t>临夏昆仑&lt;1#阀室&gt;</t>
  </si>
  <si>
    <t>0.1-4.0</t>
  </si>
  <si>
    <t>哈纳斯&lt;银川&gt;</t>
  </si>
  <si>
    <t>银川</t>
  </si>
  <si>
    <t>2.6-6.2</t>
  </si>
  <si>
    <t>宁夏石化&lt;银川&gt;A</t>
  </si>
  <si>
    <t>宁夏石化&lt;银川&gt;B</t>
  </si>
  <si>
    <t>B分输口</t>
  </si>
  <si>
    <t>洁能科技&lt;银川&gt;</t>
  </si>
  <si>
    <t>宝塔实业&lt;银川&gt;</t>
  </si>
  <si>
    <t>银川昆仑&lt;银川&gt;</t>
  </si>
  <si>
    <t>石嘴山星泽&lt;银川&gt;</t>
  </si>
  <si>
    <t>清洁能源&lt;银川&gt;</t>
  </si>
  <si>
    <t>1用无备</t>
  </si>
  <si>
    <t>宝塔实业&lt;长宁6#-15.25km&gt;</t>
  </si>
  <si>
    <t>长宁6#-15.25km</t>
  </si>
  <si>
    <t>神华宁煤&lt;宁东&gt;</t>
  </si>
  <si>
    <t>宁东</t>
  </si>
  <si>
    <t>2-4</t>
  </si>
  <si>
    <t>新捷宁东&lt;宁东&gt;</t>
  </si>
  <si>
    <t>宁东恒瑞&lt;长宁7#&gt;</t>
  </si>
  <si>
    <t>长宁7#</t>
  </si>
  <si>
    <t>青铜峡铝业（7#阀室）&lt;长宁7#&gt;</t>
  </si>
  <si>
    <t>吴忠新南&lt;长宁7#-11km&gt;</t>
  </si>
  <si>
    <t>长宁7#-11km</t>
  </si>
  <si>
    <t>灵武万通&lt;长宁7#-11km&gt;</t>
  </si>
  <si>
    <t>金坤燃气&lt;长宁9#-10.38km&gt;</t>
  </si>
  <si>
    <t>长宁9#-10.38km</t>
  </si>
  <si>
    <t>贺兰凯添&lt;长宁10#&gt;</t>
  </si>
  <si>
    <t>长宁10#</t>
  </si>
  <si>
    <t>燕鸽湖配气站&lt;长宁10#-1.6km&gt;</t>
  </si>
  <si>
    <t>长宁10#-1.6km</t>
  </si>
  <si>
    <t>永宁昆仑&lt;长宁10#-1.6km&gt;</t>
  </si>
  <si>
    <t>宁夏兰星&lt;长宁10#+11km&gt;</t>
  </si>
  <si>
    <t>长宁10#+11km</t>
  </si>
  <si>
    <t>青铜峡铝业&lt;仁存&gt;</t>
  </si>
  <si>
    <t>仁存</t>
  </si>
  <si>
    <t>青铜峡博能&lt;仁存&gt;</t>
  </si>
  <si>
    <t>银川昆仑&lt;仁存&gt;</t>
  </si>
  <si>
    <t>2.9-3.6</t>
  </si>
  <si>
    <t>盐池荣丰&lt;长宁盐池&gt;</t>
  </si>
  <si>
    <t>长宁盐池</t>
  </si>
  <si>
    <t>深燃众源&lt;长宁盐池&gt;</t>
  </si>
  <si>
    <t>长期停用</t>
  </si>
  <si>
    <t>宁东昆仑&lt;长宁盐池&gt;</t>
  </si>
  <si>
    <t>时泰天然气&lt;城川&gt;</t>
  </si>
  <si>
    <t>城川</t>
  </si>
  <si>
    <t>2.5-4.0</t>
  </si>
  <si>
    <t>宁东燃气&lt;宁东&gt;</t>
  </si>
  <si>
    <t>2台流量计，1用1备</t>
  </si>
  <si>
    <t>2路调压，1用1备</t>
  </si>
  <si>
    <t>3.0-4.0</t>
  </si>
  <si>
    <t>兰州新区&lt;兰银3#&gt;</t>
  </si>
  <si>
    <t>兰银3#</t>
  </si>
  <si>
    <t>景泰昆仑&lt;4#阀室&gt;</t>
  </si>
  <si>
    <t>兰银线4#阀室</t>
  </si>
  <si>
    <t>代维，1用1备（调流 无调压），直供用户，计量是用户资产</t>
  </si>
  <si>
    <t>2025.6.27</t>
  </si>
  <si>
    <t>甘肃昆仑&lt;兰银9km&gt;</t>
  </si>
  <si>
    <t>靖远金地&lt;白银&gt;</t>
  </si>
  <si>
    <t>白银</t>
  </si>
  <si>
    <t>白银志丰&lt;白银&gt;</t>
  </si>
  <si>
    <t>白银昆仑&lt;白银&gt;</t>
  </si>
  <si>
    <t>吉林昆仑&lt;兰银131km+100m&gt;</t>
  </si>
  <si>
    <t>景泰昆仑&lt;景泰&gt;</t>
  </si>
  <si>
    <t>景泰</t>
  </si>
  <si>
    <t>1.4-2.0</t>
  </si>
  <si>
    <t>宁夏深中&lt;马莲湖&gt;</t>
  </si>
  <si>
    <t>马莲湖</t>
  </si>
  <si>
    <t>阿拉善盟新能&lt;马莲湖&gt;</t>
  </si>
  <si>
    <t>宁夏万盛和&lt;兰银14#&gt;</t>
  </si>
  <si>
    <t>兰银14#</t>
  </si>
  <si>
    <t>阿拉善盟城市燃气&lt;阿拉善左旗&gt;</t>
  </si>
  <si>
    <t>阿拉善左旗</t>
  </si>
  <si>
    <t>吉林昆仑&lt;131#阀井&gt;</t>
  </si>
  <si>
    <t>131#阀井</t>
  </si>
  <si>
    <t>红湾作业区景泰热泵站内设置计量撬，1用1备。流量计位号：FT102A、FT102B。</t>
  </si>
  <si>
    <t>2.0-10.0</t>
  </si>
  <si>
    <t>2024.11</t>
  </si>
  <si>
    <t>昆仑燃气巴州分公司&lt;四道班&gt;</t>
  </si>
  <si>
    <t>四道班</t>
  </si>
  <si>
    <t>吐鲁番新捷&lt;哈密&gt;</t>
  </si>
  <si>
    <t>6-9.6</t>
  </si>
  <si>
    <t>玉门绿欣&lt;西一35#&gt;</t>
  </si>
  <si>
    <t>西一35#</t>
  </si>
  <si>
    <t>甘肃鲁玉&lt;玉门&gt;</t>
  </si>
  <si>
    <t>玉门</t>
  </si>
  <si>
    <t>高台川高源&lt;酒泉&gt;</t>
  </si>
  <si>
    <t>西三线</t>
  </si>
  <si>
    <t>张掖交投&lt;山丹&gt;</t>
  </si>
  <si>
    <t>山丹</t>
  </si>
  <si>
    <t>永昌聚华&lt;金昌&gt;</t>
  </si>
  <si>
    <t>0.5-10</t>
  </si>
  <si>
    <t>古浪天伦&lt;古浪&gt;</t>
  </si>
  <si>
    <t>古浪</t>
  </si>
  <si>
    <t>DN50 质量流量计 2 路
DN80 超声流量计 1 路</t>
  </si>
  <si>
    <t>西一线</t>
  </si>
  <si>
    <t>甘肃巨融&lt;古浪&gt;</t>
  </si>
  <si>
    <t>古浪站内调流，巨融站内计量代管，直供用户</t>
  </si>
  <si>
    <t>1.7-7</t>
  </si>
  <si>
    <t>2025.5.28</t>
  </si>
  <si>
    <t>宁夏深中&lt;中卫&gt;</t>
  </si>
  <si>
    <t>六期</t>
  </si>
  <si>
    <t>中卫</t>
  </si>
  <si>
    <t>5.0-6.0</t>
  </si>
  <si>
    <t>子长天然气&lt;子长&gt;</t>
  </si>
  <si>
    <t>子长</t>
  </si>
  <si>
    <t>延川昆仑&lt;延川西&gt;</t>
  </si>
  <si>
    <t>延川西</t>
  </si>
  <si>
    <t>≤10</t>
  </si>
  <si>
    <t>临汾昆仑&lt;临汾&gt;</t>
  </si>
  <si>
    <t>临汾</t>
  </si>
  <si>
    <t>7.0-9.1</t>
  </si>
  <si>
    <t>山西燃气&lt;临汾&gt;</t>
  </si>
  <si>
    <t>山西燃气&lt;沁水&gt;</t>
  </si>
  <si>
    <t>沁水</t>
  </si>
  <si>
    <t>山西燃气&lt;蒲县&gt;</t>
  </si>
  <si>
    <t>蒲县</t>
  </si>
  <si>
    <t>6.4-8.1</t>
  </si>
  <si>
    <t>博爱昆仑&lt;博爱&gt;</t>
  </si>
  <si>
    <t>博爱</t>
  </si>
  <si>
    <t>济源中裕&lt;博爱&gt;</t>
  </si>
  <si>
    <t>安彩能源&lt;博爱&gt;</t>
  </si>
  <si>
    <t>1用3备</t>
  </si>
  <si>
    <t>郑州华润&lt;郑州&gt;</t>
  </si>
  <si>
    <t>郑州</t>
  </si>
  <si>
    <t>郑州电厂&lt;郑州&gt;</t>
  </si>
  <si>
    <t>河南天泰&lt;郑州&gt;</t>
  </si>
  <si>
    <t>河南中油压缩&lt;郑州&gt;</t>
  </si>
  <si>
    <t>河南利用&lt;郑州&gt;</t>
  </si>
  <si>
    <t>6.0-8.5</t>
  </si>
  <si>
    <t>河南中铝&lt;长铝&gt;</t>
  </si>
  <si>
    <t>郑州上街天伦&lt;长铝&gt;</t>
  </si>
  <si>
    <t>进站压力</t>
  </si>
  <si>
    <t>郑州恒燃&lt;薛店&gt;</t>
  </si>
  <si>
    <t>薛店</t>
  </si>
  <si>
    <t>河南利用&lt;薛店&gt;</t>
  </si>
  <si>
    <t>河南蓝天&lt;薛店&gt;</t>
  </si>
  <si>
    <t>3用1备</t>
  </si>
  <si>
    <t>中原管网&lt;薛店&gt;</t>
  </si>
  <si>
    <t>新郑昆仑&lt;薛店&gt;</t>
  </si>
  <si>
    <t>郑州华润&lt;薛店&gt;</t>
  </si>
  <si>
    <t>中油洁能&lt;薛店&gt;</t>
  </si>
  <si>
    <t>河南发展燃气&lt;薛店&gt;</t>
  </si>
  <si>
    <t>3.0-3.6</t>
  </si>
  <si>
    <t>周口燃气&lt;淮阳&gt;</t>
  </si>
  <si>
    <t>淮阳</t>
  </si>
  <si>
    <t>国电周口&lt;淮阳&gt;</t>
  </si>
  <si>
    <t>河南天润&lt;淮阳&gt;</t>
  </si>
  <si>
    <t>安徽万泰&lt;太和&gt;</t>
  </si>
  <si>
    <t>太和</t>
  </si>
  <si>
    <t>未投产，画面已有</t>
  </si>
  <si>
    <t>界首新奥&lt;太和&gt;</t>
  </si>
  <si>
    <t>昆仑徽商&lt;太和&gt;</t>
  </si>
  <si>
    <t>安徽燃气&lt;利辛&gt;</t>
  </si>
  <si>
    <t>利辛</t>
  </si>
  <si>
    <t>安徽博能&lt;利辛&gt;</t>
  </si>
  <si>
    <t>蚌埠新奥&lt;刘巷子&gt;</t>
  </si>
  <si>
    <t>刘巷子</t>
  </si>
  <si>
    <t>蚌埠皖北昆仑&lt;刘巷子&gt;</t>
  </si>
  <si>
    <t>淮南中燃&lt;刘巷子&gt;</t>
  </si>
  <si>
    <t>蚌埠新奥（直供）&lt;刘巷子&gt;</t>
  </si>
  <si>
    <t>&lt;4.0</t>
  </si>
  <si>
    <t>定远威东&lt;定远&gt;</t>
  </si>
  <si>
    <t>定远</t>
  </si>
  <si>
    <t>长丰深燃&lt;定远&gt;</t>
  </si>
  <si>
    <t>安徽安瑞升&lt;定远&gt;</t>
  </si>
  <si>
    <t>凤阳新奥&lt;定远&gt;</t>
  </si>
  <si>
    <t>合肥燃气&lt;合肥&gt;</t>
  </si>
  <si>
    <t>合肥</t>
  </si>
  <si>
    <t>安徽昆仑&lt;合肥&gt;</t>
  </si>
  <si>
    <t>合肥昆仑&lt;合肥&gt;</t>
  </si>
  <si>
    <t>安徽瑞冉&lt;合肥&gt;</t>
  </si>
  <si>
    <t>肥东深燃&lt;合肥&gt;</t>
  </si>
  <si>
    <t>安徽燃气&lt;合肥&gt;</t>
  </si>
  <si>
    <t>安徽安燃&lt;合肥&gt;</t>
  </si>
  <si>
    <t>合肥燃气&lt;罗集&gt;</t>
  </si>
  <si>
    <t>罗集</t>
  </si>
  <si>
    <t>安徽省公司&lt;罗集&gt;</t>
  </si>
  <si>
    <t>4.5-5.5</t>
  </si>
  <si>
    <t>滁州新奥&lt;滁州&gt;</t>
  </si>
  <si>
    <t>滁州</t>
  </si>
  <si>
    <t>滁州瑞兴化工&lt;滁州&gt;</t>
  </si>
  <si>
    <t>南京协鑫&lt;江宁&gt;</t>
  </si>
  <si>
    <t>江宁</t>
  </si>
  <si>
    <t>站内压力</t>
  </si>
  <si>
    <t>安徽中油&lt;马鞍山&gt;</t>
  </si>
  <si>
    <t>马鞍山</t>
  </si>
  <si>
    <t>马鞍山祥焱&lt;马鞍山&gt;</t>
  </si>
  <si>
    <t>马鞍山港华&lt;马鞍山&gt;A</t>
  </si>
  <si>
    <t>马鞍山港华&lt;马鞍山&gt;B</t>
  </si>
  <si>
    <t>安徽燃气&lt;芜湖&gt;</t>
  </si>
  <si>
    <t>芜湖</t>
  </si>
  <si>
    <t>芜湖中燃&lt;芜湖&gt;</t>
  </si>
  <si>
    <t>芜湖昆仑&lt;芜湖&gt;</t>
  </si>
  <si>
    <t>安徽恒燃&lt;芜湖&gt;</t>
  </si>
  <si>
    <t>芜湖石大&lt;芜湖&gt;</t>
  </si>
  <si>
    <t>&gt;1.5</t>
  </si>
  <si>
    <t>南京中燃&lt;龙池&gt;</t>
  </si>
  <si>
    <t>龙池</t>
  </si>
  <si>
    <t>南京利用&lt;龙池&gt;</t>
  </si>
  <si>
    <t>南京星桐昆仑&lt;龙池&gt;</t>
  </si>
  <si>
    <t>扬巴一体化&lt;扬子扬巴&gt;</t>
  </si>
  <si>
    <t>扬子扬巴</t>
  </si>
  <si>
    <t>扬子石化&lt;扬子扬巴&gt;</t>
  </si>
  <si>
    <t>仪征泰达&lt;青山&gt;</t>
  </si>
  <si>
    <t>青山</t>
  </si>
  <si>
    <t>仪征化纤&lt;青山&gt;</t>
  </si>
  <si>
    <t>扬州利用&lt;青山&gt;</t>
  </si>
  <si>
    <t>扬州昆仑&lt;青山&gt;</t>
  </si>
  <si>
    <t>仪征热电&lt;青山&gt;</t>
  </si>
  <si>
    <t>南京恒燃&lt;龙潭&gt;</t>
  </si>
  <si>
    <t>龙潭</t>
  </si>
  <si>
    <t>无调压撬</t>
  </si>
  <si>
    <t>南京华润利用&lt;龙潭&gt;</t>
  </si>
  <si>
    <t>6/8</t>
  </si>
  <si>
    <t>南京港华&lt;南京&gt;A</t>
  </si>
  <si>
    <t>南京</t>
  </si>
  <si>
    <t>南京港华&lt;南京&gt;B</t>
  </si>
  <si>
    <t>华能南京电厂&lt;南京&gt;</t>
  </si>
  <si>
    <t>镇江华润&lt;镇江&gt;</t>
  </si>
  <si>
    <t>镇江</t>
  </si>
  <si>
    <t>丹阳港华&lt;镇江&gt;</t>
  </si>
  <si>
    <t>江宁华润&lt;镇江&gt;</t>
  </si>
  <si>
    <t>镇江东源&lt;镇江&gt;</t>
  </si>
  <si>
    <t>镇江热电&lt;镇江&gt;</t>
  </si>
  <si>
    <t>丹阳华海&lt;丹阳&gt;</t>
  </si>
  <si>
    <t>丹阳</t>
  </si>
  <si>
    <t>金坛港华&lt;金坛&gt;</t>
  </si>
  <si>
    <t>港华储气库&lt;金坛&gt;</t>
  </si>
  <si>
    <t>大唐金坛&lt;金坛&gt;</t>
  </si>
  <si>
    <t>1用2备/2用1备</t>
  </si>
  <si>
    <t>溧阳安顺&lt;南渡&gt;</t>
  </si>
  <si>
    <t>南渡</t>
  </si>
  <si>
    <t>2用</t>
  </si>
  <si>
    <t>常州港华&lt;常州&gt;</t>
  </si>
  <si>
    <t>常州</t>
  </si>
  <si>
    <t>江阴天力&lt;常州&gt;</t>
  </si>
  <si>
    <t>华电戚墅堰电厂&lt;常州&gt;</t>
  </si>
  <si>
    <t>常州新奥&lt;武进&gt;</t>
  </si>
  <si>
    <t>武进</t>
  </si>
  <si>
    <t>无锡昆仑&lt;武进&gt;</t>
  </si>
  <si>
    <t>宜兴港华&lt;宜兴&gt;</t>
  </si>
  <si>
    <t>宜兴</t>
  </si>
  <si>
    <t>国信宜兴&lt;宜兴&gt;</t>
  </si>
  <si>
    <t>无锡华润&lt;无锡&gt;</t>
  </si>
  <si>
    <t>无锡</t>
  </si>
  <si>
    <t>江苏天然气&lt;无锡&gt;</t>
  </si>
  <si>
    <t>无锡蓝天热电&lt;无锡&gt;</t>
  </si>
  <si>
    <t>东亚电力无锡&lt;无锡&gt;</t>
  </si>
  <si>
    <t>华电望亭电厂&lt;望亭&gt;</t>
  </si>
  <si>
    <t>望亭</t>
  </si>
  <si>
    <t>苏州热电&lt;苏州&gt;</t>
  </si>
  <si>
    <t>苏州</t>
  </si>
  <si>
    <t>苏州港华&lt;苏州&gt;</t>
  </si>
  <si>
    <t>≤4</t>
  </si>
  <si>
    <t>苏州燃气&lt;苏州&gt;</t>
  </si>
  <si>
    <t>0-3.0</t>
  </si>
  <si>
    <t>张家港华兴电厂&lt;东桥&gt;</t>
  </si>
  <si>
    <t>东桥</t>
  </si>
  <si>
    <t xml:space="preserve">  </t>
  </si>
  <si>
    <t>苏州管网&lt;东桥&gt;</t>
  </si>
  <si>
    <t>无调压</t>
  </si>
  <si>
    <t>华能苏州电厂&lt;东桥&gt;</t>
  </si>
  <si>
    <t>苏州利用&lt;东桥&gt;</t>
  </si>
  <si>
    <t>苏州管网&lt;甪直&gt;</t>
  </si>
  <si>
    <t>甪直</t>
  </si>
  <si>
    <t>苏州蓝天热电&lt;甪直&gt;</t>
  </si>
  <si>
    <t>昆山恒燃&lt;甪直&gt;</t>
  </si>
  <si>
    <t>昆山利通&lt;甪直&gt;</t>
  </si>
  <si>
    <t>华电昆山&lt;昆山&gt;</t>
  </si>
  <si>
    <t>昆山</t>
  </si>
  <si>
    <t>昆山利通&lt;昆山&gt;</t>
  </si>
  <si>
    <t>1用</t>
  </si>
  <si>
    <t>5.28-8</t>
  </si>
  <si>
    <t>昆山高峰&lt;巴城&gt;</t>
  </si>
  <si>
    <t>巴城</t>
  </si>
  <si>
    <t>昆山协鑫&lt;巴城&gt;</t>
  </si>
  <si>
    <t>昆山华润&lt;周市&gt;</t>
  </si>
  <si>
    <t>周市</t>
  </si>
  <si>
    <t>昆山利通&lt;周市&gt;</t>
  </si>
  <si>
    <t>中电常熟&lt;周市&gt;</t>
  </si>
  <si>
    <t>太仓利用&lt;太仓&gt;</t>
  </si>
  <si>
    <t>太仓</t>
  </si>
  <si>
    <t>太仓昆仑&lt;太仓&gt;</t>
  </si>
  <si>
    <t>常熟昆仑&lt;太仓&gt;</t>
  </si>
  <si>
    <t>太仓天然气&lt;太仓&gt;</t>
  </si>
  <si>
    <t>常熟苏虞&lt;太仓&gt;</t>
  </si>
  <si>
    <t>太仓天然气&lt;浏河&gt;</t>
  </si>
  <si>
    <t>浏河</t>
  </si>
  <si>
    <t>宝山钢铁&lt;浏河&gt;</t>
  </si>
  <si>
    <t>上海管网&lt;白鹤&gt;</t>
  </si>
  <si>
    <t>白鹤</t>
  </si>
  <si>
    <t>上海白鹤利用&lt;白鹤&gt;</t>
  </si>
  <si>
    <t>长兴昆仑&lt;长兴&gt;</t>
  </si>
  <si>
    <t>长兴</t>
  </si>
  <si>
    <t>4.0-6.3</t>
  </si>
  <si>
    <t>展佳燃气&lt;古浪&gt;</t>
  </si>
  <si>
    <t>3路流量计，流量计位号：005FT0401、005FT0501、005FT0601。</t>
  </si>
  <si>
    <t>6.0-9.0</t>
  </si>
  <si>
    <t>吉林昆仑&lt;西一58#阀室&gt;</t>
  </si>
  <si>
    <t>红湾作业区红湾热泵站设置计量撬，1用1备。流量计位号：FT1005、FT2005。</t>
  </si>
  <si>
    <t>沁水煤投&lt;沁水&gt;</t>
  </si>
  <si>
    <t>无锡华润&lt;芙蓉&gt;</t>
  </si>
  <si>
    <t>芙蓉</t>
  </si>
  <si>
    <t>4.5-5</t>
  </si>
  <si>
    <t>深州安信&lt;冀宁38#&gt;</t>
  </si>
  <si>
    <t>冀宁38#</t>
  </si>
  <si>
    <t>衡水华润&lt;衡水&gt;</t>
  </si>
  <si>
    <t>衡水</t>
  </si>
  <si>
    <t>1.0-2.5</t>
  </si>
  <si>
    <t>衡水昆利&lt;衡水&gt;</t>
  </si>
  <si>
    <t>河北昆仑清洁&lt;衡水&gt;</t>
  </si>
  <si>
    <t>3.5-4.0</t>
  </si>
  <si>
    <t>阜城惠民&lt;衡水&gt;</t>
  </si>
  <si>
    <t>3.0-9.9</t>
  </si>
  <si>
    <t>故城明华&lt;故城华洋&gt;</t>
  </si>
  <si>
    <t>故城华洋</t>
  </si>
  <si>
    <t>1.5-3.6</t>
  </si>
  <si>
    <t>邯郸永洋&lt;故城华洋&gt;</t>
  </si>
  <si>
    <t>枣庄昆仑&lt;冀宁21#&gt;</t>
  </si>
  <si>
    <t>冀宁21#</t>
  </si>
  <si>
    <t>—</t>
  </si>
  <si>
    <t>枣庄华润&lt;枣庄&gt;</t>
  </si>
  <si>
    <t>枣庄</t>
  </si>
  <si>
    <t>微山奥德&lt;枣庄&gt;</t>
  </si>
  <si>
    <t>6-9.0</t>
  </si>
  <si>
    <t>滕州燃气&lt;滕州&gt;</t>
  </si>
  <si>
    <t>滕州</t>
  </si>
  <si>
    <t>1.6-2.35</t>
  </si>
  <si>
    <t>枣庄民生&lt;滕州&gt;</t>
  </si>
  <si>
    <t>1.6-2.8</t>
  </si>
  <si>
    <t>临沂昆仑&lt;临沂&gt;</t>
  </si>
  <si>
    <t>临沂</t>
  </si>
  <si>
    <t>兰陵昆仑&lt;临沂&gt;</t>
  </si>
  <si>
    <t>0.8-2</t>
  </si>
  <si>
    <t>临沂中裕&lt;临沂&gt;</t>
  </si>
  <si>
    <t>1.8-2.5</t>
  </si>
  <si>
    <t>临沂中孚&lt;临沂&gt;</t>
  </si>
  <si>
    <t>3.0-5.0</t>
  </si>
  <si>
    <t>临沂华润&lt;临沂末站&gt;</t>
  </si>
  <si>
    <t>曲阜兰星&lt;小雪&gt;</t>
  </si>
  <si>
    <t>小雪</t>
  </si>
  <si>
    <t>邹城昆仑&lt;小雪&gt;</t>
  </si>
  <si>
    <t>0.4-1.8</t>
  </si>
  <si>
    <t>济宁华润&lt;小雪&gt;</t>
  </si>
  <si>
    <t>0.8-2.5</t>
  </si>
  <si>
    <t>济宁昆仑&lt;济宁末&gt;</t>
  </si>
  <si>
    <t>济宁末</t>
  </si>
  <si>
    <t>3.8-4.4</t>
  </si>
  <si>
    <t>济宁华润&lt;济宁末&gt;</t>
  </si>
  <si>
    <t>肥城华益晨&lt;肥城&gt;</t>
  </si>
  <si>
    <t>肥城</t>
  </si>
  <si>
    <t>奥博燃气&lt;肥城&gt;</t>
  </si>
  <si>
    <t>2.0-3.5</t>
  </si>
  <si>
    <t>泰安泰山&lt;泰安&gt;</t>
  </si>
  <si>
    <t>泰安</t>
  </si>
  <si>
    <t>2.5-3</t>
  </si>
  <si>
    <t>泰安昆仑&lt;泰安&gt;</t>
  </si>
  <si>
    <t>1.5-2.5</t>
  </si>
  <si>
    <t>泰安安泰&lt;泰安&gt;</t>
  </si>
  <si>
    <t>4-9.0</t>
  </si>
  <si>
    <t>济南港华&lt;冀宁32#&gt;</t>
  </si>
  <si>
    <t>冀宁32#</t>
  </si>
  <si>
    <t>茌平信发&lt;冀宁32#&gt;</t>
  </si>
  <si>
    <t>济南中油&lt;济南&gt;</t>
  </si>
  <si>
    <t>济南</t>
  </si>
  <si>
    <t>5.0-9.0</t>
  </si>
  <si>
    <t>山东汉岳&lt;济南&gt;</t>
  </si>
  <si>
    <t>2-3.2</t>
  </si>
  <si>
    <t>山东济华&lt;济南&gt;</t>
  </si>
  <si>
    <t>山东昆仑&lt;济南&gt;</t>
  </si>
  <si>
    <t>山东西能&lt;济南&gt;</t>
  </si>
  <si>
    <t>德州昆仑&lt;德州&gt;</t>
  </si>
  <si>
    <t>德州</t>
  </si>
  <si>
    <t>5.0-7.5</t>
  </si>
  <si>
    <t>德州联油&lt;德州&gt;</t>
  </si>
  <si>
    <t>山东中邑&lt;德州&gt;</t>
  </si>
  <si>
    <t>平原奥德&lt;德州&gt;</t>
  </si>
  <si>
    <t>山东中邑&lt;德州末&gt;</t>
  </si>
  <si>
    <t>德州末</t>
  </si>
  <si>
    <t>景县港华&lt;德州末&gt;</t>
  </si>
  <si>
    <t>德州中燃&lt;德州末&gt;</t>
  </si>
  <si>
    <t>德州发展&lt;德州末&gt;</t>
  </si>
  <si>
    <t>武城博远&lt;武城&gt;</t>
  </si>
  <si>
    <t>武城</t>
  </si>
  <si>
    <t>济宁昆仑&lt;曲阜&gt;</t>
  </si>
  <si>
    <t>曲阜</t>
  </si>
  <si>
    <t>邳州中燃&lt;邳州&gt;</t>
  </si>
  <si>
    <t>邳州</t>
  </si>
  <si>
    <t>徐州昆仑管网&lt;大吴&gt;</t>
  </si>
  <si>
    <t>大吴</t>
  </si>
  <si>
    <t>连云港昆仑&lt;连云港&gt;</t>
  </si>
  <si>
    <t>连云港</t>
  </si>
  <si>
    <t>连云港通裕&lt;连云港&gt;</t>
  </si>
  <si>
    <t>连云港新奥&lt;连云港&gt;</t>
  </si>
  <si>
    <t>连云港紫源&lt;连云港&gt;</t>
  </si>
  <si>
    <t>宿迁昆仑&lt;宿迁&gt;</t>
  </si>
  <si>
    <t>宿迁</t>
  </si>
  <si>
    <t>宿迁润城&lt;宿迁&gt;</t>
  </si>
  <si>
    <t>徐州港华&lt;徐州&gt;</t>
  </si>
  <si>
    <t>徐州利用&lt;徐州&gt;</t>
  </si>
  <si>
    <t>中能硅业&lt;徐州&gt;</t>
  </si>
  <si>
    <t>泗阳荣浩&lt;泗阳&gt;</t>
  </si>
  <si>
    <t>泗阳</t>
  </si>
  <si>
    <t>淮安庆鹏&lt;刘庄&gt;</t>
  </si>
  <si>
    <t>淮安荣浩&lt;刘庄&gt;</t>
  </si>
  <si>
    <t>金湖恒通&lt;刘庄&gt;</t>
  </si>
  <si>
    <t>金湖利源&lt;刘庄&gt;</t>
  </si>
  <si>
    <t>3-8.5</t>
  </si>
  <si>
    <t>淮安利用&lt;淮安&gt;</t>
  </si>
  <si>
    <t>淮安</t>
  </si>
  <si>
    <t>国信淮安二燃&lt;淮安&gt;</t>
  </si>
  <si>
    <t>淮安新奥&lt;淮安&gt;A</t>
  </si>
  <si>
    <t>淮安新奥&lt;淮安&gt;B</t>
  </si>
  <si>
    <t>国信淮安&lt;楚州&gt;</t>
  </si>
  <si>
    <t>楚州</t>
  </si>
  <si>
    <t>3.5-4.5</t>
  </si>
  <si>
    <t>宝应昆仑&lt;宝应&gt;</t>
  </si>
  <si>
    <t>宝应</t>
  </si>
  <si>
    <t>江苏大通&lt;宝应&gt;</t>
  </si>
  <si>
    <t>华电扬州&lt;江都&gt;</t>
  </si>
  <si>
    <t>江都</t>
  </si>
  <si>
    <t>江苏深燃&lt;江都&gt;</t>
  </si>
  <si>
    <t>扬州万安&lt;江都&gt;</t>
  </si>
  <si>
    <t>仪征世懋&lt;冀宁2#&gt;</t>
  </si>
  <si>
    <t>冀宁2#</t>
  </si>
  <si>
    <t>5.1-8.4</t>
  </si>
  <si>
    <t>靖江天力&lt;泰兴&gt;</t>
  </si>
  <si>
    <t>泰兴</t>
  </si>
  <si>
    <t>泰兴新奥&lt;泰兴&gt;</t>
  </si>
  <si>
    <t>泰兴昆仑&lt;泰兴&gt;</t>
  </si>
  <si>
    <t>泰兴中燃&lt;泰兴&gt;</t>
  </si>
  <si>
    <t>泰州昆仑&lt;高港&gt;</t>
  </si>
  <si>
    <t>高港</t>
  </si>
  <si>
    <t>不高于10</t>
  </si>
  <si>
    <t>泰州中油&lt;高港&gt;</t>
  </si>
  <si>
    <t>永安港华&lt;泰州&gt;</t>
  </si>
  <si>
    <t>泰州</t>
  </si>
  <si>
    <t>泰州港华&lt;泰州&gt;</t>
  </si>
  <si>
    <t>泰州昆仑&lt;泰州&gt;</t>
  </si>
  <si>
    <t>南通中油&lt;如皋&gt;</t>
  </si>
  <si>
    <t>如皋</t>
  </si>
  <si>
    <t>如皋益有&lt;如皋&gt;</t>
  </si>
  <si>
    <t>南通大众&lt;南通&gt;</t>
  </si>
  <si>
    <t>南通</t>
  </si>
  <si>
    <t>华电通州&lt;南通&gt;</t>
  </si>
  <si>
    <t>南通华润&lt;南通&gt;</t>
  </si>
  <si>
    <t>新沂中燃&lt;新沂&gt;</t>
  </si>
  <si>
    <t>新沂</t>
  </si>
  <si>
    <t>新沂中油&lt;新沂&gt;</t>
  </si>
  <si>
    <t>东海昆仑&lt;冀宁5#&gt;</t>
  </si>
  <si>
    <t>冀宁5#</t>
  </si>
  <si>
    <t>扬州中燃&lt;扬州&gt;</t>
  </si>
  <si>
    <t>扬州</t>
  </si>
  <si>
    <t>高邮安源&lt;高邮&gt;</t>
  </si>
  <si>
    <t>高邮</t>
  </si>
  <si>
    <t>扬州新奥&lt;高邮&gt;</t>
  </si>
  <si>
    <t>江苏东能&lt;如东&gt;</t>
  </si>
  <si>
    <t>如东</t>
  </si>
  <si>
    <t>江阴昆仑管网&lt;江阴&gt;</t>
  </si>
  <si>
    <t>江阴</t>
  </si>
  <si>
    <t>江阴高压管网&lt;江阴&gt;</t>
  </si>
  <si>
    <t>上海管网&lt;海门&gt;</t>
  </si>
  <si>
    <t>海门</t>
  </si>
  <si>
    <t>5.5-6</t>
  </si>
  <si>
    <t>海门昆仑&lt;海门&gt;</t>
  </si>
  <si>
    <t>南通中裕&lt;海门4#&gt;</t>
  </si>
  <si>
    <t>海门4#</t>
  </si>
  <si>
    <t>2.5-9.5</t>
  </si>
  <si>
    <t>昆仑丰源&lt;峄城&gt;</t>
  </si>
  <si>
    <t>峄城</t>
  </si>
  <si>
    <t>一用两备</t>
  </si>
  <si>
    <t>4.2-4.5</t>
  </si>
  <si>
    <t>日照天然气&lt;岚山&gt;</t>
  </si>
  <si>
    <t>岚山</t>
  </si>
  <si>
    <t>≤4.0</t>
  </si>
  <si>
    <t>扬州益广&lt;南京末&gt;</t>
  </si>
  <si>
    <t>南京末</t>
  </si>
  <si>
    <t>5.0-7.0</t>
  </si>
  <si>
    <t>连云港中新&lt;青宁连云港&gt;</t>
  </si>
  <si>
    <t>青宁连云港</t>
  </si>
  <si>
    <t>4.0-6.0</t>
  </si>
  <si>
    <t>东海中裕&lt;青宁连云港&gt;</t>
  </si>
  <si>
    <t>淮安新奥&lt;青宁淮安&gt;</t>
  </si>
  <si>
    <t>青宁淮安</t>
  </si>
  <si>
    <t>1.5-3.8</t>
  </si>
  <si>
    <t>国信仪征热电&lt;青宁淮安&gt;</t>
  </si>
  <si>
    <t>涟水新星旺&lt;涟水&gt;</t>
  </si>
  <si>
    <t>涟水</t>
  </si>
  <si>
    <t>扬州新奥裕和&lt;送桥&gt;</t>
  </si>
  <si>
    <t>送桥</t>
  </si>
  <si>
    <t>石化皖能&lt;送桥&gt;</t>
  </si>
  <si>
    <t>&lt;10</t>
  </si>
  <si>
    <t>奥德燃气&lt;宝应&gt;</t>
  </si>
  <si>
    <t>3.6-4.0</t>
  </si>
  <si>
    <t>连云港城新&lt;柘汪&gt;</t>
  </si>
  <si>
    <t>柘汪</t>
  </si>
  <si>
    <t>0-4.0</t>
  </si>
  <si>
    <t>滨海LNG输气管线</t>
  </si>
  <si>
    <t>滨海通惠&lt;滨海&gt;</t>
  </si>
  <si>
    <t>阜宁电厂&lt;阜宁&gt;</t>
  </si>
  <si>
    <t>阜宁</t>
  </si>
  <si>
    <t>盱眙国联新奥&lt;旧铺&gt;</t>
  </si>
  <si>
    <t>旧铺</t>
  </si>
  <si>
    <t>淮河能源燃气集团&lt;滨海15＃&gt;</t>
  </si>
  <si>
    <t>滨海15#</t>
  </si>
  <si>
    <t>滁州新奥&lt;全椒&gt;</t>
  </si>
  <si>
    <t>全椒</t>
  </si>
  <si>
    <t>2.5-3.5</t>
  </si>
  <si>
    <t>合燃华润&lt;肥东&gt;</t>
  </si>
  <si>
    <t>肥东</t>
  </si>
  <si>
    <t>肥东深燃&lt;肥东末站&gt;</t>
  </si>
  <si>
    <t>北京燃气&lt;吕村&gt;</t>
  </si>
  <si>
    <t>吕村</t>
  </si>
  <si>
    <t>北京燃气&lt;石景山&gt;A</t>
  </si>
  <si>
    <t>石景山</t>
  </si>
  <si>
    <t>2.2-2.4</t>
  </si>
  <si>
    <t>北京燃气&lt;石景山&gt;B</t>
  </si>
  <si>
    <t>华油联合&lt;石景山&gt;</t>
  </si>
  <si>
    <t>北京燃气&lt;采育&gt;</t>
  </si>
  <si>
    <t>采育</t>
  </si>
  <si>
    <t>5用1备</t>
  </si>
  <si>
    <t>3.6-3.9</t>
  </si>
  <si>
    <t>北京燃气&lt;通州东&gt;</t>
  </si>
  <si>
    <t>通州东</t>
  </si>
  <si>
    <t>北京燃气&lt;良乡&gt;</t>
  </si>
  <si>
    <t>良乡</t>
  </si>
  <si>
    <t>北京燃气&lt;西沙屯&gt;</t>
  </si>
  <si>
    <t>西沙屯</t>
  </si>
  <si>
    <t>北京燃气&lt;西集&gt;</t>
  </si>
  <si>
    <t>西集</t>
  </si>
  <si>
    <t>北京燃气&lt;高丽营&gt;</t>
  </si>
  <si>
    <t>高丽营</t>
  </si>
  <si>
    <t>北京燃气&lt;马坊&gt;</t>
  </si>
  <si>
    <t>马坊</t>
  </si>
  <si>
    <t>4路</t>
  </si>
  <si>
    <t>中奥能源&lt;尚义末站&gt;</t>
  </si>
  <si>
    <t>北京东方&lt;通州南&gt;</t>
  </si>
  <si>
    <t>通州南</t>
  </si>
  <si>
    <t>3.5-5.5</t>
  </si>
  <si>
    <t>北京富华&lt;通州南&gt;</t>
  </si>
  <si>
    <t>北京燃气&lt;通州南&gt;</t>
  </si>
  <si>
    <t>4用1备</t>
  </si>
  <si>
    <t>华油联合&lt;马驹桥&gt;A</t>
  </si>
  <si>
    <t>马驹桥</t>
  </si>
  <si>
    <t>华油联合&lt;马驹桥&gt;B</t>
  </si>
  <si>
    <t>华油联合&lt;潭柘寺&gt;</t>
  </si>
  <si>
    <t>潭柘寺</t>
  </si>
  <si>
    <t>北京燃气&lt;延庆&gt;</t>
  </si>
  <si>
    <t>延庆</t>
  </si>
  <si>
    <t>燕山石化&lt;琉璃河&gt;</t>
  </si>
  <si>
    <t>琉璃河</t>
  </si>
  <si>
    <t>昆仑新源&lt;木林&gt;</t>
  </si>
  <si>
    <t>木林</t>
  </si>
  <si>
    <t>4.0-10</t>
  </si>
  <si>
    <t>博达顺源&lt;高西2#&gt;</t>
  </si>
  <si>
    <t>高西2#</t>
  </si>
  <si>
    <t>北京燃气&lt;大灰厂&gt;</t>
  </si>
  <si>
    <t>大灰厂</t>
  </si>
  <si>
    <t>永清百川&lt;韩城&gt;</t>
  </si>
  <si>
    <t>韩城</t>
  </si>
  <si>
    <t>直供</t>
  </si>
  <si>
    <t>宝坻昆仑&lt;宝坻&gt;</t>
  </si>
  <si>
    <t>宝坻</t>
  </si>
  <si>
    <t>1.6-3.5</t>
  </si>
  <si>
    <t>津燃华润&lt;汪庄子&gt;</t>
  </si>
  <si>
    <t>汪庄子</t>
  </si>
  <si>
    <t>天津分公司(大港油田)&lt;小卞庄&gt;</t>
  </si>
  <si>
    <t>小卞庄</t>
  </si>
  <si>
    <t>天津绿洲&lt;小卞庄&gt;</t>
  </si>
  <si>
    <t>0.8-1.6</t>
  </si>
  <si>
    <t>天津天汇&lt;小卞庄&gt;</t>
  </si>
  <si>
    <t>津燃华润&lt;大港&gt;</t>
  </si>
  <si>
    <t>大港</t>
  </si>
  <si>
    <t>天津海港&lt;大港&gt;</t>
  </si>
  <si>
    <t>1.0-1.6</t>
  </si>
  <si>
    <t>天津昆仑&lt;大港&gt;</t>
  </si>
  <si>
    <t>0.6-1.5</t>
  </si>
  <si>
    <t>大港油田天然气（港沧）&lt;大港&gt;</t>
  </si>
  <si>
    <t>天津石化&lt;大港&gt;</t>
  </si>
  <si>
    <t>大港油田&lt;大港末&gt;</t>
  </si>
  <si>
    <t>大港末</t>
  </si>
  <si>
    <t>津静昆仑&lt;港三4#&gt;</t>
  </si>
  <si>
    <t>港三4#</t>
  </si>
  <si>
    <t>天津压缩&lt;大邱庄&gt;</t>
  </si>
  <si>
    <t>大邱庄</t>
  </si>
  <si>
    <t>天津润普&lt;常流&gt;</t>
  </si>
  <si>
    <t>常流</t>
  </si>
  <si>
    <t>津燃华润&lt;常流&gt;A</t>
  </si>
  <si>
    <t>津燃华润&lt;常流&gt;B</t>
  </si>
  <si>
    <t>华奥燃气&lt;静海&gt;</t>
  </si>
  <si>
    <t>静海</t>
  </si>
  <si>
    <t>津静昆仑（西翟庄）&lt;静海&gt;</t>
  </si>
  <si>
    <t>天津天汇&lt;静海&gt;</t>
  </si>
  <si>
    <t>宝坻昆仑&lt;苑家庄&gt;</t>
  </si>
  <si>
    <t>苑家庄</t>
  </si>
  <si>
    <t>中石油天津管道&lt;汪庄子&gt;</t>
  </si>
  <si>
    <t>2台超声波流量计</t>
  </si>
  <si>
    <t>1路调压撬</t>
  </si>
  <si>
    <t>2.8-3.0</t>
  </si>
  <si>
    <t>肃宁森胜&lt;陕二32#&gt;</t>
  </si>
  <si>
    <t>陕二32#</t>
  </si>
  <si>
    <t>3路计量</t>
  </si>
  <si>
    <t>3.0-10.0</t>
  </si>
  <si>
    <t>河北昆仑能源&lt;井陉西&gt;</t>
  </si>
  <si>
    <t>井陉西</t>
  </si>
  <si>
    <t>吕梁昆仑&lt;兴县&gt;</t>
  </si>
  <si>
    <t>兴县</t>
  </si>
  <si>
    <t>2路计量</t>
  </si>
  <si>
    <t>调压</t>
  </si>
  <si>
    <t>陕天然气&lt;靖边&gt;</t>
  </si>
  <si>
    <t>靖边</t>
  </si>
  <si>
    <t>≥4.0</t>
  </si>
  <si>
    <t>神木美能&lt;神木&gt;</t>
  </si>
  <si>
    <t>神木</t>
  </si>
  <si>
    <t>府谷开源&lt;府谷&gt;</t>
  </si>
  <si>
    <t>府谷</t>
  </si>
  <si>
    <t>榆林中燃&lt;榆林&gt;</t>
  </si>
  <si>
    <t>榆林</t>
  </si>
  <si>
    <t>0用2备</t>
  </si>
  <si>
    <t>榆林圆恒&lt;陕二2#&gt;</t>
  </si>
  <si>
    <t>陕二2#</t>
  </si>
  <si>
    <t>6.0-10.0</t>
  </si>
  <si>
    <t>榆林城控&lt;陕三3#&gt;</t>
  </si>
  <si>
    <t>陕三3#</t>
  </si>
  <si>
    <t>榆林中燃&lt;金鸡滩&gt;</t>
  </si>
  <si>
    <t>金鸡滩</t>
  </si>
  <si>
    <t>榆林恒达&lt;大保当&gt;</t>
  </si>
  <si>
    <t>大保当</t>
  </si>
  <si>
    <t>榆林中燃&lt;马场&gt;</t>
  </si>
  <si>
    <t>马场</t>
  </si>
  <si>
    <t>中油昆仑&lt;马场&gt;</t>
  </si>
  <si>
    <t>3.6-6.0</t>
  </si>
  <si>
    <t>乌兰察布昆仑燃气&lt;乌兰察布&gt;</t>
  </si>
  <si>
    <t>乌兰察布</t>
  </si>
  <si>
    <t>内蒙兴洁&lt;兴和&gt;</t>
  </si>
  <si>
    <t>兴和</t>
  </si>
  <si>
    <t>呼市燃气&lt;呼和浩特&gt;</t>
  </si>
  <si>
    <t>呼和浩特</t>
  </si>
  <si>
    <t>宣化易森&lt;张家口&gt;</t>
  </si>
  <si>
    <t>张家口</t>
  </si>
  <si>
    <t>恒晟能源&lt;张家口&gt;</t>
  </si>
  <si>
    <t>3.0-3.5</t>
  </si>
  <si>
    <t>2025.6.20</t>
  </si>
  <si>
    <t>张家口中油金鸿&lt;应张&gt;</t>
  </si>
  <si>
    <t>应张</t>
  </si>
  <si>
    <t>5.5-6.0</t>
  </si>
  <si>
    <t>中燃能源&lt;怀安&gt;</t>
  </si>
  <si>
    <t>怀安</t>
  </si>
  <si>
    <t>4.56-5.99</t>
  </si>
  <si>
    <t>涿鹿中燃&lt;涿鹿&gt;</t>
  </si>
  <si>
    <t>涿鹿</t>
  </si>
  <si>
    <t>4.66-6.0</t>
  </si>
  <si>
    <t>张家口中燃&lt;南山&gt;</t>
  </si>
  <si>
    <t>南山</t>
  </si>
  <si>
    <t>5.73-6.0</t>
  </si>
  <si>
    <t>万全中燃&lt;安家堡&gt;</t>
  </si>
  <si>
    <t>安家堡</t>
  </si>
  <si>
    <t>5.96-9.46</t>
  </si>
  <si>
    <t>华港燃气&lt;怀来&gt;</t>
  </si>
  <si>
    <t>怀来</t>
  </si>
  <si>
    <t>河北储元&lt;张家堡&gt;</t>
  </si>
  <si>
    <t>张家堡</t>
  </si>
  <si>
    <t>3.5-3.98</t>
  </si>
  <si>
    <t>山西产业&lt;神池&gt;</t>
  </si>
  <si>
    <t>神池</t>
  </si>
  <si>
    <t>山西燃气&lt;神池&gt;</t>
  </si>
  <si>
    <t>山西燃气&lt;岚县&gt;</t>
  </si>
  <si>
    <t>岚县</t>
  </si>
  <si>
    <t>山西燃气&lt;灵丘&gt;</t>
  </si>
  <si>
    <t>灵丘</t>
  </si>
  <si>
    <t>应县富华&lt;应县&gt;</t>
  </si>
  <si>
    <t>应县</t>
  </si>
  <si>
    <t>山西燃气&lt;应县&gt;</t>
  </si>
  <si>
    <t>晋北昆仑&lt;应县&gt;</t>
  </si>
  <si>
    <t>山西三城</t>
  </si>
  <si>
    <t>应张燃气&lt;应县&gt;</t>
  </si>
  <si>
    <t>中油新兴</t>
  </si>
  <si>
    <t>朔州富华&lt;朔州&gt;</t>
  </si>
  <si>
    <t>朔州</t>
  </si>
  <si>
    <t>山西国兴&lt;兴县&gt;</t>
  </si>
  <si>
    <t>山西国强&lt;阳曲&gt;</t>
  </si>
  <si>
    <t>阳曲</t>
  </si>
  <si>
    <t>山西中油压缩&lt;阳曲&gt;</t>
  </si>
  <si>
    <t>山西燃气&lt;阳曲&gt;A</t>
  </si>
  <si>
    <t>山西燃气&lt;阳曲&gt;B</t>
  </si>
  <si>
    <t>山西产业&lt;临县&gt;</t>
  </si>
  <si>
    <t>临县</t>
  </si>
  <si>
    <t>山西燃气&lt;盂县&gt;</t>
  </si>
  <si>
    <t>盂县</t>
  </si>
  <si>
    <t>国化科思&lt;盂县西&gt;</t>
  </si>
  <si>
    <t>盂县西</t>
  </si>
  <si>
    <t>山西建科&lt;盂县西&gt;</t>
  </si>
  <si>
    <r>
      <rPr>
        <sz val="12"/>
        <rFont val="华文仿宋"/>
        <charset val="134"/>
      </rPr>
      <t>山西建科</t>
    </r>
    <r>
      <rPr>
        <sz val="12"/>
        <color rgb="FF141E31"/>
        <rFont val="华文仿宋"/>
        <charset val="134"/>
      </rPr>
      <t>&lt;管头阀室&gt;</t>
    </r>
  </si>
  <si>
    <t>管头阀室</t>
  </si>
  <si>
    <t>同时有上载点与下载点，调压与计量共用</t>
  </si>
  <si>
    <t>7.1-10.0</t>
  </si>
  <si>
    <t>2025.10.31</t>
  </si>
  <si>
    <t>保定富瑞斯&lt;杜村阀室&gt;</t>
  </si>
  <si>
    <t>杜村</t>
  </si>
  <si>
    <t>易县申易&lt;西山北阀室&gt;</t>
  </si>
  <si>
    <t>西山北</t>
  </si>
  <si>
    <t>保定中茂&lt;西山北阀室&gt;</t>
  </si>
  <si>
    <t>保定汇富&lt;易县&gt;</t>
  </si>
  <si>
    <t>易县</t>
  </si>
  <si>
    <t>2路</t>
  </si>
  <si>
    <t>3.0-3.9</t>
  </si>
  <si>
    <t>河北天然气&lt;涿州&gt;</t>
  </si>
  <si>
    <t>涿州</t>
  </si>
  <si>
    <t>保定天涿燃气&lt;涿州东&gt;</t>
  </si>
  <si>
    <t>涿州东</t>
  </si>
  <si>
    <t>河北华泽&lt;鹿泉&gt;</t>
  </si>
  <si>
    <t>鹿泉</t>
  </si>
  <si>
    <t>河北昆利&lt;鹿泉&gt; A</t>
  </si>
  <si>
    <t>河北昆利&lt;鹿泉&gt;B</t>
  </si>
  <si>
    <t>河北天然气&lt;鹿泉&gt;</t>
  </si>
  <si>
    <t>石昆新奥&lt;鹿泉&gt;</t>
  </si>
  <si>
    <t>≤3.8</t>
  </si>
  <si>
    <t>河北能源&lt;陕三26#&gt;</t>
  </si>
  <si>
    <t>陕三26#</t>
  </si>
  <si>
    <t>4.0-9.2</t>
  </si>
  <si>
    <t>河北昆利&lt;井陉&gt;</t>
  </si>
  <si>
    <t>井陉</t>
  </si>
  <si>
    <t>河北昆利&lt;石家庄&gt;A</t>
  </si>
  <si>
    <t>石家庄</t>
  </si>
  <si>
    <t>河北昆利&lt;石家庄&gt;B</t>
  </si>
  <si>
    <t>河北天然气&lt;石家庄&gt;A</t>
  </si>
  <si>
    <t>河北燃气&lt;石家庄&gt;B</t>
  </si>
  <si>
    <t>河北潜能&lt;石家庄&gt;</t>
  </si>
  <si>
    <t>河北华泽&lt;石家庄&gt;</t>
  </si>
  <si>
    <t>河北华油&lt;石家庄&gt;</t>
  </si>
  <si>
    <t>5.5-8.3</t>
  </si>
  <si>
    <t>昆仑车用燃气正定分公司（综合）&lt;正定&gt;</t>
  </si>
  <si>
    <t>正定</t>
  </si>
  <si>
    <t>河北昆利&lt;深泽北&gt;</t>
  </si>
  <si>
    <t>深泽北</t>
  </si>
  <si>
    <t>津燃华润&lt;永清&gt;</t>
  </si>
  <si>
    <t>永清</t>
  </si>
  <si>
    <t>河北分公司(华北油田)&lt;永清&gt;</t>
  </si>
  <si>
    <t>1.2-1.4</t>
  </si>
  <si>
    <t>河北省天然气&lt;永清&gt;</t>
  </si>
  <si>
    <t>保定富瑞康&lt;向阳五村&gt;</t>
  </si>
  <si>
    <t>向阳五村</t>
  </si>
  <si>
    <t>永清昆仑&lt;永清首&gt;</t>
  </si>
  <si>
    <t>永清首</t>
  </si>
  <si>
    <t>廊坊安宇&lt;永清首&gt;</t>
  </si>
  <si>
    <t>永清淋宇&lt;永清首&gt;</t>
  </si>
  <si>
    <t>蠡县奥德&lt;安平&gt;</t>
  </si>
  <si>
    <t>安平</t>
  </si>
  <si>
    <t>辉煌能源&lt;安平&gt;</t>
  </si>
  <si>
    <t>鄂安沧&lt;安平&gt;</t>
  </si>
  <si>
    <t>中石化&lt;安平&gt;</t>
  </si>
  <si>
    <t>4.4-4.5</t>
  </si>
  <si>
    <t>保定昆仑能源&lt;高阳&gt;</t>
  </si>
  <si>
    <t>高阳</t>
  </si>
  <si>
    <t>河北虓志&lt;高阳&gt;</t>
  </si>
  <si>
    <t>蠡县中油昆仑&lt;陕三32#&gt;</t>
  </si>
  <si>
    <t>陕三32#</t>
  </si>
  <si>
    <t>3.0-8.9</t>
  </si>
  <si>
    <t>华港燃气&lt;任丘&gt;</t>
  </si>
  <si>
    <t>任丘</t>
  </si>
  <si>
    <t>1.6-3.6</t>
  </si>
  <si>
    <t>华港燃气&lt;任丘东&gt;</t>
  </si>
  <si>
    <t>任丘东</t>
  </si>
  <si>
    <t>文安奥德&lt;文安&gt;</t>
  </si>
  <si>
    <t>文安</t>
  </si>
  <si>
    <t>文安华油&lt;文安&gt;</t>
  </si>
  <si>
    <t>涿州滨海&lt;莲池&gt;</t>
  </si>
  <si>
    <t>莲池</t>
  </si>
  <si>
    <t>涿州华油&lt;莲池&gt;</t>
  </si>
  <si>
    <t>霸州昆燃&lt;霸州&gt;</t>
  </si>
  <si>
    <t>霸州</t>
  </si>
  <si>
    <t>霸州顺达&lt;霸州&gt;</t>
  </si>
  <si>
    <t>霸州中油&lt;霸州&gt;</t>
  </si>
  <si>
    <t>保定中茂&lt;霸州&gt;</t>
  </si>
  <si>
    <t>河北华气&lt;霸州&gt;</t>
  </si>
  <si>
    <t>河北能源（正定）&lt;正定&gt;</t>
  </si>
  <si>
    <t>香河百川&lt;钱旺&gt;</t>
  </si>
  <si>
    <t>钱旺</t>
  </si>
  <si>
    <t>津燃华润&lt;宝坻&gt;</t>
  </si>
  <si>
    <t>天津滨达&lt;宝坻&gt;</t>
  </si>
  <si>
    <t>廊坊百川&lt;武清&gt;</t>
  </si>
  <si>
    <t>武清</t>
  </si>
  <si>
    <t>武清信科&lt;武清&gt;</t>
  </si>
  <si>
    <t>津燃华润&lt;武清&gt;</t>
  </si>
  <si>
    <t>武清华电&lt;武清&gt;</t>
  </si>
  <si>
    <t>唐山天然气&lt;唐山&gt;</t>
  </si>
  <si>
    <t>唐山</t>
  </si>
  <si>
    <t>丰奕燃气&lt;唐山&gt;</t>
  </si>
  <si>
    <t>唐山华鑫&lt;唐山&gt;</t>
  </si>
  <si>
    <t>福瑞克&lt;唐山&gt;</t>
  </si>
  <si>
    <t>唐山燃气&lt;唐山&gt;</t>
  </si>
  <si>
    <t>2.5-8.5</t>
  </si>
  <si>
    <t>廊坊铭顺&lt;安次&gt;</t>
  </si>
  <si>
    <t>安次</t>
  </si>
  <si>
    <t>河北分公司（华北油田）&lt;丰南&gt;</t>
  </si>
  <si>
    <t>丰南</t>
  </si>
  <si>
    <t>唐山华瑞&lt;丰南&gt;</t>
  </si>
  <si>
    <t>压缩机中心&lt;廊坊&gt;</t>
  </si>
  <si>
    <t>廊坊</t>
  </si>
  <si>
    <t>廊坊华都&lt;廊坊&gt;</t>
  </si>
  <si>
    <t>廊坊华能&lt;廊坊&gt;</t>
  </si>
  <si>
    <t>廊坊新奥&lt;廊坊&gt;</t>
  </si>
  <si>
    <t>秦皇岛华润&lt;秦皇岛&gt;</t>
  </si>
  <si>
    <t>秦皇岛</t>
  </si>
  <si>
    <t>秦皇岛昆利&lt;秦皇岛&gt;</t>
  </si>
  <si>
    <t>秦皇岛中油&lt;秦皇岛&gt;</t>
  </si>
  <si>
    <t>河北昌隆能源&lt;卢龙&gt;</t>
  </si>
  <si>
    <t>卢龙</t>
  </si>
  <si>
    <t>抚宁昆燃&lt;抚宁&gt;</t>
  </si>
  <si>
    <t>抚宁</t>
  </si>
  <si>
    <t>迁安华润&lt;迁安&gt;</t>
  </si>
  <si>
    <t>迁安</t>
  </si>
  <si>
    <t>迁安昆燃&lt;迁安&gt;</t>
  </si>
  <si>
    <t>滦县新奥&lt;迁安&gt;</t>
  </si>
  <si>
    <t>唐山天然气&lt;迁安&gt;</t>
  </si>
  <si>
    <t>河北建朗&lt;建朗&gt;</t>
  </si>
  <si>
    <t>建朗</t>
  </si>
  <si>
    <t>中油冀唐&lt;10#阀室&gt;</t>
  </si>
  <si>
    <t>3.6-3.8</t>
  </si>
  <si>
    <t>丰南新奥&lt;丰南&gt;</t>
  </si>
  <si>
    <t>30.-8.0</t>
  </si>
  <si>
    <t>唐山宇华&lt;唐山2#&gt;</t>
  </si>
  <si>
    <t>唐山2#</t>
  </si>
  <si>
    <t>唐山LNG外输管线</t>
  </si>
  <si>
    <t>冀东油田&lt;十里海&gt;</t>
  </si>
  <si>
    <t>十里海</t>
  </si>
  <si>
    <t>≥4.5</t>
  </si>
  <si>
    <t>曹燃新能源&lt;曹妃甸&gt;</t>
  </si>
  <si>
    <t>曹妃甸</t>
  </si>
  <si>
    <t>≥3.2</t>
  </si>
  <si>
    <t>唐山科嘉&lt;3#&gt;</t>
  </si>
  <si>
    <t>3#</t>
  </si>
  <si>
    <t>2台流量计</t>
  </si>
  <si>
    <t>2路调压撬</t>
  </si>
  <si>
    <t>昆仑能源（泰安）&lt;范镇&gt;</t>
  </si>
  <si>
    <t>范镇</t>
  </si>
  <si>
    <t>泰安泰山&lt;范镇&gt;</t>
  </si>
  <si>
    <t>莱芜新奥&lt;莱芜&gt;</t>
  </si>
  <si>
    <t>莱芜</t>
  </si>
  <si>
    <t>莱芜热力&lt;莱芜&gt;</t>
  </si>
  <si>
    <t>莱芜昆仑&lt;莱钢&gt;</t>
  </si>
  <si>
    <t>淄博城燃&lt;博山&gt;</t>
  </si>
  <si>
    <t>博山</t>
  </si>
  <si>
    <t>淄博城燃&lt;博山北&gt;</t>
  </si>
  <si>
    <t>博山北</t>
  </si>
  <si>
    <t>淄博绿博&lt;淄博北&gt;</t>
  </si>
  <si>
    <t>淄博北</t>
  </si>
  <si>
    <t>≤1</t>
  </si>
  <si>
    <t>淄博华润&lt;沣水&gt;</t>
  </si>
  <si>
    <t>沣水</t>
  </si>
  <si>
    <t>0.5-1.6</t>
  </si>
  <si>
    <t>淄博绿博&lt;沣水&gt;</t>
  </si>
  <si>
    <t>0.9-1.6</t>
  </si>
  <si>
    <t>淄博鑫能&lt;沣水&gt;</t>
  </si>
  <si>
    <t>淄博城燃&lt;寨里&gt;</t>
  </si>
  <si>
    <t>寨里</t>
  </si>
  <si>
    <t>2.5-6.3</t>
  </si>
  <si>
    <t>淄博绿博&lt;寨里&gt;</t>
  </si>
  <si>
    <t>淄博般阳&lt;寨里&gt;</t>
  </si>
  <si>
    <t>淄博昆燃&lt;寨里&gt;</t>
  </si>
  <si>
    <t>临朐昆仑&lt;临朐&gt;</t>
  </si>
  <si>
    <t>临朐</t>
  </si>
  <si>
    <t>山东鲁润&lt;临朐&gt;</t>
  </si>
  <si>
    <t>临沂昆仑&lt;临朐&gt;</t>
  </si>
  <si>
    <t>2-3.5</t>
  </si>
  <si>
    <t>昌乐天泰&lt;泰青威10#&gt;</t>
  </si>
  <si>
    <t>泰青威10#</t>
  </si>
  <si>
    <t>4.5-7.83</t>
  </si>
  <si>
    <t>安丘华润&lt;潍坊&gt;</t>
  </si>
  <si>
    <t>潍坊</t>
  </si>
  <si>
    <t>安丘昆仑&lt;潍坊&gt;</t>
  </si>
  <si>
    <t>潍坊港华&lt;潍坊&gt;</t>
  </si>
  <si>
    <t>2.0-3.0</t>
  </si>
  <si>
    <t>潍坊昆利&lt;潍坊&gt;</t>
  </si>
  <si>
    <t>恒安燃气&lt;潍坊&gt;</t>
  </si>
  <si>
    <t>潍坊新奥&lt;峡山&gt;</t>
  </si>
  <si>
    <t>峡山</t>
  </si>
  <si>
    <t>高密豪佳&lt;高密&gt;</t>
  </si>
  <si>
    <t>高密</t>
  </si>
  <si>
    <t>1.0-4.0</t>
  </si>
  <si>
    <t>高密交运&lt;高密&gt;</t>
  </si>
  <si>
    <t>昌邑美澳&lt;高密&gt;</t>
  </si>
  <si>
    <t>青岛埃维&lt;高密&gt;</t>
  </si>
  <si>
    <t>青岛昆利&lt;青岛&gt;</t>
  </si>
  <si>
    <t>青岛能源&lt;青岛&gt;</t>
  </si>
  <si>
    <t>胶城新奥&lt;青岛&gt;</t>
  </si>
  <si>
    <t>中即港华&lt;青岛&gt;</t>
  </si>
  <si>
    <t>日照输配&lt;东港&gt;</t>
  </si>
  <si>
    <t>东港</t>
  </si>
  <si>
    <t>新奥中油&lt;泰青威日照6#&gt;</t>
  </si>
  <si>
    <t>泊里</t>
  </si>
  <si>
    <t>0.1-6.3</t>
  </si>
  <si>
    <t>南山铝业&lt;泰青威16#&gt;</t>
  </si>
  <si>
    <t>泰青威16#</t>
  </si>
  <si>
    <t>威海港华&lt;威海&gt;</t>
  </si>
  <si>
    <t>威海</t>
  </si>
  <si>
    <t>烟台新奥&lt;烟台&gt;</t>
  </si>
  <si>
    <t>烟台</t>
  </si>
  <si>
    <t>中海日升&lt;莱阳&gt;</t>
  </si>
  <si>
    <t>莱阳</t>
  </si>
  <si>
    <t>莱阳新奥&lt;莱阳&gt;</t>
  </si>
  <si>
    <t>烟台昆仑&lt;莱阳&gt;</t>
  </si>
  <si>
    <t>昆仑绿能&lt;莱阳&gt;</t>
  </si>
  <si>
    <t>2.5-3.6</t>
  </si>
  <si>
    <t>山东华瑞&lt;高密&gt;</t>
  </si>
  <si>
    <t>同心兴俊&lt;中贵3#&gt;</t>
  </si>
  <si>
    <t>中贵3#</t>
  </si>
  <si>
    <t>固原经纬&lt;固原&gt;</t>
  </si>
  <si>
    <t>固原</t>
  </si>
  <si>
    <t>西吉吉源&lt;中贵9#&gt;</t>
  </si>
  <si>
    <t>中贵9#</t>
  </si>
  <si>
    <t>静宁巨能&lt;中贵11#&gt;</t>
  </si>
  <si>
    <t>中贵11#</t>
  </si>
  <si>
    <t>通渭城投&lt;中贵14#&gt;</t>
  </si>
  <si>
    <t>中贵14#</t>
  </si>
  <si>
    <t>秦安天然气&lt;中贵16#&gt;</t>
  </si>
  <si>
    <t>中贵16#</t>
  </si>
  <si>
    <t>7.0~9.2</t>
  </si>
  <si>
    <t>礼县德通&lt;中贵19#&gt;</t>
  </si>
  <si>
    <t>中贵19#</t>
  </si>
  <si>
    <t>6.0~10.0</t>
  </si>
  <si>
    <t>西和成昌&lt;中贵20#&gt;</t>
  </si>
  <si>
    <t>中贵20#</t>
  </si>
  <si>
    <t>4.0-10.0</t>
  </si>
  <si>
    <t>成县川中&lt;中贵22#&gt;</t>
  </si>
  <si>
    <t>中贵22#</t>
  </si>
  <si>
    <t>4-10.0</t>
  </si>
  <si>
    <t>宁强旭日&lt;中贵28#&gt;</t>
  </si>
  <si>
    <t>中贵28#</t>
  </si>
  <si>
    <t>武都宏远&lt;陇南末&gt;</t>
  </si>
  <si>
    <t>陕西天然气&lt;陇南&gt;</t>
  </si>
  <si>
    <t>天水燃气公司&lt;天水&gt;</t>
  </si>
  <si>
    <t>甘谷安济&lt;陇西4#&gt;</t>
  </si>
  <si>
    <t>陇西4#</t>
  </si>
  <si>
    <t>武山金地&lt;陇西6#&gt;</t>
  </si>
  <si>
    <t>陇西6#</t>
  </si>
  <si>
    <t>陇西宏宇燃气&lt;陇西&gt;</t>
  </si>
  <si>
    <t>西南油气田&lt;南部&gt;</t>
  </si>
  <si>
    <t>3用2备</t>
  </si>
  <si>
    <t>西南油气田&lt;武胜&gt;</t>
  </si>
  <si>
    <t>武胜</t>
  </si>
  <si>
    <t>西南油气田&lt;铜梁&gt;</t>
  </si>
  <si>
    <t>铜梁</t>
  </si>
  <si>
    <t>应删除</t>
  </si>
  <si>
    <t>西南油气田（华能）&lt;铜梁&gt;</t>
  </si>
  <si>
    <t>西南油气田&lt;马坊&gt;</t>
  </si>
  <si>
    <t>西南油气田&lt;江津&gt;</t>
  </si>
  <si>
    <t>江津</t>
  </si>
  <si>
    <t>重庆天然气管道&lt;支坪&gt;</t>
  </si>
  <si>
    <t>支坪</t>
  </si>
  <si>
    <t>4.9-6.0</t>
  </si>
  <si>
    <t>西南油气田&lt;广元&gt;</t>
  </si>
  <si>
    <t>广元</t>
  </si>
  <si>
    <t>华气广元&lt;广元&gt;</t>
  </si>
  <si>
    <t>广元市天然气&lt;广元&gt;</t>
  </si>
  <si>
    <t>四川能投&lt;电厂末站&gt;</t>
  </si>
  <si>
    <t>5.44-5.65</t>
  </si>
  <si>
    <t>贵州管网温水&lt;55#阀室&gt;</t>
  </si>
  <si>
    <t>55#阀室</t>
  </si>
  <si>
    <t>2.8-3.6</t>
  </si>
  <si>
    <t>贵州管网&lt;中贵58#&gt;</t>
  </si>
  <si>
    <t>中贵58#</t>
  </si>
  <si>
    <t>贵州管网&lt;遵义&gt;</t>
  </si>
  <si>
    <t>遵义</t>
  </si>
  <si>
    <t>贵州管网&lt;中贵63#&gt;</t>
  </si>
  <si>
    <t>中贵63#</t>
  </si>
  <si>
    <t>贵州管网&lt;中贵63#&gt;A</t>
  </si>
  <si>
    <t>贵州管网内部分输口</t>
  </si>
  <si>
    <t>贵州管网&lt;中贵63#&gt;B</t>
  </si>
  <si>
    <t>贵州管网&lt;中贵66#&gt;</t>
  </si>
  <si>
    <t>中贵66#</t>
  </si>
  <si>
    <t>贵州管网&lt;中贵68#&gt;</t>
  </si>
  <si>
    <t>中贵68#</t>
  </si>
  <si>
    <t>贵州管网&lt;中贵71#&gt;</t>
  </si>
  <si>
    <t>中贵71#</t>
  </si>
  <si>
    <t>1备1用</t>
  </si>
  <si>
    <t>贵州管网&lt;贵阳北&gt;</t>
  </si>
  <si>
    <t>贵阳北</t>
  </si>
  <si>
    <t>贵州管网&lt;贵阳&gt;</t>
  </si>
  <si>
    <t>贵阳</t>
  </si>
  <si>
    <t>贵州管网（燕楼-孟关）&lt;贵阳&gt;</t>
  </si>
  <si>
    <t>贵州管网（燕楼-孟关）&lt;贵阳&gt;A</t>
  </si>
  <si>
    <t>贵州管网（燕楼-孟关）&lt;贵阳&gt;B</t>
  </si>
  <si>
    <t>贵州管网（燕楼-孟关）&lt;贵阳&gt;C</t>
  </si>
  <si>
    <t>榆洲能源&lt;陇西&gt;</t>
  </si>
  <si>
    <t>2台超声波流量计，流量计位号：FI100101
FI100201。</t>
  </si>
  <si>
    <t>云南昆仑&lt;瑞丽&gt;</t>
  </si>
  <si>
    <t>瑞丽</t>
  </si>
  <si>
    <t>德宏中石油昆仑燃气&lt;芒市&gt;</t>
  </si>
  <si>
    <t>芒市</t>
  </si>
  <si>
    <t>云南昆仑&lt;龙陵&gt;</t>
  </si>
  <si>
    <t>龙陵</t>
  </si>
  <si>
    <t>云南昆仑&lt;中缅9#&gt;</t>
  </si>
  <si>
    <t>中缅9#</t>
  </si>
  <si>
    <t>保山中石油昆仑燃气&lt;保山&gt;</t>
  </si>
  <si>
    <t>保山</t>
  </si>
  <si>
    <t>弥渡恒泰&lt;弥渡&gt;</t>
  </si>
  <si>
    <t>弥渡</t>
  </si>
  <si>
    <t>能迅天然气&lt;弥渡&gt;</t>
  </si>
  <si>
    <t>大理苍南&lt;大理&gt;</t>
  </si>
  <si>
    <t>大理</t>
  </si>
  <si>
    <t>大理昆仑燃气&lt;大理&gt;</t>
  </si>
  <si>
    <t>宾川恒泰&lt;丽江2#&gt;</t>
  </si>
  <si>
    <t>丽江2#</t>
  </si>
  <si>
    <t>鹤庆恒泰&lt;丽江4#&gt;</t>
  </si>
  <si>
    <t>丽江4#</t>
  </si>
  <si>
    <t>鹤庆恒泰&lt;丽江6#&gt;</t>
  </si>
  <si>
    <t>丽江6#</t>
  </si>
  <si>
    <t>丽江昆燃&lt;丽江&gt;</t>
  </si>
  <si>
    <t>云南昆仑&lt;中缅17#&gt;</t>
  </si>
  <si>
    <t>中缅17#</t>
  </si>
  <si>
    <t>南华昆能&lt;中缅20#&gt;</t>
  </si>
  <si>
    <t>中缅20#</t>
  </si>
  <si>
    <t>楚雄昆仑燃气&lt;楚雄&gt;</t>
  </si>
  <si>
    <t>楚雄</t>
  </si>
  <si>
    <t>攀枝花川港&lt;楚雄&gt;</t>
  </si>
  <si>
    <t>3.8-6.0</t>
  </si>
  <si>
    <t>禄丰昆仑&lt;禄丰&gt;</t>
  </si>
  <si>
    <t>禄丰</t>
  </si>
  <si>
    <t>禄丰神州&lt;禄丰&gt;</t>
  </si>
  <si>
    <t>云南昆仑&lt;安宁&gt;</t>
  </si>
  <si>
    <t>安宁</t>
  </si>
  <si>
    <t>云南石化&lt;安宁&gt;</t>
  </si>
  <si>
    <t>安宁蓝焰&lt;安宁&gt;</t>
  </si>
  <si>
    <t>安宁锐狮&lt;安宁&gt;</t>
  </si>
  <si>
    <t>云南省天司销售&lt;玉溪1#&gt;</t>
  </si>
  <si>
    <t>玉溪1#</t>
  </si>
  <si>
    <t>安宁昆仑&lt;玉溪1#&gt;</t>
  </si>
  <si>
    <t>晋宁润燃&lt;玉溪3#&gt;</t>
  </si>
  <si>
    <t>玉溪3#</t>
  </si>
  <si>
    <t>云南省天司销售&lt;玉溪&gt;</t>
  </si>
  <si>
    <t>支线压力</t>
  </si>
  <si>
    <t>玉溪燃气&lt;玉溪&gt;</t>
  </si>
  <si>
    <t>云南昆仑&lt;玉溪&gt;</t>
  </si>
  <si>
    <t>2.0-3.8</t>
  </si>
  <si>
    <t>禄丰华煜&lt;23#阀室&gt;</t>
  </si>
  <si>
    <t>一用</t>
  </si>
  <si>
    <t>2.1-3.8</t>
  </si>
  <si>
    <t>云南省天司销售&lt;中缅24#&gt;</t>
  </si>
  <si>
    <t>中缅24#</t>
  </si>
  <si>
    <t>曲靖盛能&lt;马龙&gt;</t>
  </si>
  <si>
    <t>马龙</t>
  </si>
  <si>
    <t>云南昆仑&lt;寻甸&gt;</t>
  </si>
  <si>
    <t>寻甸</t>
  </si>
  <si>
    <t>云南省天司销售&lt;曲靖&gt;</t>
  </si>
  <si>
    <t>曲靖</t>
  </si>
  <si>
    <t>云投能源&lt;曲靖&gt;</t>
  </si>
  <si>
    <t>云投能源&lt;中缅31#&gt;</t>
  </si>
  <si>
    <t>中缅31#</t>
  </si>
  <si>
    <t>1.4-3.5</t>
  </si>
  <si>
    <t>贵州管网&lt;中缅33#&gt;</t>
  </si>
  <si>
    <t>中缅33#</t>
  </si>
  <si>
    <t>二线1用2备</t>
  </si>
  <si>
    <t>3~5</t>
  </si>
  <si>
    <t>贵州管网&lt;中缅35#&gt;</t>
  </si>
  <si>
    <t>中缅35#</t>
  </si>
  <si>
    <t>贵州管网&lt;中缅38#&gt;</t>
  </si>
  <si>
    <t>中缅38#</t>
  </si>
  <si>
    <t>贵州管网&lt;安顺&gt;</t>
  </si>
  <si>
    <t>安顺</t>
  </si>
  <si>
    <t>安顺中石油昆仑百灵&lt;安顺&gt;</t>
  </si>
  <si>
    <t>贵州管网&lt;中缅41#&gt;</t>
  </si>
  <si>
    <t>中缅41#</t>
  </si>
  <si>
    <t>贵州管网&lt;都匀&gt;</t>
  </si>
  <si>
    <t>黔东南昆仑燃气&lt;都匀&gt;</t>
  </si>
  <si>
    <t>都匀坝干CNG&lt;都匀&gt;</t>
  </si>
  <si>
    <t>贵定贵燃&lt;昌明&gt;</t>
  </si>
  <si>
    <t>昌明</t>
  </si>
  <si>
    <t>黔南裕能&lt;福泉&gt;</t>
  </si>
  <si>
    <t>福泉昆仑&lt;福泉&gt;</t>
  </si>
  <si>
    <t>3台超声波流量计，1用2备</t>
  </si>
  <si>
    <t>2路调压撬，1用1备</t>
  </si>
  <si>
    <t>2025.2</t>
  </si>
  <si>
    <t>贵定鼎诚&lt;贵定&gt;</t>
  </si>
  <si>
    <t>贵定</t>
  </si>
  <si>
    <t>独山华润&lt;独山&gt;</t>
  </si>
  <si>
    <t>3.4-3.8</t>
  </si>
  <si>
    <t>平塘方根&lt;平塘&gt;</t>
  </si>
  <si>
    <t>2.5-3.2</t>
  </si>
  <si>
    <t>桂林华能&lt;桂林&gt;</t>
  </si>
  <si>
    <t>3.2-4.0</t>
  </si>
  <si>
    <t>广投管网&lt;桂林&gt;</t>
  </si>
  <si>
    <t>理邦德普&lt;桂林&gt;</t>
  </si>
  <si>
    <t>南宁昆燃&lt;桂林&gt;</t>
  </si>
  <si>
    <t>广投管网&lt;桂林3#&gt;</t>
  </si>
  <si>
    <t>桂林3#</t>
  </si>
  <si>
    <t>广投管网&lt;永福&gt;</t>
  </si>
  <si>
    <t>永福</t>
  </si>
  <si>
    <t>宜州嘉和&lt;宜州&gt;</t>
  </si>
  <si>
    <t>宜州</t>
  </si>
  <si>
    <t>广投管网&lt;宜州&gt;</t>
  </si>
  <si>
    <t>广投管网&lt;来宾&gt;</t>
  </si>
  <si>
    <t>来宾</t>
  </si>
  <si>
    <t>广投管网&lt;柳州&gt;</t>
  </si>
  <si>
    <t>柳州</t>
  </si>
  <si>
    <t>广西昆仑&lt;钦州6#&gt;</t>
  </si>
  <si>
    <t>钦州6#</t>
  </si>
  <si>
    <t>广投管网&lt;钦州6#&gt;</t>
  </si>
  <si>
    <t>2-10.0</t>
  </si>
  <si>
    <t>广西石化&lt;钦州港&gt;</t>
  </si>
  <si>
    <t>钦州港</t>
  </si>
  <si>
    <t>钦州昆燃&lt;钦州港&gt;</t>
  </si>
  <si>
    <t>钦州胜利&lt;钦州港&gt;</t>
  </si>
  <si>
    <t>广投管网&lt;防城港&gt;</t>
  </si>
  <si>
    <t>防城港广盛&lt;防城港&gt;</t>
  </si>
  <si>
    <t>广投管网&lt;河池&gt;</t>
  </si>
  <si>
    <t>广投管网&lt;钦州&gt;</t>
  </si>
  <si>
    <t>贵定盘江&lt;昌明&gt;</t>
  </si>
  <si>
    <t>一备一用</t>
  </si>
  <si>
    <t>云南裕能&lt;安宁&gt;</t>
  </si>
  <si>
    <t>2台超声波
流量计</t>
  </si>
  <si>
    <t>2路调压</t>
  </si>
  <si>
    <t>3.2-3.6</t>
  </si>
  <si>
    <t>昆仑天诚&lt;松岚&gt;</t>
  </si>
  <si>
    <t>松岚</t>
  </si>
  <si>
    <t>大连德泰港华&lt;松岚&gt;</t>
  </si>
  <si>
    <t>大连恒宸&lt;松岚&gt;</t>
  </si>
  <si>
    <t>辽宁正润&lt;营口&gt;</t>
  </si>
  <si>
    <t>营口</t>
  </si>
  <si>
    <t>营口宝明&lt;营口&gt;</t>
  </si>
  <si>
    <t>营口绿源&lt;营口&gt;</t>
  </si>
  <si>
    <t>营口煤气&lt;营口&gt;</t>
  </si>
  <si>
    <t>1.5-2.0</t>
  </si>
  <si>
    <t>中石新亚&lt;营口&gt;</t>
  </si>
  <si>
    <t>≥1.6</t>
  </si>
  <si>
    <t>辽河燃气营口公司&lt;鲅鱼圈&gt;</t>
  </si>
  <si>
    <t>鲅鱼圈</t>
  </si>
  <si>
    <t>用户资产</t>
  </si>
  <si>
    <t>1用1备（代维）</t>
  </si>
  <si>
    <t>辽河油田&lt;辽鞍&gt;</t>
  </si>
  <si>
    <t>辽鞍</t>
  </si>
  <si>
    <t>辽阳奥德&lt;辽鞍&gt;</t>
  </si>
  <si>
    <t>2.8-3.2</t>
  </si>
  <si>
    <t>盘锦鼎盛&lt;沈抚&gt;</t>
  </si>
  <si>
    <t>沈抚</t>
  </si>
  <si>
    <t>辽阳中燃输配&lt;沈抚&gt;</t>
  </si>
  <si>
    <t>西太石化&lt;西太平洋石化&gt;</t>
  </si>
  <si>
    <t>西太平洋石化</t>
  </si>
  <si>
    <t>大连高压管道&lt;大连&gt;</t>
  </si>
  <si>
    <t>大连石化&lt;大连&gt;</t>
  </si>
  <si>
    <t>吉通燃气&lt;大连&gt;</t>
  </si>
  <si>
    <t>大连燃气&lt;大连&gt;</t>
  </si>
  <si>
    <t>普兰店中燃&lt;大沈6#&gt;</t>
  </si>
  <si>
    <t>大沈6#</t>
  </si>
  <si>
    <t>大连长兴昆仑&lt;大沈9#&gt;</t>
  </si>
  <si>
    <t>大沈9#</t>
  </si>
  <si>
    <t>盖州中燃&lt;大沈16#&gt;</t>
  </si>
  <si>
    <t>大沈16#</t>
  </si>
  <si>
    <t>辽河海城后英&lt;大沈18#&gt;</t>
  </si>
  <si>
    <t>大沈18#</t>
  </si>
  <si>
    <t>3.5-8</t>
  </si>
  <si>
    <t>鞍山恒德&lt;大沈19#&gt;</t>
  </si>
  <si>
    <t>大沈19#</t>
  </si>
  <si>
    <t>沈阳港华&lt;大沈21#&gt;</t>
  </si>
  <si>
    <t>大沈21#</t>
  </si>
  <si>
    <t>3.5-10.0</t>
  </si>
  <si>
    <t>近海昆仑&lt;大沈21#&gt;</t>
  </si>
  <si>
    <t>本溪港华&lt;抚顺3#&gt;</t>
  </si>
  <si>
    <t>抚顺3#</t>
  </si>
  <si>
    <t>3.0-6.3</t>
  </si>
  <si>
    <t>沈阳东油&lt;抚顺3#&gt;</t>
  </si>
  <si>
    <t>沈阳中燃&lt;抚顺3#&gt;</t>
  </si>
  <si>
    <t>3.5-6.3</t>
  </si>
  <si>
    <t>沈抚燃气&lt;抚顺&gt;</t>
  </si>
  <si>
    <t>抚顺昆仑&lt;抚顺&gt;</t>
  </si>
  <si>
    <t>抚顺石化&lt;抚顺&gt;A</t>
  </si>
  <si>
    <t>抚顺石化&lt;抚顺&gt;B</t>
  </si>
  <si>
    <t>抚顺石化&lt;抚顺&gt;C</t>
  </si>
  <si>
    <t>抚顺中燃&lt;抚顺&gt;</t>
  </si>
  <si>
    <t>辽宁宝恒&lt;营盘4#&gt;</t>
  </si>
  <si>
    <t>营盘4#</t>
  </si>
  <si>
    <t>盘锦德奥&lt;营盘4#&gt;</t>
  </si>
  <si>
    <t>新世纪燃气&lt;瓦房店&gt;</t>
  </si>
  <si>
    <t>瓦房店</t>
  </si>
  <si>
    <t>1-2.5</t>
  </si>
  <si>
    <t>泰兴燃气&lt;秦沈2#&gt;</t>
  </si>
  <si>
    <t>六期待报</t>
  </si>
  <si>
    <t>秦沈2#</t>
  </si>
  <si>
    <t>绥中昆仑&lt;秦沈3#&gt;</t>
  </si>
  <si>
    <t>秦沈3#</t>
  </si>
  <si>
    <t>绥中大地&lt;秦沈5#&gt;</t>
  </si>
  <si>
    <t>秦沈5#</t>
  </si>
  <si>
    <t>辽河葫芦岛&lt;葫芦岛&gt;</t>
  </si>
  <si>
    <t>锦西石化&lt;葫芦岛&gt;</t>
  </si>
  <si>
    <t>葫芦岛新奥&lt;葫芦岛末&gt;</t>
  </si>
  <si>
    <t>葫芦岛末</t>
  </si>
  <si>
    <t>中石油北燃(锦州)&lt;汤河子&gt;</t>
  </si>
  <si>
    <t>汤河子</t>
  </si>
  <si>
    <t>辽河朝阳&lt;汤河子&gt;</t>
  </si>
  <si>
    <t>3.0-5.8</t>
  </si>
  <si>
    <t>锦州石化&lt;锦州石化&gt;</t>
  </si>
  <si>
    <t>2.5-3.8</t>
  </si>
  <si>
    <t>锦州中燃&lt;锦州&gt;</t>
  </si>
  <si>
    <t>锦州</t>
  </si>
  <si>
    <t>锦州中油&lt;锦州&gt;</t>
  </si>
  <si>
    <t>中石油北燃(锦州)&lt;锦州&gt;</t>
  </si>
  <si>
    <t>0.8-2.4</t>
  </si>
  <si>
    <t>辽河锦州CNG&lt;锦州&gt;</t>
  </si>
  <si>
    <t>华锦化工&lt;盘锦&gt;</t>
  </si>
  <si>
    <t>盘山盛泰&lt;盘锦&gt;</t>
  </si>
  <si>
    <t>2.6-4.0</t>
  </si>
  <si>
    <t>辽河勘探&lt;盘锦&gt;</t>
  </si>
  <si>
    <t>2.0-2.5</t>
  </si>
  <si>
    <t>辽河石化&lt;盘锦&gt;</t>
  </si>
  <si>
    <t>辽河油田&lt;盘锦&gt;</t>
  </si>
  <si>
    <t>黑山奥德&lt;秦沈15#&gt;</t>
  </si>
  <si>
    <t>秦沈15#</t>
  </si>
  <si>
    <t>辽宁中汇环保&lt;秦沈16#&gt;</t>
  </si>
  <si>
    <t>秦沈16#</t>
  </si>
  <si>
    <t>台安德源&lt;秦沈16#&gt;</t>
  </si>
  <si>
    <t>新民昆仑&lt;秦沈19#&gt;</t>
  </si>
  <si>
    <t>秦沈19#</t>
  </si>
  <si>
    <t>新民日新&lt;沈阳&gt;</t>
  </si>
  <si>
    <t>沈阳奥德&lt;沈阳&gt;</t>
  </si>
  <si>
    <t>沈阳德源&lt;沈阳&gt;</t>
  </si>
  <si>
    <t>辽河油田&lt;沈阳&gt;</t>
  </si>
  <si>
    <t>沈阳燃气&lt;沈阳末&gt;</t>
  </si>
  <si>
    <t>沈阳末</t>
  </si>
  <si>
    <t>0-10</t>
  </si>
  <si>
    <t>中海恒宸&lt;沈阳北&gt;</t>
  </si>
  <si>
    <t>沈阳北</t>
  </si>
  <si>
    <t>2.5－4.0</t>
  </si>
  <si>
    <t>铁岭奥德&lt;铁岭&gt;</t>
  </si>
  <si>
    <t>铁岭</t>
  </si>
  <si>
    <t>铁岭港华&lt;铁岭&gt;</t>
  </si>
  <si>
    <t>铁岭港华&lt;开原&gt;</t>
  </si>
  <si>
    <t>开原</t>
  </si>
  <si>
    <t>隆圣峰&lt;昌图&gt;</t>
  </si>
  <si>
    <t>昌图</t>
  </si>
  <si>
    <t>昌图奥德&lt;昌图&gt;</t>
  </si>
  <si>
    <t>东油华德&lt;哈沈13#&gt;</t>
  </si>
  <si>
    <t>哈沈13#</t>
  </si>
  <si>
    <t>5.0-8.0</t>
  </si>
  <si>
    <t>梨树中联石化&lt;四平&gt;</t>
  </si>
  <si>
    <t>四平</t>
  </si>
  <si>
    <t xml:space="preserve"> 1用1备</t>
  </si>
  <si>
    <t>3.2-5.0</t>
  </si>
  <si>
    <t>四平奥德&lt;四平&gt;</t>
  </si>
  <si>
    <t>四平华生&lt;四平&gt;</t>
  </si>
  <si>
    <t>科宜思通&lt;四平&gt;</t>
  </si>
  <si>
    <t>柳河昆仑&lt;白山9#&gt;</t>
  </si>
  <si>
    <t>白山9#</t>
  </si>
  <si>
    <t>SCADA无</t>
  </si>
  <si>
    <t>公主岭港华&lt;公主岭&gt;</t>
  </si>
  <si>
    <t>公主岭</t>
  </si>
  <si>
    <t xml:space="preserve"> 1用2备</t>
  </si>
  <si>
    <t>中益盛&lt;公主岭&gt;</t>
  </si>
  <si>
    <t>吉林油田&lt;长岭&gt;</t>
  </si>
  <si>
    <t>反输管线不远控</t>
  </si>
  <si>
    <t>长春昆仑&lt;哈沈8#&gt;</t>
  </si>
  <si>
    <t>哈沈8#</t>
  </si>
  <si>
    <t>吉港德惠&lt;长春&gt;</t>
  </si>
  <si>
    <t>长春</t>
  </si>
  <si>
    <t>3.7~8.9</t>
  </si>
  <si>
    <t>长春德惠&lt;长春&gt;</t>
  </si>
  <si>
    <t>长春燃气&lt;长春&gt;</t>
  </si>
  <si>
    <t>长春天然气&lt;长春&gt;</t>
  </si>
  <si>
    <t>德惠坤森&lt;长春&gt;</t>
  </si>
  <si>
    <t>辽源华润&lt;辽源&gt;</t>
  </si>
  <si>
    <t>辽源</t>
  </si>
  <si>
    <t>梅河口燃气&lt;梅河口&gt;</t>
  </si>
  <si>
    <t>梅河口</t>
  </si>
  <si>
    <t>通化华润&lt;通化&gt;</t>
  </si>
  <si>
    <t>通化</t>
  </si>
  <si>
    <t>通化燃气&lt;通化&gt;</t>
  </si>
  <si>
    <t>通化昆仑&lt;通化&gt;</t>
  </si>
  <si>
    <t>3.3-3.6</t>
  </si>
  <si>
    <t>白山伟业&lt;白山&gt;</t>
  </si>
  <si>
    <t>白山信诺利&lt;白山&gt;</t>
  </si>
  <si>
    <t>磐石大地&lt;磐石&gt;</t>
  </si>
  <si>
    <t>磐石</t>
  </si>
  <si>
    <t>2.5-6.0</t>
  </si>
  <si>
    <t>2024.09</t>
  </si>
  <si>
    <t>中石化天销&lt;四平&gt;</t>
  </si>
  <si>
    <t>大庆徐深1&lt;大庆&gt;</t>
  </si>
  <si>
    <t>大庆</t>
  </si>
  <si>
    <t>4.0-4.5</t>
  </si>
  <si>
    <t>中晟国金&lt;大庆&gt;</t>
  </si>
  <si>
    <t>&lt;5.8</t>
  </si>
  <si>
    <t>气电公司&lt;黑河&gt;</t>
  </si>
  <si>
    <t>黑河</t>
  </si>
  <si>
    <t>5.5-6.3</t>
  </si>
  <si>
    <t>黑龙江昆仑&lt;哈尔滨北&gt;</t>
  </si>
  <si>
    <t>哈尔滨北</t>
  </si>
  <si>
    <t>≤12</t>
  </si>
  <si>
    <r>
      <rPr>
        <sz val="12"/>
        <rFont val="华文仿宋"/>
        <charset val="134"/>
      </rPr>
      <t>隆圣峰</t>
    </r>
    <r>
      <rPr>
        <sz val="12"/>
        <color rgb="FF141E31"/>
        <rFont val="华文仿宋"/>
        <charset val="134"/>
      </rPr>
      <t>&lt;通辽&gt;</t>
    </r>
  </si>
  <si>
    <t>通辽</t>
  </si>
  <si>
    <t>4.0-5.67</t>
  </si>
  <si>
    <t>大庆油田双合首站&lt;双合&gt;</t>
  </si>
  <si>
    <t>双合</t>
  </si>
  <si>
    <t>3.0-10</t>
  </si>
  <si>
    <t>吉林油田&lt;中俄长岭&gt;</t>
  </si>
  <si>
    <t>中俄长岭</t>
  </si>
  <si>
    <t>4.0-9.0</t>
  </si>
  <si>
    <t>中油金鸿&lt;绥化&gt;</t>
  </si>
  <si>
    <t>绥化</t>
  </si>
  <si>
    <t>0.6-3.5</t>
  </si>
  <si>
    <t>东方庆源&lt;肇源&gt;</t>
  </si>
  <si>
    <t>肇源</t>
  </si>
  <si>
    <t>3.0-12</t>
  </si>
  <si>
    <t>大庆贝拓&lt;肇源&gt;</t>
  </si>
  <si>
    <t>2台超声波流量计，1用1备</t>
  </si>
  <si>
    <t>4.0-11.85</t>
  </si>
  <si>
    <t>2025.1</t>
  </si>
  <si>
    <t>迁控恒能&lt;CY36#&gt;</t>
  </si>
  <si>
    <t>中俄CY36#</t>
  </si>
  <si>
    <t>山东济华&lt;济南西&gt;</t>
  </si>
  <si>
    <t>济南西</t>
  </si>
  <si>
    <t>奥德集团&lt;临沂&gt;</t>
  </si>
  <si>
    <t>2.8-3.3</t>
  </si>
  <si>
    <t>灌南中裕&lt;灌南&gt;</t>
  </si>
  <si>
    <t>灌南</t>
  </si>
  <si>
    <t>灌南新奥&lt;灌南&gt;</t>
  </si>
  <si>
    <t>东台昆仑&lt;东台&gt;</t>
  </si>
  <si>
    <t>东台</t>
  </si>
  <si>
    <t>阜宁泰达&lt;阜宁&gt;</t>
  </si>
  <si>
    <t>建湖新奥&lt;盐城&gt;</t>
  </si>
  <si>
    <t>盐城</t>
  </si>
  <si>
    <t>建湖昆仑&lt;盐城&gt;</t>
  </si>
  <si>
    <t>盐城紫源&lt;盐都&gt;</t>
  </si>
  <si>
    <t>盐都</t>
  </si>
  <si>
    <t>兴化新奥&lt;兴化&gt;</t>
  </si>
  <si>
    <t>兴化</t>
  </si>
  <si>
    <t>济宁昆仑&lt;泗水&gt;</t>
  </si>
  <si>
    <t>泗水</t>
  </si>
  <si>
    <t>常熟昆仑&lt;常熟&gt;</t>
  </si>
  <si>
    <t xml:space="preserve">常熟 </t>
  </si>
  <si>
    <t>克东晟丰&lt;克东&gt;</t>
  </si>
  <si>
    <t>克东</t>
  </si>
  <si>
    <t>吉林赛普&lt;赛普计量站&gt;</t>
  </si>
  <si>
    <t>赛普计量站</t>
  </si>
  <si>
    <t>交投壮龙&lt;齐齐哈尔&gt;</t>
  </si>
  <si>
    <t>齐齐哈尔</t>
  </si>
  <si>
    <t>4-6.3</t>
  </si>
  <si>
    <t>江苏东能&lt;南通&gt;</t>
  </si>
  <si>
    <t>2025.5.21</t>
  </si>
  <si>
    <t>吉林惠农&lt;长长吉6#&gt;</t>
  </si>
  <si>
    <t>长长吉6#</t>
  </si>
  <si>
    <t>九台大地&lt;长长吉6#&gt;</t>
  </si>
  <si>
    <t>九台中油洁能&lt;长长吉6#&gt;</t>
  </si>
  <si>
    <t>吉林城燃&lt;吉林&gt;</t>
  </si>
  <si>
    <t>吉林</t>
  </si>
  <si>
    <t>吉林港华&lt;吉林&gt;</t>
  </si>
  <si>
    <t>吉林城燃&lt;吉化&gt;</t>
  </si>
  <si>
    <t>吉化</t>
  </si>
  <si>
    <t>吉林吉龙&lt;吉化&gt;</t>
  </si>
  <si>
    <t>彭阳金地&lt;彭阳&gt;</t>
  </si>
  <si>
    <t>彭阳</t>
  </si>
  <si>
    <t>2.0-3.2</t>
  </si>
  <si>
    <t>固原中燃&lt;固原&gt;</t>
  </si>
  <si>
    <t>3.2-8.2</t>
  </si>
  <si>
    <t>靖边隆丰&lt;靖边&gt;</t>
  </si>
  <si>
    <t>3.3-3.8</t>
  </si>
  <si>
    <t>中宁昆仑&lt;中靖3#&gt;</t>
  </si>
  <si>
    <t>中靖3#</t>
  </si>
  <si>
    <t>宁夏长燃&lt;红寺堡&gt;</t>
  </si>
  <si>
    <t>红寺堡</t>
  </si>
  <si>
    <t>宁夏新凯能源&lt;太阳山&gt;</t>
  </si>
  <si>
    <t>太阳山</t>
  </si>
  <si>
    <t>宁夏新捷&lt;太阳山&gt;</t>
  </si>
  <si>
    <t>宁夏长明&lt;太阳山&gt;</t>
  </si>
  <si>
    <t>庆阳钻宇&lt;平泉&gt;</t>
  </si>
  <si>
    <t>平泉</t>
  </si>
  <si>
    <t>≤4.8</t>
  </si>
  <si>
    <t>泾川华天&lt;泾川&gt;</t>
  </si>
  <si>
    <t>泾川</t>
  </si>
  <si>
    <t>6-9.9</t>
  </si>
  <si>
    <t>灵台中燃&lt;灵台&gt;</t>
  </si>
  <si>
    <t>灵台</t>
  </si>
  <si>
    <t>永寿玉祥&lt;乾县西&gt;</t>
  </si>
  <si>
    <t>乾县西</t>
  </si>
  <si>
    <t>5.2-9.5</t>
  </si>
  <si>
    <t>咸阳天然气&lt;乾县东&gt;</t>
  </si>
  <si>
    <t>乾县东</t>
  </si>
  <si>
    <t>长庆石化&lt;泾阳&gt;</t>
  </si>
  <si>
    <t>泾阳</t>
  </si>
  <si>
    <t>礼泉胜利&lt;礼泉&gt;</t>
  </si>
  <si>
    <t>礼泉</t>
  </si>
  <si>
    <t>6-8.0</t>
  </si>
  <si>
    <t>高陵玉祥&lt;高陵&gt;</t>
  </si>
  <si>
    <t>高陵</t>
  </si>
  <si>
    <t>5.33-9.5</t>
  </si>
  <si>
    <t>陕西省天然气&lt;高陵&gt;</t>
  </si>
  <si>
    <t>西安秦华&lt;高陵&gt;</t>
  </si>
  <si>
    <t>西咸昆仑&lt;高陵&gt;</t>
  </si>
  <si>
    <t>渭南煤层气&lt;渭南京蓝&gt;</t>
  </si>
  <si>
    <t>渭南京蓝</t>
  </si>
  <si>
    <t>6.2-8.2</t>
  </si>
  <si>
    <t>渭南京蓝&lt;渭南京蓝&gt;</t>
  </si>
  <si>
    <t>6.2-8.7</t>
  </si>
  <si>
    <t>渭南西潼&lt;华阴&gt;</t>
  </si>
  <si>
    <t>华阴</t>
  </si>
  <si>
    <t>华阴京蓝&lt;华阴&gt;</t>
  </si>
  <si>
    <t>潼关天然气&lt;潼关&gt;</t>
  </si>
  <si>
    <t>潼关</t>
  </si>
  <si>
    <t>三门峡中裕&lt;三门峡&gt;</t>
  </si>
  <si>
    <t>三门峡</t>
  </si>
  <si>
    <t>陕县吉能&lt;三门峡&gt;</t>
  </si>
  <si>
    <t>洛宁昆仑&lt;洛宁&gt;</t>
  </si>
  <si>
    <t>洛宁</t>
  </si>
  <si>
    <t>2.2-3.7</t>
  </si>
  <si>
    <t>宜阳中油&lt;洛阳末&gt;</t>
  </si>
  <si>
    <t>洛阳末</t>
  </si>
  <si>
    <t>已投用</t>
  </si>
  <si>
    <t>河南煤气&lt;洛阳末&gt;</t>
  </si>
  <si>
    <t>洛阳新奥&lt;洛阳末&gt;</t>
  </si>
  <si>
    <t>伊川昆仑&lt;洛阳&gt;</t>
  </si>
  <si>
    <t>洛阳新奥&lt;洛阳&gt;</t>
  </si>
  <si>
    <t>伊川南海&lt;洛阳&gt;</t>
  </si>
  <si>
    <t>鲁山南海&lt;鲁山&gt;</t>
  </si>
  <si>
    <t>鲁山</t>
  </si>
  <si>
    <t>河南天伦&lt;鲁山&gt;</t>
  </si>
  <si>
    <t>3.6-5.5</t>
  </si>
  <si>
    <t>河南天伦&lt;平顶山&gt;</t>
  </si>
  <si>
    <t>平顶山</t>
  </si>
  <si>
    <t>河南蓝天&lt;南阳&gt;</t>
  </si>
  <si>
    <t>南阳</t>
  </si>
  <si>
    <t>4.0-5.5</t>
  </si>
  <si>
    <t>南阳华润&lt;南阳&gt;</t>
  </si>
  <si>
    <t>南阳昆仑&lt;南阳&gt;</t>
  </si>
  <si>
    <t>唐河华嘉盛&lt;南阳&gt;</t>
  </si>
  <si>
    <t>4.0-5.0</t>
  </si>
  <si>
    <t>随县政泰&lt;随州&gt;</t>
  </si>
  <si>
    <t>随州</t>
  </si>
  <si>
    <t>0.5-3.5</t>
  </si>
  <si>
    <t>十堰昆仑&lt;十堰&gt;</t>
  </si>
  <si>
    <t>十堰</t>
  </si>
  <si>
    <t>湖北利用&lt;十堰&gt;</t>
  </si>
  <si>
    <t>襄阳华润&lt;江北&gt;</t>
  </si>
  <si>
    <t>江北</t>
  </si>
  <si>
    <t>1.0-3.5</t>
  </si>
  <si>
    <t>襄阳华电&lt;江北&gt;</t>
  </si>
  <si>
    <t>3.1-3.8</t>
  </si>
  <si>
    <t>谷城华润&lt;仙人渡&gt;</t>
  </si>
  <si>
    <t>仙人渡</t>
  </si>
  <si>
    <t>1.5-2.2</t>
  </si>
  <si>
    <t>老河口中燃&lt;仙人渡&gt;</t>
  </si>
  <si>
    <t>湖北同相&lt;枣十9#&gt;</t>
  </si>
  <si>
    <t>枣十9#</t>
  </si>
  <si>
    <t>≤6.3</t>
  </si>
  <si>
    <t>昆仑燃气&lt;丹江口北&gt;</t>
  </si>
  <si>
    <t>丹江口北</t>
  </si>
  <si>
    <t>2.5-6.2</t>
  </si>
  <si>
    <t>孝昌嘉旭&lt;孝感&gt;</t>
  </si>
  <si>
    <t>孝感</t>
  </si>
  <si>
    <t>3.6-5.3</t>
  </si>
  <si>
    <t>孝感昆仑&lt;孝感&gt;</t>
  </si>
  <si>
    <t>最高9.4</t>
  </si>
  <si>
    <t>武汉高压管网&lt;黄陂&gt;</t>
  </si>
  <si>
    <t>黄陂</t>
  </si>
  <si>
    <t>2.4-5.6</t>
  </si>
  <si>
    <t>黄冈环孚&lt;黄冈&gt;</t>
  </si>
  <si>
    <t>黄冈</t>
  </si>
  <si>
    <t>2.0-5.5</t>
  </si>
  <si>
    <t>黄冈能源&lt;黄冈&gt;</t>
  </si>
  <si>
    <t>6.0-7.0</t>
  </si>
  <si>
    <t>黄冈中燃&lt;黄州&gt;</t>
  </si>
  <si>
    <t>黄州</t>
  </si>
  <si>
    <t>2025.6.29</t>
  </si>
  <si>
    <t>中油中泰蕲春&lt;蕲春&gt;</t>
  </si>
  <si>
    <t>蕲春</t>
  </si>
  <si>
    <t>5-9.5</t>
  </si>
  <si>
    <t>武穴中燃&lt;武穴&gt;</t>
  </si>
  <si>
    <t>武穴</t>
  </si>
  <si>
    <t>0.5-5.0</t>
  </si>
  <si>
    <t>枣阳华润&lt;枣十1#&gt;</t>
  </si>
  <si>
    <t>枣十1#</t>
  </si>
  <si>
    <t>1.0-3.0</t>
  </si>
  <si>
    <t>景镇能源&lt;宜春&gt;</t>
  </si>
  <si>
    <t>宜春</t>
  </si>
  <si>
    <t>醴陵新奥&lt;醴陵&gt;</t>
  </si>
  <si>
    <t>醴陵</t>
  </si>
  <si>
    <t>2.5-5.3</t>
  </si>
  <si>
    <t>醴陵中油&lt;醴陵&gt;</t>
  </si>
  <si>
    <t>株洲金城&lt;株洲&gt;</t>
  </si>
  <si>
    <t>株洲</t>
  </si>
  <si>
    <t>株洲新奥&lt;株洲&gt;</t>
  </si>
  <si>
    <t>京城燃气&lt;株洲&gt;</t>
  </si>
  <si>
    <t>醴陵中油&lt;湘潭&gt;</t>
  </si>
  <si>
    <t>湘潭</t>
  </si>
  <si>
    <t>株洲新奥&lt;湘潭&gt;</t>
  </si>
  <si>
    <t>1.3-1.6</t>
  </si>
  <si>
    <t>湘娄邵昆仑&lt;湘潭&gt;</t>
  </si>
  <si>
    <t>3.0-4.5</t>
  </si>
  <si>
    <t>湘潭代输新奥&lt;湘潭&gt;</t>
  </si>
  <si>
    <t>湘潭新奥&lt;湘潭&gt;</t>
  </si>
  <si>
    <t>衡阳天然气&lt;湘潭&gt;A</t>
  </si>
  <si>
    <t>衡阳天然气&lt;湘潭&gt;B</t>
  </si>
  <si>
    <t>长沙新奥&lt;湘潭&gt;</t>
  </si>
  <si>
    <t>江西国发&lt;九江&gt;</t>
  </si>
  <si>
    <t>九江</t>
  </si>
  <si>
    <t>2.8-4.0</t>
  </si>
  <si>
    <t>九江国发&lt;九江&gt;</t>
  </si>
  <si>
    <t>九江深燃&lt;九江&gt;</t>
  </si>
  <si>
    <t>安义中油&lt;昌北&gt;</t>
  </si>
  <si>
    <t>昌北</t>
  </si>
  <si>
    <t>南昌燃气&lt;昌北&gt;</t>
  </si>
  <si>
    <t>高安泰达&lt;南昌&gt;</t>
  </si>
  <si>
    <t>南昌</t>
  </si>
  <si>
    <t>南昌燃气&lt;昌东&gt;</t>
  </si>
  <si>
    <t>昌东</t>
  </si>
  <si>
    <t>昌南CNG&lt;昌东&gt;</t>
  </si>
  <si>
    <t>江西国能&lt;上海4#&gt;</t>
  </si>
  <si>
    <t>上海4#</t>
  </si>
  <si>
    <t>江西省公司&lt;抚州&gt;</t>
  </si>
  <si>
    <t>抚州</t>
  </si>
  <si>
    <t>0-5.6</t>
  </si>
  <si>
    <t>铅山深燃&lt;上海11#&gt;</t>
  </si>
  <si>
    <t>上海11#</t>
  </si>
  <si>
    <t>上饶CNG&lt;上饶&gt;</t>
  </si>
  <si>
    <t>上饶</t>
  </si>
  <si>
    <t>上饶大通&lt;上饶&gt;</t>
  </si>
  <si>
    <t>弋阳长燃&lt;上海11#&gt;</t>
  </si>
  <si>
    <t>横峰昆仑&lt;上海11#&gt;</t>
  </si>
  <si>
    <t>江西瀚蓝&lt;樟树&gt;</t>
  </si>
  <si>
    <t>樟树港华&lt;樟树&gt;</t>
  </si>
  <si>
    <t>新余燃气&lt;新余&gt;</t>
  </si>
  <si>
    <t>新余</t>
  </si>
  <si>
    <t>4.0-5.2</t>
  </si>
  <si>
    <t>鹰潭华润&lt;鹰潭&gt;</t>
  </si>
  <si>
    <t>鹰潭</t>
  </si>
  <si>
    <t>吉安CNG&lt;吉安&gt;</t>
  </si>
  <si>
    <t>吉安</t>
  </si>
  <si>
    <t>吉安华润&lt;吉安&gt;</t>
  </si>
  <si>
    <t>2.8-5.7</t>
  </si>
  <si>
    <t>井冈山天然气&lt;吉安&gt;</t>
  </si>
  <si>
    <t>宜春深燃&lt;宜春&gt;</t>
  </si>
  <si>
    <t>宜春深燃&lt;宜春&gt;B</t>
  </si>
  <si>
    <t>分宜顺民&lt;分宜&gt;</t>
  </si>
  <si>
    <t>分宜</t>
  </si>
  <si>
    <t>萍乡昆仑&lt;萍乡&gt;</t>
  </si>
  <si>
    <t>萍乡</t>
  </si>
  <si>
    <t>萍乡中油&lt;萍乡&gt;</t>
  </si>
  <si>
    <t>萍乡新奥长丰&lt;樟湘7#&gt;</t>
  </si>
  <si>
    <t>樟湘7#</t>
  </si>
  <si>
    <t>赣州CNG&lt;赣州&gt;</t>
  </si>
  <si>
    <t>赣州</t>
  </si>
  <si>
    <t>赣州深燃&lt;赣州&gt;</t>
  </si>
  <si>
    <t>2.8-4.1</t>
  </si>
  <si>
    <t>大余中油&lt;西二149#&gt;</t>
  </si>
  <si>
    <t>西二149#</t>
  </si>
  <si>
    <t>南雄佛燃&lt;南雄&gt;</t>
  </si>
  <si>
    <t>南雄</t>
  </si>
  <si>
    <t>韶关港华&lt;韶关&gt;</t>
  </si>
  <si>
    <t>韶关</t>
  </si>
  <si>
    <t>始兴昆仑&lt;韶关&gt;</t>
  </si>
  <si>
    <t>从化昆仑&lt;广州&gt;</t>
  </si>
  <si>
    <t>广州</t>
  </si>
  <si>
    <t>广州燃气&lt;广州&gt;</t>
  </si>
  <si>
    <t>深圳燃气&lt;求雨岭&gt;</t>
  </si>
  <si>
    <t>求雨岭</t>
  </si>
  <si>
    <t>光明电厂&lt;广深17#&gt;</t>
  </si>
  <si>
    <t>广深17#</t>
  </si>
  <si>
    <t xml:space="preserve">无
</t>
  </si>
  <si>
    <t>东莞樟洋电厂&lt;樟木头&gt;</t>
  </si>
  <si>
    <t>樟木头</t>
  </si>
  <si>
    <t>3.4-8.0</t>
  </si>
  <si>
    <t>东莞新奥&lt;东莞&gt;A</t>
  </si>
  <si>
    <t>东莞</t>
  </si>
  <si>
    <t>4.0-7.0</t>
  </si>
  <si>
    <t>东莞新奥&lt;东莞&gt;B</t>
  </si>
  <si>
    <t>华能谢岗&lt;东莞&gt;</t>
  </si>
  <si>
    <t>香港青电&lt;大铲岛&gt;</t>
  </si>
  <si>
    <t>大铲岛</t>
  </si>
  <si>
    <t>妈湾电厂&lt;大铲岛&gt;</t>
  </si>
  <si>
    <t>常德中油&lt;望城&gt;</t>
  </si>
  <si>
    <t>望城</t>
  </si>
  <si>
    <t>不调压</t>
  </si>
  <si>
    <t>苏州大唐&lt;吴江&gt;</t>
  </si>
  <si>
    <t>吴江</t>
  </si>
  <si>
    <t>≥3.5</t>
  </si>
  <si>
    <t>吴江管网&lt;吴江&gt;</t>
  </si>
  <si>
    <t>吴江热电&lt;吴江&gt;</t>
  </si>
  <si>
    <t>汾湖昆仑&lt;吴江&gt;</t>
  </si>
  <si>
    <t>昆仑中燃&lt;萧山&gt;</t>
  </si>
  <si>
    <t>萧山</t>
  </si>
  <si>
    <t>3.6~3.85</t>
  </si>
  <si>
    <t>中燃&lt;萧山&gt;</t>
  </si>
  <si>
    <t>浙江省公司&lt;嘉兴&gt;</t>
  </si>
  <si>
    <t>嘉兴</t>
  </si>
  <si>
    <t>4.3-6.3</t>
  </si>
  <si>
    <t>金华大唐电厂&lt;金华大唐电厂分输站&gt;</t>
  </si>
  <si>
    <t>5.5-6.5</t>
  </si>
  <si>
    <t>2025.10.17</t>
  </si>
  <si>
    <t>平湖独山&lt;上海43#&gt;</t>
  </si>
  <si>
    <t>上海43#</t>
  </si>
  <si>
    <t>下游计量</t>
  </si>
  <si>
    <t>4.0-9.9</t>
  </si>
  <si>
    <t>上海管网&lt;金山&gt;</t>
  </si>
  <si>
    <t>金山</t>
  </si>
  <si>
    <t>4.4-5.5</t>
  </si>
  <si>
    <t>曹县东合&lt;曹县&gt;</t>
  </si>
  <si>
    <t>曹县</t>
  </si>
  <si>
    <t>菏泽嘉宁&lt;菏泽&gt;</t>
  </si>
  <si>
    <t>菏泽</t>
  </si>
  <si>
    <t>菏泽昆仑&lt;菏泽&gt;</t>
  </si>
  <si>
    <t>1.0—2.0</t>
  </si>
  <si>
    <t>菏泽昆鹏&lt;菏泽&gt;</t>
  </si>
  <si>
    <t>2.5—4.0</t>
  </si>
  <si>
    <t>菏泽胜利&lt;菏泽&gt;</t>
  </si>
  <si>
    <t>＞4</t>
  </si>
  <si>
    <t>菏泽昆鹏&lt;巨野&gt;</t>
  </si>
  <si>
    <t>巨野</t>
  </si>
  <si>
    <t>菏泽能源&lt;巨野&gt;</t>
  </si>
  <si>
    <t>巨野恒强&lt;巨野&gt;</t>
  </si>
  <si>
    <t>鄄城鸿奥&lt;巨野&gt;</t>
  </si>
  <si>
    <t>2.5—4.1</t>
  </si>
  <si>
    <t>郓城安信&lt;巨野&gt;</t>
  </si>
  <si>
    <t>山东鸿奥&lt;济宁&gt;</t>
  </si>
  <si>
    <t>济宁昆仑&lt;济宁&gt;</t>
  </si>
  <si>
    <t>济宁潜能&lt;济宁&gt;</t>
  </si>
  <si>
    <t>郑州华润&lt;中牟&gt;</t>
  </si>
  <si>
    <t>中牟</t>
  </si>
  <si>
    <t>中牟燃气&lt;中牟&gt;</t>
  </si>
  <si>
    <t>郑州昆仑&lt;中牟&gt;</t>
  </si>
  <si>
    <t>五洲能源&lt;开封&gt;</t>
  </si>
  <si>
    <t>开封</t>
  </si>
  <si>
    <t>开封新奥&lt;开封&gt;</t>
  </si>
  <si>
    <t>3.2-3.8</t>
  </si>
  <si>
    <t>禹州昆仑&lt;禹州&gt;</t>
  </si>
  <si>
    <t>禹州</t>
  </si>
  <si>
    <t>兰考昆仑&lt;兰考&gt;</t>
  </si>
  <si>
    <t>兰考</t>
  </si>
  <si>
    <t>河南发展燃气&lt;社旗&gt;</t>
  </si>
  <si>
    <t>社旗</t>
  </si>
  <si>
    <t>3.6-9.23</t>
  </si>
  <si>
    <t>社旗裕润&lt;社旗&gt;</t>
  </si>
  <si>
    <t>4.0-9.27</t>
  </si>
  <si>
    <t>广州燃气（粤电花都）&lt;广南2#&gt;</t>
  </si>
  <si>
    <t>广南2#</t>
  </si>
  <si>
    <t>佛山佳利达&lt;广南2#&gt;</t>
  </si>
  <si>
    <t>3.4—3.8</t>
  </si>
  <si>
    <t>肇庆佛燃&lt;高要&gt;</t>
  </si>
  <si>
    <t>高要</t>
  </si>
  <si>
    <t>2025.10.15</t>
  </si>
  <si>
    <t>肇庆佛燃&lt;肇庆&gt;</t>
  </si>
  <si>
    <t>肇庆</t>
  </si>
  <si>
    <t>肇庆新奥（中油代）&lt;肇庆&gt;</t>
  </si>
  <si>
    <t>肇庆新奥&lt;肇庆&gt;</t>
  </si>
  <si>
    <t>佛山管网&lt;佛山&gt;</t>
  </si>
  <si>
    <t>佛山</t>
  </si>
  <si>
    <t>清远昆仑&lt;清远&gt;</t>
  </si>
  <si>
    <t>清远</t>
  </si>
  <si>
    <t>藤县北燃&lt;广南12#&gt;</t>
  </si>
  <si>
    <t>广南12#</t>
  </si>
  <si>
    <t>广投管网&lt;贵港&gt;</t>
  </si>
  <si>
    <t>贵港</t>
  </si>
  <si>
    <t>贵港新奥&lt;广南17#&gt;</t>
  </si>
  <si>
    <t>广南17#</t>
  </si>
  <si>
    <t>3.5-9.5</t>
  </si>
  <si>
    <t>广投管网&lt;广南21#&gt;</t>
  </si>
  <si>
    <t>广南21#</t>
  </si>
  <si>
    <t>2025.10.29</t>
  </si>
  <si>
    <t>南宁昆燃&lt;南宁&gt;</t>
  </si>
  <si>
    <t>南宁</t>
  </si>
  <si>
    <t>广投管网&lt;南宁&gt;</t>
  </si>
  <si>
    <t>广投管网&lt;吴圩&gt;</t>
  </si>
  <si>
    <t>吴圩</t>
  </si>
  <si>
    <t>4.2-6.3</t>
  </si>
  <si>
    <t>广投管网&lt;隆安&gt;</t>
  </si>
  <si>
    <t>隆安</t>
  </si>
  <si>
    <t>广投管网&lt;南百10#&gt;</t>
  </si>
  <si>
    <t>南百10#</t>
  </si>
  <si>
    <t>平果新能&lt;南百10#&gt;</t>
  </si>
  <si>
    <t>广投管网&lt;玉林&gt;</t>
  </si>
  <si>
    <t>玉林</t>
  </si>
  <si>
    <t>玉林中燃&lt;玉林&gt;</t>
  </si>
  <si>
    <t>2.0-3.9</t>
  </si>
  <si>
    <t>梧州晟年&lt;临港&gt;</t>
  </si>
  <si>
    <t>临港</t>
  </si>
  <si>
    <t>广投管网&lt;苍梧&gt;</t>
  </si>
  <si>
    <t>苍梧</t>
  </si>
  <si>
    <t>广投管网&lt;长洲&gt;</t>
  </si>
  <si>
    <t>长洲</t>
  </si>
  <si>
    <t>贺州华润&lt;苍贺5#&gt;</t>
  </si>
  <si>
    <t>苍贺5#</t>
  </si>
  <si>
    <t>广投管网&lt;贺州&gt;</t>
  </si>
  <si>
    <t>贺州</t>
  </si>
  <si>
    <t>华油新能&lt;百色&gt;</t>
  </si>
  <si>
    <t>百色</t>
  </si>
  <si>
    <t>百色新能&lt;田东&gt;</t>
  </si>
  <si>
    <t>田东</t>
  </si>
  <si>
    <t>0.8-1.4</t>
  </si>
  <si>
    <t>孝感中燃&lt;孝感&gt;</t>
  </si>
  <si>
    <t>3-3.8</t>
  </si>
  <si>
    <t>广投管网&lt;南百14#&gt;</t>
  </si>
  <si>
    <t>南百14#</t>
  </si>
  <si>
    <t>泾阳天然气&lt;泾阳&gt;</t>
  </si>
  <si>
    <t>遂川天然气&lt;遂川&gt;</t>
  </si>
  <si>
    <t>遂川</t>
  </si>
  <si>
    <r>
      <rPr>
        <sz val="12"/>
        <rFont val="华文仿宋"/>
        <charset val="134"/>
      </rPr>
      <t>海原文旅</t>
    </r>
    <r>
      <rPr>
        <sz val="12"/>
        <color rgb="FF141E31"/>
        <rFont val="华文仿宋"/>
        <charset val="134"/>
      </rPr>
      <t>&lt;海兴&gt;</t>
    </r>
  </si>
  <si>
    <t>海兴</t>
  </si>
  <si>
    <t>4.0-9.85</t>
  </si>
  <si>
    <t>于都海特&lt;于都&gt;</t>
  </si>
  <si>
    <t>于都</t>
  </si>
  <si>
    <t>泰和华润燃气&lt;西三157#&gt;</t>
  </si>
  <si>
    <t>西三157#</t>
  </si>
  <si>
    <t>兴国家欢&lt;西三161#&gt;</t>
  </si>
  <si>
    <t>西三161#</t>
  </si>
  <si>
    <t>长汀福燃&lt;长汀&gt;</t>
  </si>
  <si>
    <t>长汀</t>
  </si>
  <si>
    <t>瑞金深燃&lt;瑞金&gt;</t>
  </si>
  <si>
    <t>瑞金</t>
  </si>
  <si>
    <t>龙岩昆润&lt;龙岩&gt;</t>
  </si>
  <si>
    <t>龙岩</t>
  </si>
  <si>
    <t>晟鑫能源&lt;漳州&gt;</t>
  </si>
  <si>
    <t>漳州</t>
  </si>
  <si>
    <t>福建中铭&lt;漳州&gt;</t>
  </si>
  <si>
    <t>2.5-4</t>
  </si>
  <si>
    <t>经发燃气&lt;角美&gt;</t>
  </si>
  <si>
    <t>角美</t>
  </si>
  <si>
    <t>3.2-3.5</t>
  </si>
  <si>
    <t>厦门华润&lt;海沧&gt;</t>
  </si>
  <si>
    <t>海沧</t>
  </si>
  <si>
    <t>厦门华润&lt;同安&gt;</t>
  </si>
  <si>
    <t>泉州燃气&lt;泉州&gt;</t>
  </si>
  <si>
    <t>泉州</t>
  </si>
  <si>
    <t>莆田旷远&lt;莆田&gt;</t>
  </si>
  <si>
    <t>莆田</t>
  </si>
  <si>
    <t>福州华润&lt;福清&gt;</t>
  </si>
  <si>
    <t>福清</t>
  </si>
  <si>
    <t>闽侯华润&lt;福州&gt;</t>
  </si>
  <si>
    <t>福州</t>
  </si>
  <si>
    <t>揭阳昆仑&lt;揭阳&gt;</t>
  </si>
  <si>
    <t>揭阳</t>
  </si>
  <si>
    <t>揭东昆仑&lt;揭阳&gt;</t>
  </si>
  <si>
    <t>潮州昆仑&lt;潮州&gt;</t>
  </si>
  <si>
    <t>潮州</t>
  </si>
  <si>
    <t>长沙华润&lt;望城&gt;</t>
  </si>
  <si>
    <t>长沙新奥&lt;望城&gt;</t>
  </si>
  <si>
    <t>京山华润&lt;京山&gt;</t>
  </si>
  <si>
    <t>京山</t>
  </si>
  <si>
    <t>宁夏巨丰&lt;盐池&gt;</t>
  </si>
  <si>
    <t>盐池</t>
  </si>
  <si>
    <t>3.5-3.85</t>
  </si>
  <si>
    <t>泉州燃气&lt;德化&gt;</t>
  </si>
  <si>
    <t>德化</t>
  </si>
  <si>
    <t>泉州燃气&lt;安溪&gt;</t>
  </si>
  <si>
    <t>安溪</t>
  </si>
  <si>
    <t>泉州燃气&lt;永春&gt;</t>
  </si>
  <si>
    <t>永春</t>
  </si>
  <si>
    <t>宁德新奥&lt;宁德&gt;</t>
  </si>
  <si>
    <t>宁德</t>
  </si>
  <si>
    <t>福州润能&lt;琅岐&gt;</t>
  </si>
  <si>
    <t>琅岐</t>
  </si>
  <si>
    <t>连江华润&lt;连江&gt;</t>
  </si>
  <si>
    <t>连江</t>
  </si>
  <si>
    <t>罗源华润&lt;罗源&gt;</t>
  </si>
  <si>
    <t>罗源</t>
  </si>
  <si>
    <t>柘荣新奥&lt;柘荣&gt;</t>
  </si>
  <si>
    <t>柘荣</t>
  </si>
  <si>
    <t>福鼎安然&lt;福鼎&gt;</t>
  </si>
  <si>
    <t>福鼎</t>
  </si>
  <si>
    <t>福安新奥&lt;福安&gt;</t>
  </si>
  <si>
    <t>福安</t>
  </si>
  <si>
    <t>漳浦安燃&lt;旧镇&gt;</t>
  </si>
  <si>
    <t>旧镇</t>
  </si>
  <si>
    <t>古雷华润&lt;旧镇&gt;</t>
  </si>
  <si>
    <t>2025.10.30</t>
  </si>
  <si>
    <t>常山安然&lt;常山&gt;</t>
  </si>
  <si>
    <t>常山</t>
  </si>
  <si>
    <t>中联华瑞&lt;常山&gt;</t>
  </si>
  <si>
    <t>诏安安燃&lt;诏安&gt;</t>
  </si>
  <si>
    <t>诏安</t>
  </si>
  <si>
    <t>西南油气田&lt;忠县&gt;</t>
  </si>
  <si>
    <t>忠县</t>
  </si>
  <si>
    <t>恩施民生&lt;恩施&gt;</t>
  </si>
  <si>
    <t>恩施</t>
  </si>
  <si>
    <t>恩施中油&lt;恩施&gt;</t>
  </si>
  <si>
    <t>长阳深燃&lt;长阳&gt;</t>
  </si>
  <si>
    <t>长阳</t>
  </si>
  <si>
    <t>宜昌科力生&lt;宜昌&gt;</t>
  </si>
  <si>
    <t>宜昌</t>
  </si>
  <si>
    <t>宜昌中燃&lt;宜昌&gt;</t>
  </si>
  <si>
    <t>1.55-6.27</t>
  </si>
  <si>
    <t>宜都深燃&lt;宜昌&gt;</t>
  </si>
  <si>
    <t>2.0-6.27</t>
  </si>
  <si>
    <t>宜昌力能&lt;宜昌&gt;</t>
  </si>
  <si>
    <t>五峰和瑞&lt;宜昌&gt;</t>
  </si>
  <si>
    <t>宜昌昆仑&lt;枝江&gt;</t>
  </si>
  <si>
    <t>枝江</t>
  </si>
  <si>
    <t>当阳城燃&lt;枝江&gt;</t>
  </si>
  <si>
    <t>枝江天然气&lt;枝江&gt;</t>
  </si>
  <si>
    <t>1.0-1.4</t>
  </si>
  <si>
    <t>湖北化肥&lt;枝江&gt;</t>
  </si>
  <si>
    <t>宜昌中基&lt;枝江&gt;</t>
  </si>
  <si>
    <t>4.5-5.6</t>
  </si>
  <si>
    <t>钟祥华润&lt;荆门&gt;</t>
  </si>
  <si>
    <t>荆门</t>
  </si>
  <si>
    <t>1.2-2.5</t>
  </si>
  <si>
    <t>荆门中油&lt;荆门&gt;</t>
  </si>
  <si>
    <t>钟祥港华&lt;胡集&gt;</t>
  </si>
  <si>
    <t>胡集</t>
  </si>
  <si>
    <t>2.8-6.3</t>
  </si>
  <si>
    <t>宜城华润&lt;宜城&gt;</t>
  </si>
  <si>
    <t>0.8-3.2</t>
  </si>
  <si>
    <t>襄阳华润&lt;襄樊&gt;</t>
  </si>
  <si>
    <t>荆州天然气&lt;荆州&gt;</t>
  </si>
  <si>
    <t>荆州</t>
  </si>
  <si>
    <t>公安兴成&lt;荆州&gt;</t>
  </si>
  <si>
    <t>湖北桐林&lt;荆州&gt;</t>
  </si>
  <si>
    <t>荆州昆仑&lt;荆州&gt;</t>
  </si>
  <si>
    <t>1.8-2.48</t>
  </si>
  <si>
    <t>潜江华润&lt;潜江&gt;</t>
  </si>
  <si>
    <t>潜江</t>
  </si>
  <si>
    <t>监利天然气&lt;监利&gt;</t>
  </si>
  <si>
    <t>监利</t>
  </si>
  <si>
    <t>2用0备</t>
  </si>
  <si>
    <t>0.4-1.55</t>
  </si>
  <si>
    <t>仙桃昆仑&lt;干河&gt;</t>
  </si>
  <si>
    <t>干河</t>
  </si>
  <si>
    <t>仙桃中油&lt;干河&gt;</t>
  </si>
  <si>
    <t>武汉天然气&lt;武汉西&gt;</t>
  </si>
  <si>
    <t>武汉西</t>
  </si>
  <si>
    <t>2.0-6.0</t>
  </si>
  <si>
    <t>武汉中油管道&lt;武汉西&gt;</t>
  </si>
  <si>
    <t>1.0-2.0</t>
  </si>
  <si>
    <t>武汉东方&lt;武汉西&gt;</t>
  </si>
  <si>
    <t>0.5-3.0</t>
  </si>
  <si>
    <t>孝感中燃&lt;武汉西&gt;</t>
  </si>
  <si>
    <t>武汉天然气&lt;武汉东&gt;</t>
  </si>
  <si>
    <t>武汉东</t>
  </si>
  <si>
    <t>武汉中油昆仑&lt;武汉东&gt;</t>
  </si>
  <si>
    <t>1.0-3.3</t>
  </si>
  <si>
    <t>武汉中油压缩&lt;武汉东&gt;</t>
  </si>
  <si>
    <t>东湖昆仑&lt;武汉东&gt;</t>
  </si>
  <si>
    <t>咸宁中油&lt;武汉东&gt;</t>
  </si>
  <si>
    <t>2.5-5.0</t>
  </si>
  <si>
    <t>鄂州安泰&lt;鄂州&gt;</t>
  </si>
  <si>
    <t>黄冈中燃&lt;鄂州&gt;</t>
  </si>
  <si>
    <t>黄石中油&lt;黄石&gt;</t>
  </si>
  <si>
    <t>0.7-1.6</t>
  </si>
  <si>
    <t>湘北昆仑&lt;岳阳&gt;</t>
  </si>
  <si>
    <t>岳阳</t>
  </si>
  <si>
    <t>≥4</t>
  </si>
  <si>
    <t>岳阳华润&lt;岳阳&gt;</t>
  </si>
  <si>
    <t>1.5-3.0</t>
  </si>
  <si>
    <t>岳阳昆仑&lt;岳阳南&gt;</t>
  </si>
  <si>
    <t>岳阳南</t>
  </si>
  <si>
    <t>1.5-3.5</t>
  </si>
  <si>
    <t>省天岳临分公司&lt;云溪&gt;</t>
  </si>
  <si>
    <t>云溪</t>
  </si>
  <si>
    <t>汨罗港华&lt;汨罗&gt;</t>
  </si>
  <si>
    <t>1.4-1.6</t>
  </si>
  <si>
    <t>汨平支线&lt;汨罗&gt;</t>
  </si>
  <si>
    <t>省天岳阳分公司&lt;汨罗&gt;</t>
  </si>
  <si>
    <t>3.2-5.2</t>
  </si>
  <si>
    <t>常德中油&lt;长沙&gt;</t>
  </si>
  <si>
    <t>长沙新奥&lt;长沙&gt;</t>
  </si>
  <si>
    <t>湖南光大&lt;长沙&gt;</t>
  </si>
  <si>
    <t>中油湘投&lt;长沙&gt;</t>
  </si>
  <si>
    <t>浏阳新奥&lt;长沙&gt;</t>
  </si>
  <si>
    <t>信阳弘昌&lt;潢川&gt;</t>
  </si>
  <si>
    <t>潢川</t>
  </si>
  <si>
    <t>信阳昆仑&lt;潢川&gt;</t>
  </si>
  <si>
    <t>红安华润&lt;红安&gt;</t>
  </si>
  <si>
    <t>红安</t>
  </si>
  <si>
    <t>1.8-4.0</t>
  </si>
  <si>
    <t>平舆昆仑&lt;平舆&gt;</t>
  </si>
  <si>
    <t>平舆</t>
  </si>
  <si>
    <t>中国石化&lt;嘉兴&gt;</t>
  </si>
  <si>
    <t>宿松徽商长城&lt;堰塘角&gt;</t>
  </si>
  <si>
    <t>堰塘角</t>
  </si>
  <si>
    <t>5.7-10</t>
  </si>
  <si>
    <t>安庆港化中成&lt;安庆&gt;</t>
  </si>
  <si>
    <t>安庆</t>
  </si>
  <si>
    <t>安徽省天然气&lt;安庆&gt;</t>
  </si>
  <si>
    <t>2.9-5.6</t>
  </si>
  <si>
    <t>湖北省公司&lt;池州&gt;</t>
  </si>
  <si>
    <t>池州</t>
  </si>
  <si>
    <t>安徽省公司&lt;宣城&gt;</t>
  </si>
  <si>
    <t>宣城</t>
  </si>
  <si>
    <t>3.0-4.2</t>
  </si>
  <si>
    <t>安徽省公司&lt;宣城&gt;B</t>
  </si>
  <si>
    <t>安徽合能&lt;宣城&gt;</t>
  </si>
  <si>
    <t>4.0-5.4</t>
  </si>
  <si>
    <t>安徽省公司&lt;十字镇&gt;</t>
  </si>
  <si>
    <t>十字镇</t>
  </si>
  <si>
    <t>2.9-5.3</t>
  </si>
  <si>
    <t>安徽合能&lt;十字镇&gt;</t>
  </si>
  <si>
    <t>2.5-3.4</t>
  </si>
  <si>
    <t>宣城新奥&lt;十字镇&gt;</t>
  </si>
  <si>
    <t>宜昌科能&lt;宜昌&gt;</t>
  </si>
  <si>
    <t>3.5-8.5</t>
  </si>
  <si>
    <t>湖北省公司&lt;宜昌&gt;</t>
  </si>
  <si>
    <t>3.0-5.7</t>
  </si>
  <si>
    <t>宜昌标典&lt;枝江&gt;</t>
  </si>
  <si>
    <t>5.27-5.5</t>
  </si>
  <si>
    <t>湖北省公司&lt;枝江&gt;</t>
  </si>
  <si>
    <t>2.0-5.7</t>
  </si>
  <si>
    <t>湖北合能&lt;武汉&gt;</t>
  </si>
  <si>
    <t>武汉</t>
  </si>
  <si>
    <t>5.5-10</t>
  </si>
  <si>
    <t>湖北省公司&lt;武汉&gt;</t>
  </si>
  <si>
    <t>恩施人和&lt;川气东送14#&gt;</t>
  </si>
  <si>
    <t>川气东送14#</t>
  </si>
  <si>
    <t>湖北省公司&lt;潜江&gt;</t>
  </si>
  <si>
    <t>湖北省公司&lt;恩施&gt;</t>
  </si>
  <si>
    <t>2.0-3.7</t>
  </si>
  <si>
    <t>湖北省公司&lt;荆州&gt;</t>
  </si>
  <si>
    <t>湖北省公司&lt;仙桃&gt;</t>
  </si>
  <si>
    <t>仙桃</t>
  </si>
  <si>
    <t>湖北省公司&lt;陈贵&gt;</t>
  </si>
  <si>
    <t>陈贵</t>
  </si>
  <si>
    <t>华润燃气&lt;陈贵&gt;</t>
  </si>
  <si>
    <t>湖北省公司&lt;黄石&gt;</t>
  </si>
  <si>
    <t>湖北省公司&lt;黄梅&gt;</t>
  </si>
  <si>
    <t>黄梅</t>
  </si>
  <si>
    <t>普光净化厂&lt;普光&gt;</t>
  </si>
  <si>
    <t>普光</t>
  </si>
  <si>
    <t>重庆龙民&lt;利川&gt;</t>
  </si>
  <si>
    <t>利川</t>
  </si>
  <si>
    <t>3.0-9.8</t>
  </si>
  <si>
    <t>嘉善嘉港&lt;上海&gt;</t>
  </si>
  <si>
    <t>上海管网&lt;上海&gt;</t>
  </si>
  <si>
    <t>4.0-5.8</t>
  </si>
  <si>
    <t>中国石化&lt;社渚&gt;</t>
  </si>
  <si>
    <t>社渚</t>
  </si>
  <si>
    <t>4.5-9.8</t>
  </si>
  <si>
    <t>长城安顺&lt;南渡&gt;</t>
  </si>
  <si>
    <t>＜10</t>
  </si>
  <si>
    <t>南京催化剂&lt;扬子石化&gt;</t>
  </si>
  <si>
    <t>扬子石化</t>
  </si>
  <si>
    <t>4.2-4.7</t>
  </si>
  <si>
    <t>中燃石化&lt;扬子石化&gt;</t>
  </si>
  <si>
    <t>中燃石化&lt;扬子石化&gt;B</t>
  </si>
  <si>
    <t>扬子石化&lt;扬子石化&gt;</t>
  </si>
  <si>
    <t>仪征化纤&lt;南京&gt;</t>
  </si>
  <si>
    <t>江苏天然气&lt;金坛&gt;</t>
  </si>
  <si>
    <t>江苏天然气&lt;上党&gt;</t>
  </si>
  <si>
    <t>上党</t>
  </si>
  <si>
    <t>4.5-6.3</t>
  </si>
  <si>
    <t>江苏天然气&lt;龙潭&gt;</t>
  </si>
  <si>
    <t>2.0-3.6</t>
  </si>
  <si>
    <t>金陵石化&lt;金陵&gt;</t>
  </si>
  <si>
    <t>金陵</t>
  </si>
  <si>
    <t>2.0-5.0</t>
  </si>
  <si>
    <t>武钢华润&lt;武钢&gt;</t>
  </si>
  <si>
    <t>武钢</t>
  </si>
  <si>
    <t>新城华润&lt;武汉乙烯&gt;</t>
  </si>
  <si>
    <t>武乙烯</t>
  </si>
  <si>
    <t>中韩石化（武汉乙烯）&lt;武汉乙烯&gt;</t>
  </si>
  <si>
    <t>0.4-0.8</t>
  </si>
  <si>
    <t>中韩石化（武汉石化）&lt;武汉乙烯&gt;</t>
  </si>
  <si>
    <t>3.6-4.5</t>
  </si>
  <si>
    <t>湖北华商&lt;前河湾&gt;</t>
  </si>
  <si>
    <t>前河湾</t>
  </si>
  <si>
    <t>3.8-6.4</t>
  </si>
  <si>
    <t>华润燃气&lt;五里界&gt;</t>
  </si>
  <si>
    <t>五里界</t>
  </si>
  <si>
    <t>2.4-6.3</t>
  </si>
  <si>
    <t>达州润发&lt;达化&gt;</t>
  </si>
  <si>
    <t>达化</t>
  </si>
  <si>
    <t>四川石油&lt;达化&gt;</t>
  </si>
  <si>
    <t>川投电力&lt;达化&gt;</t>
  </si>
  <si>
    <t>川投电力临时&lt;达化&gt;</t>
  </si>
  <si>
    <t>重庆石油&lt;川维&gt;</t>
  </si>
  <si>
    <t>川维</t>
  </si>
  <si>
    <t>4.5-7.7</t>
  </si>
  <si>
    <t>焜田燃气&lt;川维&gt;</t>
  </si>
  <si>
    <t>4.1-6.3</t>
  </si>
  <si>
    <t>川维厂&lt;川维&gt;</t>
  </si>
  <si>
    <t>江西省公司&lt;九江&gt;</t>
  </si>
  <si>
    <t>九江石化总厂&lt;九江&gt;</t>
  </si>
  <si>
    <t>2.5-4.3</t>
  </si>
  <si>
    <t>秭归楚炬&lt;23#高家岭阀室&gt;</t>
  </si>
  <si>
    <t>平昌仁和&lt;平昌&gt;</t>
  </si>
  <si>
    <t>平昌</t>
  </si>
  <si>
    <t>合燃长城&lt;池州西&gt;</t>
  </si>
  <si>
    <t>池州西</t>
  </si>
  <si>
    <t>池州新奥&lt;池州西&gt;</t>
  </si>
  <si>
    <t>中石化天分安徽销售&lt;牌楼&gt;</t>
  </si>
  <si>
    <t>牌楼</t>
  </si>
  <si>
    <t>2025.3</t>
  </si>
  <si>
    <t>南浔新奥&lt;李家湾&gt;</t>
  </si>
  <si>
    <t>1.6-3.85</t>
  </si>
  <si>
    <t>国能安吉电厂&lt;梅溪电厂末站&gt;</t>
  </si>
  <si>
    <t>5.0-5.66</t>
  </si>
  <si>
    <t>2025.10.22</t>
  </si>
  <si>
    <t>四合燃气&lt;涪陵&gt;</t>
  </si>
  <si>
    <t>涪陵</t>
  </si>
  <si>
    <t>建峰化工&lt;涪陵&gt;</t>
  </si>
  <si>
    <t>重庆燃气&lt;涪陵&gt;</t>
  </si>
  <si>
    <t>聚祥管道&lt;涪陵&gt;</t>
  </si>
  <si>
    <t>重庆龙禹&lt;涪陵压气&gt;</t>
  </si>
  <si>
    <t>忠润能源&lt;磨子&gt;</t>
  </si>
  <si>
    <t>磨子</t>
  </si>
  <si>
    <t>榆林圆恒&lt;榆济线榆林&gt;</t>
  </si>
  <si>
    <t>榆林首</t>
  </si>
  <si>
    <t>两用</t>
  </si>
  <si>
    <t>榆林圆恒&lt;刘千河&gt;</t>
  </si>
  <si>
    <t>刘千河</t>
  </si>
  <si>
    <t>1用1备（用户资产在用户站）</t>
  </si>
  <si>
    <t>6.5-9.8</t>
  </si>
  <si>
    <t>山西国化&lt;兔坂&gt;</t>
  </si>
  <si>
    <t>兔坂</t>
  </si>
  <si>
    <t>5.0-10</t>
  </si>
  <si>
    <t>山西国化&lt;离石&gt;</t>
  </si>
  <si>
    <t>上楼桥</t>
  </si>
  <si>
    <t>山西国化&lt;汾阳&gt;</t>
  </si>
  <si>
    <t>汾阳</t>
  </si>
  <si>
    <t>山西三通&lt;汾阳&gt;</t>
  </si>
  <si>
    <t>＜4MPa</t>
  </si>
  <si>
    <t>山西国化&lt;平遥&gt;</t>
  </si>
  <si>
    <t>平遥</t>
  </si>
  <si>
    <t>4.0-6.2</t>
  </si>
  <si>
    <t>山西国化&lt;武乡&gt;</t>
  </si>
  <si>
    <t>武乡</t>
  </si>
  <si>
    <t>0.3-0.5</t>
  </si>
  <si>
    <t>山西国化&lt;黎城&gt;</t>
  </si>
  <si>
    <t>黎城</t>
  </si>
  <si>
    <t>5.6-6</t>
  </si>
  <si>
    <t>吕梁昆仑&lt;上楼桥阀室&gt;</t>
  </si>
  <si>
    <t>林州绿能&lt;任村&gt;</t>
  </si>
  <si>
    <t>任村</t>
  </si>
  <si>
    <t>安阳中燃&lt;安阳&gt;</t>
  </si>
  <si>
    <t>安阳</t>
  </si>
  <si>
    <t>北方胜利&lt;安阳&gt;</t>
  </si>
  <si>
    <t>河南纵横&lt;安阳&gt;</t>
  </si>
  <si>
    <t>安阳CNG母站&lt;安阳&gt;</t>
  </si>
  <si>
    <t>4.0-8.5</t>
  </si>
  <si>
    <t>安阳华润&lt;安阳&gt;</t>
  </si>
  <si>
    <t>4.0-5.1</t>
  </si>
  <si>
    <t>邯郸华润&lt;安阳&gt;</t>
  </si>
  <si>
    <t>安彩能源&lt;高村&gt;</t>
  </si>
  <si>
    <t>高村</t>
  </si>
  <si>
    <t>安阳长江赛峰&lt;东同住&gt;</t>
  </si>
  <si>
    <t>东同住</t>
  </si>
  <si>
    <t>中石化清丰支线&lt;南乐&gt;</t>
  </si>
  <si>
    <t>南乐</t>
  </si>
  <si>
    <t>南乐华润&lt;南乐&gt;</t>
  </si>
  <si>
    <t>中石化宣章济南段&lt;齐河&gt;</t>
  </si>
  <si>
    <t>齐河</t>
  </si>
  <si>
    <t>齐河昆仑&lt;齐河&gt;</t>
  </si>
  <si>
    <t>3.2-3.7</t>
  </si>
  <si>
    <t>中石化中济线&lt;齐河&gt;</t>
  </si>
  <si>
    <t>2.5-2.9</t>
  </si>
  <si>
    <t>济华港润&lt;齐河&gt;</t>
  </si>
  <si>
    <t>齐河CNG母站&lt;齐河&gt;</t>
  </si>
  <si>
    <t>4.0-7.2</t>
  </si>
  <si>
    <t>佳县宏远&lt;方塌&gt;</t>
  </si>
  <si>
    <t>方塌</t>
  </si>
  <si>
    <t>佳县宏远&lt;佳县&gt;</t>
  </si>
  <si>
    <t>佳县</t>
  </si>
  <si>
    <t>华港燃气&lt;东里满乡阀室&gt;</t>
  </si>
  <si>
    <t>东里满乡</t>
  </si>
  <si>
    <t>两用1备</t>
  </si>
  <si>
    <t>聊城实华&lt;聊城西&gt;</t>
  </si>
  <si>
    <t>聊城西</t>
  </si>
  <si>
    <t>中石化中济线&lt;聊城西&gt;</t>
  </si>
  <si>
    <t>聊城实华&lt;金庄&gt;</t>
  </si>
  <si>
    <t>金庄</t>
  </si>
  <si>
    <t>蠡县奥德&lt;安济线安平&gt;</t>
  </si>
  <si>
    <t>河北天然气&lt;安济线安平&gt;</t>
  </si>
  <si>
    <t>衡水实华&lt;辰时&gt;</t>
  </si>
  <si>
    <t>衡水实华&lt;衡水&gt;</t>
  </si>
  <si>
    <t>衡水站</t>
  </si>
  <si>
    <t>1.5-2.3</t>
  </si>
  <si>
    <t>德州恒祥&lt;赵虎乡&gt;</t>
  </si>
  <si>
    <t>赵虎乡</t>
  </si>
  <si>
    <t>临邑中邑&lt;辛店&gt;</t>
  </si>
  <si>
    <t>辛店</t>
  </si>
  <si>
    <t>中能泰维&lt;辛店&gt;</t>
  </si>
  <si>
    <t>德州中燃&lt;二屯乡&gt;</t>
  </si>
  <si>
    <t>二屯乡</t>
  </si>
  <si>
    <t>衡水实华&lt;王谦寺&gt;</t>
  </si>
  <si>
    <t>王谦寺</t>
  </si>
  <si>
    <t>山东中邑&lt;安济线德州&gt;</t>
  </si>
  <si>
    <t>安济线德州</t>
  </si>
  <si>
    <t>河南星汉&lt;南乐&gt;</t>
  </si>
  <si>
    <t>东莞九丰&lt;佳县&gt;</t>
  </si>
  <si>
    <t>高于佳县进站压力，小于10.0</t>
  </si>
  <si>
    <t>河北华奥&lt;黄递铺&gt;</t>
  </si>
  <si>
    <t>黄递铺</t>
  </si>
  <si>
    <t>献县中燃&lt;献县&gt;</t>
  </si>
  <si>
    <t>献县</t>
  </si>
  <si>
    <t>≥3</t>
  </si>
  <si>
    <t>河北新奥&lt;献县&gt;</t>
  </si>
  <si>
    <t>京汉燃气&lt;献县&gt;</t>
  </si>
  <si>
    <t>冀丰能源&lt;留村&gt;</t>
  </si>
  <si>
    <t>留村</t>
  </si>
  <si>
    <t>石昆新奥&lt;留村&gt;</t>
  </si>
  <si>
    <t>河北潜能&lt;正定&gt;</t>
  </si>
  <si>
    <t>石家庄新奥&lt;鹿泉&gt;</t>
  </si>
  <si>
    <t>安平建投&lt;安平&gt;</t>
  </si>
  <si>
    <t>辛集邑阔&lt;南王庄&gt;</t>
  </si>
  <si>
    <t>南王庄</t>
  </si>
  <si>
    <t>衡水实华&lt;南王庄&gt;</t>
  </si>
  <si>
    <t>辛集邑阔&lt;前营&gt;</t>
  </si>
  <si>
    <t>前营</t>
  </si>
  <si>
    <t>冀丰能源&lt;马庄&gt;</t>
  </si>
  <si>
    <t>马庄</t>
  </si>
  <si>
    <t>衡水实华&lt;码头李&gt;</t>
  </si>
  <si>
    <t>码头李</t>
  </si>
  <si>
    <t>衡水中燃&lt;码头李&gt;</t>
  </si>
  <si>
    <t>衡水实华&lt;冀州&gt;</t>
  </si>
  <si>
    <t>冀州</t>
  </si>
  <si>
    <t>冀州滨海&lt;冀州&gt;</t>
  </si>
  <si>
    <t>新河中裕&lt;冀州&gt;</t>
  </si>
  <si>
    <t>南宫中裕&lt;大高村&gt;</t>
  </si>
  <si>
    <t>大高村</t>
  </si>
  <si>
    <t>河北天然气&lt;大高村&gt;</t>
  </si>
  <si>
    <t>邯郸中燃&lt;梁二庄&gt;</t>
  </si>
  <si>
    <t>梁二庄</t>
  </si>
  <si>
    <t>邯郸产投华燃&lt;梁二庄&gt;</t>
  </si>
  <si>
    <t>代维，全是用户资产</t>
  </si>
  <si>
    <t>建投华燃&lt;馆陶&gt;</t>
  </si>
  <si>
    <t>馆陶</t>
  </si>
  <si>
    <t>河北天然气&lt;馆陶&gt;</t>
  </si>
  <si>
    <t>3.0-5.5</t>
  </si>
  <si>
    <t>国控长城&lt;馆陶&gt;</t>
  </si>
  <si>
    <t>2.5-3.9</t>
  </si>
  <si>
    <t>邯郸中燃&lt;龙王庙&gt;</t>
  </si>
  <si>
    <t>龙王庙</t>
  </si>
  <si>
    <t>邢台燃气&lt;章台&gt;</t>
  </si>
  <si>
    <t>章台</t>
  </si>
  <si>
    <t>上海燃气&lt;文23&gt;</t>
  </si>
  <si>
    <t>文23</t>
  </si>
  <si>
    <t>保定富瑞康&lt;保定&gt;</t>
  </si>
  <si>
    <t>保定</t>
  </si>
  <si>
    <t>保定新奥&lt;保定&gt;</t>
  </si>
  <si>
    <t>京汉燃气&lt;保定&gt;</t>
  </si>
  <si>
    <t>河北省天然气有限责任公司&lt;保定&gt;</t>
  </si>
  <si>
    <t>2025.5.29</t>
  </si>
  <si>
    <t>建投华燃&lt;寺庄&gt;</t>
  </si>
  <si>
    <t>寺庄</t>
  </si>
  <si>
    <t>濮阳中裕&lt;濮阳&gt;</t>
  </si>
  <si>
    <t>濮阳</t>
  </si>
  <si>
    <t>清丰绿丰&lt;濮阳&gt;</t>
  </si>
  <si>
    <t>濮阳华隆&lt;濮阳&gt;</t>
  </si>
  <si>
    <t>濮阳通用&lt;文留&gt;</t>
  </si>
  <si>
    <t>文留</t>
  </si>
  <si>
    <t>4.0-7.6</t>
  </si>
  <si>
    <t>河北省天然气&lt;定兴&gt;</t>
  </si>
  <si>
    <t>定兴</t>
  </si>
  <si>
    <t>保定富瑞康&lt;定兴&gt;</t>
  </si>
  <si>
    <t>雄安能源&lt;定兴&gt;</t>
  </si>
  <si>
    <t>河北盛德&lt;黄骅末站&gt;</t>
  </si>
  <si>
    <t>黄骅末站</t>
  </si>
  <si>
    <t>2.7-4.0</t>
  </si>
  <si>
    <t>濮阳长城&lt;东明&gt;</t>
  </si>
  <si>
    <t>东明</t>
  </si>
  <si>
    <t>菏泽绿城&lt;东明&gt;</t>
  </si>
  <si>
    <t>东明鸿奥&lt;东明&gt;</t>
  </si>
  <si>
    <t>东明嘉宁&lt;东明&gt;</t>
  </si>
  <si>
    <t>兰考西纳&lt;兰考&gt;</t>
  </si>
  <si>
    <t>1.0-3.6</t>
  </si>
  <si>
    <t>兰考中油气&lt;兰考&gt;</t>
  </si>
  <si>
    <t>2.4-3.6</t>
  </si>
  <si>
    <t>开封和源&lt;开封&gt;</t>
  </si>
  <si>
    <t>河南发展燃气&lt;开封&gt;</t>
  </si>
  <si>
    <t>2.5-5.7</t>
  </si>
  <si>
    <t>五洲燃气&lt;开封&gt;</t>
  </si>
  <si>
    <t>3.5-5.7</t>
  </si>
  <si>
    <t>范县天然气&lt;范县&gt;</t>
  </si>
  <si>
    <t>范县</t>
  </si>
  <si>
    <t>台前豫天&lt;台前&gt;</t>
  </si>
  <si>
    <t>台前</t>
  </si>
  <si>
    <t>台前惠民燃气&lt;台前&gt;</t>
  </si>
  <si>
    <t>白浅储气库&lt;东明&gt;</t>
  </si>
  <si>
    <t>上载</t>
  </si>
  <si>
    <t>4.5-7.0</t>
  </si>
  <si>
    <t>渤海奥宇&lt;牛进庄&gt;</t>
  </si>
  <si>
    <t>牛进庄</t>
  </si>
  <si>
    <t>1用1备（处理能力相同）</t>
  </si>
  <si>
    <t>2.7-3.2</t>
  </si>
  <si>
    <t>环海管输&lt;银高&gt;</t>
  </si>
  <si>
    <t>银高</t>
  </si>
  <si>
    <t>环海管输&lt;银高&gt;B</t>
  </si>
  <si>
    <t>津燃华润&lt;唐官屯&gt;</t>
  </si>
  <si>
    <t>唐官屯分输</t>
  </si>
  <si>
    <t>2.7-3.8</t>
  </si>
  <si>
    <t>津燃华润&lt;团泊洼&gt;</t>
  </si>
  <si>
    <t>团泊洼</t>
  </si>
  <si>
    <t>静海力骅&lt;唐官屯&gt;</t>
  </si>
  <si>
    <t>唐官屯</t>
  </si>
  <si>
    <t>3.0-3.8</t>
  </si>
  <si>
    <t>中国石化&lt;南港&gt;</t>
  </si>
  <si>
    <t>南港</t>
  </si>
  <si>
    <t>北方分公司&lt;南港&gt;</t>
  </si>
  <si>
    <t>华奥燃气&lt;金牛&gt;</t>
  </si>
  <si>
    <t>金牛</t>
  </si>
  <si>
    <t>盐山中燃&lt;盐山&gt;</t>
  </si>
  <si>
    <t>盐山</t>
  </si>
  <si>
    <t>河北天庆&lt;旧州&gt;</t>
  </si>
  <si>
    <t>旧州</t>
  </si>
  <si>
    <t>庆云浩通&lt;庆云&gt;</t>
  </si>
  <si>
    <t>庆云分输</t>
  </si>
  <si>
    <t>沧州天硕&lt;天津沧州&gt;</t>
  </si>
  <si>
    <t>天津沧州</t>
  </si>
  <si>
    <t>金海岸燃气&lt;天津沧州&gt;</t>
  </si>
  <si>
    <t>沧州</t>
  </si>
  <si>
    <t>3.5-3.8</t>
  </si>
  <si>
    <t>惠民中泰&lt;滨州&gt;</t>
  </si>
  <si>
    <t>滨州</t>
  </si>
  <si>
    <t>淄博金捷&lt;花沟&gt;</t>
  </si>
  <si>
    <t>花沟</t>
  </si>
  <si>
    <t>1用1备（处理能力不同）</t>
  </si>
  <si>
    <t>1.3-3.0</t>
  </si>
  <si>
    <t>中燃宏胜&lt;梁头&gt;</t>
  </si>
  <si>
    <t>梁头</t>
  </si>
  <si>
    <t>1用2备（处理能力不同）</t>
  </si>
  <si>
    <t>2.8-3.4</t>
  </si>
  <si>
    <t>津辰燃气&lt;黄花店&gt;</t>
  </si>
  <si>
    <t>黄花店</t>
  </si>
  <si>
    <t>1用两备</t>
  </si>
  <si>
    <t>泰达清洁能源&lt;大口屯&gt;</t>
  </si>
  <si>
    <t>大口屯</t>
  </si>
  <si>
    <t>2.8-3.8</t>
  </si>
  <si>
    <t>宝坻中燃&lt;林亭口&gt;</t>
  </si>
  <si>
    <t>林亭口</t>
  </si>
  <si>
    <t>1用2备（处理能力相同）</t>
  </si>
  <si>
    <t>福源热电&lt;武清&gt;</t>
  </si>
  <si>
    <t>天津武清</t>
  </si>
  <si>
    <t>3.6~3.8</t>
  </si>
  <si>
    <t>武清百川&lt;武清&gt;</t>
  </si>
  <si>
    <t>泰达清洁能源&lt;武清&gt;</t>
  </si>
  <si>
    <t>2.6-3.8</t>
  </si>
  <si>
    <t>唐山天然气&lt;天津唐山&gt;</t>
  </si>
  <si>
    <t>唐山末</t>
  </si>
  <si>
    <t>3.7-3.95</t>
  </si>
  <si>
    <t>乐陵中燃&lt;庆云&gt;</t>
  </si>
  <si>
    <t>庆云</t>
  </si>
  <si>
    <t>渤海奥宇&lt;黄骅&gt;</t>
  </si>
  <si>
    <t>黄骅</t>
  </si>
  <si>
    <t>鑫海澳凯&lt;黄骅&gt;</t>
  </si>
  <si>
    <t>环海管输&lt;博兴&gt;</t>
  </si>
  <si>
    <t>博兴</t>
  </si>
  <si>
    <t>山东销售分公司&lt;博兴&gt;</t>
  </si>
  <si>
    <t>博兴实华&lt;博兴&gt;</t>
  </si>
  <si>
    <t>山东中悦&lt;博兴&gt;</t>
  </si>
  <si>
    <t>博兴金捷&lt;博兴&gt;</t>
  </si>
  <si>
    <t>博兴港华&lt;博兴&gt;</t>
  </si>
  <si>
    <t>山东销售分公司&lt;齐河&gt;</t>
  </si>
  <si>
    <t>济南奥德&lt;济阳&gt;</t>
  </si>
  <si>
    <t>济阳</t>
  </si>
  <si>
    <t>济南港华&lt;济阳&gt;</t>
  </si>
  <si>
    <t>山东销售分公司&lt;绿金&gt;</t>
  </si>
  <si>
    <t>绿金</t>
  </si>
  <si>
    <t>邹平新奥&lt;邹平&gt;</t>
  </si>
  <si>
    <t>邹平</t>
  </si>
  <si>
    <t>山东东尉&lt;邹平&gt;</t>
  </si>
  <si>
    <t>邹平创新&lt;邹平&gt;</t>
  </si>
  <si>
    <t>淄博津滨&lt;桓台&gt;</t>
  </si>
  <si>
    <t>桓台</t>
  </si>
  <si>
    <t>桓台鑫能&lt;桓台&gt;</t>
  </si>
  <si>
    <t>桓台华润&lt;桓台&gt;</t>
  </si>
  <si>
    <t>潍坊鑫胜&lt;侯镇&gt;</t>
  </si>
  <si>
    <t>侯镇</t>
  </si>
  <si>
    <t>广饶天然气&lt;广饶&gt;</t>
  </si>
  <si>
    <t>广饶</t>
  </si>
  <si>
    <t>东营嘉宁&lt;广饶&gt;</t>
  </si>
  <si>
    <t>胜利油田&lt;广饶&gt;</t>
  </si>
  <si>
    <t>东营城投&lt;广饶&gt;</t>
  </si>
  <si>
    <t>东营芯能&lt;广饶&gt;</t>
  </si>
  <si>
    <t>广饶中邑&lt;寿光&gt;</t>
  </si>
  <si>
    <t>寿光</t>
  </si>
  <si>
    <t>寿光宝力隆&lt;寿光&gt;</t>
  </si>
  <si>
    <t>寿光实华&lt;寿光&gt;</t>
  </si>
  <si>
    <t>山东鲁洋&lt;寿光&gt;</t>
  </si>
  <si>
    <t>潍坊亿燃&lt;滨海&gt;</t>
  </si>
  <si>
    <t>潍坊港华&lt;滨海&gt;</t>
  </si>
  <si>
    <t>昌邑美澳&lt;昌邑&gt;</t>
  </si>
  <si>
    <t>昌邑</t>
  </si>
  <si>
    <t>青州宏源&lt;昌邑&gt;</t>
  </si>
  <si>
    <t>1.0-3.85</t>
  </si>
  <si>
    <t>山东销售分公司&lt;平度&gt;</t>
  </si>
  <si>
    <t>平度</t>
  </si>
  <si>
    <t>2.4-2.5</t>
  </si>
  <si>
    <t>淄博贝欧&lt;马桥&gt;</t>
  </si>
  <si>
    <t>马桥</t>
  </si>
  <si>
    <t>平度埃维&lt;莱西&gt;</t>
  </si>
  <si>
    <t>莱西</t>
  </si>
  <si>
    <t xml:space="preserve">   2.0-3.5</t>
  </si>
  <si>
    <t>胶城新奥&lt;张应&gt;</t>
  </si>
  <si>
    <t>张应</t>
  </si>
  <si>
    <t>2.5-3.3</t>
  </si>
  <si>
    <t>北部湾新奥&lt;北海&gt;</t>
  </si>
  <si>
    <t>宜宾润桂&lt;六景&gt;</t>
  </si>
  <si>
    <t>六景</t>
  </si>
  <si>
    <t>柳州中燃&lt;前村&gt;</t>
  </si>
  <si>
    <t>前村</t>
  </si>
  <si>
    <t>新奥燃气&lt;湛江&gt;</t>
  </si>
  <si>
    <t>湛江</t>
  </si>
  <si>
    <t>华润支路&lt;湛江&gt;</t>
  </si>
  <si>
    <t>新增</t>
  </si>
  <si>
    <t>遂溪华润&lt;湛江&gt;</t>
  </si>
  <si>
    <t>≤3.4</t>
  </si>
  <si>
    <t>东城燃气&lt;柳东&gt;</t>
  </si>
  <si>
    <t>柳东</t>
  </si>
  <si>
    <t>广投管网&lt;白沙&gt;</t>
  </si>
  <si>
    <t>白沙</t>
  </si>
  <si>
    <t>广西燃气&lt;白沙&gt;</t>
  </si>
  <si>
    <t>廉江新奥&lt;廉江&gt;</t>
  </si>
  <si>
    <t>廉江</t>
  </si>
  <si>
    <t>3.0-3.2</t>
  </si>
  <si>
    <t>茂名石化&lt;茂名&gt;</t>
  </si>
  <si>
    <t>茂名</t>
  </si>
  <si>
    <t>宾阳润桂&lt;黎塘&gt;</t>
  </si>
  <si>
    <t>黎塘</t>
  </si>
  <si>
    <t>柳州港华&lt;龙朝门站&gt;</t>
  </si>
  <si>
    <t>湖南湘投&lt;新气24#红茶亭&gt;</t>
  </si>
  <si>
    <t>红茶亭</t>
  </si>
  <si>
    <t>耒阳长城&lt;耒阳&gt;</t>
  </si>
  <si>
    <t>耒阳</t>
  </si>
  <si>
    <t>2025.6.21</t>
  </si>
  <si>
    <t>湖南华湘&lt;新气长沙&gt;</t>
  </si>
  <si>
    <t>新气长沙</t>
  </si>
  <si>
    <t>湖南省管网&lt;郴州&gt;</t>
  </si>
  <si>
    <t>郴州</t>
  </si>
  <si>
    <t>郴州金煌燃气&lt;郴州&gt;</t>
  </si>
  <si>
    <t>5-10</t>
  </si>
  <si>
    <t>宜章华润&lt;新气34#段家&gt;</t>
  </si>
  <si>
    <t>段家</t>
  </si>
  <si>
    <t>湖南省天衡炎&lt;衡阳&gt;</t>
  </si>
  <si>
    <t>衡阳</t>
  </si>
  <si>
    <t>湖南湘投&lt;衡阳&gt;</t>
  </si>
  <si>
    <t>衡南海特&lt;衡阳&gt;</t>
  </si>
  <si>
    <t>永州新奥&lt;永州&gt;</t>
  </si>
  <si>
    <t>永州</t>
  </si>
  <si>
    <t>株洲瑞华&lt;马洲村&gt;</t>
  </si>
  <si>
    <t>马洲村</t>
  </si>
  <si>
    <t>2.5-6</t>
  </si>
  <si>
    <t>郴州华润&lt;邓家塘&gt;</t>
  </si>
  <si>
    <t>邓家塘</t>
  </si>
  <si>
    <t>湖南省管网&lt;永州&gt;</t>
  </si>
  <si>
    <t>洪湖佳通&lt;监利&gt;</t>
  </si>
  <si>
    <t>3.2-3.95</t>
  </si>
  <si>
    <t>湖南能源&lt;衡东&gt;</t>
  </si>
  <si>
    <t>衡东</t>
  </si>
  <si>
    <t>5.0-6.3</t>
  </si>
  <si>
    <t>柳池坝&lt;元坝&gt;</t>
  </si>
  <si>
    <t>孔板阀DN400在用，DN150备用</t>
  </si>
  <si>
    <t>3.8-4.3</t>
  </si>
  <si>
    <t>元阆&lt;元坝&gt;</t>
  </si>
  <si>
    <t>孔板阀DN250在用，DN150备用</t>
  </si>
  <si>
    <t>3.7-4.3</t>
  </si>
  <si>
    <t>巴中欣恒&lt;川东北6#&gt;</t>
  </si>
  <si>
    <t>6#</t>
  </si>
  <si>
    <t>旋进旋涡DN50，1用1备</t>
  </si>
  <si>
    <t>华油中蓝&lt;川东北4#&gt;</t>
  </si>
  <si>
    <t>4#</t>
  </si>
  <si>
    <t>超声波DN150，1用1备</t>
  </si>
  <si>
    <t>平昌港华&lt;平昌&gt;</t>
  </si>
  <si>
    <t>平昌站</t>
  </si>
  <si>
    <t>吐鲁番新捷&lt;鄯乌首站&gt;</t>
  </si>
  <si>
    <t>用户资产，非代维，用户站内两路调压两路计量</t>
  </si>
  <si>
    <t>0.5-3.4</t>
  </si>
  <si>
    <t>海南炼化&lt;洋浦&gt;</t>
  </si>
  <si>
    <t>洋浦</t>
  </si>
  <si>
    <t>金海浆纸&lt;洋浦&gt;</t>
  </si>
  <si>
    <t>海南发电&lt;洋浦&gt;</t>
  </si>
  <si>
    <t>海气1用3备、LNG1用1备</t>
  </si>
  <si>
    <t>海南炼化&lt;洋浦&gt;B</t>
  </si>
  <si>
    <t>金海浆纸&lt;洋浦&gt;B</t>
  </si>
  <si>
    <t>海南发电&lt;洋浦&gt;B</t>
  </si>
  <si>
    <t>洋浦燃气&lt;洋浦&gt;</t>
  </si>
  <si>
    <t>洋浦热电&lt;洋浦&gt;</t>
  </si>
  <si>
    <t>＞4.5</t>
  </si>
  <si>
    <t>东方石化&lt;东方首&gt;</t>
  </si>
  <si>
    <t>东方首</t>
  </si>
  <si>
    <t>中海油东方燃气&lt;东方首&gt;</t>
  </si>
  <si>
    <t>昌江燃气&lt;昌江&gt;</t>
  </si>
  <si>
    <t>昌江</t>
  </si>
  <si>
    <t>民生燃气&lt;昌江&gt;</t>
  </si>
  <si>
    <t>金江燃气&lt;东洋海12#&gt;</t>
  </si>
  <si>
    <t>东洋海12#</t>
  </si>
  <si>
    <t>海口民生&lt;海口&gt;</t>
  </si>
  <si>
    <t>海口</t>
  </si>
  <si>
    <t>老城燃气&lt;海口&gt;</t>
  </si>
  <si>
    <t>大唐海口电厂&lt;海口&gt;</t>
  </si>
  <si>
    <t>儋州燃气&lt;东洋海7#&gt;</t>
  </si>
  <si>
    <t>东洋海7#</t>
  </si>
  <si>
    <t>富岛化肥&lt;东方&gt;</t>
  </si>
  <si>
    <t>东方</t>
  </si>
  <si>
    <t>东方燃气&lt;东方&gt;</t>
  </si>
  <si>
    <t>中海民生（九所）&lt;三八1#&gt;</t>
  </si>
  <si>
    <t>三八1#</t>
  </si>
  <si>
    <t>龙沐湾燃气&lt;三八2#&gt;</t>
  </si>
  <si>
    <t>三八2#</t>
  </si>
  <si>
    <t>南山电厂&lt;三亚&gt;</t>
  </si>
  <si>
    <t>三亚</t>
  </si>
  <si>
    <t>三亚长丰&lt;三亚&gt;</t>
  </si>
  <si>
    <t>海南民生CNG&lt;三亚&gt;</t>
  </si>
  <si>
    <t>文昌电厂&lt;东路&gt;</t>
  </si>
  <si>
    <t>东路</t>
  </si>
  <si>
    <t>东路燃气&lt;东路&gt;</t>
  </si>
  <si>
    <t>万宁槟榔城&lt;北大&gt;</t>
  </si>
  <si>
    <t>北大</t>
  </si>
  <si>
    <t>0.6-1.6</t>
  </si>
  <si>
    <t>大唐万宁电厂&lt;北大&gt;</t>
  </si>
  <si>
    <t>3.7-4.1</t>
  </si>
  <si>
    <t>万宁神州半岛&lt;万宁&gt;</t>
  </si>
  <si>
    <t>万宁</t>
  </si>
  <si>
    <t>1.0-1.2</t>
  </si>
  <si>
    <t>2025.6.11</t>
  </si>
  <si>
    <t>潮州深能&lt;浮洋&gt;</t>
  </si>
  <si>
    <t>普宁润宏</t>
  </si>
  <si>
    <t>普宁</t>
  </si>
  <si>
    <t>清远华电国际&lt;英德末&gt;</t>
  </si>
  <si>
    <t>英德</t>
  </si>
  <si>
    <t>广东中油中泰&lt;英德末&gt;</t>
  </si>
  <si>
    <t>华电福新&lt;华电华侨园&gt;</t>
  </si>
  <si>
    <t>华电华侨园</t>
  </si>
  <si>
    <t>佛冈华润&lt;佛冈&gt;</t>
  </si>
  <si>
    <t>佛冈</t>
  </si>
  <si>
    <t>粤电新会&lt;崖门&gt;</t>
  </si>
  <si>
    <t>崖门</t>
  </si>
  <si>
    <t>瀚海能源&lt;双水&gt;</t>
  </si>
  <si>
    <t>双水</t>
  </si>
  <si>
    <t>瀚海能源&lt;谭江&gt;</t>
  </si>
  <si>
    <t>谭江</t>
  </si>
  <si>
    <t>珠海华润电力&lt;斗门&gt;</t>
  </si>
  <si>
    <t>斗门</t>
  </si>
  <si>
    <t>珠海天然气&lt;斗门&gt;</t>
  </si>
  <si>
    <t>华电蓬江&lt;蓬江&gt;</t>
  </si>
  <si>
    <t>蓬江</t>
  </si>
  <si>
    <t>不调压分输</t>
  </si>
  <si>
    <t>鹤山华润&lt;龙口&gt;</t>
  </si>
  <si>
    <t>龙口</t>
  </si>
  <si>
    <t>3.4-4.0</t>
  </si>
  <si>
    <t>佛山燃气&lt;高明&gt;</t>
  </si>
  <si>
    <t>高明</t>
  </si>
  <si>
    <t>肇庆佛燃&lt;广东省网肇庆&gt;</t>
  </si>
  <si>
    <t>佛山燃气&lt;三水&gt;</t>
  </si>
  <si>
    <t>三水</t>
  </si>
  <si>
    <t>中电四会&lt;大旺&gt;</t>
  </si>
  <si>
    <t>大旺</t>
  </si>
  <si>
    <t>大于等于4.0
且≤9.2</t>
  </si>
  <si>
    <t>肇庆新奥&lt;大旺&gt;</t>
  </si>
  <si>
    <t>肇庆佛燃&lt;金利&gt;</t>
  </si>
  <si>
    <t>金利</t>
  </si>
  <si>
    <t>肇庆新奥&lt;永安&gt;</t>
  </si>
  <si>
    <t>永安</t>
  </si>
  <si>
    <t>广州燃气&lt;从化&gt;</t>
  </si>
  <si>
    <t>从化</t>
  </si>
  <si>
    <t>≤5.0</t>
  </si>
  <si>
    <t>广州燃气&lt;广东省网广州&gt;A</t>
  </si>
  <si>
    <t>广州燃气&lt;广东省网增城&gt;A</t>
  </si>
  <si>
    <t>增城</t>
  </si>
  <si>
    <t>大唐惠州电厂&lt;园洲&gt;</t>
  </si>
  <si>
    <t>园洲</t>
  </si>
  <si>
    <t>4.5-4.7</t>
  </si>
  <si>
    <t>惠州燃气&lt;惠州&gt;</t>
  </si>
  <si>
    <t>惠州</t>
  </si>
  <si>
    <t>广东光耀&lt;惠州&gt;</t>
  </si>
  <si>
    <t>广能惠州天然气&lt;白花&gt;</t>
  </si>
  <si>
    <t>白花</t>
  </si>
  <si>
    <t>5.4-7.5</t>
  </si>
  <si>
    <t>韶关港华&lt;广东省网韶关&gt;</t>
  </si>
  <si>
    <t>仁化安顺达&lt;大桥&gt;</t>
  </si>
  <si>
    <t>大桥</t>
  </si>
  <si>
    <t>东莞新奥&lt;广东省网东莞&gt;C</t>
  </si>
  <si>
    <t>清远港华&lt;清远末&gt;</t>
  </si>
  <si>
    <t>阳江华润&lt;阳江&gt;</t>
  </si>
  <si>
    <t>阳江</t>
  </si>
  <si>
    <t>恩平佛燃&lt;恩平&gt;</t>
  </si>
  <si>
    <t>恩平</t>
  </si>
  <si>
    <t>开平华润&lt;赤坎&gt;</t>
  </si>
  <si>
    <t>赤坎</t>
  </si>
  <si>
    <t>3.7-4.0</t>
  </si>
  <si>
    <t>茂名中燃&lt;茂名&gt;</t>
  </si>
  <si>
    <t>阳江新奥燃气&lt;织篢&gt;</t>
  </si>
  <si>
    <t>织篢</t>
  </si>
  <si>
    <t>河源华润&lt;河源末&gt;</t>
  </si>
  <si>
    <t>河源末</t>
  </si>
  <si>
    <t>云浮中燃&lt;云浮&gt;</t>
  </si>
  <si>
    <t>云浮</t>
  </si>
  <si>
    <t>粤电永安&lt;永安电厂&gt;</t>
  </si>
  <si>
    <t>永安电厂</t>
  </si>
  <si>
    <t>4.2-4.4</t>
  </si>
  <si>
    <t>梅州中燃&lt;梅州&gt;</t>
  </si>
  <si>
    <t>梅州</t>
  </si>
  <si>
    <t>汕尾中燃&lt;海丰&gt;</t>
  </si>
  <si>
    <t>海丰</t>
  </si>
  <si>
    <t>海丰深燃&lt;海丰&gt;</t>
  </si>
  <si>
    <t>新丰安顺达&lt;新丰&gt;</t>
  </si>
  <si>
    <t>新丰</t>
  </si>
  <si>
    <t>江门恒建&lt;台山&gt;</t>
  </si>
  <si>
    <t>台山</t>
  </si>
  <si>
    <t>东莞新奥&lt;高埗&gt;</t>
  </si>
  <si>
    <t>高埗末</t>
  </si>
  <si>
    <t>4.2-4.6</t>
  </si>
  <si>
    <t>东莞粤文&lt;高埗&gt;</t>
  </si>
  <si>
    <t>云浮华润&lt;云安&gt;</t>
  </si>
  <si>
    <t>云安</t>
  </si>
  <si>
    <t>亚太森博纸业&lt;双水阀室&gt;</t>
  </si>
  <si>
    <t>双水阀室</t>
  </si>
  <si>
    <t>潮阳华润&lt;潮阳&gt;</t>
  </si>
  <si>
    <t>潮阳</t>
  </si>
  <si>
    <t>乐昌安顺达&lt;乐昌&gt;</t>
  </si>
  <si>
    <t>乐昌</t>
  </si>
  <si>
    <t>粤北能源乳源&lt;乳源&gt;</t>
  </si>
  <si>
    <t>乳源</t>
  </si>
  <si>
    <t>粤北城燃翁源&lt;翁源&gt;</t>
  </si>
  <si>
    <t>翁源</t>
  </si>
  <si>
    <t>粤北能源曲江&lt;曲江&gt;</t>
  </si>
  <si>
    <t>曲江</t>
  </si>
  <si>
    <t>国能肇庆电厂&lt;肇庆电厂末站&gt;</t>
  </si>
  <si>
    <t>肇庆电厂</t>
  </si>
  <si>
    <t>国能石角电厂&lt;石角电厂末站&gt;</t>
  </si>
  <si>
    <t>惠州电厂&lt;东江电厂末站&gt;</t>
  </si>
  <si>
    <t>4.8-5.0</t>
  </si>
  <si>
    <t>博罗深能燃气&lt;园洲&gt;</t>
  </si>
  <si>
    <t>2025.5.30</t>
  </si>
  <si>
    <t>阳江海陵湾&lt;阳江&gt;</t>
  </si>
  <si>
    <t>台山合和燃气&lt;台山&gt;</t>
  </si>
  <si>
    <t>2025.6.26</t>
  </si>
  <si>
    <t>华电谢岗&lt;东莞&gt;</t>
  </si>
  <si>
    <t>长兴燃气&lt;浙江省网长兴&gt;</t>
  </si>
  <si>
    <t>浙江省网长兴</t>
  </si>
  <si>
    <t>长兴热电&lt;浙江省网长兴&gt;</t>
  </si>
  <si>
    <t>京兴电厂&lt;浙江省网长兴&gt;</t>
  </si>
  <si>
    <t>长兴燃气&lt;回车岭&gt;</t>
  </si>
  <si>
    <t>回车岭</t>
  </si>
  <si>
    <t>湖州燃气（代）&lt;湖州&gt;</t>
  </si>
  <si>
    <t>湖州</t>
  </si>
  <si>
    <t>南浔CNG&lt;南浔&gt;</t>
  </si>
  <si>
    <t>南浔</t>
  </si>
  <si>
    <t>湖州燃气&lt;南浔&gt;</t>
  </si>
  <si>
    <t>3用0备</t>
  </si>
  <si>
    <t>湖州燃气&lt;双林2#&gt;</t>
  </si>
  <si>
    <t>双林2#</t>
  </si>
  <si>
    <t>安吉燃气&lt;安吉&gt;</t>
  </si>
  <si>
    <t>安吉</t>
  </si>
  <si>
    <t>安吉热电&lt;安吉&gt;</t>
  </si>
  <si>
    <t>安吉燃气&lt;徐村湾&gt;</t>
  </si>
  <si>
    <t>徐村湾</t>
  </si>
  <si>
    <t>德清燃气&lt;德清&gt;</t>
  </si>
  <si>
    <t>德清</t>
  </si>
  <si>
    <t>浙江振能&lt;塍头&gt;</t>
  </si>
  <si>
    <t>塍头</t>
  </si>
  <si>
    <t>嘉兴燃气&lt;塍头&gt;</t>
  </si>
  <si>
    <t>嘉兴燃气&lt;浙江省网嘉兴&gt;</t>
  </si>
  <si>
    <t>浙江省网嘉兴</t>
  </si>
  <si>
    <t>湖州恒健&lt;浙江省网嘉兴&gt;</t>
  </si>
  <si>
    <t>海宁燃气&lt;屠甸&gt;</t>
  </si>
  <si>
    <t>屠甸</t>
  </si>
  <si>
    <t>海宁燃气&lt;天明&gt;</t>
  </si>
  <si>
    <t>天明</t>
  </si>
  <si>
    <t>海盐燃气&lt;海盐&gt;</t>
  </si>
  <si>
    <t>海盐</t>
  </si>
  <si>
    <t>海盐燃气&lt;百步&gt;</t>
  </si>
  <si>
    <t>百步</t>
  </si>
  <si>
    <t>杭州燃气&lt;杭州&gt;</t>
  </si>
  <si>
    <t>杭州</t>
  </si>
  <si>
    <t>蓝天电厂&lt;杭州&gt;</t>
  </si>
  <si>
    <t>半山电厂&lt;杭州&gt;</t>
  </si>
  <si>
    <t>2用3备</t>
  </si>
  <si>
    <t>杭州燃气&lt;所前&gt;</t>
  </si>
  <si>
    <t>所前</t>
  </si>
  <si>
    <t>杭州亚盛&lt;紫云&gt;</t>
  </si>
  <si>
    <t>紫云</t>
  </si>
  <si>
    <t>杭州天然气&lt;紫云&gt;</t>
  </si>
  <si>
    <t>杭州燃气&lt;浙江省网萧山&gt;</t>
  </si>
  <si>
    <t>浙江省网萧山</t>
  </si>
  <si>
    <t>萧山中燃&lt;萧山联络&gt;</t>
  </si>
  <si>
    <t>萧山联络</t>
  </si>
  <si>
    <t>杭州燃气&lt;萧山联络&gt;</t>
  </si>
  <si>
    <t>江东热电&lt;萧山联络&gt;</t>
  </si>
  <si>
    <t>萧山新奥&lt;临浦&gt;</t>
  </si>
  <si>
    <t>临浦</t>
  </si>
  <si>
    <t>诸暨余达&lt;临浦&gt;</t>
  </si>
  <si>
    <t>诸暨天然气&lt;次坞&gt;</t>
  </si>
  <si>
    <t>次坞</t>
  </si>
  <si>
    <t>诸暨燃气&lt;浙江省网诸暨&gt;</t>
  </si>
  <si>
    <t>浙江省网诸暨</t>
  </si>
  <si>
    <t>绍兴燃气&lt;绍兴&gt;</t>
  </si>
  <si>
    <t>绍兴</t>
  </si>
  <si>
    <t>上虞燃气&lt;上虞&gt;</t>
  </si>
  <si>
    <t>上虞</t>
  </si>
  <si>
    <t>4用0备</t>
  </si>
  <si>
    <t>江滨燃气&lt;江滨&gt;</t>
  </si>
  <si>
    <t>江滨</t>
  </si>
  <si>
    <t>江滨热电&lt;江滨&gt;</t>
  </si>
  <si>
    <t>绍兴燃气&lt;江滨&gt;</t>
  </si>
  <si>
    <t>三界燃气&lt;上虞南&gt;</t>
  </si>
  <si>
    <t>上虞南</t>
  </si>
  <si>
    <t>上虞燃气&lt;金盾&gt;</t>
  </si>
  <si>
    <t>金盾</t>
  </si>
  <si>
    <t>嵊州昆仑&lt;嵊州&gt;</t>
  </si>
  <si>
    <t>嵊州</t>
  </si>
  <si>
    <t>新昌燃气&lt;嵊州&gt;</t>
  </si>
  <si>
    <t>余姚燃气&lt;余姚&gt;</t>
  </si>
  <si>
    <t>余姚</t>
  </si>
  <si>
    <t>慈溪燃气&lt;余姚&gt;</t>
  </si>
  <si>
    <t>宁波燃气&lt;镇海&gt;</t>
  </si>
  <si>
    <t>镇海</t>
  </si>
  <si>
    <t>慈东燃气&lt;镇海&gt;</t>
  </si>
  <si>
    <t>镇海炼化&lt;镇海&gt;</t>
  </si>
  <si>
    <t>奉化燃气&lt;奉化&gt;</t>
  </si>
  <si>
    <t>奉化</t>
  </si>
  <si>
    <t>宁海燃气&lt;宁海&gt;</t>
  </si>
  <si>
    <t>宁海</t>
  </si>
  <si>
    <t>象山华润&lt;象山&gt;</t>
  </si>
  <si>
    <t>象山</t>
  </si>
  <si>
    <t>宁海燃气&lt;莼湖&gt;</t>
  </si>
  <si>
    <t>莼湖</t>
  </si>
  <si>
    <t>三门燃气&lt;三门&gt;</t>
  </si>
  <si>
    <t>三门</t>
  </si>
  <si>
    <t>天台燃气&lt;天台&gt;</t>
  </si>
  <si>
    <t>天台</t>
  </si>
  <si>
    <t>仙居华润&lt;仙居&gt;</t>
  </si>
  <si>
    <t>仙居</t>
  </si>
  <si>
    <t>临海燃气&lt;临海&gt;</t>
  </si>
  <si>
    <t>临海</t>
  </si>
  <si>
    <t>台州燃气&lt;台州&gt;</t>
  </si>
  <si>
    <t>台州</t>
  </si>
  <si>
    <t>台州燃气&lt;院桥&gt;</t>
  </si>
  <si>
    <t>院桥</t>
  </si>
  <si>
    <t>温岭燃气&lt;温岭&gt;</t>
  </si>
  <si>
    <t>温岭</t>
  </si>
  <si>
    <t>青田油竹&lt;油竹&gt;</t>
  </si>
  <si>
    <t>油竹</t>
  </si>
  <si>
    <t>乐清华润&lt;乐清&gt;</t>
  </si>
  <si>
    <t>乐清</t>
  </si>
  <si>
    <t>乐清中裕&lt;乐成&gt;</t>
  </si>
  <si>
    <t>乐成</t>
  </si>
  <si>
    <t>乐清华辰&lt;北白象&gt;</t>
  </si>
  <si>
    <t>北白象</t>
  </si>
  <si>
    <t>永嘉燃气&lt;永嘉&gt;</t>
  </si>
  <si>
    <t>永嘉</t>
  </si>
  <si>
    <t>温州燃气&lt;龙湾&gt;</t>
  </si>
  <si>
    <t>龙湾</t>
  </si>
  <si>
    <t>龙湾电厂&lt;龙湾&gt;</t>
  </si>
  <si>
    <t>温州燃气&lt;温州&gt;</t>
  </si>
  <si>
    <t>温州</t>
  </si>
  <si>
    <t>温州燃气&lt;灵昆&gt;</t>
  </si>
  <si>
    <t>灵昆</t>
  </si>
  <si>
    <t>平阳燃气&lt;平阳&gt;</t>
  </si>
  <si>
    <t>平阳</t>
  </si>
  <si>
    <t>瑞安燃气&lt;瑞安&gt;</t>
  </si>
  <si>
    <t>瑞安</t>
  </si>
  <si>
    <t>温州中投&lt;苍南&gt;</t>
  </si>
  <si>
    <t>苍南</t>
  </si>
  <si>
    <t>衢州新奥&lt;浙江省网衢州&gt;</t>
  </si>
  <si>
    <t>浙江省网衢州</t>
  </si>
  <si>
    <t>衢州航埠&lt;航埠&gt;</t>
  </si>
  <si>
    <t>航埠</t>
  </si>
  <si>
    <t>江山燃气&lt;江山&gt;</t>
  </si>
  <si>
    <t>江山</t>
  </si>
  <si>
    <t>江山电厂&lt;江山&gt;</t>
  </si>
  <si>
    <t>常山燃气&lt;常山&gt;</t>
  </si>
  <si>
    <t>常山电厂&lt;常山&gt;</t>
  </si>
  <si>
    <t>开化燃气&lt;开化&gt;</t>
  </si>
  <si>
    <t>开化</t>
  </si>
  <si>
    <t>龙游燃气&lt;龙游&gt;</t>
  </si>
  <si>
    <t>龙游</t>
  </si>
  <si>
    <t>龙游热电&lt;龙游&gt;</t>
  </si>
  <si>
    <t>义乌燃气&lt;义乌&gt;</t>
  </si>
  <si>
    <t>义乌</t>
  </si>
  <si>
    <t>义乌燃气&lt;下金&gt;</t>
  </si>
  <si>
    <t>下金</t>
  </si>
  <si>
    <t>浦江燃气&lt;浦江&gt;</t>
  </si>
  <si>
    <t>浦江</t>
  </si>
  <si>
    <t>东阳燃气&lt;东阳&gt;</t>
  </si>
  <si>
    <t>东阳</t>
  </si>
  <si>
    <t>磐安燃气&lt;磐安&gt;</t>
  </si>
  <si>
    <t>磐安</t>
  </si>
  <si>
    <t>兰溪燃气&lt;下窑&gt;</t>
  </si>
  <si>
    <t>下窑</t>
  </si>
  <si>
    <t>金华燃机&lt;下窑&gt;</t>
  </si>
  <si>
    <t>金华燃气&lt;金华&gt;</t>
  </si>
  <si>
    <t>金华</t>
  </si>
  <si>
    <t>金华中燃&lt;鞋塘&gt;</t>
  </si>
  <si>
    <t>鞋塘</t>
  </si>
  <si>
    <t>武义燃气&lt;武义&gt;</t>
  </si>
  <si>
    <t>武义</t>
  </si>
  <si>
    <t>永康燃气&lt;永康&gt;</t>
  </si>
  <si>
    <t>永康</t>
  </si>
  <si>
    <t>缙云燃气&lt;缙云&gt;</t>
  </si>
  <si>
    <t>缙云</t>
  </si>
  <si>
    <t>丽水燃气&lt;丽水&gt;</t>
  </si>
  <si>
    <t>丽水</t>
  </si>
  <si>
    <t>丽水CNG&lt;丽水&gt;</t>
  </si>
  <si>
    <t>遂昌燃气&lt;遂昌&gt;</t>
  </si>
  <si>
    <t>遂昌</t>
  </si>
  <si>
    <t>松阳燃气&lt;松阳&gt;</t>
  </si>
  <si>
    <t>松阳</t>
  </si>
  <si>
    <t>云和燃气&lt;元和&gt;</t>
  </si>
  <si>
    <t>元和</t>
  </si>
  <si>
    <t>龙泉燃气&lt;龙泉&gt;</t>
  </si>
  <si>
    <t>龙泉</t>
  </si>
  <si>
    <t>萧山电厂&lt;萧山电厂&gt;</t>
  </si>
  <si>
    <t>萧山电厂</t>
  </si>
  <si>
    <t>国华电厂&lt;国华电厂&gt;</t>
  </si>
  <si>
    <t>镇海电厂&lt;镇海电厂&gt;</t>
  </si>
  <si>
    <t>镇海联合&lt;镇海电厂&gt;</t>
  </si>
  <si>
    <t>镇海热电&lt;镇海动力中心&gt;</t>
  </si>
  <si>
    <t>桐乡热电&lt;桐乡热电&gt;</t>
  </si>
  <si>
    <t>德能电厂&lt;德能&gt;</t>
  </si>
  <si>
    <t>德能</t>
  </si>
  <si>
    <t>德清分布式&lt;德能&gt;</t>
  </si>
  <si>
    <t>下沙热电&lt;下沙&gt;</t>
  </si>
  <si>
    <t>下沙</t>
  </si>
  <si>
    <t>科丰电厂&lt;龙山&gt;</t>
  </si>
  <si>
    <t>龙山</t>
  </si>
  <si>
    <t>春晓热电&lt;春晓&gt;</t>
  </si>
  <si>
    <t>春晓</t>
  </si>
  <si>
    <t>宁波燃气&lt;春晓&gt;</t>
  </si>
  <si>
    <t>宁波燃气&lt;北仑&gt;</t>
  </si>
  <si>
    <t>北仑</t>
  </si>
  <si>
    <t>柯城热电&lt;塘下&gt;</t>
  </si>
  <si>
    <t>塘下</t>
  </si>
  <si>
    <t>南浔热电&lt;南浔热电&gt;</t>
  </si>
  <si>
    <t>杭嘉鑫&lt;浙沪联络站&gt;</t>
  </si>
  <si>
    <t>宁海天然气&lt;大佳何&gt;</t>
  </si>
  <si>
    <t>大佳何</t>
  </si>
  <si>
    <t>镇海电厂&lt;镇海热电&gt;</t>
  </si>
  <si>
    <t>镇海热电</t>
  </si>
  <si>
    <t>3.6-6.3</t>
  </si>
  <si>
    <t>武义华润&lt;履坦阀室&gt;</t>
  </si>
  <si>
    <t>绍兴天然气&lt;杨汛桥&gt;</t>
  </si>
  <si>
    <t>杨汛桥</t>
  </si>
  <si>
    <t>松阳港华&lt;赤寿&gt;</t>
  </si>
  <si>
    <t>赤寿</t>
  </si>
  <si>
    <t>2.1-3.55</t>
  </si>
  <si>
    <t>江山燃气&lt;莲华山&gt;</t>
  </si>
  <si>
    <t>莲华山站</t>
  </si>
  <si>
    <t>1.6-3.55</t>
  </si>
  <si>
    <t>福领燃气&lt;鳌江&gt;</t>
  </si>
  <si>
    <t>鳌江站</t>
  </si>
  <si>
    <t>2.5-3.85</t>
  </si>
  <si>
    <t>华容长燃&lt;华容长燃&gt;</t>
  </si>
  <si>
    <t>华容</t>
  </si>
  <si>
    <t>1.2-3.6MPa</t>
  </si>
  <si>
    <t>2019.12.30</t>
  </si>
  <si>
    <t>南县华通燃气&lt;南县&gt;</t>
  </si>
  <si>
    <t>南县</t>
  </si>
  <si>
    <t>2018.8.28</t>
  </si>
  <si>
    <t>鑫昆燃气&lt;邵阳西&gt;</t>
  </si>
  <si>
    <t>邵阳西</t>
  </si>
  <si>
    <t>0.8-2.5MPa</t>
  </si>
  <si>
    <t>2020.09.02</t>
  </si>
  <si>
    <t>瑞华燃气&lt;邵阳西&gt;</t>
  </si>
  <si>
    <t>深燃燃气&lt;邵东&gt;</t>
  </si>
  <si>
    <t>邵东</t>
  </si>
  <si>
    <t>2018.12.29</t>
  </si>
  <si>
    <t>鑫昆燃气&lt;邵东&gt;</t>
  </si>
  <si>
    <t>双峰华润燃气&lt;双峰&gt;</t>
  </si>
  <si>
    <t>双峰</t>
  </si>
  <si>
    <t>2025.5.9</t>
  </si>
  <si>
    <t>桂阳金煌燃气&lt;桂阳&gt;</t>
  </si>
  <si>
    <t>桂阳</t>
  </si>
  <si>
    <t>2.5-3.6MPa</t>
  </si>
  <si>
    <t>2020.12.25</t>
  </si>
  <si>
    <t>郴州华润燃气&lt;郴州东&gt;</t>
  </si>
  <si>
    <t>郴州东</t>
  </si>
  <si>
    <t>郴州新奥燃气&lt;郴州东&gt;</t>
  </si>
  <si>
    <t>资兴华润燃气&lt;资兴&gt;</t>
  </si>
  <si>
    <t>资兴</t>
  </si>
  <si>
    <t>临武县金煌燃气&lt;临武&gt;</t>
  </si>
  <si>
    <t>临武</t>
  </si>
  <si>
    <t>1.6-4.0MPa</t>
  </si>
  <si>
    <t>花垣高远燃气&lt;花垣&gt;</t>
  </si>
  <si>
    <t>花垣</t>
  </si>
  <si>
    <t>不低于2MPa</t>
  </si>
  <si>
    <t>重庆渝燃&lt;保靖&gt;</t>
  </si>
  <si>
    <t>保靖</t>
  </si>
  <si>
    <t>永顺高远&lt;永顺&gt;</t>
  </si>
  <si>
    <t>永顺</t>
  </si>
  <si>
    <t>古丈高远&lt;古丈&gt;</t>
  </si>
  <si>
    <t>2#</t>
  </si>
  <si>
    <t>张家界中燃&lt;张家界&gt;</t>
  </si>
  <si>
    <t>张家界</t>
  </si>
  <si>
    <t>0.5-2.0MPa</t>
  </si>
  <si>
    <t>张家界新泰&lt;张家界&gt;</t>
  </si>
  <si>
    <t>0.3-2.0MPa</t>
  </si>
  <si>
    <t>吉首华润燃气&lt;吉首&gt;</t>
  </si>
  <si>
    <t>吉首</t>
  </si>
  <si>
    <t>中油致远&lt;凤凰&gt;</t>
  </si>
  <si>
    <t>凤凰</t>
  </si>
  <si>
    <t>高远燃气&lt;麻阳&gt;</t>
  </si>
  <si>
    <t>麻阳</t>
  </si>
  <si>
    <t>怀化新奥燃气&lt;怀化&gt;</t>
  </si>
  <si>
    <t>怀化</t>
  </si>
  <si>
    <t>辰溪县森泰燃气&lt;辰溪&gt;</t>
  </si>
  <si>
    <t>辰溪</t>
  </si>
  <si>
    <t>贵州燃气&lt;白蜡冲&gt;</t>
  </si>
  <si>
    <t>白蜡冲</t>
  </si>
  <si>
    <t>中石油昆仑花溪CNG母站&lt;白蜡冲&gt;</t>
  </si>
  <si>
    <t>3.5-4.6</t>
  </si>
  <si>
    <t>贵州燃气&lt;孟关&gt;</t>
  </si>
  <si>
    <t>孟关</t>
  </si>
  <si>
    <t>1.5-3.3</t>
  </si>
  <si>
    <t>贵州燃气&lt;清镇&gt;</t>
  </si>
  <si>
    <t>清镇</t>
  </si>
  <si>
    <t>0.3-0.32</t>
  </si>
  <si>
    <t>清镇华润&lt;清镇&gt;</t>
  </si>
  <si>
    <t>1.5-4.5</t>
  </si>
  <si>
    <t>遵义海特&lt;遵义南&gt;</t>
  </si>
  <si>
    <t>遵义南</t>
  </si>
  <si>
    <t>2.5-3.0</t>
  </si>
  <si>
    <t>贵州中油&lt;遵义南&gt;</t>
  </si>
  <si>
    <t>毕节昆仑赫章支线&lt;遵义南&gt;</t>
  </si>
  <si>
    <t>2.0-5.4</t>
  </si>
  <si>
    <t>贵州燃气&lt;和平&gt;</t>
  </si>
  <si>
    <t>1.5-3.1</t>
  </si>
  <si>
    <t>贵燃仁怀支线&lt;和平&gt;</t>
  </si>
  <si>
    <t>贵州燃气&lt;高坪&gt;</t>
  </si>
  <si>
    <t>高坪</t>
  </si>
  <si>
    <t>1.8-3.1</t>
  </si>
  <si>
    <t>坝干CNG（昆都能源）&lt;贵州管网都匀&gt;</t>
  </si>
  <si>
    <t>贵州管网都匀</t>
  </si>
  <si>
    <t>不计入分输口总数</t>
  </si>
  <si>
    <t>盘州燃气&lt;盘州&gt;</t>
  </si>
  <si>
    <t>盘州</t>
  </si>
  <si>
    <t>0.5-1.25</t>
  </si>
  <si>
    <t>中石油昆仑燃气息烽分公司&lt;息烽&gt;</t>
  </si>
  <si>
    <t>息烽</t>
  </si>
  <si>
    <t>0.45-0.7</t>
  </si>
  <si>
    <t>黔西南阳光&lt;普安&gt;</t>
  </si>
  <si>
    <t>普安</t>
  </si>
  <si>
    <t>1.5-4.3</t>
  </si>
  <si>
    <t>贵州燃气&lt;六枝&gt;</t>
  </si>
  <si>
    <t>六枝</t>
  </si>
  <si>
    <t>3.5-5.0</t>
  </si>
  <si>
    <t>贵州燃气&lt;安顺&gt;</t>
  </si>
  <si>
    <t>普定慧远&lt;安顺&gt;</t>
  </si>
  <si>
    <t>0.5-1.5</t>
  </si>
  <si>
    <t>神州燃气&lt;平坝&gt;</t>
  </si>
  <si>
    <t>平坝</t>
  </si>
  <si>
    <t>贵州燃气&lt;修文&gt;</t>
  </si>
  <si>
    <t>修文</t>
  </si>
  <si>
    <t>2.1-2.9</t>
  </si>
  <si>
    <t>开阳石达&lt;修文&gt;</t>
  </si>
  <si>
    <t>2.6-3.9</t>
  </si>
  <si>
    <t>贵阳合源&lt;修文&gt;</t>
  </si>
  <si>
    <t>5.0-7.6</t>
  </si>
  <si>
    <t>桐梓贵燃&lt;桐梓&gt;</t>
  </si>
  <si>
    <t>桐梓</t>
  </si>
  <si>
    <r>
      <rPr>
        <sz val="12"/>
        <rFont val="华文仿宋"/>
        <charset val="134"/>
      </rPr>
      <t>1用</t>
    </r>
    <r>
      <rPr>
        <sz val="12"/>
        <color rgb="FFFF0000"/>
        <rFont val="华文仿宋"/>
        <charset val="134"/>
      </rPr>
      <t>2</t>
    </r>
    <r>
      <rPr>
        <sz val="12"/>
        <rFont val="华文仿宋"/>
        <charset val="134"/>
      </rPr>
      <t>备</t>
    </r>
  </si>
  <si>
    <t>[原始]调度台</t>
  </si>
  <si>
    <t>[原始]地区公司</t>
  </si>
  <si>
    <t>[计算]调控级别</t>
  </si>
  <si>
    <t>[计算]干线管道</t>
  </si>
  <si>
    <t>[计算]支线管道</t>
  </si>
  <si>
    <t>[关联]站场</t>
  </si>
  <si>
    <t>[原始]机组配置</t>
  </si>
  <si>
    <t>[原始]压缩机组编号</t>
  </si>
  <si>
    <t>[原始]72h测试完成时间</t>
  </si>
  <si>
    <t>[原始]驱动方式</t>
  </si>
  <si>
    <t>[原始]进口/国产</t>
  </si>
  <si>
    <t>[原始]压缩机厂商</t>
  </si>
  <si>
    <t>[原始]压缩机型号</t>
  </si>
  <si>
    <t>[原始]驱动机型号及
制造商</t>
  </si>
  <si>
    <t>[原始]连续运行工作转速范围rpm</t>
  </si>
  <si>
    <t>[原始]最大连续运行转速rpm</t>
  </si>
  <si>
    <t>[原始]入口压力范围MPa</t>
  </si>
  <si>
    <t>[原始]驱动机额定功率MW</t>
  </si>
  <si>
    <t>[原始]机组投产情况</t>
  </si>
  <si>
    <t>[原始]余热利用</t>
  </si>
  <si>
    <t>压缩机平台</t>
  </si>
  <si>
    <t>2+1</t>
  </si>
  <si>
    <t>1#</t>
  </si>
  <si>
    <t>燃驱</t>
  </si>
  <si>
    <t>进口</t>
  </si>
  <si>
    <t>Rolls-Royce</t>
  </si>
  <si>
    <t>RF2BB36</t>
  </si>
  <si>
    <t>RB211-24G/RR</t>
  </si>
  <si>
    <t>3120-4800</t>
  </si>
  <si>
    <t>&gt;5</t>
  </si>
  <si>
    <t>投产</t>
  </si>
  <si>
    <t>General Electric</t>
  </si>
  <si>
    <t>PCL804</t>
  </si>
  <si>
    <t>PGT25+SAC/GE</t>
  </si>
  <si>
    <t>3965-6100</t>
  </si>
  <si>
    <t>&gt;3.8</t>
  </si>
  <si>
    <t>1+1</t>
  </si>
  <si>
    <t>报警值4，停机值3</t>
  </si>
  <si>
    <t>&gt;5.8</t>
  </si>
  <si>
    <t>RF3BB36</t>
  </si>
  <si>
    <t>&gt;4</t>
  </si>
  <si>
    <t>电驱</t>
  </si>
  <si>
    <t>1DX 1749-8ES01-Z/西门子  西门子变频器</t>
  </si>
  <si>
    <t>１＃</t>
  </si>
  <si>
    <t>２＃</t>
  </si>
  <si>
    <t>有</t>
  </si>
  <si>
    <t>有余热发电</t>
  </si>
  <si>
    <t>PCL804/NP</t>
  </si>
  <si>
    <t>PCL803/NP</t>
  </si>
  <si>
    <t>沁水煤层气</t>
  </si>
  <si>
    <t>国产</t>
  </si>
  <si>
    <t>江汉石油管理局第三机械厂</t>
  </si>
  <si>
    <t>4RDS-B-1</t>
  </si>
  <si>
    <t>YD800M1-6 /湘潭电机股份公司</t>
  </si>
  <si>
    <t>993固定值</t>
  </si>
  <si>
    <t>&gt;5.5</t>
  </si>
  <si>
    <t>不纳入</t>
  </si>
  <si>
    <t>ET800 W6 /安萨尔多</t>
  </si>
  <si>
    <t>北京杰利阳能源设备制造有限公司</t>
  </si>
  <si>
    <t>MH64 美国库伯</t>
  </si>
  <si>
    <t>5#</t>
  </si>
  <si>
    <t>MH62 美国库伯</t>
  </si>
  <si>
    <t>MH62-YB630/佳木斯电机</t>
  </si>
  <si>
    <t>PCL803</t>
  </si>
  <si>
    <t>1+0</t>
  </si>
  <si>
    <t>2017.12.6</t>
  </si>
  <si>
    <t>Dresser-Rand</t>
  </si>
  <si>
    <t>CDP-416</t>
  </si>
  <si>
    <t>SOLAR</t>
  </si>
  <si>
    <t>7800-14300</t>
  </si>
  <si>
    <t>3.7-5.2</t>
  </si>
  <si>
    <t>2+0</t>
  </si>
  <si>
    <t>SIMENS</t>
  </si>
  <si>
    <t>STC-SV（08-3-A）</t>
  </si>
  <si>
    <t>YZKS630-4/上电  荣信变频器</t>
  </si>
  <si>
    <t>9130-13695</t>
  </si>
  <si>
    <t>5.5-7.7</t>
  </si>
  <si>
    <t>YZKS630-4/上电  上广电变频器</t>
  </si>
  <si>
    <t>3+1</t>
  </si>
  <si>
    <t>2010.8.1</t>
  </si>
  <si>
    <t>2012.2.26</t>
  </si>
  <si>
    <t>PCL802/NP</t>
  </si>
  <si>
    <t>7-9.3</t>
  </si>
  <si>
    <t>2012.7.15</t>
  </si>
  <si>
    <t>RF2BB36/RR</t>
  </si>
  <si>
    <t>3500-5292</t>
  </si>
  <si>
    <t>2011.11.31</t>
  </si>
  <si>
    <t>2011.11.30</t>
  </si>
  <si>
    <t>2011.3.1</t>
  </si>
  <si>
    <t>未投用</t>
  </si>
  <si>
    <t>SHBLR/TMEIC TMEIC变频器</t>
  </si>
  <si>
    <t>3960-5200</t>
  </si>
  <si>
    <t>7.9-9.3</t>
  </si>
  <si>
    <t>沈鼓</t>
  </si>
  <si>
    <t>PCL803（又称H1156）/SBW</t>
  </si>
  <si>
    <t>0-8.89</t>
  </si>
  <si>
    <t>2011.8.13</t>
  </si>
  <si>
    <t>2011.8.18</t>
  </si>
  <si>
    <t>2011.8.22</t>
  </si>
  <si>
    <t>＞3.8</t>
  </si>
  <si>
    <t>2011.12.24</t>
  </si>
  <si>
    <t>余热发电未建完</t>
  </si>
  <si>
    <t>2011.8.23</t>
  </si>
  <si>
    <t>3120-5040</t>
  </si>
  <si>
    <t>&gt;4.0</t>
  </si>
  <si>
    <t>3250-4800</t>
  </si>
  <si>
    <t>PCL802</t>
  </si>
  <si>
    <t>SHBLR/TMEIC  TMEIC变频器</t>
  </si>
  <si>
    <t>PCL803（又称H1156）</t>
  </si>
  <si>
    <t>＜8.89</t>
  </si>
  <si>
    <t>2011.10.20</t>
  </si>
  <si>
    <t>2011.10.28</t>
  </si>
  <si>
    <t>2011.10.24</t>
  </si>
  <si>
    <t>SHBLR/TMEIC TEMIC变频器</t>
  </si>
  <si>
    <t>西二古浪压气站</t>
  </si>
  <si>
    <t>2011.10.18</t>
  </si>
  <si>
    <t>7-10.0</t>
  </si>
  <si>
    <t>2011.10.23</t>
  </si>
  <si>
    <t>2011.10.15</t>
  </si>
  <si>
    <t>2014.6.17</t>
  </si>
  <si>
    <t>MAN-Turbo</t>
  </si>
  <si>
    <t>RV080/-71</t>
  </si>
  <si>
    <t>SHBLR-CHCNXY/TEMIC  TEMIC变频器</t>
  </si>
  <si>
    <t>3120-4800　</t>
  </si>
  <si>
    <t>4-8</t>
  </si>
  <si>
    <t>2014.11.6</t>
  </si>
  <si>
    <t>2014.6.14</t>
  </si>
  <si>
    <t>2014.12.12</t>
  </si>
  <si>
    <t>TM HXDP 164-120/2CH/V/科孚德               科孚德变频器（MV7618）</t>
  </si>
  <si>
    <t>3360-4800</t>
  </si>
  <si>
    <t>&gt;4.5</t>
  </si>
  <si>
    <t xml:space="preserve">无 </t>
  </si>
  <si>
    <t>2014.12.11</t>
  </si>
  <si>
    <t>2014.12.25</t>
  </si>
  <si>
    <t>TBPY 20000-2/哈电                                      上广电变频器（INNOVERT 10/10-25000S）</t>
  </si>
  <si>
    <t>3300-4800</t>
  </si>
  <si>
    <t>2015.1.23</t>
  </si>
  <si>
    <t>RV080/04</t>
  </si>
  <si>
    <t>SHBLR-CHCNXY/TEMIC                          TEMIC变频器（TM drive-XL75）</t>
  </si>
  <si>
    <t>5.7-8</t>
  </si>
  <si>
    <t>西二线干线中段</t>
  </si>
  <si>
    <t>2013.5.9</t>
  </si>
  <si>
    <t>TBPY20000-2/哈电  荣信变频器</t>
  </si>
  <si>
    <t>4.0-8.89</t>
  </si>
  <si>
    <t>2013.4.7</t>
  </si>
  <si>
    <t>TAGW20000-2/上电  上广电变频器</t>
  </si>
  <si>
    <t>2013.3.25</t>
  </si>
  <si>
    <t>2012.12.15</t>
  </si>
  <si>
    <t>2014.4.29</t>
  </si>
  <si>
    <t>RV080</t>
  </si>
  <si>
    <t>4.3-8</t>
  </si>
  <si>
    <t>2015.1.19</t>
  </si>
  <si>
    <t>2014.4.26</t>
  </si>
  <si>
    <t>2012.12.05</t>
  </si>
  <si>
    <t>4.0-9.3</t>
  </si>
  <si>
    <t>2012.9.23</t>
  </si>
  <si>
    <t>2012.10.22</t>
  </si>
  <si>
    <t>2013.12.03</t>
  </si>
  <si>
    <t>TM HXDP 164-120/2CH/V/科孚德               科孚德变频器（MV7821）</t>
  </si>
  <si>
    <t>3360-5040</t>
  </si>
  <si>
    <t>4.5-10.2</t>
  </si>
  <si>
    <t>2014.1.25</t>
  </si>
  <si>
    <t>2013.12.1</t>
  </si>
  <si>
    <t>2013.11.3</t>
  </si>
  <si>
    <t>TAGW20000-2/上电                                     荣信变频器（RXLPHVC-S10/25000）</t>
  </si>
  <si>
    <t>2014.11.1</t>
  </si>
  <si>
    <t>RB211-24G-RT62/RR</t>
  </si>
  <si>
    <t>&gt;6.2</t>
  </si>
  <si>
    <t>正在建设余热发电设备</t>
  </si>
  <si>
    <t>2014.11.12</t>
  </si>
  <si>
    <t>2014.11.8</t>
  </si>
  <si>
    <t>2016.10.27</t>
  </si>
  <si>
    <t>PCL804/N</t>
  </si>
  <si>
    <t>TM HXDP 164-120/2CH/CONVERTEAM      科孚德变频器（MV7821）</t>
  </si>
  <si>
    <t>2016.3.17</t>
  </si>
  <si>
    <t>2016.3.13</t>
  </si>
  <si>
    <t>2016.10.22</t>
  </si>
  <si>
    <t>TBPY20000-2/哈电                                       荣信变频器（RXLPHVC-S10/25000）</t>
  </si>
  <si>
    <t>2013.4.1</t>
  </si>
  <si>
    <t>4.5-9.3</t>
  </si>
  <si>
    <t>2012.11.26</t>
  </si>
  <si>
    <t>2013.4.3</t>
  </si>
  <si>
    <t>2012.9.12</t>
  </si>
  <si>
    <t>&gt;6.5</t>
  </si>
  <si>
    <t>2012.9.1</t>
  </si>
  <si>
    <t>2012.10.29</t>
  </si>
  <si>
    <t>2024.12.7</t>
  </si>
  <si>
    <t>HD8000-AA21(禾望)+TBPY18000-2（哈电）</t>
  </si>
  <si>
    <t>3250-5000</t>
  </si>
  <si>
    <t>2024.12.22</t>
  </si>
  <si>
    <t>西二线干线南段</t>
  </si>
  <si>
    <t>2018.11.6</t>
  </si>
  <si>
    <t>TBTY18000-2/哈电  荣信变频器</t>
  </si>
  <si>
    <t>&gt;5.95</t>
  </si>
  <si>
    <t>互联互通</t>
  </si>
  <si>
    <t>2018.11.9</t>
  </si>
  <si>
    <t>2018.1.9</t>
  </si>
  <si>
    <t>陕鼓</t>
  </si>
  <si>
    <t>EB35-2</t>
  </si>
  <si>
    <t>YZKS630-4/上电  能科变频器</t>
  </si>
  <si>
    <t>8000-12230</t>
  </si>
  <si>
    <t>2018.1.15</t>
  </si>
  <si>
    <t>2013.12.10</t>
  </si>
  <si>
    <t>Cameron</t>
  </si>
  <si>
    <t>MH66</t>
  </si>
  <si>
    <t>16V275GL+/Waukesha</t>
  </si>
  <si>
    <t>600-1200</t>
  </si>
  <si>
    <t>3.3-4.1</t>
  </si>
  <si>
    <t>往复式压缩机</t>
  </si>
  <si>
    <t>2018.10.28</t>
  </si>
  <si>
    <t>CGT25-D/703所</t>
  </si>
  <si>
    <t>3500-5250</t>
  </si>
  <si>
    <t>2023.7.11</t>
  </si>
  <si>
    <t>新建管道投资</t>
  </si>
  <si>
    <t>2014.8.30</t>
  </si>
  <si>
    <t>PGT25+/GE</t>
  </si>
  <si>
    <t>2016.7.1</t>
  </si>
  <si>
    <t>2016.12.2</t>
  </si>
  <si>
    <t>TZW18000-2/上电  荣信变频器</t>
  </si>
  <si>
    <t>2016.12.5</t>
  </si>
  <si>
    <t>2014.12.30</t>
  </si>
  <si>
    <t>2016.11.7</t>
  </si>
  <si>
    <t>2016.12.20</t>
  </si>
  <si>
    <t>TBTY13000-2/哈电  荣信变频器</t>
  </si>
  <si>
    <t>3280-5040</t>
  </si>
  <si>
    <t>＞4.3</t>
  </si>
  <si>
    <t>2014.4.19</t>
  </si>
  <si>
    <t>TZW 12000-2/上电</t>
  </si>
  <si>
    <t>2014.4.23</t>
  </si>
  <si>
    <t>浙江公司</t>
  </si>
  <si>
    <t>2016.8.19</t>
  </si>
  <si>
    <t>3500-5000</t>
  </si>
  <si>
    <t>6.5-8.2</t>
  </si>
  <si>
    <t>2018.12.10</t>
  </si>
  <si>
    <t>2015.10.21</t>
  </si>
  <si>
    <t>PCL802/803/NP</t>
  </si>
  <si>
    <t>4.5-10</t>
  </si>
  <si>
    <t>西二三线合建</t>
  </si>
  <si>
    <t>2014.12.24</t>
  </si>
  <si>
    <t>2015.10.17</t>
  </si>
  <si>
    <t>2015.9.17</t>
  </si>
  <si>
    <t>2017.1.4</t>
  </si>
  <si>
    <t>PCL604</t>
  </si>
  <si>
    <t>3380-5200</t>
  </si>
  <si>
    <t>西二三合建</t>
  </si>
  <si>
    <t>2016.12.26</t>
  </si>
  <si>
    <t>2017.1.3</t>
  </si>
  <si>
    <t>2016.1.3</t>
  </si>
  <si>
    <t>2016.12.1</t>
  </si>
  <si>
    <t>tzw18000-2/上电  上广电变频器</t>
  </si>
  <si>
    <t>2016.12.6</t>
  </si>
  <si>
    <t>D16R3S</t>
  </si>
  <si>
    <t>2016.12.19</t>
  </si>
  <si>
    <t>2017.12.4</t>
  </si>
  <si>
    <t>PDPY20000-2/哈电  荣信变频器</t>
  </si>
  <si>
    <t>2017.6.2</t>
  </si>
  <si>
    <t>2017.6.6</t>
  </si>
  <si>
    <t>2014.12.19</t>
  </si>
  <si>
    <t>&gt;6</t>
  </si>
  <si>
    <t>2014.12.22</t>
  </si>
  <si>
    <t>2015.1.30</t>
  </si>
  <si>
    <t>2015.7.31</t>
  </si>
  <si>
    <t>2016.8.11</t>
  </si>
  <si>
    <t>CGT25-D/中船重工703所</t>
  </si>
  <si>
    <t>&gt;8.37</t>
  </si>
  <si>
    <t>2016.7.6</t>
  </si>
  <si>
    <t>2016.7.9</t>
  </si>
  <si>
    <t>2016.7.11</t>
  </si>
  <si>
    <t>PCL603</t>
  </si>
  <si>
    <t>&gt;8.49</t>
  </si>
  <si>
    <t>2016.8.8</t>
  </si>
  <si>
    <t>2016.8.1</t>
  </si>
  <si>
    <t>2017.6.26</t>
  </si>
  <si>
    <t>TBTY-20000-2/哈电  上广电变频器</t>
  </si>
  <si>
    <t>2017.6.24</t>
  </si>
  <si>
    <t>TZW-18000-2/上电 荣信变频器</t>
  </si>
  <si>
    <t>3380-5260</t>
  </si>
  <si>
    <t>2016.12.23</t>
  </si>
  <si>
    <t>2016.12.7</t>
  </si>
  <si>
    <t>＞7.9</t>
  </si>
  <si>
    <t>2016.12.12</t>
  </si>
  <si>
    <t>2016.11.28</t>
  </si>
  <si>
    <t>2021.12.25</t>
  </si>
  <si>
    <t>HD8000-2A20+TZW18000-2/上电 禾望变频器</t>
  </si>
  <si>
    <t>2016.11.22</t>
  </si>
  <si>
    <t>TAGW-20000-2/上海电气  荣信变频器</t>
  </si>
  <si>
    <t>2016.11.29</t>
  </si>
  <si>
    <t>2016.12.16</t>
  </si>
  <si>
    <t>7.0-10</t>
  </si>
  <si>
    <t>2016.12.11</t>
  </si>
  <si>
    <t>2017.1.12</t>
  </si>
  <si>
    <t>2018.12.23</t>
  </si>
  <si>
    <t>TBPY18000-2/上电  荣信变频器</t>
  </si>
  <si>
    <t>2019.1.22</t>
  </si>
  <si>
    <t>2019.3.7</t>
  </si>
  <si>
    <t>RFBB36</t>
  </si>
  <si>
    <t>CBBERRA6562/西门子</t>
  </si>
  <si>
    <t>A</t>
  </si>
  <si>
    <t>4RDSA-1</t>
  </si>
  <si>
    <t>G3606LE/CATERPILLAR</t>
  </si>
  <si>
    <t>750～1000</t>
  </si>
  <si>
    <t>3.9-4.4</t>
  </si>
  <si>
    <t>燃驱，机组拆除</t>
  </si>
  <si>
    <t>4+1</t>
  </si>
  <si>
    <t>Superior　</t>
  </si>
  <si>
    <t>MH64　</t>
  </si>
  <si>
    <t>16SGT/COOPER</t>
  </si>
  <si>
    <t>注氮封存</t>
  </si>
  <si>
    <t>B</t>
  </si>
  <si>
    <t>C</t>
  </si>
  <si>
    <t>D</t>
  </si>
  <si>
    <t>E</t>
  </si>
  <si>
    <t>G3612/CATERPILLAR</t>
  </si>
  <si>
    <t>3+0</t>
  </si>
  <si>
    <t>Taurus 60/SOLAR</t>
  </si>
  <si>
    <t>9533－13377</t>
  </si>
  <si>
    <t>1SB2634-ZJW90-Z/西门子  西门子变频器</t>
  </si>
  <si>
    <t>9333-13333　</t>
  </si>
  <si>
    <t>注氮封存，2#机已拆除</t>
  </si>
  <si>
    <t>DY401</t>
  </si>
  <si>
    <t>RV050/04</t>
  </si>
  <si>
    <t>1DX2043-8BS 02-Z/西门子  西门子变频器</t>
  </si>
  <si>
    <t>8000-10500</t>
  </si>
  <si>
    <t>3.0-4.4</t>
  </si>
  <si>
    <t>陕一二三线合建</t>
  </si>
  <si>
    <t>DY402</t>
  </si>
  <si>
    <t>DY403</t>
  </si>
  <si>
    <t>DY404</t>
  </si>
  <si>
    <t>DY405</t>
  </si>
  <si>
    <t>D12R2S</t>
  </si>
  <si>
    <t>5521-9668</t>
  </si>
  <si>
    <t>6.651-8.3</t>
  </si>
  <si>
    <t>RV050/03</t>
  </si>
  <si>
    <t>4543-9024</t>
  </si>
  <si>
    <t>6.25-7.25以上</t>
  </si>
  <si>
    <t>陕二三线合建</t>
  </si>
  <si>
    <t>1DX1746-8BS 02-Z/西门子  西门子变频器</t>
  </si>
  <si>
    <t>5400-9024</t>
  </si>
  <si>
    <t>6.25-7.25以上　</t>
  </si>
  <si>
    <t>RB211-G62/RR</t>
  </si>
  <si>
    <t>陕一二三线合建，利用余热发电</t>
  </si>
  <si>
    <t>5.86-6.74</t>
  </si>
  <si>
    <t>余热供暖建完存在问题，未使用</t>
  </si>
  <si>
    <t>1DX2043-8BS 02-Z/西门子</t>
  </si>
  <si>
    <t>1DX1746-8BS 02-Z/西门子</t>
  </si>
  <si>
    <t>2017.12.5</t>
  </si>
  <si>
    <t>TBPY-18000-2/哈电  荣信变频器</t>
  </si>
  <si>
    <t>6.22-9.55</t>
  </si>
  <si>
    <t>2019.5.30</t>
  </si>
  <si>
    <t>2019.11.22</t>
  </si>
  <si>
    <t>哈电  荣信变频器</t>
  </si>
  <si>
    <t>3180-4800</t>
  </si>
  <si>
    <t>＞7</t>
  </si>
  <si>
    <t>一期（计划外）</t>
  </si>
  <si>
    <t>2019.12.24</t>
  </si>
  <si>
    <t>2019.11.17</t>
  </si>
  <si>
    <t>2018.12.3</t>
  </si>
  <si>
    <t>3280-5000</t>
  </si>
  <si>
    <t>＞5</t>
  </si>
  <si>
    <t>2018.11.29</t>
  </si>
  <si>
    <t>2018.11.30</t>
  </si>
  <si>
    <t>2019.7.8</t>
  </si>
  <si>
    <t>2019.12.26</t>
  </si>
  <si>
    <t>3280-4800</t>
  </si>
  <si>
    <t>6.7-9.48</t>
  </si>
  <si>
    <t>2019.11.30</t>
  </si>
  <si>
    <t>2019.12.9</t>
  </si>
  <si>
    <t>2019.11.16</t>
  </si>
  <si>
    <t>EB80-1</t>
  </si>
  <si>
    <t>TZW 10000-2上电  能科变频器</t>
  </si>
  <si>
    <t>＞2.5</t>
  </si>
  <si>
    <t>2020.12.26</t>
  </si>
  <si>
    <t>2015.1.26</t>
  </si>
  <si>
    <t>C652</t>
  </si>
  <si>
    <t>titan130/SOLAR</t>
  </si>
  <si>
    <t>3630-8856</t>
  </si>
  <si>
    <t>&gt;4.9</t>
  </si>
  <si>
    <t>2020.9.1</t>
  </si>
  <si>
    <t>TZW20000-2/上电</t>
  </si>
  <si>
    <t>7.53-8.51</t>
  </si>
  <si>
    <t>2020.6.17</t>
  </si>
  <si>
    <t>2020.6.27</t>
  </si>
  <si>
    <t>2020.7.10</t>
  </si>
  <si>
    <t>2024.7.11</t>
  </si>
  <si>
    <t>7.97-9.51</t>
  </si>
  <si>
    <t>2024.7.13</t>
  </si>
  <si>
    <t>2024.7.8</t>
  </si>
  <si>
    <t>2024.12.19</t>
  </si>
  <si>
    <t>2024.11.19</t>
  </si>
  <si>
    <t>2024.12.13</t>
  </si>
  <si>
    <t>2023.11.15</t>
  </si>
  <si>
    <t>TZW19000-2/上电</t>
  </si>
  <si>
    <t>2022.11.10</t>
  </si>
  <si>
    <r>
      <rPr>
        <sz val="12"/>
        <rFont val="华文仿宋"/>
        <charset val="134"/>
      </rPr>
      <t>TZW 17000-2/</t>
    </r>
    <r>
      <rPr>
        <sz val="12"/>
        <color theme="1"/>
        <rFont val="华文仿宋"/>
        <charset val="134"/>
      </rPr>
      <t>上电</t>
    </r>
  </si>
  <si>
    <t>＞6</t>
  </si>
  <si>
    <t>2022.11.5</t>
  </si>
  <si>
    <t>2022.11.7</t>
  </si>
  <si>
    <t>2020.12.31</t>
  </si>
  <si>
    <t>TZW17000-2/上电</t>
  </si>
  <si>
    <t>＞5.5</t>
  </si>
  <si>
    <t>2024.11.27</t>
  </si>
  <si>
    <t>秦皇岛压气站</t>
  </si>
  <si>
    <t>2024.11.26</t>
  </si>
  <si>
    <t>TZW20000-2/上电 荣信变频器</t>
  </si>
  <si>
    <t>2024.11.25</t>
  </si>
  <si>
    <t>2020.1.2</t>
  </si>
  <si>
    <t>TZW20000-2/上电 西门子变频器</t>
  </si>
  <si>
    <t>未低于过5.8</t>
  </si>
  <si>
    <t>2021.9.22</t>
  </si>
  <si>
    <t>TBTY20000-2/上电 能科变频器</t>
  </si>
  <si>
    <t>2021.9.15</t>
  </si>
  <si>
    <t>CC4101</t>
  </si>
  <si>
    <t>EB80-2</t>
  </si>
  <si>
    <t>YZW20000-2/上电</t>
  </si>
  <si>
    <t>6.45-8.27</t>
  </si>
  <si>
    <t>CC4201</t>
  </si>
  <si>
    <t>2023.12.24</t>
  </si>
  <si>
    <t>CC4301</t>
  </si>
  <si>
    <t>2022.11.23</t>
  </si>
  <si>
    <t>EB80-3</t>
  </si>
  <si>
    <t>TZW17000-2/上电 能科变频器</t>
  </si>
  <si>
    <t>5.35-7.70</t>
  </si>
  <si>
    <t>2023.1.13</t>
  </si>
  <si>
    <t>PCL503</t>
  </si>
  <si>
    <t>YZKS900-4 /上电   荣信变频器</t>
  </si>
  <si>
    <t>6484-10475</t>
  </si>
  <si>
    <t>3.99-4.52</t>
  </si>
  <si>
    <t>2018.11.26</t>
  </si>
  <si>
    <t>C4064TE/0256</t>
  </si>
  <si>
    <t>TURBUS 70/SOLAR</t>
  </si>
  <si>
    <t>6000-12000</t>
  </si>
  <si>
    <t>&gt;5.1</t>
  </si>
  <si>
    <t>2005.11.17</t>
  </si>
  <si>
    <t>RV040/02</t>
  </si>
  <si>
    <t>金牛星Taurus70/SOLAR</t>
  </si>
  <si>
    <t>2.80-6.30</t>
  </si>
  <si>
    <t>2006.10.12</t>
  </si>
  <si>
    <t>大力神Titan130/SOLAR</t>
  </si>
  <si>
    <t>5395-8715</t>
  </si>
  <si>
    <t>2.96-6.30</t>
  </si>
  <si>
    <t>2007.9.5</t>
  </si>
  <si>
    <t>2014.6.30</t>
  </si>
  <si>
    <t>2006.10.15</t>
  </si>
  <si>
    <t>2009.11.8</t>
  </si>
  <si>
    <t>2012.8.1</t>
  </si>
  <si>
    <t>2007.9.16</t>
  </si>
  <si>
    <t>2009.11.2</t>
  </si>
  <si>
    <t>2014.11.29</t>
  </si>
  <si>
    <t>9533-14300</t>
  </si>
  <si>
    <t>2.80-6.20</t>
  </si>
  <si>
    <t>C3342HEl-0016</t>
  </si>
  <si>
    <t>半人马Centaur40/SOLAR</t>
  </si>
  <si>
    <t>12700-15000</t>
  </si>
  <si>
    <t>3.8-6.30</t>
  </si>
  <si>
    <t>2006.3.1</t>
  </si>
  <si>
    <t>D16P2</t>
  </si>
  <si>
    <t>WMT 56ma/ABB  ABB变频器</t>
  </si>
  <si>
    <t>3120-5400</t>
  </si>
  <si>
    <t>2014.12.31</t>
  </si>
  <si>
    <t>D16P3</t>
  </si>
  <si>
    <t>2018.11.8</t>
  </si>
  <si>
    <t>BCL452</t>
  </si>
  <si>
    <t>TBPY14000-2/哈电  荣信变频器</t>
  </si>
  <si>
    <t>3180-5200</t>
  </si>
  <si>
    <t>＞3.5</t>
  </si>
  <si>
    <t>2018.11.13</t>
  </si>
  <si>
    <t>2016.11.16</t>
  </si>
  <si>
    <t>AMS 900 L4LBSPF/ABB  ABB变频器</t>
  </si>
  <si>
    <t>7195-11373</t>
  </si>
  <si>
    <t>2016.11.19</t>
  </si>
  <si>
    <t>2018.11.1</t>
  </si>
  <si>
    <t>2018.10.11</t>
  </si>
  <si>
    <t>2018.1.22</t>
  </si>
  <si>
    <t>AMS 900/ABB  ABB变频器</t>
  </si>
  <si>
    <t>&gt;5.0</t>
  </si>
  <si>
    <t>2018.1.18</t>
  </si>
  <si>
    <t>2018.1.25</t>
  </si>
  <si>
    <t>2018.11.2</t>
  </si>
  <si>
    <t>AMS 800 L4BSPF/ABB  ABB变频器</t>
  </si>
  <si>
    <t>7195-11991</t>
  </si>
  <si>
    <t>2018.10.26</t>
  </si>
  <si>
    <t>2018.10.29</t>
  </si>
  <si>
    <t>2016.9.13</t>
  </si>
  <si>
    <t>3120-4750</t>
  </si>
  <si>
    <t>2016.9.16</t>
  </si>
  <si>
    <t>2016.10.6</t>
  </si>
  <si>
    <t>2018.10.31</t>
  </si>
  <si>
    <t>2018.11.4</t>
  </si>
  <si>
    <t>D16P3S</t>
  </si>
  <si>
    <t>2018.11.5</t>
  </si>
  <si>
    <t>2013.1.22</t>
  </si>
  <si>
    <t>1SQ6710-4LS80-Z/西门子
西门子变频器</t>
  </si>
  <si>
    <t>4412-7127</t>
  </si>
  <si>
    <t>2012.12.14</t>
  </si>
  <si>
    <t>2013.1.19</t>
  </si>
  <si>
    <t>2017.05.25</t>
  </si>
  <si>
    <t>PCL502</t>
  </si>
  <si>
    <r>
      <rPr>
        <sz val="12"/>
        <rFont val="华文仿宋"/>
        <charset val="134"/>
      </rPr>
      <t xml:space="preserve">YZKS630-4/上电，
</t>
    </r>
    <r>
      <rPr>
        <sz val="11"/>
        <rFont val="华文仿宋"/>
        <charset val="134"/>
      </rPr>
      <t>荣信变频器RHMV2000-6</t>
    </r>
  </si>
  <si>
    <t>5873-9487</t>
  </si>
  <si>
    <t>2+2</t>
  </si>
  <si>
    <t>2012.5.15</t>
  </si>
  <si>
    <t>6.0—8.1</t>
  </si>
  <si>
    <t>2012.5.25</t>
  </si>
  <si>
    <t>2012.5.20</t>
  </si>
  <si>
    <t>2017.4.25</t>
  </si>
  <si>
    <t>PCL503N</t>
  </si>
  <si>
    <r>
      <rPr>
        <sz val="12"/>
        <rFont val="华文仿宋"/>
        <charset val="134"/>
      </rPr>
      <t>AMI630L4LBSFPH/</t>
    </r>
    <r>
      <rPr>
        <sz val="11"/>
        <rFont val="华文仿宋"/>
        <charset val="134"/>
      </rPr>
      <t>ABB
ABB变频器</t>
    </r>
  </si>
  <si>
    <t>2022.11.4</t>
  </si>
  <si>
    <t>YZYKS1000-4G/南阳防爆电机有限公司 
能科变频器NC HVVF10/10-14000LO</t>
  </si>
  <si>
    <t>5853-9006</t>
  </si>
  <si>
    <t>6.0—7.31</t>
  </si>
  <si>
    <t>YZKS710-4/上海电气集团上海电机厂有限公司
荣信变频器</t>
  </si>
  <si>
    <t>5633-9099</t>
  </si>
  <si>
    <t>&gt;6.29</t>
  </si>
  <si>
    <t>2013.10.1</t>
  </si>
  <si>
    <t>1SQ6710-4LS80-Z，西门子
西门子</t>
  </si>
  <si>
    <t>6.5—8.1</t>
  </si>
  <si>
    <t>2017.01.19</t>
  </si>
  <si>
    <t>AMI630L4LBSFPH/ABB
ABB变频器</t>
  </si>
  <si>
    <t>2017.11.03</t>
  </si>
  <si>
    <t>6.49-8.13</t>
  </si>
  <si>
    <t>2021.03.04</t>
  </si>
  <si>
    <t>YZYKS710-4/南阳防爆电机有限公司 能科变频器NCHV9000</t>
  </si>
  <si>
    <t>4958-8798</t>
  </si>
  <si>
    <t>7.3-8.05</t>
  </si>
  <si>
    <t>6+1</t>
  </si>
  <si>
    <t>PCL355</t>
  </si>
  <si>
    <t>YZYKS800-4/哈电</t>
  </si>
  <si>
    <t>8048-12382</t>
  </si>
  <si>
    <t>YZYKS630-4/上电</t>
  </si>
  <si>
    <t>8048-12379</t>
  </si>
  <si>
    <t>F</t>
  </si>
  <si>
    <t>G</t>
  </si>
  <si>
    <t>2015.3.20</t>
  </si>
  <si>
    <t>三机厂</t>
  </si>
  <si>
    <t>RDSD704-1</t>
  </si>
  <si>
    <t>YZYKK710-6/佳木斯</t>
  </si>
  <si>
    <t>3.5-5.2</t>
  </si>
  <si>
    <t>2019.9.16</t>
  </si>
  <si>
    <t>川气东送管道二线</t>
  </si>
  <si>
    <t>2025.9.26</t>
  </si>
  <si>
    <t>TBY15000-2/哈尔滨电力装备有限公司</t>
  </si>
  <si>
    <t>4.3-7.0</t>
  </si>
  <si>
    <t>2010.10.15</t>
  </si>
  <si>
    <t>GE新比隆</t>
  </si>
  <si>
    <t>BCL355</t>
  </si>
  <si>
    <t>AMI710L4LBSPFM/ABB</t>
  </si>
  <si>
    <t>8245-11729</t>
  </si>
  <si>
    <t>2014.11.25</t>
  </si>
  <si>
    <t>2015.11.01</t>
  </si>
  <si>
    <t>Simense</t>
  </si>
  <si>
    <t>STC-SV(06-5-A)</t>
  </si>
  <si>
    <t>ISQ67164HS90-Z/Siemens AG</t>
  </si>
  <si>
    <t>7564-11592</t>
  </si>
  <si>
    <t>2015.11.15</t>
  </si>
  <si>
    <t>2015.11.30</t>
  </si>
  <si>
    <t>鄯善输气站</t>
  </si>
  <si>
    <t>2HOS-1</t>
  </si>
  <si>
    <t>L7042GSI/美国瓦可夏</t>
  </si>
  <si>
    <t>0.9-1.1</t>
  </si>
  <si>
    <t>[原始]名称</t>
  </si>
  <si>
    <t>[原始]类型</t>
  </si>
  <si>
    <t>[原始]投产时间</t>
  </si>
  <si>
    <t>[原始]设计工作气量
亿方</t>
  </si>
  <si>
    <t>[原始]当前最大采气能力
万方/日</t>
  </si>
  <si>
    <t>[原始]当前最大注气能力
万方/日</t>
  </si>
  <si>
    <t>[原始]所属企业</t>
  </si>
  <si>
    <t>大张坨</t>
  </si>
  <si>
    <t>枯竭凝析气藏</t>
  </si>
  <si>
    <t>合资</t>
  </si>
  <si>
    <t>板876</t>
  </si>
  <si>
    <t>板中北</t>
  </si>
  <si>
    <t>板中南</t>
  </si>
  <si>
    <t>板808</t>
  </si>
  <si>
    <t>2006年9月30日</t>
  </si>
  <si>
    <t>板828</t>
  </si>
  <si>
    <t>华北</t>
  </si>
  <si>
    <t>京58</t>
  </si>
  <si>
    <t>气顶油气藏</t>
  </si>
  <si>
    <t>京51</t>
  </si>
  <si>
    <t>永22</t>
  </si>
  <si>
    <t>含硫化氢凝析气藏</t>
  </si>
  <si>
    <t>枯竭油气藏</t>
  </si>
  <si>
    <t>国家管网</t>
  </si>
  <si>
    <t>国网金坛</t>
  </si>
  <si>
    <t>金坛东</t>
  </si>
  <si>
    <t>盐穴</t>
  </si>
  <si>
    <t>金坛西</t>
  </si>
  <si>
    <t>枯竭气藏</t>
  </si>
  <si>
    <t>呼图壁</t>
  </si>
  <si>
    <t>废弃气藏</t>
  </si>
  <si>
    <t>相国寺</t>
  </si>
  <si>
    <t>双坨子</t>
  </si>
  <si>
    <t>中石油</t>
  </si>
  <si>
    <t>板南</t>
  </si>
  <si>
    <t>苏桥</t>
  </si>
  <si>
    <t>浅山气藏</t>
  </si>
  <si>
    <t>温吉桑</t>
  </si>
  <si>
    <t>文96</t>
  </si>
  <si>
    <t>中石化金坛</t>
  </si>
  <si>
    <t>卫11</t>
  </si>
  <si>
    <t>枯竭油藏</t>
  </si>
  <si>
    <t>白9</t>
  </si>
  <si>
    <t>清溪</t>
  </si>
  <si>
    <t>江汉</t>
  </si>
  <si>
    <t>港华金坛</t>
  </si>
  <si>
    <t>港华</t>
  </si>
  <si>
    <t>双台子（双六）</t>
  </si>
  <si>
    <t>双六2015年3月/双台子2022年5月</t>
  </si>
  <si>
    <t>白浅</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</si>
</sst>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_);[Red]\(0.0\)"/>
    <numFmt numFmtId="178" formatCode="yyyy&quot;年&quot;m&quot;月&quot;d&quot;日&quot;;@"/>
    <numFmt numFmtId="179" formatCode="yyyy&quot;.&quot;m&quot;.&quot;d&quot;&quot;;@"/>
    <numFmt numFmtId="180" formatCode="0.00_ "/>
    <numFmt numFmtId="181" formatCode="0_ "/>
    <numFmt numFmtId="182" formatCode="0.00_);\(0.00\)"/>
    <numFmt numFmtId="183" formatCode="yyyy&quot;.&quot;m&quot;.&quot;d;@"/>
    <numFmt numFmtId="184" formatCode="0_);[Red]\(0\)"/>
    <numFmt numFmtId="185" formatCode="0.0_ "/>
    <numFmt numFmtId="186" formatCode="0.0_ ;[Red]\-0.0\ "/>
    <numFmt numFmtId="187" formatCode="0.000_ "/>
  </numFmts>
  <fonts count="58">
    <font>
      <sz val="11"/>
      <color theme="1"/>
      <name val="DengXian"/>
      <charset val="134"/>
      <scheme val="minor"/>
    </font>
    <font>
      <sz val="11"/>
      <color theme="1"/>
      <name val="华文仿宋"/>
      <charset val="134"/>
    </font>
    <font>
      <sz val="11"/>
      <color indexed="8"/>
      <name val="华文仿宋"/>
      <charset val="134"/>
    </font>
    <font>
      <b/>
      <sz val="12"/>
      <name val="华文仿宋"/>
      <charset val="134"/>
    </font>
    <font>
      <sz val="12"/>
      <name val="华文仿宋"/>
      <charset val="134"/>
    </font>
    <font>
      <sz val="12"/>
      <name val="华文楷体"/>
      <charset val="134"/>
    </font>
    <font>
      <sz val="12"/>
      <color theme="1"/>
      <name val="华文仿宋"/>
      <charset val="134"/>
    </font>
    <font>
      <sz val="12"/>
      <color indexed="8"/>
      <name val="华文仿宋"/>
      <charset val="134"/>
    </font>
    <font>
      <sz val="11"/>
      <name val="华文仿宋"/>
      <charset val="134"/>
    </font>
    <font>
      <sz val="10"/>
      <name val="微软雅黑"/>
      <charset val="134"/>
    </font>
    <font>
      <sz val="11"/>
      <name val="DengXian"/>
      <charset val="134"/>
      <scheme val="minor"/>
    </font>
    <font>
      <sz val="12"/>
      <name val="DengXian"/>
      <charset val="134"/>
      <scheme val="minor"/>
    </font>
    <font>
      <sz val="11"/>
      <color rgb="FF000000"/>
      <name val="DengXian"/>
      <charset val="134"/>
      <scheme val="minor"/>
    </font>
    <font>
      <sz val="12"/>
      <color rgb="FF000000"/>
      <name val="DengXian"/>
      <charset val="134"/>
      <scheme val="minor"/>
    </font>
    <font>
      <sz val="12"/>
      <color rgb="FF000000"/>
      <name val="华文仿宋"/>
      <charset val="134"/>
    </font>
    <font>
      <sz val="10"/>
      <color rgb="FF000000"/>
      <name val="宋体"/>
      <charset val="134"/>
    </font>
    <font>
      <sz val="12"/>
      <color rgb="FF4C4948"/>
      <name val="华文仿宋"/>
      <charset val="134"/>
    </font>
    <font>
      <b/>
      <sz val="12"/>
      <color rgb="FF000000"/>
      <name val="华文仿宋"/>
      <charset val="134"/>
    </font>
    <font>
      <b/>
      <sz val="12"/>
      <color indexed="8"/>
      <name val="华文仿宋"/>
      <charset val="134"/>
    </font>
    <font>
      <u/>
      <sz val="12"/>
      <name val="华文仿宋"/>
      <charset val="134"/>
    </font>
    <font>
      <sz val="9"/>
      <name val="微软雅黑"/>
      <charset val="134"/>
    </font>
    <font>
      <sz val="9"/>
      <color theme="1"/>
      <name val="微软雅黑"/>
      <charset val="134"/>
    </font>
    <font>
      <u/>
      <sz val="12"/>
      <color indexed="12"/>
      <name val="宋体"/>
      <charset val="134"/>
    </font>
    <font>
      <u/>
      <sz val="11"/>
      <color rgb="FF800080"/>
      <name val="DengXian"/>
      <charset val="0"/>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theme="3"/>
      <name val="DengXian"/>
      <charset val="134"/>
      <scheme val="minor"/>
    </font>
    <font>
      <sz val="11"/>
      <color rgb="FF3F3F76"/>
      <name val="DengXian"/>
      <charset val="0"/>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0006"/>
      <name val="DengXian"/>
      <charset val="0"/>
      <scheme val="minor"/>
    </font>
    <font>
      <sz val="11"/>
      <color rgb="FF9C6500"/>
      <name val="DengXian"/>
      <charset val="0"/>
      <scheme val="minor"/>
    </font>
    <font>
      <sz val="11"/>
      <color theme="0"/>
      <name val="DengXian"/>
      <charset val="0"/>
      <scheme val="minor"/>
    </font>
    <font>
      <sz val="11"/>
      <color theme="1"/>
      <name val="DengXian"/>
      <charset val="0"/>
      <scheme val="minor"/>
    </font>
    <font>
      <sz val="11"/>
      <color indexed="8"/>
      <name val="宋体"/>
      <charset val="134"/>
    </font>
    <font>
      <sz val="12"/>
      <name val="宋体"/>
      <charset val="134"/>
    </font>
    <font>
      <b/>
      <sz val="11"/>
      <color indexed="52"/>
      <name val="宋体"/>
      <charset val="134"/>
    </font>
    <font>
      <sz val="12"/>
      <name val="Times New Roman"/>
      <charset val="134"/>
    </font>
    <font>
      <b/>
      <sz val="11"/>
      <color indexed="63"/>
      <name val="宋体"/>
      <charset val="134"/>
    </font>
    <font>
      <sz val="11"/>
      <color indexed="60"/>
      <name val="宋体"/>
      <charset val="134"/>
    </font>
    <font>
      <b/>
      <sz val="11"/>
      <color indexed="9"/>
      <name val="宋体"/>
      <charset val="134"/>
    </font>
    <font>
      <sz val="11"/>
      <color indexed="9"/>
      <name val="宋体"/>
      <charset val="134"/>
    </font>
    <font>
      <sz val="11"/>
      <color indexed="20"/>
      <name val="宋体"/>
      <charset val="134"/>
    </font>
    <font>
      <sz val="11"/>
      <color indexed="17"/>
      <name val="宋体"/>
      <charset val="134"/>
    </font>
    <font>
      <sz val="11"/>
      <color indexed="62"/>
      <name val="宋体"/>
      <charset val="134"/>
    </font>
    <font>
      <sz val="11"/>
      <name val="宋体"/>
      <charset val="134"/>
    </font>
    <font>
      <sz val="12"/>
      <color rgb="FF141E31"/>
      <name val="华文仿宋"/>
      <charset val="134"/>
    </font>
    <font>
      <sz val="12"/>
      <color rgb="FFFF0000"/>
      <name val="华文仿宋"/>
      <charset val="134"/>
    </font>
    <font>
      <vertAlign val="superscript"/>
      <sz val="12"/>
      <name val="华文仿宋"/>
      <charset val="134"/>
    </font>
    <font>
      <b/>
      <sz val="9"/>
      <name val="宋体"/>
      <charset val="134"/>
    </font>
    <font>
      <sz val="9"/>
      <name val="宋体"/>
      <charset val="134"/>
    </font>
  </fonts>
  <fills count="61">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6"/>
        <bgColor indexed="64"/>
      </patternFill>
    </fill>
    <fill>
      <patternFill patternType="solid">
        <fgColor theme="9" tint="0.599993896298105"/>
        <bgColor indexed="64"/>
      </patternFill>
    </fill>
    <fill>
      <patternFill patternType="solid">
        <fgColor theme="3" tint="0.599993896298105"/>
        <bgColor indexed="64"/>
      </patternFill>
    </fill>
    <fill>
      <patternFill patternType="solid">
        <fgColor theme="0"/>
        <bgColor indexed="64"/>
      </patternFill>
    </fill>
    <fill>
      <patternFill patternType="solid">
        <fgColor theme="0" tint="-0.249977111117893"/>
        <bgColor indexed="64"/>
      </patternFill>
    </fill>
    <fill>
      <patternFill patternType="solid">
        <fgColor theme="9" tint="0.6"/>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indexed="31"/>
        <bgColor indexed="64"/>
      </patternFill>
    </fill>
    <fill>
      <patternFill patternType="solid">
        <fgColor indexed="42"/>
        <bgColor indexed="64"/>
      </patternFill>
    </fill>
    <fill>
      <patternFill patternType="solid">
        <fgColor indexed="22"/>
        <bgColor indexed="64"/>
      </patternFill>
    </fill>
    <fill>
      <patternFill patternType="solid">
        <fgColor indexed="27"/>
        <bgColor indexed="64"/>
      </patternFill>
    </fill>
    <fill>
      <patternFill patternType="solid">
        <fgColor indexed="45"/>
        <bgColor indexed="64"/>
      </patternFill>
    </fill>
    <fill>
      <patternFill patternType="solid">
        <fgColor indexed="46"/>
        <bgColor indexed="64"/>
      </patternFill>
    </fill>
    <fill>
      <patternFill patternType="solid">
        <fgColor indexed="43"/>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5"/>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53"/>
        <bgColor indexed="64"/>
      </patternFill>
    </fill>
    <fill>
      <patternFill patternType="solid">
        <fgColor indexed="26"/>
        <bgColor indexed="64"/>
      </patternFill>
    </fill>
    <fill>
      <patternFill patternType="solid">
        <fgColor indexed="10"/>
        <bgColor indexed="64"/>
      </patternFill>
    </fill>
    <fill>
      <patternFill patternType="solid">
        <fgColor indexed="57"/>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indexed="0"/>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s>
  <cellStyleXfs count="23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top"/>
      <protection locked="0"/>
    </xf>
    <xf numFmtId="0" fontId="23" fillId="0" borderId="0" applyNumberFormat="0" applyFill="0" applyBorder="0" applyAlignment="0" applyProtection="0">
      <alignment vertical="center"/>
    </xf>
    <xf numFmtId="0" fontId="0" fillId="11" borderId="13"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4" applyNumberFormat="0" applyFill="0" applyAlignment="0" applyProtection="0">
      <alignment vertical="center"/>
    </xf>
    <xf numFmtId="0" fontId="28" fillId="0" borderId="14" applyNumberFormat="0" applyFill="0" applyAlignment="0" applyProtection="0">
      <alignment vertical="center"/>
    </xf>
    <xf numFmtId="0" fontId="29" fillId="0" borderId="15" applyNumberFormat="0" applyFill="0" applyAlignment="0" applyProtection="0">
      <alignment vertical="center"/>
    </xf>
    <xf numFmtId="0" fontId="29" fillId="0" borderId="0" applyNumberFormat="0" applyFill="0" applyBorder="0" applyAlignment="0" applyProtection="0">
      <alignment vertical="center"/>
    </xf>
    <xf numFmtId="0" fontId="30" fillId="12" borderId="16" applyNumberFormat="0" applyAlignment="0" applyProtection="0">
      <alignment vertical="center"/>
    </xf>
    <xf numFmtId="0" fontId="31" fillId="13" borderId="17" applyNumberFormat="0" applyAlignment="0" applyProtection="0">
      <alignment vertical="center"/>
    </xf>
    <xf numFmtId="0" fontId="32" fillId="13" borderId="16" applyNumberFormat="0" applyAlignment="0" applyProtection="0">
      <alignment vertical="center"/>
    </xf>
    <xf numFmtId="0" fontId="33" fillId="14" borderId="18" applyNumberFormat="0" applyAlignment="0" applyProtection="0">
      <alignment vertical="center"/>
    </xf>
    <xf numFmtId="0" fontId="34" fillId="0" borderId="19" applyNumberFormat="0" applyFill="0" applyAlignment="0" applyProtection="0">
      <alignment vertical="center"/>
    </xf>
    <xf numFmtId="0" fontId="35" fillId="0" borderId="20" applyNumberFormat="0" applyFill="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39" fillId="25" borderId="0" applyNumberFormat="0" applyBorder="0" applyAlignment="0" applyProtection="0">
      <alignment vertical="center"/>
    </xf>
    <xf numFmtId="0" fontId="39" fillId="4"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3"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40" fillId="37" borderId="0" applyNumberFormat="0" applyBorder="0" applyAlignment="0" applyProtection="0">
      <alignment vertical="center"/>
    </xf>
    <xf numFmtId="0" fontId="40" fillId="5" borderId="0" applyNumberFormat="0" applyBorder="0" applyAlignment="0" applyProtection="0">
      <alignment vertical="center"/>
    </xf>
    <xf numFmtId="0" fontId="39" fillId="38" borderId="0" applyNumberFormat="0" applyBorder="0" applyAlignment="0" applyProtection="0">
      <alignment vertical="center"/>
    </xf>
    <xf numFmtId="0" fontId="41" fillId="0" borderId="0">
      <alignment vertical="center"/>
    </xf>
    <xf numFmtId="0" fontId="42" fillId="0" borderId="0"/>
    <xf numFmtId="0" fontId="42" fillId="0" borderId="0"/>
    <xf numFmtId="0" fontId="41" fillId="39" borderId="0" applyNumberFormat="0" applyBorder="0" applyAlignment="0" applyProtection="0">
      <alignment vertical="center"/>
    </xf>
    <xf numFmtId="43" fontId="42" fillId="0" borderId="0" applyFont="0" applyFill="0" applyBorder="0" applyAlignment="0" applyProtection="0"/>
    <xf numFmtId="0" fontId="41" fillId="40" borderId="0" applyNumberFormat="0" applyBorder="0" applyAlignment="0" applyProtection="0">
      <alignment vertical="center"/>
    </xf>
    <xf numFmtId="0" fontId="43" fillId="41" borderId="21" applyNumberFormat="0" applyAlignment="0" applyProtection="0">
      <alignment vertical="center"/>
    </xf>
    <xf numFmtId="0" fontId="42" fillId="0" borderId="0">
      <alignment vertical="center"/>
    </xf>
    <xf numFmtId="0" fontId="41" fillId="42" borderId="0" applyNumberFormat="0" applyBorder="0" applyAlignment="0" applyProtection="0">
      <alignment vertical="center"/>
    </xf>
    <xf numFmtId="0" fontId="41" fillId="40" borderId="0" applyNumberFormat="0" applyBorder="0" applyAlignment="0" applyProtection="0">
      <alignment vertical="center"/>
    </xf>
    <xf numFmtId="0" fontId="41" fillId="4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4" fillId="0" borderId="0"/>
    <xf numFmtId="0" fontId="0" fillId="0" borderId="0"/>
    <xf numFmtId="0" fontId="41" fillId="44" borderId="0" applyNumberFormat="0" applyBorder="0" applyAlignment="0" applyProtection="0">
      <alignment vertical="center"/>
    </xf>
    <xf numFmtId="0" fontId="41" fillId="0" borderId="0">
      <alignment vertical="center"/>
    </xf>
    <xf numFmtId="0" fontId="42" fillId="0" borderId="0"/>
    <xf numFmtId="0" fontId="41" fillId="0" borderId="0">
      <alignment vertical="center"/>
    </xf>
    <xf numFmtId="0" fontId="42" fillId="0" borderId="0"/>
    <xf numFmtId="0" fontId="45" fillId="41" borderId="22" applyNumberFormat="0" applyAlignment="0" applyProtection="0">
      <alignment vertical="center"/>
    </xf>
    <xf numFmtId="0" fontId="42" fillId="0" borderId="0"/>
    <xf numFmtId="43" fontId="42" fillId="0" borderId="0" applyFont="0" applyFill="0" applyBorder="0" applyAlignment="0" applyProtection="0"/>
    <xf numFmtId="0" fontId="46" fillId="45" borderId="0" applyNumberFormat="0" applyBorder="0" applyAlignment="0" applyProtection="0">
      <alignment vertical="center"/>
    </xf>
    <xf numFmtId="0" fontId="41" fillId="43" borderId="0" applyNumberFormat="0" applyBorder="0" applyAlignment="0" applyProtection="0">
      <alignment vertical="center"/>
    </xf>
    <xf numFmtId="0" fontId="41" fillId="44" borderId="0" applyNumberFormat="0" applyBorder="0" applyAlignment="0" applyProtection="0">
      <alignment vertical="center"/>
    </xf>
    <xf numFmtId="0" fontId="41" fillId="40"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0" borderId="0"/>
    <xf numFmtId="0" fontId="41" fillId="43" borderId="0" applyNumberFormat="0" applyBorder="0" applyAlignment="0" applyProtection="0">
      <alignment vertical="center"/>
    </xf>
    <xf numFmtId="0" fontId="41" fillId="44" borderId="0" applyNumberFormat="0" applyBorder="0" applyAlignment="0" applyProtection="0">
      <alignment vertical="center"/>
    </xf>
    <xf numFmtId="0" fontId="42" fillId="0" borderId="0"/>
    <xf numFmtId="0" fontId="41" fillId="44" borderId="0" applyNumberFormat="0" applyBorder="0" applyAlignment="0" applyProtection="0">
      <alignment vertical="center"/>
    </xf>
    <xf numFmtId="0" fontId="41" fillId="42" borderId="0" applyNumberFormat="0" applyBorder="0" applyAlignment="0" applyProtection="0">
      <alignment vertical="center"/>
    </xf>
    <xf numFmtId="0" fontId="41" fillId="0" borderId="0">
      <alignment vertical="center"/>
    </xf>
    <xf numFmtId="43" fontId="42" fillId="0" borderId="0" applyFont="0" applyFill="0" applyBorder="0" applyAlignment="0" applyProtection="0"/>
    <xf numFmtId="0" fontId="41" fillId="42" borderId="0" applyNumberFormat="0" applyBorder="0" applyAlignment="0" applyProtection="0">
      <alignment vertical="center"/>
    </xf>
    <xf numFmtId="43" fontId="42" fillId="0" borderId="0" applyFont="0" applyFill="0" applyBorder="0" applyAlignment="0" applyProtection="0"/>
    <xf numFmtId="0" fontId="41" fillId="46" borderId="0" applyNumberFormat="0" applyBorder="0" applyAlignment="0" applyProtection="0">
      <alignment vertical="center"/>
    </xf>
    <xf numFmtId="0" fontId="41" fillId="0" borderId="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0" borderId="0"/>
    <xf numFmtId="0" fontId="41" fillId="49" borderId="0" applyNumberFormat="0" applyBorder="0" applyAlignment="0" applyProtection="0">
      <alignment vertical="center"/>
    </xf>
    <xf numFmtId="0" fontId="41" fillId="44" borderId="0" applyNumberFormat="0" applyBorder="0" applyAlignment="0" applyProtection="0">
      <alignment vertical="center"/>
    </xf>
    <xf numFmtId="0" fontId="47" fillId="50" borderId="23" applyNumberFormat="0" applyAlignment="0" applyProtection="0">
      <alignment vertical="center"/>
    </xf>
    <xf numFmtId="0" fontId="41" fillId="44"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8" fillId="52" borderId="0" applyNumberFormat="0" applyBorder="0" applyAlignment="0" applyProtection="0">
      <alignment vertical="center"/>
    </xf>
    <xf numFmtId="0" fontId="48" fillId="48" borderId="0" applyNumberFormat="0" applyBorder="0" applyAlignment="0" applyProtection="0">
      <alignment vertical="center"/>
    </xf>
    <xf numFmtId="0" fontId="41" fillId="0" borderId="0">
      <alignment vertical="center"/>
    </xf>
    <xf numFmtId="0" fontId="48" fillId="49" borderId="0" applyNumberFormat="0" applyBorder="0" applyAlignment="0" applyProtection="0">
      <alignment vertical="center"/>
    </xf>
    <xf numFmtId="0" fontId="48" fillId="53" borderId="0" applyNumberFormat="0" applyBorder="0" applyAlignment="0" applyProtection="0">
      <alignment vertical="center"/>
    </xf>
    <xf numFmtId="0" fontId="48" fillId="54" borderId="0" applyNumberFormat="0" applyBorder="0" applyAlignment="0" applyProtection="0">
      <alignment vertical="center"/>
    </xf>
    <xf numFmtId="0" fontId="48" fillId="55" borderId="0" applyNumberFormat="0" applyBorder="0" applyAlignment="0" applyProtection="0">
      <alignment vertical="center"/>
    </xf>
    <xf numFmtId="0" fontId="0" fillId="0" borderId="0">
      <alignment vertical="center"/>
    </xf>
    <xf numFmtId="43" fontId="42" fillId="0" borderId="0" applyFont="0" applyFill="0" applyBorder="0" applyAlignment="0" applyProtection="0"/>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41" fillId="0" borderId="0"/>
    <xf numFmtId="0" fontId="41" fillId="0" borderId="0"/>
    <xf numFmtId="0" fontId="41" fillId="0" borderId="0"/>
    <xf numFmtId="0" fontId="41" fillId="0" borderId="0"/>
    <xf numFmtId="0" fontId="41" fillId="0" borderId="0"/>
    <xf numFmtId="0" fontId="0" fillId="0" borderId="0">
      <alignment vertical="center"/>
    </xf>
    <xf numFmtId="0" fontId="50" fillId="40" borderId="0" applyNumberFormat="0" applyBorder="0" applyAlignment="0" applyProtection="0">
      <alignment vertical="center"/>
    </xf>
    <xf numFmtId="0" fontId="41" fillId="0" borderId="0"/>
    <xf numFmtId="0" fontId="0" fillId="0" borderId="0">
      <alignment vertical="center"/>
    </xf>
    <xf numFmtId="0" fontId="41"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41" fillId="0" borderId="0"/>
    <xf numFmtId="0" fontId="0" fillId="0" borderId="0"/>
    <xf numFmtId="0" fontId="41" fillId="0" borderId="0"/>
    <xf numFmtId="0" fontId="0" fillId="0" borderId="0"/>
    <xf numFmtId="0" fontId="41" fillId="0" borderId="0"/>
    <xf numFmtId="0" fontId="0" fillId="0" borderId="0"/>
    <xf numFmtId="0" fontId="0" fillId="0" borderId="0"/>
    <xf numFmtId="0" fontId="0" fillId="0" borderId="0"/>
    <xf numFmtId="0" fontId="42" fillId="0" borderId="0">
      <alignment vertical="center"/>
    </xf>
    <xf numFmtId="0" fontId="42" fillId="0" borderId="0">
      <alignment vertical="center"/>
    </xf>
    <xf numFmtId="0" fontId="41" fillId="0" borderId="0">
      <alignment vertical="center"/>
    </xf>
    <xf numFmtId="0" fontId="42" fillId="0" borderId="0">
      <alignment vertical="center"/>
    </xf>
    <xf numFmtId="0" fontId="42" fillId="0" borderId="0"/>
    <xf numFmtId="0" fontId="42" fillId="0" borderId="0">
      <alignment vertical="center"/>
    </xf>
    <xf numFmtId="0" fontId="42" fillId="0" borderId="0"/>
    <xf numFmtId="0" fontId="42" fillId="0" borderId="0">
      <alignment vertical="center"/>
    </xf>
    <xf numFmtId="0" fontId="42" fillId="0" borderId="0"/>
    <xf numFmtId="0" fontId="42" fillId="0" borderId="0"/>
    <xf numFmtId="0" fontId="42" fillId="0" borderId="0"/>
    <xf numFmtId="0" fontId="48" fillId="56" borderId="0" applyNumberFormat="0" applyBorder="0" applyAlignment="0" applyProtection="0">
      <alignment vertical="center"/>
    </xf>
    <xf numFmtId="0" fontId="42" fillId="0" borderId="0"/>
    <xf numFmtId="0" fontId="42" fillId="0" borderId="0"/>
    <xf numFmtId="0" fontId="42" fillId="0" borderId="0">
      <alignment vertical="center"/>
    </xf>
    <xf numFmtId="0" fontId="42" fillId="0" borderId="0">
      <alignment vertical="center"/>
    </xf>
    <xf numFmtId="0" fontId="42" fillId="0" borderId="0">
      <alignment vertical="center"/>
    </xf>
    <xf numFmtId="0" fontId="42" fillId="0" borderId="0"/>
    <xf numFmtId="0" fontId="42" fillId="0" borderId="0">
      <alignment vertical="center"/>
    </xf>
    <xf numFmtId="0" fontId="42" fillId="0" borderId="0">
      <alignment vertical="center"/>
    </xf>
    <xf numFmtId="0" fontId="42" fillId="0" borderId="0"/>
    <xf numFmtId="0" fontId="42" fillId="0" borderId="0"/>
    <xf numFmtId="0" fontId="48" fillId="53" borderId="0" applyNumberFormat="0" applyBorder="0" applyAlignment="0" applyProtection="0">
      <alignment vertical="center"/>
    </xf>
    <xf numFmtId="0" fontId="42" fillId="0" borderId="0"/>
    <xf numFmtId="0" fontId="42" fillId="0" borderId="0"/>
    <xf numFmtId="0" fontId="42" fillId="0" borderId="0"/>
    <xf numFmtId="0" fontId="42" fillId="0" borderId="0"/>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xf numFmtId="0" fontId="51" fillId="46" borderId="21" applyNumberFormat="0" applyAlignment="0" applyProtection="0">
      <alignment vertical="center"/>
    </xf>
    <xf numFmtId="0" fontId="42" fillId="0" borderId="0"/>
    <xf numFmtId="0" fontId="42" fillId="0" borderId="0">
      <alignment vertical="center"/>
    </xf>
    <xf numFmtId="0" fontId="0" fillId="0" borderId="0"/>
    <xf numFmtId="0" fontId="0" fillId="0" borderId="0"/>
    <xf numFmtId="0" fontId="0" fillId="0" borderId="0"/>
    <xf numFmtId="0" fontId="52" fillId="0" borderId="0">
      <alignment vertical="center"/>
    </xf>
    <xf numFmtId="0" fontId="42" fillId="0" borderId="0"/>
    <xf numFmtId="0" fontId="4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0" fillId="40" borderId="0" applyNumberFormat="0" applyBorder="0" applyAlignment="0" applyProtection="0">
      <alignment vertical="center"/>
    </xf>
    <xf numFmtId="0" fontId="41" fillId="0" borderId="0">
      <alignment vertical="center"/>
    </xf>
    <xf numFmtId="0" fontId="48" fillId="57"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2" fillId="0" borderId="0">
      <alignment vertical="center"/>
    </xf>
    <xf numFmtId="0" fontId="41" fillId="0" borderId="0">
      <alignment vertical="center"/>
    </xf>
    <xf numFmtId="0" fontId="41" fillId="0" borderId="0">
      <alignment vertical="center"/>
    </xf>
    <xf numFmtId="0" fontId="42" fillId="58" borderId="24" applyNumberFormat="0" applyFont="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2" fillId="0" borderId="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176"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8" fillId="59" borderId="0" applyNumberFormat="0" applyBorder="0" applyAlignment="0" applyProtection="0">
      <alignment vertical="center"/>
    </xf>
    <xf numFmtId="0" fontId="48" fillId="60" borderId="0" applyNumberFormat="0" applyBorder="0" applyAlignment="0" applyProtection="0">
      <alignment vertical="center"/>
    </xf>
    <xf numFmtId="0" fontId="48" fillId="54" borderId="0" applyNumberFormat="0" applyBorder="0" applyAlignment="0" applyProtection="0">
      <alignment vertical="center"/>
    </xf>
    <xf numFmtId="0" fontId="44" fillId="0" borderId="0"/>
  </cellStyleXfs>
  <cellXfs count="270">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xf>
    <xf numFmtId="57" fontId="1" fillId="0" borderId="1" xfId="0" applyNumberFormat="1" applyFont="1" applyBorder="1" applyAlignment="1">
      <alignment horizontal="center" vertical="center"/>
    </xf>
    <xf numFmtId="0" fontId="1" fillId="0" borderId="5" xfId="0" applyFont="1" applyBorder="1" applyAlignment="1">
      <alignment horizontal="center" vertical="center"/>
    </xf>
    <xf numFmtId="31" fontId="1" fillId="0" borderId="1" xfId="0" applyNumberFormat="1" applyFont="1" applyBorder="1" applyAlignment="1">
      <alignment horizontal="center" vertical="center"/>
    </xf>
    <xf numFmtId="0" fontId="1" fillId="0" borderId="6" xfId="0" applyFont="1" applyBorder="1" applyAlignment="1">
      <alignment horizontal="center" vertical="center"/>
    </xf>
    <xf numFmtId="31" fontId="1" fillId="0" borderId="1" xfId="0" applyNumberFormat="1" applyFont="1" applyBorder="1" applyAlignment="1">
      <alignment horizontal="center" vertical="center" wrapText="1"/>
    </xf>
    <xf numFmtId="0" fontId="2" fillId="0" borderId="1" xfId="152" applyFont="1" applyBorder="1" applyAlignment="1">
      <alignment horizontal="center" vertical="center" wrapText="1"/>
    </xf>
    <xf numFmtId="31" fontId="1" fillId="0" borderId="4" xfId="0" applyNumberFormat="1" applyFont="1" applyBorder="1" applyAlignment="1">
      <alignment horizontal="center" vertical="center"/>
    </xf>
    <xf numFmtId="31" fontId="1" fillId="0" borderId="5" xfId="0" applyNumberFormat="1" applyFont="1" applyBorder="1" applyAlignment="1">
      <alignment horizontal="center" vertical="center"/>
    </xf>
    <xf numFmtId="31" fontId="1" fillId="0" borderId="6" xfId="0" applyNumberFormat="1" applyFont="1" applyBorder="1" applyAlignment="1">
      <alignment horizontal="center" vertical="center"/>
    </xf>
    <xf numFmtId="31" fontId="1" fillId="0" borderId="1" xfId="0" applyNumberFormat="1" applyFont="1" applyBorder="1" applyAlignment="1">
      <alignment horizontal="center"/>
    </xf>
    <xf numFmtId="0" fontId="2" fillId="0" borderId="4" xfId="152" applyFont="1" applyBorder="1" applyAlignment="1">
      <alignment horizontal="center" vertical="center" wrapText="1"/>
    </xf>
    <xf numFmtId="0" fontId="2" fillId="0" borderId="6" xfId="152" applyFont="1" applyBorder="1" applyAlignment="1">
      <alignment horizontal="center" vertical="center" wrapText="1"/>
    </xf>
    <xf numFmtId="0" fontId="1" fillId="0" borderId="1" xfId="0" applyFont="1" applyBorder="1" applyAlignment="1">
      <alignment horizontal="center"/>
    </xf>
    <xf numFmtId="57" fontId="1" fillId="0" borderId="1" xfId="0" applyNumberFormat="1" applyFont="1" applyBorder="1" applyAlignment="1">
      <alignment horizont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7" xfId="0" applyFont="1" applyBorder="1" applyAlignment="1">
      <alignment horizontal="center" vertical="center"/>
    </xf>
    <xf numFmtId="177" fontId="4" fillId="0" borderId="0" xfId="0" applyNumberFormat="1" applyFont="1" applyAlignment="1">
      <alignment horizontal="center" vertical="center"/>
    </xf>
    <xf numFmtId="0" fontId="0" fillId="0" borderId="0" xfId="0" applyAlignment="1">
      <alignment horizontal="center" vertical="center"/>
    </xf>
    <xf numFmtId="0" fontId="4" fillId="0" borderId="1" xfId="152" applyFont="1" applyBorder="1" applyAlignment="1">
      <alignment horizontal="center" vertical="center" wrapText="1"/>
    </xf>
    <xf numFmtId="178" fontId="4" fillId="0" borderId="1" xfId="152" applyNumberFormat="1" applyFont="1" applyBorder="1" applyAlignment="1">
      <alignment horizontal="center" vertical="center" wrapText="1"/>
    </xf>
    <xf numFmtId="0" fontId="5" fillId="0" borderId="1" xfId="0" applyFont="1" applyBorder="1" applyAlignment="1">
      <alignment horizontal="center" vertical="center"/>
    </xf>
    <xf numFmtId="179" fontId="4" fillId="0" borderId="1" xfId="152" applyNumberFormat="1" applyFont="1" applyBorder="1" applyAlignment="1">
      <alignment horizontal="center" vertical="center"/>
    </xf>
    <xf numFmtId="0" fontId="4" fillId="0" borderId="1" xfId="152" applyFont="1" applyBorder="1" applyAlignment="1">
      <alignment horizontal="center" vertical="center"/>
    </xf>
    <xf numFmtId="0" fontId="4" fillId="0" borderId="1" xfId="0" applyFont="1" applyBorder="1" applyAlignment="1">
      <alignment horizontal="center" vertical="center"/>
    </xf>
    <xf numFmtId="0" fontId="6" fillId="0" borderId="1" xfId="152" applyFont="1" applyBorder="1" applyAlignment="1">
      <alignment horizontal="center" vertical="center" wrapText="1"/>
    </xf>
    <xf numFmtId="177" fontId="4" fillId="0" borderId="1" xfId="152" applyNumberFormat="1" applyFont="1" applyBorder="1" applyAlignment="1">
      <alignment horizontal="center" vertical="center" wrapText="1"/>
    </xf>
    <xf numFmtId="0" fontId="4" fillId="0" borderId="4" xfId="152" applyFont="1" applyBorder="1" applyAlignment="1">
      <alignment horizontal="center" vertical="center" wrapText="1"/>
    </xf>
    <xf numFmtId="0" fontId="4" fillId="2" borderId="1" xfId="152" applyFont="1" applyFill="1" applyBorder="1" applyAlignment="1">
      <alignment horizontal="center" vertical="center" wrapText="1"/>
    </xf>
    <xf numFmtId="0" fontId="4" fillId="3" borderId="1" xfId="152" applyFont="1" applyFill="1" applyBorder="1" applyAlignment="1">
      <alignment horizontal="center" vertical="center" wrapText="1"/>
    </xf>
    <xf numFmtId="177" fontId="4" fillId="0" borderId="1" xfId="152" applyNumberFormat="1" applyFont="1" applyBorder="1" applyAlignment="1">
      <alignment horizontal="center" vertical="center"/>
    </xf>
    <xf numFmtId="0" fontId="4" fillId="3" borderId="1" xfId="0" applyFont="1" applyFill="1" applyBorder="1" applyAlignment="1">
      <alignment horizontal="center" vertical="center" wrapText="1"/>
    </xf>
    <xf numFmtId="178" fontId="4" fillId="0" borderId="1" xfId="152" applyNumberFormat="1" applyFont="1" applyBorder="1" applyAlignment="1">
      <alignment horizontal="center" vertical="center"/>
    </xf>
    <xf numFmtId="49" fontId="4" fillId="0" borderId="1" xfId="152" applyNumberFormat="1" applyFont="1" applyBorder="1" applyAlignment="1">
      <alignment horizontal="center" vertical="center" wrapText="1"/>
    </xf>
    <xf numFmtId="0" fontId="7" fillId="0" borderId="1" xfId="152" applyFont="1" applyBorder="1" applyAlignment="1">
      <alignment horizontal="center" vertical="center" wrapText="1"/>
    </xf>
    <xf numFmtId="0" fontId="4" fillId="4" borderId="1" xfId="152" applyFont="1" applyFill="1" applyBorder="1" applyAlignment="1">
      <alignment horizontal="center" vertical="center" wrapText="1"/>
    </xf>
    <xf numFmtId="0" fontId="5" fillId="0" borderId="1" xfId="0" applyFont="1" applyFill="1" applyBorder="1" applyAlignment="1">
      <alignment horizontal="center" vertical="center"/>
    </xf>
    <xf numFmtId="0" fontId="4" fillId="0" borderId="1" xfId="152" applyFont="1" applyFill="1" applyBorder="1" applyAlignment="1">
      <alignment horizontal="center" vertical="center" wrapText="1"/>
    </xf>
    <xf numFmtId="178" fontId="4" fillId="0" borderId="1" xfId="152" applyNumberFormat="1" applyFont="1" applyFill="1" applyBorder="1" applyAlignment="1">
      <alignment horizontal="center" vertical="center" wrapText="1"/>
    </xf>
    <xf numFmtId="0" fontId="6" fillId="0" borderId="1" xfId="152" applyFont="1" applyBorder="1" applyAlignment="1">
      <alignment horizontal="center" vertical="center"/>
    </xf>
    <xf numFmtId="177" fontId="4" fillId="0" borderId="1" xfId="152" applyNumberFormat="1" applyFont="1" applyFill="1" applyBorder="1" applyAlignment="1">
      <alignment horizontal="center" vertical="center" wrapText="1"/>
    </xf>
    <xf numFmtId="0" fontId="4" fillId="5" borderId="1" xfId="152"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6" xfId="152" applyFont="1" applyBorder="1" applyAlignment="1">
      <alignment horizontal="center" vertical="center" wrapText="1"/>
    </xf>
    <xf numFmtId="179" fontId="4" fillId="0" borderId="1" xfId="71" applyNumberFormat="1" applyFont="1" applyBorder="1" applyAlignment="1">
      <alignment horizontal="center" vertical="center"/>
    </xf>
    <xf numFmtId="178" fontId="4" fillId="0" borderId="1" xfId="71" applyNumberFormat="1" applyFont="1" applyBorder="1" applyAlignment="1">
      <alignment horizontal="center" vertical="center"/>
    </xf>
    <xf numFmtId="49" fontId="4" fillId="0" borderId="1" xfId="152" applyNumberFormat="1" applyFont="1" applyBorder="1" applyAlignment="1">
      <alignment horizontal="center" vertical="center"/>
    </xf>
    <xf numFmtId="0" fontId="4" fillId="0" borderId="1" xfId="71" applyFont="1" applyBorder="1" applyAlignment="1">
      <alignment horizontal="center" vertical="center" wrapText="1"/>
    </xf>
    <xf numFmtId="58" fontId="4" fillId="0" borderId="1" xfId="152" applyNumberFormat="1" applyFont="1" applyBorder="1" applyAlignment="1">
      <alignment horizontal="center" vertical="center" wrapText="1"/>
    </xf>
    <xf numFmtId="0" fontId="4" fillId="0" borderId="1" xfId="56" applyFont="1" applyBorder="1" applyAlignment="1">
      <alignment horizontal="center" vertical="center" wrapText="1"/>
    </xf>
    <xf numFmtId="0" fontId="4" fillId="0" borderId="1" xfId="56" applyFont="1" applyBorder="1" applyAlignment="1">
      <alignment horizontal="center" vertical="center"/>
    </xf>
    <xf numFmtId="177" fontId="4" fillId="0" borderId="1" xfId="71" applyNumberFormat="1" applyFont="1" applyBorder="1" applyAlignment="1">
      <alignment horizontal="center" vertical="center"/>
    </xf>
    <xf numFmtId="0" fontId="4" fillId="0" borderId="5" xfId="152" applyFont="1" applyBorder="1" applyAlignment="1">
      <alignment horizontal="center" vertical="center" wrapText="1"/>
    </xf>
    <xf numFmtId="177" fontId="4" fillId="0" borderId="1" xfId="56" applyNumberFormat="1" applyFont="1" applyBorder="1" applyAlignment="1">
      <alignment horizontal="center" vertical="center" wrapText="1"/>
    </xf>
    <xf numFmtId="0" fontId="4" fillId="6" borderId="1" xfId="152" applyFont="1" applyFill="1" applyBorder="1" applyAlignment="1">
      <alignment horizontal="center" vertical="center" wrapText="1"/>
    </xf>
    <xf numFmtId="0" fontId="4" fillId="0" borderId="1" xfId="152" applyFont="1" applyFill="1" applyBorder="1" applyAlignment="1">
      <alignment horizontal="center" vertical="center"/>
    </xf>
    <xf numFmtId="0" fontId="8"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xf>
    <xf numFmtId="0" fontId="9" fillId="7" borderId="1" xfId="152" applyFont="1" applyFill="1" applyBorder="1" applyAlignment="1">
      <alignment horizontal="center" vertical="center" wrapText="1"/>
    </xf>
    <xf numFmtId="0" fontId="9" fillId="0" borderId="1" xfId="152" applyFont="1" applyBorder="1" applyAlignment="1">
      <alignment horizontal="center" vertical="center" wrapText="1"/>
    </xf>
    <xf numFmtId="177" fontId="4" fillId="0" borderId="1" xfId="140" applyNumberFormat="1" applyFont="1" applyBorder="1" applyAlignment="1">
      <alignment horizontal="center" vertical="center"/>
    </xf>
    <xf numFmtId="177" fontId="4" fillId="0" borderId="1" xfId="0" applyNumberFormat="1" applyFont="1" applyBorder="1" applyAlignment="1">
      <alignment horizontal="center" vertical="center" wrapText="1"/>
    </xf>
    <xf numFmtId="0" fontId="4" fillId="4" borderId="1" xfId="0" applyFont="1" applyFill="1" applyBorder="1" applyAlignment="1">
      <alignment horizontal="center" vertical="center" wrapText="1"/>
    </xf>
    <xf numFmtId="179" fontId="6" fillId="0" borderId="1" xfId="0" applyNumberFormat="1" applyFont="1" applyBorder="1" applyAlignment="1">
      <alignment horizontal="center" vertical="center" wrapText="1"/>
    </xf>
    <xf numFmtId="179" fontId="4" fillId="0" borderId="1" xfId="152" applyNumberFormat="1" applyFont="1" applyBorder="1" applyAlignment="1">
      <alignment horizontal="center" vertical="center" wrapText="1"/>
    </xf>
    <xf numFmtId="0" fontId="6" fillId="0" borderId="2" xfId="152" applyFont="1" applyBorder="1" applyAlignment="1">
      <alignment horizontal="center" vertical="center"/>
    </xf>
    <xf numFmtId="0" fontId="0" fillId="0" borderId="8" xfId="0" applyBorder="1" applyAlignment="1">
      <alignment horizontal="center" vertical="center"/>
    </xf>
    <xf numFmtId="0" fontId="4" fillId="0" borderId="3" xfId="152" applyFont="1" applyBorder="1" applyAlignment="1">
      <alignment horizontal="center" vertical="center"/>
    </xf>
    <xf numFmtId="0" fontId="4" fillId="0" borderId="3" xfId="152" applyFont="1" applyBorder="1" applyAlignment="1">
      <alignment horizontal="center" vertical="center" wrapText="1"/>
    </xf>
    <xf numFmtId="0" fontId="4" fillId="2" borderId="1" xfId="0" applyFont="1" applyFill="1" applyBorder="1" applyAlignment="1">
      <alignment horizontal="center" vertical="center"/>
    </xf>
    <xf numFmtId="0" fontId="1" fillId="0" borderId="0" xfId="0" applyFont="1" applyAlignment="1">
      <alignment horizontal="center" vertical="center"/>
    </xf>
    <xf numFmtId="180" fontId="4" fillId="2" borderId="1" xfId="0" applyNumberFormat="1" applyFont="1" applyFill="1" applyBorder="1" applyAlignment="1">
      <alignment horizontal="center" vertical="center" wrapText="1"/>
    </xf>
    <xf numFmtId="180" fontId="4" fillId="6" borderId="1" xfId="0" applyNumberFormat="1" applyFont="1" applyFill="1" applyBorder="1" applyAlignment="1">
      <alignment horizontal="center" vertical="center" wrapText="1"/>
    </xf>
    <xf numFmtId="180" fontId="4" fillId="4" borderId="1" xfId="0" applyNumberFormat="1" applyFont="1" applyFill="1" applyBorder="1" applyAlignment="1">
      <alignment horizontal="center" vertical="center" wrapText="1"/>
    </xf>
    <xf numFmtId="180" fontId="4" fillId="3" borderId="1" xfId="0" applyNumberFormat="1" applyFont="1" applyFill="1" applyBorder="1" applyAlignment="1">
      <alignment horizontal="center" vertical="center" wrapText="1"/>
    </xf>
    <xf numFmtId="180" fontId="4" fillId="5" borderId="1" xfId="0" applyNumberFormat="1" applyFont="1" applyFill="1" applyBorder="1" applyAlignment="1">
      <alignment horizontal="center" vertical="center" wrapText="1"/>
    </xf>
    <xf numFmtId="180" fontId="4" fillId="8" borderId="1" xfId="0" applyNumberFormat="1" applyFont="1" applyFill="1" applyBorder="1" applyAlignment="1">
      <alignment horizontal="center" vertical="center" wrapText="1"/>
    </xf>
    <xf numFmtId="0" fontId="0" fillId="0" borderId="0" xfId="0" applyFill="1" applyBorder="1" applyAlignment="1">
      <alignment vertical="center"/>
    </xf>
    <xf numFmtId="0" fontId="10" fillId="0" borderId="0" xfId="0" applyFont="1" applyFill="1"/>
    <xf numFmtId="0" fontId="10" fillId="0" borderId="0" xfId="0" applyFont="1" applyFill="1" applyBorder="1" applyAlignment="1"/>
    <xf numFmtId="0" fontId="0" fillId="0" borderId="0" xfId="0" applyFill="1" applyBorder="1" applyAlignment="1">
      <alignment horizontal="center" vertical="center"/>
    </xf>
    <xf numFmtId="0" fontId="0" fillId="2" borderId="0" xfId="0" applyFill="1" applyBorder="1" applyAlignment="1">
      <alignment vertical="center"/>
    </xf>
    <xf numFmtId="0" fontId="4" fillId="0" borderId="0" xfId="0" applyFont="1" applyFill="1" applyBorder="1" applyAlignment="1">
      <alignment horizontal="center" vertical="center" wrapText="1"/>
    </xf>
    <xf numFmtId="0" fontId="10" fillId="0" borderId="0" xfId="0" applyFont="1" applyFill="1" applyAlignment="1">
      <alignment horizontal="center"/>
    </xf>
    <xf numFmtId="49" fontId="4" fillId="0" borderId="4" xfId="0" applyNumberFormat="1" applyFont="1" applyFill="1" applyBorder="1" applyAlignment="1">
      <alignment horizontal="center" vertical="center" wrapText="1"/>
    </xf>
    <xf numFmtId="180" fontId="4" fillId="0" borderId="4" xfId="172" applyNumberFormat="1" applyFont="1" applyFill="1" applyBorder="1" applyAlignment="1">
      <alignment horizontal="center" vertical="center" wrapText="1"/>
    </xf>
    <xf numFmtId="0" fontId="4" fillId="0" borderId="1" xfId="148" applyFont="1" applyFill="1" applyBorder="1" applyAlignment="1">
      <alignment horizontal="center" vertical="center" wrapText="1"/>
    </xf>
    <xf numFmtId="180" fontId="4" fillId="0" borderId="1" xfId="171" applyNumberFormat="1" applyFont="1" applyFill="1" applyBorder="1" applyAlignment="1">
      <alignment horizontal="center" vertical="center" wrapText="1"/>
    </xf>
    <xf numFmtId="180" fontId="4" fillId="0" borderId="1" xfId="172"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181" fontId="4" fillId="0" borderId="1" xfId="172" applyNumberFormat="1" applyFont="1" applyFill="1" applyBorder="1" applyAlignment="1">
      <alignment horizontal="center" vertical="center" wrapText="1"/>
    </xf>
    <xf numFmtId="180" fontId="4" fillId="0" borderId="6" xfId="172" applyNumberFormat="1" applyFont="1" applyFill="1" applyBorder="1" applyAlignment="1">
      <alignment horizontal="center" vertical="center" wrapText="1"/>
    </xf>
    <xf numFmtId="180" fontId="11" fillId="0" borderId="6" xfId="0" applyNumberFormat="1" applyFont="1" applyFill="1" applyBorder="1" applyAlignment="1">
      <alignment horizontal="center" vertical="center" wrapText="1"/>
    </xf>
    <xf numFmtId="180" fontId="11" fillId="0" borderId="1" xfId="0" applyNumberFormat="1" applyFont="1" applyFill="1" applyBorder="1" applyAlignment="1">
      <alignment horizontal="center" vertical="center" wrapText="1"/>
    </xf>
    <xf numFmtId="0" fontId="4" fillId="0" borderId="1" xfId="172" applyFont="1" applyFill="1" applyBorder="1" applyAlignment="1">
      <alignment horizontal="center" vertical="center"/>
    </xf>
    <xf numFmtId="0" fontId="10" fillId="0" borderId="1" xfId="0" applyFont="1" applyFill="1" applyBorder="1" applyAlignment="1">
      <alignment horizontal="center"/>
    </xf>
    <xf numFmtId="182" fontId="4" fillId="0" borderId="1" xfId="172" applyNumberFormat="1" applyFont="1" applyFill="1" applyBorder="1" applyAlignment="1">
      <alignment horizontal="center" vertical="center" wrapText="1"/>
    </xf>
    <xf numFmtId="183" fontId="6" fillId="0" borderId="9" xfId="0" applyNumberFormat="1" applyFont="1" applyFill="1" applyBorder="1" applyAlignment="1">
      <alignment horizontal="center" vertical="center"/>
    </xf>
    <xf numFmtId="180" fontId="4" fillId="0" borderId="10" xfId="172" applyNumberFormat="1" applyFont="1" applyFill="1" applyBorder="1" applyAlignment="1">
      <alignment horizontal="center" vertical="center" wrapText="1"/>
    </xf>
    <xf numFmtId="180" fontId="11" fillId="0" borderId="10" xfId="0" applyNumberFormat="1" applyFont="1" applyFill="1" applyBorder="1" applyAlignment="1">
      <alignment horizontal="center" vertical="center" wrapText="1"/>
    </xf>
    <xf numFmtId="49" fontId="4" fillId="0" borderId="1" xfId="172" applyNumberFormat="1" applyFont="1" applyFill="1" applyBorder="1" applyAlignment="1">
      <alignment horizontal="center" vertical="center" wrapText="1"/>
    </xf>
    <xf numFmtId="180" fontId="11" fillId="0" borderId="3" xfId="0" applyNumberFormat="1" applyFont="1" applyFill="1" applyBorder="1" applyAlignment="1">
      <alignment horizontal="center" vertical="center" wrapText="1"/>
    </xf>
    <xf numFmtId="49" fontId="4" fillId="0" borderId="1" xfId="172" applyNumberFormat="1" applyFont="1" applyFill="1" applyBorder="1" applyAlignment="1">
      <alignment horizontal="center" vertical="center"/>
    </xf>
    <xf numFmtId="0" fontId="12" fillId="0" borderId="0" xfId="0" applyFont="1" applyFill="1" applyBorder="1" applyAlignment="1">
      <alignment horizontal="center" vertical="center"/>
    </xf>
    <xf numFmtId="183" fontId="12" fillId="0" borderId="1" xfId="0" applyNumberFormat="1" applyFont="1" applyFill="1" applyBorder="1" applyAlignment="1">
      <alignment horizontal="center" vertical="center"/>
    </xf>
    <xf numFmtId="0" fontId="4" fillId="0" borderId="1" xfId="172" applyFont="1" applyFill="1" applyBorder="1" applyAlignment="1">
      <alignment horizontal="center" vertical="center" wrapText="1"/>
    </xf>
    <xf numFmtId="184"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xf>
    <xf numFmtId="180" fontId="4" fillId="0" borderId="1" xfId="162" applyNumberFormat="1" applyFont="1" applyFill="1" applyBorder="1" applyAlignment="1">
      <alignment horizontal="center" vertical="center" wrapText="1"/>
    </xf>
    <xf numFmtId="0" fontId="4" fillId="0" borderId="1" xfId="143"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184" fontId="4" fillId="0" borderId="1" xfId="172" applyNumberFormat="1" applyFont="1" applyFill="1" applyBorder="1" applyAlignment="1">
      <alignment horizontal="center" vertical="center" wrapText="1"/>
    </xf>
    <xf numFmtId="0" fontId="4" fillId="0" borderId="1" xfId="162" applyFont="1" applyFill="1" applyBorder="1" applyAlignment="1">
      <alignment horizontal="center" vertical="center" wrapText="1"/>
    </xf>
    <xf numFmtId="180" fontId="4" fillId="0" borderId="1" xfId="174" applyNumberFormat="1" applyFont="1" applyFill="1" applyBorder="1" applyAlignment="1">
      <alignment horizontal="center" vertical="center" wrapText="1"/>
    </xf>
    <xf numFmtId="180" fontId="4" fillId="0" borderId="11" xfId="171" applyNumberFormat="1" applyFont="1" applyFill="1" applyBorder="1" applyAlignment="1">
      <alignment horizontal="center" vertical="center" wrapText="1"/>
    </xf>
    <xf numFmtId="180" fontId="4" fillId="0" borderId="0" xfId="171" applyNumberFormat="1" applyFont="1" applyFill="1" applyBorder="1" applyAlignment="1">
      <alignment horizontal="center" vertical="center" wrapText="1"/>
    </xf>
    <xf numFmtId="0" fontId="4" fillId="0" borderId="0" xfId="148" applyFont="1" applyFill="1" applyAlignment="1">
      <alignment horizontal="center" vertical="center" wrapText="1"/>
    </xf>
    <xf numFmtId="49" fontId="4" fillId="0" borderId="4" xfId="0" applyNumberFormat="1" applyFont="1" applyFill="1" applyBorder="1" applyAlignment="1">
      <alignment horizontal="center" vertical="center"/>
    </xf>
    <xf numFmtId="180" fontId="4" fillId="0" borderId="4" xfId="172" applyNumberFormat="1" applyFont="1" applyFill="1" applyBorder="1" applyAlignment="1">
      <alignment horizontal="center" vertical="center"/>
    </xf>
    <xf numFmtId="177" fontId="4" fillId="0" borderId="1" xfId="0" applyNumberFormat="1" applyFont="1" applyFill="1" applyBorder="1" applyAlignment="1">
      <alignment horizontal="center" vertical="center" wrapText="1"/>
    </xf>
    <xf numFmtId="185" fontId="4" fillId="0" borderId="1" xfId="0" applyNumberFormat="1" applyFont="1" applyFill="1" applyBorder="1" applyAlignment="1">
      <alignment horizontal="center" vertical="center" wrapText="1"/>
    </xf>
    <xf numFmtId="180" fontId="3" fillId="0" borderId="1" xfId="172" applyNumberFormat="1" applyFont="1" applyFill="1" applyBorder="1" applyAlignment="1">
      <alignment horizontal="center" vertical="center" wrapText="1"/>
    </xf>
    <xf numFmtId="186" fontId="4" fillId="0" borderId="1" xfId="0" applyNumberFormat="1" applyFont="1" applyFill="1" applyBorder="1" applyAlignment="1">
      <alignment horizontal="center" vertical="center" wrapText="1"/>
    </xf>
    <xf numFmtId="180" fontId="4" fillId="0" borderId="1" xfId="0" applyNumberFormat="1" applyFont="1" applyFill="1" applyBorder="1" applyAlignment="1">
      <alignment horizontal="center" vertical="center" wrapText="1"/>
    </xf>
    <xf numFmtId="180" fontId="4" fillId="0" borderId="2" xfId="171" applyNumberFormat="1"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1" xfId="0" applyFont="1" applyFill="1" applyBorder="1" applyAlignment="1">
      <alignment vertical="center"/>
    </xf>
    <xf numFmtId="0" fontId="13" fillId="0" borderId="8" xfId="0" applyFont="1" applyFill="1" applyBorder="1" applyAlignment="1">
      <alignment horizontal="center" vertical="center" wrapText="1"/>
    </xf>
    <xf numFmtId="184" fontId="13" fillId="0" borderId="8" xfId="0" applyNumberFormat="1"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0" borderId="1" xfId="171" applyFont="1" applyFill="1" applyBorder="1" applyAlignment="1">
      <alignment horizontal="center" vertical="center" wrapText="1"/>
    </xf>
    <xf numFmtId="0" fontId="4" fillId="0" borderId="1" xfId="82" applyFont="1" applyFill="1" applyBorder="1" applyAlignment="1">
      <alignment horizontal="center" vertical="center" wrapText="1"/>
    </xf>
    <xf numFmtId="184" fontId="4" fillId="0" borderId="1" xfId="82" applyNumberFormat="1" applyFont="1" applyFill="1" applyBorder="1" applyAlignment="1">
      <alignment horizontal="center" vertical="center" wrapText="1"/>
    </xf>
    <xf numFmtId="0" fontId="4" fillId="0" borderId="1" xfId="82" applyFont="1" applyFill="1" applyBorder="1" applyAlignment="1">
      <alignment horizontal="center" vertical="center"/>
    </xf>
    <xf numFmtId="0" fontId="14" fillId="0" borderId="8"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6" fillId="0" borderId="0" xfId="0" applyFont="1" applyFill="1" applyBorder="1" applyAlignment="1">
      <alignment horizontal="center"/>
    </xf>
    <xf numFmtId="0" fontId="4" fillId="2" borderId="0" xfId="0" applyFont="1" applyFill="1" applyBorder="1" applyAlignment="1">
      <alignment horizontal="center"/>
    </xf>
    <xf numFmtId="0" fontId="4" fillId="2" borderId="0" xfId="0" applyFont="1" applyFill="1" applyAlignment="1">
      <alignment horizontal="center"/>
    </xf>
    <xf numFmtId="0" fontId="4" fillId="0" borderId="0" xfId="0" applyFont="1" applyFill="1" applyBorder="1" applyAlignment="1">
      <alignment horizontal="center" vertical="center"/>
    </xf>
    <xf numFmtId="0" fontId="4" fillId="0" borderId="0" xfId="0" applyFont="1" applyFill="1" applyBorder="1" applyAlignment="1">
      <alignment horizontal="center"/>
    </xf>
    <xf numFmtId="0" fontId="4" fillId="0" borderId="0" xfId="0" applyFont="1" applyFill="1" applyAlignment="1">
      <alignment horizontal="center"/>
    </xf>
    <xf numFmtId="0" fontId="0" fillId="2" borderId="0" xfId="0" applyFill="1"/>
    <xf numFmtId="0" fontId="4" fillId="2" borderId="0" xfId="0" applyFont="1" applyFill="1" applyAlignment="1">
      <alignment horizontal="center" vertical="center"/>
    </xf>
    <xf numFmtId="0" fontId="7" fillId="0" borderId="0" xfId="0" applyFont="1" applyFill="1" applyBorder="1" applyAlignment="1">
      <alignment horizontal="center" vertical="center" wrapText="1"/>
    </xf>
    <xf numFmtId="181" fontId="7" fillId="0" borderId="0" xfId="0" applyNumberFormat="1" applyFont="1" applyFill="1" applyBorder="1" applyAlignment="1">
      <alignment horizontal="center" vertical="center" wrapText="1"/>
    </xf>
    <xf numFmtId="181" fontId="4" fillId="0" borderId="0" xfId="0" applyNumberFormat="1" applyFont="1" applyFill="1" applyBorder="1" applyAlignment="1">
      <alignment horizontal="center"/>
    </xf>
    <xf numFmtId="181" fontId="4" fillId="0" borderId="0" xfId="0" applyNumberFormat="1" applyFont="1" applyFill="1" applyBorder="1" applyAlignment="1">
      <alignment horizontal="center" wrapText="1"/>
    </xf>
    <xf numFmtId="0" fontId="4" fillId="0" borderId="0" xfId="0" applyFont="1" applyFill="1" applyBorder="1" applyAlignment="1">
      <alignment horizont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181" fontId="7" fillId="0"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Fill="1" applyBorder="1" applyAlignment="1" applyProtection="1">
      <alignment horizontal="center" vertical="center" wrapText="1"/>
    </xf>
    <xf numFmtId="0" fontId="6" fillId="0" borderId="1" xfId="0" applyFont="1" applyFill="1" applyBorder="1" applyAlignment="1">
      <alignment horizontal="center" vertical="center"/>
    </xf>
    <xf numFmtId="0" fontId="6" fillId="0" borderId="0" xfId="0" applyFont="1" applyFill="1" applyBorder="1" applyAlignment="1">
      <alignment horizontal="center" vertical="center"/>
    </xf>
    <xf numFmtId="0" fontId="7" fillId="3" borderId="1" xfId="0" applyFont="1" applyFill="1" applyBorder="1" applyAlignment="1">
      <alignment horizontal="center" vertical="center" wrapText="1"/>
    </xf>
    <xf numFmtId="181" fontId="7" fillId="2" borderId="1" xfId="0" applyNumberFormat="1" applyFont="1" applyFill="1" applyBorder="1" applyAlignment="1">
      <alignment horizontal="center" vertical="center" wrapText="1"/>
    </xf>
    <xf numFmtId="181" fontId="6" fillId="2" borderId="1" xfId="0" applyNumberFormat="1" applyFont="1" applyFill="1" applyBorder="1" applyAlignment="1">
      <alignment horizontal="center" vertical="center"/>
    </xf>
    <xf numFmtId="181" fontId="6" fillId="0" borderId="1" xfId="0" applyNumberFormat="1" applyFont="1" applyFill="1" applyBorder="1" applyAlignment="1">
      <alignment horizontal="center" vertical="center"/>
    </xf>
    <xf numFmtId="181" fontId="6" fillId="0" borderId="1" xfId="0" applyNumberFormat="1" applyFont="1" applyFill="1" applyBorder="1" applyAlignment="1">
      <alignment horizontal="center" vertical="center" wrapText="1"/>
    </xf>
    <xf numFmtId="181" fontId="4" fillId="0" borderId="1" xfId="0" applyNumberFormat="1" applyFont="1" applyFill="1" applyBorder="1" applyAlignment="1">
      <alignment horizontal="center" vertical="center"/>
    </xf>
    <xf numFmtId="181" fontId="4" fillId="0" borderId="1" xfId="0" applyNumberFormat="1" applyFont="1" applyFill="1" applyBorder="1" applyAlignment="1">
      <alignment horizontal="center" vertical="center" wrapText="1"/>
    </xf>
    <xf numFmtId="181" fontId="7" fillId="3" borderId="1" xfId="0" applyNumberFormat="1" applyFont="1" applyFill="1" applyBorder="1" applyAlignment="1">
      <alignment horizontal="center" vertical="center" wrapText="1"/>
    </xf>
    <xf numFmtId="181" fontId="7" fillId="0" borderId="1" xfId="0" applyNumberFormat="1" applyFont="1" applyFill="1" applyBorder="1" applyAlignment="1">
      <alignment horizontal="center" vertical="center"/>
    </xf>
    <xf numFmtId="0" fontId="4" fillId="2"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4" borderId="1" xfId="0" applyFont="1" applyFill="1" applyBorder="1" applyAlignment="1">
      <alignment horizontal="center" vertical="center"/>
    </xf>
    <xf numFmtId="180" fontId="4" fillId="9" borderId="1" xfId="0" applyNumberFormat="1" applyFont="1" applyFill="1" applyBorder="1" applyAlignment="1">
      <alignment horizontal="center" vertical="center" wrapText="1"/>
    </xf>
    <xf numFmtId="181" fontId="14" fillId="0" borderId="1" xfId="0" applyNumberFormat="1" applyFont="1" applyFill="1" applyBorder="1" applyAlignment="1">
      <alignment horizontal="center" vertical="center"/>
    </xf>
    <xf numFmtId="0" fontId="7" fillId="0" borderId="1" xfId="0" applyNumberFormat="1" applyFont="1" applyFill="1" applyBorder="1" applyAlignment="1">
      <alignment horizontal="center" vertical="center"/>
    </xf>
    <xf numFmtId="181" fontId="14" fillId="0" borderId="1" xfId="0" applyNumberFormat="1" applyFont="1" applyFill="1" applyBorder="1" applyAlignment="1">
      <alignment horizontal="center" vertical="center" wrapText="1"/>
    </xf>
    <xf numFmtId="184" fontId="7" fillId="0" borderId="1" xfId="0" applyNumberFormat="1" applyFont="1" applyFill="1" applyBorder="1" applyAlignment="1">
      <alignment horizontal="center" vertical="center"/>
    </xf>
    <xf numFmtId="181" fontId="16" fillId="0" borderId="1" xfId="0" applyNumberFormat="1" applyFont="1" applyFill="1" applyBorder="1" applyAlignment="1">
      <alignment horizontal="center" vertical="center"/>
    </xf>
    <xf numFmtId="177" fontId="7" fillId="0" borderId="1" xfId="0" applyNumberFormat="1" applyFont="1" applyFill="1" applyBorder="1" applyAlignment="1">
      <alignment horizontal="center" vertical="center"/>
    </xf>
    <xf numFmtId="177" fontId="4" fillId="0" borderId="1" xfId="0" applyNumberFormat="1" applyFont="1" applyFill="1" applyBorder="1" applyAlignment="1">
      <alignment horizontal="center" vertical="center"/>
    </xf>
    <xf numFmtId="184" fontId="4" fillId="0" borderId="1" xfId="0" applyNumberFormat="1" applyFont="1" applyFill="1" applyBorder="1" applyAlignment="1">
      <alignment horizontal="center" vertical="center"/>
    </xf>
    <xf numFmtId="184" fontId="7"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184" fontId="14" fillId="0" borderId="1" xfId="0" applyNumberFormat="1" applyFont="1" applyFill="1" applyBorder="1" applyAlignment="1">
      <alignment horizontal="center" vertical="center" wrapText="1"/>
    </xf>
    <xf numFmtId="0" fontId="0" fillId="0" borderId="0" xfId="0" applyFill="1" applyAlignment="1">
      <alignment horizontal="center" vertical="center"/>
    </xf>
    <xf numFmtId="184" fontId="6" fillId="0" borderId="1" xfId="0" applyNumberFormat="1" applyFont="1" applyFill="1" applyBorder="1" applyAlignment="1">
      <alignment horizontal="center" vertical="center" wrapText="1"/>
    </xf>
    <xf numFmtId="0" fontId="4" fillId="10"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Fill="1" applyBorder="1" applyAlignment="1">
      <alignment horizontal="center" vertical="center" wrapText="1"/>
    </xf>
    <xf numFmtId="181" fontId="17" fillId="0" borderId="1" xfId="0" applyNumberFormat="1" applyFont="1" applyBorder="1" applyAlignment="1">
      <alignment horizontal="center" vertical="center" wrapText="1"/>
    </xf>
    <xf numFmtId="181" fontId="14" fillId="0" borderId="1" xfId="0" applyNumberFormat="1" applyFont="1" applyBorder="1" applyAlignment="1">
      <alignment horizontal="center" vertical="center" wrapText="1"/>
    </xf>
    <xf numFmtId="0" fontId="14" fillId="4" borderId="1" xfId="0" applyFont="1" applyFill="1" applyBorder="1" applyAlignment="1">
      <alignment horizontal="center" vertical="center" wrapText="1"/>
    </xf>
    <xf numFmtId="0" fontId="14" fillId="0" borderId="1" xfId="0" applyFont="1" applyBorder="1" applyAlignment="1">
      <alignment horizontal="center" vertical="center"/>
    </xf>
    <xf numFmtId="181" fontId="14" fillId="0" borderId="1" xfId="0" applyNumberFormat="1" applyFont="1" applyBorder="1" applyAlignment="1">
      <alignment horizontal="center" vertical="center"/>
    </xf>
    <xf numFmtId="0" fontId="6" fillId="0" borderId="0" xfId="0" applyFont="1" applyAlignment="1">
      <alignment horizontal="center" vertical="center"/>
    </xf>
    <xf numFmtId="0" fontId="14" fillId="0" borderId="1" xfId="0" applyFont="1" applyFill="1" applyBorder="1" applyAlignment="1">
      <alignment horizontal="center" vertical="center"/>
    </xf>
    <xf numFmtId="0" fontId="14" fillId="4" borderId="1" xfId="0" applyFont="1" applyFill="1" applyBorder="1" applyAlignment="1">
      <alignment horizontal="center" vertical="center"/>
    </xf>
    <xf numFmtId="181" fontId="4" fillId="0" borderId="1" xfId="0" applyNumberFormat="1" applyFont="1" applyFill="1" applyBorder="1" applyAlignment="1">
      <alignment horizontal="center"/>
    </xf>
    <xf numFmtId="0" fontId="4" fillId="9" borderId="1" xfId="0" applyFont="1" applyFill="1" applyBorder="1" applyAlignment="1">
      <alignment horizontal="center"/>
    </xf>
    <xf numFmtId="0" fontId="7" fillId="0" borderId="0" xfId="0" applyFont="1" applyFill="1" applyAlignment="1">
      <alignment horizontal="center" vertical="center" wrapText="1"/>
    </xf>
    <xf numFmtId="0" fontId="0" fillId="0" borderId="0" xfId="0" applyFill="1"/>
    <xf numFmtId="0" fontId="1" fillId="0" borderId="0" xfId="0" applyFont="1" applyFill="1" applyAlignment="1">
      <alignment wrapText="1"/>
    </xf>
    <xf numFmtId="0" fontId="18" fillId="0" borderId="0" xfId="0" applyFont="1" applyFill="1" applyAlignment="1">
      <alignment horizontal="center" vertical="center" wrapText="1"/>
    </xf>
    <xf numFmtId="0" fontId="4" fillId="0" borderId="0" xfId="0" applyFont="1" applyFill="1" applyAlignment="1">
      <alignment horizontal="center" vertical="center" wrapText="1"/>
    </xf>
    <xf numFmtId="0" fontId="7" fillId="0" borderId="12" xfId="0" applyFont="1" applyFill="1" applyBorder="1" applyAlignment="1">
      <alignment horizontal="center" vertical="center" wrapText="1"/>
    </xf>
    <xf numFmtId="180" fontId="7" fillId="0" borderId="0" xfId="0" applyNumberFormat="1" applyFont="1" applyAlignment="1">
      <alignment horizontal="center" vertical="center" wrapText="1"/>
    </xf>
    <xf numFmtId="177" fontId="7" fillId="0" borderId="0" xfId="0" applyNumberFormat="1" applyFont="1" applyFill="1" applyAlignment="1">
      <alignment horizontal="center" vertical="center" wrapText="1"/>
    </xf>
    <xf numFmtId="184" fontId="7" fillId="0" borderId="0" xfId="0" applyNumberFormat="1" applyFont="1" applyFill="1" applyAlignment="1">
      <alignment horizontal="center" vertical="center" wrapText="1"/>
    </xf>
    <xf numFmtId="180" fontId="4" fillId="0" borderId="1" xfId="0" applyNumberFormat="1" applyFont="1" applyBorder="1" applyAlignment="1">
      <alignment horizontal="center" vertical="center" wrapText="1"/>
    </xf>
    <xf numFmtId="0" fontId="4" fillId="0" borderId="1" xfId="6" applyFont="1" applyFill="1" applyBorder="1" applyAlignment="1" applyProtection="1">
      <alignment horizontal="center" vertical="center" wrapText="1"/>
    </xf>
    <xf numFmtId="0" fontId="19" fillId="0" borderId="1" xfId="6" applyNumberFormat="1" applyFont="1" applyFill="1" applyBorder="1" applyAlignment="1" applyProtection="1">
      <alignment horizontal="center" vertical="center" wrapText="1"/>
    </xf>
    <xf numFmtId="0" fontId="19" fillId="0" borderId="1" xfId="6" applyFont="1" applyFill="1" applyBorder="1" applyAlignment="1" applyProtection="1">
      <alignment horizontal="center" vertical="center" wrapText="1" shrinkToFit="1"/>
    </xf>
    <xf numFmtId="0" fontId="4" fillId="0" borderId="1" xfId="0" applyFont="1" applyFill="1" applyBorder="1" applyAlignment="1">
      <alignment horizontal="left" vertical="top" wrapText="1"/>
    </xf>
    <xf numFmtId="0" fontId="4" fillId="0" borderId="1" xfId="0" applyFont="1" applyFill="1" applyBorder="1" applyAlignment="1">
      <alignment vertical="center" wrapText="1"/>
    </xf>
    <xf numFmtId="0" fontId="2"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4" fillId="0" borderId="1" xfId="6" applyNumberFormat="1" applyFont="1" applyFill="1" applyBorder="1" applyAlignment="1" applyProtection="1">
      <alignment horizontal="center" vertical="center" wrapText="1"/>
    </xf>
    <xf numFmtId="180" fontId="4" fillId="10" borderId="1" xfId="0" applyNumberFormat="1" applyFont="1" applyFill="1" applyBorder="1" applyAlignment="1">
      <alignment horizontal="center" vertical="center" wrapText="1"/>
    </xf>
    <xf numFmtId="0" fontId="1" fillId="0" borderId="1" xfId="0" applyFont="1" applyFill="1" applyBorder="1" applyAlignment="1">
      <alignment wrapText="1"/>
    </xf>
    <xf numFmtId="0" fontId="7" fillId="0" borderId="1" xfId="0" applyFont="1" applyFill="1" applyBorder="1" applyAlignment="1">
      <alignment vertical="center" wrapText="1"/>
    </xf>
    <xf numFmtId="0" fontId="4" fillId="0" borderId="1" xfId="6" applyFont="1" applyFill="1" applyBorder="1" applyAlignment="1" applyProtection="1">
      <alignment horizontal="center" vertical="center"/>
    </xf>
    <xf numFmtId="177" fontId="7" fillId="0" borderId="1" xfId="0" applyNumberFormat="1" applyFont="1" applyFill="1" applyBorder="1" applyAlignment="1">
      <alignment horizontal="center" vertical="center" wrapText="1"/>
    </xf>
    <xf numFmtId="0" fontId="19" fillId="0" borderId="1" xfId="6" applyFont="1" applyFill="1" applyBorder="1" applyAlignment="1" applyProtection="1">
      <alignment horizontal="center" vertical="center" wrapText="1"/>
    </xf>
    <xf numFmtId="180" fontId="7" fillId="5" borderId="1" xfId="0" applyNumberFormat="1" applyFont="1" applyFill="1" applyBorder="1" applyAlignment="1">
      <alignment horizontal="center" vertical="center" wrapText="1"/>
    </xf>
    <xf numFmtId="184" fontId="8" fillId="0" borderId="1" xfId="0" applyNumberFormat="1" applyFont="1" applyFill="1" applyBorder="1" applyAlignment="1">
      <alignment horizontal="center" vertical="center" wrapText="1"/>
    </xf>
    <xf numFmtId="181" fontId="8" fillId="0" borderId="1" xfId="0" applyNumberFormat="1" applyFont="1" applyFill="1" applyBorder="1" applyAlignment="1">
      <alignment horizontal="center" vertical="center" wrapText="1"/>
    </xf>
    <xf numFmtId="0" fontId="8" fillId="0" borderId="4" xfId="0" applyFont="1" applyFill="1" applyBorder="1" applyAlignment="1">
      <alignment horizontal="center" vertical="center" wrapText="1"/>
    </xf>
    <xf numFmtId="184" fontId="4" fillId="0" borderId="0" xfId="0" applyNumberFormat="1" applyFont="1" applyFill="1" applyAlignment="1">
      <alignment horizontal="center" vertical="center" wrapText="1"/>
    </xf>
    <xf numFmtId="0" fontId="20" fillId="0" borderId="1" xfId="0" applyFont="1" applyFill="1" applyBorder="1" applyAlignment="1">
      <alignment horizontal="center" vertical="center"/>
    </xf>
    <xf numFmtId="0" fontId="21" fillId="0" borderId="1" xfId="0" applyFont="1" applyFill="1" applyBorder="1" applyAlignment="1">
      <alignment horizontal="center" vertical="center"/>
    </xf>
    <xf numFmtId="0" fontId="7" fillId="0" borderId="4" xfId="0" applyFont="1" applyFill="1" applyBorder="1" applyAlignment="1">
      <alignment horizontal="center" vertical="center" wrapText="1"/>
    </xf>
    <xf numFmtId="0" fontId="6" fillId="0" borderId="1" xfId="0" applyFont="1" applyFill="1" applyBorder="1" applyAlignment="1">
      <alignment horizontal="center" wrapText="1"/>
    </xf>
    <xf numFmtId="0" fontId="8" fillId="0" borderId="1" xfId="0" applyFont="1" applyFill="1" applyBorder="1" applyAlignment="1">
      <alignment vertical="center" wrapText="1"/>
    </xf>
    <xf numFmtId="0" fontId="14" fillId="0" borderId="1" xfId="0" applyFont="1" applyFill="1" applyBorder="1" applyAlignment="1">
      <alignment horizontal="center"/>
    </xf>
    <xf numFmtId="49" fontId="21" fillId="0" borderId="1" xfId="0" applyNumberFormat="1" applyFont="1" applyFill="1" applyBorder="1" applyAlignment="1">
      <alignment horizontal="center" vertical="center"/>
    </xf>
    <xf numFmtId="0" fontId="0" fillId="0" borderId="0" xfId="0" applyFill="1" applyAlignment="1">
      <alignment horizontal="center"/>
    </xf>
    <xf numFmtId="0" fontId="0" fillId="0" borderId="0" xfId="0" applyAlignment="1">
      <alignment horizontal="center"/>
    </xf>
    <xf numFmtId="181" fontId="0" fillId="0" borderId="0" xfId="0" applyNumberFormat="1" applyAlignment="1">
      <alignment horizontal="center"/>
    </xf>
    <xf numFmtId="0" fontId="0" fillId="0" borderId="1" xfId="0" applyBorder="1" applyAlignment="1">
      <alignment horizontal="center" vertical="center"/>
    </xf>
    <xf numFmtId="181" fontId="0" fillId="0" borderId="1" xfId="0" applyNumberFormat="1" applyBorder="1" applyAlignment="1">
      <alignment horizontal="center" vertical="center"/>
    </xf>
    <xf numFmtId="0" fontId="7" fillId="0" borderId="1" xfId="0" applyFont="1" applyBorder="1" applyAlignment="1">
      <alignment horizontal="center" vertical="center"/>
    </xf>
    <xf numFmtId="0" fontId="0" fillId="0" borderId="1" xfId="0" applyBorder="1" applyAlignment="1">
      <alignment horizontal="center"/>
    </xf>
    <xf numFmtId="181" fontId="0" fillId="0" borderId="1" xfId="0" applyNumberFormat="1" applyBorder="1" applyAlignment="1">
      <alignment horizontal="center"/>
    </xf>
    <xf numFmtId="49" fontId="4" fillId="0" borderId="1" xfId="6" applyNumberFormat="1" applyFont="1" applyFill="1" applyBorder="1" applyAlignment="1" applyProtection="1">
      <alignment horizontal="center" vertical="center" wrapText="1"/>
    </xf>
    <xf numFmtId="0" fontId="4" fillId="0" borderId="1" xfId="6" applyFont="1" applyFill="1" applyBorder="1" applyAlignment="1" applyProtection="1">
      <alignment horizontal="center" vertical="center" wrapText="1" shrinkToFit="1"/>
    </xf>
    <xf numFmtId="0" fontId="10" fillId="0" borderId="1" xfId="0" applyFont="1" applyBorder="1" applyAlignment="1">
      <alignment horizontal="center"/>
    </xf>
    <xf numFmtId="181" fontId="10" fillId="0" borderId="1" xfId="0" applyNumberFormat="1" applyFont="1" applyBorder="1" applyAlignment="1">
      <alignment horizontal="center"/>
    </xf>
    <xf numFmtId="0" fontId="0" fillId="0" borderId="1" xfId="0" applyFill="1" applyBorder="1" applyAlignment="1">
      <alignment horizontal="center"/>
    </xf>
    <xf numFmtId="181" fontId="0" fillId="0" borderId="1" xfId="0" applyNumberFormat="1" applyFill="1" applyBorder="1" applyAlignment="1">
      <alignment horizontal="center"/>
    </xf>
    <xf numFmtId="0" fontId="6" fillId="0" borderId="1" xfId="0" applyFont="1" applyFill="1" applyBorder="1" applyAlignment="1">
      <alignment horizontal="center"/>
    </xf>
    <xf numFmtId="187" fontId="0" fillId="0" borderId="0" xfId="0" applyNumberFormat="1" applyAlignment="1">
      <alignment horizontal="center"/>
    </xf>
    <xf numFmtId="0" fontId="0" fillId="0" borderId="0" xfId="0" applyAlignment="1">
      <alignment horizontal="left" wrapText="1"/>
    </xf>
    <xf numFmtId="0" fontId="7" fillId="6" borderId="1" xfId="0" applyFont="1" applyFill="1" applyBorder="1" applyAlignment="1">
      <alignment horizontal="center" vertical="center"/>
    </xf>
    <xf numFmtId="0" fontId="6" fillId="7" borderId="1" xfId="0" applyFont="1" applyFill="1" applyBorder="1" applyAlignment="1">
      <alignment horizontal="center" vertical="center"/>
    </xf>
    <xf numFmtId="181" fontId="6" fillId="0" borderId="1" xfId="0" applyNumberFormat="1" applyFont="1" applyBorder="1" applyAlignment="1">
      <alignment horizontal="center" vertical="center"/>
    </xf>
    <xf numFmtId="0" fontId="6" fillId="0" borderId="6" xfId="0" applyFont="1" applyBorder="1" applyAlignment="1">
      <alignment horizontal="center" vertical="center"/>
    </xf>
    <xf numFmtId="0" fontId="6" fillId="0" borderId="0" xfId="0" applyFont="1" applyAlignment="1">
      <alignment vertical="center"/>
    </xf>
    <xf numFmtId="0" fontId="6" fillId="0" borderId="0" xfId="0" applyFont="1" applyAlignment="1">
      <alignment vertical="center" wrapText="1"/>
    </xf>
    <xf numFmtId="181" fontId="6" fillId="0" borderId="0" xfId="0" applyNumberFormat="1" applyFont="1" applyAlignment="1">
      <alignment horizontal="center" vertical="center"/>
    </xf>
    <xf numFmtId="180" fontId="6" fillId="0" borderId="0" xfId="0" applyNumberFormat="1" applyFont="1" applyAlignment="1">
      <alignment vertical="center"/>
    </xf>
  </cellXfs>
  <cellStyles count="23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3_天然气管道信息总表20160701-2003版" xfId="49"/>
    <cellStyle name="常规 2 2 4" xfId="50"/>
    <cellStyle name="常规 2 5 2 4 3" xfId="51"/>
    <cellStyle name="20% - 强调文字颜色 1 2" xfId="52"/>
    <cellStyle name="千位分隔 2 6" xfId="53"/>
    <cellStyle name="20% - 强调文字颜色 3 2_天然气管道信息总表20160701-2003版" xfId="54"/>
    <cellStyle name="计算 2" xfId="55"/>
    <cellStyle name="常规_天然气压缩机运行控制参数表20091106（陕京）" xfId="56"/>
    <cellStyle name="20% - 强调文字颜色 5 2_天然气管道信息总表20160701-2003版" xfId="57"/>
    <cellStyle name="20% - 强调文字颜色 3 2 2" xfId="58"/>
    <cellStyle name="20% - 强调文字颜色 2 2 2" xfId="59"/>
    <cellStyle name="常规 6" xfId="60"/>
    <cellStyle name="常规 8 3_天然气管道信息总表20160701-2003版" xfId="61"/>
    <cellStyle name="常规 5 2" xfId="62"/>
    <cellStyle name="_ET_STYLE_NoName_00_" xfId="63"/>
    <cellStyle name="常规 26" xfId="64"/>
    <cellStyle name="40% - 强调文字颜色 4 2" xfId="65"/>
    <cellStyle name="常规 8 3" xfId="66"/>
    <cellStyle name="常规 2 2 2 5" xfId="67"/>
    <cellStyle name="常规 8 2" xfId="68"/>
    <cellStyle name="常规 2 2 2 4" xfId="69"/>
    <cellStyle name="输出 2" xfId="70"/>
    <cellStyle name="常规 2 2 2 6" xfId="71"/>
    <cellStyle name="千位分隔 2 6 2" xfId="72"/>
    <cellStyle name="适中 2" xfId="73"/>
    <cellStyle name="20% - 强调文字颜色 2 2_天然气管道信息总表20160701-2003版" xfId="74"/>
    <cellStyle name="20% - 强调文字颜色 4 2 2" xfId="75"/>
    <cellStyle name="20% - 强调文字颜色 3 2" xfId="76"/>
    <cellStyle name="20% - 强调文字颜色 1 2 2" xfId="77"/>
    <cellStyle name="20% - 强调文字颜色 1 2_天然气管道信息总表20160701-2003版" xfId="78"/>
    <cellStyle name="常规 11 2" xfId="79"/>
    <cellStyle name="20% - 强调文字颜色 2 2" xfId="80"/>
    <cellStyle name="20% - 强调文字颜色 4 2" xfId="81"/>
    <cellStyle name="常规 3" xfId="82"/>
    <cellStyle name="20% - 强调文字颜色 4 2_天然气管道信息总表20160701-2003版" xfId="83"/>
    <cellStyle name="20% - 强调文字颜色 5 2" xfId="84"/>
    <cellStyle name="常规 8 2 2" xfId="85"/>
    <cellStyle name="千位分隔 2 8" xfId="86"/>
    <cellStyle name="20% - 强调文字颜色 5 2 2" xfId="87"/>
    <cellStyle name="千位分隔 2 8 2" xfId="88"/>
    <cellStyle name="20% - 强调文字颜色 6 2" xfId="89"/>
    <cellStyle name="常规 8 3 2" xfId="90"/>
    <cellStyle name="20% - 强调文字颜色 6 2 2" xfId="91"/>
    <cellStyle name="20% - 强调文字颜色 6 2_天然气管道信息总表20160701-2003版" xfId="92"/>
    <cellStyle name="40% - 强调文字颜色 1 2" xfId="93"/>
    <cellStyle name="40% - 强调文字颜色 1 2 2" xfId="94"/>
    <cellStyle name="40% - 强调文字颜色 1 2_天然气管道信息总表20160701-2003版" xfId="95"/>
    <cellStyle name="40% - 强调文字颜色 2 2" xfId="96"/>
    <cellStyle name="40% - 强调文字颜色 2 2 2" xfId="97"/>
    <cellStyle name="40% - 强调文字颜色 2 2_天然气管道信息总表20160701-2003版" xfId="98"/>
    <cellStyle name="40% - 强调文字颜色 3 2" xfId="99"/>
    <cellStyle name="40% - 强调文字颜色 3 2 2" xfId="100"/>
    <cellStyle name="常规 11_天然气管道信息总表20160701-2003版" xfId="101"/>
    <cellStyle name="40% - 强调文字颜色 3 2_天然气管道信息总表20160701-2003版" xfId="102"/>
    <cellStyle name="40% - 强调文字颜色 4 2 2" xfId="103"/>
    <cellStyle name="检查单元格 2" xfId="104"/>
    <cellStyle name="40% - 强调文字颜色 4 2_天然气管道信息总表20160701-2003版" xfId="105"/>
    <cellStyle name="40% - 强调文字颜色 5 2" xfId="106"/>
    <cellStyle name="40% - 强调文字颜色 5 2 2" xfId="107"/>
    <cellStyle name="40% - 强调文字颜色 5 2_天然气管道信息总表20160701-2003版" xfId="108"/>
    <cellStyle name="40% - 强调文字颜色 6 2" xfId="109"/>
    <cellStyle name="40% - 强调文字颜色 6 2 2" xfId="110"/>
    <cellStyle name="40% - 强调文字颜色 6 2_天然气管道信息总表20160701-2003版" xfId="111"/>
    <cellStyle name="60% - 强调文字颜色 1 2" xfId="112"/>
    <cellStyle name="60% - 强调文字颜色 2 2" xfId="113"/>
    <cellStyle name="常规 5" xfId="114"/>
    <cellStyle name="60% - 强调文字颜色 3 2" xfId="115"/>
    <cellStyle name="60% - 强调文字颜色 4 2" xfId="116"/>
    <cellStyle name="60% - 强调文字颜色 5 2" xfId="117"/>
    <cellStyle name="60% - 强调文字颜色 6 2" xfId="118"/>
    <cellStyle name="Normal" xfId="119"/>
    <cellStyle name="千位分隔 2 5" xfId="120"/>
    <cellStyle name="差 2" xfId="121"/>
    <cellStyle name="差_sst501" xfId="122"/>
    <cellStyle name="差_北京油气调控中心调度生产运行日报20120109" xfId="123"/>
    <cellStyle name="差_天然气管道信息总表20160701-2003版" xfId="124"/>
    <cellStyle name="常规 10" xfId="125"/>
    <cellStyle name="常规 10 2" xfId="126"/>
    <cellStyle name="常规 10_天然气管道信息总表20160701-2003版" xfId="127"/>
    <cellStyle name="常规 11" xfId="128"/>
    <cellStyle name="常规 12" xfId="129"/>
    <cellStyle name="常规 12 2" xfId="130"/>
    <cellStyle name="好_天然气管道信息总表20160701-2003版" xfId="131"/>
    <cellStyle name="常规 12_天然气管道信息总表20160701-2003版" xfId="132"/>
    <cellStyle name="常规 13" xfId="133"/>
    <cellStyle name="常规 13 2" xfId="134"/>
    <cellStyle name="常规 13 3" xfId="135"/>
    <cellStyle name="常规 13 6" xfId="136"/>
    <cellStyle name="常规 14" xfId="137"/>
    <cellStyle name="常规 15" xfId="138"/>
    <cellStyle name="常规 20" xfId="139"/>
    <cellStyle name="常规 16" xfId="140"/>
    <cellStyle name="常规 21" xfId="141"/>
    <cellStyle name="常规 17" xfId="142"/>
    <cellStyle name="常规 22" xfId="143"/>
    <cellStyle name="常规 18" xfId="144"/>
    <cellStyle name="常规 23" xfId="145"/>
    <cellStyle name="常规 19" xfId="146"/>
    <cellStyle name="常规 24" xfId="147"/>
    <cellStyle name="常规 2" xfId="148"/>
    <cellStyle name="常规 2 10" xfId="149"/>
    <cellStyle name="常规 2 11" xfId="150"/>
    <cellStyle name="常规 2 2" xfId="151"/>
    <cellStyle name="常规 2 2 2" xfId="152"/>
    <cellStyle name="常规 37" xfId="153"/>
    <cellStyle name="常规 2 2 2 2" xfId="154"/>
    <cellStyle name="常规 37 2" xfId="155"/>
    <cellStyle name="常规 2 2 2 3" xfId="156"/>
    <cellStyle name="常规 2 2 2 3 2" xfId="157"/>
    <cellStyle name="常规 2 2 2 4 2" xfId="158"/>
    <cellStyle name="强调文字颜色 1 2" xfId="159"/>
    <cellStyle name="常规 2 2 3" xfId="160"/>
    <cellStyle name="常规 2 2 4 2" xfId="161"/>
    <cellStyle name="常规 2 2 5" xfId="162"/>
    <cellStyle name="常规 2 2 6" xfId="163"/>
    <cellStyle name="常规 2 2 6 2" xfId="164"/>
    <cellStyle name="常规 2 2 7" xfId="165"/>
    <cellStyle name="常规 2 2 8" xfId="166"/>
    <cellStyle name="常规 2 3" xfId="167"/>
    <cellStyle name="常规 2 4" xfId="168"/>
    <cellStyle name="常规 2 5" xfId="169"/>
    <cellStyle name="强调文字颜色 4 2" xfId="170"/>
    <cellStyle name="常规 2 5 2" xfId="171"/>
    <cellStyle name="常规 2 5 2 2" xfId="172"/>
    <cellStyle name="常规 2 5 2 4" xfId="173"/>
    <cellStyle name="常规 2 5 2 5" xfId="174"/>
    <cellStyle name="常规 2 6" xfId="175"/>
    <cellStyle name="常规 2 6 2" xfId="176"/>
    <cellStyle name="常规 2 7" xfId="177"/>
    <cellStyle name="常规 2 7 2" xfId="178"/>
    <cellStyle name="常规 2 8" xfId="179"/>
    <cellStyle name="输入 2" xfId="180"/>
    <cellStyle name="常规 2 8 2" xfId="181"/>
    <cellStyle name="常规 2 9" xfId="182"/>
    <cellStyle name="常规 25" xfId="183"/>
    <cellStyle name="常规 27" xfId="184"/>
    <cellStyle name="常规 28" xfId="185"/>
    <cellStyle name="常规 29" xfId="186"/>
    <cellStyle name="常规 3 10" xfId="187"/>
    <cellStyle name="常规 6 6" xfId="188"/>
    <cellStyle name="常规 4" xfId="189"/>
    <cellStyle name="常规 4 2" xfId="190"/>
    <cellStyle name="常规 4 2 2" xfId="191"/>
    <cellStyle name="常规 4 2 2 2" xfId="192"/>
    <cellStyle name="常规 4 2 2_天然气管道信息总表20160701-2003版" xfId="193"/>
    <cellStyle name="好_sst501" xfId="194"/>
    <cellStyle name="常规 4 2 3" xfId="195"/>
    <cellStyle name="强调文字颜色 6 2" xfId="196"/>
    <cellStyle name="常规 4 2_天然气管道信息总表20160701-2003版" xfId="197"/>
    <cellStyle name="常规 4 3" xfId="198"/>
    <cellStyle name="常规 4_天然气管道信息总表20160701-2003版" xfId="199"/>
    <cellStyle name="常规 5 6" xfId="200"/>
    <cellStyle name="常规 5_天然气管道信息总表20160701-2003版" xfId="201"/>
    <cellStyle name="常规 6 2" xfId="202"/>
    <cellStyle name="注释 2" xfId="203"/>
    <cellStyle name="常规 6_天然气管道信息总表20160701-2003版" xfId="204"/>
    <cellStyle name="常规 7" xfId="205"/>
    <cellStyle name="常规 7 2" xfId="206"/>
    <cellStyle name="常规 7_天然气管道信息总表20160701-2003版" xfId="207"/>
    <cellStyle name="常规 8" xfId="208"/>
    <cellStyle name="常规 8 2_天然气管道信息总表20160701-2003版" xfId="209"/>
    <cellStyle name="常规 8 4" xfId="210"/>
    <cellStyle name="常规 8 4 2" xfId="211"/>
    <cellStyle name="常规 8 4_天然气管道信息总表20160701-2003版" xfId="212"/>
    <cellStyle name="常规 8 5" xfId="213"/>
    <cellStyle name="常规 8_天然气管道信息总表20160701-2003版" xfId="214"/>
    <cellStyle name="常规 9" xfId="215"/>
    <cellStyle name="好 2" xfId="216"/>
    <cellStyle name="好_北京油气调控中心调度生产运行日报20120109" xfId="217"/>
    <cellStyle name="好_北京油气调控中心生产运行日指定及完成表(一)20100702" xfId="218"/>
    <cellStyle name="好_北京油气调控中心生产运行日指定及完成表(一)2010-7-25" xfId="219"/>
    <cellStyle name="千位分隔 2" xfId="220"/>
    <cellStyle name="千位分隔 2 10" xfId="221"/>
    <cellStyle name="千位分隔 2 2" xfId="222"/>
    <cellStyle name="千位分隔 2 3" xfId="223"/>
    <cellStyle name="千位分隔 2 4" xfId="224"/>
    <cellStyle name="千位分隔 2 5 2" xfId="225"/>
    <cellStyle name="千位分隔 2 7" xfId="226"/>
    <cellStyle name="千位分隔 2 7 2" xfId="227"/>
    <cellStyle name="千位分隔 2 9" xfId="228"/>
    <cellStyle name="强调文字颜色 2 2" xfId="229"/>
    <cellStyle name="强调文字颜色 3 2" xfId="230"/>
    <cellStyle name="强调文字颜色 5 2" xfId="231"/>
    <cellStyle name="样式 1" xfId="232"/>
  </cellStyles>
  <dxfs count="2">
    <dxf>
      <font>
        <color rgb="FF9C0006"/>
      </font>
      <fill>
        <patternFill patternType="solid">
          <bgColor rgb="FFFFC7CE"/>
        </patternFill>
      </fill>
    </dxf>
    <dxf>
      <font>
        <b val="1"/>
        <i val="0"/>
        <strike val="0"/>
        <color theme="0"/>
      </font>
      <fill>
        <patternFill patternType="solid">
          <bgColor rgb="FFFF0000"/>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99CCFF"/>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lenovo\Desktop\&#22825;&#28982;&#27668;&#31649;&#36947;&#22522;&#30784;&#36164;&#26009;&#25042;&#20154;&#21253;20231231-2023&#24180;&#31532;&#22235;&#23395;&#24230;\&#25968;&#25454;&#24211;20231231%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数据统计"/>
      <sheetName val="干线管道"/>
      <sheetName val="支线管道"/>
      <sheetName val="站场阀室"/>
      <sheetName val="管道站场阀室关系"/>
      <sheetName val="分输口"/>
      <sheetName val="调度台"/>
      <sheetName val="地区公司"/>
      <sheetName val="压缩机"/>
      <sheetName val="储气库"/>
    </sheetNames>
    <sheetDataSet>
      <sheetData sheetId="0" refreshError="1"/>
      <sheetData sheetId="1" refreshError="1">
        <row r="1">
          <cell r="B1" t="str">
            <v>干线管道</v>
          </cell>
          <cell r="C1" t="str">
            <v>调控级别</v>
          </cell>
        </row>
        <row r="2">
          <cell r="B2" t="str">
            <v>西气东输一线</v>
          </cell>
          <cell r="C2" t="str">
            <v>一级</v>
          </cell>
        </row>
        <row r="3">
          <cell r="B3" t="str">
            <v>冀宁线</v>
          </cell>
          <cell r="C3" t="str">
            <v>一级</v>
          </cell>
        </row>
        <row r="4">
          <cell r="B4" t="str">
            <v>江苏LNG外输管道</v>
          </cell>
          <cell r="C4" t="str">
            <v>一级</v>
          </cell>
        </row>
        <row r="5">
          <cell r="B5" t="str">
            <v>淮武线</v>
          </cell>
          <cell r="C5" t="str">
            <v>一级</v>
          </cell>
        </row>
        <row r="6">
          <cell r="B6" t="str">
            <v>西气东输二线</v>
          </cell>
          <cell r="C6" t="str">
            <v>一级</v>
          </cell>
        </row>
        <row r="7">
          <cell r="B7" t="str">
            <v>轮吐支干线</v>
          </cell>
          <cell r="C7" t="str">
            <v>一级</v>
          </cell>
        </row>
        <row r="8">
          <cell r="B8" t="str">
            <v>中靖支干线</v>
          </cell>
          <cell r="C8" t="str">
            <v>一级</v>
          </cell>
        </row>
        <row r="9">
          <cell r="B9" t="str">
            <v>枣十支干线</v>
          </cell>
          <cell r="C9" t="str">
            <v>一级</v>
          </cell>
        </row>
        <row r="10">
          <cell r="B10" t="str">
            <v>樟湘支干线</v>
          </cell>
          <cell r="C10" t="str">
            <v>一级</v>
          </cell>
        </row>
        <row r="11">
          <cell r="B11" t="str">
            <v>上海支干线</v>
          </cell>
          <cell r="C11" t="str">
            <v>一级</v>
          </cell>
        </row>
        <row r="12">
          <cell r="B12" t="str">
            <v>平泰支干线</v>
          </cell>
          <cell r="C12" t="str">
            <v>一级</v>
          </cell>
        </row>
        <row r="13">
          <cell r="B13" t="str">
            <v>广南支干线</v>
          </cell>
          <cell r="C13" t="str">
            <v>一级</v>
          </cell>
        </row>
        <row r="14">
          <cell r="B14" t="str">
            <v>广深支干线</v>
          </cell>
          <cell r="C14" t="str">
            <v>一级</v>
          </cell>
        </row>
        <row r="15">
          <cell r="B15" t="str">
            <v>香港支线</v>
          </cell>
          <cell r="C15" t="str">
            <v>一级</v>
          </cell>
        </row>
        <row r="16">
          <cell r="B16" t="str">
            <v>西气东输三线</v>
          </cell>
          <cell r="C16" t="str">
            <v>一级</v>
          </cell>
        </row>
        <row r="17">
          <cell r="B17" t="str">
            <v>深圳LNG外输管道</v>
          </cell>
          <cell r="C17" t="str">
            <v>一级</v>
          </cell>
        </row>
        <row r="18">
          <cell r="B18" t="str">
            <v>陕京一线</v>
          </cell>
          <cell r="C18" t="str">
            <v>一级</v>
          </cell>
        </row>
        <row r="19">
          <cell r="B19" t="str">
            <v>陕京二线</v>
          </cell>
          <cell r="C19" t="str">
            <v>一级</v>
          </cell>
        </row>
        <row r="20">
          <cell r="B20" t="str">
            <v>陕京三线</v>
          </cell>
          <cell r="C20" t="str">
            <v>一级</v>
          </cell>
        </row>
        <row r="21">
          <cell r="B21" t="str">
            <v>陕京四线</v>
          </cell>
          <cell r="C21" t="str">
            <v>一级</v>
          </cell>
        </row>
        <row r="22">
          <cell r="B22" t="str">
            <v>永唐秦管道</v>
          </cell>
          <cell r="C22" t="str">
            <v>一级</v>
          </cell>
        </row>
        <row r="23">
          <cell r="B23" t="str">
            <v>唐山LNG外输管道</v>
          </cell>
          <cell r="C23" t="str">
            <v>一级</v>
          </cell>
        </row>
        <row r="24">
          <cell r="B24" t="str">
            <v>涩宁兰管道</v>
          </cell>
          <cell r="C24" t="str">
            <v>一级</v>
          </cell>
        </row>
        <row r="25">
          <cell r="B25" t="str">
            <v>涩宁兰复线</v>
          </cell>
          <cell r="C25" t="str">
            <v>一级</v>
          </cell>
        </row>
        <row r="26">
          <cell r="B26" t="str">
            <v>兰银线</v>
          </cell>
          <cell r="C26" t="str">
            <v>一级</v>
          </cell>
        </row>
        <row r="27">
          <cell r="B27" t="str">
            <v>长宁线</v>
          </cell>
          <cell r="C27" t="str">
            <v>一级</v>
          </cell>
        </row>
        <row r="28">
          <cell r="B28" t="str">
            <v>忠武线</v>
          </cell>
          <cell r="C28" t="str">
            <v>一级</v>
          </cell>
        </row>
        <row r="29">
          <cell r="B29" t="str">
            <v>秦沈线</v>
          </cell>
          <cell r="C29" t="str">
            <v>一级</v>
          </cell>
        </row>
        <row r="30">
          <cell r="B30" t="str">
            <v>大沈线</v>
          </cell>
          <cell r="C30" t="str">
            <v>一级</v>
          </cell>
        </row>
        <row r="31">
          <cell r="B31" t="str">
            <v>哈沈线</v>
          </cell>
          <cell r="C31" t="str">
            <v>一级</v>
          </cell>
        </row>
        <row r="32">
          <cell r="B32" t="str">
            <v>长长吉管道</v>
          </cell>
          <cell r="C32" t="str">
            <v>一级</v>
          </cell>
        </row>
        <row r="33">
          <cell r="B33" t="str">
            <v>中俄东线</v>
          </cell>
          <cell r="C33" t="str">
            <v>一级</v>
          </cell>
        </row>
        <row r="34">
          <cell r="B34" t="str">
            <v>泰青威管道</v>
          </cell>
          <cell r="C34" t="str">
            <v>一级</v>
          </cell>
        </row>
        <row r="35">
          <cell r="B35" t="str">
            <v>中贵线</v>
          </cell>
          <cell r="C35" t="str">
            <v>一级</v>
          </cell>
        </row>
        <row r="36">
          <cell r="B36" t="str">
            <v>中缅线（国内段）</v>
          </cell>
          <cell r="C36" t="str">
            <v>一级</v>
          </cell>
        </row>
        <row r="37">
          <cell r="B37" t="str">
            <v>青宁线</v>
          </cell>
          <cell r="C37" t="str">
            <v>一级</v>
          </cell>
        </row>
        <row r="38">
          <cell r="B38" t="str">
            <v>鄯乌线</v>
          </cell>
          <cell r="C38" t="str">
            <v>二级</v>
          </cell>
        </row>
        <row r="39">
          <cell r="B39" t="str">
            <v>川气东送管道</v>
          </cell>
          <cell r="C39" t="str">
            <v>一级</v>
          </cell>
        </row>
        <row r="40">
          <cell r="B40" t="str">
            <v>川东北-川西管道</v>
          </cell>
          <cell r="C40" t="str">
            <v>二级</v>
          </cell>
        </row>
        <row r="41">
          <cell r="B41" t="str">
            <v>榆济管道</v>
          </cell>
          <cell r="C41" t="str">
            <v>一级</v>
          </cell>
        </row>
        <row r="42">
          <cell r="B42" t="str">
            <v>安济线</v>
          </cell>
          <cell r="C42" t="str">
            <v>一级</v>
          </cell>
        </row>
        <row r="43">
          <cell r="B43" t="str">
            <v>鄂安沧管道</v>
          </cell>
          <cell r="C43" t="str">
            <v>一级</v>
          </cell>
        </row>
        <row r="44">
          <cell r="B44" t="str">
            <v>青岛LNG北干线</v>
          </cell>
          <cell r="C44" t="str">
            <v>一级</v>
          </cell>
        </row>
        <row r="45">
          <cell r="B45" t="str">
            <v>济青二线</v>
          </cell>
          <cell r="C45" t="str">
            <v>一级</v>
          </cell>
        </row>
        <row r="46">
          <cell r="B46" t="str">
            <v>重庆管道</v>
          </cell>
          <cell r="C46" t="str">
            <v>一级</v>
          </cell>
        </row>
        <row r="47">
          <cell r="B47" t="str">
            <v>中原管道</v>
          </cell>
          <cell r="C47" t="str">
            <v>一级</v>
          </cell>
        </row>
        <row r="48">
          <cell r="B48" t="str">
            <v>天津管道</v>
          </cell>
          <cell r="C48" t="str">
            <v>一级</v>
          </cell>
        </row>
        <row r="49">
          <cell r="B49" t="str">
            <v>广西管道</v>
          </cell>
          <cell r="C49" t="str">
            <v>一级</v>
          </cell>
        </row>
        <row r="50">
          <cell r="B50" t="str">
            <v>新气管道</v>
          </cell>
          <cell r="C50" t="str">
            <v>一级</v>
          </cell>
        </row>
        <row r="51">
          <cell r="B51" t="str">
            <v>海南管网</v>
          </cell>
          <cell r="C51" t="str">
            <v>二级</v>
          </cell>
        </row>
        <row r="52">
          <cell r="B52" t="str">
            <v>蒙西管道</v>
          </cell>
          <cell r="C52" t="str">
            <v>一级</v>
          </cell>
        </row>
        <row r="53">
          <cell r="B53" t="str">
            <v>粤东LNG外输管道</v>
          </cell>
          <cell r="C53" t="str">
            <v>二级</v>
          </cell>
        </row>
        <row r="54">
          <cell r="B54" t="str">
            <v>滨海LNG外输管道</v>
          </cell>
          <cell r="C54" t="str">
            <v>一级</v>
          </cell>
        </row>
        <row r="55">
          <cell r="B55" t="str">
            <v>海西管网</v>
          </cell>
          <cell r="C55" t="str">
            <v>一级</v>
          </cell>
        </row>
        <row r="56">
          <cell r="B56" t="str">
            <v>广东省管网</v>
          </cell>
          <cell r="C56" t="str">
            <v>二级</v>
          </cell>
        </row>
        <row r="57">
          <cell r="B57" t="str">
            <v>浙江省管网</v>
          </cell>
          <cell r="C57" t="str">
            <v>二级</v>
          </cell>
        </row>
        <row r="58">
          <cell r="B58" t="str">
            <v>沧淄线</v>
          </cell>
        </row>
        <row r="59">
          <cell r="B59" t="str">
            <v>湘娄邵管道</v>
          </cell>
        </row>
      </sheetData>
      <sheetData sheetId="2" refreshError="1"/>
      <sheetData sheetId="3" refreshError="1">
        <row r="1">
          <cell r="A1" t="str">
            <v>[原始]站场阀室</v>
          </cell>
          <cell r="B1" t="str">
            <v>[计算]调控级别</v>
          </cell>
          <cell r="C1" t="str">
            <v>[关联]干线管道</v>
          </cell>
          <cell r="D1" t="str">
            <v>[关联]支线管道</v>
          </cell>
        </row>
        <row r="2">
          <cell r="A2" t="str">
            <v>轮南压气站</v>
          </cell>
          <cell r="B2" t="str">
            <v>一级</v>
          </cell>
          <cell r="C2" t="str">
            <v>西气东输一线</v>
          </cell>
          <cell r="D2" t="str">
            <v>西一线干线新疆段</v>
          </cell>
        </row>
        <row r="3">
          <cell r="A3" t="str">
            <v>西一1#阀室</v>
          </cell>
          <cell r="B3" t="str">
            <v>一级</v>
          </cell>
          <cell r="C3" t="str">
            <v>西气东输一线</v>
          </cell>
          <cell r="D3" t="str">
            <v>西一线干线新疆段</v>
          </cell>
        </row>
        <row r="4">
          <cell r="A4" t="str">
            <v>西一2#阀室</v>
          </cell>
          <cell r="B4" t="str">
            <v>一级</v>
          </cell>
          <cell r="C4" t="str">
            <v>西气东输一线</v>
          </cell>
          <cell r="D4" t="str">
            <v>西一线干线新疆段</v>
          </cell>
        </row>
        <row r="5">
          <cell r="A5" t="str">
            <v>西一3#阀室</v>
          </cell>
          <cell r="B5" t="str">
            <v>一级</v>
          </cell>
          <cell r="C5" t="str">
            <v>西气东输一线</v>
          </cell>
          <cell r="D5" t="str">
            <v>西一线干线新疆段</v>
          </cell>
        </row>
        <row r="6">
          <cell r="A6" t="str">
            <v>西一4#阀室</v>
          </cell>
          <cell r="B6" t="str">
            <v>一级</v>
          </cell>
          <cell r="C6" t="str">
            <v>西气东输一线</v>
          </cell>
          <cell r="D6" t="str">
            <v>西一线干线新疆段</v>
          </cell>
        </row>
        <row r="7">
          <cell r="A7" t="str">
            <v>西一5#阀室</v>
          </cell>
          <cell r="B7" t="str">
            <v>一级</v>
          </cell>
          <cell r="C7" t="str">
            <v>西气东输一线</v>
          </cell>
          <cell r="D7" t="str">
            <v>西一线干线新疆段</v>
          </cell>
        </row>
        <row r="8">
          <cell r="A8" t="str">
            <v>孔雀河压气站</v>
          </cell>
          <cell r="B8" t="str">
            <v>一级</v>
          </cell>
          <cell r="C8" t="str">
            <v>西气东输一线</v>
          </cell>
          <cell r="D8" t="str">
            <v>西一线干线新疆段</v>
          </cell>
        </row>
        <row r="9">
          <cell r="A9" t="str">
            <v>西一6#阀室</v>
          </cell>
          <cell r="B9" t="str">
            <v>一级</v>
          </cell>
          <cell r="C9" t="str">
            <v>西气东输一线</v>
          </cell>
          <cell r="D9" t="str">
            <v>西一线干线新疆段</v>
          </cell>
        </row>
        <row r="10">
          <cell r="A10" t="str">
            <v>西一7#阀室</v>
          </cell>
          <cell r="B10" t="str">
            <v>一级</v>
          </cell>
          <cell r="C10" t="str">
            <v>西气东输一线</v>
          </cell>
          <cell r="D10" t="str">
            <v>西一线干线新疆段</v>
          </cell>
        </row>
        <row r="11">
          <cell r="A11" t="str">
            <v>西一8#阀室</v>
          </cell>
          <cell r="B11" t="str">
            <v>一级</v>
          </cell>
          <cell r="C11" t="str">
            <v>西气东输一线</v>
          </cell>
          <cell r="D11" t="str">
            <v>西一线干线新疆段</v>
          </cell>
        </row>
        <row r="12">
          <cell r="A12" t="str">
            <v>西一9#阀室</v>
          </cell>
          <cell r="B12" t="str">
            <v>一级</v>
          </cell>
          <cell r="C12" t="str">
            <v>西气东输一线</v>
          </cell>
          <cell r="D12" t="str">
            <v>西一线干线新疆段</v>
          </cell>
        </row>
        <row r="13">
          <cell r="A13" t="str">
            <v>四道班压气站</v>
          </cell>
          <cell r="B13" t="str">
            <v>一级</v>
          </cell>
          <cell r="C13" t="str">
            <v>西气东输一线</v>
          </cell>
          <cell r="D13" t="str">
            <v>西一线干线新疆段</v>
          </cell>
        </row>
        <row r="14">
          <cell r="A14" t="str">
            <v>西一10#阀室</v>
          </cell>
          <cell r="B14" t="str">
            <v>一级</v>
          </cell>
          <cell r="C14" t="str">
            <v>西气东输一线</v>
          </cell>
          <cell r="D14" t="str">
            <v>西一线干线新疆段</v>
          </cell>
        </row>
        <row r="15">
          <cell r="A15" t="str">
            <v>西一11#阀室</v>
          </cell>
          <cell r="B15" t="str">
            <v>一级</v>
          </cell>
          <cell r="C15" t="str">
            <v>西气东输一线</v>
          </cell>
          <cell r="D15" t="str">
            <v>西一线干线新疆段</v>
          </cell>
        </row>
        <row r="16">
          <cell r="A16" t="str">
            <v>西一12#阀室</v>
          </cell>
          <cell r="B16" t="str">
            <v>一级</v>
          </cell>
          <cell r="C16" t="str">
            <v>西气东输一线</v>
          </cell>
          <cell r="D16" t="str">
            <v>西一线干线新疆段</v>
          </cell>
        </row>
        <row r="17">
          <cell r="A17" t="str">
            <v>西一13#阀室</v>
          </cell>
          <cell r="B17" t="str">
            <v>一级</v>
          </cell>
          <cell r="C17" t="str">
            <v>西气东输一线</v>
          </cell>
          <cell r="D17" t="str">
            <v>西一线干线新疆段</v>
          </cell>
        </row>
        <row r="18">
          <cell r="A18" t="str">
            <v>西一14#阀室</v>
          </cell>
          <cell r="B18" t="str">
            <v>一级</v>
          </cell>
          <cell r="C18" t="str">
            <v>西气东输一线</v>
          </cell>
          <cell r="D18" t="str">
            <v>西一线干线新疆段</v>
          </cell>
        </row>
        <row r="19">
          <cell r="A19" t="str">
            <v>鄯善压气站</v>
          </cell>
          <cell r="B19" t="str">
            <v>一级</v>
          </cell>
          <cell r="C19" t="str">
            <v>西气东输一线</v>
          </cell>
          <cell r="D19" t="str">
            <v>西一线干线新疆段</v>
          </cell>
        </row>
        <row r="20">
          <cell r="A20" t="str">
            <v>西一15#阀室</v>
          </cell>
          <cell r="B20" t="str">
            <v>一级</v>
          </cell>
          <cell r="C20" t="str">
            <v>西气东输一线</v>
          </cell>
          <cell r="D20" t="str">
            <v>西一线干线新疆段</v>
          </cell>
        </row>
        <row r="21">
          <cell r="A21" t="str">
            <v>西一16#阀室</v>
          </cell>
          <cell r="B21" t="str">
            <v>一级</v>
          </cell>
          <cell r="C21" t="str">
            <v>西气东输一线</v>
          </cell>
          <cell r="D21" t="str">
            <v>西一线干线新疆段</v>
          </cell>
        </row>
        <row r="22">
          <cell r="A22" t="str">
            <v>西一17#阀室</v>
          </cell>
          <cell r="B22" t="str">
            <v>一级</v>
          </cell>
          <cell r="C22" t="str">
            <v>西气东输一线</v>
          </cell>
          <cell r="D22" t="str">
            <v>西一线干线新疆段</v>
          </cell>
        </row>
        <row r="23">
          <cell r="A23" t="str">
            <v>西一18#阀室</v>
          </cell>
          <cell r="B23" t="str">
            <v>一级</v>
          </cell>
          <cell r="C23" t="str">
            <v>西气东输一线</v>
          </cell>
          <cell r="D23" t="str">
            <v>西一线干线新疆段</v>
          </cell>
        </row>
        <row r="24">
          <cell r="A24" t="str">
            <v>西一19#阀室</v>
          </cell>
          <cell r="B24" t="str">
            <v>一级</v>
          </cell>
          <cell r="C24" t="str">
            <v>西气东输一线</v>
          </cell>
          <cell r="D24" t="str">
            <v>西一线干线新疆段</v>
          </cell>
        </row>
        <row r="25">
          <cell r="A25" t="str">
            <v>哈密压气站</v>
          </cell>
          <cell r="B25" t="str">
            <v>一级</v>
          </cell>
          <cell r="C25" t="str">
            <v>西气东输一线</v>
          </cell>
          <cell r="D25" t="str">
            <v>西一线干线新疆段</v>
          </cell>
        </row>
        <row r="26">
          <cell r="A26" t="str">
            <v>西一20#阀室</v>
          </cell>
          <cell r="B26" t="str">
            <v>一级</v>
          </cell>
          <cell r="C26" t="str">
            <v>西气东输一线</v>
          </cell>
          <cell r="D26" t="str">
            <v>西一线干线新疆段</v>
          </cell>
        </row>
        <row r="27">
          <cell r="A27" t="str">
            <v>西一21#阀室</v>
          </cell>
          <cell r="B27" t="str">
            <v>一级</v>
          </cell>
          <cell r="C27" t="str">
            <v>西气东输一线</v>
          </cell>
          <cell r="D27" t="str">
            <v>西一线干线新疆段</v>
          </cell>
        </row>
        <row r="28">
          <cell r="A28" t="str">
            <v>西一22#阀室</v>
          </cell>
          <cell r="B28" t="str">
            <v>一级</v>
          </cell>
          <cell r="C28" t="str">
            <v>西气东输一线</v>
          </cell>
          <cell r="D28" t="str">
            <v>西一线干线新疆段</v>
          </cell>
        </row>
        <row r="29">
          <cell r="A29" t="str">
            <v>西一23#阀室</v>
          </cell>
          <cell r="B29" t="str">
            <v>一级</v>
          </cell>
          <cell r="C29" t="str">
            <v>西气东输一线</v>
          </cell>
          <cell r="D29" t="str">
            <v>西一线干线新疆段</v>
          </cell>
        </row>
        <row r="30">
          <cell r="A30" t="str">
            <v>雅满苏压气站</v>
          </cell>
          <cell r="B30" t="str">
            <v>一级</v>
          </cell>
          <cell r="C30" t="str">
            <v>西气东输一线</v>
          </cell>
          <cell r="D30" t="str">
            <v>西一线干线新疆段</v>
          </cell>
        </row>
        <row r="31">
          <cell r="A31" t="str">
            <v>西一25#阀室</v>
          </cell>
          <cell r="B31" t="str">
            <v>一级</v>
          </cell>
          <cell r="C31" t="str">
            <v>西气东输一线</v>
          </cell>
          <cell r="D31" t="str">
            <v>西一线干线新疆段</v>
          </cell>
        </row>
        <row r="32">
          <cell r="A32" t="str">
            <v>西一26#阀室</v>
          </cell>
          <cell r="B32" t="str">
            <v>一级</v>
          </cell>
          <cell r="C32" t="str">
            <v>西气东输一线</v>
          </cell>
          <cell r="D32" t="str">
            <v>西一线干线新疆段</v>
          </cell>
        </row>
        <row r="33">
          <cell r="A33" t="str">
            <v>西一27#阀室</v>
          </cell>
          <cell r="B33" t="str">
            <v>一级</v>
          </cell>
          <cell r="C33" t="str">
            <v>西气东输一线</v>
          </cell>
          <cell r="D33" t="str">
            <v>西一线干线新疆段</v>
          </cell>
        </row>
        <row r="34">
          <cell r="A34" t="str">
            <v>西一28#阀室</v>
          </cell>
          <cell r="B34" t="str">
            <v>一级</v>
          </cell>
          <cell r="C34" t="str">
            <v>西气东输一线</v>
          </cell>
          <cell r="D34" t="str">
            <v>西一线干线新疆段</v>
          </cell>
        </row>
        <row r="35">
          <cell r="A35" t="str">
            <v>红柳压气站</v>
          </cell>
          <cell r="B35" t="str">
            <v>一级</v>
          </cell>
          <cell r="C35" t="str">
            <v>西气东输一线</v>
          </cell>
          <cell r="D35" t="str">
            <v>西一线干线甘肃段</v>
          </cell>
        </row>
        <row r="36">
          <cell r="A36" t="str">
            <v>西一29#阀室</v>
          </cell>
          <cell r="B36" t="str">
            <v>一级</v>
          </cell>
          <cell r="C36" t="str">
            <v>西气东输一线</v>
          </cell>
          <cell r="D36" t="str">
            <v>西一线干线甘肃段</v>
          </cell>
        </row>
        <row r="37">
          <cell r="A37" t="str">
            <v>西一30#阀室</v>
          </cell>
          <cell r="B37" t="str">
            <v>一级</v>
          </cell>
          <cell r="C37" t="str">
            <v>西气东输一线</v>
          </cell>
          <cell r="D37" t="str">
            <v>西一线干线甘肃段</v>
          </cell>
        </row>
        <row r="38">
          <cell r="A38" t="str">
            <v>西一31#阀室</v>
          </cell>
          <cell r="B38" t="str">
            <v>一级</v>
          </cell>
          <cell r="C38" t="str">
            <v>西气东输一线</v>
          </cell>
          <cell r="D38" t="str">
            <v>西一线干线甘肃段</v>
          </cell>
        </row>
        <row r="39">
          <cell r="A39" t="str">
            <v>西一32#阀室</v>
          </cell>
          <cell r="B39" t="str">
            <v>一级</v>
          </cell>
          <cell r="C39" t="str">
            <v>西气东输一线</v>
          </cell>
          <cell r="D39" t="str">
            <v>西一线干线甘肃段</v>
          </cell>
        </row>
        <row r="40">
          <cell r="A40" t="str">
            <v>柳园压气站</v>
          </cell>
          <cell r="B40" t="str">
            <v>一级</v>
          </cell>
          <cell r="C40" t="str">
            <v>西气东输一线</v>
          </cell>
          <cell r="D40" t="str">
            <v>西一线干线甘肃段</v>
          </cell>
        </row>
        <row r="41">
          <cell r="A41" t="str">
            <v>西一33#阀室</v>
          </cell>
          <cell r="B41" t="str">
            <v>一级</v>
          </cell>
          <cell r="C41" t="str">
            <v>西气东输一线</v>
          </cell>
          <cell r="D41" t="str">
            <v>西一线干线甘肃段</v>
          </cell>
        </row>
        <row r="42">
          <cell r="A42" t="str">
            <v>西一34#阀室</v>
          </cell>
          <cell r="B42" t="str">
            <v>一级</v>
          </cell>
          <cell r="C42" t="str">
            <v>西气东输一线</v>
          </cell>
          <cell r="D42" t="str">
            <v>西一线干线甘肃段</v>
          </cell>
        </row>
        <row r="43">
          <cell r="A43" t="str">
            <v>西一35#阀室</v>
          </cell>
          <cell r="B43" t="str">
            <v>一级</v>
          </cell>
          <cell r="C43" t="str">
            <v>西气东输一线</v>
          </cell>
          <cell r="D43" t="str">
            <v>西一线干线甘肃段</v>
          </cell>
        </row>
        <row r="44">
          <cell r="A44" t="str">
            <v>西一36#阀室</v>
          </cell>
          <cell r="B44" t="str">
            <v>一级</v>
          </cell>
          <cell r="C44" t="str">
            <v>西气东输一线</v>
          </cell>
          <cell r="D44" t="str">
            <v>西一线干线甘肃段</v>
          </cell>
        </row>
        <row r="45">
          <cell r="A45" t="str">
            <v>西一37#阀室</v>
          </cell>
          <cell r="B45" t="str">
            <v>一级</v>
          </cell>
          <cell r="C45" t="str">
            <v>西气东输一线</v>
          </cell>
          <cell r="D45" t="str">
            <v>西一线干线甘肃段</v>
          </cell>
        </row>
        <row r="46">
          <cell r="A46" t="str">
            <v>玉门压气站</v>
          </cell>
          <cell r="B46" t="str">
            <v>一级</v>
          </cell>
          <cell r="C46" t="str">
            <v>西气东输一线</v>
          </cell>
          <cell r="D46" t="str">
            <v>西一线干线甘肃段</v>
          </cell>
        </row>
        <row r="47">
          <cell r="A47" t="str">
            <v>西一38#阀室</v>
          </cell>
          <cell r="B47" t="str">
            <v>一级</v>
          </cell>
          <cell r="C47" t="str">
            <v>西气东输一线</v>
          </cell>
          <cell r="D47" t="str">
            <v>西一线干线甘肃段</v>
          </cell>
        </row>
        <row r="48">
          <cell r="A48" t="str">
            <v>西一39#阀室</v>
          </cell>
          <cell r="B48" t="str">
            <v>一级</v>
          </cell>
          <cell r="C48" t="str">
            <v>西气东输一线</v>
          </cell>
          <cell r="D48" t="str">
            <v>西一线干线甘肃段</v>
          </cell>
        </row>
        <row r="49">
          <cell r="A49" t="str">
            <v>西一40#阀室</v>
          </cell>
          <cell r="B49" t="str">
            <v>一级</v>
          </cell>
          <cell r="C49" t="str">
            <v>西气东输一线</v>
          </cell>
          <cell r="D49" t="str">
            <v>西一线干线甘肃段</v>
          </cell>
        </row>
        <row r="50">
          <cell r="A50" t="str">
            <v>西一41#阀室</v>
          </cell>
          <cell r="B50" t="str">
            <v>一级</v>
          </cell>
          <cell r="C50" t="str">
            <v>西气东输一线</v>
          </cell>
          <cell r="D50" t="str">
            <v>西一线干线甘肃段</v>
          </cell>
        </row>
        <row r="51">
          <cell r="A51" t="str">
            <v>西一42#阀室</v>
          </cell>
          <cell r="B51" t="str">
            <v>一级</v>
          </cell>
          <cell r="C51" t="str">
            <v>西气东输一线</v>
          </cell>
          <cell r="D51" t="str">
            <v>西一线干线甘肃段</v>
          </cell>
        </row>
        <row r="52">
          <cell r="A52" t="str">
            <v>西一43#阀室</v>
          </cell>
          <cell r="B52" t="str">
            <v>一级</v>
          </cell>
          <cell r="C52" t="str">
            <v>西气东输一线</v>
          </cell>
          <cell r="D52" t="str">
            <v>西一线干线甘肃段</v>
          </cell>
        </row>
        <row r="53">
          <cell r="A53" t="str">
            <v>酒泉压气站</v>
          </cell>
          <cell r="B53" t="str">
            <v>一级</v>
          </cell>
          <cell r="C53" t="str">
            <v>西气东输一线</v>
          </cell>
          <cell r="D53" t="str">
            <v>西一线干线甘肃段</v>
          </cell>
        </row>
        <row r="54">
          <cell r="A54" t="str">
            <v>西一44#阀室</v>
          </cell>
          <cell r="B54" t="str">
            <v>一级</v>
          </cell>
          <cell r="C54" t="str">
            <v>西气东输一线</v>
          </cell>
          <cell r="D54" t="str">
            <v>西一线干线甘肃段</v>
          </cell>
        </row>
        <row r="55">
          <cell r="A55" t="str">
            <v>西一45#阀室</v>
          </cell>
          <cell r="B55" t="str">
            <v>一级</v>
          </cell>
          <cell r="C55" t="str">
            <v>西气东输一线</v>
          </cell>
          <cell r="D55" t="str">
            <v>西一线干线甘肃段</v>
          </cell>
        </row>
        <row r="56">
          <cell r="A56" t="str">
            <v>西一46#阀室</v>
          </cell>
          <cell r="B56" t="str">
            <v>一级</v>
          </cell>
          <cell r="C56" t="str">
            <v>西气东输一线</v>
          </cell>
          <cell r="D56" t="str">
            <v>西一线干线甘肃段</v>
          </cell>
        </row>
        <row r="57">
          <cell r="A57" t="str">
            <v>西一47#阀室</v>
          </cell>
          <cell r="B57" t="str">
            <v>一级</v>
          </cell>
          <cell r="C57" t="str">
            <v>西气东输一线</v>
          </cell>
          <cell r="D57" t="str">
            <v>西一线干线甘肃段</v>
          </cell>
        </row>
        <row r="58">
          <cell r="A58" t="str">
            <v>西一48#阀室</v>
          </cell>
          <cell r="B58" t="str">
            <v>一级</v>
          </cell>
          <cell r="C58" t="str">
            <v>西气东输一线</v>
          </cell>
          <cell r="D58" t="str">
            <v>西一线干线甘肃段</v>
          </cell>
        </row>
        <row r="59">
          <cell r="A59" t="str">
            <v>山丹压气站</v>
          </cell>
          <cell r="B59" t="str">
            <v>一级</v>
          </cell>
          <cell r="C59" t="str">
            <v>西气东输一线</v>
          </cell>
          <cell r="D59" t="str">
            <v>西一线干线甘肃段</v>
          </cell>
        </row>
        <row r="60">
          <cell r="A60" t="str">
            <v>西一49#阀室</v>
          </cell>
          <cell r="B60" t="str">
            <v>一级</v>
          </cell>
          <cell r="C60" t="str">
            <v>西气东输一线</v>
          </cell>
          <cell r="D60" t="str">
            <v>西一线干线甘肃段</v>
          </cell>
        </row>
        <row r="61">
          <cell r="A61" t="str">
            <v>西一50#阀室</v>
          </cell>
          <cell r="B61" t="str">
            <v>一级</v>
          </cell>
          <cell r="C61" t="str">
            <v>西气东输一线</v>
          </cell>
          <cell r="D61" t="str">
            <v>西一线干线甘肃段</v>
          </cell>
        </row>
        <row r="62">
          <cell r="A62" t="str">
            <v>西一51#阀室</v>
          </cell>
          <cell r="B62" t="str">
            <v>一级</v>
          </cell>
          <cell r="C62" t="str">
            <v>西气东输一线</v>
          </cell>
          <cell r="D62" t="str">
            <v>西一线干线甘肃段</v>
          </cell>
        </row>
        <row r="63">
          <cell r="A63" t="str">
            <v>金昌压气站</v>
          </cell>
          <cell r="B63" t="str">
            <v>一级</v>
          </cell>
          <cell r="C63" t="str">
            <v>西气东输一线</v>
          </cell>
          <cell r="D63" t="str">
            <v>西一线干线甘肃段</v>
          </cell>
        </row>
        <row r="64">
          <cell r="A64" t="str">
            <v>西一53#阀室</v>
          </cell>
          <cell r="B64" t="str">
            <v>一级</v>
          </cell>
          <cell r="C64" t="str">
            <v>西气东输一线</v>
          </cell>
          <cell r="D64" t="str">
            <v>西一线干线甘肃段</v>
          </cell>
        </row>
        <row r="65">
          <cell r="A65" t="str">
            <v>西一54#阀室</v>
          </cell>
          <cell r="B65" t="str">
            <v>一级</v>
          </cell>
          <cell r="C65" t="str">
            <v>西气东输一线</v>
          </cell>
          <cell r="D65" t="str">
            <v>西一线干线甘肃段</v>
          </cell>
        </row>
        <row r="66">
          <cell r="A66" t="str">
            <v>西一55#阀室</v>
          </cell>
          <cell r="B66" t="str">
            <v>一级</v>
          </cell>
          <cell r="C66" t="str">
            <v>西气东输一线</v>
          </cell>
          <cell r="D66" t="str">
            <v>西一线干线甘肃段</v>
          </cell>
        </row>
        <row r="67">
          <cell r="A67" t="str">
            <v>古浪压气站</v>
          </cell>
          <cell r="B67" t="str">
            <v>一级</v>
          </cell>
          <cell r="C67" t="str">
            <v>西气东输一线</v>
          </cell>
          <cell r="D67" t="str">
            <v>西一线干线甘肃段</v>
          </cell>
        </row>
        <row r="68">
          <cell r="A68" t="str">
            <v>西一56#阀室</v>
          </cell>
          <cell r="B68" t="str">
            <v>一级</v>
          </cell>
          <cell r="C68" t="str">
            <v>西气东输一线</v>
          </cell>
          <cell r="D68" t="str">
            <v>西一线干线甘肃段</v>
          </cell>
        </row>
        <row r="69">
          <cell r="A69" t="str">
            <v>西一57#阀室</v>
          </cell>
          <cell r="B69" t="str">
            <v>一级</v>
          </cell>
          <cell r="C69" t="str">
            <v>西气东输一线</v>
          </cell>
          <cell r="D69" t="str">
            <v>西一线干线甘肃段</v>
          </cell>
        </row>
        <row r="70">
          <cell r="A70" t="str">
            <v>西一58#阀室</v>
          </cell>
          <cell r="B70" t="str">
            <v>一级</v>
          </cell>
          <cell r="C70" t="str">
            <v>西气东输一线</v>
          </cell>
          <cell r="D70" t="str">
            <v>西一线干线甘肃段</v>
          </cell>
        </row>
        <row r="71">
          <cell r="A71" t="str">
            <v>西一59#阀室</v>
          </cell>
          <cell r="B71" t="str">
            <v>一级</v>
          </cell>
          <cell r="C71" t="str">
            <v>西气东输一线</v>
          </cell>
          <cell r="D71" t="str">
            <v>西一线干线甘肃段</v>
          </cell>
        </row>
        <row r="72">
          <cell r="A72" t="str">
            <v>西一60#阀室</v>
          </cell>
          <cell r="B72" t="str">
            <v>一级</v>
          </cell>
          <cell r="C72" t="str">
            <v>西气东输一线</v>
          </cell>
          <cell r="D72" t="str">
            <v>西一线干线甘肃段</v>
          </cell>
        </row>
        <row r="73">
          <cell r="A73" t="str">
            <v>西一61#阀室</v>
          </cell>
          <cell r="B73" t="str">
            <v>一级</v>
          </cell>
          <cell r="C73" t="str">
            <v>西气东输一线</v>
          </cell>
          <cell r="D73" t="str">
            <v>西一线干线甘肃段</v>
          </cell>
        </row>
        <row r="74">
          <cell r="A74" t="str">
            <v>西一62#阀室</v>
          </cell>
          <cell r="B74" t="str">
            <v>一级</v>
          </cell>
          <cell r="C74" t="str">
            <v>西气东输一线</v>
          </cell>
          <cell r="D74" t="str">
            <v>西一线干线甘肃段</v>
          </cell>
        </row>
        <row r="75">
          <cell r="A75" t="str">
            <v>西一63#阀室</v>
          </cell>
          <cell r="B75" t="str">
            <v>一级</v>
          </cell>
          <cell r="C75" t="str">
            <v>西气东输一线</v>
          </cell>
          <cell r="D75" t="str">
            <v>西一线干线甘肃段</v>
          </cell>
        </row>
        <row r="76">
          <cell r="A76" t="str">
            <v>中卫压气站</v>
          </cell>
          <cell r="B76" t="str">
            <v>一级</v>
          </cell>
          <cell r="C76" t="str">
            <v>西气东输一线</v>
          </cell>
          <cell r="D76" t="str">
            <v>西一线干线东段</v>
          </cell>
        </row>
        <row r="77">
          <cell r="A77" t="str">
            <v>西一64#阀室</v>
          </cell>
          <cell r="B77" t="str">
            <v>一级</v>
          </cell>
          <cell r="C77" t="str">
            <v>西气东输一线</v>
          </cell>
          <cell r="D77" t="str">
            <v>西一线干线东段</v>
          </cell>
        </row>
        <row r="78">
          <cell r="A78" t="str">
            <v>西一65#阀室</v>
          </cell>
          <cell r="B78" t="str">
            <v>一级</v>
          </cell>
          <cell r="C78" t="str">
            <v>西气东输一线</v>
          </cell>
          <cell r="D78" t="str">
            <v>西一线干线东段</v>
          </cell>
        </row>
        <row r="79">
          <cell r="A79" t="str">
            <v>西一66#阀室</v>
          </cell>
          <cell r="B79" t="str">
            <v>一级</v>
          </cell>
          <cell r="C79" t="str">
            <v>西气东输一线</v>
          </cell>
          <cell r="D79" t="str">
            <v>西一线干线东段</v>
          </cell>
        </row>
        <row r="80">
          <cell r="A80" t="str">
            <v>西一67#阀室</v>
          </cell>
          <cell r="B80" t="str">
            <v>一级</v>
          </cell>
          <cell r="C80" t="str">
            <v>西气东输一线</v>
          </cell>
          <cell r="D80" t="str">
            <v>西一线干线东段</v>
          </cell>
        </row>
        <row r="81">
          <cell r="A81" t="str">
            <v>西一68#阀室</v>
          </cell>
          <cell r="B81" t="str">
            <v>一级</v>
          </cell>
          <cell r="C81" t="str">
            <v>西气东输一线</v>
          </cell>
          <cell r="D81" t="str">
            <v>西一线干线东段</v>
          </cell>
        </row>
        <row r="82">
          <cell r="A82" t="str">
            <v>西一69#阀室</v>
          </cell>
          <cell r="B82" t="str">
            <v>一级</v>
          </cell>
          <cell r="C82" t="str">
            <v>西气东输一线</v>
          </cell>
          <cell r="D82" t="str">
            <v>西一线干线东段</v>
          </cell>
        </row>
        <row r="83">
          <cell r="A83" t="str">
            <v>西一70#阀室</v>
          </cell>
          <cell r="B83" t="str">
            <v>一级</v>
          </cell>
          <cell r="C83" t="str">
            <v>西气东输一线</v>
          </cell>
          <cell r="D83" t="str">
            <v>西一线干线东段</v>
          </cell>
        </row>
        <row r="84">
          <cell r="A84" t="str">
            <v>西一71#阀室</v>
          </cell>
          <cell r="B84" t="str">
            <v>一级</v>
          </cell>
          <cell r="C84" t="str">
            <v>西气东输一线</v>
          </cell>
          <cell r="D84" t="str">
            <v>西一线干线东段</v>
          </cell>
        </row>
        <row r="85">
          <cell r="A85" t="str">
            <v>西一72#阀室</v>
          </cell>
          <cell r="B85" t="str">
            <v>一级</v>
          </cell>
          <cell r="C85" t="str">
            <v>西气东输一线</v>
          </cell>
          <cell r="D85" t="str">
            <v>西一线干线东段</v>
          </cell>
        </row>
        <row r="86">
          <cell r="A86" t="str">
            <v>西一盐池压气站</v>
          </cell>
          <cell r="B86" t="str">
            <v>一级</v>
          </cell>
          <cell r="C86" t="str">
            <v>西气东输一线</v>
          </cell>
          <cell r="D86" t="str">
            <v>西一线干线东段</v>
          </cell>
        </row>
        <row r="87">
          <cell r="A87" t="str">
            <v>西一73#阀室</v>
          </cell>
          <cell r="B87" t="str">
            <v>一级</v>
          </cell>
          <cell r="C87" t="str">
            <v>西气东输一线</v>
          </cell>
          <cell r="D87" t="str">
            <v>西一线干线东段</v>
          </cell>
        </row>
        <row r="88">
          <cell r="A88" t="str">
            <v>西一74#阀室</v>
          </cell>
          <cell r="B88" t="str">
            <v>一级</v>
          </cell>
          <cell r="C88" t="str">
            <v>西气东输一线</v>
          </cell>
          <cell r="D88" t="str">
            <v>西一线干线东段</v>
          </cell>
        </row>
        <row r="89">
          <cell r="A89" t="str">
            <v>西一75#阀室</v>
          </cell>
          <cell r="B89" t="str">
            <v>一级</v>
          </cell>
          <cell r="C89" t="str">
            <v>西气东输一线</v>
          </cell>
          <cell r="D89" t="str">
            <v>西一线干线东段</v>
          </cell>
        </row>
        <row r="90">
          <cell r="A90" t="str">
            <v>西一76#阀室</v>
          </cell>
          <cell r="B90" t="str">
            <v>一级</v>
          </cell>
          <cell r="C90" t="str">
            <v>西气东输一线</v>
          </cell>
          <cell r="D90" t="str">
            <v>西一线干线东段</v>
          </cell>
        </row>
        <row r="91">
          <cell r="A91" t="str">
            <v>西一77#阀室</v>
          </cell>
          <cell r="B91" t="str">
            <v>一级</v>
          </cell>
          <cell r="C91" t="str">
            <v>西气东输一线</v>
          </cell>
          <cell r="D91" t="str">
            <v>西一线干线东段</v>
          </cell>
        </row>
        <row r="92">
          <cell r="A92" t="str">
            <v>西一靖边压气站</v>
          </cell>
          <cell r="B92" t="str">
            <v>一级</v>
          </cell>
          <cell r="C92" t="str">
            <v>西气东输一线</v>
          </cell>
          <cell r="D92" t="str">
            <v>西一线干线东段</v>
          </cell>
        </row>
        <row r="93">
          <cell r="A93" t="str">
            <v>西一78#阀室</v>
          </cell>
          <cell r="B93" t="str">
            <v>一级</v>
          </cell>
          <cell r="C93" t="str">
            <v>西气东输一线</v>
          </cell>
          <cell r="D93" t="str">
            <v>西一线干线东段</v>
          </cell>
        </row>
        <row r="94">
          <cell r="A94" t="str">
            <v>西一79#阀室</v>
          </cell>
          <cell r="B94" t="str">
            <v>一级</v>
          </cell>
          <cell r="C94" t="str">
            <v>西气东输一线</v>
          </cell>
          <cell r="D94" t="str">
            <v>西一线干线东段</v>
          </cell>
        </row>
        <row r="95">
          <cell r="A95" t="str">
            <v>西一80#阀室</v>
          </cell>
          <cell r="B95" t="str">
            <v>一级</v>
          </cell>
          <cell r="C95" t="str">
            <v>西气东输一线</v>
          </cell>
          <cell r="D95" t="str">
            <v>西一线干线东段</v>
          </cell>
        </row>
        <row r="96">
          <cell r="A96" t="str">
            <v>西一81#阀室</v>
          </cell>
          <cell r="B96" t="str">
            <v>一级</v>
          </cell>
          <cell r="C96" t="str">
            <v>西气东输一线</v>
          </cell>
          <cell r="D96" t="str">
            <v>西一线干线东段</v>
          </cell>
        </row>
        <row r="97">
          <cell r="A97" t="str">
            <v>子长分输站</v>
          </cell>
          <cell r="B97" t="str">
            <v>一级</v>
          </cell>
          <cell r="C97" t="str">
            <v>西气东输一线</v>
          </cell>
          <cell r="D97" t="str">
            <v>西一线干线东段</v>
          </cell>
        </row>
        <row r="98">
          <cell r="A98" t="str">
            <v>西一83#阀室</v>
          </cell>
          <cell r="B98" t="str">
            <v>一级</v>
          </cell>
          <cell r="C98" t="str">
            <v>西气东输一线</v>
          </cell>
          <cell r="D98" t="str">
            <v>西一线干线东段</v>
          </cell>
        </row>
        <row r="99">
          <cell r="A99" t="str">
            <v>延川压气站</v>
          </cell>
          <cell r="B99" t="str">
            <v>一级</v>
          </cell>
          <cell r="C99" t="str">
            <v>西气东输一线</v>
          </cell>
          <cell r="D99" t="str">
            <v>西一线干线东段</v>
          </cell>
        </row>
        <row r="100">
          <cell r="A100" t="str">
            <v>西一84#阀室</v>
          </cell>
          <cell r="B100" t="str">
            <v>一级</v>
          </cell>
          <cell r="C100" t="str">
            <v>西气东输一线</v>
          </cell>
          <cell r="D100" t="str">
            <v>西一线干线东段</v>
          </cell>
        </row>
        <row r="101">
          <cell r="A101" t="str">
            <v>西一85#阀室</v>
          </cell>
          <cell r="B101" t="str">
            <v>一级</v>
          </cell>
          <cell r="C101" t="str">
            <v>西气东输一线</v>
          </cell>
          <cell r="D101" t="str">
            <v>西一线干线东段</v>
          </cell>
        </row>
        <row r="102">
          <cell r="A102" t="str">
            <v>西一86#阀室</v>
          </cell>
          <cell r="B102" t="str">
            <v>一级</v>
          </cell>
          <cell r="C102" t="str">
            <v>西气东输一线</v>
          </cell>
          <cell r="D102" t="str">
            <v>西一线干线东段</v>
          </cell>
        </row>
        <row r="103">
          <cell r="A103" t="str">
            <v>西一87#阀室</v>
          </cell>
          <cell r="B103" t="str">
            <v>一级</v>
          </cell>
          <cell r="C103" t="str">
            <v>西气东输一线</v>
          </cell>
          <cell r="D103" t="str">
            <v>西一线干线东段</v>
          </cell>
        </row>
        <row r="104">
          <cell r="A104" t="str">
            <v>西一88#阀室</v>
          </cell>
          <cell r="B104" t="str">
            <v>一级</v>
          </cell>
          <cell r="C104" t="str">
            <v>西气东输一线</v>
          </cell>
          <cell r="D104" t="str">
            <v>西一线干线东段</v>
          </cell>
        </row>
        <row r="105">
          <cell r="A105" t="str">
            <v>西一89#阀室</v>
          </cell>
          <cell r="B105" t="str">
            <v>一级</v>
          </cell>
          <cell r="C105" t="str">
            <v>西气东输一线</v>
          </cell>
          <cell r="D105" t="str">
            <v>西一线干线东段</v>
          </cell>
        </row>
        <row r="106">
          <cell r="A106" t="str">
            <v>蒲县压气站</v>
          </cell>
          <cell r="B106" t="str">
            <v>一级</v>
          </cell>
          <cell r="C106" t="str">
            <v>西气东输一线</v>
          </cell>
          <cell r="D106" t="str">
            <v>西一线干线东段</v>
          </cell>
        </row>
        <row r="107">
          <cell r="A107" t="str">
            <v>西一90#阀室</v>
          </cell>
          <cell r="B107" t="str">
            <v>一级</v>
          </cell>
          <cell r="C107" t="str">
            <v>西气东输一线</v>
          </cell>
          <cell r="D107" t="str">
            <v>西一线干线东段</v>
          </cell>
        </row>
        <row r="108">
          <cell r="A108" t="str">
            <v>西一91#阀室</v>
          </cell>
          <cell r="B108" t="str">
            <v>一级</v>
          </cell>
          <cell r="C108" t="str">
            <v>西气东输一线</v>
          </cell>
          <cell r="D108" t="str">
            <v>西一线干线东段</v>
          </cell>
        </row>
        <row r="109">
          <cell r="A109" t="str">
            <v>临汾分输站</v>
          </cell>
          <cell r="B109" t="str">
            <v>一级</v>
          </cell>
          <cell r="C109" t="str">
            <v>西气东输一线</v>
          </cell>
          <cell r="D109" t="str">
            <v>西一线干线东段</v>
          </cell>
        </row>
        <row r="110">
          <cell r="A110" t="str">
            <v>西一93#阀室</v>
          </cell>
          <cell r="B110" t="str">
            <v>一级</v>
          </cell>
          <cell r="C110" t="str">
            <v>西气东输一线</v>
          </cell>
          <cell r="D110" t="str">
            <v>西一线干线东段</v>
          </cell>
        </row>
        <row r="111">
          <cell r="A111" t="str">
            <v>西一94#阀室</v>
          </cell>
          <cell r="B111" t="str">
            <v>一级</v>
          </cell>
          <cell r="C111" t="str">
            <v>西气东输一线</v>
          </cell>
          <cell r="D111" t="str">
            <v>西一线干线东段</v>
          </cell>
        </row>
        <row r="112">
          <cell r="A112" t="str">
            <v>西一95#阀室</v>
          </cell>
          <cell r="B112" t="str">
            <v>一级</v>
          </cell>
          <cell r="C112" t="str">
            <v>西气东输一线</v>
          </cell>
          <cell r="D112" t="str">
            <v>西一线干线东段</v>
          </cell>
        </row>
        <row r="113">
          <cell r="A113" t="str">
            <v>西一96#阀室</v>
          </cell>
          <cell r="B113" t="str">
            <v>一级</v>
          </cell>
          <cell r="C113" t="str">
            <v>西气东输一线</v>
          </cell>
          <cell r="D113" t="str">
            <v>西一线干线东段</v>
          </cell>
        </row>
        <row r="114">
          <cell r="A114" t="str">
            <v>西一97#阀室</v>
          </cell>
          <cell r="B114" t="str">
            <v>一级</v>
          </cell>
          <cell r="C114" t="str">
            <v>西气东输一线</v>
          </cell>
          <cell r="D114" t="str">
            <v>西一线干线东段</v>
          </cell>
        </row>
        <row r="115">
          <cell r="A115" t="str">
            <v>沁水压气站</v>
          </cell>
          <cell r="B115" t="str">
            <v>一级</v>
          </cell>
          <cell r="C115" t="str">
            <v>西气东输一线</v>
          </cell>
          <cell r="D115" t="str">
            <v>西一线干线东段</v>
          </cell>
        </row>
        <row r="116">
          <cell r="A116" t="str">
            <v>西一98#阀室</v>
          </cell>
          <cell r="B116" t="str">
            <v>一级</v>
          </cell>
          <cell r="C116" t="str">
            <v>西气东输一线</v>
          </cell>
          <cell r="D116" t="str">
            <v>西一线干线东段</v>
          </cell>
        </row>
        <row r="117">
          <cell r="A117" t="str">
            <v>西一99#阀室</v>
          </cell>
          <cell r="B117" t="str">
            <v>一级</v>
          </cell>
          <cell r="C117" t="str">
            <v>西气东输一线</v>
          </cell>
          <cell r="D117" t="str">
            <v>西一线干线东段</v>
          </cell>
        </row>
        <row r="118">
          <cell r="A118" t="str">
            <v>阳城清管站</v>
          </cell>
          <cell r="B118" t="str">
            <v>一级</v>
          </cell>
          <cell r="C118" t="str">
            <v>西气东输一线</v>
          </cell>
          <cell r="D118" t="str">
            <v>西一线干线东段</v>
          </cell>
        </row>
        <row r="119">
          <cell r="A119" t="str">
            <v>西一100#阀室</v>
          </cell>
          <cell r="B119" t="str">
            <v>一级</v>
          </cell>
          <cell r="C119" t="str">
            <v>西气东输一线</v>
          </cell>
          <cell r="D119" t="str">
            <v>西一线干线东段</v>
          </cell>
        </row>
        <row r="120">
          <cell r="A120" t="str">
            <v>西一101#阀室</v>
          </cell>
          <cell r="B120" t="str">
            <v>一级</v>
          </cell>
          <cell r="C120" t="str">
            <v>西气东输一线</v>
          </cell>
          <cell r="D120" t="str">
            <v>西一线干线东段</v>
          </cell>
        </row>
        <row r="121">
          <cell r="A121" t="str">
            <v>博爱分输站</v>
          </cell>
          <cell r="B121" t="str">
            <v>一级</v>
          </cell>
          <cell r="C121" t="str">
            <v>西气东输一线</v>
          </cell>
          <cell r="D121" t="str">
            <v>西一线干线东段</v>
          </cell>
        </row>
        <row r="122">
          <cell r="A122" t="str">
            <v>西一102#阀室</v>
          </cell>
          <cell r="B122" t="str">
            <v>一级</v>
          </cell>
          <cell r="C122" t="str">
            <v>西气东输一线</v>
          </cell>
          <cell r="D122" t="str">
            <v>西一线干线东段</v>
          </cell>
        </row>
        <row r="123">
          <cell r="A123" t="str">
            <v>西一103#阀室</v>
          </cell>
          <cell r="B123" t="str">
            <v>一级</v>
          </cell>
          <cell r="C123" t="str">
            <v>西气东输一线</v>
          </cell>
          <cell r="D123" t="str">
            <v>西一线干线东段</v>
          </cell>
        </row>
        <row r="124">
          <cell r="A124" t="str">
            <v>西一104#阀室</v>
          </cell>
          <cell r="B124" t="str">
            <v>一级</v>
          </cell>
          <cell r="C124" t="str">
            <v>西气东输一线</v>
          </cell>
          <cell r="D124" t="str">
            <v>西一线干线东段</v>
          </cell>
        </row>
        <row r="125">
          <cell r="A125" t="str">
            <v>郑州压气站</v>
          </cell>
          <cell r="B125" t="str">
            <v>一级</v>
          </cell>
          <cell r="C125" t="str">
            <v>西气东输一线</v>
          </cell>
          <cell r="D125" t="str">
            <v>西一线干线东段</v>
          </cell>
        </row>
        <row r="126">
          <cell r="A126" t="str">
            <v>西一105#阀室</v>
          </cell>
          <cell r="B126" t="str">
            <v>一级</v>
          </cell>
          <cell r="C126" t="str">
            <v>西气东输一线</v>
          </cell>
          <cell r="D126" t="str">
            <v>西一线干线东段</v>
          </cell>
        </row>
        <row r="127">
          <cell r="A127" t="str">
            <v>薛店分输站</v>
          </cell>
          <cell r="B127" t="str">
            <v>一级</v>
          </cell>
          <cell r="C127" t="str">
            <v>西气东输一线</v>
          </cell>
          <cell r="D127" t="str">
            <v>西一线干线东段</v>
          </cell>
        </row>
        <row r="128">
          <cell r="A128" t="str">
            <v>西一106#阀室</v>
          </cell>
          <cell r="B128" t="str">
            <v>一级</v>
          </cell>
          <cell r="C128" t="str">
            <v>西气东输一线</v>
          </cell>
          <cell r="D128" t="str">
            <v>西一线干线东段</v>
          </cell>
        </row>
        <row r="129">
          <cell r="A129" t="str">
            <v>西一107#阀室</v>
          </cell>
          <cell r="B129" t="str">
            <v>一级</v>
          </cell>
          <cell r="C129" t="str">
            <v>西气东输一线</v>
          </cell>
          <cell r="D129" t="str">
            <v>西一线干线东段</v>
          </cell>
        </row>
        <row r="130">
          <cell r="A130" t="str">
            <v>西一108#阀室</v>
          </cell>
          <cell r="B130" t="str">
            <v>一级</v>
          </cell>
          <cell r="C130" t="str">
            <v>西气东输一线</v>
          </cell>
          <cell r="D130" t="str">
            <v>西一线干线东段</v>
          </cell>
        </row>
        <row r="131">
          <cell r="A131" t="str">
            <v>西一109#阀室</v>
          </cell>
          <cell r="B131" t="str">
            <v>一级</v>
          </cell>
          <cell r="C131" t="str">
            <v>西气东输一线</v>
          </cell>
          <cell r="D131" t="str">
            <v>西一线干线东段</v>
          </cell>
        </row>
        <row r="132">
          <cell r="A132" t="str">
            <v>西一110#阀室</v>
          </cell>
          <cell r="B132" t="str">
            <v>一级</v>
          </cell>
          <cell r="C132" t="str">
            <v>西气东输一线</v>
          </cell>
          <cell r="D132" t="str">
            <v>西一线干线东段</v>
          </cell>
        </row>
        <row r="133">
          <cell r="A133" t="str">
            <v>淮阳压气站</v>
          </cell>
          <cell r="B133" t="str">
            <v>一级</v>
          </cell>
          <cell r="C133" t="str">
            <v>西气东输一线</v>
          </cell>
          <cell r="D133" t="str">
            <v>西一线干线东段</v>
          </cell>
        </row>
        <row r="134">
          <cell r="A134" t="str">
            <v>西一111#阀室</v>
          </cell>
          <cell r="B134" t="str">
            <v>一级</v>
          </cell>
          <cell r="C134" t="str">
            <v>西气东输一线</v>
          </cell>
          <cell r="D134" t="str">
            <v>西一线干线东段</v>
          </cell>
        </row>
        <row r="135">
          <cell r="A135" t="str">
            <v>西一112#阀室</v>
          </cell>
          <cell r="B135" t="str">
            <v>一级</v>
          </cell>
          <cell r="C135" t="str">
            <v>西气东输一线</v>
          </cell>
          <cell r="D135" t="str">
            <v>西一线干线东段</v>
          </cell>
        </row>
        <row r="136">
          <cell r="A136" t="str">
            <v>太和分输站</v>
          </cell>
          <cell r="B136" t="str">
            <v>一级</v>
          </cell>
          <cell r="C136" t="str">
            <v>西气东输一线</v>
          </cell>
          <cell r="D136" t="str">
            <v>西一线干线东段</v>
          </cell>
        </row>
        <row r="137">
          <cell r="A137" t="str">
            <v>西一114#阀室</v>
          </cell>
          <cell r="B137" t="str">
            <v>一级</v>
          </cell>
          <cell r="C137" t="str">
            <v>西气东输一线</v>
          </cell>
          <cell r="D137" t="str">
            <v>西一线干线东段</v>
          </cell>
        </row>
        <row r="138">
          <cell r="A138" t="str">
            <v>西一115#阀室</v>
          </cell>
          <cell r="B138" t="str">
            <v>一级</v>
          </cell>
          <cell r="C138" t="str">
            <v>西气东输一线</v>
          </cell>
          <cell r="D138" t="str">
            <v>西一线干线东段</v>
          </cell>
        </row>
        <row r="139">
          <cell r="A139" t="str">
            <v>利辛分输站</v>
          </cell>
          <cell r="B139" t="str">
            <v>一级</v>
          </cell>
          <cell r="C139" t="str">
            <v>西气东输一线</v>
          </cell>
          <cell r="D139" t="str">
            <v>西一线干线东段</v>
          </cell>
        </row>
        <row r="140">
          <cell r="A140" t="str">
            <v>西一116#阀室</v>
          </cell>
          <cell r="B140" t="str">
            <v>一级</v>
          </cell>
          <cell r="C140" t="str">
            <v>西气东输一线</v>
          </cell>
          <cell r="D140" t="str">
            <v>西一线干线东段</v>
          </cell>
        </row>
        <row r="141">
          <cell r="A141" t="str">
            <v>西一117#阀室</v>
          </cell>
          <cell r="B141" t="str">
            <v>一级</v>
          </cell>
          <cell r="C141" t="str">
            <v>西气东输一线</v>
          </cell>
          <cell r="D141" t="str">
            <v>西一线干线东段</v>
          </cell>
        </row>
        <row r="142">
          <cell r="A142" t="str">
            <v>西一118#阀室</v>
          </cell>
          <cell r="B142" t="str">
            <v>一级</v>
          </cell>
          <cell r="C142" t="str">
            <v>西气东输一线</v>
          </cell>
          <cell r="D142" t="str">
            <v>西一线干线东段</v>
          </cell>
        </row>
        <row r="143">
          <cell r="A143" t="str">
            <v>西一119#阀室</v>
          </cell>
          <cell r="B143" t="str">
            <v>一级</v>
          </cell>
          <cell r="C143" t="str">
            <v>西气东输一线</v>
          </cell>
          <cell r="D143" t="str">
            <v>西一线干线东段</v>
          </cell>
        </row>
        <row r="144">
          <cell r="A144" t="str">
            <v>西一120#阀室</v>
          </cell>
          <cell r="B144" t="str">
            <v>一级</v>
          </cell>
          <cell r="C144" t="str">
            <v>西气东输一线</v>
          </cell>
          <cell r="D144" t="str">
            <v>西一线干线东段</v>
          </cell>
        </row>
        <row r="145">
          <cell r="A145" t="str">
            <v>西一121#阀室</v>
          </cell>
          <cell r="B145" t="str">
            <v>一级</v>
          </cell>
          <cell r="C145" t="str">
            <v>西气东输一线</v>
          </cell>
          <cell r="D145" t="str">
            <v>西一线干线东段</v>
          </cell>
        </row>
        <row r="146">
          <cell r="A146" t="str">
            <v>刘巷子分输站</v>
          </cell>
          <cell r="B146" t="str">
            <v>一级</v>
          </cell>
          <cell r="C146" t="str">
            <v>西气东输一线</v>
          </cell>
          <cell r="D146" t="str">
            <v>西一线干线东段</v>
          </cell>
        </row>
        <row r="147">
          <cell r="A147" t="str">
            <v>西一122#阀室</v>
          </cell>
          <cell r="B147" t="str">
            <v>一级</v>
          </cell>
          <cell r="C147" t="str">
            <v>西气东输一线</v>
          </cell>
          <cell r="D147" t="str">
            <v>西一线干线东段</v>
          </cell>
        </row>
        <row r="148">
          <cell r="A148" t="str">
            <v>定远压气站</v>
          </cell>
          <cell r="B148" t="str">
            <v>一级</v>
          </cell>
          <cell r="C148" t="str">
            <v>西气东输一线</v>
          </cell>
          <cell r="D148" t="str">
            <v>西一线干线东段</v>
          </cell>
        </row>
        <row r="149">
          <cell r="A149" t="str">
            <v>西一123#阀室</v>
          </cell>
          <cell r="B149" t="str">
            <v>一级</v>
          </cell>
          <cell r="C149" t="str">
            <v>西气东输一线</v>
          </cell>
          <cell r="D149" t="str">
            <v>西一线干线东段</v>
          </cell>
        </row>
        <row r="150">
          <cell r="A150" t="str">
            <v>西一124#阀室</v>
          </cell>
          <cell r="B150" t="str">
            <v>一级</v>
          </cell>
          <cell r="C150" t="str">
            <v>西气东输一线</v>
          </cell>
          <cell r="D150" t="str">
            <v>西一线干线东段</v>
          </cell>
        </row>
        <row r="151">
          <cell r="A151" t="str">
            <v>滁州分输站</v>
          </cell>
          <cell r="B151" t="str">
            <v>一级</v>
          </cell>
          <cell r="C151" t="str">
            <v>西气东输一线</v>
          </cell>
          <cell r="D151" t="str">
            <v>西一线干线东段</v>
          </cell>
        </row>
        <row r="152">
          <cell r="A152" t="str">
            <v>西一125#阀室</v>
          </cell>
          <cell r="B152" t="str">
            <v>一级</v>
          </cell>
          <cell r="C152" t="str">
            <v>西气东输一线</v>
          </cell>
          <cell r="D152" t="str">
            <v>西一线干线东段</v>
          </cell>
        </row>
        <row r="153">
          <cell r="A153" t="str">
            <v>龙池分输站</v>
          </cell>
          <cell r="B153" t="str">
            <v>一级</v>
          </cell>
          <cell r="C153" t="str">
            <v>西气东输一线</v>
          </cell>
          <cell r="D153" t="str">
            <v>西一线干线东段</v>
          </cell>
        </row>
        <row r="154">
          <cell r="A154" t="str">
            <v>西一126#阀室</v>
          </cell>
          <cell r="B154" t="str">
            <v>一级</v>
          </cell>
          <cell r="C154" t="str">
            <v>西气东输一线</v>
          </cell>
          <cell r="D154" t="str">
            <v>西一线干线东段</v>
          </cell>
        </row>
        <row r="155">
          <cell r="A155" t="str">
            <v>青山分输站</v>
          </cell>
          <cell r="B155" t="str">
            <v>一级</v>
          </cell>
          <cell r="C155" t="str">
            <v>西气东输一线</v>
          </cell>
          <cell r="D155" t="str">
            <v>西一线干线东段</v>
          </cell>
        </row>
        <row r="156">
          <cell r="A156" t="str">
            <v>龙潭分输站</v>
          </cell>
          <cell r="B156" t="str">
            <v>一级</v>
          </cell>
          <cell r="C156" t="str">
            <v>西气东输一线</v>
          </cell>
          <cell r="D156" t="str">
            <v>西一线干线东段</v>
          </cell>
        </row>
        <row r="157">
          <cell r="A157" t="str">
            <v>西一127#阀室</v>
          </cell>
          <cell r="B157" t="str">
            <v>一级</v>
          </cell>
          <cell r="C157" t="str">
            <v>西气东输一线</v>
          </cell>
          <cell r="D157" t="str">
            <v>西一线干线东段</v>
          </cell>
        </row>
        <row r="158">
          <cell r="A158" t="str">
            <v>高校园区1#阀室</v>
          </cell>
          <cell r="B158" t="str">
            <v>一级</v>
          </cell>
          <cell r="C158" t="str">
            <v>西气东输一线</v>
          </cell>
          <cell r="D158" t="str">
            <v>西一线干线东段</v>
          </cell>
        </row>
        <row r="159">
          <cell r="A159" t="str">
            <v>高校园区2#阀室</v>
          </cell>
          <cell r="B159" t="str">
            <v>一级</v>
          </cell>
          <cell r="C159" t="str">
            <v>西气东输一线</v>
          </cell>
          <cell r="D159" t="str">
            <v>西一线干线东段</v>
          </cell>
        </row>
        <row r="160">
          <cell r="A160" t="str">
            <v>镇江分输站</v>
          </cell>
          <cell r="B160" t="str">
            <v>一级</v>
          </cell>
          <cell r="C160" t="str">
            <v>西气东输一线</v>
          </cell>
          <cell r="D160" t="str">
            <v>西一线干线东段</v>
          </cell>
        </row>
        <row r="161">
          <cell r="A161" t="str">
            <v>丹阳分输站</v>
          </cell>
          <cell r="B161" t="str">
            <v>一级</v>
          </cell>
          <cell r="C161" t="str">
            <v>西气东输一线</v>
          </cell>
          <cell r="D161" t="str">
            <v>西一线干线东段</v>
          </cell>
        </row>
        <row r="162">
          <cell r="A162" t="str">
            <v>西一129#阀室</v>
          </cell>
          <cell r="B162" t="str">
            <v>一级</v>
          </cell>
          <cell r="C162" t="str">
            <v>西气东输一线</v>
          </cell>
          <cell r="D162" t="str">
            <v>西一线干线东段</v>
          </cell>
        </row>
        <row r="163">
          <cell r="A163" t="str">
            <v>西一130#阀室</v>
          </cell>
          <cell r="B163" t="str">
            <v>一级</v>
          </cell>
          <cell r="C163" t="str">
            <v>西气东输一线</v>
          </cell>
          <cell r="D163" t="str">
            <v>西一线干线东段</v>
          </cell>
        </row>
        <row r="164">
          <cell r="A164" t="str">
            <v>常州分输站</v>
          </cell>
          <cell r="B164" t="str">
            <v>一级</v>
          </cell>
          <cell r="C164" t="str">
            <v>西气东输一线</v>
          </cell>
          <cell r="D164" t="str">
            <v>西一线干线东段</v>
          </cell>
        </row>
        <row r="165">
          <cell r="A165" t="str">
            <v>芙蓉分输站</v>
          </cell>
          <cell r="B165" t="str">
            <v>一级</v>
          </cell>
          <cell r="C165" t="str">
            <v>西气东输一线</v>
          </cell>
          <cell r="D165" t="str">
            <v>西一线干线东段</v>
          </cell>
        </row>
        <row r="166">
          <cell r="A166" t="str">
            <v>西一131#阀室</v>
          </cell>
          <cell r="B166" t="str">
            <v>一级</v>
          </cell>
          <cell r="C166" t="str">
            <v>西气东输一线</v>
          </cell>
          <cell r="D166" t="str">
            <v>西一线干线东段</v>
          </cell>
        </row>
        <row r="167">
          <cell r="A167" t="str">
            <v>西一132#阀室</v>
          </cell>
          <cell r="B167" t="str">
            <v>一级</v>
          </cell>
          <cell r="C167" t="str">
            <v>西气东输一线</v>
          </cell>
          <cell r="D167" t="str">
            <v>西一线干线东段</v>
          </cell>
        </row>
        <row r="168">
          <cell r="A168" t="str">
            <v>无锡分输站</v>
          </cell>
          <cell r="B168" t="str">
            <v>一级</v>
          </cell>
          <cell r="C168" t="str">
            <v>西气东输一线</v>
          </cell>
          <cell r="D168" t="str">
            <v>西一线干线东段</v>
          </cell>
        </row>
        <row r="169">
          <cell r="A169" t="str">
            <v>东桥分输站</v>
          </cell>
          <cell r="B169" t="str">
            <v>一级</v>
          </cell>
          <cell r="C169" t="str">
            <v>西气东输一线</v>
          </cell>
          <cell r="D169" t="str">
            <v>西一线干线东段</v>
          </cell>
        </row>
        <row r="170">
          <cell r="A170" t="str">
            <v>西一133阀室</v>
          </cell>
          <cell r="B170" t="str">
            <v>一级</v>
          </cell>
          <cell r="C170" t="str">
            <v>西气东输一线</v>
          </cell>
          <cell r="D170" t="str">
            <v>西一线干线东段</v>
          </cell>
        </row>
        <row r="171">
          <cell r="A171" t="str">
            <v>西一134阀室</v>
          </cell>
          <cell r="B171" t="str">
            <v>一级</v>
          </cell>
          <cell r="C171" t="str">
            <v>西气东输一线</v>
          </cell>
          <cell r="D171" t="str">
            <v>西一线干线东段</v>
          </cell>
        </row>
        <row r="172">
          <cell r="A172" t="str">
            <v>苏州分输站</v>
          </cell>
          <cell r="B172" t="str">
            <v>一级</v>
          </cell>
          <cell r="C172" t="str">
            <v>西气东输一线</v>
          </cell>
          <cell r="D172" t="str">
            <v>西一线干线东段</v>
          </cell>
        </row>
        <row r="173">
          <cell r="A173" t="str">
            <v>西一136#阀室</v>
          </cell>
          <cell r="B173" t="str">
            <v>一级</v>
          </cell>
          <cell r="C173" t="str">
            <v>西气东输一线</v>
          </cell>
          <cell r="D173" t="str">
            <v>西一线干线东段</v>
          </cell>
        </row>
        <row r="174">
          <cell r="A174" t="str">
            <v>西一137#阀室</v>
          </cell>
          <cell r="B174" t="str">
            <v>一级</v>
          </cell>
          <cell r="C174" t="str">
            <v>西气东输一线</v>
          </cell>
          <cell r="D174" t="str">
            <v>西一线干线东段</v>
          </cell>
        </row>
        <row r="175">
          <cell r="A175" t="str">
            <v>甪直分输站</v>
          </cell>
          <cell r="B175" t="str">
            <v>一级</v>
          </cell>
          <cell r="C175" t="str">
            <v>西气东输一线</v>
          </cell>
          <cell r="D175" t="str">
            <v>西一线干线东段</v>
          </cell>
        </row>
        <row r="176">
          <cell r="A176" t="str">
            <v>昆山分输站</v>
          </cell>
          <cell r="B176" t="str">
            <v>一级</v>
          </cell>
          <cell r="C176" t="str">
            <v>西气东输一线</v>
          </cell>
          <cell r="D176" t="str">
            <v>西一线干线东段</v>
          </cell>
        </row>
        <row r="177">
          <cell r="A177" t="str">
            <v>白鹤末站</v>
          </cell>
          <cell r="B177" t="str">
            <v>一级</v>
          </cell>
          <cell r="C177" t="str">
            <v>西气东输一线</v>
          </cell>
          <cell r="D177" t="str">
            <v>西一线干线东段</v>
          </cell>
        </row>
        <row r="178">
          <cell r="A178" t="str">
            <v>煤层气端氏首站</v>
          </cell>
          <cell r="B178" t="str">
            <v>一级</v>
          </cell>
          <cell r="C178" t="str">
            <v>西气东输一线</v>
          </cell>
          <cell r="D178" t="str">
            <v>山西煤层气外输管道</v>
          </cell>
        </row>
        <row r="179">
          <cell r="A179" t="str">
            <v>煤层气郑庄阀室</v>
          </cell>
          <cell r="B179" t="str">
            <v>一级</v>
          </cell>
          <cell r="C179" t="str">
            <v>西气东输一线</v>
          </cell>
          <cell r="D179" t="str">
            <v>山西煤层气外输管道</v>
          </cell>
        </row>
        <row r="180">
          <cell r="A180" t="str">
            <v>长铝末站</v>
          </cell>
          <cell r="B180" t="str">
            <v>一级</v>
          </cell>
          <cell r="C180" t="str">
            <v>西气东输一线</v>
          </cell>
          <cell r="D180" t="str">
            <v>长铝支线</v>
          </cell>
        </row>
        <row r="181">
          <cell r="A181" t="str">
            <v>定合1#阀室</v>
          </cell>
          <cell r="B181" t="str">
            <v>一级</v>
          </cell>
          <cell r="C181" t="str">
            <v>西气东输一线</v>
          </cell>
          <cell r="D181" t="str">
            <v>定合支线</v>
          </cell>
        </row>
        <row r="182">
          <cell r="A182" t="str">
            <v>定合2#阀室</v>
          </cell>
          <cell r="B182" t="str">
            <v>一级</v>
          </cell>
          <cell r="C182" t="str">
            <v>西气东输一线</v>
          </cell>
          <cell r="D182" t="str">
            <v>定合支线</v>
          </cell>
        </row>
        <row r="183">
          <cell r="A183" t="str">
            <v>定合3#阀室</v>
          </cell>
          <cell r="B183" t="str">
            <v>一级</v>
          </cell>
          <cell r="C183" t="str">
            <v>西气东输一线</v>
          </cell>
          <cell r="D183" t="str">
            <v>定合支线</v>
          </cell>
        </row>
        <row r="184">
          <cell r="A184" t="str">
            <v>定合4#阀室</v>
          </cell>
          <cell r="B184" t="str">
            <v>一级</v>
          </cell>
          <cell r="C184" t="str">
            <v>西气东输一线</v>
          </cell>
          <cell r="D184" t="str">
            <v>定合支线</v>
          </cell>
        </row>
        <row r="185">
          <cell r="A185" t="str">
            <v>定合5#阀室</v>
          </cell>
          <cell r="B185" t="str">
            <v>一级</v>
          </cell>
          <cell r="C185" t="str">
            <v>西气东输一线</v>
          </cell>
          <cell r="D185" t="str">
            <v>定合支线</v>
          </cell>
        </row>
        <row r="186">
          <cell r="A186" t="str">
            <v>合肥末站</v>
          </cell>
          <cell r="B186" t="str">
            <v>一级</v>
          </cell>
          <cell r="C186" t="str">
            <v>西气东输一线</v>
          </cell>
          <cell r="D186" t="str">
            <v>定合支线</v>
          </cell>
        </row>
        <row r="187">
          <cell r="A187" t="str">
            <v>定合复1#阀室</v>
          </cell>
          <cell r="B187" t="str">
            <v>一级</v>
          </cell>
          <cell r="C187" t="str">
            <v>西气东输一线</v>
          </cell>
          <cell r="D187" t="str">
            <v>定合复线</v>
          </cell>
        </row>
        <row r="188">
          <cell r="A188" t="str">
            <v>定合复2#阀室</v>
          </cell>
          <cell r="B188" t="str">
            <v>一级</v>
          </cell>
          <cell r="C188" t="str">
            <v>西气东输一线</v>
          </cell>
          <cell r="D188" t="str">
            <v>定合复线</v>
          </cell>
        </row>
        <row r="189">
          <cell r="A189" t="str">
            <v>定合复3#阀室</v>
          </cell>
          <cell r="B189" t="str">
            <v>一级</v>
          </cell>
          <cell r="C189" t="str">
            <v>西气东输一线</v>
          </cell>
          <cell r="D189" t="str">
            <v>定合复线</v>
          </cell>
        </row>
        <row r="190">
          <cell r="A190" t="str">
            <v>罗集末站</v>
          </cell>
          <cell r="B190" t="str">
            <v>一级</v>
          </cell>
          <cell r="C190" t="str">
            <v>西气东输一线</v>
          </cell>
          <cell r="D190" t="str">
            <v>定合复线</v>
          </cell>
        </row>
        <row r="191">
          <cell r="A191" t="str">
            <v>南芜1#阀室</v>
          </cell>
          <cell r="B191" t="str">
            <v>一级</v>
          </cell>
          <cell r="C191" t="str">
            <v>西气东输一线</v>
          </cell>
          <cell r="D191" t="str">
            <v>南芜支线</v>
          </cell>
        </row>
        <row r="192">
          <cell r="A192" t="str">
            <v>南京分输站</v>
          </cell>
          <cell r="B192" t="str">
            <v>一级</v>
          </cell>
          <cell r="C192" t="str">
            <v>西气东输一线</v>
          </cell>
          <cell r="D192" t="str">
            <v>南芜支线</v>
          </cell>
        </row>
        <row r="193">
          <cell r="A193" t="str">
            <v>南芜2#阀室</v>
          </cell>
          <cell r="B193" t="str">
            <v>一级</v>
          </cell>
          <cell r="C193" t="str">
            <v>西气东输一线</v>
          </cell>
          <cell r="D193" t="str">
            <v>南芜支线</v>
          </cell>
        </row>
        <row r="194">
          <cell r="A194" t="str">
            <v>南芜3#阀室</v>
          </cell>
          <cell r="B194" t="str">
            <v>一级</v>
          </cell>
          <cell r="C194" t="str">
            <v>西气东输一线</v>
          </cell>
          <cell r="D194" t="str">
            <v>南芜支线</v>
          </cell>
        </row>
        <row r="195">
          <cell r="A195" t="str">
            <v>江宁分输站</v>
          </cell>
          <cell r="B195" t="str">
            <v>一级</v>
          </cell>
          <cell r="C195" t="str">
            <v>西气东输一线</v>
          </cell>
          <cell r="D195" t="str">
            <v>南芜支线</v>
          </cell>
        </row>
        <row r="196">
          <cell r="A196" t="str">
            <v>南芜5#阀室</v>
          </cell>
          <cell r="B196" t="str">
            <v>一级</v>
          </cell>
          <cell r="C196" t="str">
            <v>西气东输一线</v>
          </cell>
          <cell r="D196" t="str">
            <v>南芜支线</v>
          </cell>
        </row>
        <row r="197">
          <cell r="A197" t="str">
            <v>马鞍山分输站</v>
          </cell>
          <cell r="B197" t="str">
            <v>一级</v>
          </cell>
          <cell r="C197" t="str">
            <v>西气东输一线</v>
          </cell>
          <cell r="D197" t="str">
            <v>南芜支线</v>
          </cell>
        </row>
        <row r="198">
          <cell r="A198" t="str">
            <v>南芜6#阀室</v>
          </cell>
          <cell r="B198" t="str">
            <v>一级</v>
          </cell>
          <cell r="C198" t="str">
            <v>西气东输一线</v>
          </cell>
          <cell r="D198" t="str">
            <v>南芜支线</v>
          </cell>
        </row>
        <row r="199">
          <cell r="A199" t="str">
            <v>南芜7#阀室</v>
          </cell>
          <cell r="B199" t="str">
            <v>一级</v>
          </cell>
          <cell r="C199" t="str">
            <v>西气东输一线</v>
          </cell>
          <cell r="D199" t="str">
            <v>南芜支线</v>
          </cell>
        </row>
        <row r="200">
          <cell r="A200" t="str">
            <v>芜湖末站</v>
          </cell>
          <cell r="B200" t="str">
            <v>一级</v>
          </cell>
          <cell r="C200" t="str">
            <v>西气东输一线</v>
          </cell>
          <cell r="D200" t="str">
            <v>南芜支线</v>
          </cell>
        </row>
        <row r="201">
          <cell r="A201" t="str">
            <v>常长1#阀室</v>
          </cell>
          <cell r="B201" t="str">
            <v>一级</v>
          </cell>
          <cell r="C201" t="str">
            <v>西气东输一线</v>
          </cell>
          <cell r="D201" t="str">
            <v>常长支线</v>
          </cell>
        </row>
        <row r="202">
          <cell r="A202" t="str">
            <v>武进分输站</v>
          </cell>
          <cell r="B202" t="str">
            <v>一级</v>
          </cell>
          <cell r="C202" t="str">
            <v>西气东输一线</v>
          </cell>
          <cell r="D202" t="str">
            <v>常长支线</v>
          </cell>
        </row>
        <row r="203">
          <cell r="A203" t="str">
            <v>常长2#阀室</v>
          </cell>
          <cell r="B203" t="str">
            <v>一级</v>
          </cell>
          <cell r="C203" t="str">
            <v>西气东输一线</v>
          </cell>
          <cell r="D203" t="str">
            <v>常长支线</v>
          </cell>
        </row>
        <row r="204">
          <cell r="A204" t="str">
            <v>宜兴分输站</v>
          </cell>
          <cell r="B204" t="str">
            <v>一级</v>
          </cell>
          <cell r="C204" t="str">
            <v>西气东输一线</v>
          </cell>
          <cell r="D204" t="str">
            <v>常长支线</v>
          </cell>
        </row>
        <row r="205">
          <cell r="A205" t="str">
            <v>常长3#阀室</v>
          </cell>
          <cell r="B205" t="str">
            <v>一级</v>
          </cell>
          <cell r="C205" t="str">
            <v>西气东输一线</v>
          </cell>
          <cell r="D205" t="str">
            <v>常长支线</v>
          </cell>
        </row>
        <row r="206">
          <cell r="A206" t="str">
            <v>常长4#阀室</v>
          </cell>
          <cell r="B206" t="str">
            <v>一级</v>
          </cell>
          <cell r="C206" t="str">
            <v>西气东输一线</v>
          </cell>
          <cell r="D206" t="str">
            <v>常长支线</v>
          </cell>
        </row>
        <row r="207">
          <cell r="A207" t="str">
            <v>长兴末站</v>
          </cell>
          <cell r="B207" t="str">
            <v>一级</v>
          </cell>
          <cell r="C207" t="str">
            <v>西气东输一线</v>
          </cell>
          <cell r="D207" t="str">
            <v>常长支线</v>
          </cell>
        </row>
        <row r="208">
          <cell r="A208" t="str">
            <v>望亭分输站</v>
          </cell>
          <cell r="B208" t="str">
            <v>一级</v>
          </cell>
          <cell r="C208" t="str">
            <v>西气东输一线</v>
          </cell>
          <cell r="D208" t="str">
            <v>望亭电厂支线</v>
          </cell>
        </row>
        <row r="209">
          <cell r="A209" t="str">
            <v>溧阳1#阀室</v>
          </cell>
          <cell r="B209" t="str">
            <v>一级</v>
          </cell>
          <cell r="C209" t="str">
            <v>西气东输一线</v>
          </cell>
          <cell r="D209" t="str">
            <v>溧阳支线</v>
          </cell>
        </row>
        <row r="210">
          <cell r="A210" t="str">
            <v>溧阳末站</v>
          </cell>
          <cell r="B210" t="str">
            <v>一级</v>
          </cell>
          <cell r="C210" t="str">
            <v>西气东输一线</v>
          </cell>
          <cell r="D210" t="str">
            <v>溧阳支线</v>
          </cell>
        </row>
        <row r="211">
          <cell r="A211" t="str">
            <v>扬子扬巴末站</v>
          </cell>
          <cell r="B211" t="str">
            <v>一级</v>
          </cell>
          <cell r="C211" t="str">
            <v>西气东输一线</v>
          </cell>
          <cell r="D211" t="str">
            <v>扬巴支线</v>
          </cell>
        </row>
        <row r="212">
          <cell r="A212" t="str">
            <v>金陵电厂</v>
          </cell>
          <cell r="B212" t="str">
            <v>一级</v>
          </cell>
          <cell r="C212" t="str">
            <v>西气东输一线</v>
          </cell>
          <cell r="D212" t="str">
            <v>金陵电厂支线</v>
          </cell>
        </row>
        <row r="213">
          <cell r="A213" t="str">
            <v>金坛1#阀室</v>
          </cell>
          <cell r="B213" t="str">
            <v>一级</v>
          </cell>
          <cell r="C213" t="str">
            <v>西气东输一线</v>
          </cell>
          <cell r="D213" t="str">
            <v>金坛储气库管道</v>
          </cell>
        </row>
        <row r="214">
          <cell r="A214" t="str">
            <v>金坛分输站</v>
          </cell>
          <cell r="B214" t="str">
            <v>一级</v>
          </cell>
          <cell r="C214" t="str">
            <v>西气东输一线</v>
          </cell>
          <cell r="D214" t="str">
            <v>金坛储气库管道</v>
          </cell>
        </row>
        <row r="215">
          <cell r="A215" t="str">
            <v>巴城分输站</v>
          </cell>
          <cell r="B215" t="str">
            <v>一级</v>
          </cell>
          <cell r="C215" t="str">
            <v>西气东输一线</v>
          </cell>
          <cell r="D215" t="str">
            <v>宝钢支线</v>
          </cell>
        </row>
        <row r="216">
          <cell r="A216" t="str">
            <v>周市分输站</v>
          </cell>
          <cell r="B216" t="str">
            <v>一级</v>
          </cell>
          <cell r="C216" t="str">
            <v>西气东输一线</v>
          </cell>
          <cell r="D216" t="str">
            <v>宝钢支线</v>
          </cell>
        </row>
        <row r="217">
          <cell r="A217" t="str">
            <v>太仓分输站</v>
          </cell>
          <cell r="B217" t="str">
            <v>一级</v>
          </cell>
          <cell r="C217" t="str">
            <v>西气东输一线</v>
          </cell>
          <cell r="D217" t="str">
            <v>宝钢支线</v>
          </cell>
        </row>
        <row r="218">
          <cell r="A218" t="str">
            <v>宝钢4#阀室</v>
          </cell>
          <cell r="B218" t="str">
            <v>一级</v>
          </cell>
          <cell r="C218" t="str">
            <v>西气东输一线</v>
          </cell>
          <cell r="D218" t="str">
            <v>宝钢支线</v>
          </cell>
        </row>
        <row r="219">
          <cell r="A219" t="str">
            <v>浏河分输站</v>
          </cell>
          <cell r="B219" t="str">
            <v>一级</v>
          </cell>
          <cell r="C219" t="str">
            <v>西气东输一线</v>
          </cell>
          <cell r="D219" t="str">
            <v>宝钢支线</v>
          </cell>
        </row>
        <row r="220">
          <cell r="A220" t="str">
            <v>金石路分输站</v>
          </cell>
          <cell r="B220" t="str">
            <v>一级</v>
          </cell>
          <cell r="C220" t="str">
            <v>西气东输一线</v>
          </cell>
          <cell r="D220" t="str">
            <v>宝钢支线</v>
          </cell>
        </row>
        <row r="221">
          <cell r="A221" t="str">
            <v>金溧1#阀室</v>
          </cell>
          <cell r="B221" t="str">
            <v>一级</v>
          </cell>
          <cell r="C221" t="str">
            <v>西气东输一线</v>
          </cell>
          <cell r="D221" t="str">
            <v>金坛-溧阳支线</v>
          </cell>
        </row>
        <row r="222">
          <cell r="A222" t="str">
            <v>金溧2#阀室</v>
          </cell>
          <cell r="B222" t="str">
            <v>一级</v>
          </cell>
          <cell r="C222" t="str">
            <v>西气东输一线</v>
          </cell>
          <cell r="D222" t="str">
            <v>金坛-溧阳支线</v>
          </cell>
        </row>
        <row r="223">
          <cell r="A223" t="str">
            <v>南渡分输站</v>
          </cell>
          <cell r="B223" t="str">
            <v>一级</v>
          </cell>
          <cell r="C223" t="str">
            <v>西气东输一线</v>
          </cell>
          <cell r="D223" t="str">
            <v>金坛-溧阳支线</v>
          </cell>
        </row>
        <row r="224">
          <cell r="A224" t="str">
            <v>冀宁1#阀室</v>
          </cell>
          <cell r="B224" t="str">
            <v>一级</v>
          </cell>
          <cell r="C224" t="str">
            <v>冀宁线</v>
          </cell>
          <cell r="D224" t="str">
            <v>冀宁线干线苏北段</v>
          </cell>
        </row>
        <row r="225">
          <cell r="A225" t="str">
            <v>冀宁2#阀室</v>
          </cell>
          <cell r="B225" t="str">
            <v>一级</v>
          </cell>
          <cell r="C225" t="str">
            <v>冀宁线</v>
          </cell>
          <cell r="D225" t="str">
            <v>冀宁线干线苏北段</v>
          </cell>
        </row>
        <row r="226">
          <cell r="A226" t="str">
            <v>仪征分输站</v>
          </cell>
          <cell r="B226" t="str">
            <v>一级</v>
          </cell>
          <cell r="C226" t="str">
            <v>冀宁线</v>
          </cell>
          <cell r="D226" t="str">
            <v>冀宁线干线苏北段</v>
          </cell>
        </row>
        <row r="227">
          <cell r="A227" t="str">
            <v>扬州分输站</v>
          </cell>
          <cell r="B227" t="str">
            <v>一级</v>
          </cell>
          <cell r="C227" t="str">
            <v>冀宁线</v>
          </cell>
          <cell r="D227" t="str">
            <v>冀宁线干线苏北段</v>
          </cell>
        </row>
        <row r="228">
          <cell r="A228" t="str">
            <v>冀宁3#阀室</v>
          </cell>
          <cell r="B228" t="str">
            <v>一级</v>
          </cell>
          <cell r="C228" t="str">
            <v>冀宁线</v>
          </cell>
          <cell r="D228" t="str">
            <v>冀宁线干线苏北段</v>
          </cell>
        </row>
        <row r="229">
          <cell r="A229" t="str">
            <v>江都分输站</v>
          </cell>
          <cell r="B229" t="str">
            <v>一级</v>
          </cell>
          <cell r="C229" t="str">
            <v>冀宁线</v>
          </cell>
          <cell r="D229" t="str">
            <v>冀宁线干线苏北段</v>
          </cell>
        </row>
        <row r="230">
          <cell r="A230" t="str">
            <v>冀宁4#阀室</v>
          </cell>
          <cell r="B230" t="str">
            <v>一级</v>
          </cell>
          <cell r="C230" t="str">
            <v>冀宁线</v>
          </cell>
          <cell r="D230" t="str">
            <v>冀宁线干线苏北段</v>
          </cell>
        </row>
        <row r="231">
          <cell r="A231" t="str">
            <v>冀宁5#阀室</v>
          </cell>
          <cell r="B231" t="str">
            <v>一级</v>
          </cell>
          <cell r="C231" t="str">
            <v>冀宁线</v>
          </cell>
          <cell r="D231" t="str">
            <v>冀宁线干线苏北段</v>
          </cell>
        </row>
        <row r="232">
          <cell r="A232" t="str">
            <v>高邮分输站</v>
          </cell>
          <cell r="B232" t="str">
            <v>一级</v>
          </cell>
          <cell r="C232" t="str">
            <v>冀宁线</v>
          </cell>
          <cell r="D232" t="str">
            <v>冀宁线干线苏北段</v>
          </cell>
        </row>
        <row r="233">
          <cell r="A233" t="str">
            <v>冀宁7#阀室</v>
          </cell>
          <cell r="B233" t="str">
            <v>一级</v>
          </cell>
          <cell r="C233" t="str">
            <v>冀宁线</v>
          </cell>
          <cell r="D233" t="str">
            <v>冀宁线干线苏北段</v>
          </cell>
        </row>
        <row r="234">
          <cell r="A234" t="str">
            <v>冀宁8#阀室</v>
          </cell>
          <cell r="B234" t="str">
            <v>一级</v>
          </cell>
          <cell r="C234" t="str">
            <v>冀宁线</v>
          </cell>
          <cell r="D234" t="str">
            <v>冀宁线干线苏北段</v>
          </cell>
        </row>
        <row r="235">
          <cell r="A235" t="str">
            <v>冀宁9#阀室</v>
          </cell>
          <cell r="B235" t="str">
            <v>一级</v>
          </cell>
          <cell r="C235" t="str">
            <v>冀宁线</v>
          </cell>
          <cell r="D235" t="str">
            <v>冀宁线干线苏北段</v>
          </cell>
        </row>
        <row r="236">
          <cell r="A236" t="str">
            <v>宝应分输站</v>
          </cell>
          <cell r="B236" t="str">
            <v>一级</v>
          </cell>
          <cell r="C236" t="str">
            <v>冀宁线</v>
          </cell>
          <cell r="D236" t="str">
            <v>冀宁线干线苏北段</v>
          </cell>
        </row>
        <row r="237">
          <cell r="A237" t="str">
            <v>冀宁11#阀室</v>
          </cell>
          <cell r="B237" t="str">
            <v>一级</v>
          </cell>
          <cell r="C237" t="str">
            <v>冀宁线</v>
          </cell>
          <cell r="D237" t="str">
            <v>冀宁线干线苏北段</v>
          </cell>
        </row>
        <row r="238">
          <cell r="A238" t="str">
            <v>楚州分输站</v>
          </cell>
          <cell r="B238" t="str">
            <v>一级</v>
          </cell>
          <cell r="C238" t="str">
            <v>冀宁线</v>
          </cell>
          <cell r="D238" t="str">
            <v>冀宁线干线苏北段</v>
          </cell>
        </row>
        <row r="239">
          <cell r="A239" t="str">
            <v>冀宁13#阀室</v>
          </cell>
          <cell r="B239" t="str">
            <v>一级</v>
          </cell>
          <cell r="C239" t="str">
            <v>冀宁线</v>
          </cell>
          <cell r="D239" t="str">
            <v>冀宁线干线苏北段</v>
          </cell>
        </row>
        <row r="240">
          <cell r="A240" t="str">
            <v>淮安分输站</v>
          </cell>
          <cell r="B240" t="str">
            <v>一级</v>
          </cell>
          <cell r="C240" t="str">
            <v>冀宁线</v>
          </cell>
          <cell r="D240" t="str">
            <v>冀宁线干线苏北段</v>
          </cell>
        </row>
        <row r="241">
          <cell r="A241" t="str">
            <v>刘庄分输站</v>
          </cell>
          <cell r="B241" t="str">
            <v>一级</v>
          </cell>
          <cell r="C241" t="str">
            <v>冀宁线</v>
          </cell>
          <cell r="D241" t="str">
            <v>冀宁线干线苏北段</v>
          </cell>
        </row>
        <row r="242">
          <cell r="A242" t="str">
            <v>冀宁14#阀室</v>
          </cell>
          <cell r="B242" t="str">
            <v>一级</v>
          </cell>
          <cell r="C242" t="str">
            <v>冀宁线</v>
          </cell>
          <cell r="D242" t="str">
            <v>冀宁线干线苏北段</v>
          </cell>
        </row>
        <row r="243">
          <cell r="A243" t="str">
            <v>泗阳分输站</v>
          </cell>
          <cell r="B243" t="str">
            <v>一级</v>
          </cell>
          <cell r="C243" t="str">
            <v>冀宁线</v>
          </cell>
          <cell r="D243" t="str">
            <v>冀宁线干线苏北段</v>
          </cell>
        </row>
        <row r="244">
          <cell r="A244" t="str">
            <v>冀宁16#阀室</v>
          </cell>
          <cell r="B244" t="str">
            <v>一级</v>
          </cell>
          <cell r="C244" t="str">
            <v>冀宁线</v>
          </cell>
          <cell r="D244" t="str">
            <v>冀宁线干线苏北段</v>
          </cell>
        </row>
        <row r="245">
          <cell r="A245" t="str">
            <v>宿迁分输站</v>
          </cell>
          <cell r="B245" t="str">
            <v>一级</v>
          </cell>
          <cell r="C245" t="str">
            <v>冀宁线</v>
          </cell>
          <cell r="D245" t="str">
            <v>冀宁线干线苏北段</v>
          </cell>
        </row>
        <row r="246">
          <cell r="A246" t="str">
            <v>冀宁17#阀室</v>
          </cell>
          <cell r="B246" t="str">
            <v>一级</v>
          </cell>
          <cell r="C246" t="str">
            <v>冀宁线</v>
          </cell>
          <cell r="D246" t="str">
            <v>冀宁线干线苏北段</v>
          </cell>
        </row>
        <row r="247">
          <cell r="A247" t="str">
            <v>冀宁18#阀室</v>
          </cell>
          <cell r="B247" t="str">
            <v>一级</v>
          </cell>
          <cell r="C247" t="str">
            <v>冀宁线</v>
          </cell>
          <cell r="D247" t="str">
            <v>冀宁线干线苏北段</v>
          </cell>
        </row>
        <row r="248">
          <cell r="A248" t="str">
            <v>冀宁19#阀室</v>
          </cell>
          <cell r="B248" t="str">
            <v>一级</v>
          </cell>
          <cell r="C248" t="str">
            <v>冀宁线</v>
          </cell>
          <cell r="D248" t="str">
            <v>冀宁线干线苏北段</v>
          </cell>
        </row>
        <row r="249">
          <cell r="A249" t="str">
            <v>邳州压气站</v>
          </cell>
          <cell r="B249" t="str">
            <v>一级</v>
          </cell>
          <cell r="C249" t="str">
            <v>冀宁线</v>
          </cell>
          <cell r="D249" t="str">
            <v>冀宁线干线苏北段</v>
          </cell>
        </row>
        <row r="250">
          <cell r="A250" t="str">
            <v>冀宁20#阀室</v>
          </cell>
          <cell r="B250" t="str">
            <v>一级</v>
          </cell>
          <cell r="C250" t="str">
            <v>冀宁线</v>
          </cell>
          <cell r="D250" t="str">
            <v>冀宁线干线苏北段</v>
          </cell>
        </row>
        <row r="251">
          <cell r="A251" t="str">
            <v>冀宁21#阀室</v>
          </cell>
          <cell r="B251" t="str">
            <v>一级</v>
          </cell>
          <cell r="C251" t="str">
            <v>冀宁线</v>
          </cell>
          <cell r="D251" t="str">
            <v>冀宁线干线苏北段</v>
          </cell>
        </row>
        <row r="252">
          <cell r="A252" t="str">
            <v>冀宁22#阀室</v>
          </cell>
          <cell r="B252" t="str">
            <v>一级</v>
          </cell>
          <cell r="C252" t="str">
            <v>冀宁线</v>
          </cell>
          <cell r="D252" t="str">
            <v>冀宁线干线苏北段</v>
          </cell>
        </row>
        <row r="253">
          <cell r="A253" t="str">
            <v>枣庄分输站</v>
          </cell>
          <cell r="B253" t="str">
            <v>一级</v>
          </cell>
          <cell r="C253" t="str">
            <v>冀宁线</v>
          </cell>
          <cell r="D253" t="str">
            <v>冀宁线干线苏北段</v>
          </cell>
        </row>
        <row r="254">
          <cell r="A254" t="str">
            <v>冀宁23#阀室</v>
          </cell>
          <cell r="B254" t="str">
            <v>一级</v>
          </cell>
          <cell r="C254" t="str">
            <v>冀宁线</v>
          </cell>
          <cell r="D254" t="str">
            <v>冀宁线干线苏北段</v>
          </cell>
        </row>
        <row r="255">
          <cell r="A255" t="str">
            <v>滕州分输站</v>
          </cell>
          <cell r="B255" t="str">
            <v>一级</v>
          </cell>
          <cell r="C255" t="str">
            <v>冀宁线</v>
          </cell>
          <cell r="D255" t="str">
            <v>冀宁线干线苏北段</v>
          </cell>
        </row>
        <row r="256">
          <cell r="A256" t="str">
            <v>冀宁24#阀室</v>
          </cell>
          <cell r="B256" t="str">
            <v>一级</v>
          </cell>
          <cell r="C256" t="str">
            <v>冀宁线</v>
          </cell>
          <cell r="D256" t="str">
            <v>冀宁线干线苏北段</v>
          </cell>
        </row>
        <row r="257">
          <cell r="A257" t="str">
            <v>冀宁25#阀室</v>
          </cell>
          <cell r="B257" t="str">
            <v>一级</v>
          </cell>
          <cell r="C257" t="str">
            <v>冀宁线</v>
          </cell>
          <cell r="D257" t="str">
            <v>冀宁线干线苏北段</v>
          </cell>
        </row>
        <row r="258">
          <cell r="A258" t="str">
            <v>曲阜分输站</v>
          </cell>
          <cell r="B258" t="str">
            <v>一级</v>
          </cell>
          <cell r="C258" t="str">
            <v>冀宁线</v>
          </cell>
          <cell r="D258" t="str">
            <v>冀宁线干线苏北段</v>
          </cell>
        </row>
        <row r="259">
          <cell r="A259" t="str">
            <v>冀宁26#阀室</v>
          </cell>
          <cell r="B259" t="str">
            <v>一级</v>
          </cell>
          <cell r="C259" t="str">
            <v>冀宁线</v>
          </cell>
          <cell r="D259" t="str">
            <v>冀宁线干线苏北段</v>
          </cell>
        </row>
        <row r="260">
          <cell r="A260" t="str">
            <v>冀宁27#阀室</v>
          </cell>
          <cell r="B260" t="str">
            <v>一级</v>
          </cell>
          <cell r="C260" t="str">
            <v>冀宁线</v>
          </cell>
          <cell r="D260" t="str">
            <v>冀宁线干线苏北段</v>
          </cell>
        </row>
        <row r="261">
          <cell r="A261" t="str">
            <v>肥城分输站</v>
          </cell>
          <cell r="B261" t="str">
            <v>一级</v>
          </cell>
          <cell r="C261" t="str">
            <v>冀宁线</v>
          </cell>
          <cell r="D261" t="str">
            <v>冀宁线干线苏北段</v>
          </cell>
        </row>
        <row r="262">
          <cell r="A262" t="str">
            <v>泰安分输站</v>
          </cell>
          <cell r="B262" t="str">
            <v>一级</v>
          </cell>
          <cell r="C262" t="str">
            <v>冀宁线</v>
          </cell>
          <cell r="D262" t="str">
            <v>冀宁线干线冀鲁段</v>
          </cell>
        </row>
        <row r="263">
          <cell r="A263" t="str">
            <v>泰安压气站</v>
          </cell>
          <cell r="B263" t="str">
            <v>一级</v>
          </cell>
          <cell r="C263" t="str">
            <v>冀宁线</v>
          </cell>
          <cell r="D263" t="str">
            <v>冀宁线干线冀鲁段</v>
          </cell>
        </row>
        <row r="264">
          <cell r="A264" t="str">
            <v>冀宁29#阀室</v>
          </cell>
          <cell r="B264" t="str">
            <v>一级</v>
          </cell>
          <cell r="C264" t="str">
            <v>冀宁线</v>
          </cell>
          <cell r="D264" t="str">
            <v>冀宁线干线冀鲁段</v>
          </cell>
        </row>
        <row r="265">
          <cell r="A265" t="str">
            <v>济南分输站</v>
          </cell>
          <cell r="B265" t="str">
            <v>一级</v>
          </cell>
          <cell r="C265" t="str">
            <v>冀宁线</v>
          </cell>
          <cell r="D265" t="str">
            <v>冀宁线干线冀鲁段</v>
          </cell>
        </row>
        <row r="266">
          <cell r="A266" t="str">
            <v>冀宁30#阀室</v>
          </cell>
          <cell r="B266" t="str">
            <v>一级</v>
          </cell>
          <cell r="C266" t="str">
            <v>冀宁线</v>
          </cell>
          <cell r="D266" t="str">
            <v>冀宁线干线冀鲁段</v>
          </cell>
        </row>
        <row r="267">
          <cell r="A267" t="str">
            <v>齐河分输站</v>
          </cell>
          <cell r="B267" t="str">
            <v>一级</v>
          </cell>
          <cell r="C267" t="str">
            <v>冀宁线</v>
          </cell>
          <cell r="D267" t="str">
            <v>冀宁线干线冀鲁段</v>
          </cell>
        </row>
        <row r="268">
          <cell r="A268" t="str">
            <v>冀宁32#阀室</v>
          </cell>
          <cell r="B268" t="str">
            <v>一级</v>
          </cell>
          <cell r="C268" t="str">
            <v>冀宁线</v>
          </cell>
          <cell r="D268" t="str">
            <v>冀宁线干线冀鲁段</v>
          </cell>
        </row>
        <row r="269">
          <cell r="A269" t="str">
            <v>冀宁33#阀室</v>
          </cell>
          <cell r="B269" t="str">
            <v>一级</v>
          </cell>
          <cell r="C269" t="str">
            <v>冀宁线</v>
          </cell>
          <cell r="D269" t="str">
            <v>冀宁线干线冀鲁段</v>
          </cell>
        </row>
        <row r="270">
          <cell r="A270" t="str">
            <v>冀宁34#阀室</v>
          </cell>
          <cell r="B270" t="str">
            <v>一级</v>
          </cell>
          <cell r="C270" t="str">
            <v>冀宁线</v>
          </cell>
          <cell r="D270" t="str">
            <v>冀宁线干线冀鲁段</v>
          </cell>
        </row>
        <row r="271">
          <cell r="A271" t="str">
            <v>德州分输站</v>
          </cell>
          <cell r="B271" t="str">
            <v>一级</v>
          </cell>
          <cell r="C271" t="str">
            <v>冀宁线</v>
          </cell>
          <cell r="D271" t="str">
            <v>冀宁线干线冀鲁段</v>
          </cell>
        </row>
        <row r="272">
          <cell r="A272" t="str">
            <v>故城华洋分输站</v>
          </cell>
          <cell r="B272" t="str">
            <v>一级</v>
          </cell>
          <cell r="C272" t="str">
            <v>冀宁线</v>
          </cell>
          <cell r="D272" t="str">
            <v>冀宁线干线冀鲁段</v>
          </cell>
        </row>
        <row r="273">
          <cell r="A273" t="str">
            <v>冀宁36#阀室</v>
          </cell>
          <cell r="B273" t="str">
            <v>一级</v>
          </cell>
          <cell r="C273" t="str">
            <v>冀宁线</v>
          </cell>
          <cell r="D273" t="str">
            <v>冀宁线干线冀鲁段</v>
          </cell>
        </row>
        <row r="274">
          <cell r="A274" t="str">
            <v>衡水分输站</v>
          </cell>
          <cell r="B274" t="str">
            <v>一级</v>
          </cell>
          <cell r="C274" t="str">
            <v>冀宁线</v>
          </cell>
          <cell r="D274" t="str">
            <v>冀宁线干线冀鲁段</v>
          </cell>
        </row>
        <row r="275">
          <cell r="A275" t="str">
            <v>冀宁37#阀室</v>
          </cell>
          <cell r="B275" t="str">
            <v>一级</v>
          </cell>
          <cell r="C275" t="str">
            <v>冀宁线</v>
          </cell>
          <cell r="D275" t="str">
            <v>冀宁线干线冀鲁段</v>
          </cell>
        </row>
        <row r="276">
          <cell r="A276" t="str">
            <v>冀宁38#阀室</v>
          </cell>
          <cell r="B276" t="str">
            <v>一级</v>
          </cell>
          <cell r="C276" t="str">
            <v>冀宁线</v>
          </cell>
          <cell r="D276" t="str">
            <v>冀宁线干线冀鲁段</v>
          </cell>
        </row>
        <row r="277">
          <cell r="A277" t="str">
            <v>冀宁39#阀室</v>
          </cell>
          <cell r="B277" t="str">
            <v>一级</v>
          </cell>
          <cell r="C277" t="str">
            <v>冀宁线</v>
          </cell>
          <cell r="D277" t="str">
            <v>冀宁线干线冀鲁段</v>
          </cell>
        </row>
        <row r="278">
          <cell r="A278" t="str">
            <v>安平压气站</v>
          </cell>
          <cell r="B278" t="str">
            <v>一级</v>
          </cell>
          <cell r="C278" t="str">
            <v>冀宁线</v>
          </cell>
          <cell r="D278" t="str">
            <v>冀宁线干线冀鲁段</v>
          </cell>
        </row>
        <row r="279">
          <cell r="A279" t="str">
            <v>邳连1#阀室</v>
          </cell>
          <cell r="B279" t="str">
            <v>一级</v>
          </cell>
          <cell r="C279" t="str">
            <v>冀宁线</v>
          </cell>
          <cell r="D279" t="str">
            <v>邳连支线</v>
          </cell>
        </row>
        <row r="280">
          <cell r="A280" t="str">
            <v>邳连2#阀室</v>
          </cell>
          <cell r="B280" t="str">
            <v>一级</v>
          </cell>
          <cell r="C280" t="str">
            <v>冀宁线</v>
          </cell>
          <cell r="D280" t="str">
            <v>邳连支线</v>
          </cell>
        </row>
        <row r="281">
          <cell r="A281" t="str">
            <v>新沂分输站</v>
          </cell>
          <cell r="B281" t="str">
            <v>一级</v>
          </cell>
          <cell r="C281" t="str">
            <v>冀宁线</v>
          </cell>
          <cell r="D281" t="str">
            <v>邳连支线</v>
          </cell>
        </row>
        <row r="282">
          <cell r="A282" t="str">
            <v>邳连4#阀室</v>
          </cell>
          <cell r="B282" t="str">
            <v>一级</v>
          </cell>
          <cell r="C282" t="str">
            <v>冀宁线</v>
          </cell>
          <cell r="D282" t="str">
            <v>邳连支线</v>
          </cell>
        </row>
        <row r="283">
          <cell r="A283" t="str">
            <v>邳连5#阀室</v>
          </cell>
          <cell r="B283" t="str">
            <v>一级</v>
          </cell>
          <cell r="C283" t="str">
            <v>冀宁线</v>
          </cell>
          <cell r="D283" t="str">
            <v>邳连支线</v>
          </cell>
        </row>
        <row r="284">
          <cell r="A284" t="str">
            <v>邳连6#阀室</v>
          </cell>
          <cell r="B284" t="str">
            <v>一级</v>
          </cell>
          <cell r="C284" t="str">
            <v>冀宁线</v>
          </cell>
          <cell r="D284" t="str">
            <v>邳连支线</v>
          </cell>
        </row>
        <row r="285">
          <cell r="A285" t="str">
            <v>连云港分输站</v>
          </cell>
          <cell r="B285" t="str">
            <v>一级</v>
          </cell>
          <cell r="C285" t="str">
            <v>冀宁线</v>
          </cell>
          <cell r="D285" t="str">
            <v>邳连支线</v>
          </cell>
        </row>
        <row r="286">
          <cell r="A286" t="str">
            <v>滕临1#阀室</v>
          </cell>
          <cell r="B286" t="str">
            <v>一级</v>
          </cell>
          <cell r="C286" t="str">
            <v>冀宁线</v>
          </cell>
          <cell r="D286" t="str">
            <v>滕临支线</v>
          </cell>
        </row>
        <row r="287">
          <cell r="A287" t="str">
            <v>滕临2#阀室</v>
          </cell>
          <cell r="B287" t="str">
            <v>一级</v>
          </cell>
          <cell r="C287" t="str">
            <v>冀宁线</v>
          </cell>
          <cell r="D287" t="str">
            <v>滕临支线</v>
          </cell>
        </row>
        <row r="288">
          <cell r="A288" t="str">
            <v>滕临3#阀室</v>
          </cell>
          <cell r="B288" t="str">
            <v>一级</v>
          </cell>
          <cell r="C288" t="str">
            <v>冀宁线</v>
          </cell>
          <cell r="D288" t="str">
            <v>滕临支线</v>
          </cell>
        </row>
        <row r="289">
          <cell r="A289" t="str">
            <v>临沂末站</v>
          </cell>
          <cell r="B289" t="str">
            <v>一级</v>
          </cell>
          <cell r="C289" t="str">
            <v>冀宁线</v>
          </cell>
          <cell r="D289" t="str">
            <v>滕临支线</v>
          </cell>
        </row>
        <row r="290">
          <cell r="A290" t="str">
            <v>邳徐1#阀室</v>
          </cell>
          <cell r="B290" t="str">
            <v>一级</v>
          </cell>
          <cell r="C290" t="str">
            <v>冀宁线</v>
          </cell>
          <cell r="D290" t="str">
            <v>邳徐支线</v>
          </cell>
        </row>
        <row r="291">
          <cell r="A291" t="str">
            <v>邳徐2#阀室</v>
          </cell>
          <cell r="B291" t="str">
            <v>一级</v>
          </cell>
          <cell r="C291" t="str">
            <v>冀宁线</v>
          </cell>
          <cell r="D291" t="str">
            <v>邳徐支线</v>
          </cell>
        </row>
        <row r="292">
          <cell r="A292" t="str">
            <v>徐州分输站</v>
          </cell>
          <cell r="B292" t="str">
            <v>一级</v>
          </cell>
          <cell r="C292" t="str">
            <v>冀宁线</v>
          </cell>
          <cell r="D292" t="str">
            <v>邳徐支线</v>
          </cell>
        </row>
        <row r="293">
          <cell r="A293" t="str">
            <v>小雪分输站</v>
          </cell>
          <cell r="B293" t="str">
            <v>一级</v>
          </cell>
          <cell r="C293" t="str">
            <v>冀宁线</v>
          </cell>
          <cell r="D293" t="str">
            <v>济宁支线</v>
          </cell>
        </row>
        <row r="294">
          <cell r="A294" t="str">
            <v>济宁末站</v>
          </cell>
          <cell r="B294" t="str">
            <v>一级</v>
          </cell>
          <cell r="C294" t="str">
            <v>冀宁线</v>
          </cell>
          <cell r="D294" t="str">
            <v>济宁支线</v>
          </cell>
        </row>
        <row r="295">
          <cell r="A295" t="str">
            <v>武城末站</v>
          </cell>
          <cell r="B295" t="str">
            <v>一级</v>
          </cell>
          <cell r="C295" t="str">
            <v>冀宁线</v>
          </cell>
          <cell r="D295" t="str">
            <v>德武支线</v>
          </cell>
        </row>
        <row r="296">
          <cell r="A296" t="str">
            <v>德州末站</v>
          </cell>
          <cell r="B296" t="str">
            <v>一级</v>
          </cell>
          <cell r="C296" t="str">
            <v>冀宁线</v>
          </cell>
          <cell r="D296" t="str">
            <v>德德支线</v>
          </cell>
        </row>
        <row r="297">
          <cell r="A297" t="str">
            <v>如东1#阀室</v>
          </cell>
          <cell r="B297" t="str">
            <v>一级</v>
          </cell>
          <cell r="C297" t="str">
            <v>江苏LNG外输管道</v>
          </cell>
          <cell r="D297" t="str">
            <v>如东线</v>
          </cell>
        </row>
        <row r="298">
          <cell r="A298" t="str">
            <v>如东2#阀室</v>
          </cell>
          <cell r="B298" t="str">
            <v>一级</v>
          </cell>
          <cell r="C298" t="str">
            <v>江苏LNG外输管道</v>
          </cell>
          <cell r="D298" t="str">
            <v>如东线</v>
          </cell>
        </row>
        <row r="299">
          <cell r="A299" t="str">
            <v>泰州分输站</v>
          </cell>
          <cell r="B299" t="str">
            <v>一级</v>
          </cell>
          <cell r="C299" t="str">
            <v>江苏LNG外输管道</v>
          </cell>
          <cell r="D299" t="str">
            <v>如东线</v>
          </cell>
        </row>
        <row r="300">
          <cell r="A300" t="str">
            <v>高港分输站</v>
          </cell>
          <cell r="B300" t="str">
            <v>一级</v>
          </cell>
          <cell r="C300" t="str">
            <v>江苏LNG外输管道</v>
          </cell>
          <cell r="D300" t="str">
            <v>如东线</v>
          </cell>
        </row>
        <row r="301">
          <cell r="A301" t="str">
            <v>如东4#阀室</v>
          </cell>
          <cell r="B301" t="str">
            <v>一级</v>
          </cell>
          <cell r="C301" t="str">
            <v>江苏LNG外输管道</v>
          </cell>
          <cell r="D301" t="str">
            <v>如东线</v>
          </cell>
        </row>
        <row r="302">
          <cell r="A302" t="str">
            <v>如东5#阀室</v>
          </cell>
          <cell r="B302" t="str">
            <v>一级</v>
          </cell>
          <cell r="C302" t="str">
            <v>江苏LNG外输管道</v>
          </cell>
          <cell r="D302" t="str">
            <v>如东线</v>
          </cell>
        </row>
        <row r="303">
          <cell r="A303" t="str">
            <v>泰兴分输站</v>
          </cell>
          <cell r="B303" t="str">
            <v>一级</v>
          </cell>
          <cell r="C303" t="str">
            <v>江苏LNG外输管道</v>
          </cell>
          <cell r="D303" t="str">
            <v>如东线</v>
          </cell>
        </row>
        <row r="304">
          <cell r="A304" t="str">
            <v>如东6#阀室</v>
          </cell>
          <cell r="B304" t="str">
            <v>一级</v>
          </cell>
          <cell r="C304" t="str">
            <v>江苏LNG外输管道</v>
          </cell>
          <cell r="D304" t="str">
            <v>如东线</v>
          </cell>
        </row>
        <row r="305">
          <cell r="A305" t="str">
            <v>如东7#阀室</v>
          </cell>
          <cell r="B305" t="str">
            <v>一级</v>
          </cell>
          <cell r="C305" t="str">
            <v>江苏LNG外输管道</v>
          </cell>
          <cell r="D305" t="str">
            <v>如东线</v>
          </cell>
        </row>
        <row r="306">
          <cell r="A306" t="str">
            <v>如皋分输站</v>
          </cell>
          <cell r="B306" t="str">
            <v>一级</v>
          </cell>
          <cell r="C306" t="str">
            <v>江苏LNG外输管道</v>
          </cell>
          <cell r="D306" t="str">
            <v>如东线</v>
          </cell>
        </row>
        <row r="307">
          <cell r="A307" t="str">
            <v>如东8#阀室</v>
          </cell>
          <cell r="B307" t="str">
            <v>一级</v>
          </cell>
          <cell r="C307" t="str">
            <v>江苏LNG外输管道</v>
          </cell>
          <cell r="D307" t="str">
            <v>如东线</v>
          </cell>
        </row>
        <row r="308">
          <cell r="A308" t="str">
            <v>南通分输站</v>
          </cell>
          <cell r="B308" t="str">
            <v>一级</v>
          </cell>
          <cell r="C308" t="str">
            <v>江苏LNG外输管道</v>
          </cell>
          <cell r="D308" t="str">
            <v>如东线</v>
          </cell>
        </row>
        <row r="309">
          <cell r="A309" t="str">
            <v>如东9#阀室</v>
          </cell>
          <cell r="B309" t="str">
            <v>一级</v>
          </cell>
          <cell r="C309" t="str">
            <v>江苏LNG外输管道</v>
          </cell>
          <cell r="D309" t="str">
            <v>如东线</v>
          </cell>
        </row>
        <row r="310">
          <cell r="A310" t="str">
            <v>如东10#阀室</v>
          </cell>
          <cell r="B310" t="str">
            <v>一级</v>
          </cell>
          <cell r="C310" t="str">
            <v>江苏LNG外输管道</v>
          </cell>
          <cell r="D310" t="str">
            <v>如东线</v>
          </cell>
        </row>
        <row r="311">
          <cell r="A311" t="str">
            <v>如东11#阀室</v>
          </cell>
          <cell r="B311" t="str">
            <v>一级</v>
          </cell>
          <cell r="C311" t="str">
            <v>江苏LNG外输管道</v>
          </cell>
          <cell r="D311" t="str">
            <v>如东线</v>
          </cell>
        </row>
        <row r="312">
          <cell r="A312" t="str">
            <v>如东分输站</v>
          </cell>
          <cell r="B312" t="str">
            <v>一级</v>
          </cell>
          <cell r="C312" t="str">
            <v>江苏LNG外输管道</v>
          </cell>
          <cell r="D312" t="str">
            <v>如东线</v>
          </cell>
        </row>
        <row r="313">
          <cell r="A313" t="str">
            <v>海门1#阀室</v>
          </cell>
          <cell r="B313" t="str">
            <v>一级</v>
          </cell>
          <cell r="C313" t="str">
            <v>江苏LNG外输管道</v>
          </cell>
          <cell r="D313" t="str">
            <v>如东-海门-崇明岛支线</v>
          </cell>
        </row>
        <row r="314">
          <cell r="A314" t="str">
            <v>海门2#阀室</v>
          </cell>
          <cell r="B314" t="str">
            <v>一级</v>
          </cell>
          <cell r="C314" t="str">
            <v>江苏LNG外输管道</v>
          </cell>
          <cell r="D314" t="str">
            <v>如东-海门-崇明岛支线</v>
          </cell>
        </row>
        <row r="315">
          <cell r="A315" t="str">
            <v>海门3#阀室</v>
          </cell>
          <cell r="B315" t="str">
            <v>一级</v>
          </cell>
          <cell r="C315" t="str">
            <v>江苏LNG外输管道</v>
          </cell>
          <cell r="D315" t="str">
            <v>如东-海门-崇明岛支线</v>
          </cell>
        </row>
        <row r="316">
          <cell r="A316" t="str">
            <v>海门4#阀室</v>
          </cell>
          <cell r="B316" t="str">
            <v>一级</v>
          </cell>
          <cell r="C316" t="str">
            <v>江苏LNG外输管道</v>
          </cell>
          <cell r="D316" t="str">
            <v>如东-海门-崇明岛支线</v>
          </cell>
        </row>
        <row r="317">
          <cell r="A317" t="str">
            <v>海门5#阀室</v>
          </cell>
          <cell r="B317" t="str">
            <v>一级</v>
          </cell>
          <cell r="C317" t="str">
            <v>江苏LNG外输管道</v>
          </cell>
          <cell r="D317" t="str">
            <v>如东-海门-崇明岛支线</v>
          </cell>
        </row>
        <row r="318">
          <cell r="A318" t="str">
            <v>海门6#阀室</v>
          </cell>
          <cell r="B318" t="str">
            <v>一级</v>
          </cell>
          <cell r="C318" t="str">
            <v>江苏LNG外输管道</v>
          </cell>
          <cell r="D318" t="str">
            <v>如东-海门-崇明岛支线</v>
          </cell>
        </row>
        <row r="319">
          <cell r="A319" t="str">
            <v>海门分输站</v>
          </cell>
          <cell r="B319" t="str">
            <v>一级</v>
          </cell>
          <cell r="C319" t="str">
            <v>江苏LNG外输管道</v>
          </cell>
          <cell r="D319" t="str">
            <v>如东-海门-崇明岛支线</v>
          </cell>
        </row>
        <row r="320">
          <cell r="A320" t="str">
            <v>崇明燃气门站</v>
          </cell>
          <cell r="B320" t="str">
            <v>一级</v>
          </cell>
          <cell r="C320" t="str">
            <v>江苏LNG外输管道</v>
          </cell>
          <cell r="D320" t="str">
            <v>如东-海门-崇明岛支线</v>
          </cell>
        </row>
        <row r="321">
          <cell r="A321" t="str">
            <v>如东12#阀室</v>
          </cell>
          <cell r="B321" t="str">
            <v>一级</v>
          </cell>
          <cell r="C321" t="str">
            <v>江苏LNG外输管道</v>
          </cell>
          <cell r="D321" t="str">
            <v>泰兴-芙蓉支线</v>
          </cell>
        </row>
        <row r="322">
          <cell r="A322" t="str">
            <v>靖江分输站</v>
          </cell>
          <cell r="B322" t="str">
            <v>一级</v>
          </cell>
          <cell r="C322" t="str">
            <v>江苏LNG外输管道</v>
          </cell>
          <cell r="D322" t="str">
            <v>泰兴-芙蓉支线</v>
          </cell>
        </row>
        <row r="323">
          <cell r="A323" t="str">
            <v>江阴分输站</v>
          </cell>
          <cell r="B323" t="str">
            <v>一级</v>
          </cell>
          <cell r="C323" t="str">
            <v>江苏LNG外输管道</v>
          </cell>
          <cell r="D323" t="str">
            <v>泰兴-芙蓉支线</v>
          </cell>
        </row>
        <row r="324">
          <cell r="A324" t="str">
            <v>如东13#阀室</v>
          </cell>
          <cell r="B324" t="str">
            <v>一级</v>
          </cell>
          <cell r="C324" t="str">
            <v>江苏LNG外输管道</v>
          </cell>
          <cell r="D324" t="str">
            <v>泰兴-芙蓉支线</v>
          </cell>
        </row>
        <row r="325">
          <cell r="A325" t="str">
            <v>如东14#阀室</v>
          </cell>
          <cell r="B325" t="str">
            <v>一级</v>
          </cell>
          <cell r="C325" t="str">
            <v>江苏LNG外输管道</v>
          </cell>
          <cell r="D325" t="str">
            <v>泰兴-芙蓉支线</v>
          </cell>
        </row>
        <row r="326">
          <cell r="A326" t="str">
            <v>淮武1#阀室</v>
          </cell>
          <cell r="B326" t="str">
            <v>一级</v>
          </cell>
          <cell r="C326" t="str">
            <v>淮武线</v>
          </cell>
          <cell r="D326" t="str">
            <v>淮武线</v>
          </cell>
        </row>
        <row r="327">
          <cell r="A327" t="str">
            <v>淮武2#阀室</v>
          </cell>
          <cell r="B327" t="str">
            <v>一级</v>
          </cell>
          <cell r="C327" t="str">
            <v>淮武线</v>
          </cell>
          <cell r="D327" t="str">
            <v>淮武线</v>
          </cell>
        </row>
        <row r="328">
          <cell r="A328" t="str">
            <v>淮武3#阀室</v>
          </cell>
          <cell r="B328" t="str">
            <v>一级</v>
          </cell>
          <cell r="C328" t="str">
            <v>淮武线</v>
          </cell>
          <cell r="D328" t="str">
            <v>淮武线</v>
          </cell>
        </row>
        <row r="329">
          <cell r="A329" t="str">
            <v>平舆分输站</v>
          </cell>
          <cell r="B329" t="str">
            <v>一级</v>
          </cell>
          <cell r="C329" t="str">
            <v>淮武线</v>
          </cell>
          <cell r="D329" t="str">
            <v>淮武线</v>
          </cell>
        </row>
        <row r="330">
          <cell r="A330" t="str">
            <v>淮武4#阀室</v>
          </cell>
          <cell r="B330" t="str">
            <v>一级</v>
          </cell>
          <cell r="C330" t="str">
            <v>淮武线</v>
          </cell>
          <cell r="D330" t="str">
            <v>淮武线</v>
          </cell>
        </row>
        <row r="331">
          <cell r="A331" t="str">
            <v>淮武5#阀室</v>
          </cell>
          <cell r="B331" t="str">
            <v>一级</v>
          </cell>
          <cell r="C331" t="str">
            <v>淮武线</v>
          </cell>
          <cell r="D331" t="str">
            <v>淮武线</v>
          </cell>
        </row>
        <row r="332">
          <cell r="A332" t="str">
            <v>淮武6#阀室</v>
          </cell>
          <cell r="B332" t="str">
            <v>一级</v>
          </cell>
          <cell r="C332" t="str">
            <v>淮武线</v>
          </cell>
          <cell r="D332" t="str">
            <v>淮武线</v>
          </cell>
        </row>
        <row r="333">
          <cell r="A333" t="str">
            <v>淮武7#阀室</v>
          </cell>
          <cell r="B333" t="str">
            <v>一级</v>
          </cell>
          <cell r="C333" t="str">
            <v>淮武线</v>
          </cell>
          <cell r="D333" t="str">
            <v>淮武线</v>
          </cell>
        </row>
        <row r="334">
          <cell r="A334" t="str">
            <v>潢川分输站</v>
          </cell>
          <cell r="B334" t="str">
            <v>一级</v>
          </cell>
          <cell r="C334" t="str">
            <v>淮武线</v>
          </cell>
          <cell r="D334" t="str">
            <v>淮武线</v>
          </cell>
        </row>
        <row r="335">
          <cell r="A335" t="str">
            <v>淮武8#阀室</v>
          </cell>
          <cell r="B335" t="str">
            <v>一级</v>
          </cell>
          <cell r="C335" t="str">
            <v>淮武线</v>
          </cell>
          <cell r="D335" t="str">
            <v>淮武线</v>
          </cell>
        </row>
        <row r="336">
          <cell r="A336" t="str">
            <v>淮武9#阀室</v>
          </cell>
          <cell r="B336" t="str">
            <v>一级</v>
          </cell>
          <cell r="C336" t="str">
            <v>淮武线</v>
          </cell>
          <cell r="D336" t="str">
            <v>淮武线</v>
          </cell>
        </row>
        <row r="337">
          <cell r="A337" t="str">
            <v>淮武10#阀室</v>
          </cell>
          <cell r="B337" t="str">
            <v>一级</v>
          </cell>
          <cell r="C337" t="str">
            <v>淮武线</v>
          </cell>
          <cell r="D337" t="str">
            <v>淮武线</v>
          </cell>
        </row>
        <row r="338">
          <cell r="A338" t="str">
            <v>淮武11#阀室</v>
          </cell>
          <cell r="B338" t="str">
            <v>一级</v>
          </cell>
          <cell r="C338" t="str">
            <v>淮武线</v>
          </cell>
          <cell r="D338" t="str">
            <v>淮武线</v>
          </cell>
        </row>
        <row r="339">
          <cell r="A339" t="str">
            <v>淮武12#阀室</v>
          </cell>
          <cell r="B339" t="str">
            <v>一级</v>
          </cell>
          <cell r="C339" t="str">
            <v>淮武线</v>
          </cell>
          <cell r="D339" t="str">
            <v>淮武线</v>
          </cell>
        </row>
        <row r="340">
          <cell r="A340" t="str">
            <v>红安分输站</v>
          </cell>
          <cell r="B340" t="str">
            <v>一级</v>
          </cell>
          <cell r="C340" t="str">
            <v>淮武线</v>
          </cell>
          <cell r="D340" t="str">
            <v>淮武线</v>
          </cell>
        </row>
        <row r="341">
          <cell r="A341" t="str">
            <v>淮武13#阀室</v>
          </cell>
          <cell r="B341" t="str">
            <v>一级</v>
          </cell>
          <cell r="C341" t="str">
            <v>淮武线</v>
          </cell>
          <cell r="D341" t="str">
            <v>淮武线</v>
          </cell>
        </row>
        <row r="342">
          <cell r="A342" t="str">
            <v>淮武14#阀室</v>
          </cell>
          <cell r="B342" t="str">
            <v>一级</v>
          </cell>
          <cell r="C342" t="str">
            <v>淮武线</v>
          </cell>
          <cell r="D342" t="str">
            <v>淮武线</v>
          </cell>
        </row>
        <row r="343">
          <cell r="A343" t="str">
            <v>淮武15#阀室</v>
          </cell>
          <cell r="B343" t="str">
            <v>一级</v>
          </cell>
          <cell r="C343" t="str">
            <v>淮武线</v>
          </cell>
          <cell r="D343" t="str">
            <v>淮武线</v>
          </cell>
        </row>
        <row r="344">
          <cell r="A344" t="str">
            <v>淮武16#阀室</v>
          </cell>
          <cell r="B344" t="str">
            <v>一级</v>
          </cell>
          <cell r="C344" t="str">
            <v>淮武线</v>
          </cell>
          <cell r="D344" t="str">
            <v>淮武线</v>
          </cell>
        </row>
        <row r="345">
          <cell r="A345" t="str">
            <v>淮武17#阀室</v>
          </cell>
          <cell r="B345" t="str">
            <v>一级</v>
          </cell>
          <cell r="C345" t="str">
            <v>淮武线</v>
          </cell>
          <cell r="D345" t="str">
            <v>淮武线</v>
          </cell>
        </row>
        <row r="346">
          <cell r="A346" t="str">
            <v>淮武18#阀室</v>
          </cell>
          <cell r="B346" t="str">
            <v>一级</v>
          </cell>
          <cell r="C346" t="str">
            <v>淮武线</v>
          </cell>
          <cell r="D346" t="str">
            <v>淮武线</v>
          </cell>
        </row>
        <row r="347">
          <cell r="A347" t="str">
            <v>淮武19#阀室</v>
          </cell>
          <cell r="B347" t="str">
            <v>一级</v>
          </cell>
          <cell r="C347" t="str">
            <v>淮武线</v>
          </cell>
          <cell r="D347" t="str">
            <v>淮武线</v>
          </cell>
        </row>
        <row r="348">
          <cell r="A348" t="str">
            <v>淮武20#阀室</v>
          </cell>
          <cell r="B348" t="str">
            <v>一级</v>
          </cell>
          <cell r="C348" t="str">
            <v>淮武线</v>
          </cell>
          <cell r="D348" t="str">
            <v>淮武线</v>
          </cell>
        </row>
        <row r="349">
          <cell r="A349" t="str">
            <v>武汉西分输站</v>
          </cell>
          <cell r="B349" t="str">
            <v>一级</v>
          </cell>
          <cell r="C349" t="str">
            <v>淮武线</v>
          </cell>
          <cell r="D349" t="str">
            <v>淮武线</v>
          </cell>
        </row>
        <row r="350">
          <cell r="A350" t="str">
            <v>霍尔果斯压气站</v>
          </cell>
          <cell r="B350" t="str">
            <v>一级</v>
          </cell>
          <cell r="C350" t="str">
            <v>西气东输二线</v>
          </cell>
          <cell r="D350" t="str">
            <v>西二线干线新疆段</v>
          </cell>
        </row>
        <row r="351">
          <cell r="A351" t="str">
            <v>西二1#阀室</v>
          </cell>
          <cell r="B351" t="str">
            <v>一级</v>
          </cell>
          <cell r="C351" t="str">
            <v>西气东输二线</v>
          </cell>
          <cell r="D351" t="str">
            <v>西二线干线新疆段</v>
          </cell>
        </row>
        <row r="352">
          <cell r="A352" t="str">
            <v>西二2#阀室</v>
          </cell>
          <cell r="B352" t="str">
            <v>一级</v>
          </cell>
          <cell r="C352" t="str">
            <v>西气东输二线</v>
          </cell>
          <cell r="D352" t="str">
            <v>西二线干线新疆段</v>
          </cell>
        </row>
        <row r="353">
          <cell r="A353" t="str">
            <v>西二3#阀室</v>
          </cell>
          <cell r="B353" t="str">
            <v>一级</v>
          </cell>
          <cell r="C353" t="str">
            <v>西气东输二线</v>
          </cell>
          <cell r="D353" t="str">
            <v>西二线干线新疆段</v>
          </cell>
        </row>
        <row r="354">
          <cell r="A354" t="str">
            <v>西二4#阀室</v>
          </cell>
          <cell r="B354" t="str">
            <v>一级</v>
          </cell>
          <cell r="C354" t="str">
            <v>西气东输二线</v>
          </cell>
          <cell r="D354" t="str">
            <v>西二线干线新疆段</v>
          </cell>
        </row>
        <row r="355">
          <cell r="A355" t="str">
            <v>西二5#阀室</v>
          </cell>
          <cell r="B355" t="str">
            <v>一级</v>
          </cell>
          <cell r="C355" t="str">
            <v>西气东输二线</v>
          </cell>
          <cell r="D355" t="str">
            <v>西二线干线新疆段</v>
          </cell>
        </row>
        <row r="356">
          <cell r="A356" t="str">
            <v>精河压气站</v>
          </cell>
          <cell r="B356" t="str">
            <v>一级</v>
          </cell>
          <cell r="C356" t="str">
            <v>西气东输二线</v>
          </cell>
          <cell r="D356" t="str">
            <v>西二线干线新疆段</v>
          </cell>
        </row>
        <row r="357">
          <cell r="A357" t="str">
            <v>西二6#阀室</v>
          </cell>
          <cell r="B357" t="str">
            <v>一级</v>
          </cell>
          <cell r="C357" t="str">
            <v>西气东输二线</v>
          </cell>
          <cell r="D357" t="str">
            <v>西二线干线新疆段</v>
          </cell>
        </row>
        <row r="358">
          <cell r="A358" t="str">
            <v>西二7#阀室</v>
          </cell>
          <cell r="B358" t="str">
            <v>一级</v>
          </cell>
          <cell r="C358" t="str">
            <v>西气东输二线</v>
          </cell>
          <cell r="D358" t="str">
            <v>西二线干线新疆段</v>
          </cell>
        </row>
        <row r="359">
          <cell r="A359" t="str">
            <v>西二8#阀室</v>
          </cell>
          <cell r="B359" t="str">
            <v>一级</v>
          </cell>
          <cell r="C359" t="str">
            <v>西气东输二线</v>
          </cell>
          <cell r="D359" t="str">
            <v>西二线干线新疆段</v>
          </cell>
        </row>
        <row r="360">
          <cell r="A360" t="str">
            <v>西二9#阀室</v>
          </cell>
          <cell r="B360" t="str">
            <v>一级</v>
          </cell>
          <cell r="C360" t="str">
            <v>西气东输二线</v>
          </cell>
          <cell r="D360" t="str">
            <v>西二线干线新疆段</v>
          </cell>
        </row>
        <row r="361">
          <cell r="A361" t="str">
            <v>西二10#阀室</v>
          </cell>
          <cell r="B361" t="str">
            <v>一级</v>
          </cell>
          <cell r="C361" t="str">
            <v>西气东输二线</v>
          </cell>
          <cell r="D361" t="str">
            <v>西二线干线新疆段</v>
          </cell>
        </row>
        <row r="362">
          <cell r="A362" t="str">
            <v>乌苏压气站</v>
          </cell>
          <cell r="B362" t="str">
            <v>一级</v>
          </cell>
          <cell r="C362" t="str">
            <v>西气东输二线</v>
          </cell>
          <cell r="D362" t="str">
            <v>西二线干线新疆段</v>
          </cell>
        </row>
        <row r="363">
          <cell r="A363" t="str">
            <v>西二11#阀室</v>
          </cell>
          <cell r="B363" t="str">
            <v>一级</v>
          </cell>
          <cell r="C363" t="str">
            <v>西气东输二线</v>
          </cell>
          <cell r="D363" t="str">
            <v>西二线干线新疆段</v>
          </cell>
        </row>
        <row r="364">
          <cell r="A364" t="str">
            <v>奎屯分输站</v>
          </cell>
          <cell r="B364" t="str">
            <v>一级</v>
          </cell>
          <cell r="C364" t="str">
            <v>西气东输二线</v>
          </cell>
          <cell r="D364" t="str">
            <v>西二线干线新疆段</v>
          </cell>
        </row>
        <row r="365">
          <cell r="A365" t="str">
            <v>西二13#阀室</v>
          </cell>
          <cell r="B365" t="str">
            <v>一级</v>
          </cell>
          <cell r="C365" t="str">
            <v>西气东输二线</v>
          </cell>
          <cell r="D365" t="str">
            <v>西二线干线新疆段</v>
          </cell>
        </row>
        <row r="366">
          <cell r="A366" t="str">
            <v>西二14#阀室</v>
          </cell>
          <cell r="B366" t="str">
            <v>一级</v>
          </cell>
          <cell r="C366" t="str">
            <v>西气东输二线</v>
          </cell>
          <cell r="D366" t="str">
            <v>西二线干线新疆段</v>
          </cell>
        </row>
        <row r="367">
          <cell r="A367" t="str">
            <v>西二15#阀室</v>
          </cell>
          <cell r="B367" t="str">
            <v>一级</v>
          </cell>
          <cell r="C367" t="str">
            <v>西气东输二线</v>
          </cell>
          <cell r="D367" t="str">
            <v>西二线干线新疆段</v>
          </cell>
        </row>
        <row r="368">
          <cell r="A368" t="str">
            <v>玛纳斯压气站</v>
          </cell>
          <cell r="B368" t="str">
            <v>一级</v>
          </cell>
          <cell r="C368" t="str">
            <v>西气东输二线</v>
          </cell>
          <cell r="D368" t="str">
            <v>西二线干线新疆段</v>
          </cell>
        </row>
        <row r="369">
          <cell r="A369" t="str">
            <v>西二16#阀室</v>
          </cell>
          <cell r="B369" t="str">
            <v>一级</v>
          </cell>
          <cell r="C369" t="str">
            <v>西气东输二线</v>
          </cell>
          <cell r="D369" t="str">
            <v>西二线干线新疆段</v>
          </cell>
        </row>
        <row r="370">
          <cell r="A370" t="str">
            <v>西二17#阀室</v>
          </cell>
          <cell r="B370" t="str">
            <v>一级</v>
          </cell>
          <cell r="C370" t="str">
            <v>西气东输二线</v>
          </cell>
          <cell r="D370" t="str">
            <v>西二线干线新疆段</v>
          </cell>
        </row>
        <row r="371">
          <cell r="A371" t="str">
            <v>昌吉分输站</v>
          </cell>
          <cell r="B371" t="str">
            <v>一级</v>
          </cell>
          <cell r="C371" t="str">
            <v>西气东输二线</v>
          </cell>
          <cell r="D371" t="str">
            <v>西二线干线新疆段</v>
          </cell>
        </row>
        <row r="372">
          <cell r="A372" t="str">
            <v>西二19#阀室</v>
          </cell>
          <cell r="B372" t="str">
            <v>一级</v>
          </cell>
          <cell r="C372" t="str">
            <v>西气东输二线</v>
          </cell>
          <cell r="D372" t="str">
            <v>西二线干线新疆段</v>
          </cell>
        </row>
        <row r="373">
          <cell r="A373" t="str">
            <v>乌鲁木齐压气站</v>
          </cell>
          <cell r="B373" t="str">
            <v>一级</v>
          </cell>
          <cell r="C373" t="str">
            <v>西气东输二线</v>
          </cell>
          <cell r="D373" t="str">
            <v>西二线干线新疆段</v>
          </cell>
        </row>
        <row r="374">
          <cell r="A374" t="str">
            <v>西二20#阀室</v>
          </cell>
          <cell r="B374" t="str">
            <v>一级</v>
          </cell>
          <cell r="C374" t="str">
            <v>西气东输二线</v>
          </cell>
          <cell r="D374" t="str">
            <v>西二线干线新疆段</v>
          </cell>
        </row>
        <row r="375">
          <cell r="A375" t="str">
            <v>西二21#阀室</v>
          </cell>
          <cell r="B375" t="str">
            <v>一级</v>
          </cell>
          <cell r="C375" t="str">
            <v>西气东输二线</v>
          </cell>
          <cell r="D375" t="str">
            <v>西二线干线新疆段</v>
          </cell>
        </row>
        <row r="376">
          <cell r="A376" t="str">
            <v>西二22#阀室</v>
          </cell>
          <cell r="B376" t="str">
            <v>一级</v>
          </cell>
          <cell r="C376" t="str">
            <v>西气东输二线</v>
          </cell>
          <cell r="D376" t="str">
            <v>西二线干线新疆段</v>
          </cell>
        </row>
        <row r="377">
          <cell r="A377" t="str">
            <v>吐鲁番压气站</v>
          </cell>
          <cell r="B377" t="str">
            <v>一级</v>
          </cell>
          <cell r="C377" t="str">
            <v>西气东输二线</v>
          </cell>
          <cell r="D377" t="str">
            <v>西二线干线新疆段</v>
          </cell>
        </row>
        <row r="378">
          <cell r="A378" t="str">
            <v>西二24#阀室</v>
          </cell>
          <cell r="B378" t="str">
            <v>一级</v>
          </cell>
          <cell r="C378" t="str">
            <v>西气东输二线</v>
          </cell>
          <cell r="D378" t="str">
            <v>西二线干线新疆段</v>
          </cell>
        </row>
        <row r="379">
          <cell r="A379" t="str">
            <v>西二25#阀室</v>
          </cell>
          <cell r="B379" t="str">
            <v>一级</v>
          </cell>
          <cell r="C379" t="str">
            <v>西气东输二线</v>
          </cell>
          <cell r="D379" t="str">
            <v>西二线干线新疆段</v>
          </cell>
        </row>
        <row r="380">
          <cell r="A380" t="str">
            <v>连木沁压气站</v>
          </cell>
          <cell r="B380" t="str">
            <v>一级</v>
          </cell>
          <cell r="C380" t="str">
            <v>西气东输二线</v>
          </cell>
          <cell r="D380" t="str">
            <v>西二线干线新疆段</v>
          </cell>
        </row>
        <row r="381">
          <cell r="A381" t="str">
            <v>西二26#阀室</v>
          </cell>
          <cell r="B381" t="str">
            <v>一级</v>
          </cell>
          <cell r="C381" t="str">
            <v>西气东输二线</v>
          </cell>
          <cell r="D381" t="str">
            <v>西二线干线新疆段</v>
          </cell>
        </row>
        <row r="382">
          <cell r="A382" t="str">
            <v>西二27#阀室</v>
          </cell>
          <cell r="B382" t="str">
            <v>一级</v>
          </cell>
          <cell r="C382" t="str">
            <v>西气东输二线</v>
          </cell>
          <cell r="D382" t="str">
            <v>西二线干线新疆段</v>
          </cell>
        </row>
        <row r="383">
          <cell r="A383" t="str">
            <v>西二28#阀室</v>
          </cell>
          <cell r="B383" t="str">
            <v>一级</v>
          </cell>
          <cell r="C383" t="str">
            <v>西气东输二线</v>
          </cell>
          <cell r="D383" t="str">
            <v>西二线干线新疆段</v>
          </cell>
        </row>
        <row r="384">
          <cell r="A384" t="str">
            <v>西二29#阀室</v>
          </cell>
          <cell r="B384" t="str">
            <v>一级</v>
          </cell>
          <cell r="C384" t="str">
            <v>西气东输二线</v>
          </cell>
          <cell r="D384" t="str">
            <v>西二线干线新疆段</v>
          </cell>
        </row>
        <row r="385">
          <cell r="A385" t="str">
            <v>西二30#阀室</v>
          </cell>
          <cell r="B385" t="str">
            <v>一级</v>
          </cell>
          <cell r="C385" t="str">
            <v>西气东输二线</v>
          </cell>
          <cell r="D385" t="str">
            <v>西二线干线新疆段</v>
          </cell>
        </row>
        <row r="386">
          <cell r="A386" t="str">
            <v>了墩压气站</v>
          </cell>
          <cell r="B386" t="str">
            <v>一级</v>
          </cell>
          <cell r="C386" t="str">
            <v>西气东输二线</v>
          </cell>
          <cell r="D386" t="str">
            <v>西二线干线新疆段</v>
          </cell>
        </row>
        <row r="387">
          <cell r="A387" t="str">
            <v>西二31#阀室</v>
          </cell>
          <cell r="B387" t="str">
            <v>一级</v>
          </cell>
          <cell r="C387" t="str">
            <v>西气东输二线</v>
          </cell>
          <cell r="D387" t="str">
            <v>西二线干线新疆段</v>
          </cell>
        </row>
        <row r="388">
          <cell r="A388" t="str">
            <v>西二32#阀室</v>
          </cell>
          <cell r="B388" t="str">
            <v>一级</v>
          </cell>
          <cell r="C388" t="str">
            <v>西气东输二线</v>
          </cell>
          <cell r="D388" t="str">
            <v>西二线干线新疆段</v>
          </cell>
        </row>
        <row r="389">
          <cell r="A389" t="str">
            <v>西二33#阀室</v>
          </cell>
          <cell r="B389" t="str">
            <v>一级</v>
          </cell>
          <cell r="C389" t="str">
            <v>西气东输二线</v>
          </cell>
          <cell r="D389" t="str">
            <v>西二线干线新疆段</v>
          </cell>
        </row>
        <row r="390">
          <cell r="A390" t="str">
            <v>哈密分输站</v>
          </cell>
          <cell r="B390" t="str">
            <v>一级</v>
          </cell>
          <cell r="C390" t="str">
            <v>西气东输二线</v>
          </cell>
          <cell r="D390" t="str">
            <v>西二线干线新疆段</v>
          </cell>
        </row>
        <row r="391">
          <cell r="A391" t="str">
            <v>西二35#阀室</v>
          </cell>
          <cell r="B391" t="str">
            <v>一级</v>
          </cell>
          <cell r="C391" t="str">
            <v>西气东输二线</v>
          </cell>
          <cell r="D391" t="str">
            <v>西二线干线新疆段</v>
          </cell>
        </row>
        <row r="392">
          <cell r="A392" t="str">
            <v>烟墩压气站</v>
          </cell>
          <cell r="B392" t="str">
            <v>一级</v>
          </cell>
          <cell r="C392" t="str">
            <v>西气东输二线</v>
          </cell>
          <cell r="D392" t="str">
            <v>西二线干线新疆段</v>
          </cell>
        </row>
        <row r="393">
          <cell r="A393" t="str">
            <v>西二36#阀室</v>
          </cell>
          <cell r="B393" t="str">
            <v>一级</v>
          </cell>
          <cell r="C393" t="str">
            <v>西气东输二线</v>
          </cell>
          <cell r="D393" t="str">
            <v>西二线干线新疆段</v>
          </cell>
        </row>
        <row r="394">
          <cell r="A394" t="str">
            <v>西二37#阀室</v>
          </cell>
          <cell r="B394" t="str">
            <v>一级</v>
          </cell>
          <cell r="C394" t="str">
            <v>西气东输二线</v>
          </cell>
          <cell r="D394" t="str">
            <v>西二线干线新疆段</v>
          </cell>
        </row>
        <row r="395">
          <cell r="A395" t="str">
            <v>西二38#阀室</v>
          </cell>
          <cell r="B395" t="str">
            <v>一级</v>
          </cell>
          <cell r="C395" t="str">
            <v>西气东输二线</v>
          </cell>
          <cell r="D395" t="str">
            <v>西二线干线新疆段</v>
          </cell>
        </row>
        <row r="396">
          <cell r="A396" t="str">
            <v>西二39#阀室</v>
          </cell>
          <cell r="B396" t="str">
            <v>一级</v>
          </cell>
          <cell r="C396" t="str">
            <v>西气东输二线</v>
          </cell>
          <cell r="D396" t="str">
            <v>西二线干线新疆段</v>
          </cell>
        </row>
        <row r="397">
          <cell r="A397" t="str">
            <v>西二40#阀室</v>
          </cell>
          <cell r="B397" t="str">
            <v>一级</v>
          </cell>
          <cell r="C397" t="str">
            <v>西气东输二线</v>
          </cell>
          <cell r="D397" t="str">
            <v>西二线干线甘肃段</v>
          </cell>
        </row>
        <row r="398">
          <cell r="A398" t="str">
            <v>西二41#阀室</v>
          </cell>
          <cell r="B398" t="str">
            <v>一级</v>
          </cell>
          <cell r="C398" t="str">
            <v>西气东输二线</v>
          </cell>
          <cell r="D398" t="str">
            <v>西二线干线甘肃段</v>
          </cell>
        </row>
        <row r="399">
          <cell r="A399" t="str">
            <v>西二42#阀室</v>
          </cell>
          <cell r="B399" t="str">
            <v>一级</v>
          </cell>
          <cell r="C399" t="str">
            <v>西气东输二线</v>
          </cell>
          <cell r="D399" t="str">
            <v>西二线干线甘肃段</v>
          </cell>
        </row>
        <row r="400">
          <cell r="A400" t="str">
            <v>西二43#阀室</v>
          </cell>
          <cell r="B400" t="str">
            <v>一级</v>
          </cell>
          <cell r="C400" t="str">
            <v>西气东输二线</v>
          </cell>
          <cell r="D400" t="str">
            <v>西二线干线甘肃段</v>
          </cell>
        </row>
        <row r="401">
          <cell r="A401" t="str">
            <v>西二44#阀室</v>
          </cell>
          <cell r="B401" t="str">
            <v>一级</v>
          </cell>
          <cell r="C401" t="str">
            <v>西气东输二线</v>
          </cell>
          <cell r="D401" t="str">
            <v>西二线干线甘肃段</v>
          </cell>
        </row>
        <row r="402">
          <cell r="A402" t="str">
            <v>瓜州压气站</v>
          </cell>
          <cell r="B402" t="str">
            <v>一级</v>
          </cell>
          <cell r="C402" t="str">
            <v>西气东输二线</v>
          </cell>
          <cell r="D402" t="str">
            <v>西二线干线甘肃段</v>
          </cell>
        </row>
        <row r="403">
          <cell r="A403" t="str">
            <v>西二45#阀室</v>
          </cell>
          <cell r="B403" t="str">
            <v>一级</v>
          </cell>
          <cell r="C403" t="str">
            <v>西气东输二线</v>
          </cell>
          <cell r="D403" t="str">
            <v>西二线干线甘肃段</v>
          </cell>
        </row>
        <row r="404">
          <cell r="A404" t="str">
            <v>西二46#阀室</v>
          </cell>
          <cell r="B404" t="str">
            <v>一级</v>
          </cell>
          <cell r="C404" t="str">
            <v>西气东输二线</v>
          </cell>
          <cell r="D404" t="str">
            <v>西二线干线甘肃段</v>
          </cell>
        </row>
        <row r="405">
          <cell r="A405" t="str">
            <v>西二47#阀室</v>
          </cell>
          <cell r="B405" t="str">
            <v>一级</v>
          </cell>
          <cell r="C405" t="str">
            <v>西气东输二线</v>
          </cell>
          <cell r="D405" t="str">
            <v>西二线干线甘肃段</v>
          </cell>
        </row>
        <row r="406">
          <cell r="A406" t="str">
            <v>西二48#阀室</v>
          </cell>
          <cell r="B406" t="str">
            <v>一级</v>
          </cell>
          <cell r="C406" t="str">
            <v>西气东输二线</v>
          </cell>
          <cell r="D406" t="str">
            <v>西二线干线甘肃段</v>
          </cell>
        </row>
        <row r="407">
          <cell r="A407" t="str">
            <v>西二49#阀室</v>
          </cell>
          <cell r="B407" t="str">
            <v>一级</v>
          </cell>
          <cell r="C407" t="str">
            <v>西气东输二线</v>
          </cell>
          <cell r="D407" t="str">
            <v>西二线干线甘肃段</v>
          </cell>
        </row>
        <row r="408">
          <cell r="A408" t="str">
            <v>嘉峪关压气站</v>
          </cell>
          <cell r="B408" t="str">
            <v>一级</v>
          </cell>
          <cell r="C408" t="str">
            <v>西气东输二线</v>
          </cell>
          <cell r="D408" t="str">
            <v>西二线干线甘肃段</v>
          </cell>
        </row>
        <row r="409">
          <cell r="A409" t="str">
            <v>西二50#阀室</v>
          </cell>
          <cell r="B409" t="str">
            <v>一级</v>
          </cell>
          <cell r="C409" t="str">
            <v>西气东输二线</v>
          </cell>
          <cell r="D409" t="str">
            <v>西二线干线甘肃段</v>
          </cell>
        </row>
        <row r="410">
          <cell r="A410" t="str">
            <v>西二51#阀室</v>
          </cell>
          <cell r="B410" t="str">
            <v>一级</v>
          </cell>
          <cell r="C410" t="str">
            <v>西气东输二线</v>
          </cell>
          <cell r="D410" t="str">
            <v>西二线干线甘肃段</v>
          </cell>
        </row>
        <row r="411">
          <cell r="A411" t="str">
            <v>西二52#阀室</v>
          </cell>
          <cell r="B411" t="str">
            <v>一级</v>
          </cell>
          <cell r="C411" t="str">
            <v>西气东输二线</v>
          </cell>
          <cell r="D411" t="str">
            <v>西二线干线甘肃段</v>
          </cell>
        </row>
        <row r="412">
          <cell r="A412" t="str">
            <v>西二53#阀室</v>
          </cell>
          <cell r="B412" t="str">
            <v>一级</v>
          </cell>
          <cell r="C412" t="str">
            <v>西气东输二线</v>
          </cell>
          <cell r="D412" t="str">
            <v>西二线干线甘肃段</v>
          </cell>
        </row>
        <row r="413">
          <cell r="A413" t="str">
            <v>西二54#阀室</v>
          </cell>
          <cell r="B413" t="str">
            <v>一级</v>
          </cell>
          <cell r="C413" t="str">
            <v>西气东输二线</v>
          </cell>
          <cell r="D413" t="str">
            <v>西二线干线甘肃段</v>
          </cell>
        </row>
        <row r="414">
          <cell r="A414" t="str">
            <v>西二55#阀室</v>
          </cell>
          <cell r="B414" t="str">
            <v>一级</v>
          </cell>
          <cell r="C414" t="str">
            <v>西气东输二线</v>
          </cell>
          <cell r="D414" t="str">
            <v>西二线干线甘肃段</v>
          </cell>
        </row>
        <row r="415">
          <cell r="A415" t="str">
            <v>张掖压气站</v>
          </cell>
          <cell r="B415" t="str">
            <v>一级</v>
          </cell>
          <cell r="C415" t="str">
            <v>西气东输二线</v>
          </cell>
          <cell r="D415" t="str">
            <v>西二线干线甘肃段</v>
          </cell>
        </row>
        <row r="416">
          <cell r="A416" t="str">
            <v>西二56#阀室</v>
          </cell>
          <cell r="B416" t="str">
            <v>一级</v>
          </cell>
          <cell r="C416" t="str">
            <v>西气东输二线</v>
          </cell>
          <cell r="D416" t="str">
            <v>西二线干线甘肃段</v>
          </cell>
        </row>
        <row r="417">
          <cell r="A417" t="str">
            <v>西二57#阀室</v>
          </cell>
          <cell r="B417" t="str">
            <v>一级</v>
          </cell>
          <cell r="C417" t="str">
            <v>西气东输二线</v>
          </cell>
          <cell r="D417" t="str">
            <v>西二线干线甘肃段</v>
          </cell>
        </row>
        <row r="418">
          <cell r="A418" t="str">
            <v>西二58#阀室</v>
          </cell>
          <cell r="B418" t="str">
            <v>一级</v>
          </cell>
          <cell r="C418" t="str">
            <v>西气东输二线</v>
          </cell>
          <cell r="D418" t="str">
            <v>西二线干线甘肃段</v>
          </cell>
        </row>
        <row r="419">
          <cell r="A419" t="str">
            <v>西二59#阀室</v>
          </cell>
          <cell r="B419" t="str">
            <v>一级</v>
          </cell>
          <cell r="C419" t="str">
            <v>西气东输二线</v>
          </cell>
          <cell r="D419" t="str">
            <v>西二线干线甘肃段</v>
          </cell>
        </row>
        <row r="420">
          <cell r="A420" t="str">
            <v>永昌压气站</v>
          </cell>
          <cell r="B420" t="str">
            <v>一级</v>
          </cell>
          <cell r="C420" t="str">
            <v>西气东输二线</v>
          </cell>
          <cell r="D420" t="str">
            <v>西二线干线甘肃段</v>
          </cell>
        </row>
        <row r="421">
          <cell r="A421" t="str">
            <v>西二60#阀室</v>
          </cell>
          <cell r="B421" t="str">
            <v>一级</v>
          </cell>
          <cell r="C421" t="str">
            <v>西气东输二线</v>
          </cell>
          <cell r="D421" t="str">
            <v>西二线干线甘肃段</v>
          </cell>
        </row>
        <row r="422">
          <cell r="A422" t="str">
            <v>永昌分输站</v>
          </cell>
          <cell r="B422" t="str">
            <v>一级</v>
          </cell>
          <cell r="C422" t="str">
            <v>西气东输二线</v>
          </cell>
          <cell r="D422" t="str">
            <v>西二线干线甘肃段</v>
          </cell>
        </row>
        <row r="423">
          <cell r="A423" t="str">
            <v>西二62#阀室</v>
          </cell>
          <cell r="B423" t="str">
            <v>一级</v>
          </cell>
          <cell r="C423" t="str">
            <v>西气东输二线</v>
          </cell>
          <cell r="D423" t="str">
            <v>西二线干线甘肃段</v>
          </cell>
        </row>
        <row r="424">
          <cell r="A424" t="str">
            <v>武威分输站</v>
          </cell>
          <cell r="B424" t="str">
            <v>一级</v>
          </cell>
          <cell r="C424" t="str">
            <v>西气东输二线</v>
          </cell>
          <cell r="D424" t="str">
            <v>西二线干线甘肃段</v>
          </cell>
        </row>
        <row r="425">
          <cell r="A425" t="str">
            <v>西二64#阀室</v>
          </cell>
          <cell r="B425" t="str">
            <v>一级</v>
          </cell>
          <cell r="C425" t="str">
            <v>西气东输二线</v>
          </cell>
          <cell r="D425" t="str">
            <v>西二线干线甘肃段</v>
          </cell>
        </row>
        <row r="426">
          <cell r="A426" t="str">
            <v>西二65#阀室</v>
          </cell>
          <cell r="B426" t="str">
            <v>一级</v>
          </cell>
          <cell r="C426" t="str">
            <v>西气东输二线</v>
          </cell>
          <cell r="D426" t="str">
            <v>西二线干线甘肃段</v>
          </cell>
        </row>
        <row r="427">
          <cell r="A427" t="str">
            <v>西二古浪压气站</v>
          </cell>
          <cell r="B427" t="str">
            <v>一级</v>
          </cell>
          <cell r="C427" t="str">
            <v>西气东输二线</v>
          </cell>
          <cell r="D427" t="str">
            <v>西二线干线甘肃段</v>
          </cell>
        </row>
        <row r="428">
          <cell r="A428" t="str">
            <v>西二66#阀室</v>
          </cell>
          <cell r="B428" t="str">
            <v>一级</v>
          </cell>
          <cell r="C428" t="str">
            <v>西气东输二线</v>
          </cell>
          <cell r="D428" t="str">
            <v>西二线干线甘肃段</v>
          </cell>
        </row>
        <row r="429">
          <cell r="A429" t="str">
            <v>西二67#阀室</v>
          </cell>
          <cell r="B429" t="str">
            <v>一级</v>
          </cell>
          <cell r="C429" t="str">
            <v>西气东输二线</v>
          </cell>
          <cell r="D429" t="str">
            <v>西二线干线甘肃段</v>
          </cell>
        </row>
        <row r="430">
          <cell r="A430" t="str">
            <v>西二68#阀室</v>
          </cell>
          <cell r="B430" t="str">
            <v>一级</v>
          </cell>
          <cell r="C430" t="str">
            <v>西气东输二线</v>
          </cell>
          <cell r="D430" t="str">
            <v>西二线干线甘肃段</v>
          </cell>
        </row>
        <row r="431">
          <cell r="A431" t="str">
            <v>西二69#阀室</v>
          </cell>
          <cell r="B431" t="str">
            <v>一级</v>
          </cell>
          <cell r="C431" t="str">
            <v>西气东输二线</v>
          </cell>
          <cell r="D431" t="str">
            <v>西二线干线甘肃段</v>
          </cell>
        </row>
        <row r="432">
          <cell r="A432" t="str">
            <v>西二70#阀室</v>
          </cell>
          <cell r="B432" t="str">
            <v>一级</v>
          </cell>
          <cell r="C432" t="str">
            <v>西气东输二线</v>
          </cell>
          <cell r="D432" t="str">
            <v>西二线干线甘肃段</v>
          </cell>
        </row>
        <row r="433">
          <cell r="A433" t="str">
            <v>西二71#阀室</v>
          </cell>
          <cell r="B433" t="str">
            <v>一级</v>
          </cell>
          <cell r="C433" t="str">
            <v>西气东输二线</v>
          </cell>
          <cell r="D433" t="str">
            <v>西二线干线甘肃段</v>
          </cell>
        </row>
        <row r="434">
          <cell r="A434" t="str">
            <v>西二72#阀室</v>
          </cell>
          <cell r="B434" t="str">
            <v>一级</v>
          </cell>
          <cell r="C434" t="str">
            <v>西气东输二线</v>
          </cell>
          <cell r="D434" t="str">
            <v>西二线干线中段</v>
          </cell>
        </row>
        <row r="435">
          <cell r="A435" t="str">
            <v>西二73#阀室</v>
          </cell>
          <cell r="B435" t="str">
            <v>一级</v>
          </cell>
          <cell r="C435" t="str">
            <v>西气东输二线</v>
          </cell>
          <cell r="D435" t="str">
            <v>西二线干线中段</v>
          </cell>
        </row>
        <row r="436">
          <cell r="A436" t="str">
            <v>西二74#阀室</v>
          </cell>
          <cell r="B436" t="str">
            <v>一级</v>
          </cell>
          <cell r="C436" t="str">
            <v>西气东输二线</v>
          </cell>
          <cell r="D436" t="str">
            <v>西二线干线中段</v>
          </cell>
        </row>
        <row r="437">
          <cell r="A437" t="str">
            <v>海原压气站</v>
          </cell>
          <cell r="B437" t="str">
            <v>一级</v>
          </cell>
          <cell r="C437" t="str">
            <v>西气东输二线</v>
          </cell>
          <cell r="D437" t="str">
            <v>西二线干线中段</v>
          </cell>
        </row>
        <row r="438">
          <cell r="A438" t="str">
            <v>西二75#阀室</v>
          </cell>
          <cell r="B438" t="str">
            <v>一级</v>
          </cell>
          <cell r="C438" t="str">
            <v>西气东输二线</v>
          </cell>
          <cell r="D438" t="str">
            <v>西二线干线中段</v>
          </cell>
        </row>
        <row r="439">
          <cell r="A439" t="str">
            <v>西二76#阀室</v>
          </cell>
          <cell r="B439" t="str">
            <v>一级</v>
          </cell>
          <cell r="C439" t="str">
            <v>西气东输二线</v>
          </cell>
          <cell r="D439" t="str">
            <v>西二线干线中段</v>
          </cell>
        </row>
        <row r="440">
          <cell r="A440" t="str">
            <v>西二77#阀室</v>
          </cell>
          <cell r="B440" t="str">
            <v>一级</v>
          </cell>
          <cell r="C440" t="str">
            <v>西气东输二线</v>
          </cell>
          <cell r="D440" t="str">
            <v>西二线干线中段</v>
          </cell>
        </row>
        <row r="441">
          <cell r="A441" t="str">
            <v>固原分输站</v>
          </cell>
          <cell r="B441" t="str">
            <v>一级</v>
          </cell>
          <cell r="C441" t="str">
            <v>西气东输二线</v>
          </cell>
          <cell r="D441" t="str">
            <v>西二线干线中段</v>
          </cell>
        </row>
        <row r="442">
          <cell r="A442" t="str">
            <v>彭阳压气站</v>
          </cell>
          <cell r="B442" t="str">
            <v>一级</v>
          </cell>
          <cell r="C442" t="str">
            <v>西气东输二线</v>
          </cell>
          <cell r="D442" t="str">
            <v>西二线干线中段</v>
          </cell>
        </row>
        <row r="443">
          <cell r="A443" t="str">
            <v>西二79#阀室</v>
          </cell>
          <cell r="B443" t="str">
            <v>一级</v>
          </cell>
          <cell r="C443" t="str">
            <v>西气东输二线</v>
          </cell>
          <cell r="D443" t="str">
            <v>西二线干线中段</v>
          </cell>
        </row>
        <row r="444">
          <cell r="A444" t="str">
            <v>西二80#阀室</v>
          </cell>
          <cell r="B444" t="str">
            <v>一级</v>
          </cell>
          <cell r="C444" t="str">
            <v>西气东输二线</v>
          </cell>
          <cell r="D444" t="str">
            <v>西二线干线中段</v>
          </cell>
        </row>
        <row r="445">
          <cell r="A445" t="str">
            <v>西二81#阀室</v>
          </cell>
          <cell r="B445" t="str">
            <v>一级</v>
          </cell>
          <cell r="C445" t="str">
            <v>西气东输二线</v>
          </cell>
          <cell r="D445" t="str">
            <v>西二线干线中段</v>
          </cell>
        </row>
        <row r="446">
          <cell r="A446" t="str">
            <v>平泉分输站</v>
          </cell>
          <cell r="B446" t="str">
            <v>一级</v>
          </cell>
          <cell r="C446" t="str">
            <v>西气东输二线</v>
          </cell>
          <cell r="D446" t="str">
            <v>西二线干线中段</v>
          </cell>
        </row>
        <row r="447">
          <cell r="A447" t="str">
            <v>西二82#阀室</v>
          </cell>
          <cell r="B447" t="str">
            <v>一级</v>
          </cell>
          <cell r="C447" t="str">
            <v>西气东输二线</v>
          </cell>
          <cell r="D447" t="str">
            <v>西二线干线中段</v>
          </cell>
        </row>
        <row r="448">
          <cell r="A448" t="str">
            <v>西二83#阀室</v>
          </cell>
          <cell r="B448" t="str">
            <v>一级</v>
          </cell>
          <cell r="C448" t="str">
            <v>西气东输二线</v>
          </cell>
          <cell r="D448" t="str">
            <v>西二线干线中段</v>
          </cell>
        </row>
        <row r="449">
          <cell r="A449" t="str">
            <v>泾川分输站</v>
          </cell>
          <cell r="B449" t="str">
            <v>一级</v>
          </cell>
          <cell r="C449" t="str">
            <v>西气东输二线</v>
          </cell>
          <cell r="D449" t="str">
            <v>西二线干线中段</v>
          </cell>
        </row>
        <row r="450">
          <cell r="A450" t="str">
            <v>西二85#阀室</v>
          </cell>
          <cell r="B450" t="str">
            <v>一级</v>
          </cell>
          <cell r="C450" t="str">
            <v>西气东输二线</v>
          </cell>
          <cell r="D450" t="str">
            <v>西二线干线中段</v>
          </cell>
        </row>
        <row r="451">
          <cell r="A451" t="str">
            <v>灵台压气站</v>
          </cell>
          <cell r="B451" t="str">
            <v>一级</v>
          </cell>
          <cell r="C451" t="str">
            <v>西气东输二线</v>
          </cell>
          <cell r="D451" t="str">
            <v>西二线干线中段</v>
          </cell>
        </row>
        <row r="452">
          <cell r="A452" t="str">
            <v>西二86#阀室</v>
          </cell>
          <cell r="B452" t="str">
            <v>一级</v>
          </cell>
          <cell r="C452" t="str">
            <v>西气东输二线</v>
          </cell>
          <cell r="D452" t="str">
            <v>西二线干线中段</v>
          </cell>
        </row>
        <row r="453">
          <cell r="A453" t="str">
            <v>西二87#阀室</v>
          </cell>
          <cell r="B453" t="str">
            <v>一级</v>
          </cell>
          <cell r="C453" t="str">
            <v>西气东输二线</v>
          </cell>
          <cell r="D453" t="str">
            <v>西二线干线中段</v>
          </cell>
        </row>
        <row r="454">
          <cell r="A454" t="str">
            <v>乾县西分输站</v>
          </cell>
          <cell r="B454" t="str">
            <v>一级</v>
          </cell>
          <cell r="C454" t="str">
            <v>西气东输二线</v>
          </cell>
          <cell r="D454" t="str">
            <v>西二线干线中段</v>
          </cell>
        </row>
        <row r="455">
          <cell r="A455" t="str">
            <v>乾县东分输站</v>
          </cell>
          <cell r="B455" t="str">
            <v>一级</v>
          </cell>
          <cell r="C455" t="str">
            <v>西气东输二线</v>
          </cell>
          <cell r="D455" t="str">
            <v>西二线干线中段</v>
          </cell>
        </row>
        <row r="456">
          <cell r="A456" t="str">
            <v>礼泉分输站</v>
          </cell>
          <cell r="B456" t="str">
            <v>一级</v>
          </cell>
          <cell r="C456" t="str">
            <v>西气东输二线</v>
          </cell>
          <cell r="D456" t="str">
            <v>西二线干线中段</v>
          </cell>
        </row>
        <row r="457">
          <cell r="A457" t="str">
            <v>泾阳分输站</v>
          </cell>
          <cell r="B457" t="str">
            <v>一级</v>
          </cell>
          <cell r="C457" t="str">
            <v>西气东输二线</v>
          </cell>
          <cell r="D457" t="str">
            <v>西二线干线中段</v>
          </cell>
        </row>
        <row r="458">
          <cell r="A458" t="str">
            <v>高陵压气站</v>
          </cell>
          <cell r="B458" t="str">
            <v>一级</v>
          </cell>
          <cell r="C458" t="str">
            <v>西气东输二线</v>
          </cell>
          <cell r="D458" t="str">
            <v>西二线干线东段</v>
          </cell>
        </row>
        <row r="459">
          <cell r="A459" t="str">
            <v>西二92#阀室</v>
          </cell>
          <cell r="B459" t="str">
            <v>一级</v>
          </cell>
          <cell r="C459" t="str">
            <v>西气东输二线</v>
          </cell>
          <cell r="D459" t="str">
            <v>西二线干线中段</v>
          </cell>
        </row>
        <row r="460">
          <cell r="A460" t="str">
            <v>西二93#阀室</v>
          </cell>
          <cell r="B460" t="str">
            <v>一级</v>
          </cell>
          <cell r="C460" t="str">
            <v>西气东输二线</v>
          </cell>
          <cell r="D460" t="str">
            <v>西二线干线中段</v>
          </cell>
        </row>
        <row r="461">
          <cell r="A461" t="str">
            <v>西二94#阀室</v>
          </cell>
          <cell r="B461" t="str">
            <v>一级</v>
          </cell>
          <cell r="C461" t="str">
            <v>西气东输二线</v>
          </cell>
          <cell r="D461" t="str">
            <v>西二线干线中段</v>
          </cell>
        </row>
        <row r="462">
          <cell r="A462" t="str">
            <v>渭南煤层气站</v>
          </cell>
          <cell r="B462" t="str">
            <v>一级</v>
          </cell>
          <cell r="C462" t="str">
            <v>西气东输二线</v>
          </cell>
          <cell r="D462" t="str">
            <v>西二线干线中段</v>
          </cell>
        </row>
        <row r="463">
          <cell r="A463" t="str">
            <v>渭南京蓝站</v>
          </cell>
          <cell r="B463" t="str">
            <v>一级</v>
          </cell>
          <cell r="C463" t="str">
            <v>西气东输二线</v>
          </cell>
          <cell r="D463" t="str">
            <v>西二线干线中段</v>
          </cell>
        </row>
        <row r="464">
          <cell r="A464" t="str">
            <v>西二95A#阀室</v>
          </cell>
          <cell r="B464" t="str">
            <v>一级</v>
          </cell>
          <cell r="C464" t="str">
            <v>西气东输二线</v>
          </cell>
          <cell r="D464" t="str">
            <v>西二线干线中段</v>
          </cell>
        </row>
        <row r="465">
          <cell r="A465" t="str">
            <v>西二95B#阀室</v>
          </cell>
          <cell r="B465" t="str">
            <v>一级</v>
          </cell>
          <cell r="C465" t="str">
            <v>西气东输二线</v>
          </cell>
          <cell r="D465" t="str">
            <v>西二线干线中段</v>
          </cell>
        </row>
        <row r="466">
          <cell r="A466" t="str">
            <v>华阴分输站</v>
          </cell>
          <cell r="B466" t="str">
            <v>一级</v>
          </cell>
          <cell r="C466" t="str">
            <v>西气东输二线</v>
          </cell>
          <cell r="D466" t="str">
            <v>西二线干线中段</v>
          </cell>
        </row>
        <row r="467">
          <cell r="A467" t="str">
            <v>西二97#阀室</v>
          </cell>
          <cell r="B467" t="str">
            <v>一级</v>
          </cell>
          <cell r="C467" t="str">
            <v>西气东输二线</v>
          </cell>
          <cell r="D467" t="str">
            <v>西二线干线中段</v>
          </cell>
        </row>
        <row r="468">
          <cell r="A468" t="str">
            <v>西二98#阀室</v>
          </cell>
          <cell r="B468" t="str">
            <v>一级</v>
          </cell>
          <cell r="C468" t="str">
            <v>西气东输二线</v>
          </cell>
          <cell r="D468" t="str">
            <v>西二线干线中段</v>
          </cell>
        </row>
        <row r="469">
          <cell r="A469" t="str">
            <v>潼关压气站</v>
          </cell>
          <cell r="B469" t="str">
            <v>一级</v>
          </cell>
          <cell r="C469" t="str">
            <v>西气东输二线</v>
          </cell>
          <cell r="D469" t="str">
            <v>西二线干线东段</v>
          </cell>
        </row>
        <row r="470">
          <cell r="A470" t="str">
            <v>西二99#阀室</v>
          </cell>
          <cell r="B470" t="str">
            <v>一级</v>
          </cell>
          <cell r="C470" t="str">
            <v>西气东输二线</v>
          </cell>
          <cell r="D470" t="str">
            <v>西二线干线中段</v>
          </cell>
        </row>
        <row r="471">
          <cell r="A471" t="str">
            <v>西二100#阀室</v>
          </cell>
          <cell r="B471" t="str">
            <v>一级</v>
          </cell>
          <cell r="C471" t="str">
            <v>西气东输二线</v>
          </cell>
          <cell r="D471" t="str">
            <v>西二线干线中段</v>
          </cell>
        </row>
        <row r="472">
          <cell r="A472" t="str">
            <v>西二101#阀室</v>
          </cell>
          <cell r="B472" t="str">
            <v>一级</v>
          </cell>
          <cell r="C472" t="str">
            <v>西气东输二线</v>
          </cell>
          <cell r="D472" t="str">
            <v>西二线干线中段</v>
          </cell>
        </row>
        <row r="473">
          <cell r="A473" t="str">
            <v>三门峡分输站</v>
          </cell>
          <cell r="B473" t="str">
            <v>一级</v>
          </cell>
          <cell r="C473" t="str">
            <v>西气东输二线</v>
          </cell>
          <cell r="D473" t="str">
            <v>西二线干线中段</v>
          </cell>
        </row>
        <row r="474">
          <cell r="A474" t="str">
            <v>西二102#阀室</v>
          </cell>
          <cell r="B474" t="str">
            <v>一级</v>
          </cell>
          <cell r="C474" t="str">
            <v>西气东输二线</v>
          </cell>
          <cell r="D474" t="str">
            <v>西二线干线中段</v>
          </cell>
        </row>
        <row r="475">
          <cell r="A475" t="str">
            <v>西二103#阀室</v>
          </cell>
          <cell r="B475" t="str">
            <v>一级</v>
          </cell>
          <cell r="C475" t="str">
            <v>西气东输二线</v>
          </cell>
          <cell r="D475" t="str">
            <v>西二线干线中段</v>
          </cell>
        </row>
        <row r="476">
          <cell r="A476" t="str">
            <v>洛宁压气站</v>
          </cell>
          <cell r="B476" t="str">
            <v>一级</v>
          </cell>
          <cell r="C476" t="str">
            <v>西气东输二线</v>
          </cell>
          <cell r="D476" t="str">
            <v>西二线干线东段</v>
          </cell>
        </row>
        <row r="477">
          <cell r="A477" t="str">
            <v>西二104#阀室</v>
          </cell>
          <cell r="B477" t="str">
            <v>一级</v>
          </cell>
          <cell r="C477" t="str">
            <v>西气东输二线</v>
          </cell>
          <cell r="D477" t="str">
            <v>西二线干线中段</v>
          </cell>
        </row>
        <row r="478">
          <cell r="A478" t="str">
            <v>西二105#阀室</v>
          </cell>
          <cell r="B478" t="str">
            <v>一级</v>
          </cell>
          <cell r="C478" t="str">
            <v>西气东输二线</v>
          </cell>
          <cell r="D478" t="str">
            <v>西二线干线中段</v>
          </cell>
        </row>
        <row r="479">
          <cell r="A479" t="str">
            <v>洛阳分输站</v>
          </cell>
          <cell r="B479" t="str">
            <v>一级</v>
          </cell>
          <cell r="C479" t="str">
            <v>西气东输二线</v>
          </cell>
          <cell r="D479" t="str">
            <v>西二线干线中段</v>
          </cell>
        </row>
        <row r="480">
          <cell r="A480" t="str">
            <v>西二106#阀室</v>
          </cell>
          <cell r="B480" t="str">
            <v>一级</v>
          </cell>
          <cell r="C480" t="str">
            <v>西气东输二线</v>
          </cell>
          <cell r="D480" t="str">
            <v>西二线干线中段</v>
          </cell>
        </row>
        <row r="481">
          <cell r="A481" t="str">
            <v>西二107#阀室</v>
          </cell>
          <cell r="B481" t="str">
            <v>一级</v>
          </cell>
          <cell r="C481" t="str">
            <v>西气东输二线</v>
          </cell>
          <cell r="D481" t="str">
            <v>西二线干线中段</v>
          </cell>
        </row>
        <row r="482">
          <cell r="A482" t="str">
            <v>西二108#阀室</v>
          </cell>
          <cell r="B482" t="str">
            <v>一级</v>
          </cell>
          <cell r="C482" t="str">
            <v>西气东输二线</v>
          </cell>
          <cell r="D482" t="str">
            <v>西二线干线中段</v>
          </cell>
        </row>
        <row r="483">
          <cell r="A483" t="str">
            <v>西二109#阀室</v>
          </cell>
          <cell r="B483" t="str">
            <v>一级</v>
          </cell>
          <cell r="C483" t="str">
            <v>西气东输二线</v>
          </cell>
          <cell r="D483" t="str">
            <v>西二线干线中段</v>
          </cell>
        </row>
        <row r="484">
          <cell r="A484" t="str">
            <v>鲁山压气站</v>
          </cell>
          <cell r="B484" t="str">
            <v>一级</v>
          </cell>
          <cell r="C484" t="str">
            <v>西气东输二线</v>
          </cell>
          <cell r="D484" t="str">
            <v>西二线干线东段</v>
          </cell>
        </row>
        <row r="485">
          <cell r="A485" t="str">
            <v>西二110#阀室</v>
          </cell>
          <cell r="B485" t="str">
            <v>一级</v>
          </cell>
          <cell r="C485" t="str">
            <v>西气东输二线</v>
          </cell>
          <cell r="D485" t="str">
            <v>西二线干线中段</v>
          </cell>
        </row>
        <row r="486">
          <cell r="A486" t="str">
            <v>平顶山分输站</v>
          </cell>
          <cell r="B486" t="str">
            <v>一级</v>
          </cell>
          <cell r="C486" t="str">
            <v>西气东输二线</v>
          </cell>
          <cell r="D486" t="str">
            <v>西二线干线中段</v>
          </cell>
        </row>
        <row r="487">
          <cell r="A487" t="str">
            <v>西二111#阀室</v>
          </cell>
          <cell r="B487" t="str">
            <v>一级</v>
          </cell>
          <cell r="C487" t="str">
            <v>西气东输二线</v>
          </cell>
          <cell r="D487" t="str">
            <v>西二线干线中段</v>
          </cell>
        </row>
        <row r="488">
          <cell r="A488" t="str">
            <v>西二112#阀室</v>
          </cell>
          <cell r="B488" t="str">
            <v>一级</v>
          </cell>
          <cell r="C488" t="str">
            <v>西气东输二线</v>
          </cell>
          <cell r="D488" t="str">
            <v>西二线干线中段</v>
          </cell>
        </row>
        <row r="489">
          <cell r="A489" t="str">
            <v>西二113#阀室</v>
          </cell>
          <cell r="B489" t="str">
            <v>一级</v>
          </cell>
          <cell r="C489" t="str">
            <v>西气东输二线</v>
          </cell>
          <cell r="D489" t="str">
            <v>西二线干线中段</v>
          </cell>
        </row>
        <row r="490">
          <cell r="A490" t="str">
            <v>西二114#阀室</v>
          </cell>
          <cell r="B490" t="str">
            <v>一级</v>
          </cell>
          <cell r="C490" t="str">
            <v>西气东输二线</v>
          </cell>
          <cell r="D490" t="str">
            <v>西二线干线中段</v>
          </cell>
        </row>
        <row r="491">
          <cell r="A491" t="str">
            <v>南阳分输站</v>
          </cell>
          <cell r="B491" t="str">
            <v>一级</v>
          </cell>
          <cell r="C491" t="str">
            <v>西气东输二线</v>
          </cell>
          <cell r="D491" t="str">
            <v>西二线干线中段</v>
          </cell>
        </row>
        <row r="492">
          <cell r="A492" t="str">
            <v>西二115#阀室</v>
          </cell>
          <cell r="B492" t="str">
            <v>一级</v>
          </cell>
          <cell r="C492" t="str">
            <v>西气东输二线</v>
          </cell>
          <cell r="D492" t="str">
            <v>西二线干线中段</v>
          </cell>
        </row>
        <row r="493">
          <cell r="A493" t="str">
            <v>西二116#阀室</v>
          </cell>
          <cell r="B493" t="str">
            <v>一级</v>
          </cell>
          <cell r="C493" t="str">
            <v>西气东输二线</v>
          </cell>
          <cell r="D493" t="str">
            <v>西二线干线中段</v>
          </cell>
        </row>
        <row r="494">
          <cell r="A494" t="str">
            <v>枣阳压气站</v>
          </cell>
          <cell r="B494" t="str">
            <v>一级</v>
          </cell>
          <cell r="C494" t="str">
            <v>西气东输二线</v>
          </cell>
          <cell r="D494" t="str">
            <v>西二线干线中段</v>
          </cell>
        </row>
        <row r="495">
          <cell r="A495" t="str">
            <v>西二117#阀室</v>
          </cell>
          <cell r="B495" t="str">
            <v>一级</v>
          </cell>
          <cell r="C495" t="str">
            <v>西气东输二线</v>
          </cell>
          <cell r="D495" t="str">
            <v>西二线干线中段</v>
          </cell>
        </row>
        <row r="496">
          <cell r="A496" t="str">
            <v>西二118#阀室</v>
          </cell>
          <cell r="B496" t="str">
            <v>一级</v>
          </cell>
          <cell r="C496" t="str">
            <v>西气东输二线</v>
          </cell>
          <cell r="D496" t="str">
            <v>西二线干线中段</v>
          </cell>
        </row>
        <row r="497">
          <cell r="A497" t="str">
            <v>随州分输站</v>
          </cell>
          <cell r="B497" t="str">
            <v>一级</v>
          </cell>
          <cell r="C497" t="str">
            <v>西气东输二线</v>
          </cell>
          <cell r="D497" t="str">
            <v>西二线干线中段</v>
          </cell>
        </row>
        <row r="498">
          <cell r="A498" t="str">
            <v>西二119#阀室</v>
          </cell>
          <cell r="B498" t="str">
            <v>一级</v>
          </cell>
          <cell r="C498" t="str">
            <v>西气东输二线</v>
          </cell>
          <cell r="D498" t="str">
            <v>西二线干线中段</v>
          </cell>
        </row>
        <row r="499">
          <cell r="A499" t="str">
            <v>西二120#阀室</v>
          </cell>
          <cell r="B499" t="str">
            <v>一级</v>
          </cell>
          <cell r="C499" t="str">
            <v>西气东输二线</v>
          </cell>
          <cell r="D499" t="str">
            <v>西二线干线中段</v>
          </cell>
        </row>
        <row r="500">
          <cell r="A500" t="str">
            <v>西二121#阀室</v>
          </cell>
          <cell r="B500" t="str">
            <v>一级</v>
          </cell>
          <cell r="C500" t="str">
            <v>西气东输二线</v>
          </cell>
          <cell r="D500" t="str">
            <v>西二线干线中段</v>
          </cell>
        </row>
        <row r="501">
          <cell r="A501" t="str">
            <v>西二122#阀室</v>
          </cell>
          <cell r="B501" t="str">
            <v>一级</v>
          </cell>
          <cell r="C501" t="str">
            <v>西气东输二线</v>
          </cell>
          <cell r="D501" t="str">
            <v>西二线干线中段</v>
          </cell>
        </row>
        <row r="502">
          <cell r="A502" t="str">
            <v>孝感分输站</v>
          </cell>
          <cell r="B502" t="str">
            <v>一级</v>
          </cell>
          <cell r="C502" t="str">
            <v>西气东输二线</v>
          </cell>
          <cell r="D502" t="str">
            <v>西二线干线中段</v>
          </cell>
        </row>
        <row r="503">
          <cell r="A503" t="str">
            <v>西二123#阀室</v>
          </cell>
          <cell r="B503" t="str">
            <v>一级</v>
          </cell>
          <cell r="C503" t="str">
            <v>西气东输二线</v>
          </cell>
          <cell r="D503" t="str">
            <v>西二线干线中段</v>
          </cell>
        </row>
        <row r="504">
          <cell r="A504" t="str">
            <v>黄陂压气站</v>
          </cell>
          <cell r="B504" t="str">
            <v>一级</v>
          </cell>
          <cell r="C504" t="str">
            <v>西气东输二线</v>
          </cell>
          <cell r="D504" t="str">
            <v>西二线干线东段</v>
          </cell>
        </row>
        <row r="505">
          <cell r="A505" t="str">
            <v>西二124#阀室</v>
          </cell>
          <cell r="B505" t="str">
            <v>一级</v>
          </cell>
          <cell r="C505" t="str">
            <v>西气东输二线</v>
          </cell>
          <cell r="D505" t="str">
            <v>西二线干线中段</v>
          </cell>
        </row>
        <row r="506">
          <cell r="A506" t="str">
            <v>西二125#阀室</v>
          </cell>
          <cell r="B506" t="str">
            <v>一级</v>
          </cell>
          <cell r="C506" t="str">
            <v>西气东输二线</v>
          </cell>
          <cell r="D506" t="str">
            <v>西二线干线中段</v>
          </cell>
        </row>
        <row r="507">
          <cell r="A507" t="str">
            <v>西二126#阀室</v>
          </cell>
          <cell r="B507" t="str">
            <v>一级</v>
          </cell>
          <cell r="C507" t="str">
            <v>西气东输二线</v>
          </cell>
          <cell r="D507" t="str">
            <v>西二线干线中段</v>
          </cell>
        </row>
        <row r="508">
          <cell r="A508" t="str">
            <v>黄冈分输站</v>
          </cell>
          <cell r="B508" t="str">
            <v>一级</v>
          </cell>
          <cell r="C508" t="str">
            <v>西气东输二线</v>
          </cell>
          <cell r="D508" t="str">
            <v>西二线干线中段</v>
          </cell>
        </row>
        <row r="509">
          <cell r="A509" t="str">
            <v>西二127#阀室</v>
          </cell>
          <cell r="B509" t="str">
            <v>一级</v>
          </cell>
          <cell r="C509" t="str">
            <v>西气东输二线</v>
          </cell>
          <cell r="D509" t="str">
            <v>西二线干线中段</v>
          </cell>
        </row>
        <row r="510">
          <cell r="A510" t="str">
            <v>西二128#阀室</v>
          </cell>
          <cell r="B510" t="str">
            <v>一级</v>
          </cell>
          <cell r="C510" t="str">
            <v>西气东输二线</v>
          </cell>
          <cell r="D510" t="str">
            <v>西二线干线中段</v>
          </cell>
        </row>
        <row r="511">
          <cell r="A511" t="str">
            <v>西二129#阀室</v>
          </cell>
          <cell r="B511" t="str">
            <v>一级</v>
          </cell>
          <cell r="C511" t="str">
            <v>西气东输二线</v>
          </cell>
          <cell r="D511" t="str">
            <v>西二线干线中段</v>
          </cell>
        </row>
        <row r="512">
          <cell r="A512" t="str">
            <v>蕲春分输站</v>
          </cell>
          <cell r="B512" t="str">
            <v>一级</v>
          </cell>
          <cell r="C512" t="str">
            <v>西气东输二线</v>
          </cell>
          <cell r="D512" t="str">
            <v>西二线干线中段</v>
          </cell>
        </row>
        <row r="513">
          <cell r="A513" t="str">
            <v>西二130#阀室</v>
          </cell>
          <cell r="B513" t="str">
            <v>一级</v>
          </cell>
          <cell r="C513" t="str">
            <v>西气东输二线</v>
          </cell>
          <cell r="D513" t="str">
            <v>西二线干线中段</v>
          </cell>
        </row>
        <row r="514">
          <cell r="A514" t="str">
            <v>武穴压气站</v>
          </cell>
          <cell r="B514" t="str">
            <v>一级</v>
          </cell>
          <cell r="C514" t="str">
            <v>西气东输二线</v>
          </cell>
          <cell r="D514" t="str">
            <v>西二线干线东段</v>
          </cell>
        </row>
        <row r="515">
          <cell r="A515" t="str">
            <v>西二131#阀室</v>
          </cell>
          <cell r="B515" t="str">
            <v>一级</v>
          </cell>
          <cell r="C515" t="str">
            <v>西气东输二线</v>
          </cell>
          <cell r="D515" t="str">
            <v>西二线干线中段</v>
          </cell>
        </row>
        <row r="516">
          <cell r="A516" t="str">
            <v>西二132#阀室</v>
          </cell>
          <cell r="B516" t="str">
            <v>一级</v>
          </cell>
          <cell r="C516" t="str">
            <v>西气东输二线</v>
          </cell>
          <cell r="D516" t="str">
            <v>西二线干线中段</v>
          </cell>
        </row>
        <row r="517">
          <cell r="A517" t="str">
            <v>九江分输站</v>
          </cell>
          <cell r="B517" t="str">
            <v>一级</v>
          </cell>
          <cell r="C517" t="str">
            <v>西气东输二线</v>
          </cell>
          <cell r="D517" t="str">
            <v>西二线干线中段</v>
          </cell>
        </row>
        <row r="518">
          <cell r="A518" t="str">
            <v>西二133#阀室</v>
          </cell>
          <cell r="B518" t="str">
            <v>一级</v>
          </cell>
          <cell r="C518" t="str">
            <v>西气东输二线</v>
          </cell>
          <cell r="D518" t="str">
            <v>西二线干线中段</v>
          </cell>
        </row>
        <row r="519">
          <cell r="A519" t="str">
            <v>西二134#阀室</v>
          </cell>
          <cell r="B519" t="str">
            <v>一级</v>
          </cell>
          <cell r="C519" t="str">
            <v>西气东输二线</v>
          </cell>
          <cell r="D519" t="str">
            <v>西二线干线中段</v>
          </cell>
        </row>
        <row r="520">
          <cell r="A520" t="str">
            <v>西二135#阀室</v>
          </cell>
          <cell r="B520" t="str">
            <v>一级</v>
          </cell>
          <cell r="C520" t="str">
            <v>西气东输二线</v>
          </cell>
          <cell r="D520" t="str">
            <v>西二线干线中段</v>
          </cell>
        </row>
        <row r="521">
          <cell r="A521" t="str">
            <v>昌北分输站</v>
          </cell>
          <cell r="B521" t="str">
            <v>一级</v>
          </cell>
          <cell r="C521" t="str">
            <v>西气东输二线</v>
          </cell>
          <cell r="D521" t="str">
            <v>西二线干线中段</v>
          </cell>
        </row>
        <row r="522">
          <cell r="A522" t="str">
            <v>西二136#阀室</v>
          </cell>
          <cell r="B522" t="str">
            <v>一级</v>
          </cell>
          <cell r="C522" t="str">
            <v>西气东输二线</v>
          </cell>
          <cell r="D522" t="str">
            <v>西二线干线中段</v>
          </cell>
        </row>
        <row r="523">
          <cell r="A523" t="str">
            <v>南昌压气站</v>
          </cell>
          <cell r="B523" t="str">
            <v>一级</v>
          </cell>
          <cell r="C523" t="str">
            <v>西气东输二线</v>
          </cell>
          <cell r="D523" t="str">
            <v>西二线干线东段</v>
          </cell>
        </row>
        <row r="524">
          <cell r="A524" t="str">
            <v>西二137#阀室</v>
          </cell>
          <cell r="B524" t="str">
            <v>一级</v>
          </cell>
          <cell r="C524" t="str">
            <v>西气东输二线</v>
          </cell>
          <cell r="D524" t="str">
            <v>西二线干线中段</v>
          </cell>
        </row>
        <row r="525">
          <cell r="A525" t="str">
            <v>西二138#阀室</v>
          </cell>
          <cell r="B525" t="str">
            <v>一级</v>
          </cell>
          <cell r="C525" t="str">
            <v>西气东输二线</v>
          </cell>
          <cell r="D525" t="str">
            <v>西二线干线中段</v>
          </cell>
        </row>
        <row r="526">
          <cell r="A526" t="str">
            <v>樟树分输站</v>
          </cell>
          <cell r="B526" t="str">
            <v>一级</v>
          </cell>
          <cell r="C526" t="str">
            <v>西气东输二线</v>
          </cell>
          <cell r="D526" t="str">
            <v>西二线干线中段</v>
          </cell>
        </row>
        <row r="527">
          <cell r="A527" t="str">
            <v>西二139#阀室</v>
          </cell>
          <cell r="B527" t="str">
            <v>一级</v>
          </cell>
          <cell r="C527" t="str">
            <v>西气东输二线</v>
          </cell>
          <cell r="D527" t="str">
            <v>西二线干线中段</v>
          </cell>
        </row>
        <row r="528">
          <cell r="A528" t="str">
            <v>西二140#阀室</v>
          </cell>
          <cell r="B528" t="str">
            <v>一级</v>
          </cell>
          <cell r="C528" t="str">
            <v>西气东输二线</v>
          </cell>
          <cell r="D528" t="str">
            <v>西二线干线中段</v>
          </cell>
        </row>
        <row r="529">
          <cell r="A529" t="str">
            <v>西二141#阀室</v>
          </cell>
          <cell r="B529" t="str">
            <v>一级</v>
          </cell>
          <cell r="C529" t="str">
            <v>西气东输二线</v>
          </cell>
          <cell r="D529" t="str">
            <v>西二线干线中段</v>
          </cell>
        </row>
        <row r="530">
          <cell r="A530" t="str">
            <v>吉安分输站</v>
          </cell>
          <cell r="B530" t="str">
            <v>一级</v>
          </cell>
          <cell r="C530" t="str">
            <v>西气东输二线</v>
          </cell>
          <cell r="D530" t="str">
            <v>西二线干线南段</v>
          </cell>
        </row>
        <row r="531">
          <cell r="A531" t="str">
            <v>西二142#阀室</v>
          </cell>
          <cell r="B531" t="str">
            <v>一级</v>
          </cell>
          <cell r="C531" t="str">
            <v>西气东输二线</v>
          </cell>
          <cell r="D531" t="str">
            <v>西二线干线南段</v>
          </cell>
        </row>
        <row r="532">
          <cell r="A532" t="str">
            <v>西二143#阀室</v>
          </cell>
          <cell r="B532" t="str">
            <v>一级</v>
          </cell>
          <cell r="C532" t="str">
            <v>西气东输二线</v>
          </cell>
          <cell r="D532" t="str">
            <v>西二线干线南段</v>
          </cell>
        </row>
        <row r="533">
          <cell r="A533" t="str">
            <v>西二144#阀室</v>
          </cell>
          <cell r="B533" t="str">
            <v>一级</v>
          </cell>
          <cell r="C533" t="str">
            <v>西气东输二线</v>
          </cell>
          <cell r="D533" t="str">
            <v>西二线干线南段</v>
          </cell>
        </row>
        <row r="534">
          <cell r="A534" t="str">
            <v>西二145#阀室</v>
          </cell>
          <cell r="B534" t="str">
            <v>一级</v>
          </cell>
          <cell r="C534" t="str">
            <v>西气东输二线</v>
          </cell>
          <cell r="D534" t="str">
            <v>西二线干线南段</v>
          </cell>
        </row>
        <row r="535">
          <cell r="A535" t="str">
            <v>西二146#阀室</v>
          </cell>
          <cell r="B535" t="str">
            <v>一级</v>
          </cell>
          <cell r="C535" t="str">
            <v>西气东输二线</v>
          </cell>
          <cell r="D535" t="str">
            <v>西二线干线南段</v>
          </cell>
        </row>
        <row r="536">
          <cell r="A536" t="str">
            <v>西二147#阀室</v>
          </cell>
          <cell r="B536" t="str">
            <v>一级</v>
          </cell>
          <cell r="C536" t="str">
            <v>西气东输二线</v>
          </cell>
          <cell r="D536" t="str">
            <v>西二线干线南段</v>
          </cell>
        </row>
        <row r="537">
          <cell r="A537" t="str">
            <v>赣州分输站</v>
          </cell>
          <cell r="B537" t="str">
            <v>一级</v>
          </cell>
          <cell r="C537" t="str">
            <v>西气东输二线</v>
          </cell>
          <cell r="D537" t="str">
            <v>西二线干线南段</v>
          </cell>
        </row>
        <row r="538">
          <cell r="A538" t="str">
            <v>西二148#阀室</v>
          </cell>
          <cell r="B538" t="str">
            <v>一级</v>
          </cell>
          <cell r="C538" t="str">
            <v>西气东输二线</v>
          </cell>
          <cell r="D538" t="str">
            <v>西二线干线南段</v>
          </cell>
        </row>
        <row r="539">
          <cell r="A539" t="str">
            <v>西二149#阀室</v>
          </cell>
          <cell r="B539" t="str">
            <v>一级</v>
          </cell>
          <cell r="C539" t="str">
            <v>西气东输二线</v>
          </cell>
          <cell r="D539" t="str">
            <v>西二线干线南段</v>
          </cell>
        </row>
        <row r="540">
          <cell r="A540" t="str">
            <v>西二150#阀室</v>
          </cell>
          <cell r="B540" t="str">
            <v>一级</v>
          </cell>
          <cell r="C540" t="str">
            <v>西气东输二线</v>
          </cell>
          <cell r="D540" t="str">
            <v>西二线干线南段</v>
          </cell>
        </row>
        <row r="541">
          <cell r="A541" t="str">
            <v>南雄分输站</v>
          </cell>
          <cell r="B541" t="str">
            <v>一级</v>
          </cell>
          <cell r="C541" t="str">
            <v>西气东输二线</v>
          </cell>
          <cell r="D541" t="str">
            <v>西二线干线南段</v>
          </cell>
        </row>
        <row r="542">
          <cell r="A542" t="str">
            <v>西二152#阀室</v>
          </cell>
          <cell r="B542" t="str">
            <v>一级</v>
          </cell>
          <cell r="C542" t="str">
            <v>西气东输二线</v>
          </cell>
          <cell r="D542" t="str">
            <v>西二线干线南段</v>
          </cell>
        </row>
        <row r="543">
          <cell r="A543" t="str">
            <v>韶关分输站</v>
          </cell>
          <cell r="B543" t="str">
            <v>一级</v>
          </cell>
          <cell r="C543" t="str">
            <v>西气东输二线</v>
          </cell>
          <cell r="D543" t="str">
            <v>西二线干线南段</v>
          </cell>
        </row>
        <row r="544">
          <cell r="A544" t="str">
            <v>西二153#阀室</v>
          </cell>
          <cell r="B544" t="str">
            <v>一级</v>
          </cell>
          <cell r="C544" t="str">
            <v>西气东输二线</v>
          </cell>
          <cell r="D544" t="str">
            <v>西二线干线南段</v>
          </cell>
        </row>
        <row r="545">
          <cell r="A545" t="str">
            <v>西二154#阀室</v>
          </cell>
          <cell r="B545" t="str">
            <v>一级</v>
          </cell>
          <cell r="C545" t="str">
            <v>西气东输二线</v>
          </cell>
          <cell r="D545" t="str">
            <v>西二线干线南段</v>
          </cell>
        </row>
        <row r="546">
          <cell r="A546" t="str">
            <v>西二155#阀室</v>
          </cell>
          <cell r="B546" t="str">
            <v>一级</v>
          </cell>
          <cell r="C546" t="str">
            <v>西气东输二线</v>
          </cell>
          <cell r="D546" t="str">
            <v>西二线干线南段</v>
          </cell>
        </row>
        <row r="547">
          <cell r="A547" t="str">
            <v>西二156#阀室</v>
          </cell>
          <cell r="B547" t="str">
            <v>一级</v>
          </cell>
          <cell r="C547" t="str">
            <v>西气东输二线</v>
          </cell>
          <cell r="D547" t="str">
            <v>西二线干线南段</v>
          </cell>
        </row>
        <row r="548">
          <cell r="A548" t="str">
            <v>西二157#阀室</v>
          </cell>
          <cell r="B548" t="str">
            <v>一级</v>
          </cell>
          <cell r="C548" t="str">
            <v>西气东输二线</v>
          </cell>
          <cell r="D548" t="str">
            <v>西二线干线南段</v>
          </cell>
        </row>
        <row r="549">
          <cell r="A549" t="str">
            <v>西二158#阀室</v>
          </cell>
          <cell r="B549" t="str">
            <v>一级</v>
          </cell>
          <cell r="C549" t="str">
            <v>西气东输二线</v>
          </cell>
          <cell r="D549" t="str">
            <v>西二线干线南段</v>
          </cell>
        </row>
        <row r="550">
          <cell r="A550" t="str">
            <v>西二159#阀室</v>
          </cell>
          <cell r="B550" t="str">
            <v>一级</v>
          </cell>
          <cell r="C550" t="str">
            <v>西气东输二线</v>
          </cell>
          <cell r="D550" t="str">
            <v>西二线干线南段</v>
          </cell>
        </row>
        <row r="551">
          <cell r="A551" t="str">
            <v>西二160#阀室</v>
          </cell>
          <cell r="B551" t="str">
            <v>一级</v>
          </cell>
          <cell r="C551" t="str">
            <v>西气东输二线</v>
          </cell>
          <cell r="D551" t="str">
            <v>西二线干线南段</v>
          </cell>
        </row>
        <row r="552">
          <cell r="A552" t="str">
            <v>广州压气站</v>
          </cell>
          <cell r="B552" t="str">
            <v>一级</v>
          </cell>
          <cell r="C552" t="str">
            <v>西气东输二线</v>
          </cell>
          <cell r="D552" t="str">
            <v>西二线干线东段</v>
          </cell>
        </row>
        <row r="553">
          <cell r="A553" t="str">
            <v>王家沟末站</v>
          </cell>
          <cell r="B553" t="str">
            <v>一级</v>
          </cell>
          <cell r="C553" t="str">
            <v>西气东输二线</v>
          </cell>
          <cell r="D553" t="str">
            <v>北疆联络线</v>
          </cell>
        </row>
        <row r="554">
          <cell r="A554" t="str">
            <v>独石化末站</v>
          </cell>
          <cell r="B554" t="str">
            <v>一级</v>
          </cell>
          <cell r="C554" t="str">
            <v>西气东输二线</v>
          </cell>
          <cell r="D554" t="str">
            <v>独石化支线</v>
          </cell>
        </row>
        <row r="555">
          <cell r="A555" t="str">
            <v>乌石化末站</v>
          </cell>
          <cell r="B555" t="str">
            <v>一级</v>
          </cell>
          <cell r="C555" t="str">
            <v>西气东输二线</v>
          </cell>
          <cell r="D555" t="str">
            <v>乌石化支线</v>
          </cell>
        </row>
        <row r="556">
          <cell r="A556" t="str">
            <v>嘉峪关门站</v>
          </cell>
          <cell r="B556" t="str">
            <v>一级</v>
          </cell>
          <cell r="C556" t="str">
            <v>西气东输二线</v>
          </cell>
          <cell r="D556" t="str">
            <v>嘉峪关支线</v>
          </cell>
        </row>
        <row r="557">
          <cell r="A557" t="str">
            <v>酒泉门站</v>
          </cell>
          <cell r="B557" t="str">
            <v>一级</v>
          </cell>
          <cell r="C557" t="str">
            <v>西气东输二线</v>
          </cell>
          <cell r="D557" t="str">
            <v>酒泉支线</v>
          </cell>
        </row>
        <row r="558">
          <cell r="A558" t="str">
            <v>金昌末站</v>
          </cell>
          <cell r="B558" t="str">
            <v>一级</v>
          </cell>
          <cell r="C558" t="str">
            <v>西气东输二线</v>
          </cell>
          <cell r="D558" t="str">
            <v>金昌支线</v>
          </cell>
        </row>
        <row r="559">
          <cell r="A559" t="str">
            <v>武威门站</v>
          </cell>
          <cell r="B559" t="str">
            <v>一级</v>
          </cell>
          <cell r="C559" t="str">
            <v>西气东输二线</v>
          </cell>
          <cell r="D559" t="str">
            <v>武威支线</v>
          </cell>
        </row>
        <row r="560">
          <cell r="A560" t="str">
            <v>张掖门站</v>
          </cell>
          <cell r="B560" t="str">
            <v>一级</v>
          </cell>
          <cell r="C560" t="str">
            <v>西气东输二线</v>
          </cell>
          <cell r="D560" t="str">
            <v>张掖支线</v>
          </cell>
        </row>
        <row r="561">
          <cell r="A561" t="str">
            <v>洛阳末站</v>
          </cell>
          <cell r="B561" t="str">
            <v>一级</v>
          </cell>
          <cell r="C561" t="str">
            <v>西气东输二线</v>
          </cell>
          <cell r="D561" t="str">
            <v>洛阳支线</v>
          </cell>
        </row>
        <row r="562">
          <cell r="A562" t="str">
            <v>130#阀室与武穴站间干线</v>
          </cell>
          <cell r="B562" t="str">
            <v>一级</v>
          </cell>
          <cell r="C562" t="str">
            <v>西气东输二线</v>
          </cell>
          <cell r="D562" t="str">
            <v>西二线与川气东送联络线</v>
          </cell>
        </row>
        <row r="563">
          <cell r="A563" t="str">
            <v>姜家湾分输站</v>
          </cell>
          <cell r="B563" t="str">
            <v>一级</v>
          </cell>
          <cell r="C563" t="str">
            <v>西气东输二线</v>
          </cell>
          <cell r="D563" t="str">
            <v>西二线与川气东送联络线</v>
          </cell>
        </row>
        <row r="564">
          <cell r="A564" t="str">
            <v>川气东送互联站（属中石化管理）</v>
          </cell>
          <cell r="B564" t="str">
            <v>一级</v>
          </cell>
          <cell r="C564" t="str">
            <v>西气东输二线</v>
          </cell>
          <cell r="D564" t="str">
            <v>西二线与川气东送联络线</v>
          </cell>
        </row>
        <row r="565">
          <cell r="A565" t="str">
            <v>淮武线15-16#阀室之间</v>
          </cell>
          <cell r="B565" t="str">
            <v>一级</v>
          </cell>
          <cell r="C565" t="str">
            <v>西气东输二线</v>
          </cell>
          <cell r="D565" t="str">
            <v>黄陂与淮武联络线</v>
          </cell>
        </row>
        <row r="566">
          <cell r="A566" t="str">
            <v>轮吐1#阀室</v>
          </cell>
          <cell r="B566" t="str">
            <v>一级</v>
          </cell>
          <cell r="C566" t="str">
            <v>轮吐支干线</v>
          </cell>
          <cell r="D566" t="str">
            <v>轮吐支干线</v>
          </cell>
        </row>
        <row r="567">
          <cell r="A567" t="str">
            <v>轮吐2#阀室</v>
          </cell>
          <cell r="B567" t="str">
            <v>一级</v>
          </cell>
          <cell r="C567" t="str">
            <v>轮吐支干线</v>
          </cell>
          <cell r="D567" t="str">
            <v>轮吐支干线</v>
          </cell>
        </row>
        <row r="568">
          <cell r="A568" t="str">
            <v>轮吐3#阀室</v>
          </cell>
          <cell r="B568" t="str">
            <v>一级</v>
          </cell>
          <cell r="C568" t="str">
            <v>轮吐支干线</v>
          </cell>
          <cell r="D568" t="str">
            <v>轮吐支干线</v>
          </cell>
        </row>
        <row r="569">
          <cell r="A569" t="str">
            <v>轮吐4#阀室</v>
          </cell>
          <cell r="B569" t="str">
            <v>一级</v>
          </cell>
          <cell r="C569" t="str">
            <v>轮吐支干线</v>
          </cell>
          <cell r="D569" t="str">
            <v>轮吐支干线</v>
          </cell>
        </row>
        <row r="570">
          <cell r="A570" t="str">
            <v>轮吐5#阀室</v>
          </cell>
          <cell r="B570" t="str">
            <v>一级</v>
          </cell>
          <cell r="C570" t="str">
            <v>轮吐支干线</v>
          </cell>
          <cell r="D570" t="str">
            <v>轮吐支干线</v>
          </cell>
        </row>
        <row r="571">
          <cell r="A571" t="str">
            <v>轮吐6#阀室</v>
          </cell>
          <cell r="B571" t="str">
            <v>一级</v>
          </cell>
          <cell r="C571" t="str">
            <v>轮吐支干线</v>
          </cell>
          <cell r="D571" t="str">
            <v>轮吐支干线</v>
          </cell>
        </row>
        <row r="572">
          <cell r="A572" t="str">
            <v>轮吐7#阀室</v>
          </cell>
          <cell r="B572" t="str">
            <v>一级</v>
          </cell>
          <cell r="C572" t="str">
            <v>轮吐支干线</v>
          </cell>
          <cell r="D572" t="str">
            <v>轮吐支干线</v>
          </cell>
        </row>
        <row r="573">
          <cell r="A573" t="str">
            <v>轮吐8#阀室</v>
          </cell>
          <cell r="B573" t="str">
            <v>一级</v>
          </cell>
          <cell r="C573" t="str">
            <v>轮吐支干线</v>
          </cell>
          <cell r="D573" t="str">
            <v>轮吐支干线</v>
          </cell>
        </row>
        <row r="574">
          <cell r="A574" t="str">
            <v>轮吐9#阀室</v>
          </cell>
          <cell r="B574" t="str">
            <v>一级</v>
          </cell>
          <cell r="C574" t="str">
            <v>轮吐支干线</v>
          </cell>
          <cell r="D574" t="str">
            <v>轮吐支干线</v>
          </cell>
        </row>
        <row r="575">
          <cell r="A575" t="str">
            <v>轮吐10#阀室</v>
          </cell>
          <cell r="B575" t="str">
            <v>一级</v>
          </cell>
          <cell r="C575" t="str">
            <v>轮吐支干线</v>
          </cell>
          <cell r="D575" t="str">
            <v>轮吐支干线</v>
          </cell>
        </row>
        <row r="576">
          <cell r="A576" t="str">
            <v>轮吐11#阀室</v>
          </cell>
          <cell r="B576" t="str">
            <v>一级</v>
          </cell>
          <cell r="C576" t="str">
            <v>轮吐支干线</v>
          </cell>
          <cell r="D576" t="str">
            <v>轮吐支干线</v>
          </cell>
        </row>
        <row r="577">
          <cell r="A577" t="str">
            <v>轮吐12#阀室</v>
          </cell>
          <cell r="B577" t="str">
            <v>一级</v>
          </cell>
          <cell r="C577" t="str">
            <v>轮吐支干线</v>
          </cell>
          <cell r="D577" t="str">
            <v>轮吐支干线</v>
          </cell>
        </row>
        <row r="578">
          <cell r="A578" t="str">
            <v>库米什压气站</v>
          </cell>
          <cell r="B578" t="str">
            <v>一级</v>
          </cell>
          <cell r="C578" t="str">
            <v>轮吐支干线</v>
          </cell>
          <cell r="D578" t="str">
            <v>轮吐支干线</v>
          </cell>
        </row>
        <row r="579">
          <cell r="A579" t="str">
            <v>轮吐13#阀室</v>
          </cell>
          <cell r="B579" t="str">
            <v>一级</v>
          </cell>
          <cell r="C579" t="str">
            <v>轮吐支干线</v>
          </cell>
          <cell r="D579" t="str">
            <v>轮吐支干线</v>
          </cell>
        </row>
        <row r="580">
          <cell r="A580" t="str">
            <v>轮吐14#阀室</v>
          </cell>
          <cell r="B580" t="str">
            <v>一级</v>
          </cell>
          <cell r="C580" t="str">
            <v>轮吐支干线</v>
          </cell>
          <cell r="D580" t="str">
            <v>轮吐支干线</v>
          </cell>
        </row>
        <row r="581">
          <cell r="A581" t="str">
            <v>轮吐15#阀室</v>
          </cell>
          <cell r="B581" t="str">
            <v>一级</v>
          </cell>
          <cell r="C581" t="str">
            <v>轮吐支干线</v>
          </cell>
          <cell r="D581" t="str">
            <v>轮吐支干线</v>
          </cell>
        </row>
        <row r="582">
          <cell r="A582" t="str">
            <v>中靖1#阀室</v>
          </cell>
          <cell r="B582" t="str">
            <v>一级</v>
          </cell>
          <cell r="C582" t="str">
            <v>中靖支干线</v>
          </cell>
          <cell r="D582" t="str">
            <v>中靖支干线</v>
          </cell>
        </row>
        <row r="583">
          <cell r="A583" t="str">
            <v>中靖2#阀室</v>
          </cell>
          <cell r="B583" t="str">
            <v>一级</v>
          </cell>
          <cell r="C583" t="str">
            <v>中靖支干线</v>
          </cell>
          <cell r="D583" t="str">
            <v>中靖支干线</v>
          </cell>
        </row>
        <row r="584">
          <cell r="A584" t="str">
            <v>中靖3#阀室</v>
          </cell>
          <cell r="B584" t="str">
            <v>一级</v>
          </cell>
          <cell r="C584" t="str">
            <v>中靖支干线</v>
          </cell>
          <cell r="D584" t="str">
            <v>中靖支干线</v>
          </cell>
        </row>
        <row r="585">
          <cell r="A585" t="str">
            <v>中靖4#分输阀室</v>
          </cell>
          <cell r="B585" t="str">
            <v>一级</v>
          </cell>
          <cell r="C585" t="str">
            <v>中靖支干线</v>
          </cell>
          <cell r="D585" t="str">
            <v>中靖支干线</v>
          </cell>
        </row>
        <row r="586">
          <cell r="A586" t="str">
            <v>红寺堡分输站</v>
          </cell>
          <cell r="B586" t="str">
            <v>一级</v>
          </cell>
          <cell r="C586" t="str">
            <v>中靖支干线</v>
          </cell>
          <cell r="D586" t="str">
            <v>中靖支干线</v>
          </cell>
        </row>
        <row r="587">
          <cell r="A587" t="str">
            <v>中靖6#阀室</v>
          </cell>
          <cell r="B587" t="str">
            <v>一级</v>
          </cell>
          <cell r="C587" t="str">
            <v>中靖支干线</v>
          </cell>
          <cell r="D587" t="str">
            <v>中靖支干线</v>
          </cell>
        </row>
        <row r="588">
          <cell r="A588" t="str">
            <v>太阳山分输站</v>
          </cell>
          <cell r="B588" t="str">
            <v>一级</v>
          </cell>
          <cell r="C588" t="str">
            <v>中靖支干线</v>
          </cell>
          <cell r="D588" t="str">
            <v>中靖支干线</v>
          </cell>
        </row>
        <row r="589">
          <cell r="A589" t="str">
            <v>中靖8#阀室</v>
          </cell>
          <cell r="B589" t="str">
            <v>一级</v>
          </cell>
          <cell r="C589" t="str">
            <v>中靖支干线</v>
          </cell>
          <cell r="D589" t="str">
            <v>中靖支干线</v>
          </cell>
        </row>
        <row r="590">
          <cell r="A590" t="str">
            <v>中靖9#阀室</v>
          </cell>
          <cell r="B590" t="str">
            <v>一级</v>
          </cell>
          <cell r="C590" t="str">
            <v>中靖支干线</v>
          </cell>
          <cell r="D590" t="str">
            <v>中靖支干线</v>
          </cell>
        </row>
        <row r="591">
          <cell r="A591" t="str">
            <v>中靖10#阀室</v>
          </cell>
          <cell r="B591" t="str">
            <v>一级</v>
          </cell>
          <cell r="C591" t="str">
            <v>中靖支干线</v>
          </cell>
          <cell r="D591" t="str">
            <v>中靖支干线</v>
          </cell>
        </row>
        <row r="592">
          <cell r="A592" t="str">
            <v>中靖11#阀室</v>
          </cell>
          <cell r="B592" t="str">
            <v>一级</v>
          </cell>
          <cell r="C592" t="str">
            <v>中靖支干线</v>
          </cell>
          <cell r="D592" t="str">
            <v>中靖支干线</v>
          </cell>
        </row>
        <row r="593">
          <cell r="A593" t="str">
            <v>中靖12#阀室</v>
          </cell>
          <cell r="B593" t="str">
            <v>一级</v>
          </cell>
          <cell r="C593" t="str">
            <v>中靖支干线</v>
          </cell>
          <cell r="D593" t="str">
            <v>中靖支干线</v>
          </cell>
        </row>
        <row r="594">
          <cell r="A594" t="str">
            <v>中靖13#阀室</v>
          </cell>
          <cell r="B594" t="str">
            <v>一级</v>
          </cell>
          <cell r="C594" t="str">
            <v>中靖支干线</v>
          </cell>
          <cell r="D594" t="str">
            <v>中靖支干线</v>
          </cell>
        </row>
        <row r="595">
          <cell r="A595" t="str">
            <v>枣十1#阀室</v>
          </cell>
          <cell r="B595" t="str">
            <v>一级</v>
          </cell>
          <cell r="C595" t="str">
            <v>枣十支干线</v>
          </cell>
          <cell r="D595" t="str">
            <v>枣十支干线</v>
          </cell>
        </row>
        <row r="596">
          <cell r="A596" t="str">
            <v>枣十2#阀室</v>
          </cell>
          <cell r="B596" t="str">
            <v>一级</v>
          </cell>
          <cell r="C596" t="str">
            <v>枣十支干线</v>
          </cell>
          <cell r="D596" t="str">
            <v>枣十支干线</v>
          </cell>
        </row>
        <row r="597">
          <cell r="A597" t="str">
            <v>枣十3#阀室</v>
          </cell>
          <cell r="B597" t="str">
            <v>一级</v>
          </cell>
          <cell r="C597" t="str">
            <v>枣十支干线</v>
          </cell>
          <cell r="D597" t="str">
            <v>枣十支干线</v>
          </cell>
        </row>
        <row r="598">
          <cell r="A598" t="str">
            <v>襄樊分输站</v>
          </cell>
          <cell r="B598" t="str">
            <v>一级</v>
          </cell>
          <cell r="C598" t="str">
            <v>枣十支干线</v>
          </cell>
          <cell r="D598" t="str">
            <v>枣十支干线</v>
          </cell>
        </row>
        <row r="599">
          <cell r="A599" t="str">
            <v>枣十4#阀室</v>
          </cell>
          <cell r="B599" t="str">
            <v>一级</v>
          </cell>
          <cell r="C599" t="str">
            <v>枣十支干线</v>
          </cell>
          <cell r="D599" t="str">
            <v>枣十支干线</v>
          </cell>
        </row>
        <row r="600">
          <cell r="A600" t="str">
            <v>仙人渡分输站</v>
          </cell>
          <cell r="B600" t="str">
            <v>一级</v>
          </cell>
          <cell r="C600" t="str">
            <v>枣十支干线</v>
          </cell>
          <cell r="D600" t="str">
            <v>枣十支干线</v>
          </cell>
        </row>
        <row r="601">
          <cell r="A601" t="str">
            <v>枣十6#阀室</v>
          </cell>
          <cell r="B601" t="str">
            <v>一级</v>
          </cell>
          <cell r="C601" t="str">
            <v>枣十支干线</v>
          </cell>
          <cell r="D601" t="str">
            <v>枣十支干线</v>
          </cell>
        </row>
        <row r="602">
          <cell r="A602" t="str">
            <v>枣十7#阀室</v>
          </cell>
          <cell r="B602" t="str">
            <v>一级</v>
          </cell>
          <cell r="C602" t="str">
            <v>枣十支干线</v>
          </cell>
          <cell r="D602" t="str">
            <v>枣十支干线</v>
          </cell>
        </row>
        <row r="603">
          <cell r="A603" t="str">
            <v>枣十8#阀室</v>
          </cell>
          <cell r="B603" t="str">
            <v>一级</v>
          </cell>
          <cell r="C603" t="str">
            <v>枣十支干线</v>
          </cell>
          <cell r="D603" t="str">
            <v>枣十支干线</v>
          </cell>
        </row>
        <row r="604">
          <cell r="A604" t="str">
            <v>丹江口分输站</v>
          </cell>
          <cell r="B604" t="str">
            <v>一级</v>
          </cell>
          <cell r="C604" t="str">
            <v>枣十支干线</v>
          </cell>
          <cell r="D604" t="str">
            <v>枣十支干线</v>
          </cell>
        </row>
        <row r="605">
          <cell r="A605" t="str">
            <v>枣十10#阀室</v>
          </cell>
          <cell r="B605" t="str">
            <v>一级</v>
          </cell>
          <cell r="C605" t="str">
            <v>枣十支干线</v>
          </cell>
          <cell r="D605" t="str">
            <v>枣十支干线</v>
          </cell>
        </row>
        <row r="606">
          <cell r="A606" t="str">
            <v>十堰末站</v>
          </cell>
          <cell r="B606" t="str">
            <v>一级</v>
          </cell>
          <cell r="C606" t="str">
            <v>枣十支干线</v>
          </cell>
          <cell r="D606" t="str">
            <v>枣十支干线</v>
          </cell>
        </row>
        <row r="607">
          <cell r="A607" t="str">
            <v>江北分输站</v>
          </cell>
          <cell r="B607" t="str">
            <v>一级</v>
          </cell>
          <cell r="C607" t="str">
            <v>枣十支干线</v>
          </cell>
          <cell r="D607" t="str">
            <v>枣十襄樊支线</v>
          </cell>
        </row>
        <row r="608">
          <cell r="A608" t="str">
            <v>襄樊1#阀室</v>
          </cell>
          <cell r="B608" t="str">
            <v>一级</v>
          </cell>
          <cell r="C608" t="str">
            <v>枣十支干线</v>
          </cell>
          <cell r="D608" t="str">
            <v>枣十襄樊支线</v>
          </cell>
        </row>
        <row r="609">
          <cell r="A609" t="str">
            <v>襄樊1#切断阀室</v>
          </cell>
          <cell r="B609" t="str">
            <v>一级</v>
          </cell>
          <cell r="C609" t="str">
            <v>枣十支干线</v>
          </cell>
          <cell r="D609" t="str">
            <v>枣十襄樊支线</v>
          </cell>
        </row>
        <row r="610">
          <cell r="A610" t="str">
            <v>襄樊2#阀室</v>
          </cell>
          <cell r="B610" t="str">
            <v>一级</v>
          </cell>
          <cell r="C610" t="str">
            <v>枣十支干线</v>
          </cell>
          <cell r="D610" t="str">
            <v>枣十襄樊支线</v>
          </cell>
        </row>
        <row r="611">
          <cell r="A611" t="str">
            <v>襄樊2#切断阀室</v>
          </cell>
          <cell r="B611" t="str">
            <v>一级</v>
          </cell>
          <cell r="C611" t="str">
            <v>枣十支干线</v>
          </cell>
          <cell r="D611" t="str">
            <v>枣十襄樊支线</v>
          </cell>
        </row>
        <row r="612">
          <cell r="A612" t="str">
            <v>襄樊计量站</v>
          </cell>
          <cell r="B612" t="str">
            <v>一级</v>
          </cell>
          <cell r="C612" t="str">
            <v>枣十支干线</v>
          </cell>
          <cell r="D612" t="str">
            <v>枣十襄樊支线</v>
          </cell>
        </row>
        <row r="613">
          <cell r="A613" t="str">
            <v>樟湘1#阀室</v>
          </cell>
          <cell r="B613" t="str">
            <v>一级</v>
          </cell>
          <cell r="C613" t="str">
            <v>樟湘支干线</v>
          </cell>
          <cell r="D613" t="str">
            <v>樟湘支干线</v>
          </cell>
        </row>
        <row r="614">
          <cell r="A614" t="str">
            <v>新余分输站</v>
          </cell>
          <cell r="B614" t="str">
            <v>一级</v>
          </cell>
          <cell r="C614" t="str">
            <v>樟湘支干线</v>
          </cell>
          <cell r="D614" t="str">
            <v>樟湘支干线</v>
          </cell>
        </row>
        <row r="615">
          <cell r="A615" t="str">
            <v>樟湘2#阀室</v>
          </cell>
          <cell r="B615" t="str">
            <v>一级</v>
          </cell>
          <cell r="C615" t="str">
            <v>樟湘支干线</v>
          </cell>
          <cell r="D615" t="str">
            <v>樟湘支干线</v>
          </cell>
        </row>
        <row r="616">
          <cell r="A616" t="str">
            <v>分宜分输站</v>
          </cell>
          <cell r="B616" t="str">
            <v>一级</v>
          </cell>
          <cell r="C616" t="str">
            <v>樟湘支干线</v>
          </cell>
          <cell r="D616" t="str">
            <v>樟湘支干线</v>
          </cell>
        </row>
        <row r="617">
          <cell r="A617" t="str">
            <v>樟湘4#阀室</v>
          </cell>
          <cell r="B617" t="str">
            <v>一级</v>
          </cell>
          <cell r="C617" t="str">
            <v>樟湘支干线</v>
          </cell>
          <cell r="D617" t="str">
            <v>樟湘支干线</v>
          </cell>
        </row>
        <row r="618">
          <cell r="A618" t="str">
            <v>宜春分输站</v>
          </cell>
          <cell r="B618" t="str">
            <v>一级</v>
          </cell>
          <cell r="C618" t="str">
            <v>樟湘支干线</v>
          </cell>
          <cell r="D618" t="str">
            <v>樟湘支干线</v>
          </cell>
        </row>
        <row r="619">
          <cell r="A619" t="str">
            <v>樟湘5#阀室</v>
          </cell>
          <cell r="B619" t="str">
            <v>一级</v>
          </cell>
          <cell r="C619" t="str">
            <v>樟湘支干线</v>
          </cell>
          <cell r="D619" t="str">
            <v>樟湘支干线</v>
          </cell>
        </row>
        <row r="620">
          <cell r="A620" t="str">
            <v>樟湘6#阀室</v>
          </cell>
          <cell r="B620" t="str">
            <v>一级</v>
          </cell>
          <cell r="C620" t="str">
            <v>樟湘支干线</v>
          </cell>
          <cell r="D620" t="str">
            <v>樟湘支干线</v>
          </cell>
        </row>
        <row r="621">
          <cell r="A621" t="str">
            <v>萍乡分输站</v>
          </cell>
          <cell r="B621" t="str">
            <v>一级</v>
          </cell>
          <cell r="C621" t="str">
            <v>樟湘支干线</v>
          </cell>
          <cell r="D621" t="str">
            <v>樟湘支干线</v>
          </cell>
        </row>
        <row r="622">
          <cell r="A622" t="str">
            <v>樟湘7#阀室</v>
          </cell>
          <cell r="B622" t="str">
            <v>一级</v>
          </cell>
          <cell r="C622" t="str">
            <v>樟湘支干线</v>
          </cell>
          <cell r="D622" t="str">
            <v>樟湘支干线</v>
          </cell>
        </row>
        <row r="623">
          <cell r="A623" t="str">
            <v>樟湘8#阀室</v>
          </cell>
          <cell r="B623" t="str">
            <v>一级</v>
          </cell>
          <cell r="C623" t="str">
            <v>樟湘支干线</v>
          </cell>
          <cell r="D623" t="str">
            <v>樟湘支干线</v>
          </cell>
        </row>
        <row r="624">
          <cell r="A624" t="str">
            <v>醴陵压气站</v>
          </cell>
          <cell r="B624" t="str">
            <v>一级</v>
          </cell>
          <cell r="C624" t="str">
            <v>樟湘支干线</v>
          </cell>
          <cell r="D624" t="str">
            <v>樟湘支干线</v>
          </cell>
        </row>
        <row r="625">
          <cell r="A625" t="str">
            <v>醴陵分输站</v>
          </cell>
          <cell r="B625" t="str">
            <v>一级</v>
          </cell>
          <cell r="C625" t="str">
            <v>樟湘支干线</v>
          </cell>
          <cell r="D625" t="str">
            <v>樟湘支干线</v>
          </cell>
        </row>
        <row r="626">
          <cell r="A626" t="str">
            <v>樟湘9#阀室</v>
          </cell>
          <cell r="B626" t="str">
            <v>一级</v>
          </cell>
          <cell r="C626" t="str">
            <v>樟湘支干线</v>
          </cell>
          <cell r="D626" t="str">
            <v>樟湘支干线</v>
          </cell>
        </row>
        <row r="627">
          <cell r="A627" t="str">
            <v>株洲分输站</v>
          </cell>
          <cell r="B627" t="str">
            <v>一级</v>
          </cell>
          <cell r="C627" t="str">
            <v>樟湘支干线</v>
          </cell>
          <cell r="D627" t="str">
            <v>樟湘支干线</v>
          </cell>
        </row>
        <row r="628">
          <cell r="A628" t="str">
            <v>樟湘10#阀室</v>
          </cell>
          <cell r="B628" t="str">
            <v>一级</v>
          </cell>
          <cell r="C628" t="str">
            <v>樟湘支干线</v>
          </cell>
          <cell r="D628" t="str">
            <v>樟湘支干线</v>
          </cell>
        </row>
        <row r="629">
          <cell r="A629" t="str">
            <v>湘潭末站</v>
          </cell>
          <cell r="B629" t="str">
            <v>一级</v>
          </cell>
          <cell r="C629" t="str">
            <v>樟湘支干线</v>
          </cell>
          <cell r="D629" t="str">
            <v>樟湘支干线</v>
          </cell>
        </row>
        <row r="630">
          <cell r="A630" t="str">
            <v>上海1#阀室</v>
          </cell>
          <cell r="B630" t="str">
            <v>一级</v>
          </cell>
          <cell r="C630" t="str">
            <v>上海支干线</v>
          </cell>
          <cell r="D630" t="str">
            <v>上海支干线</v>
          </cell>
        </row>
        <row r="631">
          <cell r="A631" t="str">
            <v>昌东分输站</v>
          </cell>
          <cell r="B631" t="str">
            <v>一级</v>
          </cell>
          <cell r="C631" t="str">
            <v>上海支干线</v>
          </cell>
          <cell r="D631" t="str">
            <v>上海支干线</v>
          </cell>
        </row>
        <row r="632">
          <cell r="A632" t="str">
            <v>上海3#阀室</v>
          </cell>
          <cell r="B632" t="str">
            <v>一级</v>
          </cell>
          <cell r="C632" t="str">
            <v>上海支干线</v>
          </cell>
          <cell r="D632" t="str">
            <v>上海支干线</v>
          </cell>
        </row>
        <row r="633">
          <cell r="A633" t="str">
            <v>上海4#阀室</v>
          </cell>
          <cell r="B633" t="str">
            <v>一级</v>
          </cell>
          <cell r="C633" t="str">
            <v>上海支干线</v>
          </cell>
          <cell r="D633" t="str">
            <v>上海支干线</v>
          </cell>
        </row>
        <row r="634">
          <cell r="A634" t="str">
            <v>上海5#阀室</v>
          </cell>
          <cell r="B634" t="str">
            <v>一级</v>
          </cell>
          <cell r="C634" t="str">
            <v>上海支干线</v>
          </cell>
          <cell r="D634" t="str">
            <v>上海支干线</v>
          </cell>
        </row>
        <row r="635">
          <cell r="A635" t="str">
            <v>上海6#阀室</v>
          </cell>
          <cell r="B635" t="str">
            <v>一级</v>
          </cell>
          <cell r="C635" t="str">
            <v>上海支干线</v>
          </cell>
          <cell r="D635" t="str">
            <v>上海支干线</v>
          </cell>
        </row>
        <row r="636">
          <cell r="A636" t="str">
            <v>上海7#阀室</v>
          </cell>
          <cell r="B636" t="str">
            <v>一级</v>
          </cell>
          <cell r="C636" t="str">
            <v>上海支干线</v>
          </cell>
          <cell r="D636" t="str">
            <v>上海支干线</v>
          </cell>
        </row>
        <row r="637">
          <cell r="A637" t="str">
            <v>抚州压气站</v>
          </cell>
          <cell r="B637" t="str">
            <v>一级</v>
          </cell>
          <cell r="C637" t="str">
            <v>上海支干线</v>
          </cell>
          <cell r="D637" t="str">
            <v>上海支干线</v>
          </cell>
        </row>
        <row r="638">
          <cell r="A638" t="str">
            <v>鹰潭分输站</v>
          </cell>
          <cell r="B638" t="str">
            <v>一级</v>
          </cell>
          <cell r="C638" t="str">
            <v>上海支干线</v>
          </cell>
          <cell r="D638" t="str">
            <v>上海支干线</v>
          </cell>
        </row>
        <row r="639">
          <cell r="A639" t="str">
            <v>上海8#阀室</v>
          </cell>
          <cell r="B639" t="str">
            <v>一级</v>
          </cell>
          <cell r="C639" t="str">
            <v>上海支干线</v>
          </cell>
          <cell r="D639" t="str">
            <v>上海支干线</v>
          </cell>
        </row>
        <row r="640">
          <cell r="A640" t="str">
            <v>上海9#阀室</v>
          </cell>
          <cell r="B640" t="str">
            <v>一级</v>
          </cell>
          <cell r="C640" t="str">
            <v>上海支干线</v>
          </cell>
          <cell r="D640" t="str">
            <v>上海支干线</v>
          </cell>
        </row>
        <row r="641">
          <cell r="A641" t="str">
            <v>上海10#阀室</v>
          </cell>
          <cell r="B641" t="str">
            <v>一级</v>
          </cell>
          <cell r="C641" t="str">
            <v>上海支干线</v>
          </cell>
          <cell r="D641" t="str">
            <v>上海支干线</v>
          </cell>
        </row>
        <row r="642">
          <cell r="A642" t="str">
            <v>上海11#阀室</v>
          </cell>
          <cell r="B642" t="str">
            <v>一级</v>
          </cell>
          <cell r="C642" t="str">
            <v>上海支干线</v>
          </cell>
          <cell r="D642" t="str">
            <v>上海支干线</v>
          </cell>
        </row>
        <row r="643">
          <cell r="A643" t="str">
            <v>上饶分输站</v>
          </cell>
          <cell r="B643" t="str">
            <v>一级</v>
          </cell>
          <cell r="C643" t="str">
            <v>上海支干线</v>
          </cell>
          <cell r="D643" t="str">
            <v>上海支干线</v>
          </cell>
        </row>
        <row r="644">
          <cell r="A644" t="str">
            <v>上海12#阀室</v>
          </cell>
          <cell r="B644" t="str">
            <v>一级</v>
          </cell>
          <cell r="C644" t="str">
            <v>上海支干线</v>
          </cell>
          <cell r="D644" t="str">
            <v>上海支干线</v>
          </cell>
        </row>
        <row r="645">
          <cell r="A645" t="str">
            <v>上海13#阀室</v>
          </cell>
          <cell r="B645" t="str">
            <v>一级</v>
          </cell>
          <cell r="C645" t="str">
            <v>上海支干线</v>
          </cell>
          <cell r="D645" t="str">
            <v>上海支干线</v>
          </cell>
        </row>
        <row r="646">
          <cell r="A646" t="str">
            <v>上海14#阀室</v>
          </cell>
          <cell r="B646" t="str">
            <v>一级</v>
          </cell>
          <cell r="C646" t="str">
            <v>上海支干线</v>
          </cell>
          <cell r="D646" t="str">
            <v>上海支干线</v>
          </cell>
        </row>
        <row r="647">
          <cell r="A647" t="str">
            <v>上海15#阀室</v>
          </cell>
          <cell r="B647" t="str">
            <v>一级</v>
          </cell>
          <cell r="C647" t="str">
            <v>上海支干线</v>
          </cell>
          <cell r="D647" t="str">
            <v>上海支干线</v>
          </cell>
        </row>
        <row r="648">
          <cell r="A648" t="str">
            <v>上海16#阀室</v>
          </cell>
          <cell r="B648" t="str">
            <v>一级</v>
          </cell>
          <cell r="C648" t="str">
            <v>上海支干线</v>
          </cell>
          <cell r="D648" t="str">
            <v>上海支干线</v>
          </cell>
        </row>
        <row r="649">
          <cell r="A649" t="str">
            <v>上海17#阀室</v>
          </cell>
          <cell r="B649" t="str">
            <v>一级</v>
          </cell>
          <cell r="C649" t="str">
            <v>上海支干线</v>
          </cell>
          <cell r="D649" t="str">
            <v>上海支干线</v>
          </cell>
        </row>
        <row r="650">
          <cell r="A650" t="str">
            <v>上海18#阀室</v>
          </cell>
          <cell r="B650" t="str">
            <v>一级</v>
          </cell>
          <cell r="C650" t="str">
            <v>上海支干线</v>
          </cell>
          <cell r="D650" t="str">
            <v>上海支干线</v>
          </cell>
        </row>
        <row r="651">
          <cell r="A651" t="str">
            <v>衢州压气站</v>
          </cell>
          <cell r="B651" t="str">
            <v>一级</v>
          </cell>
          <cell r="C651" t="str">
            <v>上海支干线</v>
          </cell>
          <cell r="D651" t="str">
            <v>上海支干线</v>
          </cell>
        </row>
        <row r="652">
          <cell r="A652" t="str">
            <v>上海19#阀室</v>
          </cell>
          <cell r="B652" t="str">
            <v>一级</v>
          </cell>
          <cell r="C652" t="str">
            <v>上海支干线</v>
          </cell>
          <cell r="D652" t="str">
            <v>上海支干线</v>
          </cell>
        </row>
        <row r="653">
          <cell r="A653" t="str">
            <v>上海20#阀室</v>
          </cell>
          <cell r="B653" t="str">
            <v>一级</v>
          </cell>
          <cell r="C653" t="str">
            <v>上海支干线</v>
          </cell>
          <cell r="D653" t="str">
            <v>上海支干线</v>
          </cell>
        </row>
        <row r="654">
          <cell r="A654" t="str">
            <v>上海21#阀室</v>
          </cell>
          <cell r="B654" t="str">
            <v>一级</v>
          </cell>
          <cell r="C654" t="str">
            <v>上海支干线</v>
          </cell>
          <cell r="D654" t="str">
            <v>上海支干线</v>
          </cell>
        </row>
        <row r="655">
          <cell r="A655" t="str">
            <v>上海22#阀室</v>
          </cell>
          <cell r="B655" t="str">
            <v>一级</v>
          </cell>
          <cell r="C655" t="str">
            <v>上海支干线</v>
          </cell>
          <cell r="D655" t="str">
            <v>上海支干线</v>
          </cell>
        </row>
        <row r="656">
          <cell r="A656" t="str">
            <v>上海23#阀室</v>
          </cell>
          <cell r="B656" t="str">
            <v>一级</v>
          </cell>
          <cell r="C656" t="str">
            <v>上海支干线</v>
          </cell>
          <cell r="D656" t="str">
            <v>上海支干线</v>
          </cell>
        </row>
        <row r="657">
          <cell r="A657" t="str">
            <v>金华分输站</v>
          </cell>
          <cell r="B657" t="str">
            <v>一级</v>
          </cell>
          <cell r="C657" t="str">
            <v>上海支干线</v>
          </cell>
          <cell r="D657" t="str">
            <v>上海支干线</v>
          </cell>
        </row>
        <row r="658">
          <cell r="A658" t="str">
            <v>上海24#阀室</v>
          </cell>
          <cell r="B658" t="str">
            <v>一级</v>
          </cell>
          <cell r="C658" t="str">
            <v>上海支干线</v>
          </cell>
          <cell r="D658" t="str">
            <v>上海支干线</v>
          </cell>
        </row>
        <row r="659">
          <cell r="A659" t="str">
            <v>上海25#阀室</v>
          </cell>
          <cell r="B659" t="str">
            <v>一级</v>
          </cell>
          <cell r="C659" t="str">
            <v>上海支干线</v>
          </cell>
          <cell r="D659" t="str">
            <v>上海支干线</v>
          </cell>
        </row>
        <row r="660">
          <cell r="A660" t="str">
            <v>上海26#阀室</v>
          </cell>
          <cell r="B660" t="str">
            <v>一级</v>
          </cell>
          <cell r="C660" t="str">
            <v>上海支干线</v>
          </cell>
          <cell r="D660" t="str">
            <v>上海支干线</v>
          </cell>
        </row>
        <row r="661">
          <cell r="A661" t="str">
            <v>上海27#阀室</v>
          </cell>
          <cell r="B661" t="str">
            <v>一级</v>
          </cell>
          <cell r="C661" t="str">
            <v>上海支干线</v>
          </cell>
          <cell r="D661" t="str">
            <v>上海支干线</v>
          </cell>
        </row>
        <row r="662">
          <cell r="A662" t="str">
            <v>上海28#阀室</v>
          </cell>
          <cell r="B662" t="str">
            <v>一级</v>
          </cell>
          <cell r="C662" t="str">
            <v>上海支干线</v>
          </cell>
          <cell r="D662" t="str">
            <v>上海支干线</v>
          </cell>
        </row>
        <row r="663">
          <cell r="A663" t="str">
            <v>上海29#阀室</v>
          </cell>
          <cell r="B663" t="str">
            <v>一级</v>
          </cell>
          <cell r="C663" t="str">
            <v>上海支干线</v>
          </cell>
          <cell r="D663" t="str">
            <v>上海支干线</v>
          </cell>
        </row>
        <row r="664">
          <cell r="A664" t="str">
            <v>诸暨分输站</v>
          </cell>
          <cell r="B664" t="str">
            <v>一级</v>
          </cell>
          <cell r="C664" t="str">
            <v>上海支干线</v>
          </cell>
          <cell r="D664" t="str">
            <v>上海支干线</v>
          </cell>
        </row>
        <row r="665">
          <cell r="A665" t="str">
            <v>上海30#阀室</v>
          </cell>
          <cell r="B665" t="str">
            <v>一级</v>
          </cell>
          <cell r="C665" t="str">
            <v>上海支干线</v>
          </cell>
          <cell r="D665" t="str">
            <v>上海支干线</v>
          </cell>
        </row>
        <row r="666">
          <cell r="A666" t="str">
            <v>上海31#阀室</v>
          </cell>
          <cell r="B666" t="str">
            <v>一级</v>
          </cell>
          <cell r="C666" t="str">
            <v>上海支干线</v>
          </cell>
          <cell r="D666" t="str">
            <v>上海支干线</v>
          </cell>
        </row>
        <row r="667">
          <cell r="A667" t="str">
            <v>上海32#阀室</v>
          </cell>
          <cell r="B667" t="str">
            <v>一级</v>
          </cell>
          <cell r="C667" t="str">
            <v>上海支干线</v>
          </cell>
          <cell r="D667" t="str">
            <v>上海支干线</v>
          </cell>
        </row>
        <row r="668">
          <cell r="A668" t="str">
            <v>上海33#阀室</v>
          </cell>
          <cell r="B668" t="str">
            <v>一级</v>
          </cell>
          <cell r="C668" t="str">
            <v>上海支干线</v>
          </cell>
          <cell r="D668" t="str">
            <v>上海支干线</v>
          </cell>
        </row>
        <row r="669">
          <cell r="A669" t="str">
            <v>上海34#阀室</v>
          </cell>
          <cell r="B669" t="str">
            <v>一级</v>
          </cell>
          <cell r="C669" t="str">
            <v>上海支干线</v>
          </cell>
          <cell r="D669" t="str">
            <v>上海支干线</v>
          </cell>
        </row>
        <row r="670">
          <cell r="A670" t="str">
            <v>上海35#阀室</v>
          </cell>
          <cell r="B670" t="str">
            <v>一级</v>
          </cell>
          <cell r="C670" t="str">
            <v>上海支干线</v>
          </cell>
          <cell r="D670" t="str">
            <v>上海支干线</v>
          </cell>
        </row>
        <row r="671">
          <cell r="A671" t="str">
            <v>上海36#阀室</v>
          </cell>
          <cell r="B671" t="str">
            <v>一级</v>
          </cell>
          <cell r="C671" t="str">
            <v>上海支干线</v>
          </cell>
          <cell r="D671" t="str">
            <v>上海支干线</v>
          </cell>
        </row>
        <row r="672">
          <cell r="A672" t="str">
            <v>上海37#阀室</v>
          </cell>
          <cell r="B672" t="str">
            <v>一级</v>
          </cell>
          <cell r="C672" t="str">
            <v>上海支干线</v>
          </cell>
          <cell r="D672" t="str">
            <v>上海支干线</v>
          </cell>
        </row>
        <row r="673">
          <cell r="A673" t="str">
            <v>上海38#阀室</v>
          </cell>
          <cell r="B673" t="str">
            <v>一级</v>
          </cell>
          <cell r="C673" t="str">
            <v>上海支干线</v>
          </cell>
          <cell r="D673" t="str">
            <v>上海支干线</v>
          </cell>
        </row>
        <row r="674">
          <cell r="A674" t="str">
            <v>萧山分输站</v>
          </cell>
          <cell r="B674" t="str">
            <v>一级</v>
          </cell>
          <cell r="C674" t="str">
            <v>上海支干线</v>
          </cell>
          <cell r="D674" t="str">
            <v>上海支干线</v>
          </cell>
        </row>
        <row r="675">
          <cell r="A675" t="str">
            <v>上海39#阀室</v>
          </cell>
          <cell r="B675" t="str">
            <v>一级</v>
          </cell>
          <cell r="C675" t="str">
            <v>上海支干线</v>
          </cell>
          <cell r="D675" t="str">
            <v>上海支干线</v>
          </cell>
        </row>
        <row r="676">
          <cell r="A676" t="str">
            <v>上海40#阀室</v>
          </cell>
          <cell r="B676" t="str">
            <v>一级</v>
          </cell>
          <cell r="C676" t="str">
            <v>上海支干线</v>
          </cell>
          <cell r="D676" t="str">
            <v>上海支干线</v>
          </cell>
        </row>
        <row r="677">
          <cell r="A677" t="str">
            <v>上海41#阀室</v>
          </cell>
          <cell r="B677" t="str">
            <v>一级</v>
          </cell>
          <cell r="C677" t="str">
            <v>上海支干线</v>
          </cell>
          <cell r="D677" t="str">
            <v>上海支干线</v>
          </cell>
        </row>
        <row r="678">
          <cell r="A678" t="str">
            <v>上海42#阀室</v>
          </cell>
          <cell r="B678" t="str">
            <v>一级</v>
          </cell>
          <cell r="C678" t="str">
            <v>上海支干线</v>
          </cell>
          <cell r="D678" t="str">
            <v>上海支干线</v>
          </cell>
        </row>
        <row r="679">
          <cell r="A679" t="str">
            <v>上海嘉兴阀室</v>
          </cell>
          <cell r="B679" t="str">
            <v>一级</v>
          </cell>
          <cell r="C679" t="str">
            <v>上海支干线</v>
          </cell>
          <cell r="D679" t="str">
            <v>上海支干线</v>
          </cell>
        </row>
        <row r="680">
          <cell r="A680" t="str">
            <v>上海43#阀室</v>
          </cell>
          <cell r="B680" t="str">
            <v>一级</v>
          </cell>
          <cell r="C680" t="str">
            <v>上海支干线</v>
          </cell>
          <cell r="D680" t="str">
            <v>上海支干线</v>
          </cell>
        </row>
        <row r="681">
          <cell r="A681" t="str">
            <v>金山末站</v>
          </cell>
          <cell r="B681" t="str">
            <v>一级</v>
          </cell>
          <cell r="C681" t="str">
            <v>上海支干线</v>
          </cell>
          <cell r="D681" t="str">
            <v>上海支干线</v>
          </cell>
        </row>
        <row r="682">
          <cell r="A682" t="str">
            <v>上海44#阀室</v>
          </cell>
          <cell r="B682" t="str">
            <v>一级</v>
          </cell>
          <cell r="C682" t="str">
            <v>上海支干线</v>
          </cell>
          <cell r="D682" t="str">
            <v>嘉兴-甪直支线</v>
          </cell>
        </row>
        <row r="683">
          <cell r="A683" t="str">
            <v>上海45#阀室</v>
          </cell>
          <cell r="B683" t="str">
            <v>一级</v>
          </cell>
          <cell r="C683" t="str">
            <v>上海支干线</v>
          </cell>
          <cell r="D683" t="str">
            <v>嘉兴-甪直支线</v>
          </cell>
        </row>
        <row r="684">
          <cell r="A684" t="str">
            <v>上海46#阀室</v>
          </cell>
          <cell r="B684" t="str">
            <v>一级</v>
          </cell>
          <cell r="C684" t="str">
            <v>上海支干线</v>
          </cell>
          <cell r="D684" t="str">
            <v>嘉兴-甪直支线</v>
          </cell>
        </row>
        <row r="685">
          <cell r="A685" t="str">
            <v>吴江分输站</v>
          </cell>
          <cell r="B685" t="str">
            <v>一级</v>
          </cell>
          <cell r="C685" t="str">
            <v>上海支干线</v>
          </cell>
          <cell r="D685" t="str">
            <v>嘉兴-甪直支线</v>
          </cell>
        </row>
        <row r="686">
          <cell r="A686" t="str">
            <v>上海47#阀室</v>
          </cell>
          <cell r="B686" t="str">
            <v>一级</v>
          </cell>
          <cell r="C686" t="str">
            <v>上海支干线</v>
          </cell>
          <cell r="D686" t="str">
            <v>嘉兴-甪直支线</v>
          </cell>
        </row>
        <row r="687">
          <cell r="A687" t="str">
            <v>上海48#阀室</v>
          </cell>
          <cell r="B687" t="str">
            <v>一级</v>
          </cell>
          <cell r="C687" t="str">
            <v>上海支干线</v>
          </cell>
          <cell r="D687" t="str">
            <v>嘉兴-甪直支线</v>
          </cell>
        </row>
        <row r="688">
          <cell r="A688" t="str">
            <v>上海49#阀室</v>
          </cell>
          <cell r="B688" t="str">
            <v>一级</v>
          </cell>
          <cell r="C688" t="str">
            <v>上海支干线</v>
          </cell>
          <cell r="D688" t="str">
            <v>嘉兴-甪直支线</v>
          </cell>
        </row>
        <row r="689">
          <cell r="A689" t="str">
            <v>平泰1#阀室</v>
          </cell>
          <cell r="B689" t="str">
            <v>一级</v>
          </cell>
          <cell r="C689" t="str">
            <v>平泰支干线</v>
          </cell>
          <cell r="D689" t="str">
            <v>平泰河南段</v>
          </cell>
        </row>
        <row r="690">
          <cell r="A690" t="str">
            <v>平泰2#阀室</v>
          </cell>
          <cell r="B690" t="str">
            <v>一级</v>
          </cell>
          <cell r="C690" t="str">
            <v>平泰支干线</v>
          </cell>
          <cell r="D690" t="str">
            <v>平泰河南段</v>
          </cell>
        </row>
        <row r="691">
          <cell r="A691" t="str">
            <v>禹州分输站</v>
          </cell>
          <cell r="B691" t="str">
            <v>一级</v>
          </cell>
          <cell r="C691" t="str">
            <v>平泰支干线</v>
          </cell>
          <cell r="D691" t="str">
            <v>平泰河南段</v>
          </cell>
        </row>
        <row r="692">
          <cell r="A692" t="str">
            <v>平泰4#阀室</v>
          </cell>
          <cell r="B692" t="str">
            <v>一级</v>
          </cell>
          <cell r="C692" t="str">
            <v>平泰支干线</v>
          </cell>
          <cell r="D692" t="str">
            <v>平泰河南段</v>
          </cell>
        </row>
        <row r="693">
          <cell r="A693" t="str">
            <v>平泰5#阀室</v>
          </cell>
          <cell r="B693" t="str">
            <v>一级</v>
          </cell>
          <cell r="C693" t="str">
            <v>平泰支干线</v>
          </cell>
          <cell r="D693" t="str">
            <v>平泰河南段</v>
          </cell>
        </row>
        <row r="694">
          <cell r="A694" t="str">
            <v>中牟分输站</v>
          </cell>
          <cell r="B694" t="str">
            <v>一级</v>
          </cell>
          <cell r="C694" t="str">
            <v>平泰支干线</v>
          </cell>
          <cell r="D694" t="str">
            <v>平泰河南段</v>
          </cell>
        </row>
        <row r="695">
          <cell r="A695" t="str">
            <v>平泰6#阀室</v>
          </cell>
          <cell r="B695" t="str">
            <v>一级</v>
          </cell>
          <cell r="C695" t="str">
            <v>平泰支干线</v>
          </cell>
          <cell r="D695" t="str">
            <v>平泰河南段</v>
          </cell>
        </row>
        <row r="696">
          <cell r="A696" t="str">
            <v>开封分输站</v>
          </cell>
          <cell r="B696" t="str">
            <v>一级</v>
          </cell>
          <cell r="C696" t="str">
            <v>平泰支干线</v>
          </cell>
          <cell r="D696" t="str">
            <v>平泰河南段</v>
          </cell>
        </row>
        <row r="697">
          <cell r="A697" t="str">
            <v>平泰7#阀室</v>
          </cell>
          <cell r="B697" t="str">
            <v>一级</v>
          </cell>
          <cell r="C697" t="str">
            <v>平泰支干线</v>
          </cell>
          <cell r="D697" t="str">
            <v>平泰河南段</v>
          </cell>
        </row>
        <row r="698">
          <cell r="A698" t="str">
            <v>杞县分输站</v>
          </cell>
          <cell r="B698" t="str">
            <v>一级</v>
          </cell>
          <cell r="C698" t="str">
            <v>平泰支干线</v>
          </cell>
          <cell r="D698" t="str">
            <v>平泰河南段</v>
          </cell>
        </row>
        <row r="699">
          <cell r="A699" t="str">
            <v>兰考分输站</v>
          </cell>
          <cell r="B699" t="str">
            <v>一级</v>
          </cell>
          <cell r="C699" t="str">
            <v>平泰支干线</v>
          </cell>
          <cell r="D699" t="str">
            <v>平泰河南段</v>
          </cell>
        </row>
        <row r="700">
          <cell r="A700" t="str">
            <v>平泰10#阀室</v>
          </cell>
          <cell r="B700" t="str">
            <v>一级</v>
          </cell>
          <cell r="C700" t="str">
            <v>平泰支干线</v>
          </cell>
          <cell r="D700" t="str">
            <v>平泰山东段</v>
          </cell>
        </row>
        <row r="701">
          <cell r="A701" t="str">
            <v>曹县分输站</v>
          </cell>
          <cell r="B701" t="str">
            <v>一级</v>
          </cell>
          <cell r="C701" t="str">
            <v>平泰支干线</v>
          </cell>
          <cell r="D701" t="str">
            <v>平泰山东段</v>
          </cell>
        </row>
        <row r="702">
          <cell r="A702" t="str">
            <v>平泰12#阀室</v>
          </cell>
          <cell r="B702" t="str">
            <v>一级</v>
          </cell>
          <cell r="C702" t="str">
            <v>平泰支干线</v>
          </cell>
          <cell r="D702" t="str">
            <v>平泰山东段</v>
          </cell>
        </row>
        <row r="703">
          <cell r="A703" t="str">
            <v>菏泽分输站</v>
          </cell>
          <cell r="B703" t="str">
            <v>一级</v>
          </cell>
          <cell r="C703" t="str">
            <v>平泰支干线</v>
          </cell>
          <cell r="D703" t="str">
            <v>平泰山东段</v>
          </cell>
        </row>
        <row r="704">
          <cell r="A704" t="str">
            <v>平泰13#阀室</v>
          </cell>
          <cell r="B704" t="str">
            <v>一级</v>
          </cell>
          <cell r="C704" t="str">
            <v>平泰支干线</v>
          </cell>
          <cell r="D704" t="str">
            <v>平泰山东段</v>
          </cell>
        </row>
        <row r="705">
          <cell r="A705" t="str">
            <v>平泰14#阀室</v>
          </cell>
          <cell r="B705" t="str">
            <v>一级</v>
          </cell>
          <cell r="C705" t="str">
            <v>平泰支干线</v>
          </cell>
          <cell r="D705" t="str">
            <v>平泰山东段</v>
          </cell>
        </row>
        <row r="706">
          <cell r="A706" t="str">
            <v>巨野分输站</v>
          </cell>
          <cell r="B706" t="str">
            <v>一级</v>
          </cell>
          <cell r="C706" t="str">
            <v>平泰支干线</v>
          </cell>
          <cell r="D706" t="str">
            <v>平泰山东段</v>
          </cell>
        </row>
        <row r="707">
          <cell r="A707" t="str">
            <v>平泰15#阀室</v>
          </cell>
          <cell r="B707" t="str">
            <v>一级</v>
          </cell>
          <cell r="C707" t="str">
            <v>平泰支干线</v>
          </cell>
          <cell r="D707" t="str">
            <v>平泰山东段</v>
          </cell>
        </row>
        <row r="708">
          <cell r="A708" t="str">
            <v>济宁分输站</v>
          </cell>
          <cell r="B708" t="str">
            <v>一级</v>
          </cell>
          <cell r="C708" t="str">
            <v>平泰支干线</v>
          </cell>
          <cell r="D708" t="str">
            <v>平泰山东段</v>
          </cell>
        </row>
        <row r="709">
          <cell r="A709" t="str">
            <v>平泰16#阀室</v>
          </cell>
          <cell r="B709" t="str">
            <v>一级</v>
          </cell>
          <cell r="C709" t="str">
            <v>平泰支干线</v>
          </cell>
          <cell r="D709" t="str">
            <v>平泰山东段</v>
          </cell>
        </row>
        <row r="710">
          <cell r="A710" t="str">
            <v>平泰17#阀室</v>
          </cell>
          <cell r="B710" t="str">
            <v>一级</v>
          </cell>
          <cell r="C710" t="str">
            <v>平泰支干线</v>
          </cell>
          <cell r="D710" t="str">
            <v>平泰山东段</v>
          </cell>
        </row>
        <row r="711">
          <cell r="A711" t="str">
            <v>平泰18#阀室</v>
          </cell>
          <cell r="B711" t="str">
            <v>一级</v>
          </cell>
          <cell r="C711" t="str">
            <v>平泰支干线</v>
          </cell>
          <cell r="D711" t="str">
            <v>平泰山东段</v>
          </cell>
        </row>
        <row r="712">
          <cell r="A712" t="str">
            <v>中原管道开封站</v>
          </cell>
          <cell r="B712" t="str">
            <v>一级</v>
          </cell>
          <cell r="C712" t="str">
            <v>平泰支干线</v>
          </cell>
          <cell r="D712" t="str">
            <v>中开线与平泰线互联互通工程</v>
          </cell>
        </row>
        <row r="713">
          <cell r="A713" t="str">
            <v>中开平泰1#阀室</v>
          </cell>
          <cell r="B713" t="str">
            <v>一级</v>
          </cell>
          <cell r="C713" t="str">
            <v>平泰支干线</v>
          </cell>
          <cell r="D713" t="str">
            <v>中开线与平泰线互联互通工程</v>
          </cell>
        </row>
        <row r="714">
          <cell r="A714" t="str">
            <v>杞县分输站</v>
          </cell>
          <cell r="B714" t="str">
            <v>一级</v>
          </cell>
          <cell r="C714" t="str">
            <v>平泰支干线</v>
          </cell>
          <cell r="D714" t="str">
            <v>中开线与平泰线互联互通工程</v>
          </cell>
        </row>
        <row r="715">
          <cell r="A715" t="str">
            <v>清远分输站</v>
          </cell>
          <cell r="B715" t="str">
            <v>一级</v>
          </cell>
          <cell r="C715" t="str">
            <v>广南支干线</v>
          </cell>
          <cell r="D715" t="str">
            <v>广南广东段</v>
          </cell>
        </row>
        <row r="716">
          <cell r="A716" t="str">
            <v>广南1#阀室</v>
          </cell>
          <cell r="B716" t="str">
            <v>一级</v>
          </cell>
          <cell r="C716" t="str">
            <v>广南支干线</v>
          </cell>
          <cell r="D716" t="str">
            <v>广南广东段</v>
          </cell>
        </row>
        <row r="717">
          <cell r="A717" t="str">
            <v>广南2#阀室</v>
          </cell>
          <cell r="B717" t="str">
            <v>一级</v>
          </cell>
          <cell r="C717" t="str">
            <v>广南支干线</v>
          </cell>
          <cell r="D717" t="str">
            <v>广南广东段</v>
          </cell>
        </row>
        <row r="718">
          <cell r="A718" t="str">
            <v>佛山分输站</v>
          </cell>
          <cell r="B718" t="str">
            <v>一级</v>
          </cell>
          <cell r="C718" t="str">
            <v>广南支干线</v>
          </cell>
          <cell r="D718" t="str">
            <v>广南广东段</v>
          </cell>
        </row>
        <row r="719">
          <cell r="A719" t="str">
            <v>肇庆分输站</v>
          </cell>
          <cell r="B719" t="str">
            <v>一级</v>
          </cell>
          <cell r="C719" t="str">
            <v>广南支干线</v>
          </cell>
          <cell r="D719" t="str">
            <v>广南广东段</v>
          </cell>
        </row>
        <row r="720">
          <cell r="A720" t="str">
            <v>广南4#阀室</v>
          </cell>
          <cell r="B720" t="str">
            <v>一级</v>
          </cell>
          <cell r="C720" t="str">
            <v>广南支干线</v>
          </cell>
          <cell r="D720" t="str">
            <v>广南广东段</v>
          </cell>
        </row>
        <row r="721">
          <cell r="A721" t="str">
            <v>广南5#阀室</v>
          </cell>
          <cell r="B721" t="str">
            <v>一级</v>
          </cell>
          <cell r="C721" t="str">
            <v>广南支干线</v>
          </cell>
          <cell r="D721" t="str">
            <v>广南广东段</v>
          </cell>
        </row>
        <row r="722">
          <cell r="A722" t="str">
            <v>广南6#阀室</v>
          </cell>
          <cell r="B722" t="str">
            <v>一级</v>
          </cell>
          <cell r="C722" t="str">
            <v>广南支干线</v>
          </cell>
          <cell r="D722" t="str">
            <v>广南广东段</v>
          </cell>
        </row>
        <row r="723">
          <cell r="A723" t="str">
            <v>广南7#阀室</v>
          </cell>
          <cell r="B723" t="str">
            <v>一级</v>
          </cell>
          <cell r="C723" t="str">
            <v>广南支干线</v>
          </cell>
          <cell r="D723" t="str">
            <v>广南广东段</v>
          </cell>
        </row>
        <row r="724">
          <cell r="A724" t="str">
            <v>广南8#阀室</v>
          </cell>
          <cell r="B724" t="str">
            <v>一级</v>
          </cell>
          <cell r="C724" t="str">
            <v>广南支干线</v>
          </cell>
          <cell r="D724" t="str">
            <v>广南广东段</v>
          </cell>
        </row>
        <row r="725">
          <cell r="A725" t="str">
            <v>广南9#阀室</v>
          </cell>
          <cell r="B725" t="str">
            <v>一级</v>
          </cell>
          <cell r="C725" t="str">
            <v>广南支干线</v>
          </cell>
          <cell r="D725" t="str">
            <v>广南广东段</v>
          </cell>
        </row>
        <row r="726">
          <cell r="A726" t="str">
            <v>广南10#阀室</v>
          </cell>
          <cell r="B726" t="str">
            <v>一级</v>
          </cell>
          <cell r="C726" t="str">
            <v>广南支干线</v>
          </cell>
          <cell r="D726" t="str">
            <v>广南广东段</v>
          </cell>
        </row>
        <row r="727">
          <cell r="A727" t="str">
            <v>广南11#阀室</v>
          </cell>
          <cell r="B727" t="str">
            <v>一级</v>
          </cell>
          <cell r="C727" t="str">
            <v>广南支干线</v>
          </cell>
          <cell r="D727" t="str">
            <v>广南广东段</v>
          </cell>
        </row>
        <row r="728">
          <cell r="A728" t="str">
            <v>梧州压气站</v>
          </cell>
          <cell r="B728" t="str">
            <v>一级</v>
          </cell>
          <cell r="C728" t="str">
            <v>广南支干线</v>
          </cell>
          <cell r="D728" t="str">
            <v>广南广西段</v>
          </cell>
        </row>
        <row r="729">
          <cell r="A729" t="str">
            <v>广南12#阀室</v>
          </cell>
          <cell r="B729" t="str">
            <v>一级</v>
          </cell>
          <cell r="C729" t="str">
            <v>广南支干线</v>
          </cell>
          <cell r="D729" t="str">
            <v>广南广西段</v>
          </cell>
        </row>
        <row r="730">
          <cell r="A730" t="str">
            <v>广南13#阀室</v>
          </cell>
          <cell r="B730" t="str">
            <v>一级</v>
          </cell>
          <cell r="C730" t="str">
            <v>广南支干线</v>
          </cell>
          <cell r="D730" t="str">
            <v>广南广西段</v>
          </cell>
        </row>
        <row r="731">
          <cell r="A731" t="str">
            <v>广南14#阀室</v>
          </cell>
          <cell r="B731" t="str">
            <v>一级</v>
          </cell>
          <cell r="C731" t="str">
            <v>广南支干线</v>
          </cell>
          <cell r="D731" t="str">
            <v>广南广西段</v>
          </cell>
        </row>
        <row r="732">
          <cell r="A732" t="str">
            <v>田东分输站</v>
          </cell>
          <cell r="B732" t="str">
            <v>一级</v>
          </cell>
          <cell r="C732" t="str">
            <v>广南支干线</v>
          </cell>
          <cell r="D732" t="str">
            <v>广南广西段</v>
          </cell>
        </row>
        <row r="733">
          <cell r="A733" t="str">
            <v>广南15#阀室</v>
          </cell>
          <cell r="B733" t="str">
            <v>一级</v>
          </cell>
          <cell r="C733" t="str">
            <v>广南支干线</v>
          </cell>
          <cell r="D733" t="str">
            <v>广南广西段</v>
          </cell>
        </row>
        <row r="734">
          <cell r="A734" t="str">
            <v>广南16#阀室</v>
          </cell>
          <cell r="B734" t="str">
            <v>一级</v>
          </cell>
          <cell r="C734" t="str">
            <v>广南支干线</v>
          </cell>
          <cell r="D734" t="str">
            <v>广南广西段</v>
          </cell>
        </row>
        <row r="735">
          <cell r="A735" t="str">
            <v>广南17#阀室</v>
          </cell>
          <cell r="B735" t="str">
            <v>一级</v>
          </cell>
          <cell r="C735" t="str">
            <v>广南支干线</v>
          </cell>
          <cell r="D735" t="str">
            <v>广南广西段</v>
          </cell>
        </row>
        <row r="736">
          <cell r="A736" t="str">
            <v>广南18#阀室</v>
          </cell>
          <cell r="B736" t="str">
            <v>一级</v>
          </cell>
          <cell r="C736" t="str">
            <v>广南支干线</v>
          </cell>
          <cell r="D736" t="str">
            <v>广南广西段</v>
          </cell>
        </row>
        <row r="737">
          <cell r="A737" t="str">
            <v>广南19#阀室</v>
          </cell>
          <cell r="B737" t="str">
            <v>一级</v>
          </cell>
          <cell r="C737" t="str">
            <v>广南支干线</v>
          </cell>
          <cell r="D737" t="str">
            <v>广南广西段</v>
          </cell>
        </row>
        <row r="738">
          <cell r="A738" t="str">
            <v>广南20#阀室</v>
          </cell>
          <cell r="B738" t="str">
            <v>一级</v>
          </cell>
          <cell r="C738" t="str">
            <v>广南支干线</v>
          </cell>
          <cell r="D738" t="str">
            <v>广南广西段</v>
          </cell>
        </row>
        <row r="739">
          <cell r="A739" t="str">
            <v>广南21#阀室</v>
          </cell>
          <cell r="B739" t="str">
            <v>一级</v>
          </cell>
          <cell r="C739" t="str">
            <v>广南支干线</v>
          </cell>
          <cell r="D739" t="str">
            <v>广南广西段</v>
          </cell>
        </row>
        <row r="740">
          <cell r="A740" t="str">
            <v>广南22#阀室</v>
          </cell>
          <cell r="B740" t="str">
            <v>一级</v>
          </cell>
          <cell r="C740" t="str">
            <v>广南支干线</v>
          </cell>
          <cell r="D740" t="str">
            <v>广南广西段</v>
          </cell>
        </row>
        <row r="741">
          <cell r="A741" t="str">
            <v>广南23#阀室</v>
          </cell>
          <cell r="B741" t="str">
            <v>一级</v>
          </cell>
          <cell r="C741" t="str">
            <v>广南支干线</v>
          </cell>
          <cell r="D741" t="str">
            <v>广南广西段</v>
          </cell>
        </row>
        <row r="742">
          <cell r="A742" t="str">
            <v>南宁分输站</v>
          </cell>
          <cell r="B742" t="str">
            <v>一级</v>
          </cell>
          <cell r="C742" t="str">
            <v>广南支干线</v>
          </cell>
          <cell r="D742" t="str">
            <v>广南广西段</v>
          </cell>
        </row>
        <row r="743">
          <cell r="A743" t="str">
            <v>苍梧分输站</v>
          </cell>
          <cell r="B743" t="str">
            <v>一级</v>
          </cell>
          <cell r="C743" t="str">
            <v>广南支干线</v>
          </cell>
          <cell r="D743" t="str">
            <v>苍梧-贺州支线</v>
          </cell>
        </row>
        <row r="744">
          <cell r="A744" t="str">
            <v>苍贺1#阀室</v>
          </cell>
          <cell r="B744" t="str">
            <v>一级</v>
          </cell>
          <cell r="C744" t="str">
            <v>广南支干线</v>
          </cell>
          <cell r="D744" t="str">
            <v>苍梧-贺州支线</v>
          </cell>
        </row>
        <row r="745">
          <cell r="A745" t="str">
            <v>长洲分输站</v>
          </cell>
          <cell r="B745" t="str">
            <v>一级</v>
          </cell>
          <cell r="C745" t="str">
            <v>广南支干线</v>
          </cell>
          <cell r="D745" t="str">
            <v>苍梧-贺州支线</v>
          </cell>
        </row>
        <row r="746">
          <cell r="A746" t="str">
            <v>苍贺2#阀室</v>
          </cell>
          <cell r="B746" t="str">
            <v>一级</v>
          </cell>
          <cell r="C746" t="str">
            <v>广南支干线</v>
          </cell>
          <cell r="D746" t="str">
            <v>苍梧-贺州支线</v>
          </cell>
        </row>
        <row r="747">
          <cell r="A747" t="str">
            <v>苍贺3#阀室</v>
          </cell>
          <cell r="B747" t="str">
            <v>一级</v>
          </cell>
          <cell r="C747" t="str">
            <v>广南支干线</v>
          </cell>
          <cell r="D747" t="str">
            <v>苍梧-贺州支线</v>
          </cell>
        </row>
        <row r="748">
          <cell r="A748" t="str">
            <v>苍贺4#阀室</v>
          </cell>
          <cell r="B748" t="str">
            <v>一级</v>
          </cell>
          <cell r="C748" t="str">
            <v>广南支干线</v>
          </cell>
          <cell r="D748" t="str">
            <v>苍梧-贺州支线</v>
          </cell>
        </row>
        <row r="749">
          <cell r="A749" t="str">
            <v>苍贺5#阀室</v>
          </cell>
          <cell r="B749" t="str">
            <v>一级</v>
          </cell>
          <cell r="C749" t="str">
            <v>广南支干线</v>
          </cell>
          <cell r="D749" t="str">
            <v>苍梧-贺州支线</v>
          </cell>
        </row>
        <row r="750">
          <cell r="A750" t="str">
            <v>苍贺6#阀室</v>
          </cell>
          <cell r="B750" t="str">
            <v>一级</v>
          </cell>
          <cell r="C750" t="str">
            <v>广南支干线</v>
          </cell>
          <cell r="D750" t="str">
            <v>苍梧-贺州支线</v>
          </cell>
        </row>
        <row r="751">
          <cell r="A751" t="str">
            <v>苍贺7#阀室</v>
          </cell>
          <cell r="B751" t="str">
            <v>一级</v>
          </cell>
          <cell r="C751" t="str">
            <v>广南支干线</v>
          </cell>
          <cell r="D751" t="str">
            <v>苍梧-贺州支线</v>
          </cell>
        </row>
        <row r="752">
          <cell r="A752" t="str">
            <v>苍贺8#阀室</v>
          </cell>
          <cell r="B752" t="str">
            <v>一级</v>
          </cell>
          <cell r="C752" t="str">
            <v>广南支干线</v>
          </cell>
          <cell r="D752" t="str">
            <v>苍梧-贺州支线</v>
          </cell>
        </row>
        <row r="753">
          <cell r="A753" t="str">
            <v>贺州末站</v>
          </cell>
          <cell r="B753" t="str">
            <v>一级</v>
          </cell>
          <cell r="C753" t="str">
            <v>广南支干线</v>
          </cell>
          <cell r="D753" t="str">
            <v>苍梧-贺州支线</v>
          </cell>
        </row>
        <row r="754">
          <cell r="A754" t="str">
            <v>南百1#阀室</v>
          </cell>
          <cell r="B754" t="str">
            <v>一级</v>
          </cell>
          <cell r="C754" t="str">
            <v>广南支干线</v>
          </cell>
          <cell r="D754" t="str">
            <v>南宁-百色支线</v>
          </cell>
        </row>
        <row r="755">
          <cell r="A755" t="str">
            <v>南百2#阀室</v>
          </cell>
          <cell r="B755" t="str">
            <v>一级</v>
          </cell>
          <cell r="C755" t="str">
            <v>广南支干线</v>
          </cell>
          <cell r="D755" t="str">
            <v>南宁-百色支线</v>
          </cell>
        </row>
        <row r="756">
          <cell r="A756" t="str">
            <v>吴圩分输站</v>
          </cell>
          <cell r="B756" t="str">
            <v>一级</v>
          </cell>
          <cell r="C756" t="str">
            <v>广南支干线</v>
          </cell>
          <cell r="D756" t="str">
            <v>南宁-百色支线</v>
          </cell>
        </row>
        <row r="757">
          <cell r="A757" t="str">
            <v>南百3#阀室</v>
          </cell>
          <cell r="B757" t="str">
            <v>一级</v>
          </cell>
          <cell r="C757" t="str">
            <v>广南支干线</v>
          </cell>
          <cell r="D757" t="str">
            <v>南宁-百色支线</v>
          </cell>
        </row>
        <row r="758">
          <cell r="A758" t="str">
            <v>南百4#阀室</v>
          </cell>
          <cell r="B758" t="str">
            <v>一级</v>
          </cell>
          <cell r="C758" t="str">
            <v>广南支干线</v>
          </cell>
          <cell r="D758" t="str">
            <v>南宁-百色支线</v>
          </cell>
        </row>
        <row r="759">
          <cell r="A759" t="str">
            <v>南百5#阀室</v>
          </cell>
          <cell r="B759" t="str">
            <v>一级</v>
          </cell>
          <cell r="C759" t="str">
            <v>广南支干线</v>
          </cell>
          <cell r="D759" t="str">
            <v>南宁-百色支线</v>
          </cell>
        </row>
        <row r="760">
          <cell r="A760" t="str">
            <v>南百6#阀室</v>
          </cell>
          <cell r="B760" t="str">
            <v>一级</v>
          </cell>
          <cell r="C760" t="str">
            <v>广南支干线</v>
          </cell>
          <cell r="D760" t="str">
            <v>南宁-百色支线</v>
          </cell>
        </row>
        <row r="761">
          <cell r="A761" t="str">
            <v>南百7#阀室</v>
          </cell>
          <cell r="B761" t="str">
            <v>一级</v>
          </cell>
          <cell r="C761" t="str">
            <v>广南支干线</v>
          </cell>
          <cell r="D761" t="str">
            <v>南宁-百色支线</v>
          </cell>
        </row>
        <row r="762">
          <cell r="A762" t="str">
            <v>南百8#阀室</v>
          </cell>
          <cell r="B762" t="str">
            <v>一级</v>
          </cell>
          <cell r="C762" t="str">
            <v>广南支干线</v>
          </cell>
          <cell r="D762" t="str">
            <v>南宁-百色支线</v>
          </cell>
        </row>
        <row r="763">
          <cell r="A763" t="str">
            <v>南百9#阀室</v>
          </cell>
          <cell r="B763" t="str">
            <v>一级</v>
          </cell>
          <cell r="C763" t="str">
            <v>广南支干线</v>
          </cell>
          <cell r="D763" t="str">
            <v>南宁-百色支线</v>
          </cell>
        </row>
        <row r="764">
          <cell r="A764" t="str">
            <v>南百10#阀室</v>
          </cell>
          <cell r="B764" t="str">
            <v>一级</v>
          </cell>
          <cell r="C764" t="str">
            <v>广南支干线</v>
          </cell>
          <cell r="D764" t="str">
            <v>南宁-百色支线</v>
          </cell>
        </row>
        <row r="765">
          <cell r="A765" t="str">
            <v>南百11#阀室</v>
          </cell>
          <cell r="B765" t="str">
            <v>一级</v>
          </cell>
          <cell r="C765" t="str">
            <v>广南支干线</v>
          </cell>
          <cell r="D765" t="str">
            <v>南宁-百色支线</v>
          </cell>
        </row>
        <row r="766">
          <cell r="A766" t="str">
            <v>南百12#阀室</v>
          </cell>
          <cell r="B766" t="str">
            <v>一级</v>
          </cell>
          <cell r="C766" t="str">
            <v>广南支干线</v>
          </cell>
          <cell r="D766" t="str">
            <v>南宁-百色支线</v>
          </cell>
        </row>
        <row r="767">
          <cell r="A767" t="str">
            <v>南百13#阀室</v>
          </cell>
          <cell r="B767" t="str">
            <v>一级</v>
          </cell>
          <cell r="C767" t="str">
            <v>广南支干线</v>
          </cell>
          <cell r="D767" t="str">
            <v>南宁-百色支线</v>
          </cell>
        </row>
        <row r="768">
          <cell r="A768" t="str">
            <v>南百14#阀室</v>
          </cell>
          <cell r="B768" t="str">
            <v>一级</v>
          </cell>
          <cell r="C768" t="str">
            <v>广南支干线</v>
          </cell>
          <cell r="D768" t="str">
            <v>南宁-百色支线</v>
          </cell>
        </row>
        <row r="769">
          <cell r="A769" t="str">
            <v>南百15#阀室</v>
          </cell>
          <cell r="B769" t="str">
            <v>一级</v>
          </cell>
          <cell r="C769" t="str">
            <v>广南支干线</v>
          </cell>
          <cell r="D769" t="str">
            <v>南宁-百色支线</v>
          </cell>
        </row>
        <row r="770">
          <cell r="A770" t="str">
            <v>南百16#阀室</v>
          </cell>
          <cell r="B770" t="str">
            <v>一级</v>
          </cell>
          <cell r="C770" t="str">
            <v>广南支干线</v>
          </cell>
          <cell r="D770" t="str">
            <v>南宁-百色支线</v>
          </cell>
        </row>
        <row r="771">
          <cell r="A771" t="str">
            <v>南百17#阀室</v>
          </cell>
          <cell r="B771" t="str">
            <v>一级</v>
          </cell>
          <cell r="C771" t="str">
            <v>广南支干线</v>
          </cell>
          <cell r="D771" t="str">
            <v>南宁-百色支线</v>
          </cell>
        </row>
        <row r="772">
          <cell r="A772" t="str">
            <v>百色末站</v>
          </cell>
          <cell r="B772" t="str">
            <v>一级</v>
          </cell>
          <cell r="C772" t="str">
            <v>广南支干线</v>
          </cell>
          <cell r="D772" t="str">
            <v>南宁-百色支线</v>
          </cell>
        </row>
        <row r="773">
          <cell r="A773" t="str">
            <v>贵玉1#阀室</v>
          </cell>
          <cell r="B773" t="str">
            <v>一级</v>
          </cell>
          <cell r="C773" t="str">
            <v>广南支干线</v>
          </cell>
          <cell r="D773" t="str">
            <v>贵港-玉林支线</v>
          </cell>
        </row>
        <row r="774">
          <cell r="A774" t="str">
            <v>贵玉2#阀室</v>
          </cell>
          <cell r="B774" t="str">
            <v>一级</v>
          </cell>
          <cell r="C774" t="str">
            <v>广南支干线</v>
          </cell>
          <cell r="D774" t="str">
            <v>贵港-玉林支线</v>
          </cell>
        </row>
        <row r="775">
          <cell r="A775" t="str">
            <v>贵玉3#阀室</v>
          </cell>
          <cell r="B775" t="str">
            <v>一级</v>
          </cell>
          <cell r="C775" t="str">
            <v>广南支干线</v>
          </cell>
          <cell r="D775" t="str">
            <v>贵港-玉林支线</v>
          </cell>
        </row>
        <row r="776">
          <cell r="A776" t="str">
            <v>贵玉4#阀室</v>
          </cell>
          <cell r="B776" t="str">
            <v>一级</v>
          </cell>
          <cell r="C776" t="str">
            <v>广南支干线</v>
          </cell>
          <cell r="D776" t="str">
            <v>贵港-玉林支线</v>
          </cell>
        </row>
        <row r="777">
          <cell r="A777" t="str">
            <v>贵玉5#阀室</v>
          </cell>
          <cell r="B777" t="str">
            <v>一级</v>
          </cell>
          <cell r="C777" t="str">
            <v>广南支干线</v>
          </cell>
          <cell r="D777" t="str">
            <v>贵港-玉林支线</v>
          </cell>
        </row>
        <row r="778">
          <cell r="A778" t="str">
            <v>贵玉6#阀室</v>
          </cell>
          <cell r="B778" t="str">
            <v>一级</v>
          </cell>
          <cell r="C778" t="str">
            <v>广南支干线</v>
          </cell>
          <cell r="D778" t="str">
            <v>贵港-玉林支线</v>
          </cell>
        </row>
        <row r="779">
          <cell r="A779" t="str">
            <v>玉林末站</v>
          </cell>
          <cell r="B779" t="str">
            <v>一级</v>
          </cell>
          <cell r="C779" t="str">
            <v>广南支干线</v>
          </cell>
          <cell r="D779" t="str">
            <v>贵港-玉林支线</v>
          </cell>
        </row>
        <row r="780">
          <cell r="A780" t="str">
            <v>广深1#阀室</v>
          </cell>
          <cell r="B780" t="str">
            <v>一级</v>
          </cell>
          <cell r="C780" t="str">
            <v>广深支干线</v>
          </cell>
          <cell r="D780" t="str">
            <v>广深支干线</v>
          </cell>
        </row>
        <row r="781">
          <cell r="A781" t="str">
            <v>广深2#阀室</v>
          </cell>
          <cell r="B781" t="str">
            <v>一级</v>
          </cell>
          <cell r="C781" t="str">
            <v>广深支干线</v>
          </cell>
          <cell r="D781" t="str">
            <v>广深支干线</v>
          </cell>
        </row>
        <row r="782">
          <cell r="A782" t="str">
            <v>广深3#阀室</v>
          </cell>
          <cell r="B782" t="str">
            <v>一级</v>
          </cell>
          <cell r="C782" t="str">
            <v>广深支干线</v>
          </cell>
          <cell r="D782" t="str">
            <v>广深支干线</v>
          </cell>
        </row>
        <row r="783">
          <cell r="A783" t="str">
            <v>广深4#阀室</v>
          </cell>
          <cell r="B783" t="str">
            <v>一级</v>
          </cell>
          <cell r="C783" t="str">
            <v>广深支干线</v>
          </cell>
          <cell r="D783" t="str">
            <v>广深支干线</v>
          </cell>
        </row>
        <row r="784">
          <cell r="A784" t="str">
            <v>广深5#阀室</v>
          </cell>
          <cell r="B784" t="str">
            <v>一级</v>
          </cell>
          <cell r="C784" t="str">
            <v>广深支干线</v>
          </cell>
          <cell r="D784" t="str">
            <v>广深支干线</v>
          </cell>
        </row>
        <row r="785">
          <cell r="A785" t="str">
            <v>广深6#阀室</v>
          </cell>
          <cell r="B785" t="str">
            <v>一级</v>
          </cell>
          <cell r="C785" t="str">
            <v>广深支干线</v>
          </cell>
          <cell r="D785" t="str">
            <v>广深支干线</v>
          </cell>
        </row>
        <row r="786">
          <cell r="A786" t="str">
            <v>广深7#阀室</v>
          </cell>
          <cell r="B786" t="str">
            <v>一级</v>
          </cell>
          <cell r="C786" t="str">
            <v>广深支干线</v>
          </cell>
          <cell r="D786" t="str">
            <v>广深支干线</v>
          </cell>
        </row>
        <row r="787">
          <cell r="A787" t="str">
            <v>广深8#阀室</v>
          </cell>
          <cell r="B787" t="str">
            <v>一级</v>
          </cell>
          <cell r="C787" t="str">
            <v>广深支干线</v>
          </cell>
          <cell r="D787" t="str">
            <v>广深支干线</v>
          </cell>
        </row>
        <row r="788">
          <cell r="A788" t="str">
            <v>广深9#阀室</v>
          </cell>
          <cell r="B788" t="str">
            <v>一级</v>
          </cell>
          <cell r="C788" t="str">
            <v>广深支干线</v>
          </cell>
          <cell r="D788" t="str">
            <v>广深支干线</v>
          </cell>
        </row>
        <row r="789">
          <cell r="A789" t="str">
            <v>广深10#阀室</v>
          </cell>
          <cell r="B789" t="str">
            <v>一级</v>
          </cell>
          <cell r="C789" t="str">
            <v>广深支干线</v>
          </cell>
          <cell r="D789" t="str">
            <v>广深支干线</v>
          </cell>
        </row>
        <row r="790">
          <cell r="A790" t="str">
            <v>东莞分输站</v>
          </cell>
          <cell r="B790" t="str">
            <v>一级</v>
          </cell>
          <cell r="C790" t="str">
            <v>广深支干线</v>
          </cell>
          <cell r="D790" t="str">
            <v>广深支干线</v>
          </cell>
        </row>
        <row r="791">
          <cell r="A791" t="str">
            <v>广深11#阀室</v>
          </cell>
          <cell r="B791" t="str">
            <v>一级</v>
          </cell>
          <cell r="C791" t="str">
            <v>广深支干线</v>
          </cell>
          <cell r="D791" t="str">
            <v>广深支干线</v>
          </cell>
        </row>
        <row r="792">
          <cell r="A792" t="str">
            <v>樟木头分输站</v>
          </cell>
          <cell r="B792" t="str">
            <v>一级</v>
          </cell>
          <cell r="C792" t="str">
            <v>广深支干线</v>
          </cell>
          <cell r="D792" t="str">
            <v>广深支干线</v>
          </cell>
        </row>
        <row r="793">
          <cell r="A793" t="str">
            <v>广深12#阀室</v>
          </cell>
          <cell r="B793" t="str">
            <v>一级</v>
          </cell>
          <cell r="C793" t="str">
            <v>广深支干线</v>
          </cell>
          <cell r="D793" t="str">
            <v>广深支干线</v>
          </cell>
        </row>
        <row r="794">
          <cell r="A794" t="str">
            <v>广深13#阀室</v>
          </cell>
          <cell r="B794" t="str">
            <v>一级</v>
          </cell>
          <cell r="C794" t="str">
            <v>广深支干线</v>
          </cell>
          <cell r="D794" t="str">
            <v>广深支干线</v>
          </cell>
        </row>
        <row r="795">
          <cell r="A795" t="str">
            <v>广深14#阀室</v>
          </cell>
          <cell r="B795" t="str">
            <v>一级</v>
          </cell>
          <cell r="C795" t="str">
            <v>广深支干线</v>
          </cell>
          <cell r="D795" t="str">
            <v>广深支干线</v>
          </cell>
        </row>
        <row r="796">
          <cell r="A796" t="str">
            <v>求雨岭分输站</v>
          </cell>
          <cell r="B796" t="str">
            <v>一级</v>
          </cell>
          <cell r="C796" t="str">
            <v>广深支干线</v>
          </cell>
          <cell r="D796" t="str">
            <v>广深支干线</v>
          </cell>
        </row>
        <row r="797">
          <cell r="A797" t="str">
            <v>广深15#阀室</v>
          </cell>
          <cell r="B797" t="str">
            <v>一级</v>
          </cell>
          <cell r="C797" t="str">
            <v>广深支干线</v>
          </cell>
          <cell r="D797" t="str">
            <v>广深支干线</v>
          </cell>
        </row>
        <row r="798">
          <cell r="A798" t="str">
            <v>广深16#阀室</v>
          </cell>
          <cell r="B798" t="str">
            <v>一级</v>
          </cell>
          <cell r="C798" t="str">
            <v>广深支干线</v>
          </cell>
          <cell r="D798" t="str">
            <v>广深支干线</v>
          </cell>
        </row>
        <row r="799">
          <cell r="A799" t="str">
            <v>广深17#阀室</v>
          </cell>
          <cell r="B799" t="str">
            <v>一级</v>
          </cell>
          <cell r="C799" t="str">
            <v>广深支干线</v>
          </cell>
          <cell r="D799" t="str">
            <v>广深支干线</v>
          </cell>
        </row>
        <row r="800">
          <cell r="A800" t="str">
            <v>广深18#阀室</v>
          </cell>
          <cell r="B800" t="str">
            <v>一级</v>
          </cell>
          <cell r="C800" t="str">
            <v>广深支干线</v>
          </cell>
          <cell r="D800" t="str">
            <v>广深支干线</v>
          </cell>
        </row>
        <row r="801">
          <cell r="A801" t="str">
            <v>广深19#阀室</v>
          </cell>
          <cell r="B801" t="str">
            <v>一级</v>
          </cell>
          <cell r="C801" t="str">
            <v>广深支干线</v>
          </cell>
          <cell r="D801" t="str">
            <v>广深支干线</v>
          </cell>
        </row>
        <row r="802">
          <cell r="A802" t="str">
            <v>大铲岛压气站</v>
          </cell>
          <cell r="B802" t="str">
            <v>一级</v>
          </cell>
          <cell r="C802" t="str">
            <v>广深支干线</v>
          </cell>
          <cell r="D802" t="str">
            <v>广深支干线</v>
          </cell>
        </row>
        <row r="803">
          <cell r="A803" t="str">
            <v>龙鼓滩分输站</v>
          </cell>
          <cell r="B803" t="str">
            <v>一级</v>
          </cell>
          <cell r="C803" t="str">
            <v>香港支线</v>
          </cell>
          <cell r="D803" t="str">
            <v>香港支线</v>
          </cell>
        </row>
        <row r="804">
          <cell r="A804" t="str">
            <v>湘娄邵1#阀室</v>
          </cell>
          <cell r="B804" t="str">
            <v/>
          </cell>
          <cell r="C804" t="str">
            <v>湘娄邵管道</v>
          </cell>
          <cell r="D804" t="str">
            <v>湘娄邵管道</v>
          </cell>
        </row>
        <row r="805">
          <cell r="A805" t="str">
            <v>九华分输站</v>
          </cell>
          <cell r="B805" t="str">
            <v/>
          </cell>
          <cell r="C805" t="str">
            <v>湘娄邵管道</v>
          </cell>
          <cell r="D805" t="str">
            <v>湘娄邵管道</v>
          </cell>
        </row>
        <row r="806">
          <cell r="A806" t="str">
            <v>湘娄邵2#阀室</v>
          </cell>
          <cell r="B806" t="str">
            <v/>
          </cell>
          <cell r="C806" t="str">
            <v>湘娄邵管道</v>
          </cell>
          <cell r="D806" t="str">
            <v>湘娄邵管道</v>
          </cell>
        </row>
        <row r="807">
          <cell r="A807" t="str">
            <v>湘邵分输站</v>
          </cell>
          <cell r="B807" t="str">
            <v/>
          </cell>
          <cell r="C807" t="str">
            <v>湘娄邵管道</v>
          </cell>
          <cell r="D807" t="str">
            <v>湘娄邵管道</v>
          </cell>
        </row>
        <row r="808">
          <cell r="A808" t="str">
            <v>湘娄邵3#阀室</v>
          </cell>
          <cell r="B808" t="str">
            <v/>
          </cell>
          <cell r="C808" t="str">
            <v>湘娄邵管道</v>
          </cell>
          <cell r="D808" t="str">
            <v>湘娄邵管道</v>
          </cell>
        </row>
        <row r="809">
          <cell r="A809" t="str">
            <v>湘娄邵4#阀室</v>
          </cell>
          <cell r="B809" t="str">
            <v/>
          </cell>
          <cell r="C809" t="str">
            <v>湘娄邵管道</v>
          </cell>
          <cell r="D809" t="str">
            <v>湘娄邵管道</v>
          </cell>
        </row>
        <row r="810">
          <cell r="A810" t="str">
            <v>娄底分输站</v>
          </cell>
          <cell r="B810" t="str">
            <v/>
          </cell>
          <cell r="C810" t="str">
            <v>湘娄邵管道</v>
          </cell>
          <cell r="D810" t="str">
            <v>湘娄邵管道</v>
          </cell>
        </row>
        <row r="811">
          <cell r="A811" t="str">
            <v>湘娄邵5#阀室</v>
          </cell>
          <cell r="B811" t="str">
            <v/>
          </cell>
          <cell r="C811" t="str">
            <v>湘娄邵管道</v>
          </cell>
          <cell r="D811" t="str">
            <v>湘娄邵管道</v>
          </cell>
        </row>
        <row r="812">
          <cell r="A812" t="str">
            <v>涟源分输站</v>
          </cell>
          <cell r="B812" t="str">
            <v/>
          </cell>
          <cell r="C812" t="str">
            <v>湘娄邵管道</v>
          </cell>
          <cell r="D812" t="str">
            <v>湘娄邵管道</v>
          </cell>
        </row>
        <row r="813">
          <cell r="A813" t="str">
            <v>湘娄邵6#阀室</v>
          </cell>
          <cell r="B813" t="str">
            <v/>
          </cell>
          <cell r="C813" t="str">
            <v>湘娄邵管道</v>
          </cell>
          <cell r="D813" t="str">
            <v>湘娄邵管道</v>
          </cell>
        </row>
        <row r="814">
          <cell r="A814" t="str">
            <v>湘娄邵7#阀室</v>
          </cell>
          <cell r="B814" t="str">
            <v/>
          </cell>
          <cell r="C814" t="str">
            <v>湘娄邵管道</v>
          </cell>
          <cell r="D814" t="str">
            <v>湘娄邵管道</v>
          </cell>
        </row>
        <row r="815">
          <cell r="A815" t="str">
            <v>邵阳末站</v>
          </cell>
          <cell r="B815" t="str">
            <v/>
          </cell>
          <cell r="C815" t="str">
            <v>湘娄邵管道</v>
          </cell>
          <cell r="D815" t="str">
            <v>湘娄邵管道</v>
          </cell>
        </row>
        <row r="816">
          <cell r="A816" t="str">
            <v>西三1#阀室</v>
          </cell>
          <cell r="B816" t="str">
            <v>一级</v>
          </cell>
          <cell r="C816" t="str">
            <v>西气东输三线</v>
          </cell>
          <cell r="D816" t="str">
            <v>西三线干线新疆段</v>
          </cell>
        </row>
        <row r="817">
          <cell r="A817" t="str">
            <v>西三2#阀室</v>
          </cell>
          <cell r="B817" t="str">
            <v>一级</v>
          </cell>
          <cell r="C817" t="str">
            <v>西气东输三线</v>
          </cell>
          <cell r="D817" t="str">
            <v>西三线干线新疆段</v>
          </cell>
        </row>
        <row r="818">
          <cell r="A818" t="str">
            <v>西三3#阀室</v>
          </cell>
          <cell r="B818" t="str">
            <v>一级</v>
          </cell>
          <cell r="C818" t="str">
            <v>西气东输三线</v>
          </cell>
          <cell r="D818" t="str">
            <v>西三线干线新疆段</v>
          </cell>
        </row>
        <row r="819">
          <cell r="A819" t="str">
            <v>西三4#阀室</v>
          </cell>
          <cell r="B819" t="str">
            <v>一级</v>
          </cell>
          <cell r="C819" t="str">
            <v>西气东输三线</v>
          </cell>
          <cell r="D819" t="str">
            <v>西三线干线新疆段</v>
          </cell>
        </row>
        <row r="820">
          <cell r="A820" t="str">
            <v>西三5#阀室</v>
          </cell>
          <cell r="B820" t="str">
            <v>一级</v>
          </cell>
          <cell r="C820" t="str">
            <v>西气东输三线</v>
          </cell>
          <cell r="D820" t="str">
            <v>西三线干线新疆段</v>
          </cell>
        </row>
        <row r="821">
          <cell r="A821" t="str">
            <v>西三6#阀室</v>
          </cell>
          <cell r="B821" t="str">
            <v>一级</v>
          </cell>
          <cell r="C821" t="str">
            <v>西气东输三线</v>
          </cell>
          <cell r="D821" t="str">
            <v>西三线干线新疆段</v>
          </cell>
        </row>
        <row r="822">
          <cell r="A822" t="str">
            <v>西三7#阀室</v>
          </cell>
          <cell r="B822" t="str">
            <v>一级</v>
          </cell>
          <cell r="C822" t="str">
            <v>西气东输三线</v>
          </cell>
          <cell r="D822" t="str">
            <v>西三线干线新疆段</v>
          </cell>
        </row>
        <row r="823">
          <cell r="A823" t="str">
            <v>西三8#阀室</v>
          </cell>
          <cell r="B823" t="str">
            <v>一级</v>
          </cell>
          <cell r="C823" t="str">
            <v>西气东输三线</v>
          </cell>
          <cell r="D823" t="str">
            <v>西三线干线新疆段</v>
          </cell>
        </row>
        <row r="824">
          <cell r="A824" t="str">
            <v>西三9#阀室</v>
          </cell>
          <cell r="B824" t="str">
            <v>一级</v>
          </cell>
          <cell r="C824" t="str">
            <v>西气东输三线</v>
          </cell>
          <cell r="D824" t="str">
            <v>西三线干线新疆段</v>
          </cell>
        </row>
        <row r="825">
          <cell r="A825" t="str">
            <v>西三10#阀室</v>
          </cell>
          <cell r="B825" t="str">
            <v>一级</v>
          </cell>
          <cell r="C825" t="str">
            <v>西气东输三线</v>
          </cell>
          <cell r="D825" t="str">
            <v>西三线干线新疆段</v>
          </cell>
        </row>
        <row r="826">
          <cell r="A826" t="str">
            <v>西三11#阀室</v>
          </cell>
          <cell r="B826" t="str">
            <v>一级</v>
          </cell>
          <cell r="C826" t="str">
            <v>西气东输三线</v>
          </cell>
          <cell r="D826" t="str">
            <v>西三线干线新疆段</v>
          </cell>
        </row>
        <row r="827">
          <cell r="A827" t="str">
            <v>西三12#阀室</v>
          </cell>
          <cell r="B827" t="str">
            <v>一级</v>
          </cell>
          <cell r="C827" t="str">
            <v>西气东输三线</v>
          </cell>
          <cell r="D827" t="str">
            <v>西三线干线新疆段</v>
          </cell>
        </row>
        <row r="828">
          <cell r="A828" t="str">
            <v>西三13#阀室</v>
          </cell>
          <cell r="B828" t="str">
            <v>一级</v>
          </cell>
          <cell r="C828" t="str">
            <v>西气东输三线</v>
          </cell>
          <cell r="D828" t="str">
            <v>西三线干线新疆段</v>
          </cell>
        </row>
        <row r="829">
          <cell r="A829" t="str">
            <v>西三14#阀室</v>
          </cell>
          <cell r="B829" t="str">
            <v>一级</v>
          </cell>
          <cell r="C829" t="str">
            <v>西气东输三线</v>
          </cell>
          <cell r="D829" t="str">
            <v>西三线干线新疆段</v>
          </cell>
        </row>
        <row r="830">
          <cell r="A830" t="str">
            <v>西三15#阀室</v>
          </cell>
          <cell r="B830" t="str">
            <v>一级</v>
          </cell>
          <cell r="C830" t="str">
            <v>西气东输三线</v>
          </cell>
          <cell r="D830" t="str">
            <v>西三线干线新疆段</v>
          </cell>
        </row>
        <row r="831">
          <cell r="A831" t="str">
            <v>石河子分输站</v>
          </cell>
          <cell r="B831" t="str">
            <v>一级</v>
          </cell>
          <cell r="C831" t="str">
            <v>西气东输三线</v>
          </cell>
          <cell r="D831" t="str">
            <v>西三线干线新疆段</v>
          </cell>
        </row>
        <row r="832">
          <cell r="A832" t="str">
            <v>西三16#阀室</v>
          </cell>
          <cell r="B832" t="str">
            <v>一级</v>
          </cell>
          <cell r="C832" t="str">
            <v>西气东输三线</v>
          </cell>
          <cell r="D832" t="str">
            <v>西三线干线新疆段</v>
          </cell>
        </row>
        <row r="833">
          <cell r="A833" t="str">
            <v>西三17#阀室</v>
          </cell>
          <cell r="B833" t="str">
            <v>一级</v>
          </cell>
          <cell r="C833" t="str">
            <v>西气东输三线</v>
          </cell>
          <cell r="D833" t="str">
            <v>西三线干线新疆段</v>
          </cell>
        </row>
        <row r="834">
          <cell r="A834" t="str">
            <v>西三19#阀室</v>
          </cell>
          <cell r="B834" t="str">
            <v>一级</v>
          </cell>
          <cell r="C834" t="str">
            <v>西气东输三线</v>
          </cell>
          <cell r="D834" t="str">
            <v>西三线干线新疆段</v>
          </cell>
        </row>
        <row r="835">
          <cell r="A835" t="str">
            <v>西三20#阀室</v>
          </cell>
          <cell r="B835" t="str">
            <v>一级</v>
          </cell>
          <cell r="C835" t="str">
            <v>西气东输三线</v>
          </cell>
          <cell r="D835" t="str">
            <v>西三线干线新疆段</v>
          </cell>
        </row>
        <row r="836">
          <cell r="A836" t="str">
            <v>西三21#阀室</v>
          </cell>
          <cell r="B836" t="str">
            <v>一级</v>
          </cell>
          <cell r="C836" t="str">
            <v>西气东输三线</v>
          </cell>
          <cell r="D836" t="str">
            <v>西三线干线新疆段</v>
          </cell>
        </row>
        <row r="837">
          <cell r="A837" t="str">
            <v>西三22#阀室</v>
          </cell>
          <cell r="B837" t="str">
            <v>一级</v>
          </cell>
          <cell r="C837" t="str">
            <v>西气东输三线</v>
          </cell>
          <cell r="D837" t="str">
            <v>西三线干线新疆段</v>
          </cell>
        </row>
        <row r="838">
          <cell r="A838" t="str">
            <v>西三24#阀室</v>
          </cell>
          <cell r="B838" t="str">
            <v>一级</v>
          </cell>
          <cell r="C838" t="str">
            <v>西气东输三线</v>
          </cell>
          <cell r="D838" t="str">
            <v>西三线干线新疆段</v>
          </cell>
        </row>
        <row r="839">
          <cell r="A839" t="str">
            <v>西三25#阀室</v>
          </cell>
          <cell r="B839" t="str">
            <v>一级</v>
          </cell>
          <cell r="C839" t="str">
            <v>西气东输三线</v>
          </cell>
          <cell r="D839" t="str">
            <v>西三线干线新疆段</v>
          </cell>
        </row>
        <row r="840">
          <cell r="A840" t="str">
            <v>西三26#阀室</v>
          </cell>
          <cell r="B840" t="str">
            <v>一级</v>
          </cell>
          <cell r="C840" t="str">
            <v>西气东输三线</v>
          </cell>
          <cell r="D840" t="str">
            <v>西三线干线新疆段</v>
          </cell>
        </row>
        <row r="841">
          <cell r="A841" t="str">
            <v>西三27#阀室</v>
          </cell>
          <cell r="B841" t="str">
            <v>一级</v>
          </cell>
          <cell r="C841" t="str">
            <v>西气东输三线</v>
          </cell>
          <cell r="D841" t="str">
            <v>西三线干线新疆段</v>
          </cell>
        </row>
        <row r="842">
          <cell r="A842" t="str">
            <v>西三28#阀室</v>
          </cell>
          <cell r="B842" t="str">
            <v>一级</v>
          </cell>
          <cell r="C842" t="str">
            <v>西气东输三线</v>
          </cell>
          <cell r="D842" t="str">
            <v>西三线干线新疆段</v>
          </cell>
        </row>
        <row r="843">
          <cell r="A843" t="str">
            <v>西三29#阀室</v>
          </cell>
          <cell r="B843" t="str">
            <v>一级</v>
          </cell>
          <cell r="C843" t="str">
            <v>西气东输三线</v>
          </cell>
          <cell r="D843" t="str">
            <v>西三线干线新疆段</v>
          </cell>
        </row>
        <row r="844">
          <cell r="A844" t="str">
            <v>西三30#阀室</v>
          </cell>
          <cell r="B844" t="str">
            <v>一级</v>
          </cell>
          <cell r="C844" t="str">
            <v>西气东输三线</v>
          </cell>
          <cell r="D844" t="str">
            <v>西三线干线新疆段</v>
          </cell>
        </row>
        <row r="845">
          <cell r="A845" t="str">
            <v>西三31#阀室</v>
          </cell>
          <cell r="B845" t="str">
            <v>一级</v>
          </cell>
          <cell r="C845" t="str">
            <v>西气东输三线</v>
          </cell>
          <cell r="D845" t="str">
            <v>西三线干线新疆段</v>
          </cell>
        </row>
        <row r="846">
          <cell r="A846" t="str">
            <v>西三32#阀室</v>
          </cell>
          <cell r="B846" t="str">
            <v>一级</v>
          </cell>
          <cell r="C846" t="str">
            <v>西气东输三线</v>
          </cell>
          <cell r="D846" t="str">
            <v>西三线干线新疆段</v>
          </cell>
        </row>
        <row r="847">
          <cell r="A847" t="str">
            <v>西三33#阀室</v>
          </cell>
          <cell r="B847" t="str">
            <v>一级</v>
          </cell>
          <cell r="C847" t="str">
            <v>西气东输三线</v>
          </cell>
          <cell r="D847" t="str">
            <v>西三线干线新疆段</v>
          </cell>
        </row>
        <row r="848">
          <cell r="A848" t="str">
            <v>西三34#阀室</v>
          </cell>
          <cell r="B848" t="str">
            <v>一级</v>
          </cell>
          <cell r="C848" t="str">
            <v>西气东输三线</v>
          </cell>
          <cell r="D848" t="str">
            <v>西三线干线新疆段</v>
          </cell>
        </row>
        <row r="849">
          <cell r="A849" t="str">
            <v>西三35#阀室</v>
          </cell>
          <cell r="B849" t="str">
            <v>一级</v>
          </cell>
          <cell r="C849" t="str">
            <v>西气东输三线</v>
          </cell>
          <cell r="D849" t="str">
            <v>西三线干线新疆段</v>
          </cell>
        </row>
        <row r="850">
          <cell r="A850" t="str">
            <v>西三36#阀室</v>
          </cell>
          <cell r="B850" t="str">
            <v>一级</v>
          </cell>
          <cell r="C850" t="str">
            <v>西气东输三线</v>
          </cell>
          <cell r="D850" t="str">
            <v>西三线干线新疆段</v>
          </cell>
        </row>
        <row r="851">
          <cell r="A851" t="str">
            <v>西三37#阀室</v>
          </cell>
          <cell r="B851" t="str">
            <v>一级</v>
          </cell>
          <cell r="C851" t="str">
            <v>西气东输三线</v>
          </cell>
          <cell r="D851" t="str">
            <v>西三线干线新疆段</v>
          </cell>
        </row>
        <row r="852">
          <cell r="A852" t="str">
            <v>西三38#阀室</v>
          </cell>
          <cell r="B852" t="str">
            <v>一级</v>
          </cell>
          <cell r="C852" t="str">
            <v>西气东输三线</v>
          </cell>
          <cell r="D852" t="str">
            <v>西三线干线新疆段</v>
          </cell>
        </row>
        <row r="853">
          <cell r="A853" t="str">
            <v>西三39#阀室</v>
          </cell>
          <cell r="B853" t="str">
            <v>一级</v>
          </cell>
          <cell r="C853" t="str">
            <v>西气东输三线</v>
          </cell>
          <cell r="D853" t="str">
            <v>西三线干线新疆段</v>
          </cell>
        </row>
        <row r="854">
          <cell r="A854" t="str">
            <v>西三40#阀室</v>
          </cell>
          <cell r="B854" t="str">
            <v>一级</v>
          </cell>
          <cell r="C854" t="str">
            <v>西气东输三线</v>
          </cell>
          <cell r="D854" t="str">
            <v>西三线干线甘肃段</v>
          </cell>
        </row>
        <row r="855">
          <cell r="A855" t="str">
            <v>西三41#阀室</v>
          </cell>
          <cell r="B855" t="str">
            <v>一级</v>
          </cell>
          <cell r="C855" t="str">
            <v>西气东输三线</v>
          </cell>
          <cell r="D855" t="str">
            <v>西三线干线甘肃段</v>
          </cell>
        </row>
        <row r="856">
          <cell r="A856" t="str">
            <v>西三42#阀室</v>
          </cell>
          <cell r="B856" t="str">
            <v>一级</v>
          </cell>
          <cell r="C856" t="str">
            <v>西气东输三线</v>
          </cell>
          <cell r="D856" t="str">
            <v>西三线干线甘肃段</v>
          </cell>
        </row>
        <row r="857">
          <cell r="A857" t="str">
            <v>西三43#阀室</v>
          </cell>
          <cell r="B857" t="str">
            <v>一级</v>
          </cell>
          <cell r="C857" t="str">
            <v>西气东输三线</v>
          </cell>
          <cell r="D857" t="str">
            <v>西三线干线甘肃段</v>
          </cell>
        </row>
        <row r="858">
          <cell r="A858" t="str">
            <v>西三44#阀室</v>
          </cell>
          <cell r="B858" t="str">
            <v>一级</v>
          </cell>
          <cell r="C858" t="str">
            <v>西气东输三线</v>
          </cell>
          <cell r="D858" t="str">
            <v>西三线干线甘肃段</v>
          </cell>
        </row>
        <row r="859">
          <cell r="A859" t="str">
            <v>西三45#阀室</v>
          </cell>
          <cell r="B859" t="str">
            <v>一级</v>
          </cell>
          <cell r="C859" t="str">
            <v>西气东输三线</v>
          </cell>
          <cell r="D859" t="str">
            <v>西三线干线甘肃段</v>
          </cell>
        </row>
        <row r="860">
          <cell r="A860" t="str">
            <v>西三46#阀室</v>
          </cell>
          <cell r="B860" t="str">
            <v>一级</v>
          </cell>
          <cell r="C860" t="str">
            <v>西气东输三线</v>
          </cell>
          <cell r="D860" t="str">
            <v>西三线干线甘肃段</v>
          </cell>
        </row>
        <row r="861">
          <cell r="A861" t="str">
            <v>西三47#阀室</v>
          </cell>
          <cell r="B861" t="str">
            <v>一级</v>
          </cell>
          <cell r="C861" t="str">
            <v>西气东输三线</v>
          </cell>
          <cell r="D861" t="str">
            <v>西三线干线甘肃段</v>
          </cell>
        </row>
        <row r="862">
          <cell r="A862" t="str">
            <v>西三48#阀室</v>
          </cell>
          <cell r="B862" t="str">
            <v>一级</v>
          </cell>
          <cell r="C862" t="str">
            <v>西气东输三线</v>
          </cell>
          <cell r="D862" t="str">
            <v>西三线干线甘肃段</v>
          </cell>
        </row>
        <row r="863">
          <cell r="A863" t="str">
            <v>西三49#阀室</v>
          </cell>
          <cell r="B863" t="str">
            <v>一级</v>
          </cell>
          <cell r="C863" t="str">
            <v>西气东输三线</v>
          </cell>
          <cell r="D863" t="str">
            <v>西三线干线甘肃段</v>
          </cell>
        </row>
        <row r="864">
          <cell r="A864" t="str">
            <v>西三50#阀室</v>
          </cell>
          <cell r="B864" t="str">
            <v>一级</v>
          </cell>
          <cell r="C864" t="str">
            <v>西气东输三线</v>
          </cell>
          <cell r="D864" t="str">
            <v>西三线干线甘肃段</v>
          </cell>
        </row>
        <row r="865">
          <cell r="A865" t="str">
            <v>西三51#阀室</v>
          </cell>
          <cell r="B865" t="str">
            <v>一级</v>
          </cell>
          <cell r="C865" t="str">
            <v>西气东输三线</v>
          </cell>
          <cell r="D865" t="str">
            <v>西三线干线甘肃段</v>
          </cell>
        </row>
        <row r="866">
          <cell r="A866" t="str">
            <v>西三52#阀室</v>
          </cell>
          <cell r="B866" t="str">
            <v>一级</v>
          </cell>
          <cell r="C866" t="str">
            <v>西气东输三线</v>
          </cell>
          <cell r="D866" t="str">
            <v>西三线干线甘肃段</v>
          </cell>
        </row>
        <row r="867">
          <cell r="A867" t="str">
            <v>西三53#阀室</v>
          </cell>
          <cell r="B867" t="str">
            <v>一级</v>
          </cell>
          <cell r="C867" t="str">
            <v>西气东输三线</v>
          </cell>
          <cell r="D867" t="str">
            <v>西三线干线甘肃段</v>
          </cell>
        </row>
        <row r="868">
          <cell r="A868" t="str">
            <v>西三54#阀室</v>
          </cell>
          <cell r="B868" t="str">
            <v>一级</v>
          </cell>
          <cell r="C868" t="str">
            <v>西气东输三线</v>
          </cell>
          <cell r="D868" t="str">
            <v>西三线干线甘肃段</v>
          </cell>
        </row>
        <row r="869">
          <cell r="A869" t="str">
            <v>西三55#阀室</v>
          </cell>
          <cell r="B869" t="str">
            <v>一级</v>
          </cell>
          <cell r="C869" t="str">
            <v>西气东输三线</v>
          </cell>
          <cell r="D869" t="str">
            <v>西三线干线甘肃段</v>
          </cell>
        </row>
        <row r="870">
          <cell r="A870" t="str">
            <v>西三56#阀室</v>
          </cell>
          <cell r="B870" t="str">
            <v>一级</v>
          </cell>
          <cell r="C870" t="str">
            <v>西气东输三线</v>
          </cell>
          <cell r="D870" t="str">
            <v>西三线干线甘肃段</v>
          </cell>
        </row>
        <row r="871">
          <cell r="A871" t="str">
            <v>西三57#阀室</v>
          </cell>
          <cell r="B871" t="str">
            <v>一级</v>
          </cell>
          <cell r="C871" t="str">
            <v>西气东输三线</v>
          </cell>
          <cell r="D871" t="str">
            <v>西三线干线甘肃段</v>
          </cell>
        </row>
        <row r="872">
          <cell r="A872" t="str">
            <v>西三58#阀室</v>
          </cell>
          <cell r="B872" t="str">
            <v>一级</v>
          </cell>
          <cell r="C872" t="str">
            <v>西气东输三线</v>
          </cell>
          <cell r="D872" t="str">
            <v>西三线干线甘肃段</v>
          </cell>
        </row>
        <row r="873">
          <cell r="A873" t="str">
            <v>西三59#阀室</v>
          </cell>
          <cell r="B873" t="str">
            <v>一级</v>
          </cell>
          <cell r="C873" t="str">
            <v>西气东输三线</v>
          </cell>
          <cell r="D873" t="str">
            <v>西三线干线甘肃段</v>
          </cell>
        </row>
        <row r="874">
          <cell r="A874" t="str">
            <v>西三60#阀室</v>
          </cell>
          <cell r="B874" t="str">
            <v>一级</v>
          </cell>
          <cell r="C874" t="str">
            <v>西气东输三线</v>
          </cell>
          <cell r="D874" t="str">
            <v>西三线干线甘肃段</v>
          </cell>
        </row>
        <row r="875">
          <cell r="A875" t="str">
            <v>西三61#阀室</v>
          </cell>
          <cell r="B875" t="str">
            <v>一级</v>
          </cell>
          <cell r="C875" t="str">
            <v>西气东输三线</v>
          </cell>
          <cell r="D875" t="str">
            <v>西三线干线甘肃段</v>
          </cell>
        </row>
        <row r="876">
          <cell r="A876" t="str">
            <v>西三62#阀室</v>
          </cell>
          <cell r="B876" t="str">
            <v>一级</v>
          </cell>
          <cell r="C876" t="str">
            <v>西气东输三线</v>
          </cell>
          <cell r="D876" t="str">
            <v>西三线干线甘肃段</v>
          </cell>
        </row>
        <row r="877">
          <cell r="A877" t="str">
            <v>西三63#阀室</v>
          </cell>
          <cell r="B877" t="str">
            <v>一级</v>
          </cell>
          <cell r="C877" t="str">
            <v>西气东输三线</v>
          </cell>
          <cell r="D877" t="str">
            <v>西三线干线甘肃段</v>
          </cell>
        </row>
        <row r="878">
          <cell r="A878" t="str">
            <v>西三64#阀室</v>
          </cell>
          <cell r="B878" t="str">
            <v>一级</v>
          </cell>
          <cell r="C878" t="str">
            <v>西气东输三线</v>
          </cell>
          <cell r="D878" t="str">
            <v>西三线干线甘肃段</v>
          </cell>
        </row>
        <row r="879">
          <cell r="A879" t="str">
            <v>西三65#阀室</v>
          </cell>
          <cell r="B879" t="str">
            <v>一级</v>
          </cell>
          <cell r="C879" t="str">
            <v>西气东输三线</v>
          </cell>
          <cell r="D879" t="str">
            <v>西三线干线甘肃段</v>
          </cell>
        </row>
        <row r="880">
          <cell r="A880" t="str">
            <v>西三66#阀室</v>
          </cell>
          <cell r="B880" t="str">
            <v>一级</v>
          </cell>
          <cell r="C880" t="str">
            <v>西气东输三线</v>
          </cell>
          <cell r="D880" t="str">
            <v>西三线干线甘肃段</v>
          </cell>
        </row>
        <row r="881">
          <cell r="A881" t="str">
            <v>西三67#阀室</v>
          </cell>
          <cell r="B881" t="str">
            <v>一级</v>
          </cell>
          <cell r="C881" t="str">
            <v>西气东输三线</v>
          </cell>
          <cell r="D881" t="str">
            <v>西三线干线甘肃段</v>
          </cell>
        </row>
        <row r="882">
          <cell r="A882" t="str">
            <v>西三68#阀室</v>
          </cell>
          <cell r="B882" t="str">
            <v>一级</v>
          </cell>
          <cell r="C882" t="str">
            <v>西气东输三线</v>
          </cell>
          <cell r="D882" t="str">
            <v>西三线干线甘肃段</v>
          </cell>
        </row>
        <row r="883">
          <cell r="A883" t="str">
            <v>西三69#阀室</v>
          </cell>
          <cell r="B883" t="str">
            <v>一级</v>
          </cell>
          <cell r="C883" t="str">
            <v>西气东输三线</v>
          </cell>
          <cell r="D883" t="str">
            <v>西三线干线甘肃段</v>
          </cell>
        </row>
        <row r="884">
          <cell r="A884" t="str">
            <v>西三70#阀室</v>
          </cell>
          <cell r="B884" t="str">
            <v>一级</v>
          </cell>
          <cell r="C884" t="str">
            <v>西气东输三线</v>
          </cell>
          <cell r="D884" t="str">
            <v>西三线干线甘肃段</v>
          </cell>
        </row>
        <row r="885">
          <cell r="A885" t="str">
            <v>西三71#阀室</v>
          </cell>
          <cell r="B885" t="str">
            <v>一级</v>
          </cell>
          <cell r="C885" t="str">
            <v>西气东输三线</v>
          </cell>
          <cell r="D885" t="str">
            <v>西三线干线甘肃段</v>
          </cell>
        </row>
        <row r="886">
          <cell r="A886" t="str">
            <v>西三156#阀室</v>
          </cell>
          <cell r="B886" t="str">
            <v>一级</v>
          </cell>
          <cell r="C886" t="str">
            <v>西气东输三线</v>
          </cell>
          <cell r="D886" t="str">
            <v>西三线干线东段</v>
          </cell>
        </row>
        <row r="887">
          <cell r="A887" t="str">
            <v>西三157#阀室</v>
          </cell>
          <cell r="B887" t="str">
            <v>一级</v>
          </cell>
          <cell r="C887" t="str">
            <v>西气东输三线</v>
          </cell>
          <cell r="D887" t="str">
            <v>西三线干线东段</v>
          </cell>
        </row>
        <row r="888">
          <cell r="A888" t="str">
            <v>西三158#阀室</v>
          </cell>
          <cell r="B888" t="str">
            <v>一级</v>
          </cell>
          <cell r="C888" t="str">
            <v>西气东输三线</v>
          </cell>
          <cell r="D888" t="str">
            <v>西三线干线东段</v>
          </cell>
        </row>
        <row r="889">
          <cell r="A889" t="str">
            <v>西三159#阀室</v>
          </cell>
          <cell r="B889" t="str">
            <v>一级</v>
          </cell>
          <cell r="C889" t="str">
            <v>西气东输三线</v>
          </cell>
          <cell r="D889" t="str">
            <v>西三线干线东段</v>
          </cell>
        </row>
        <row r="890">
          <cell r="A890" t="str">
            <v>西三160#阀室</v>
          </cell>
          <cell r="B890" t="str">
            <v>一级</v>
          </cell>
          <cell r="C890" t="str">
            <v>西气东输三线</v>
          </cell>
          <cell r="D890" t="str">
            <v>西三线干线东段</v>
          </cell>
        </row>
        <row r="891">
          <cell r="A891" t="str">
            <v>西三161#阀室</v>
          </cell>
          <cell r="B891" t="str">
            <v>一级</v>
          </cell>
          <cell r="C891" t="str">
            <v>西气东输三线</v>
          </cell>
          <cell r="D891" t="str">
            <v>西三线干线东段</v>
          </cell>
        </row>
        <row r="892">
          <cell r="A892" t="str">
            <v>西三162#阀室</v>
          </cell>
          <cell r="B892" t="str">
            <v>一级</v>
          </cell>
          <cell r="C892" t="str">
            <v>西气东输三线</v>
          </cell>
          <cell r="D892" t="str">
            <v>西三线干线东段</v>
          </cell>
        </row>
        <row r="893">
          <cell r="A893" t="str">
            <v>于都分输站</v>
          </cell>
          <cell r="B893" t="str">
            <v>一级</v>
          </cell>
          <cell r="C893" t="str">
            <v>西气东输三线</v>
          </cell>
          <cell r="D893" t="str">
            <v>西三线干线东段</v>
          </cell>
        </row>
        <row r="894">
          <cell r="A894" t="str">
            <v>西三163#阀室</v>
          </cell>
          <cell r="B894" t="str">
            <v>一级</v>
          </cell>
          <cell r="C894" t="str">
            <v>西气东输三线</v>
          </cell>
          <cell r="D894" t="str">
            <v>西三线干线东段</v>
          </cell>
        </row>
        <row r="895">
          <cell r="A895" t="str">
            <v>西三164#阀室</v>
          </cell>
          <cell r="B895" t="str">
            <v>一级</v>
          </cell>
          <cell r="C895" t="str">
            <v>西气东输三线</v>
          </cell>
          <cell r="D895" t="str">
            <v>西三线干线东段</v>
          </cell>
        </row>
        <row r="896">
          <cell r="A896" t="str">
            <v>西三165#阀室</v>
          </cell>
          <cell r="B896" t="str">
            <v>一级</v>
          </cell>
          <cell r="C896" t="str">
            <v>西气东输三线</v>
          </cell>
          <cell r="D896" t="str">
            <v>西三线干线东段</v>
          </cell>
        </row>
        <row r="897">
          <cell r="A897" t="str">
            <v>瑞金分输站</v>
          </cell>
          <cell r="B897" t="str">
            <v>一级</v>
          </cell>
          <cell r="C897" t="str">
            <v>西气东输三线</v>
          </cell>
          <cell r="D897" t="str">
            <v>西三线干线东段</v>
          </cell>
        </row>
        <row r="898">
          <cell r="A898" t="str">
            <v>西三166#阀室</v>
          </cell>
          <cell r="B898" t="str">
            <v>一级</v>
          </cell>
          <cell r="C898" t="str">
            <v>西气东输三线</v>
          </cell>
          <cell r="D898" t="str">
            <v>西三线干线东段</v>
          </cell>
        </row>
        <row r="899">
          <cell r="A899" t="str">
            <v>西三167#阀室</v>
          </cell>
          <cell r="B899" t="str">
            <v>一级</v>
          </cell>
          <cell r="C899" t="str">
            <v>西气东输三线</v>
          </cell>
          <cell r="D899" t="str">
            <v>西三线干线东段</v>
          </cell>
        </row>
        <row r="900">
          <cell r="A900" t="str">
            <v>长汀分输站</v>
          </cell>
          <cell r="B900" t="str">
            <v>一级</v>
          </cell>
          <cell r="C900" t="str">
            <v>西气东输三线</v>
          </cell>
          <cell r="D900" t="str">
            <v>西三线干线东段</v>
          </cell>
        </row>
        <row r="901">
          <cell r="A901" t="str">
            <v>西三168#阀室</v>
          </cell>
          <cell r="B901" t="str">
            <v>一级</v>
          </cell>
          <cell r="C901" t="str">
            <v>西气东输三线</v>
          </cell>
          <cell r="D901" t="str">
            <v>西三线干线东段</v>
          </cell>
        </row>
        <row r="902">
          <cell r="A902" t="str">
            <v>西三169#阀室</v>
          </cell>
          <cell r="B902" t="str">
            <v>一级</v>
          </cell>
          <cell r="C902" t="str">
            <v>西气东输三线</v>
          </cell>
          <cell r="D902" t="str">
            <v>西三线干线东段</v>
          </cell>
        </row>
        <row r="903">
          <cell r="A903" t="str">
            <v>西三170#阀室</v>
          </cell>
          <cell r="B903" t="str">
            <v>一级</v>
          </cell>
          <cell r="C903" t="str">
            <v>西气东输三线</v>
          </cell>
          <cell r="D903" t="str">
            <v>西三线干线东段</v>
          </cell>
        </row>
        <row r="904">
          <cell r="A904" t="str">
            <v>西三171#阀室</v>
          </cell>
          <cell r="B904" t="str">
            <v>一级</v>
          </cell>
          <cell r="C904" t="str">
            <v>西气东输三线</v>
          </cell>
          <cell r="D904" t="str">
            <v>西三线干线东段</v>
          </cell>
        </row>
        <row r="905">
          <cell r="A905" t="str">
            <v>西三172#阀室</v>
          </cell>
          <cell r="B905" t="str">
            <v>一级</v>
          </cell>
          <cell r="C905" t="str">
            <v>西气东输三线</v>
          </cell>
          <cell r="D905" t="str">
            <v>西三线干线东段</v>
          </cell>
        </row>
        <row r="906">
          <cell r="A906" t="str">
            <v>龙岩分输站</v>
          </cell>
          <cell r="B906" t="str">
            <v>一级</v>
          </cell>
          <cell r="C906" t="str">
            <v>西气东输三线</v>
          </cell>
          <cell r="D906" t="str">
            <v>西三线干线东段</v>
          </cell>
        </row>
        <row r="907">
          <cell r="A907" t="str">
            <v>西三173#阀室</v>
          </cell>
          <cell r="B907" t="str">
            <v>一级</v>
          </cell>
          <cell r="C907" t="str">
            <v>西气东输三线</v>
          </cell>
          <cell r="D907" t="str">
            <v>西三线干线东段</v>
          </cell>
        </row>
        <row r="908">
          <cell r="A908" t="str">
            <v>西三174#阀室</v>
          </cell>
          <cell r="B908" t="str">
            <v>一级</v>
          </cell>
          <cell r="C908" t="str">
            <v>西气东输三线</v>
          </cell>
          <cell r="D908" t="str">
            <v>西三线干线东段</v>
          </cell>
        </row>
        <row r="909">
          <cell r="A909" t="str">
            <v>西三175#阀室</v>
          </cell>
          <cell r="B909" t="str">
            <v>一级</v>
          </cell>
          <cell r="C909" t="str">
            <v>西气东输三线</v>
          </cell>
          <cell r="D909" t="str">
            <v>西三线干线东段</v>
          </cell>
        </row>
        <row r="910">
          <cell r="A910" t="str">
            <v>西三176#阀室</v>
          </cell>
          <cell r="B910" t="str">
            <v>一级</v>
          </cell>
          <cell r="C910" t="str">
            <v>西气东输三线</v>
          </cell>
          <cell r="D910" t="str">
            <v>西三线干线东段</v>
          </cell>
        </row>
        <row r="911">
          <cell r="A911" t="str">
            <v>漳州分输站</v>
          </cell>
          <cell r="B911" t="str">
            <v>一级</v>
          </cell>
          <cell r="C911" t="str">
            <v>西气东输三线</v>
          </cell>
          <cell r="D911" t="str">
            <v>西三线干线东段</v>
          </cell>
        </row>
        <row r="912">
          <cell r="A912" t="str">
            <v>西三177#阀室</v>
          </cell>
          <cell r="B912" t="str">
            <v>一级</v>
          </cell>
          <cell r="C912" t="str">
            <v>西气东输三线</v>
          </cell>
          <cell r="D912" t="str">
            <v>西三线干线东段</v>
          </cell>
        </row>
        <row r="913">
          <cell r="A913" t="str">
            <v>西三178#阀室</v>
          </cell>
          <cell r="B913" t="str">
            <v>一级</v>
          </cell>
          <cell r="C913" t="str">
            <v>西气东输三线</v>
          </cell>
          <cell r="D913" t="str">
            <v>西三线干线东段</v>
          </cell>
        </row>
        <row r="914">
          <cell r="A914" t="str">
            <v>西三179#阀室</v>
          </cell>
          <cell r="B914" t="str">
            <v>一级</v>
          </cell>
          <cell r="C914" t="str">
            <v>西气东输三线</v>
          </cell>
          <cell r="D914" t="str">
            <v>西三线干线东段</v>
          </cell>
        </row>
        <row r="915">
          <cell r="A915" t="str">
            <v>海沧分输站</v>
          </cell>
          <cell r="B915" t="str">
            <v>一级</v>
          </cell>
          <cell r="C915" t="str">
            <v>西气东输三线</v>
          </cell>
          <cell r="D915" t="str">
            <v>西三线干线东段</v>
          </cell>
        </row>
        <row r="916">
          <cell r="A916" t="str">
            <v>西三180#阀室</v>
          </cell>
          <cell r="B916" t="str">
            <v>一级</v>
          </cell>
          <cell r="C916" t="str">
            <v>西气东输三线</v>
          </cell>
          <cell r="D916" t="str">
            <v>西三线干线东段</v>
          </cell>
        </row>
        <row r="917">
          <cell r="A917" t="str">
            <v>同安分输站</v>
          </cell>
          <cell r="B917" t="str">
            <v>一级</v>
          </cell>
          <cell r="C917" t="str">
            <v>西气东输三线</v>
          </cell>
          <cell r="D917" t="str">
            <v>西三线干线东段</v>
          </cell>
        </row>
        <row r="918">
          <cell r="A918" t="str">
            <v>西三181#阀室</v>
          </cell>
          <cell r="B918" t="str">
            <v>一级</v>
          </cell>
          <cell r="C918" t="str">
            <v>西气东输三线</v>
          </cell>
          <cell r="D918" t="str">
            <v>西三线干线东段</v>
          </cell>
        </row>
        <row r="919">
          <cell r="A919" t="str">
            <v>西三182#阀室</v>
          </cell>
          <cell r="B919" t="str">
            <v>一级</v>
          </cell>
          <cell r="C919" t="str">
            <v>西气东输三线</v>
          </cell>
          <cell r="D919" t="str">
            <v>西三线干线东段</v>
          </cell>
        </row>
        <row r="920">
          <cell r="A920" t="str">
            <v>西三183#阀室</v>
          </cell>
          <cell r="B920" t="str">
            <v>一级</v>
          </cell>
          <cell r="C920" t="str">
            <v>西气东输三线</v>
          </cell>
          <cell r="D920" t="str">
            <v>西三线干线东段</v>
          </cell>
        </row>
        <row r="921">
          <cell r="A921" t="str">
            <v>东田分输站</v>
          </cell>
          <cell r="B921" t="str">
            <v>一级</v>
          </cell>
          <cell r="C921" t="str">
            <v>西气东输三线</v>
          </cell>
          <cell r="D921" t="str">
            <v>西三线干线东段</v>
          </cell>
        </row>
        <row r="922">
          <cell r="A922" t="str">
            <v>西三184#阀室</v>
          </cell>
          <cell r="B922" t="str">
            <v>一级</v>
          </cell>
          <cell r="C922" t="str">
            <v>西气东输三线</v>
          </cell>
          <cell r="D922" t="str">
            <v>西三线干线东段</v>
          </cell>
        </row>
        <row r="923">
          <cell r="A923" t="str">
            <v>泉州分输站</v>
          </cell>
          <cell r="B923" t="str">
            <v>一级</v>
          </cell>
          <cell r="C923" t="str">
            <v>西气东输三线</v>
          </cell>
          <cell r="D923" t="str">
            <v>西三线干线东段</v>
          </cell>
        </row>
        <row r="924">
          <cell r="A924" t="str">
            <v>西三185#阀室</v>
          </cell>
          <cell r="B924" t="str">
            <v>一级</v>
          </cell>
          <cell r="C924" t="str">
            <v>西气东输三线</v>
          </cell>
          <cell r="D924" t="str">
            <v>西三线干线东段</v>
          </cell>
        </row>
        <row r="925">
          <cell r="A925" t="str">
            <v>西三186#阀室</v>
          </cell>
          <cell r="B925" t="str">
            <v>一级</v>
          </cell>
          <cell r="C925" t="str">
            <v>西气东输三线</v>
          </cell>
          <cell r="D925" t="str">
            <v>西三线干线东段</v>
          </cell>
        </row>
        <row r="926">
          <cell r="A926" t="str">
            <v>西三187#阀室</v>
          </cell>
          <cell r="B926" t="str">
            <v>一级</v>
          </cell>
          <cell r="C926" t="str">
            <v>西气东输三线</v>
          </cell>
          <cell r="D926" t="str">
            <v>西三线干线东段</v>
          </cell>
        </row>
        <row r="927">
          <cell r="A927" t="str">
            <v>仙游分输站</v>
          </cell>
          <cell r="B927" t="str">
            <v>一级</v>
          </cell>
          <cell r="C927" t="str">
            <v>西气东输三线</v>
          </cell>
          <cell r="D927" t="str">
            <v>西三线干线东段</v>
          </cell>
        </row>
        <row r="928">
          <cell r="A928" t="str">
            <v>西三189#阀室</v>
          </cell>
          <cell r="B928" t="str">
            <v>一级</v>
          </cell>
          <cell r="C928" t="str">
            <v>西气东输三线</v>
          </cell>
          <cell r="D928" t="str">
            <v>西三线干线东段</v>
          </cell>
        </row>
        <row r="929">
          <cell r="A929" t="str">
            <v>西三190#阀室</v>
          </cell>
          <cell r="B929" t="str">
            <v>一级</v>
          </cell>
          <cell r="C929" t="str">
            <v>西气东输三线</v>
          </cell>
          <cell r="D929" t="str">
            <v>西三线干线东段</v>
          </cell>
        </row>
        <row r="930">
          <cell r="A930" t="str">
            <v>莆田分输站</v>
          </cell>
          <cell r="B930" t="str">
            <v>一级</v>
          </cell>
          <cell r="C930" t="str">
            <v>西气东输三线</v>
          </cell>
          <cell r="D930" t="str">
            <v>西三线干线东段</v>
          </cell>
        </row>
        <row r="931">
          <cell r="A931" t="str">
            <v>西三191#阀室</v>
          </cell>
          <cell r="B931" t="str">
            <v>一级</v>
          </cell>
          <cell r="C931" t="str">
            <v>西气东输三线</v>
          </cell>
          <cell r="D931" t="str">
            <v>西三线干线东段</v>
          </cell>
        </row>
        <row r="932">
          <cell r="A932" t="str">
            <v>福清分输站</v>
          </cell>
          <cell r="B932" t="str">
            <v>一级</v>
          </cell>
          <cell r="C932" t="str">
            <v>西气东输三线</v>
          </cell>
          <cell r="D932" t="str">
            <v>西三线干线东段</v>
          </cell>
        </row>
        <row r="933">
          <cell r="A933" t="str">
            <v>福州末站</v>
          </cell>
          <cell r="B933" t="str">
            <v>一级</v>
          </cell>
          <cell r="C933" t="str">
            <v>西气东输三线</v>
          </cell>
          <cell r="D933" t="str">
            <v>西三线干线东段</v>
          </cell>
        </row>
        <row r="934">
          <cell r="A934" t="str">
            <v>伊宁首站</v>
          </cell>
          <cell r="B934" t="str">
            <v>一级</v>
          </cell>
          <cell r="C934" t="str">
            <v>西气东输三线</v>
          </cell>
          <cell r="D934" t="str">
            <v>伊霍支线</v>
          </cell>
        </row>
        <row r="935">
          <cell r="A935" t="str">
            <v>伊霍1#阀室</v>
          </cell>
          <cell r="B935" t="str">
            <v>一级</v>
          </cell>
          <cell r="C935" t="str">
            <v>西气东输三线</v>
          </cell>
          <cell r="D935" t="str">
            <v>伊霍支线</v>
          </cell>
        </row>
        <row r="936">
          <cell r="A936" t="str">
            <v>伊霍2#阀室</v>
          </cell>
          <cell r="B936" t="str">
            <v>一级</v>
          </cell>
          <cell r="C936" t="str">
            <v>西气东输三线</v>
          </cell>
          <cell r="D936" t="str">
            <v>伊霍支线</v>
          </cell>
        </row>
        <row r="937">
          <cell r="A937" t="str">
            <v>西三中靖1#阀室</v>
          </cell>
          <cell r="B937" t="str">
            <v>一级</v>
          </cell>
          <cell r="C937" t="str">
            <v>西气东输三线</v>
          </cell>
          <cell r="D937" t="str">
            <v>西三线中靖联络线</v>
          </cell>
        </row>
        <row r="938">
          <cell r="A938" t="str">
            <v>西三中靖2#阀室</v>
          </cell>
          <cell r="B938" t="str">
            <v>一级</v>
          </cell>
          <cell r="C938" t="str">
            <v>西气东输三线</v>
          </cell>
          <cell r="D938" t="str">
            <v>西三线中靖联络线</v>
          </cell>
        </row>
        <row r="939">
          <cell r="A939" t="str">
            <v>西三中靖3#阀室</v>
          </cell>
          <cell r="B939" t="str">
            <v>一级</v>
          </cell>
          <cell r="C939" t="str">
            <v>西气东输三线</v>
          </cell>
          <cell r="D939" t="str">
            <v>西三线中靖联络线</v>
          </cell>
        </row>
        <row r="940">
          <cell r="A940" t="str">
            <v>西三中靖4#阀室</v>
          </cell>
          <cell r="B940" t="str">
            <v>一级</v>
          </cell>
          <cell r="C940" t="str">
            <v>西气东输三线</v>
          </cell>
          <cell r="D940" t="str">
            <v>西三线中靖联络线</v>
          </cell>
        </row>
        <row r="941">
          <cell r="A941" t="str">
            <v>西三中靖5#阀室</v>
          </cell>
          <cell r="B941" t="str">
            <v>一级</v>
          </cell>
          <cell r="C941" t="str">
            <v>西气东输三线</v>
          </cell>
          <cell r="D941" t="str">
            <v>西三线中靖联络线</v>
          </cell>
        </row>
        <row r="942">
          <cell r="A942" t="str">
            <v>西三中靖6#阀室</v>
          </cell>
          <cell r="B942" t="str">
            <v>一级</v>
          </cell>
          <cell r="C942" t="str">
            <v>西气东输三线</v>
          </cell>
          <cell r="D942" t="str">
            <v>西三线中靖联络线</v>
          </cell>
        </row>
        <row r="943">
          <cell r="A943" t="str">
            <v>西三中靖7#阀室</v>
          </cell>
          <cell r="B943" t="str">
            <v>一级</v>
          </cell>
          <cell r="C943" t="str">
            <v>西气东输三线</v>
          </cell>
          <cell r="D943" t="str">
            <v>西三线中靖联络线</v>
          </cell>
        </row>
        <row r="944">
          <cell r="A944" t="str">
            <v>西三中靖8#阀室</v>
          </cell>
          <cell r="B944" t="str">
            <v>一级</v>
          </cell>
          <cell r="C944" t="str">
            <v>西气东输三线</v>
          </cell>
          <cell r="D944" t="str">
            <v>西三线中靖联络线</v>
          </cell>
        </row>
        <row r="945">
          <cell r="A945" t="str">
            <v>西三中靖9#阀室</v>
          </cell>
          <cell r="B945" t="str">
            <v>一级</v>
          </cell>
          <cell r="C945" t="str">
            <v>西气东输三线</v>
          </cell>
          <cell r="D945" t="str">
            <v>西三线中靖联络线</v>
          </cell>
        </row>
        <row r="946">
          <cell r="A946" t="str">
            <v>西三中靖10#阀室</v>
          </cell>
          <cell r="B946" t="str">
            <v>一级</v>
          </cell>
          <cell r="C946" t="str">
            <v>西气东输三线</v>
          </cell>
          <cell r="D946" t="str">
            <v>西三线中靖联络线</v>
          </cell>
        </row>
        <row r="947">
          <cell r="A947" t="str">
            <v>西三中靖11#阀室</v>
          </cell>
          <cell r="B947" t="str">
            <v>一级</v>
          </cell>
          <cell r="C947" t="str">
            <v>西气东输三线</v>
          </cell>
          <cell r="D947" t="str">
            <v>西三线中靖联络线</v>
          </cell>
        </row>
        <row r="948">
          <cell r="A948" t="str">
            <v>西三中靖12#阀室</v>
          </cell>
          <cell r="B948" t="str">
            <v>一级</v>
          </cell>
          <cell r="C948" t="str">
            <v>西气东输三线</v>
          </cell>
          <cell r="D948" t="str">
            <v>西三线中靖联络线</v>
          </cell>
        </row>
        <row r="949">
          <cell r="A949" t="str">
            <v>西三中靖13#阀室</v>
          </cell>
          <cell r="B949" t="str">
            <v>一级</v>
          </cell>
          <cell r="C949" t="str">
            <v>西气东输三线</v>
          </cell>
          <cell r="D949" t="str">
            <v>西三线中靖联络线</v>
          </cell>
        </row>
        <row r="950">
          <cell r="A950" t="str">
            <v>安沙分输站</v>
          </cell>
          <cell r="B950" t="str">
            <v>一级</v>
          </cell>
          <cell r="C950" t="str">
            <v>西气东输三线</v>
          </cell>
          <cell r="D950" t="str">
            <v>长沙支线</v>
          </cell>
        </row>
        <row r="951">
          <cell r="A951" t="str">
            <v>长沙1#阀室</v>
          </cell>
          <cell r="B951" t="str">
            <v>一级</v>
          </cell>
          <cell r="C951" t="str">
            <v>西气东输三线</v>
          </cell>
          <cell r="D951" t="str">
            <v>长沙支线</v>
          </cell>
        </row>
        <row r="952">
          <cell r="A952" t="str">
            <v>长沙2#阀室</v>
          </cell>
          <cell r="B952" t="str">
            <v>一级</v>
          </cell>
          <cell r="C952" t="str">
            <v>西气东输三线</v>
          </cell>
          <cell r="D952" t="str">
            <v>长沙支线</v>
          </cell>
        </row>
        <row r="953">
          <cell r="A953" t="str">
            <v>望城末站</v>
          </cell>
          <cell r="B953" t="str">
            <v>一级</v>
          </cell>
          <cell r="C953" t="str">
            <v>西气东输三线</v>
          </cell>
          <cell r="D953" t="str">
            <v>长沙支线</v>
          </cell>
        </row>
        <row r="954">
          <cell r="A954" t="str">
            <v>增城分输站</v>
          </cell>
          <cell r="B954" t="str">
            <v>一级</v>
          </cell>
          <cell r="C954" t="str">
            <v>西气东输三线</v>
          </cell>
          <cell r="D954" t="str">
            <v>闽粤支干线</v>
          </cell>
        </row>
        <row r="955">
          <cell r="A955" t="str">
            <v>闽粤1#阀室</v>
          </cell>
          <cell r="B955" t="str">
            <v>一级</v>
          </cell>
          <cell r="C955" t="str">
            <v>西气东输三线</v>
          </cell>
          <cell r="D955" t="str">
            <v>闽粤支干线</v>
          </cell>
        </row>
        <row r="956">
          <cell r="A956" t="str">
            <v>闽粤2#阀室</v>
          </cell>
          <cell r="B956" t="str">
            <v>一级</v>
          </cell>
          <cell r="C956" t="str">
            <v>西气东输三线</v>
          </cell>
          <cell r="D956" t="str">
            <v>闽粤支干线</v>
          </cell>
        </row>
        <row r="957">
          <cell r="A957" t="str">
            <v>闽粤3#阀室</v>
          </cell>
          <cell r="B957" t="str">
            <v>一级</v>
          </cell>
          <cell r="C957" t="str">
            <v>西气东输三线</v>
          </cell>
          <cell r="D957" t="str">
            <v>闽粤支干线</v>
          </cell>
        </row>
        <row r="958">
          <cell r="A958" t="str">
            <v>闽粤4#阀室</v>
          </cell>
          <cell r="B958" t="str">
            <v>一级</v>
          </cell>
          <cell r="C958" t="str">
            <v>西气东输三线</v>
          </cell>
          <cell r="D958" t="str">
            <v>闽粤支干线</v>
          </cell>
        </row>
        <row r="959">
          <cell r="A959" t="str">
            <v>河源分输站</v>
          </cell>
          <cell r="B959" t="str">
            <v>一级</v>
          </cell>
          <cell r="C959" t="str">
            <v>西气东输三线</v>
          </cell>
          <cell r="D959" t="str">
            <v>闽粤支干线</v>
          </cell>
        </row>
        <row r="960">
          <cell r="A960" t="str">
            <v>闽粤5#阀室</v>
          </cell>
          <cell r="B960" t="str">
            <v>一级</v>
          </cell>
          <cell r="C960" t="str">
            <v>西气东输三线</v>
          </cell>
          <cell r="D960" t="str">
            <v>闽粤支干线</v>
          </cell>
        </row>
        <row r="961">
          <cell r="A961" t="str">
            <v>闽粤6#阀室</v>
          </cell>
          <cell r="B961" t="str">
            <v>一级</v>
          </cell>
          <cell r="C961" t="str">
            <v>西气东输三线</v>
          </cell>
          <cell r="D961" t="str">
            <v>闽粤支干线</v>
          </cell>
        </row>
        <row r="962">
          <cell r="A962" t="str">
            <v>闽粤7#阀室</v>
          </cell>
          <cell r="B962" t="str">
            <v>一级</v>
          </cell>
          <cell r="C962" t="str">
            <v>西气东输三线</v>
          </cell>
          <cell r="D962" t="str">
            <v>闽粤支干线</v>
          </cell>
        </row>
        <row r="963">
          <cell r="A963" t="str">
            <v>闽粤8#阀室</v>
          </cell>
          <cell r="B963" t="str">
            <v>一级</v>
          </cell>
          <cell r="C963" t="str">
            <v>西气东输三线</v>
          </cell>
          <cell r="D963" t="str">
            <v>闽粤支干线</v>
          </cell>
        </row>
        <row r="964">
          <cell r="A964" t="str">
            <v>闽粤9#阀室</v>
          </cell>
          <cell r="B964" t="str">
            <v>一级</v>
          </cell>
          <cell r="C964" t="str">
            <v>西气东输三线</v>
          </cell>
          <cell r="D964" t="str">
            <v>闽粤支干线</v>
          </cell>
        </row>
        <row r="965">
          <cell r="A965" t="str">
            <v>闽粤10#阀室</v>
          </cell>
          <cell r="B965" t="str">
            <v>一级</v>
          </cell>
          <cell r="C965" t="str">
            <v>西气东输三线</v>
          </cell>
          <cell r="D965" t="str">
            <v>闽粤支干线</v>
          </cell>
        </row>
        <row r="966">
          <cell r="A966" t="str">
            <v>闽粤11#阀室</v>
          </cell>
          <cell r="B966" t="str">
            <v>一级</v>
          </cell>
          <cell r="C966" t="str">
            <v>西气东输三线</v>
          </cell>
          <cell r="D966" t="str">
            <v>闽粤支干线</v>
          </cell>
        </row>
        <row r="967">
          <cell r="A967" t="str">
            <v>闽粤12#阀室</v>
          </cell>
          <cell r="B967" t="str">
            <v>一级</v>
          </cell>
          <cell r="C967" t="str">
            <v>西气东输三线</v>
          </cell>
          <cell r="D967" t="str">
            <v>闽粤支干线</v>
          </cell>
        </row>
        <row r="968">
          <cell r="A968" t="str">
            <v>闽粤13#阀室</v>
          </cell>
          <cell r="B968" t="str">
            <v>一级</v>
          </cell>
          <cell r="C968" t="str">
            <v>西气东输三线</v>
          </cell>
          <cell r="D968" t="str">
            <v>闽粤支干线</v>
          </cell>
        </row>
        <row r="969">
          <cell r="A969" t="str">
            <v>闽粤14#阀室</v>
          </cell>
          <cell r="B969" t="str">
            <v>一级</v>
          </cell>
          <cell r="C969" t="str">
            <v>西气东输三线</v>
          </cell>
          <cell r="D969" t="str">
            <v>闽粤支干线</v>
          </cell>
        </row>
        <row r="970">
          <cell r="A970" t="str">
            <v>闽粤15#阀室</v>
          </cell>
          <cell r="B970" t="str">
            <v>一级</v>
          </cell>
          <cell r="C970" t="str">
            <v>西气东输三线</v>
          </cell>
          <cell r="D970" t="str">
            <v>闽粤支干线</v>
          </cell>
        </row>
        <row r="971">
          <cell r="A971" t="str">
            <v>揭阳分输站</v>
          </cell>
          <cell r="B971" t="str">
            <v>一级</v>
          </cell>
          <cell r="C971" t="str">
            <v>西气东输三线</v>
          </cell>
          <cell r="D971" t="str">
            <v>闽粤支干线</v>
          </cell>
        </row>
        <row r="972">
          <cell r="A972" t="str">
            <v>闽粤16#阀室</v>
          </cell>
          <cell r="B972" t="str">
            <v>一级</v>
          </cell>
          <cell r="C972" t="str">
            <v>西气东输三线</v>
          </cell>
          <cell r="D972" t="str">
            <v>闽粤支干线</v>
          </cell>
        </row>
        <row r="973">
          <cell r="A973" t="str">
            <v>闽粤17#阀室</v>
          </cell>
          <cell r="B973" t="str">
            <v>一级</v>
          </cell>
          <cell r="C973" t="str">
            <v>西气东输三线</v>
          </cell>
          <cell r="D973" t="str">
            <v>闽粤支干线</v>
          </cell>
        </row>
        <row r="974">
          <cell r="A974" t="str">
            <v>潮州分输站</v>
          </cell>
          <cell r="B974" t="str">
            <v>一级</v>
          </cell>
          <cell r="C974" t="str">
            <v>西气东输三线</v>
          </cell>
          <cell r="D974" t="str">
            <v>闽粤支干线</v>
          </cell>
        </row>
        <row r="975">
          <cell r="A975" t="str">
            <v>东田分输站</v>
          </cell>
          <cell r="B975" t="str">
            <v>一级</v>
          </cell>
          <cell r="C975" t="str">
            <v>西气东输三线</v>
          </cell>
          <cell r="D975" t="str">
            <v>德化联通工程</v>
          </cell>
        </row>
        <row r="976">
          <cell r="A976" t="str">
            <v>南安分输联络站</v>
          </cell>
          <cell r="B976" t="str">
            <v>一级</v>
          </cell>
          <cell r="C976" t="str">
            <v>西气东输三线</v>
          </cell>
          <cell r="D976" t="str">
            <v>德化联通工程</v>
          </cell>
        </row>
        <row r="977">
          <cell r="A977" t="str">
            <v>福州末站</v>
          </cell>
          <cell r="B977" t="str">
            <v>一级</v>
          </cell>
          <cell r="C977" t="str">
            <v>西气东输三线</v>
          </cell>
          <cell r="D977" t="str">
            <v>福州联络线</v>
          </cell>
        </row>
        <row r="978">
          <cell r="A978" t="str">
            <v>中海油青口分输站</v>
          </cell>
          <cell r="B978" t="str">
            <v>一级</v>
          </cell>
          <cell r="C978" t="str">
            <v>西气东输三线</v>
          </cell>
          <cell r="D978" t="str">
            <v>福州联络线</v>
          </cell>
        </row>
        <row r="979">
          <cell r="A979" t="str">
            <v>枣阳压气站</v>
          </cell>
        </row>
        <row r="979">
          <cell r="C979" t="str">
            <v>西气东输三线</v>
          </cell>
          <cell r="D979" t="str">
            <v>西三线干线中段</v>
          </cell>
        </row>
        <row r="980">
          <cell r="A980" t="str">
            <v>西三131#阀室</v>
          </cell>
        </row>
        <row r="980">
          <cell r="C980" t="str">
            <v>西气东输三线</v>
          </cell>
          <cell r="D980" t="str">
            <v>西三线干线中段</v>
          </cell>
        </row>
        <row r="981">
          <cell r="A981" t="str">
            <v>西三132#阀室</v>
          </cell>
        </row>
        <row r="981">
          <cell r="C981" t="str">
            <v>西气东输三线</v>
          </cell>
          <cell r="D981" t="str">
            <v>西三线干线中段</v>
          </cell>
        </row>
        <row r="982">
          <cell r="A982" t="str">
            <v>西三133#阀室</v>
          </cell>
        </row>
        <row r="982">
          <cell r="C982" t="str">
            <v>西气东输三线</v>
          </cell>
          <cell r="D982" t="str">
            <v>西三线干线中段</v>
          </cell>
        </row>
        <row r="983">
          <cell r="A983" t="str">
            <v>西三134#阀室</v>
          </cell>
        </row>
        <row r="983">
          <cell r="C983" t="str">
            <v>西气东输三线</v>
          </cell>
          <cell r="D983" t="str">
            <v>西三线干线中段</v>
          </cell>
        </row>
        <row r="984">
          <cell r="A984" t="str">
            <v>西三135#阀室</v>
          </cell>
        </row>
        <row r="984">
          <cell r="C984" t="str">
            <v>西气东输三线</v>
          </cell>
          <cell r="D984" t="str">
            <v>西三线干线中段</v>
          </cell>
        </row>
        <row r="985">
          <cell r="A985" t="str">
            <v>西三136#阀室</v>
          </cell>
        </row>
        <row r="985">
          <cell r="C985" t="str">
            <v>西气东输三线</v>
          </cell>
          <cell r="D985" t="str">
            <v>西三线干线中段</v>
          </cell>
        </row>
        <row r="986">
          <cell r="A986" t="str">
            <v>西三137#阀室</v>
          </cell>
        </row>
        <row r="986">
          <cell r="C986" t="str">
            <v>西气东输三线</v>
          </cell>
          <cell r="D986" t="str">
            <v>西三线干线中段</v>
          </cell>
        </row>
        <row r="987">
          <cell r="A987" t="str">
            <v>西三138#阀室</v>
          </cell>
        </row>
        <row r="987">
          <cell r="C987" t="str">
            <v>西气东输三线</v>
          </cell>
          <cell r="D987" t="str">
            <v>西三线干线中段</v>
          </cell>
        </row>
        <row r="988">
          <cell r="A988" t="str">
            <v>京山分输站</v>
          </cell>
        </row>
        <row r="988">
          <cell r="C988" t="str">
            <v>西气东输三线</v>
          </cell>
          <cell r="D988" t="str">
            <v>西三线干线中段</v>
          </cell>
        </row>
        <row r="989">
          <cell r="A989" t="str">
            <v>西三139#阀室</v>
          </cell>
        </row>
        <row r="989">
          <cell r="C989" t="str">
            <v>西气东输三线</v>
          </cell>
          <cell r="D989" t="str">
            <v>西三线干线中段</v>
          </cell>
        </row>
        <row r="990">
          <cell r="A990" t="str">
            <v>西三140#阀室</v>
          </cell>
        </row>
        <row r="990">
          <cell r="C990" t="str">
            <v>西气东输三线</v>
          </cell>
          <cell r="D990" t="str">
            <v>西三线干线中段</v>
          </cell>
        </row>
        <row r="991">
          <cell r="A991" t="str">
            <v>西三141#阀室</v>
          </cell>
        </row>
        <row r="991">
          <cell r="C991" t="str">
            <v>西气东输三线</v>
          </cell>
          <cell r="D991" t="str">
            <v>西三线干线中段</v>
          </cell>
        </row>
        <row r="992">
          <cell r="A992" t="str">
            <v>西三142#阀室</v>
          </cell>
        </row>
        <row r="992">
          <cell r="C992" t="str">
            <v>西气东输三线</v>
          </cell>
          <cell r="D992" t="str">
            <v>西三线干线中段</v>
          </cell>
        </row>
        <row r="993">
          <cell r="A993" t="str">
            <v>仙桃联络站</v>
          </cell>
        </row>
        <row r="993">
          <cell r="C993" t="str">
            <v>西气东输三线</v>
          </cell>
          <cell r="D993" t="str">
            <v>西三线干线中段</v>
          </cell>
        </row>
        <row r="994">
          <cell r="A994" t="str">
            <v>仙桃联络站</v>
          </cell>
        </row>
        <row r="994">
          <cell r="C994" t="str">
            <v>西气东输三线</v>
          </cell>
          <cell r="D994" t="str">
            <v>仙桃-潜江联络线</v>
          </cell>
        </row>
        <row r="995">
          <cell r="A995" t="str">
            <v>新气管道潜江站</v>
          </cell>
        </row>
        <row r="995">
          <cell r="C995" t="str">
            <v>西气东输三线</v>
          </cell>
          <cell r="D995" t="str">
            <v>仙桃-潜江联络线</v>
          </cell>
        </row>
        <row r="996">
          <cell r="A996" t="str">
            <v>深圳LNG首站</v>
          </cell>
          <cell r="B996" t="str">
            <v>一级</v>
          </cell>
          <cell r="C996" t="str">
            <v>深圳LNG外输管道</v>
          </cell>
          <cell r="D996" t="str">
            <v>深圳LNG外输管道</v>
          </cell>
        </row>
        <row r="997">
          <cell r="A997" t="str">
            <v>深圳LNG1#阀室</v>
          </cell>
          <cell r="B997" t="str">
            <v>一级</v>
          </cell>
          <cell r="C997" t="str">
            <v>深圳LNG外输管道</v>
          </cell>
          <cell r="D997" t="str">
            <v>深圳LNG外输管道</v>
          </cell>
        </row>
        <row r="998">
          <cell r="A998" t="str">
            <v>深圳LNG2#阀室</v>
          </cell>
          <cell r="B998" t="str">
            <v>一级</v>
          </cell>
          <cell r="C998" t="str">
            <v>深圳LNG外输管道</v>
          </cell>
          <cell r="D998" t="str">
            <v>深圳LNG外输管道</v>
          </cell>
        </row>
        <row r="999">
          <cell r="A999" t="str">
            <v>深圳LNG3#阀室</v>
          </cell>
          <cell r="B999" t="str">
            <v>一级</v>
          </cell>
          <cell r="C999" t="str">
            <v>深圳LNG外输管道</v>
          </cell>
          <cell r="D999" t="str">
            <v>深圳LNG外输管道</v>
          </cell>
        </row>
        <row r="1000">
          <cell r="A1000" t="str">
            <v>深圳LNG4#阀室</v>
          </cell>
          <cell r="B1000" t="str">
            <v>一级</v>
          </cell>
          <cell r="C1000" t="str">
            <v>深圳LNG外输管道</v>
          </cell>
          <cell r="D1000" t="str">
            <v>深圳LNG外输管道</v>
          </cell>
        </row>
        <row r="1001">
          <cell r="A1001" t="str">
            <v>深圳LNG5#阀室</v>
          </cell>
          <cell r="B1001" t="str">
            <v>一级</v>
          </cell>
          <cell r="C1001" t="str">
            <v>深圳LNG外输管道</v>
          </cell>
          <cell r="D1001" t="str">
            <v>深圳LNG外输管道</v>
          </cell>
        </row>
        <row r="1002">
          <cell r="A1002" t="str">
            <v>清溪清管站</v>
          </cell>
          <cell r="B1002" t="str">
            <v>一级</v>
          </cell>
          <cell r="C1002" t="str">
            <v>深圳LNG外输管道</v>
          </cell>
          <cell r="D1002" t="str">
            <v>深圳LNG外输管道</v>
          </cell>
        </row>
        <row r="1003">
          <cell r="A1003" t="str">
            <v>广深樟木头-12#阀室之间</v>
          </cell>
          <cell r="B1003" t="str">
            <v>一级</v>
          </cell>
          <cell r="C1003" t="str">
            <v>深圳LNG外输管道</v>
          </cell>
          <cell r="D1003" t="str">
            <v>深圳LNG外输管道</v>
          </cell>
        </row>
        <row r="1004">
          <cell r="A1004" t="str">
            <v>陕京靖边首站</v>
          </cell>
          <cell r="B1004" t="str">
            <v>一级</v>
          </cell>
          <cell r="C1004" t="str">
            <v>陕京一线</v>
          </cell>
          <cell r="D1004" t="str">
            <v>陕京一线干线</v>
          </cell>
        </row>
        <row r="1005">
          <cell r="A1005" t="str">
            <v>小界则阀室</v>
          </cell>
          <cell r="B1005" t="str">
            <v>一级</v>
          </cell>
          <cell r="C1005" t="str">
            <v>陕京一线</v>
          </cell>
          <cell r="D1005" t="str">
            <v>陕京一线干线</v>
          </cell>
        </row>
        <row r="1006">
          <cell r="A1006" t="str">
            <v>打雁峁阀室</v>
          </cell>
          <cell r="B1006" t="str">
            <v>一级</v>
          </cell>
          <cell r="C1006" t="str">
            <v>陕京一线</v>
          </cell>
          <cell r="D1006" t="str">
            <v>陕京一线干线</v>
          </cell>
        </row>
        <row r="1007">
          <cell r="A1007" t="str">
            <v>脑海圪堵阀室</v>
          </cell>
          <cell r="B1007" t="str">
            <v>一级</v>
          </cell>
          <cell r="C1007" t="str">
            <v>陕京一线</v>
          </cell>
          <cell r="D1007" t="str">
            <v>陕京一线干线</v>
          </cell>
        </row>
        <row r="1008">
          <cell r="A1008" t="str">
            <v>乔家峁阀室</v>
          </cell>
          <cell r="B1008" t="str">
            <v>一级</v>
          </cell>
          <cell r="C1008" t="str">
            <v>陕京一线</v>
          </cell>
          <cell r="D1008" t="str">
            <v>陕京一线干线</v>
          </cell>
        </row>
        <row r="1009">
          <cell r="A1009" t="str">
            <v>榆林压气站</v>
          </cell>
          <cell r="B1009" t="str">
            <v>一级</v>
          </cell>
          <cell r="C1009" t="str">
            <v>陕京一线</v>
          </cell>
          <cell r="D1009" t="str">
            <v>陕京一线干线</v>
          </cell>
        </row>
        <row r="1010">
          <cell r="A1010" t="str">
            <v>金鸡滩分输站</v>
          </cell>
          <cell r="B1010" t="str">
            <v>一级</v>
          </cell>
          <cell r="C1010" t="str">
            <v>陕京一线</v>
          </cell>
          <cell r="D1010" t="str">
            <v>陕京一线干线</v>
          </cell>
        </row>
        <row r="1011">
          <cell r="A1011" t="str">
            <v>大保当分输站</v>
          </cell>
          <cell r="B1011" t="str">
            <v>一级</v>
          </cell>
          <cell r="C1011" t="str">
            <v>陕京一线</v>
          </cell>
          <cell r="D1011" t="str">
            <v>陕京一线干线</v>
          </cell>
        </row>
        <row r="1012">
          <cell r="A1012" t="str">
            <v>马场分输站</v>
          </cell>
          <cell r="B1012" t="str">
            <v>一级</v>
          </cell>
          <cell r="C1012" t="str">
            <v>陕京一线</v>
          </cell>
          <cell r="D1012" t="str">
            <v>陕京一线干线</v>
          </cell>
        </row>
        <row r="1013">
          <cell r="A1013" t="str">
            <v>三道河阀室</v>
          </cell>
          <cell r="B1013" t="str">
            <v>一级</v>
          </cell>
          <cell r="C1013" t="str">
            <v>陕京一线</v>
          </cell>
          <cell r="D1013" t="str">
            <v>陕京一线干线</v>
          </cell>
        </row>
        <row r="1014">
          <cell r="A1014" t="str">
            <v>神木分输站</v>
          </cell>
          <cell r="B1014" t="str">
            <v>一级</v>
          </cell>
          <cell r="C1014" t="str">
            <v>陕京一线</v>
          </cell>
          <cell r="D1014" t="str">
            <v>陕京一线干线</v>
          </cell>
        </row>
        <row r="1015">
          <cell r="A1015" t="str">
            <v>马梁湾阀室</v>
          </cell>
          <cell r="B1015" t="str">
            <v>一级</v>
          </cell>
          <cell r="C1015" t="str">
            <v>陕京一线</v>
          </cell>
          <cell r="D1015" t="str">
            <v>陕京一线干线</v>
          </cell>
        </row>
        <row r="1016">
          <cell r="A1016" t="str">
            <v>永兴公社阀室</v>
          </cell>
          <cell r="B1016" t="str">
            <v>一级</v>
          </cell>
          <cell r="C1016" t="str">
            <v>陕京一线</v>
          </cell>
          <cell r="D1016" t="str">
            <v>陕京一线干线</v>
          </cell>
        </row>
        <row r="1017">
          <cell r="A1017" t="str">
            <v>黄家梁阀室</v>
          </cell>
          <cell r="B1017" t="str">
            <v>一级</v>
          </cell>
          <cell r="C1017" t="str">
            <v>陕京一线</v>
          </cell>
          <cell r="D1017" t="str">
            <v>陕京一线干线</v>
          </cell>
        </row>
        <row r="1018">
          <cell r="A1018" t="str">
            <v>小疙瘩阀室</v>
          </cell>
          <cell r="B1018" t="str">
            <v>一级</v>
          </cell>
          <cell r="C1018" t="str">
            <v>陕京一线</v>
          </cell>
          <cell r="D1018" t="str">
            <v>陕京一线干线</v>
          </cell>
        </row>
        <row r="1019">
          <cell r="A1019" t="str">
            <v>府谷压气站</v>
          </cell>
          <cell r="B1019" t="str">
            <v>一级</v>
          </cell>
          <cell r="C1019" t="str">
            <v>陕京一线</v>
          </cell>
          <cell r="D1019" t="str">
            <v>陕京一线干线</v>
          </cell>
        </row>
        <row r="1020">
          <cell r="A1020" t="str">
            <v>刘家畔阀室</v>
          </cell>
          <cell r="B1020" t="str">
            <v>一级</v>
          </cell>
          <cell r="C1020" t="str">
            <v>陕京一线</v>
          </cell>
          <cell r="D1020" t="str">
            <v>陕京一线干线</v>
          </cell>
        </row>
        <row r="1021">
          <cell r="A1021" t="str">
            <v>沙泉阀室</v>
          </cell>
          <cell r="B1021" t="str">
            <v>一级</v>
          </cell>
          <cell r="C1021" t="str">
            <v>陕京一线</v>
          </cell>
          <cell r="D1021" t="str">
            <v>陕京一线干线</v>
          </cell>
        </row>
        <row r="1022">
          <cell r="A1022" t="str">
            <v>三岔阀室</v>
          </cell>
          <cell r="B1022" t="str">
            <v>一级</v>
          </cell>
          <cell r="C1022" t="str">
            <v>陕京一线</v>
          </cell>
          <cell r="D1022" t="str">
            <v>陕京一线干线</v>
          </cell>
        </row>
        <row r="1023">
          <cell r="A1023" t="str">
            <v>大黑庄阀室</v>
          </cell>
          <cell r="B1023" t="str">
            <v>一级</v>
          </cell>
          <cell r="C1023" t="str">
            <v>陕京一线</v>
          </cell>
          <cell r="D1023" t="str">
            <v>陕京一线干线</v>
          </cell>
        </row>
        <row r="1024">
          <cell r="A1024" t="str">
            <v>神池分输站</v>
          </cell>
          <cell r="B1024" t="str">
            <v>一级</v>
          </cell>
          <cell r="C1024" t="str">
            <v>陕京一线</v>
          </cell>
          <cell r="D1024" t="str">
            <v>陕京一线干线</v>
          </cell>
        </row>
        <row r="1025">
          <cell r="A1025" t="str">
            <v>朔州分输站</v>
          </cell>
          <cell r="B1025" t="str">
            <v>一级</v>
          </cell>
          <cell r="C1025" t="str">
            <v>陕京一线</v>
          </cell>
          <cell r="D1025" t="str">
            <v>陕京一线干线</v>
          </cell>
        </row>
        <row r="1026">
          <cell r="A1026" t="str">
            <v>黑疙瘩乡阀室</v>
          </cell>
          <cell r="B1026" t="str">
            <v>一级</v>
          </cell>
          <cell r="C1026" t="str">
            <v>陕京一线</v>
          </cell>
          <cell r="D1026" t="str">
            <v>陕京一线干线</v>
          </cell>
        </row>
        <row r="1027">
          <cell r="A1027" t="str">
            <v>应县压气站</v>
          </cell>
          <cell r="B1027" t="str">
            <v>一级</v>
          </cell>
          <cell r="C1027" t="str">
            <v>陕京一线</v>
          </cell>
          <cell r="D1027" t="str">
            <v>陕京一线干线</v>
          </cell>
        </row>
        <row r="1028">
          <cell r="A1028" t="str">
            <v>罗庄阀室</v>
          </cell>
          <cell r="B1028" t="str">
            <v>一级</v>
          </cell>
          <cell r="C1028" t="str">
            <v>陕京一线</v>
          </cell>
          <cell r="D1028" t="str">
            <v>陕京一线干线</v>
          </cell>
        </row>
        <row r="1029">
          <cell r="A1029" t="str">
            <v>郝家寨1#阀室</v>
          </cell>
          <cell r="B1029" t="str">
            <v>一级</v>
          </cell>
          <cell r="C1029" t="str">
            <v>陕京一线</v>
          </cell>
          <cell r="D1029" t="str">
            <v>陕京一线干线</v>
          </cell>
        </row>
        <row r="1030">
          <cell r="A1030" t="str">
            <v>郝家寨2#阀室</v>
          </cell>
          <cell r="B1030" t="str">
            <v>一级</v>
          </cell>
          <cell r="C1030" t="str">
            <v>陕京一线</v>
          </cell>
          <cell r="D1030" t="str">
            <v>陕京一线干线</v>
          </cell>
        </row>
        <row r="1031">
          <cell r="A1031" t="str">
            <v>中庄铺阀室</v>
          </cell>
          <cell r="B1031" t="str">
            <v>一级</v>
          </cell>
          <cell r="C1031" t="str">
            <v>陕京一线</v>
          </cell>
          <cell r="D1031" t="str">
            <v>陕京一线干线</v>
          </cell>
        </row>
        <row r="1032">
          <cell r="A1032" t="str">
            <v>西会村阀室</v>
          </cell>
          <cell r="B1032" t="str">
            <v>一级</v>
          </cell>
          <cell r="C1032" t="str">
            <v>陕京一线</v>
          </cell>
          <cell r="D1032" t="str">
            <v>陕京一线干线</v>
          </cell>
        </row>
        <row r="1033">
          <cell r="A1033" t="str">
            <v>灵丘分输站</v>
          </cell>
          <cell r="B1033" t="str">
            <v>一级</v>
          </cell>
          <cell r="C1033" t="str">
            <v>陕京一线</v>
          </cell>
          <cell r="D1033" t="str">
            <v>陕京一线干线</v>
          </cell>
        </row>
        <row r="1034">
          <cell r="A1034" t="str">
            <v>巨羊坨阀室</v>
          </cell>
          <cell r="B1034" t="str">
            <v>一级</v>
          </cell>
          <cell r="C1034" t="str">
            <v>陕京一线</v>
          </cell>
          <cell r="D1034" t="str">
            <v>陕京一线干线</v>
          </cell>
        </row>
        <row r="1035">
          <cell r="A1035" t="str">
            <v>云彩岭阀室</v>
          </cell>
          <cell r="B1035" t="str">
            <v>一级</v>
          </cell>
          <cell r="C1035" t="str">
            <v>陕京一线</v>
          </cell>
          <cell r="D1035" t="str">
            <v>陕京一线干线</v>
          </cell>
        </row>
        <row r="1036">
          <cell r="A1036" t="str">
            <v>红泉村阀室</v>
          </cell>
          <cell r="B1036" t="str">
            <v>一级</v>
          </cell>
          <cell r="C1036" t="str">
            <v>陕京一线</v>
          </cell>
          <cell r="D1036" t="str">
            <v>陕京一线干线</v>
          </cell>
        </row>
        <row r="1037">
          <cell r="A1037" t="str">
            <v>杜村阀室</v>
          </cell>
          <cell r="B1037" t="str">
            <v>一级</v>
          </cell>
          <cell r="C1037" t="str">
            <v>陕京一线</v>
          </cell>
          <cell r="D1037" t="str">
            <v>陕京一线干线</v>
          </cell>
        </row>
        <row r="1038">
          <cell r="A1038" t="str">
            <v>铁岭阀室</v>
          </cell>
          <cell r="B1038" t="str">
            <v>一级</v>
          </cell>
          <cell r="C1038" t="str">
            <v>陕京一线</v>
          </cell>
          <cell r="D1038" t="str">
            <v>陕京一线干线</v>
          </cell>
        </row>
        <row r="1039">
          <cell r="A1039" t="str">
            <v>小河乡阀室</v>
          </cell>
          <cell r="B1039" t="str">
            <v>一级</v>
          </cell>
          <cell r="C1039" t="str">
            <v>陕京一线</v>
          </cell>
          <cell r="D1039" t="str">
            <v>陕京一线干线</v>
          </cell>
        </row>
        <row r="1040">
          <cell r="A1040" t="str">
            <v>王安镇阀室</v>
          </cell>
          <cell r="B1040" t="str">
            <v>一级</v>
          </cell>
          <cell r="C1040" t="str">
            <v>陕京一线</v>
          </cell>
          <cell r="D1040" t="str">
            <v>陕京一线干线</v>
          </cell>
        </row>
        <row r="1041">
          <cell r="A1041" t="str">
            <v>紫荆关清管站</v>
          </cell>
          <cell r="B1041" t="str">
            <v>一级</v>
          </cell>
          <cell r="C1041" t="str">
            <v>陕京一线</v>
          </cell>
          <cell r="D1041" t="str">
            <v>陕京一线干线</v>
          </cell>
        </row>
        <row r="1042">
          <cell r="A1042" t="str">
            <v>新畔石村阀室</v>
          </cell>
          <cell r="B1042" t="str">
            <v>一级</v>
          </cell>
          <cell r="C1042" t="str">
            <v>陕京一线</v>
          </cell>
          <cell r="D1042" t="str">
            <v>陕京一线干线</v>
          </cell>
        </row>
        <row r="1043">
          <cell r="A1043" t="str">
            <v>西山北阀室</v>
          </cell>
          <cell r="B1043" t="str">
            <v>一级</v>
          </cell>
          <cell r="C1043" t="str">
            <v>陕京一线</v>
          </cell>
          <cell r="D1043" t="str">
            <v>陕京一线干线</v>
          </cell>
        </row>
        <row r="1044">
          <cell r="A1044" t="str">
            <v>涿州分输站</v>
          </cell>
          <cell r="B1044" t="str">
            <v>一级</v>
          </cell>
          <cell r="C1044" t="str">
            <v>陕京一线</v>
          </cell>
          <cell r="D1044" t="str">
            <v>陕京一线干线</v>
          </cell>
        </row>
        <row r="1045">
          <cell r="A1045" t="str">
            <v>琉璃河分输站</v>
          </cell>
          <cell r="B1045" t="str">
            <v>一级</v>
          </cell>
          <cell r="C1045" t="str">
            <v>陕京一线</v>
          </cell>
          <cell r="D1045" t="str">
            <v>陕京一线干线</v>
          </cell>
        </row>
        <row r="1046">
          <cell r="A1046" t="str">
            <v>炒米店阀室</v>
          </cell>
          <cell r="B1046" t="str">
            <v>一级</v>
          </cell>
          <cell r="C1046" t="str">
            <v>陕京一线</v>
          </cell>
          <cell r="D1046" t="str">
            <v>陕京一线干线</v>
          </cell>
        </row>
        <row r="1047">
          <cell r="A1047" t="str">
            <v>王村阀室</v>
          </cell>
          <cell r="B1047" t="str">
            <v>一级</v>
          </cell>
          <cell r="C1047" t="str">
            <v>陕京一线</v>
          </cell>
          <cell r="D1047" t="str">
            <v>陕京一线干线</v>
          </cell>
        </row>
        <row r="1048">
          <cell r="A1048" t="str">
            <v>吕村阀室</v>
          </cell>
          <cell r="B1048" t="str">
            <v>一级</v>
          </cell>
          <cell r="C1048" t="str">
            <v>陕京一线</v>
          </cell>
          <cell r="D1048" t="str">
            <v>陕京一线干线</v>
          </cell>
        </row>
        <row r="1049">
          <cell r="A1049" t="str">
            <v>石景山分输站</v>
          </cell>
          <cell r="B1049" t="str">
            <v>一级</v>
          </cell>
          <cell r="C1049" t="str">
            <v>陕京一线</v>
          </cell>
          <cell r="D1049" t="str">
            <v>陕京一线干线</v>
          </cell>
        </row>
        <row r="1050">
          <cell r="A1050" t="str">
            <v>莲池分输站</v>
          </cell>
          <cell r="B1050" t="str">
            <v>一级</v>
          </cell>
          <cell r="C1050" t="str">
            <v>陕京一线</v>
          </cell>
          <cell r="D1050" t="str">
            <v>琉璃河-永清支线</v>
          </cell>
        </row>
        <row r="1051">
          <cell r="A1051" t="str">
            <v>宫村阀室</v>
          </cell>
          <cell r="B1051" t="str">
            <v>一级</v>
          </cell>
          <cell r="C1051" t="str">
            <v>陕京一线</v>
          </cell>
          <cell r="D1051" t="str">
            <v>琉璃河-永清支线</v>
          </cell>
        </row>
        <row r="1052">
          <cell r="A1052" t="str">
            <v>大韩寨阀室</v>
          </cell>
          <cell r="B1052" t="str">
            <v>一级</v>
          </cell>
          <cell r="C1052" t="str">
            <v>陕京一线</v>
          </cell>
          <cell r="D1052" t="str">
            <v>琉璃河-永清支线</v>
          </cell>
        </row>
        <row r="1053">
          <cell r="A1053" t="str">
            <v>永清分输站</v>
          </cell>
          <cell r="B1053" t="str">
            <v>一级</v>
          </cell>
          <cell r="C1053" t="str">
            <v>陕京一线</v>
          </cell>
          <cell r="D1053" t="str">
            <v>琉璃河-永清支线</v>
          </cell>
        </row>
        <row r="1054">
          <cell r="A1054" t="str">
            <v>陕二A#阀室</v>
          </cell>
          <cell r="B1054" t="str">
            <v>一级</v>
          </cell>
          <cell r="C1054" t="str">
            <v>陕京二线</v>
          </cell>
          <cell r="D1054" t="str">
            <v>陕京二线干线</v>
          </cell>
        </row>
        <row r="1055">
          <cell r="A1055" t="str">
            <v>陕二B#阀室</v>
          </cell>
          <cell r="B1055" t="str">
            <v>一级</v>
          </cell>
          <cell r="C1055" t="str">
            <v>陕京二线</v>
          </cell>
          <cell r="D1055" t="str">
            <v>陕京二线干线</v>
          </cell>
        </row>
        <row r="1056">
          <cell r="A1056" t="str">
            <v>陕二C#阀室</v>
          </cell>
          <cell r="B1056" t="str">
            <v>一级</v>
          </cell>
          <cell r="C1056" t="str">
            <v>陕京二线</v>
          </cell>
          <cell r="D1056" t="str">
            <v>陕京二线干线</v>
          </cell>
        </row>
        <row r="1057">
          <cell r="A1057" t="str">
            <v>陕二1#阀室</v>
          </cell>
          <cell r="B1057" t="str">
            <v>一级</v>
          </cell>
          <cell r="C1057" t="str">
            <v>陕京二线</v>
          </cell>
          <cell r="D1057" t="str">
            <v>陕京二线干线</v>
          </cell>
        </row>
        <row r="1058">
          <cell r="A1058" t="str">
            <v>陕二2#阀室</v>
          </cell>
          <cell r="B1058" t="str">
            <v>一级</v>
          </cell>
          <cell r="C1058" t="str">
            <v>陕京二线</v>
          </cell>
          <cell r="D1058" t="str">
            <v>陕京二线干线</v>
          </cell>
        </row>
        <row r="1059">
          <cell r="A1059" t="str">
            <v>榆阳分输站</v>
          </cell>
          <cell r="B1059" t="str">
            <v>一级</v>
          </cell>
          <cell r="C1059" t="str">
            <v>陕京二线</v>
          </cell>
          <cell r="D1059" t="str">
            <v>陕京二线干线</v>
          </cell>
        </row>
        <row r="1060">
          <cell r="A1060" t="str">
            <v>陕二3#阀室</v>
          </cell>
          <cell r="B1060" t="str">
            <v>一级</v>
          </cell>
          <cell r="C1060" t="str">
            <v>陕京二线</v>
          </cell>
          <cell r="D1060" t="str">
            <v>陕京二线干线</v>
          </cell>
        </row>
        <row r="1061">
          <cell r="A1061" t="str">
            <v>陕二4#阀室</v>
          </cell>
          <cell r="B1061" t="str">
            <v>一级</v>
          </cell>
          <cell r="C1061" t="str">
            <v>陕京二线</v>
          </cell>
          <cell r="D1061" t="str">
            <v>陕京二线干线</v>
          </cell>
        </row>
        <row r="1062">
          <cell r="A1062" t="str">
            <v>陕二5#阀室</v>
          </cell>
          <cell r="B1062" t="str">
            <v>一级</v>
          </cell>
          <cell r="C1062" t="str">
            <v>陕京二线</v>
          </cell>
          <cell r="D1062" t="str">
            <v>陕京二线干线</v>
          </cell>
        </row>
        <row r="1063">
          <cell r="A1063" t="str">
            <v>陕二6#阀室</v>
          </cell>
          <cell r="B1063" t="str">
            <v>一级</v>
          </cell>
          <cell r="C1063" t="str">
            <v>陕京二线</v>
          </cell>
          <cell r="D1063" t="str">
            <v>陕京二线干线</v>
          </cell>
        </row>
        <row r="1064">
          <cell r="A1064" t="str">
            <v>陕二7#阀室</v>
          </cell>
          <cell r="B1064" t="str">
            <v>一级</v>
          </cell>
          <cell r="C1064" t="str">
            <v>陕京二线</v>
          </cell>
          <cell r="D1064" t="str">
            <v>陕京二线干线</v>
          </cell>
        </row>
        <row r="1065">
          <cell r="A1065" t="str">
            <v>兴县分输站</v>
          </cell>
          <cell r="B1065" t="str">
            <v>一级</v>
          </cell>
          <cell r="C1065" t="str">
            <v>陕京二线</v>
          </cell>
          <cell r="D1065" t="str">
            <v>陕京二线干线</v>
          </cell>
        </row>
        <row r="1066">
          <cell r="A1066" t="str">
            <v>陕二8#阀室</v>
          </cell>
          <cell r="B1066" t="str">
            <v>一级</v>
          </cell>
          <cell r="C1066" t="str">
            <v>陕京二线</v>
          </cell>
          <cell r="D1066" t="str">
            <v>陕京二线干线</v>
          </cell>
        </row>
        <row r="1067">
          <cell r="A1067" t="str">
            <v>兴县压气站</v>
          </cell>
          <cell r="B1067" t="str">
            <v>一级</v>
          </cell>
          <cell r="C1067" t="str">
            <v>陕京二线</v>
          </cell>
          <cell r="D1067" t="str">
            <v>陕京二线干线</v>
          </cell>
        </row>
        <row r="1068">
          <cell r="A1068" t="str">
            <v>陕二10#阀室</v>
          </cell>
          <cell r="B1068" t="str">
            <v>一级</v>
          </cell>
          <cell r="C1068" t="str">
            <v>陕京二线</v>
          </cell>
          <cell r="D1068" t="str">
            <v>陕京二线干线</v>
          </cell>
        </row>
        <row r="1069">
          <cell r="A1069" t="str">
            <v>陕二11#阀室</v>
          </cell>
          <cell r="B1069" t="str">
            <v>一级</v>
          </cell>
          <cell r="C1069" t="str">
            <v>陕京二线</v>
          </cell>
          <cell r="D1069" t="str">
            <v>陕京二线干线</v>
          </cell>
        </row>
        <row r="1070">
          <cell r="A1070" t="str">
            <v>岚县分输站</v>
          </cell>
          <cell r="B1070" t="str">
            <v>一级</v>
          </cell>
          <cell r="C1070" t="str">
            <v>陕京二线</v>
          </cell>
          <cell r="D1070" t="str">
            <v>陕京二线干线</v>
          </cell>
        </row>
        <row r="1071">
          <cell r="A1071" t="str">
            <v>陕二12#阀室</v>
          </cell>
          <cell r="B1071" t="str">
            <v>一级</v>
          </cell>
          <cell r="C1071" t="str">
            <v>陕京二线</v>
          </cell>
          <cell r="D1071" t="str">
            <v>陕京二线干线</v>
          </cell>
        </row>
        <row r="1072">
          <cell r="A1072" t="str">
            <v>陕二13#阀室</v>
          </cell>
          <cell r="B1072" t="str">
            <v>一级</v>
          </cell>
          <cell r="C1072" t="str">
            <v>陕京二线</v>
          </cell>
          <cell r="D1072" t="str">
            <v>陕京二线干线</v>
          </cell>
        </row>
        <row r="1073">
          <cell r="A1073" t="str">
            <v>陕二14#阀室</v>
          </cell>
          <cell r="B1073" t="str">
            <v>一级</v>
          </cell>
          <cell r="C1073" t="str">
            <v>陕京二线</v>
          </cell>
          <cell r="D1073" t="str">
            <v>陕京二线干线</v>
          </cell>
        </row>
        <row r="1074">
          <cell r="A1074" t="str">
            <v>陕二15#阀室</v>
          </cell>
          <cell r="B1074" t="str">
            <v>一级</v>
          </cell>
          <cell r="C1074" t="str">
            <v>陕京二线</v>
          </cell>
          <cell r="D1074" t="str">
            <v>陕京二线干线</v>
          </cell>
        </row>
        <row r="1075">
          <cell r="A1075" t="str">
            <v>陕二16#阀室</v>
          </cell>
          <cell r="B1075" t="str">
            <v>一级</v>
          </cell>
          <cell r="C1075" t="str">
            <v>陕京二线</v>
          </cell>
          <cell r="D1075" t="str">
            <v>陕京二线干线</v>
          </cell>
        </row>
        <row r="1076">
          <cell r="A1076" t="str">
            <v>阳曲压气站</v>
          </cell>
          <cell r="B1076" t="str">
            <v>一级</v>
          </cell>
          <cell r="C1076" t="str">
            <v>陕京二线</v>
          </cell>
          <cell r="D1076" t="str">
            <v>陕京二线干线</v>
          </cell>
        </row>
        <row r="1077">
          <cell r="A1077" t="str">
            <v>陕二17#阀室</v>
          </cell>
          <cell r="B1077" t="str">
            <v>一级</v>
          </cell>
          <cell r="C1077" t="str">
            <v>陕京二线</v>
          </cell>
          <cell r="D1077" t="str">
            <v>陕京二线干线</v>
          </cell>
        </row>
        <row r="1078">
          <cell r="A1078" t="str">
            <v>陕二18#阀室</v>
          </cell>
          <cell r="B1078" t="str">
            <v>一级</v>
          </cell>
          <cell r="C1078" t="str">
            <v>陕京二线</v>
          </cell>
          <cell r="D1078" t="str">
            <v>陕京二线干线</v>
          </cell>
        </row>
        <row r="1079">
          <cell r="A1079" t="str">
            <v>陕二19#阀室</v>
          </cell>
          <cell r="B1079" t="str">
            <v>一级</v>
          </cell>
          <cell r="C1079" t="str">
            <v>陕京二线</v>
          </cell>
          <cell r="D1079" t="str">
            <v>陕京二线干线</v>
          </cell>
        </row>
        <row r="1080">
          <cell r="A1080" t="str">
            <v>盂县分输站</v>
          </cell>
          <cell r="B1080" t="str">
            <v>一级</v>
          </cell>
          <cell r="C1080" t="str">
            <v>陕京二线</v>
          </cell>
          <cell r="D1080" t="str">
            <v>陕京二线干线</v>
          </cell>
        </row>
        <row r="1081">
          <cell r="A1081" t="str">
            <v>陕二20#阀室</v>
          </cell>
          <cell r="B1081" t="str">
            <v>一级</v>
          </cell>
          <cell r="C1081" t="str">
            <v>陕京二线</v>
          </cell>
          <cell r="D1081" t="str">
            <v>陕京二线干线</v>
          </cell>
        </row>
        <row r="1082">
          <cell r="A1082" t="str">
            <v>陕二21#阀室</v>
          </cell>
          <cell r="B1082" t="str">
            <v>一级</v>
          </cell>
          <cell r="C1082" t="str">
            <v>陕京二线</v>
          </cell>
          <cell r="D1082" t="str">
            <v>陕京二线干线</v>
          </cell>
        </row>
        <row r="1083">
          <cell r="A1083" t="str">
            <v>陕二22#阀室</v>
          </cell>
          <cell r="B1083" t="str">
            <v>一级</v>
          </cell>
          <cell r="C1083" t="str">
            <v>陕京二线</v>
          </cell>
          <cell r="D1083" t="str">
            <v>陕京二线干线</v>
          </cell>
        </row>
        <row r="1084">
          <cell r="A1084" t="str">
            <v>陕二23#阀室</v>
          </cell>
          <cell r="B1084" t="str">
            <v>一级</v>
          </cell>
          <cell r="C1084" t="str">
            <v>陕京二线</v>
          </cell>
          <cell r="D1084" t="str">
            <v>陕京二线干线</v>
          </cell>
        </row>
        <row r="1085">
          <cell r="A1085" t="str">
            <v>陕二24#阀室</v>
          </cell>
          <cell r="B1085" t="str">
            <v>一级</v>
          </cell>
          <cell r="C1085" t="str">
            <v>陕京二线</v>
          </cell>
          <cell r="D1085" t="str">
            <v>陕京二线干线</v>
          </cell>
        </row>
        <row r="1086">
          <cell r="A1086" t="str">
            <v>陕二25#阀室</v>
          </cell>
          <cell r="B1086" t="str">
            <v>一级</v>
          </cell>
          <cell r="C1086" t="str">
            <v>陕京二线</v>
          </cell>
          <cell r="D1086" t="str">
            <v>陕京二线干线</v>
          </cell>
        </row>
        <row r="1087">
          <cell r="A1087" t="str">
            <v>鹿泉分输站</v>
          </cell>
          <cell r="B1087" t="str">
            <v>一级</v>
          </cell>
          <cell r="C1087" t="str">
            <v>陕京二线</v>
          </cell>
          <cell r="D1087" t="str">
            <v>陕京二线干线</v>
          </cell>
        </row>
        <row r="1088">
          <cell r="A1088" t="str">
            <v>陕二27#阀室</v>
          </cell>
          <cell r="B1088" t="str">
            <v>一级</v>
          </cell>
          <cell r="C1088" t="str">
            <v>陕京二线</v>
          </cell>
          <cell r="D1088" t="str">
            <v>陕京二线干线</v>
          </cell>
        </row>
        <row r="1089">
          <cell r="A1089" t="str">
            <v>正定分输站</v>
          </cell>
          <cell r="B1089" t="str">
            <v>一级</v>
          </cell>
          <cell r="C1089" t="str">
            <v>陕京二线</v>
          </cell>
          <cell r="D1089" t="str">
            <v>陕京二线干线</v>
          </cell>
        </row>
        <row r="1090">
          <cell r="A1090" t="str">
            <v>石家庄压气站</v>
          </cell>
          <cell r="B1090" t="str">
            <v>一级</v>
          </cell>
          <cell r="C1090" t="str">
            <v>陕京二线</v>
          </cell>
          <cell r="D1090" t="str">
            <v>陕京二线干线</v>
          </cell>
        </row>
        <row r="1091">
          <cell r="A1091" t="str">
            <v>陕二28#阀室</v>
          </cell>
          <cell r="B1091" t="str">
            <v>一级</v>
          </cell>
          <cell r="C1091" t="str">
            <v>陕京二线</v>
          </cell>
          <cell r="D1091" t="str">
            <v>陕京二线干线</v>
          </cell>
        </row>
        <row r="1092">
          <cell r="A1092" t="str">
            <v>陕二29#阀室</v>
          </cell>
          <cell r="B1092" t="str">
            <v>一级</v>
          </cell>
          <cell r="C1092" t="str">
            <v>陕京二线</v>
          </cell>
          <cell r="D1092" t="str">
            <v>陕京二线干线</v>
          </cell>
        </row>
        <row r="1093">
          <cell r="A1093" t="str">
            <v>陕二30#阀室</v>
          </cell>
          <cell r="B1093" t="str">
            <v>一级</v>
          </cell>
          <cell r="C1093" t="str">
            <v>陕京二线</v>
          </cell>
          <cell r="D1093" t="str">
            <v>陕京二线干线</v>
          </cell>
        </row>
        <row r="1094">
          <cell r="A1094" t="str">
            <v>陕二31#阀室</v>
          </cell>
          <cell r="B1094" t="str">
            <v>一级</v>
          </cell>
          <cell r="C1094" t="str">
            <v>陕京二线</v>
          </cell>
          <cell r="D1094" t="str">
            <v>陕京二线干线</v>
          </cell>
        </row>
        <row r="1095">
          <cell r="A1095" t="str">
            <v>陕二32#阀室</v>
          </cell>
          <cell r="B1095" t="str">
            <v>一级</v>
          </cell>
          <cell r="C1095" t="str">
            <v>陕京二线</v>
          </cell>
          <cell r="D1095" t="str">
            <v>陕京二线干线</v>
          </cell>
        </row>
        <row r="1096">
          <cell r="A1096" t="str">
            <v>陕二33#阀室</v>
          </cell>
          <cell r="B1096" t="str">
            <v>一级</v>
          </cell>
          <cell r="C1096" t="str">
            <v>陕京二线</v>
          </cell>
          <cell r="D1096" t="str">
            <v>陕京二线干线</v>
          </cell>
        </row>
        <row r="1097">
          <cell r="A1097" t="str">
            <v>任丘分输站</v>
          </cell>
          <cell r="B1097" t="str">
            <v>一级</v>
          </cell>
          <cell r="C1097" t="str">
            <v>陕京二线</v>
          </cell>
          <cell r="D1097" t="str">
            <v>陕京二线干线</v>
          </cell>
        </row>
        <row r="1098">
          <cell r="A1098" t="str">
            <v>任丘东分输站</v>
          </cell>
          <cell r="B1098" t="str">
            <v>一级</v>
          </cell>
          <cell r="C1098" t="str">
            <v>陕京二线</v>
          </cell>
          <cell r="D1098" t="str">
            <v>陕京二线干线</v>
          </cell>
        </row>
        <row r="1099">
          <cell r="A1099" t="str">
            <v>陕二35#阀室</v>
          </cell>
          <cell r="B1099" t="str">
            <v>一级</v>
          </cell>
          <cell r="C1099" t="str">
            <v>陕京二线</v>
          </cell>
          <cell r="D1099" t="str">
            <v>陕京二线干线</v>
          </cell>
        </row>
        <row r="1100">
          <cell r="A1100" t="str">
            <v>文安分输站</v>
          </cell>
          <cell r="B1100" t="str">
            <v>一级</v>
          </cell>
          <cell r="C1100" t="str">
            <v>陕京二线</v>
          </cell>
          <cell r="D1100" t="str">
            <v>陕京二线干线</v>
          </cell>
        </row>
        <row r="1101">
          <cell r="A1101" t="str">
            <v>霸州分输站</v>
          </cell>
          <cell r="B1101" t="str">
            <v>一级</v>
          </cell>
          <cell r="C1101" t="str">
            <v>陕京二线</v>
          </cell>
          <cell r="D1101" t="str">
            <v>陕京二线干线</v>
          </cell>
        </row>
        <row r="1102">
          <cell r="A1102" t="str">
            <v>陕二38#阀室</v>
          </cell>
          <cell r="B1102" t="str">
            <v>一级</v>
          </cell>
          <cell r="C1102" t="str">
            <v>陕京二线</v>
          </cell>
          <cell r="D1102" t="str">
            <v>陕京二线干线</v>
          </cell>
        </row>
        <row r="1103">
          <cell r="A1103" t="str">
            <v>陕二39#阀室</v>
          </cell>
          <cell r="B1103" t="str">
            <v>一级</v>
          </cell>
          <cell r="C1103" t="str">
            <v>陕京二线</v>
          </cell>
          <cell r="D1103" t="str">
            <v>陕京二线干线</v>
          </cell>
        </row>
        <row r="1104">
          <cell r="A1104" t="str">
            <v>陕二40#阀室</v>
          </cell>
          <cell r="B1104" t="str">
            <v>一级</v>
          </cell>
          <cell r="C1104" t="str">
            <v>陕京二线</v>
          </cell>
          <cell r="D1104" t="str">
            <v>陕京二线干线</v>
          </cell>
        </row>
        <row r="1105">
          <cell r="A1105" t="str">
            <v>陕二41#阀室</v>
          </cell>
          <cell r="B1105" t="str">
            <v>一级</v>
          </cell>
          <cell r="C1105" t="str">
            <v>陕京二线</v>
          </cell>
          <cell r="D1105" t="str">
            <v>陕京二线干线</v>
          </cell>
        </row>
        <row r="1106">
          <cell r="A1106" t="str">
            <v>采育分输站</v>
          </cell>
          <cell r="B1106" t="str">
            <v>一级</v>
          </cell>
          <cell r="C1106" t="str">
            <v>陕京二线</v>
          </cell>
          <cell r="D1106" t="str">
            <v>采育-通州东支线</v>
          </cell>
        </row>
        <row r="1107">
          <cell r="A1107" t="str">
            <v>陕二42#阀室</v>
          </cell>
          <cell r="B1107" t="str">
            <v>一级</v>
          </cell>
          <cell r="C1107" t="str">
            <v>陕京二线</v>
          </cell>
          <cell r="D1107" t="str">
            <v>采育-通州东支线</v>
          </cell>
        </row>
        <row r="1108">
          <cell r="A1108" t="str">
            <v>西集分输站</v>
          </cell>
          <cell r="B1108" t="str">
            <v>一级</v>
          </cell>
          <cell r="C1108" t="str">
            <v>陕京二线</v>
          </cell>
          <cell r="D1108" t="str">
            <v>采育-通州东支线</v>
          </cell>
        </row>
        <row r="1109">
          <cell r="A1109" t="str">
            <v>通州东分输站</v>
          </cell>
          <cell r="B1109" t="str">
            <v>一级</v>
          </cell>
          <cell r="C1109" t="str">
            <v>陕京二线</v>
          </cell>
          <cell r="D1109" t="str">
            <v>采育-通州东支线</v>
          </cell>
        </row>
        <row r="1110">
          <cell r="A1110" t="str">
            <v>里兰城阀室</v>
          </cell>
          <cell r="B1110" t="str">
            <v>一级</v>
          </cell>
          <cell r="C1110" t="str">
            <v>陕京二线</v>
          </cell>
          <cell r="D1110" t="str">
            <v>港清线</v>
          </cell>
        </row>
        <row r="1111">
          <cell r="A1111" t="str">
            <v>杨芬港阀室</v>
          </cell>
          <cell r="B1111" t="str">
            <v>一级</v>
          </cell>
          <cell r="C1111" t="str">
            <v>陕京二线</v>
          </cell>
          <cell r="D1111" t="str">
            <v>港清线</v>
          </cell>
        </row>
        <row r="1112">
          <cell r="A1112" t="str">
            <v>小卞庄分输站</v>
          </cell>
          <cell r="B1112" t="str">
            <v>一级</v>
          </cell>
          <cell r="C1112" t="str">
            <v>陕京二线</v>
          </cell>
          <cell r="D1112" t="str">
            <v>港清线</v>
          </cell>
        </row>
        <row r="1113">
          <cell r="A1113" t="str">
            <v>大港分输站</v>
          </cell>
          <cell r="B1113" t="str">
            <v>一级</v>
          </cell>
          <cell r="C1113" t="str">
            <v>陕京二线</v>
          </cell>
          <cell r="D1113" t="str">
            <v>港清线</v>
          </cell>
        </row>
        <row r="1114">
          <cell r="A1114" t="str">
            <v>旧州阀室</v>
          </cell>
          <cell r="B1114" t="str">
            <v>一级</v>
          </cell>
          <cell r="C1114" t="str">
            <v>陕京二线</v>
          </cell>
          <cell r="D1114" t="str">
            <v>永京线</v>
          </cell>
        </row>
        <row r="1115">
          <cell r="A1115" t="str">
            <v>留民营阀室</v>
          </cell>
          <cell r="B1115" t="str">
            <v>一级</v>
          </cell>
          <cell r="C1115" t="str">
            <v>陕京二线</v>
          </cell>
          <cell r="D1115" t="str">
            <v>永京线</v>
          </cell>
        </row>
        <row r="1116">
          <cell r="A1116" t="str">
            <v>马驹桥分输站</v>
          </cell>
          <cell r="B1116" t="str">
            <v>一级</v>
          </cell>
          <cell r="C1116" t="str">
            <v>陕京二线</v>
          </cell>
          <cell r="D1116" t="str">
            <v>永京线</v>
          </cell>
        </row>
        <row r="1117">
          <cell r="A1117" t="str">
            <v>通州南分输站</v>
          </cell>
          <cell r="B1117" t="str">
            <v>一级</v>
          </cell>
          <cell r="C1117" t="str">
            <v>陕京二线</v>
          </cell>
          <cell r="D1117" t="str">
            <v>永京线</v>
          </cell>
        </row>
        <row r="1118">
          <cell r="A1118" t="str">
            <v>安茨阀室</v>
          </cell>
          <cell r="B1118" t="str">
            <v>一级</v>
          </cell>
          <cell r="C1118" t="str">
            <v>陕京二线</v>
          </cell>
          <cell r="D1118" t="str">
            <v>港清复线</v>
          </cell>
        </row>
        <row r="1119">
          <cell r="A1119" t="str">
            <v>杨芬港阀室</v>
          </cell>
          <cell r="B1119" t="str">
            <v>一级</v>
          </cell>
          <cell r="C1119" t="str">
            <v>陕京二线</v>
          </cell>
          <cell r="D1119" t="str">
            <v>港清复线</v>
          </cell>
        </row>
        <row r="1120">
          <cell r="A1120" t="str">
            <v>永清首站</v>
          </cell>
          <cell r="B1120" t="str">
            <v>一级</v>
          </cell>
          <cell r="C1120" t="str">
            <v>陕京二线</v>
          </cell>
          <cell r="D1120" t="str">
            <v>港清三线</v>
          </cell>
        </row>
        <row r="1121">
          <cell r="A1121" t="str">
            <v>韩城门站</v>
          </cell>
          <cell r="B1121" t="str">
            <v>一级</v>
          </cell>
          <cell r="C1121" t="str">
            <v>陕京二线</v>
          </cell>
          <cell r="D1121" t="str">
            <v>港清三线</v>
          </cell>
        </row>
        <row r="1122">
          <cell r="A1122" t="str">
            <v>港三1#阀室</v>
          </cell>
          <cell r="B1122" t="str">
            <v>一级</v>
          </cell>
          <cell r="C1122" t="str">
            <v>陕京二线</v>
          </cell>
          <cell r="D1122" t="str">
            <v>港清三线</v>
          </cell>
        </row>
        <row r="1123">
          <cell r="A1123" t="str">
            <v>港三2#阀室</v>
          </cell>
          <cell r="B1123" t="str">
            <v>一级</v>
          </cell>
          <cell r="C1123" t="str">
            <v>陕京二线</v>
          </cell>
          <cell r="D1123" t="str">
            <v>港清三线</v>
          </cell>
        </row>
        <row r="1124">
          <cell r="A1124" t="str">
            <v>港三3#阀室</v>
          </cell>
          <cell r="B1124" t="str">
            <v>一级</v>
          </cell>
          <cell r="C1124" t="str">
            <v>陕京二线</v>
          </cell>
          <cell r="D1124" t="str">
            <v>港清三线</v>
          </cell>
        </row>
        <row r="1125">
          <cell r="A1125" t="str">
            <v>港三4#阀室</v>
          </cell>
          <cell r="B1125" t="str">
            <v>一级</v>
          </cell>
          <cell r="C1125" t="str">
            <v>陕京二线</v>
          </cell>
          <cell r="D1125" t="str">
            <v>港清三线</v>
          </cell>
        </row>
        <row r="1126">
          <cell r="A1126" t="str">
            <v>静海分输站</v>
          </cell>
          <cell r="B1126" t="str">
            <v>一级</v>
          </cell>
          <cell r="C1126" t="str">
            <v>陕京二线</v>
          </cell>
          <cell r="D1126" t="str">
            <v>港清三线</v>
          </cell>
        </row>
        <row r="1127">
          <cell r="A1127" t="str">
            <v>大邱庄分输站</v>
          </cell>
          <cell r="B1127" t="str">
            <v>一级</v>
          </cell>
          <cell r="C1127" t="str">
            <v>陕京二线</v>
          </cell>
          <cell r="D1127" t="str">
            <v>港清三线</v>
          </cell>
        </row>
        <row r="1128">
          <cell r="A1128" t="str">
            <v>常流分输站</v>
          </cell>
          <cell r="B1128" t="str">
            <v>一级</v>
          </cell>
          <cell r="C1128" t="str">
            <v>陕京二线</v>
          </cell>
          <cell r="D1128" t="str">
            <v>港清三线</v>
          </cell>
        </row>
        <row r="1129">
          <cell r="A1129" t="str">
            <v>大港末站</v>
          </cell>
          <cell r="B1129" t="str">
            <v>一级</v>
          </cell>
          <cell r="C1129" t="str">
            <v>陕京二线</v>
          </cell>
          <cell r="D1129" t="str">
            <v>港清三线</v>
          </cell>
        </row>
        <row r="1130">
          <cell r="A1130" t="str">
            <v>汪庄子分输站</v>
          </cell>
          <cell r="B1130" t="str">
            <v>一级</v>
          </cell>
          <cell r="C1130" t="str">
            <v>陕京二线</v>
          </cell>
          <cell r="D1130" t="str">
            <v>小卞庄-汪庄子支线</v>
          </cell>
        </row>
        <row r="1131">
          <cell r="A1131" t="str">
            <v>京58储气库</v>
          </cell>
          <cell r="B1131" t="str">
            <v>一级</v>
          </cell>
          <cell r="C1131" t="str">
            <v>陕京二线</v>
          </cell>
          <cell r="D1131" t="str">
            <v>永清-京58储气库支线</v>
          </cell>
        </row>
        <row r="1132">
          <cell r="A1132" t="str">
            <v>陕三1#阀室</v>
          </cell>
          <cell r="B1132" t="str">
            <v>一级</v>
          </cell>
          <cell r="C1132" t="str">
            <v>陕京三线</v>
          </cell>
          <cell r="D1132" t="str">
            <v>陕京三线干线</v>
          </cell>
        </row>
        <row r="1133">
          <cell r="A1133" t="str">
            <v>陕三2#阀室</v>
          </cell>
          <cell r="B1133" t="str">
            <v>一级</v>
          </cell>
          <cell r="C1133" t="str">
            <v>陕京三线</v>
          </cell>
          <cell r="D1133" t="str">
            <v>陕京三线干线</v>
          </cell>
        </row>
        <row r="1134">
          <cell r="A1134" t="str">
            <v>陕三3#阀室</v>
          </cell>
          <cell r="B1134" t="str">
            <v>一级</v>
          </cell>
          <cell r="C1134" t="str">
            <v>陕京三线</v>
          </cell>
          <cell r="D1134" t="str">
            <v>陕京三线干线</v>
          </cell>
        </row>
        <row r="1135">
          <cell r="A1135" t="str">
            <v>陕三4#阀室</v>
          </cell>
          <cell r="B1135" t="str">
            <v>一级</v>
          </cell>
          <cell r="C1135" t="str">
            <v>陕京三线</v>
          </cell>
          <cell r="D1135" t="str">
            <v>陕京三线干线</v>
          </cell>
        </row>
        <row r="1136">
          <cell r="A1136" t="str">
            <v>陕三5#阀室</v>
          </cell>
          <cell r="B1136" t="str">
            <v>一级</v>
          </cell>
          <cell r="C1136" t="str">
            <v>陕京三线</v>
          </cell>
          <cell r="D1136" t="str">
            <v>陕京三线干线</v>
          </cell>
        </row>
        <row r="1137">
          <cell r="A1137" t="str">
            <v>陕三6#阀室</v>
          </cell>
          <cell r="B1137" t="str">
            <v>一级</v>
          </cell>
          <cell r="C1137" t="str">
            <v>陕京三线</v>
          </cell>
          <cell r="D1137" t="str">
            <v>陕京三线干线</v>
          </cell>
        </row>
        <row r="1138">
          <cell r="A1138" t="str">
            <v>八堡分输站</v>
          </cell>
          <cell r="B1138" t="str">
            <v>一级</v>
          </cell>
          <cell r="C1138" t="str">
            <v>陕京三线</v>
          </cell>
          <cell r="D1138" t="str">
            <v>陕京三线干线</v>
          </cell>
        </row>
        <row r="1139">
          <cell r="A1139" t="str">
            <v>陕三7#阀室</v>
          </cell>
          <cell r="B1139" t="str">
            <v>一级</v>
          </cell>
          <cell r="C1139" t="str">
            <v>陕京三线</v>
          </cell>
          <cell r="D1139" t="str">
            <v>陕京三线干线</v>
          </cell>
        </row>
        <row r="1140">
          <cell r="A1140" t="str">
            <v>雷家碛分输站</v>
          </cell>
          <cell r="B1140" t="str">
            <v>一级</v>
          </cell>
          <cell r="C1140" t="str">
            <v>陕京三线</v>
          </cell>
          <cell r="D1140" t="str">
            <v>陕京三线干线</v>
          </cell>
        </row>
        <row r="1141">
          <cell r="A1141" t="str">
            <v>陕三8#阀室</v>
          </cell>
          <cell r="B1141" t="str">
            <v>一级</v>
          </cell>
          <cell r="C1141" t="str">
            <v>陕京三线</v>
          </cell>
          <cell r="D1141" t="str">
            <v>陕京三线干线</v>
          </cell>
        </row>
        <row r="1142">
          <cell r="A1142" t="str">
            <v>临县压气站</v>
          </cell>
          <cell r="B1142" t="str">
            <v>一级</v>
          </cell>
          <cell r="C1142" t="str">
            <v>陕京三线</v>
          </cell>
          <cell r="D1142" t="str">
            <v>陕京三线干线</v>
          </cell>
        </row>
        <row r="1143">
          <cell r="A1143" t="str">
            <v>陕三9#阀室</v>
          </cell>
          <cell r="B1143" t="str">
            <v>一级</v>
          </cell>
          <cell r="C1143" t="str">
            <v>陕京三线</v>
          </cell>
          <cell r="D1143" t="str">
            <v>陕京三线干线</v>
          </cell>
        </row>
        <row r="1144">
          <cell r="A1144" t="str">
            <v>陕三10#阀室</v>
          </cell>
          <cell r="B1144" t="str">
            <v>一级</v>
          </cell>
          <cell r="C1144" t="str">
            <v>陕京三线</v>
          </cell>
          <cell r="D1144" t="str">
            <v>陕京三线干线</v>
          </cell>
        </row>
        <row r="1145">
          <cell r="A1145" t="str">
            <v>陕三11#阀室</v>
          </cell>
          <cell r="B1145" t="str">
            <v>一级</v>
          </cell>
          <cell r="C1145" t="str">
            <v>陕京三线</v>
          </cell>
          <cell r="D1145" t="str">
            <v>陕京三线干线</v>
          </cell>
        </row>
        <row r="1146">
          <cell r="A1146" t="str">
            <v>陕三12#阀室</v>
          </cell>
          <cell r="B1146" t="str">
            <v>一级</v>
          </cell>
          <cell r="C1146" t="str">
            <v>陕京三线</v>
          </cell>
          <cell r="D1146" t="str">
            <v>陕京三线干线</v>
          </cell>
        </row>
        <row r="1147">
          <cell r="A1147" t="str">
            <v>陕三13#阀室</v>
          </cell>
          <cell r="B1147" t="str">
            <v>一级</v>
          </cell>
          <cell r="C1147" t="str">
            <v>陕京三线</v>
          </cell>
          <cell r="D1147" t="str">
            <v>陕京三线干线</v>
          </cell>
        </row>
        <row r="1148">
          <cell r="A1148" t="str">
            <v>陕三14#阀室</v>
          </cell>
          <cell r="B1148" t="str">
            <v>一级</v>
          </cell>
          <cell r="C1148" t="str">
            <v>陕京三线</v>
          </cell>
          <cell r="D1148" t="str">
            <v>陕京三线干线</v>
          </cell>
        </row>
        <row r="1149">
          <cell r="A1149" t="str">
            <v>陕三15#阀室</v>
          </cell>
          <cell r="B1149" t="str">
            <v>一级</v>
          </cell>
          <cell r="C1149" t="str">
            <v>陕京三线</v>
          </cell>
          <cell r="D1149" t="str">
            <v>陕京三线干线</v>
          </cell>
        </row>
        <row r="1150">
          <cell r="A1150" t="str">
            <v>陕三16#阀室</v>
          </cell>
          <cell r="B1150" t="str">
            <v>一级</v>
          </cell>
          <cell r="C1150" t="str">
            <v>陕京三线</v>
          </cell>
          <cell r="D1150" t="str">
            <v>陕京三线干线</v>
          </cell>
        </row>
        <row r="1151">
          <cell r="A1151" t="str">
            <v>陕三17#阀室</v>
          </cell>
          <cell r="B1151" t="str">
            <v>一级</v>
          </cell>
          <cell r="C1151" t="str">
            <v>陕京三线</v>
          </cell>
          <cell r="D1151" t="str">
            <v>陕京三线干线</v>
          </cell>
        </row>
        <row r="1152">
          <cell r="A1152" t="str">
            <v>陕三18#阀室</v>
          </cell>
          <cell r="B1152" t="str">
            <v>一级</v>
          </cell>
          <cell r="C1152" t="str">
            <v>陕京三线</v>
          </cell>
          <cell r="D1152" t="str">
            <v>陕京三线干线</v>
          </cell>
        </row>
        <row r="1153">
          <cell r="A1153" t="str">
            <v>盂县西分输站</v>
          </cell>
          <cell r="B1153" t="str">
            <v>一级</v>
          </cell>
          <cell r="C1153" t="str">
            <v>陕京三线</v>
          </cell>
          <cell r="D1153" t="str">
            <v>陕京三线干线</v>
          </cell>
        </row>
        <row r="1154">
          <cell r="A1154" t="str">
            <v>陕三20#阀室</v>
          </cell>
          <cell r="B1154" t="str">
            <v>一级</v>
          </cell>
          <cell r="C1154" t="str">
            <v>陕京三线</v>
          </cell>
          <cell r="D1154" t="str">
            <v>陕京三线干线</v>
          </cell>
        </row>
        <row r="1155">
          <cell r="A1155" t="str">
            <v>陕三21#阀室</v>
          </cell>
          <cell r="B1155" t="str">
            <v>一级</v>
          </cell>
          <cell r="C1155" t="str">
            <v>陕京三线</v>
          </cell>
          <cell r="D1155" t="str">
            <v>陕京三线干线</v>
          </cell>
        </row>
        <row r="1156">
          <cell r="A1156" t="str">
            <v>陕三22#阀室</v>
          </cell>
          <cell r="B1156" t="str">
            <v>一级</v>
          </cell>
          <cell r="C1156" t="str">
            <v>陕京三线</v>
          </cell>
          <cell r="D1156" t="str">
            <v>陕京三线干线</v>
          </cell>
        </row>
        <row r="1157">
          <cell r="A1157" t="str">
            <v>陕三23#阀室</v>
          </cell>
          <cell r="B1157" t="str">
            <v>一级</v>
          </cell>
          <cell r="C1157" t="str">
            <v>陕京三线</v>
          </cell>
          <cell r="D1157" t="str">
            <v>陕京三线干线</v>
          </cell>
        </row>
        <row r="1158">
          <cell r="A1158" t="str">
            <v>陕三24#阀室</v>
          </cell>
          <cell r="B1158" t="str">
            <v>一级</v>
          </cell>
          <cell r="C1158" t="str">
            <v>陕京三线</v>
          </cell>
          <cell r="D1158" t="str">
            <v>陕京三线干线</v>
          </cell>
        </row>
        <row r="1159">
          <cell r="A1159" t="str">
            <v>井陉分输站</v>
          </cell>
          <cell r="B1159" t="str">
            <v>一级</v>
          </cell>
          <cell r="C1159" t="str">
            <v>陕京三线</v>
          </cell>
          <cell r="D1159" t="str">
            <v>陕京三线干线</v>
          </cell>
        </row>
        <row r="1160">
          <cell r="A1160" t="str">
            <v>陕三25#阀室</v>
          </cell>
          <cell r="B1160" t="str">
            <v>一级</v>
          </cell>
          <cell r="C1160" t="str">
            <v>陕京三线</v>
          </cell>
          <cell r="D1160" t="str">
            <v>陕京三线干线</v>
          </cell>
        </row>
        <row r="1161">
          <cell r="A1161" t="str">
            <v>陕三26#阀室</v>
          </cell>
          <cell r="B1161" t="str">
            <v>一级</v>
          </cell>
          <cell r="C1161" t="str">
            <v>陕京三线</v>
          </cell>
          <cell r="D1161" t="str">
            <v>陕京三线干线</v>
          </cell>
        </row>
        <row r="1162">
          <cell r="A1162" t="str">
            <v>陕三27#阀室</v>
          </cell>
          <cell r="B1162" t="str">
            <v>一级</v>
          </cell>
          <cell r="C1162" t="str">
            <v>陕京三线</v>
          </cell>
          <cell r="D1162" t="str">
            <v>陕京三线干线</v>
          </cell>
        </row>
        <row r="1163">
          <cell r="A1163" t="str">
            <v>陕三28#阀室</v>
          </cell>
          <cell r="B1163" t="str">
            <v>一级</v>
          </cell>
          <cell r="C1163" t="str">
            <v>陕京三线</v>
          </cell>
          <cell r="D1163" t="str">
            <v>陕京三线干线</v>
          </cell>
        </row>
        <row r="1164">
          <cell r="A1164" t="str">
            <v>陕三29#阀室</v>
          </cell>
          <cell r="B1164" t="str">
            <v>一级</v>
          </cell>
          <cell r="C1164" t="str">
            <v>陕京三线</v>
          </cell>
          <cell r="D1164" t="str">
            <v>陕京三线干线</v>
          </cell>
        </row>
        <row r="1165">
          <cell r="A1165" t="str">
            <v>深泽北分输站</v>
          </cell>
          <cell r="B1165" t="str">
            <v>一级</v>
          </cell>
          <cell r="C1165" t="str">
            <v>陕京三线</v>
          </cell>
          <cell r="D1165" t="str">
            <v>陕京三线干线</v>
          </cell>
        </row>
        <row r="1166">
          <cell r="A1166" t="str">
            <v>陕三30#阀室</v>
          </cell>
          <cell r="B1166" t="str">
            <v>一级</v>
          </cell>
          <cell r="C1166" t="str">
            <v>陕京三线</v>
          </cell>
          <cell r="D1166" t="str">
            <v>陕京三线干线</v>
          </cell>
        </row>
        <row r="1167">
          <cell r="A1167" t="str">
            <v>陕三31#阀室</v>
          </cell>
          <cell r="B1167" t="str">
            <v>一级</v>
          </cell>
          <cell r="C1167" t="str">
            <v>陕京三线</v>
          </cell>
          <cell r="D1167" t="str">
            <v>陕京三线干线</v>
          </cell>
        </row>
        <row r="1168">
          <cell r="A1168" t="str">
            <v>陕三32#阀室</v>
          </cell>
          <cell r="B1168" t="str">
            <v>一级</v>
          </cell>
          <cell r="C1168" t="str">
            <v>陕京三线</v>
          </cell>
          <cell r="D1168" t="str">
            <v>陕京三线干线</v>
          </cell>
        </row>
        <row r="1169">
          <cell r="A1169" t="str">
            <v>高阳分输站</v>
          </cell>
          <cell r="B1169" t="str">
            <v>一级</v>
          </cell>
          <cell r="C1169" t="str">
            <v>陕京三线</v>
          </cell>
          <cell r="D1169" t="str">
            <v>陕京三线干线</v>
          </cell>
        </row>
        <row r="1170">
          <cell r="A1170" t="str">
            <v>陕三34#阀室</v>
          </cell>
          <cell r="B1170" t="str">
            <v>一级</v>
          </cell>
          <cell r="C1170" t="str">
            <v>陕京三线</v>
          </cell>
          <cell r="D1170" t="str">
            <v>陕京三线干线</v>
          </cell>
        </row>
        <row r="1171">
          <cell r="A1171" t="str">
            <v>陕三35#阀室</v>
          </cell>
          <cell r="B1171" t="str">
            <v>一级</v>
          </cell>
          <cell r="C1171" t="str">
            <v>陕京三线</v>
          </cell>
          <cell r="D1171" t="str">
            <v>陕京三线干线</v>
          </cell>
        </row>
        <row r="1172">
          <cell r="A1172" t="str">
            <v>陕三36#阀室</v>
          </cell>
          <cell r="B1172" t="str">
            <v>一级</v>
          </cell>
          <cell r="C1172" t="str">
            <v>陕京三线</v>
          </cell>
          <cell r="D1172" t="str">
            <v>陕京三线干线</v>
          </cell>
        </row>
        <row r="1173">
          <cell r="A1173" t="str">
            <v>陕三37#阀室</v>
          </cell>
          <cell r="B1173" t="str">
            <v>一级</v>
          </cell>
          <cell r="C1173" t="str">
            <v>陕京三线</v>
          </cell>
          <cell r="D1173" t="str">
            <v>陕京三线干线</v>
          </cell>
        </row>
        <row r="1174">
          <cell r="A1174" t="str">
            <v>陕三38#阀室</v>
          </cell>
          <cell r="B1174" t="str">
            <v>一级</v>
          </cell>
          <cell r="C1174" t="str">
            <v>陕京三线</v>
          </cell>
          <cell r="D1174" t="str">
            <v>陕京三线干线</v>
          </cell>
        </row>
        <row r="1175">
          <cell r="A1175" t="str">
            <v>陕三39#阀室</v>
          </cell>
          <cell r="B1175" t="str">
            <v>一级</v>
          </cell>
          <cell r="C1175" t="str">
            <v>陕京三线</v>
          </cell>
          <cell r="D1175" t="str">
            <v>陕京三线干线</v>
          </cell>
        </row>
        <row r="1176">
          <cell r="A1176" t="str">
            <v>陕三40#阀室</v>
          </cell>
          <cell r="B1176" t="str">
            <v>一级</v>
          </cell>
          <cell r="C1176" t="str">
            <v>陕京三线</v>
          </cell>
          <cell r="D1176" t="str">
            <v>陕京三线干线</v>
          </cell>
        </row>
        <row r="1177">
          <cell r="A1177" t="str">
            <v>向阳五村分输站</v>
          </cell>
          <cell r="B1177" t="str">
            <v>一级</v>
          </cell>
          <cell r="C1177" t="str">
            <v>陕京三线</v>
          </cell>
          <cell r="D1177" t="str">
            <v>陕京三线干线</v>
          </cell>
        </row>
        <row r="1178">
          <cell r="A1178" t="str">
            <v>陕三42#阀室</v>
          </cell>
          <cell r="B1178" t="str">
            <v>一级</v>
          </cell>
          <cell r="C1178" t="str">
            <v>陕京三线</v>
          </cell>
          <cell r="D1178" t="str">
            <v>陕京三线干线</v>
          </cell>
        </row>
        <row r="1179">
          <cell r="A1179" t="str">
            <v>良乡分输站</v>
          </cell>
          <cell r="B1179" t="str">
            <v>一级</v>
          </cell>
          <cell r="C1179" t="str">
            <v>陕京三线</v>
          </cell>
          <cell r="D1179" t="str">
            <v>陕京三线干线</v>
          </cell>
        </row>
        <row r="1180">
          <cell r="A1180" t="str">
            <v>陕三43#阀室</v>
          </cell>
          <cell r="B1180" t="str">
            <v>一级</v>
          </cell>
          <cell r="C1180" t="str">
            <v>陕京三线</v>
          </cell>
          <cell r="D1180" t="str">
            <v>陕京三线干线</v>
          </cell>
        </row>
        <row r="1181">
          <cell r="A1181" t="str">
            <v>陕三44#阀室</v>
          </cell>
          <cell r="B1181" t="str">
            <v>一级</v>
          </cell>
          <cell r="C1181" t="str">
            <v>陕京三线</v>
          </cell>
          <cell r="D1181" t="str">
            <v>陕京三线干线</v>
          </cell>
        </row>
        <row r="1182">
          <cell r="A1182" t="str">
            <v>大灰厂分输站</v>
          </cell>
          <cell r="B1182" t="str">
            <v>一级</v>
          </cell>
          <cell r="C1182" t="str">
            <v>陕京三线</v>
          </cell>
          <cell r="D1182" t="str">
            <v>陕京三线干线</v>
          </cell>
        </row>
        <row r="1183">
          <cell r="A1183" t="str">
            <v>陕三45#阀室</v>
          </cell>
          <cell r="B1183" t="str">
            <v>一级</v>
          </cell>
          <cell r="C1183" t="str">
            <v>陕京三线</v>
          </cell>
          <cell r="D1183" t="str">
            <v>陕京三线干线</v>
          </cell>
        </row>
        <row r="1184">
          <cell r="A1184" t="str">
            <v>潭柘寺分输站</v>
          </cell>
          <cell r="B1184" t="str">
            <v>一级</v>
          </cell>
          <cell r="C1184" t="str">
            <v>陕京三线</v>
          </cell>
          <cell r="D1184" t="str">
            <v>陕京三线干线</v>
          </cell>
        </row>
        <row r="1185">
          <cell r="A1185" t="str">
            <v>陕三46#阀室</v>
          </cell>
          <cell r="B1185" t="str">
            <v>一级</v>
          </cell>
          <cell r="C1185" t="str">
            <v>陕京三线</v>
          </cell>
          <cell r="D1185" t="str">
            <v>陕京三线干线</v>
          </cell>
        </row>
        <row r="1186">
          <cell r="A1186" t="str">
            <v>陕三47#阀室</v>
          </cell>
          <cell r="B1186" t="str">
            <v>一级</v>
          </cell>
          <cell r="C1186" t="str">
            <v>陕京三线</v>
          </cell>
          <cell r="D1186" t="str">
            <v>陕京三线干线</v>
          </cell>
        </row>
        <row r="1187">
          <cell r="A1187" t="str">
            <v>陕三48#阀室</v>
          </cell>
          <cell r="B1187" t="str">
            <v>一级</v>
          </cell>
          <cell r="C1187" t="str">
            <v>陕京三线</v>
          </cell>
          <cell r="D1187" t="str">
            <v>陕京三线干线</v>
          </cell>
        </row>
        <row r="1188">
          <cell r="A1188" t="str">
            <v>陕三49#阀室</v>
          </cell>
          <cell r="B1188" t="str">
            <v>一级</v>
          </cell>
          <cell r="C1188" t="str">
            <v>陕京三线</v>
          </cell>
          <cell r="D1188" t="str">
            <v>陕京三线干线</v>
          </cell>
        </row>
        <row r="1189">
          <cell r="A1189" t="str">
            <v>西沙屯分输站</v>
          </cell>
          <cell r="B1189" t="str">
            <v>一级</v>
          </cell>
          <cell r="C1189" t="str">
            <v>陕京三线</v>
          </cell>
          <cell r="D1189" t="str">
            <v>陕京三线干线</v>
          </cell>
        </row>
        <row r="1190">
          <cell r="A1190" t="str">
            <v>陕四1#阀室</v>
          </cell>
          <cell r="B1190" t="str">
            <v>一级</v>
          </cell>
          <cell r="C1190" t="str">
            <v>陕京四线</v>
          </cell>
          <cell r="D1190" t="str">
            <v>陕京四线干线</v>
          </cell>
        </row>
        <row r="1191">
          <cell r="A1191" t="str">
            <v>红墩界压气站</v>
          </cell>
          <cell r="B1191" t="str">
            <v>一级</v>
          </cell>
          <cell r="C1191" t="str">
            <v>陕京四线</v>
          </cell>
          <cell r="D1191" t="str">
            <v>陕京四线干线</v>
          </cell>
        </row>
        <row r="1192">
          <cell r="A1192" t="str">
            <v>陕四2#阀室</v>
          </cell>
          <cell r="B1192" t="str">
            <v>一级</v>
          </cell>
          <cell r="C1192" t="str">
            <v>陕京四线</v>
          </cell>
          <cell r="D1192" t="str">
            <v>陕京四线干线</v>
          </cell>
        </row>
        <row r="1193">
          <cell r="A1193" t="str">
            <v>陕四3#阀室</v>
          </cell>
          <cell r="B1193" t="str">
            <v>一级</v>
          </cell>
          <cell r="C1193" t="str">
            <v>陕京四线</v>
          </cell>
          <cell r="D1193" t="str">
            <v>陕京四线干线</v>
          </cell>
        </row>
        <row r="1194">
          <cell r="A1194" t="str">
            <v>陕四4#阀室</v>
          </cell>
          <cell r="B1194" t="str">
            <v>一级</v>
          </cell>
          <cell r="C1194" t="str">
            <v>陕京四线</v>
          </cell>
          <cell r="D1194" t="str">
            <v>陕京四线干线</v>
          </cell>
        </row>
        <row r="1195">
          <cell r="A1195" t="str">
            <v>陕四5#阀室</v>
          </cell>
          <cell r="B1195" t="str">
            <v>一级</v>
          </cell>
          <cell r="C1195" t="str">
            <v>陕京四线</v>
          </cell>
          <cell r="D1195" t="str">
            <v>陕京四线干线</v>
          </cell>
        </row>
        <row r="1196">
          <cell r="A1196" t="str">
            <v>陕四6#阀室</v>
          </cell>
          <cell r="B1196" t="str">
            <v>一级</v>
          </cell>
          <cell r="C1196" t="str">
            <v>陕京四线</v>
          </cell>
          <cell r="D1196" t="str">
            <v>陕京四线干线</v>
          </cell>
        </row>
        <row r="1197">
          <cell r="A1197" t="str">
            <v>陕四7#阀室</v>
          </cell>
          <cell r="B1197" t="str">
            <v>一级</v>
          </cell>
          <cell r="C1197" t="str">
            <v>陕京四线</v>
          </cell>
          <cell r="D1197" t="str">
            <v>陕京四线干线</v>
          </cell>
        </row>
        <row r="1198">
          <cell r="A1198" t="str">
            <v>陕四8#阀室</v>
          </cell>
          <cell r="B1198" t="str">
            <v>一级</v>
          </cell>
          <cell r="C1198" t="str">
            <v>陕京四线</v>
          </cell>
          <cell r="D1198" t="str">
            <v>陕京四线干线</v>
          </cell>
        </row>
        <row r="1199">
          <cell r="A1199" t="str">
            <v>陕四9#阀室</v>
          </cell>
          <cell r="B1199" t="str">
            <v>一级</v>
          </cell>
          <cell r="C1199" t="str">
            <v>陕京四线</v>
          </cell>
          <cell r="D1199" t="str">
            <v>陕京四线干线</v>
          </cell>
        </row>
        <row r="1200">
          <cell r="A1200" t="str">
            <v>鄂尔多斯压气站</v>
          </cell>
          <cell r="B1200" t="str">
            <v>一级</v>
          </cell>
          <cell r="C1200" t="str">
            <v>陕京四线</v>
          </cell>
          <cell r="D1200" t="str">
            <v>陕京四线干线</v>
          </cell>
        </row>
        <row r="1201">
          <cell r="A1201" t="str">
            <v>陕四10#阀室</v>
          </cell>
          <cell r="B1201" t="str">
            <v>一级</v>
          </cell>
          <cell r="C1201" t="str">
            <v>陕京四线</v>
          </cell>
          <cell r="D1201" t="str">
            <v>陕京四线干线</v>
          </cell>
        </row>
        <row r="1202">
          <cell r="A1202" t="str">
            <v>陕四11#阀室</v>
          </cell>
          <cell r="B1202" t="str">
            <v>一级</v>
          </cell>
          <cell r="C1202" t="str">
            <v>陕京四线</v>
          </cell>
          <cell r="D1202" t="str">
            <v>陕京四线干线</v>
          </cell>
        </row>
        <row r="1203">
          <cell r="A1203" t="str">
            <v>陕四12#阀室</v>
          </cell>
          <cell r="B1203" t="str">
            <v>一级</v>
          </cell>
          <cell r="C1203" t="str">
            <v>陕京四线</v>
          </cell>
          <cell r="D1203" t="str">
            <v>陕京四线干线</v>
          </cell>
        </row>
        <row r="1204">
          <cell r="A1204" t="str">
            <v>陕四13#阀室</v>
          </cell>
          <cell r="B1204" t="str">
            <v>一级</v>
          </cell>
          <cell r="C1204" t="str">
            <v>陕京四线</v>
          </cell>
          <cell r="D1204" t="str">
            <v>陕京四线干线</v>
          </cell>
        </row>
        <row r="1205">
          <cell r="A1205" t="str">
            <v>陕四14#阀室</v>
          </cell>
          <cell r="B1205" t="str">
            <v>一级</v>
          </cell>
          <cell r="C1205" t="str">
            <v>陕京四线</v>
          </cell>
          <cell r="D1205" t="str">
            <v>陕京四线干线</v>
          </cell>
        </row>
        <row r="1206">
          <cell r="A1206" t="str">
            <v>陕四15#阀室</v>
          </cell>
          <cell r="B1206" t="str">
            <v>一级</v>
          </cell>
          <cell r="C1206" t="str">
            <v>陕京四线</v>
          </cell>
          <cell r="D1206" t="str">
            <v>陕京四线干线</v>
          </cell>
        </row>
        <row r="1207">
          <cell r="A1207" t="str">
            <v>陕四16#阀室</v>
          </cell>
          <cell r="B1207" t="str">
            <v>一级</v>
          </cell>
          <cell r="C1207" t="str">
            <v>陕京四线</v>
          </cell>
          <cell r="D1207" t="str">
            <v>陕京四线干线</v>
          </cell>
        </row>
        <row r="1208">
          <cell r="A1208" t="str">
            <v>陕四17#阀室</v>
          </cell>
          <cell r="B1208" t="str">
            <v>一级</v>
          </cell>
          <cell r="C1208" t="str">
            <v>陕京四线</v>
          </cell>
          <cell r="D1208" t="str">
            <v>陕京四线干线</v>
          </cell>
        </row>
        <row r="1209">
          <cell r="A1209" t="str">
            <v>陕四18#阀室</v>
          </cell>
          <cell r="B1209" t="str">
            <v>一级</v>
          </cell>
          <cell r="C1209" t="str">
            <v>陕京四线</v>
          </cell>
          <cell r="D1209" t="str">
            <v>陕京四线干线</v>
          </cell>
        </row>
        <row r="1210">
          <cell r="A1210" t="str">
            <v>陕四19#阀室</v>
          </cell>
          <cell r="B1210" t="str">
            <v>一级</v>
          </cell>
          <cell r="C1210" t="str">
            <v>陕京四线</v>
          </cell>
          <cell r="D1210" t="str">
            <v>陕京四线干线</v>
          </cell>
        </row>
        <row r="1211">
          <cell r="A1211" t="str">
            <v>托克托压气站</v>
          </cell>
          <cell r="B1211" t="str">
            <v>一级</v>
          </cell>
          <cell r="C1211" t="str">
            <v>陕京四线</v>
          </cell>
          <cell r="D1211" t="str">
            <v>陕京四线干线</v>
          </cell>
        </row>
        <row r="1212">
          <cell r="A1212" t="str">
            <v>陕四20#阀室</v>
          </cell>
          <cell r="B1212" t="str">
            <v>一级</v>
          </cell>
          <cell r="C1212" t="str">
            <v>陕京四线</v>
          </cell>
          <cell r="D1212" t="str">
            <v>陕京四线干线</v>
          </cell>
        </row>
        <row r="1213">
          <cell r="A1213" t="str">
            <v>陕四21#阀室</v>
          </cell>
          <cell r="B1213" t="str">
            <v>一级</v>
          </cell>
          <cell r="C1213" t="str">
            <v>陕京四线</v>
          </cell>
          <cell r="D1213" t="str">
            <v>陕京四线干线</v>
          </cell>
        </row>
        <row r="1214">
          <cell r="A1214" t="str">
            <v>呼和浩特分输站</v>
          </cell>
          <cell r="B1214" t="str">
            <v>一级</v>
          </cell>
          <cell r="C1214" t="str">
            <v>陕京四线</v>
          </cell>
          <cell r="D1214" t="str">
            <v>陕京四线干线</v>
          </cell>
        </row>
        <row r="1215">
          <cell r="A1215" t="str">
            <v>陕四22#阀室</v>
          </cell>
          <cell r="B1215" t="str">
            <v>一级</v>
          </cell>
          <cell r="C1215" t="str">
            <v>陕京四线</v>
          </cell>
          <cell r="D1215" t="str">
            <v>陕京四线干线</v>
          </cell>
        </row>
        <row r="1216">
          <cell r="A1216" t="str">
            <v>陕四23#阀室</v>
          </cell>
          <cell r="B1216" t="str">
            <v>一级</v>
          </cell>
          <cell r="C1216" t="str">
            <v>陕京四线</v>
          </cell>
          <cell r="D1216" t="str">
            <v>陕京四线干线</v>
          </cell>
        </row>
        <row r="1217">
          <cell r="A1217" t="str">
            <v>陕四24#阀室</v>
          </cell>
          <cell r="B1217" t="str">
            <v>一级</v>
          </cell>
          <cell r="C1217" t="str">
            <v>陕京四线</v>
          </cell>
          <cell r="D1217" t="str">
            <v>陕京四线干线</v>
          </cell>
        </row>
        <row r="1218">
          <cell r="A1218" t="str">
            <v>陕四25#阀室</v>
          </cell>
          <cell r="B1218" t="str">
            <v>一级</v>
          </cell>
          <cell r="C1218" t="str">
            <v>陕京四线</v>
          </cell>
          <cell r="D1218" t="str">
            <v>陕京四线干线</v>
          </cell>
        </row>
        <row r="1219">
          <cell r="A1219" t="str">
            <v>陕四26#阀室</v>
          </cell>
          <cell r="B1219" t="str">
            <v>一级</v>
          </cell>
          <cell r="C1219" t="str">
            <v>陕京四线</v>
          </cell>
          <cell r="D1219" t="str">
            <v>陕京四线干线</v>
          </cell>
        </row>
        <row r="1220">
          <cell r="A1220" t="str">
            <v>陕四27#阀室</v>
          </cell>
          <cell r="B1220" t="str">
            <v>一级</v>
          </cell>
          <cell r="C1220" t="str">
            <v>陕京四线</v>
          </cell>
          <cell r="D1220" t="str">
            <v>陕京四线干线</v>
          </cell>
        </row>
        <row r="1221">
          <cell r="A1221" t="str">
            <v>乌兰察布压气站</v>
          </cell>
          <cell r="B1221" t="str">
            <v>一级</v>
          </cell>
          <cell r="C1221" t="str">
            <v>陕京四线</v>
          </cell>
          <cell r="D1221" t="str">
            <v>陕京四线干线</v>
          </cell>
        </row>
        <row r="1222">
          <cell r="A1222" t="str">
            <v>陕四28#阀室</v>
          </cell>
          <cell r="B1222" t="str">
            <v>一级</v>
          </cell>
          <cell r="C1222" t="str">
            <v>陕京四线</v>
          </cell>
          <cell r="D1222" t="str">
            <v>陕京四线干线</v>
          </cell>
        </row>
        <row r="1223">
          <cell r="A1223" t="str">
            <v>陕四29#阀室</v>
          </cell>
          <cell r="B1223" t="str">
            <v>一级</v>
          </cell>
          <cell r="C1223" t="str">
            <v>陕京四线</v>
          </cell>
          <cell r="D1223" t="str">
            <v>陕京四线干线</v>
          </cell>
        </row>
        <row r="1224">
          <cell r="A1224" t="str">
            <v>陕四29-1#阀室(兴和分输阀室）</v>
          </cell>
          <cell r="B1224" t="str">
            <v>一级</v>
          </cell>
          <cell r="C1224" t="str">
            <v>陕京四线</v>
          </cell>
          <cell r="D1224" t="str">
            <v>陕京四线干线</v>
          </cell>
        </row>
        <row r="1225">
          <cell r="A1225" t="str">
            <v>兴和分输站</v>
          </cell>
          <cell r="B1225" t="str">
            <v>一级</v>
          </cell>
          <cell r="C1225" t="str">
            <v>陕京四线</v>
          </cell>
          <cell r="D1225" t="str">
            <v>陕京四线干线</v>
          </cell>
        </row>
        <row r="1226">
          <cell r="A1226" t="str">
            <v>陕四30#阀室</v>
          </cell>
          <cell r="B1226" t="str">
            <v>一级</v>
          </cell>
          <cell r="C1226" t="str">
            <v>陕京四线</v>
          </cell>
          <cell r="D1226" t="str">
            <v>陕京四线干线</v>
          </cell>
        </row>
        <row r="1227">
          <cell r="A1227" t="str">
            <v>陕四31#阀室</v>
          </cell>
          <cell r="B1227" t="str">
            <v>一级</v>
          </cell>
          <cell r="C1227" t="str">
            <v>陕京四线</v>
          </cell>
          <cell r="D1227" t="str">
            <v>陕京四线干线</v>
          </cell>
        </row>
        <row r="1228">
          <cell r="A1228" t="str">
            <v>陕四32#阀室</v>
          </cell>
          <cell r="B1228" t="str">
            <v>一级</v>
          </cell>
          <cell r="C1228" t="str">
            <v>陕京四线</v>
          </cell>
          <cell r="D1228" t="str">
            <v>陕京四线干线</v>
          </cell>
        </row>
        <row r="1229">
          <cell r="A1229" t="str">
            <v>陕四33#阀室</v>
          </cell>
          <cell r="B1229" t="str">
            <v>一级</v>
          </cell>
          <cell r="C1229" t="str">
            <v>陕京四线</v>
          </cell>
          <cell r="D1229" t="str">
            <v>陕京四线干线</v>
          </cell>
        </row>
        <row r="1230">
          <cell r="A1230" t="str">
            <v>陕四34#阀室</v>
          </cell>
          <cell r="B1230" t="str">
            <v>一级</v>
          </cell>
          <cell r="C1230" t="str">
            <v>陕京四线</v>
          </cell>
          <cell r="D1230" t="str">
            <v>陕京四线干线</v>
          </cell>
        </row>
        <row r="1231">
          <cell r="A1231" t="str">
            <v>张家口压气站</v>
          </cell>
          <cell r="B1231" t="str">
            <v>一级</v>
          </cell>
          <cell r="C1231" t="str">
            <v>陕京四线</v>
          </cell>
          <cell r="D1231" t="str">
            <v>陕京四线干线</v>
          </cell>
        </row>
        <row r="1232">
          <cell r="A1232" t="str">
            <v>陕四35#阀室</v>
          </cell>
          <cell r="B1232" t="str">
            <v>一级</v>
          </cell>
          <cell r="C1232" t="str">
            <v>陕京四线</v>
          </cell>
          <cell r="D1232" t="str">
            <v>陕京四线干线</v>
          </cell>
        </row>
        <row r="1233">
          <cell r="A1233" t="str">
            <v>陕四36#阀室</v>
          </cell>
          <cell r="B1233" t="str">
            <v>一级</v>
          </cell>
          <cell r="C1233" t="str">
            <v>陕京四线</v>
          </cell>
          <cell r="D1233" t="str">
            <v>陕京四线干线</v>
          </cell>
        </row>
        <row r="1234">
          <cell r="A1234" t="str">
            <v>陕四37#阀室</v>
          </cell>
          <cell r="B1234" t="str">
            <v>一级</v>
          </cell>
          <cell r="C1234" t="str">
            <v>陕京四线</v>
          </cell>
          <cell r="D1234" t="str">
            <v>陕京四线干线</v>
          </cell>
        </row>
        <row r="1235">
          <cell r="A1235" t="str">
            <v>陕四38#阀室</v>
          </cell>
          <cell r="B1235" t="str">
            <v>一级</v>
          </cell>
          <cell r="C1235" t="str">
            <v>陕京四线</v>
          </cell>
          <cell r="D1235" t="str">
            <v>陕京四线干线</v>
          </cell>
        </row>
        <row r="1236">
          <cell r="A1236" t="str">
            <v>陕四39#阀室</v>
          </cell>
          <cell r="B1236" t="str">
            <v>一级</v>
          </cell>
          <cell r="C1236" t="str">
            <v>陕京四线</v>
          </cell>
          <cell r="D1236" t="str">
            <v>陕京四线干线</v>
          </cell>
        </row>
        <row r="1237">
          <cell r="A1237" t="str">
            <v>陕四40#阀室</v>
          </cell>
          <cell r="B1237" t="str">
            <v>一级</v>
          </cell>
          <cell r="C1237" t="str">
            <v>陕京四线</v>
          </cell>
          <cell r="D1237" t="str">
            <v>陕京四线干线</v>
          </cell>
        </row>
        <row r="1238">
          <cell r="A1238" t="str">
            <v>陕四41#阀室</v>
          </cell>
          <cell r="B1238" t="str">
            <v>一级</v>
          </cell>
          <cell r="C1238" t="str">
            <v>陕京四线</v>
          </cell>
          <cell r="D1238" t="str">
            <v>陕京四线干线</v>
          </cell>
        </row>
        <row r="1239">
          <cell r="A1239" t="str">
            <v>延庆分输站</v>
          </cell>
          <cell r="B1239" t="str">
            <v>一级</v>
          </cell>
          <cell r="C1239" t="str">
            <v>陕京四线</v>
          </cell>
          <cell r="D1239" t="str">
            <v>陕京四线干线</v>
          </cell>
        </row>
        <row r="1240">
          <cell r="A1240" t="str">
            <v>陕四42#阀室</v>
          </cell>
          <cell r="B1240" t="str">
            <v>一级</v>
          </cell>
          <cell r="C1240" t="str">
            <v>陕京四线</v>
          </cell>
          <cell r="D1240" t="str">
            <v>陕京四线干线</v>
          </cell>
        </row>
        <row r="1241">
          <cell r="A1241" t="str">
            <v>陕四43#阀室</v>
          </cell>
          <cell r="B1241" t="str">
            <v>一级</v>
          </cell>
          <cell r="C1241" t="str">
            <v>陕京四线</v>
          </cell>
          <cell r="D1241" t="str">
            <v>陕京四线干线</v>
          </cell>
        </row>
        <row r="1242">
          <cell r="A1242" t="str">
            <v>陕四44#阀室</v>
          </cell>
          <cell r="B1242" t="str">
            <v>一级</v>
          </cell>
          <cell r="C1242" t="str">
            <v>陕京四线</v>
          </cell>
          <cell r="D1242" t="str">
            <v>陕京四线干线</v>
          </cell>
        </row>
        <row r="1243">
          <cell r="A1243" t="str">
            <v>陕四45#阀室</v>
          </cell>
          <cell r="B1243" t="str">
            <v>一级</v>
          </cell>
          <cell r="C1243" t="str">
            <v>陕京四线</v>
          </cell>
          <cell r="D1243" t="str">
            <v>陕京四线干线</v>
          </cell>
        </row>
        <row r="1244">
          <cell r="A1244" t="str">
            <v>高丽营分输站</v>
          </cell>
          <cell r="B1244" t="str">
            <v>一级</v>
          </cell>
          <cell r="C1244" t="str">
            <v>陕京四线</v>
          </cell>
          <cell r="D1244" t="str">
            <v>陕京四线干线</v>
          </cell>
        </row>
        <row r="1245">
          <cell r="A1245" t="str">
            <v>高西1#阀室</v>
          </cell>
          <cell r="B1245" t="str">
            <v>一级</v>
          </cell>
          <cell r="C1245" t="str">
            <v>陕京四线</v>
          </cell>
          <cell r="D1245" t="str">
            <v>高丽营-西沙屯支线</v>
          </cell>
        </row>
        <row r="1246">
          <cell r="A1246" t="str">
            <v>高西2#阀室</v>
          </cell>
          <cell r="B1246" t="str">
            <v>一级</v>
          </cell>
          <cell r="C1246" t="str">
            <v>陕京四线</v>
          </cell>
          <cell r="D1246" t="str">
            <v>高丽营-西沙屯支线</v>
          </cell>
        </row>
        <row r="1247">
          <cell r="A1247" t="str">
            <v>香屯分输站</v>
          </cell>
          <cell r="B1247" t="str">
            <v>一级</v>
          </cell>
          <cell r="C1247" t="str">
            <v>陕京四线</v>
          </cell>
          <cell r="D1247" t="str">
            <v>高丽营-西沙屯支线</v>
          </cell>
        </row>
        <row r="1248">
          <cell r="A1248" t="str">
            <v>高西3#阀室</v>
          </cell>
          <cell r="B1248" t="str">
            <v>一级</v>
          </cell>
          <cell r="C1248" t="str">
            <v>陕京四线</v>
          </cell>
          <cell r="D1248" t="str">
            <v>高丽营-西沙屯支线</v>
          </cell>
        </row>
        <row r="1249">
          <cell r="A1249" t="str">
            <v>高西4#阀室</v>
          </cell>
          <cell r="B1249" t="str">
            <v>一级</v>
          </cell>
          <cell r="C1249" t="str">
            <v>陕京四线</v>
          </cell>
          <cell r="D1249" t="str">
            <v>高丽营-西沙屯支线</v>
          </cell>
        </row>
        <row r="1250">
          <cell r="A1250" t="str">
            <v>巴克什营首站</v>
          </cell>
          <cell r="B1250" t="str">
            <v>一级</v>
          </cell>
          <cell r="C1250" t="str">
            <v>陕京四线</v>
          </cell>
          <cell r="D1250" t="str">
            <v>大唐煤制气管道</v>
          </cell>
        </row>
        <row r="1251">
          <cell r="A1251" t="str">
            <v>大唐1#阀室</v>
          </cell>
          <cell r="B1251" t="str">
            <v>一级</v>
          </cell>
          <cell r="C1251" t="str">
            <v>陕京四线</v>
          </cell>
          <cell r="D1251" t="str">
            <v>大唐煤制气管道</v>
          </cell>
        </row>
        <row r="1252">
          <cell r="A1252" t="str">
            <v>大唐2#阀室</v>
          </cell>
          <cell r="B1252" t="str">
            <v>一级</v>
          </cell>
          <cell r="C1252" t="str">
            <v>陕京四线</v>
          </cell>
          <cell r="D1252" t="str">
            <v>大唐煤制气管道</v>
          </cell>
        </row>
        <row r="1253">
          <cell r="A1253" t="str">
            <v>密云分输站</v>
          </cell>
          <cell r="B1253" t="str">
            <v>一级</v>
          </cell>
          <cell r="C1253" t="str">
            <v>陕京四线</v>
          </cell>
          <cell r="D1253" t="str">
            <v>大唐煤制气管道</v>
          </cell>
        </row>
        <row r="1254">
          <cell r="A1254" t="str">
            <v>大唐3#阀室</v>
          </cell>
          <cell r="B1254" t="str">
            <v>一级</v>
          </cell>
          <cell r="C1254" t="str">
            <v>陕京四线</v>
          </cell>
          <cell r="D1254" t="str">
            <v>大唐煤制气管道</v>
          </cell>
        </row>
        <row r="1255">
          <cell r="A1255" t="str">
            <v>大唐4#阀室</v>
          </cell>
          <cell r="B1255" t="str">
            <v>一级</v>
          </cell>
          <cell r="C1255" t="str">
            <v>陕京四线</v>
          </cell>
          <cell r="D1255" t="str">
            <v>大唐煤制气管道</v>
          </cell>
        </row>
        <row r="1256">
          <cell r="A1256" t="str">
            <v>大唐5#阀室</v>
          </cell>
          <cell r="B1256" t="str">
            <v>一级</v>
          </cell>
          <cell r="C1256" t="str">
            <v>陕京四线</v>
          </cell>
          <cell r="D1256" t="str">
            <v>大唐煤制气管道</v>
          </cell>
        </row>
        <row r="1257">
          <cell r="A1257" t="str">
            <v>木林分输站</v>
          </cell>
          <cell r="B1257" t="str">
            <v>一级</v>
          </cell>
          <cell r="C1257" t="str">
            <v>陕京四线</v>
          </cell>
          <cell r="D1257" t="str">
            <v>大唐煤制气管道</v>
          </cell>
        </row>
        <row r="1258">
          <cell r="A1258" t="str">
            <v>大唐7#阀室</v>
          </cell>
          <cell r="B1258" t="str">
            <v>一级</v>
          </cell>
          <cell r="C1258" t="str">
            <v>陕京四线</v>
          </cell>
          <cell r="D1258" t="str">
            <v>大唐煤制气管道</v>
          </cell>
        </row>
        <row r="1259">
          <cell r="A1259" t="str">
            <v>大唐8#阀室</v>
          </cell>
          <cell r="B1259" t="str">
            <v>一级</v>
          </cell>
          <cell r="C1259" t="str">
            <v>陕京四线</v>
          </cell>
          <cell r="D1259" t="str">
            <v>大唐煤制气管道</v>
          </cell>
        </row>
        <row r="1260">
          <cell r="A1260" t="str">
            <v>苑家庄阀室</v>
          </cell>
          <cell r="B1260" t="str">
            <v>一级</v>
          </cell>
          <cell r="C1260" t="str">
            <v>陕京四线</v>
          </cell>
          <cell r="D1260" t="str">
            <v>宝香西管道</v>
          </cell>
        </row>
        <row r="1261">
          <cell r="A1261" t="str">
            <v>独立庄阀室</v>
          </cell>
          <cell r="B1261" t="str">
            <v>一级</v>
          </cell>
          <cell r="C1261" t="str">
            <v>陕京四线</v>
          </cell>
          <cell r="D1261" t="str">
            <v>宝香西管道</v>
          </cell>
        </row>
        <row r="1262">
          <cell r="A1262" t="str">
            <v>香河分输站</v>
          </cell>
          <cell r="B1262" t="str">
            <v>一级</v>
          </cell>
          <cell r="C1262" t="str">
            <v>陕京四线</v>
          </cell>
          <cell r="D1262" t="str">
            <v>宝香西管道</v>
          </cell>
        </row>
        <row r="1263">
          <cell r="A1263" t="str">
            <v>钱旺分输站</v>
          </cell>
          <cell r="B1263" t="str">
            <v>一级</v>
          </cell>
          <cell r="C1263" t="str">
            <v>陕京四线</v>
          </cell>
          <cell r="D1263" t="str">
            <v>宝香西管道</v>
          </cell>
        </row>
        <row r="1264">
          <cell r="A1264" t="str">
            <v>大荒庄阀室</v>
          </cell>
          <cell r="B1264" t="str">
            <v>一级</v>
          </cell>
          <cell r="C1264" t="str">
            <v>陕京四线</v>
          </cell>
          <cell r="D1264" t="str">
            <v>宝香西管道</v>
          </cell>
        </row>
        <row r="1265">
          <cell r="A1265" t="str">
            <v>密马1#阀室</v>
          </cell>
          <cell r="B1265" t="str">
            <v>一级</v>
          </cell>
          <cell r="C1265" t="str">
            <v>陕京四线</v>
          </cell>
          <cell r="D1265" t="str">
            <v>密云-马坊联络线</v>
          </cell>
        </row>
        <row r="1266">
          <cell r="A1266" t="str">
            <v>密马2#阀室</v>
          </cell>
          <cell r="B1266" t="str">
            <v>一级</v>
          </cell>
          <cell r="C1266" t="str">
            <v>陕京四线</v>
          </cell>
          <cell r="D1266" t="str">
            <v>密云-马坊联络线</v>
          </cell>
        </row>
        <row r="1267">
          <cell r="A1267" t="str">
            <v>密马3#阀室</v>
          </cell>
          <cell r="B1267" t="str">
            <v>一级</v>
          </cell>
          <cell r="C1267" t="str">
            <v>陕京四线</v>
          </cell>
          <cell r="D1267" t="str">
            <v>密云-马坊联络线</v>
          </cell>
        </row>
        <row r="1268">
          <cell r="A1268" t="str">
            <v>密马4#阀室</v>
          </cell>
          <cell r="B1268" t="str">
            <v>一级</v>
          </cell>
          <cell r="C1268" t="str">
            <v>陕京四线</v>
          </cell>
          <cell r="D1268" t="str">
            <v>密云-马坊联络线</v>
          </cell>
        </row>
        <row r="1269">
          <cell r="A1269" t="str">
            <v>陕京马坊分输站</v>
          </cell>
          <cell r="B1269" t="str">
            <v>一级</v>
          </cell>
          <cell r="C1269" t="str">
            <v>陕京四线</v>
          </cell>
          <cell r="D1269" t="str">
            <v>密云-马坊联络线</v>
          </cell>
        </row>
        <row r="1270">
          <cell r="A1270" t="str">
            <v>三河分输站</v>
          </cell>
          <cell r="B1270" t="str">
            <v>一级</v>
          </cell>
          <cell r="C1270" t="str">
            <v>陕京四线</v>
          </cell>
          <cell r="D1270" t="str">
            <v>马坊-香河支干线</v>
          </cell>
        </row>
        <row r="1271">
          <cell r="A1271" t="str">
            <v>马香1#阀室</v>
          </cell>
          <cell r="B1271" t="str">
            <v>一级</v>
          </cell>
          <cell r="C1271" t="str">
            <v>陕京四线</v>
          </cell>
          <cell r="D1271" t="str">
            <v>马坊-香河支干线</v>
          </cell>
        </row>
        <row r="1272">
          <cell r="A1272" t="str">
            <v>应张末站</v>
          </cell>
          <cell r="B1272" t="str">
            <v>一级</v>
          </cell>
          <cell r="C1272" t="str">
            <v>陕京四线</v>
          </cell>
          <cell r="D1272" t="str">
            <v>应张联络线</v>
          </cell>
        </row>
        <row r="1273">
          <cell r="A1273" t="str">
            <v>怀来首站</v>
          </cell>
          <cell r="B1273" t="str">
            <v>一级</v>
          </cell>
          <cell r="C1273" t="str">
            <v>陕京四线</v>
          </cell>
          <cell r="D1273" t="str">
            <v>怀来支线</v>
          </cell>
        </row>
        <row r="1274">
          <cell r="A1274" t="str">
            <v>怀来末站</v>
          </cell>
          <cell r="B1274" t="str">
            <v>一级</v>
          </cell>
          <cell r="C1274" t="str">
            <v>陕京四线</v>
          </cell>
          <cell r="D1274" t="str">
            <v>怀来支线</v>
          </cell>
        </row>
        <row r="1275">
          <cell r="A1275" t="str">
            <v>南山分输站</v>
          </cell>
          <cell r="B1275" t="str">
            <v>一级</v>
          </cell>
          <cell r="C1275" t="str">
            <v>陕京四线</v>
          </cell>
          <cell r="D1275" t="str">
            <v>怀安支线</v>
          </cell>
        </row>
        <row r="1276">
          <cell r="A1276" t="str">
            <v>左卫分输站</v>
          </cell>
          <cell r="B1276" t="str">
            <v>一级</v>
          </cell>
          <cell r="C1276" t="str">
            <v>陕京四线</v>
          </cell>
          <cell r="D1276" t="str">
            <v>怀安支线</v>
          </cell>
        </row>
        <row r="1277">
          <cell r="A1277" t="str">
            <v>怀安末站</v>
          </cell>
          <cell r="B1277" t="str">
            <v>一级</v>
          </cell>
          <cell r="C1277" t="str">
            <v>陕京四线</v>
          </cell>
          <cell r="D1277" t="str">
            <v>怀安支线</v>
          </cell>
        </row>
        <row r="1278">
          <cell r="A1278" t="str">
            <v>下花园首站</v>
          </cell>
          <cell r="B1278" t="str">
            <v>一级</v>
          </cell>
          <cell r="C1278" t="str">
            <v>陕京四线</v>
          </cell>
          <cell r="D1278" t="str">
            <v>下花园支线</v>
          </cell>
        </row>
        <row r="1279">
          <cell r="A1279" t="str">
            <v>张家堡分输站</v>
          </cell>
          <cell r="B1279" t="str">
            <v>一级</v>
          </cell>
          <cell r="C1279" t="str">
            <v>陕京四线</v>
          </cell>
          <cell r="D1279" t="str">
            <v>下花园支线</v>
          </cell>
        </row>
        <row r="1280">
          <cell r="A1280" t="str">
            <v>涿鹿末站</v>
          </cell>
          <cell r="B1280" t="str">
            <v>一级</v>
          </cell>
          <cell r="C1280" t="str">
            <v>陕京四线</v>
          </cell>
          <cell r="D1280" t="str">
            <v>下花园支线</v>
          </cell>
        </row>
        <row r="1281">
          <cell r="A1281" t="str">
            <v>安家堡分输站</v>
          </cell>
          <cell r="B1281" t="str">
            <v>一级</v>
          </cell>
          <cell r="C1281" t="str">
            <v>陕京四线</v>
          </cell>
          <cell r="D1281" t="str">
            <v>万全支线</v>
          </cell>
        </row>
        <row r="1282">
          <cell r="A1282" t="str">
            <v>安次分输站</v>
          </cell>
          <cell r="B1282" t="str">
            <v>一级</v>
          </cell>
          <cell r="C1282" t="str">
            <v>永唐秦管道</v>
          </cell>
          <cell r="D1282" t="str">
            <v>永唐秦干线</v>
          </cell>
        </row>
        <row r="1283">
          <cell r="A1283" t="str">
            <v>永唐秦2#阀室</v>
          </cell>
          <cell r="B1283" t="str">
            <v>一级</v>
          </cell>
          <cell r="C1283" t="str">
            <v>永唐秦管道</v>
          </cell>
          <cell r="D1283" t="str">
            <v>永唐秦干线</v>
          </cell>
        </row>
        <row r="1284">
          <cell r="A1284" t="str">
            <v>永唐秦3#阀室</v>
          </cell>
          <cell r="B1284" t="str">
            <v>一级</v>
          </cell>
          <cell r="C1284" t="str">
            <v>永唐秦管道</v>
          </cell>
          <cell r="D1284" t="str">
            <v>永唐秦干线</v>
          </cell>
        </row>
        <row r="1285">
          <cell r="A1285" t="str">
            <v>永唐秦4#阀室</v>
          </cell>
          <cell r="B1285" t="str">
            <v>一级</v>
          </cell>
          <cell r="C1285" t="str">
            <v>永唐秦管道</v>
          </cell>
          <cell r="D1285" t="str">
            <v>永唐秦干线</v>
          </cell>
        </row>
        <row r="1286">
          <cell r="A1286" t="str">
            <v>武清分输站</v>
          </cell>
          <cell r="B1286" t="str">
            <v>一级</v>
          </cell>
          <cell r="C1286" t="str">
            <v>永唐秦管道</v>
          </cell>
          <cell r="D1286" t="str">
            <v>永唐秦干线</v>
          </cell>
        </row>
        <row r="1287">
          <cell r="A1287" t="str">
            <v>宝坻分输站</v>
          </cell>
          <cell r="B1287" t="str">
            <v>一级</v>
          </cell>
          <cell r="C1287" t="str">
            <v>永唐秦管道</v>
          </cell>
          <cell r="D1287" t="str">
            <v>永唐秦干线</v>
          </cell>
        </row>
        <row r="1288">
          <cell r="A1288" t="str">
            <v>永唐秦6#阀室</v>
          </cell>
          <cell r="B1288" t="str">
            <v>一级</v>
          </cell>
          <cell r="C1288" t="str">
            <v>永唐秦管道</v>
          </cell>
          <cell r="D1288" t="str">
            <v>永唐秦干线</v>
          </cell>
        </row>
        <row r="1289">
          <cell r="A1289" t="str">
            <v>永唐秦7#阀室</v>
          </cell>
          <cell r="B1289" t="str">
            <v>一级</v>
          </cell>
          <cell r="C1289" t="str">
            <v>永唐秦管道</v>
          </cell>
          <cell r="D1289" t="str">
            <v>永唐秦干线</v>
          </cell>
        </row>
        <row r="1290">
          <cell r="A1290" t="str">
            <v>永唐秦8#阀室</v>
          </cell>
          <cell r="B1290" t="str">
            <v>一级</v>
          </cell>
          <cell r="C1290" t="str">
            <v>永唐秦管道</v>
          </cell>
          <cell r="D1290" t="str">
            <v>永唐秦干线</v>
          </cell>
        </row>
        <row r="1291">
          <cell r="A1291" t="str">
            <v>唐山压气站</v>
          </cell>
          <cell r="B1291" t="str">
            <v>一级</v>
          </cell>
          <cell r="C1291" t="str">
            <v>永唐秦管道</v>
          </cell>
          <cell r="D1291" t="str">
            <v>永唐秦干线</v>
          </cell>
        </row>
        <row r="1292">
          <cell r="A1292" t="str">
            <v>永唐秦9#阀室</v>
          </cell>
          <cell r="B1292" t="str">
            <v>一级</v>
          </cell>
          <cell r="C1292" t="str">
            <v>永唐秦管道</v>
          </cell>
          <cell r="D1292" t="str">
            <v>永唐秦干线</v>
          </cell>
        </row>
        <row r="1293">
          <cell r="A1293" t="str">
            <v>永唐秦10#阀室</v>
          </cell>
          <cell r="B1293" t="str">
            <v>一级</v>
          </cell>
          <cell r="C1293" t="str">
            <v>永唐秦管道</v>
          </cell>
          <cell r="D1293" t="str">
            <v>永唐秦干线</v>
          </cell>
        </row>
        <row r="1294">
          <cell r="A1294" t="str">
            <v>永唐秦11#阀室</v>
          </cell>
          <cell r="B1294" t="str">
            <v>一级</v>
          </cell>
          <cell r="C1294" t="str">
            <v>永唐秦管道</v>
          </cell>
          <cell r="D1294" t="str">
            <v>永唐秦干线</v>
          </cell>
        </row>
        <row r="1295">
          <cell r="A1295" t="str">
            <v>迁安分输站</v>
          </cell>
          <cell r="B1295" t="str">
            <v>一级</v>
          </cell>
          <cell r="C1295" t="str">
            <v>永唐秦管道</v>
          </cell>
          <cell r="D1295" t="str">
            <v>永唐秦干线</v>
          </cell>
        </row>
        <row r="1296">
          <cell r="A1296" t="str">
            <v>建朗分输站</v>
          </cell>
          <cell r="B1296" t="str">
            <v>一级</v>
          </cell>
          <cell r="C1296" t="str">
            <v>永唐秦管道</v>
          </cell>
          <cell r="D1296" t="str">
            <v>永唐秦干线</v>
          </cell>
        </row>
        <row r="1297">
          <cell r="A1297" t="str">
            <v>卢龙分输站</v>
          </cell>
          <cell r="B1297" t="str">
            <v>一级</v>
          </cell>
          <cell r="C1297" t="str">
            <v>永唐秦管道</v>
          </cell>
          <cell r="D1297" t="str">
            <v>永唐秦干线</v>
          </cell>
        </row>
        <row r="1298">
          <cell r="A1298" t="str">
            <v>永唐秦14#阀室</v>
          </cell>
          <cell r="B1298" t="str">
            <v>一级</v>
          </cell>
          <cell r="C1298" t="str">
            <v>永唐秦管道</v>
          </cell>
          <cell r="D1298" t="str">
            <v>永唐秦干线</v>
          </cell>
        </row>
        <row r="1299">
          <cell r="A1299" t="str">
            <v>抚宁分输站</v>
          </cell>
          <cell r="B1299" t="str">
            <v>一级</v>
          </cell>
          <cell r="C1299" t="str">
            <v>永唐秦管道</v>
          </cell>
          <cell r="D1299" t="str">
            <v>永唐秦干线</v>
          </cell>
        </row>
        <row r="1300">
          <cell r="A1300" t="str">
            <v>秦皇岛分输站</v>
          </cell>
          <cell r="B1300" t="str">
            <v>一级</v>
          </cell>
          <cell r="C1300" t="str">
            <v>永唐秦管道</v>
          </cell>
          <cell r="D1300" t="str">
            <v>永唐秦干线</v>
          </cell>
        </row>
        <row r="1301">
          <cell r="A1301" t="str">
            <v>压维1#阀室</v>
          </cell>
          <cell r="B1301" t="str">
            <v>一级</v>
          </cell>
          <cell r="C1301" t="str">
            <v>永唐秦管道</v>
          </cell>
          <cell r="D1301" t="str">
            <v>压缩机维检修支线</v>
          </cell>
        </row>
        <row r="1302">
          <cell r="A1302" t="str">
            <v>廊坊分输站</v>
          </cell>
          <cell r="B1302" t="str">
            <v>一级</v>
          </cell>
          <cell r="C1302" t="str">
            <v>永唐秦管道</v>
          </cell>
          <cell r="D1302" t="str">
            <v>压缩机维检修支线</v>
          </cell>
        </row>
        <row r="1303">
          <cell r="A1303" t="str">
            <v>唐山LNG首站</v>
          </cell>
          <cell r="B1303" t="str">
            <v>一级</v>
          </cell>
          <cell r="C1303" t="str">
            <v>唐山LNG外输管道</v>
          </cell>
          <cell r="D1303" t="str">
            <v>唐山LNG外输管道</v>
          </cell>
        </row>
        <row r="1304">
          <cell r="A1304" t="str">
            <v>唐山LNG1#阀室</v>
          </cell>
          <cell r="B1304" t="str">
            <v>一级</v>
          </cell>
          <cell r="C1304" t="str">
            <v>唐山LNG外输管道</v>
          </cell>
          <cell r="D1304" t="str">
            <v>唐山LNG外输管道</v>
          </cell>
        </row>
        <row r="1305">
          <cell r="A1305" t="str">
            <v>唐山LNG2#阀室</v>
          </cell>
          <cell r="B1305" t="str">
            <v>一级</v>
          </cell>
          <cell r="C1305" t="str">
            <v>唐山LNG外输管道</v>
          </cell>
          <cell r="D1305" t="str">
            <v>唐山LNG外输管道</v>
          </cell>
        </row>
        <row r="1306">
          <cell r="A1306" t="str">
            <v>唐山LNG3#阀室</v>
          </cell>
          <cell r="B1306" t="str">
            <v>一级</v>
          </cell>
          <cell r="C1306" t="str">
            <v>唐山LNG外输管道</v>
          </cell>
          <cell r="D1306" t="str">
            <v>唐山LNG外输管道</v>
          </cell>
        </row>
        <row r="1307">
          <cell r="A1307" t="str">
            <v>丰南分输站</v>
          </cell>
          <cell r="B1307" t="str">
            <v>一级</v>
          </cell>
          <cell r="C1307" t="str">
            <v>唐山LNG外输管道</v>
          </cell>
          <cell r="D1307" t="str">
            <v>唐山LNG外输管道</v>
          </cell>
        </row>
        <row r="1308">
          <cell r="A1308" t="str">
            <v>唐山LNG4#阀室</v>
          </cell>
          <cell r="B1308" t="str">
            <v>一级</v>
          </cell>
          <cell r="C1308" t="str">
            <v>唐山LNG外输管道</v>
          </cell>
          <cell r="D1308" t="str">
            <v>唐山LNG外输管道</v>
          </cell>
        </row>
        <row r="1309">
          <cell r="A1309" t="str">
            <v>唐山LNG5#阀室</v>
          </cell>
          <cell r="B1309" t="str">
            <v>一级</v>
          </cell>
          <cell r="C1309" t="str">
            <v>唐山LNG外输管道</v>
          </cell>
          <cell r="D1309" t="str">
            <v>唐山LNG外输管道</v>
          </cell>
        </row>
        <row r="1310">
          <cell r="A1310" t="str">
            <v>唐山LNG南塘1#阀室</v>
          </cell>
          <cell r="B1310" t="str">
            <v>一级</v>
          </cell>
          <cell r="C1310" t="str">
            <v>唐山LNG外输管道</v>
          </cell>
          <cell r="D1310" t="str">
            <v>唐山LNG外输管道</v>
          </cell>
        </row>
        <row r="1311">
          <cell r="A1311" t="str">
            <v>涩北压气站</v>
          </cell>
          <cell r="B1311" t="str">
            <v>一级</v>
          </cell>
          <cell r="C1311" t="str">
            <v>涩宁兰管道</v>
          </cell>
          <cell r="D1311" t="str">
            <v>涩宁兰管道干线</v>
          </cell>
        </row>
        <row r="1312">
          <cell r="A1312" t="str">
            <v>涩宁兰1#阀室</v>
          </cell>
          <cell r="B1312" t="str">
            <v>一级</v>
          </cell>
          <cell r="C1312" t="str">
            <v>涩宁兰管道</v>
          </cell>
          <cell r="D1312" t="str">
            <v>涩宁兰管道干线</v>
          </cell>
        </row>
        <row r="1313">
          <cell r="A1313" t="str">
            <v>涩宁兰2#阀室</v>
          </cell>
          <cell r="B1313" t="str">
            <v>一级</v>
          </cell>
          <cell r="C1313" t="str">
            <v>涩宁兰管道</v>
          </cell>
          <cell r="D1313" t="str">
            <v>涩宁兰管道干线</v>
          </cell>
        </row>
        <row r="1314">
          <cell r="A1314" t="str">
            <v>涩宁兰3#阀室</v>
          </cell>
          <cell r="B1314" t="str">
            <v>一级</v>
          </cell>
          <cell r="C1314" t="str">
            <v>涩宁兰管道</v>
          </cell>
          <cell r="D1314" t="str">
            <v>涩宁兰管道干线</v>
          </cell>
        </row>
        <row r="1315">
          <cell r="A1315" t="str">
            <v>涩宁兰4#阀室</v>
          </cell>
          <cell r="B1315" t="str">
            <v>一级</v>
          </cell>
          <cell r="C1315" t="str">
            <v>涩宁兰管道</v>
          </cell>
          <cell r="D1315" t="str">
            <v>涩宁兰管道干线</v>
          </cell>
        </row>
        <row r="1316">
          <cell r="A1316" t="str">
            <v>涩宁兰5#阀室</v>
          </cell>
          <cell r="B1316" t="str">
            <v>一级</v>
          </cell>
          <cell r="C1316" t="str">
            <v>涩宁兰管道</v>
          </cell>
          <cell r="D1316" t="str">
            <v>涩宁兰管道干线</v>
          </cell>
        </row>
        <row r="1317">
          <cell r="A1317" t="str">
            <v>涩宁兰6#阀室</v>
          </cell>
          <cell r="B1317" t="str">
            <v>一级</v>
          </cell>
          <cell r="C1317" t="str">
            <v>涩宁兰管道</v>
          </cell>
          <cell r="D1317" t="str">
            <v>涩宁兰管道干线</v>
          </cell>
        </row>
        <row r="1318">
          <cell r="A1318" t="str">
            <v>涩宁兰7#阀室</v>
          </cell>
          <cell r="B1318" t="str">
            <v>一级</v>
          </cell>
          <cell r="C1318" t="str">
            <v>涩宁兰管道</v>
          </cell>
          <cell r="D1318" t="str">
            <v>涩宁兰管道干线</v>
          </cell>
        </row>
        <row r="1319">
          <cell r="A1319" t="str">
            <v>羊肠子沟压气站</v>
          </cell>
          <cell r="B1319" t="str">
            <v>一级</v>
          </cell>
          <cell r="C1319" t="str">
            <v>涩宁兰管道</v>
          </cell>
          <cell r="D1319" t="str">
            <v>涩宁兰管道干线</v>
          </cell>
        </row>
        <row r="1320">
          <cell r="A1320" t="str">
            <v>涩宁兰8#阀室</v>
          </cell>
          <cell r="B1320" t="str">
            <v>一级</v>
          </cell>
          <cell r="C1320" t="str">
            <v>涩宁兰管道</v>
          </cell>
          <cell r="D1320" t="str">
            <v>涩宁兰管道干线</v>
          </cell>
        </row>
        <row r="1321">
          <cell r="A1321" t="str">
            <v>涩宁兰9#阀室</v>
          </cell>
          <cell r="B1321" t="str">
            <v>一级</v>
          </cell>
          <cell r="C1321" t="str">
            <v>涩宁兰管道</v>
          </cell>
          <cell r="D1321" t="str">
            <v>涩宁兰管道干线</v>
          </cell>
        </row>
        <row r="1322">
          <cell r="A1322" t="str">
            <v>涩宁兰10#阀室</v>
          </cell>
          <cell r="B1322" t="str">
            <v>一级</v>
          </cell>
          <cell r="C1322" t="str">
            <v>涩宁兰管道</v>
          </cell>
          <cell r="D1322" t="str">
            <v>涩宁兰管道干线</v>
          </cell>
        </row>
        <row r="1323">
          <cell r="A1323" t="str">
            <v>涩宁兰11#阀室</v>
          </cell>
          <cell r="B1323" t="str">
            <v>一级</v>
          </cell>
          <cell r="C1323" t="str">
            <v>涩宁兰管道</v>
          </cell>
          <cell r="D1323" t="str">
            <v>涩宁兰管道干线</v>
          </cell>
        </row>
        <row r="1324">
          <cell r="A1324" t="str">
            <v>德令哈分输站</v>
          </cell>
          <cell r="B1324" t="str">
            <v>一级</v>
          </cell>
          <cell r="C1324" t="str">
            <v>涩宁兰管道</v>
          </cell>
          <cell r="D1324" t="str">
            <v>涩宁兰管道干线</v>
          </cell>
        </row>
        <row r="1325">
          <cell r="A1325" t="str">
            <v>涩宁兰12#阀室</v>
          </cell>
          <cell r="B1325" t="str">
            <v>一级</v>
          </cell>
          <cell r="C1325" t="str">
            <v>涩宁兰管道</v>
          </cell>
          <cell r="D1325" t="str">
            <v>涩宁兰管道干线</v>
          </cell>
        </row>
        <row r="1326">
          <cell r="A1326" t="str">
            <v>涩宁兰13#阀室</v>
          </cell>
          <cell r="B1326" t="str">
            <v>一级</v>
          </cell>
          <cell r="C1326" t="str">
            <v>涩宁兰管道</v>
          </cell>
          <cell r="D1326" t="str">
            <v>涩宁兰管道干线</v>
          </cell>
        </row>
        <row r="1327">
          <cell r="A1327" t="str">
            <v>涩宁兰14#阀室</v>
          </cell>
          <cell r="B1327" t="str">
            <v>一级</v>
          </cell>
          <cell r="C1327" t="str">
            <v>涩宁兰管道</v>
          </cell>
          <cell r="D1327" t="str">
            <v>涩宁兰管道干线</v>
          </cell>
        </row>
        <row r="1328">
          <cell r="A1328" t="str">
            <v>乌兰压气站</v>
          </cell>
          <cell r="B1328" t="str">
            <v>一级</v>
          </cell>
          <cell r="C1328" t="str">
            <v>涩宁兰管道</v>
          </cell>
          <cell r="D1328" t="str">
            <v>涩宁兰管道干线</v>
          </cell>
        </row>
        <row r="1329">
          <cell r="A1329" t="str">
            <v>涩宁兰15#阀室</v>
          </cell>
          <cell r="B1329" t="str">
            <v>一级</v>
          </cell>
          <cell r="C1329" t="str">
            <v>涩宁兰管道</v>
          </cell>
          <cell r="D1329" t="str">
            <v>涩宁兰管道干线</v>
          </cell>
        </row>
        <row r="1330">
          <cell r="A1330" t="str">
            <v>涩宁兰16#阀室</v>
          </cell>
          <cell r="B1330" t="str">
            <v>一级</v>
          </cell>
          <cell r="C1330" t="str">
            <v>涩宁兰管道</v>
          </cell>
          <cell r="D1330" t="str">
            <v>涩宁兰管道干线</v>
          </cell>
        </row>
        <row r="1331">
          <cell r="A1331" t="str">
            <v>涩宁兰17#阀室</v>
          </cell>
          <cell r="B1331" t="str">
            <v>一级</v>
          </cell>
          <cell r="C1331" t="str">
            <v>涩宁兰管道</v>
          </cell>
          <cell r="D1331" t="str">
            <v>涩宁兰管道干线</v>
          </cell>
        </row>
        <row r="1332">
          <cell r="A1332" t="str">
            <v>涩宁兰18#阀室</v>
          </cell>
          <cell r="B1332" t="str">
            <v>一级</v>
          </cell>
          <cell r="C1332" t="str">
            <v>涩宁兰管道</v>
          </cell>
          <cell r="D1332" t="str">
            <v>涩宁兰管道干线</v>
          </cell>
        </row>
        <row r="1333">
          <cell r="A1333" t="str">
            <v>大水桥清管站</v>
          </cell>
          <cell r="B1333" t="str">
            <v>一级</v>
          </cell>
          <cell r="C1333" t="str">
            <v>涩宁兰管道</v>
          </cell>
          <cell r="D1333" t="str">
            <v>涩宁兰管道干线</v>
          </cell>
        </row>
        <row r="1334">
          <cell r="A1334" t="str">
            <v>涩宁兰19#阀室</v>
          </cell>
          <cell r="B1334" t="str">
            <v>一级</v>
          </cell>
          <cell r="C1334" t="str">
            <v>涩宁兰管道</v>
          </cell>
          <cell r="D1334" t="str">
            <v>涩宁兰管道干线</v>
          </cell>
        </row>
        <row r="1335">
          <cell r="A1335" t="str">
            <v>涩宁兰20#阀室</v>
          </cell>
          <cell r="B1335" t="str">
            <v>一级</v>
          </cell>
          <cell r="C1335" t="str">
            <v>涩宁兰管道</v>
          </cell>
          <cell r="D1335" t="str">
            <v>涩宁兰管道干线</v>
          </cell>
        </row>
        <row r="1336">
          <cell r="A1336" t="str">
            <v>涩宁兰21#阀室</v>
          </cell>
          <cell r="B1336" t="str">
            <v>一级</v>
          </cell>
          <cell r="C1336" t="str">
            <v>涩宁兰管道</v>
          </cell>
          <cell r="D1336" t="str">
            <v>涩宁兰管道干线</v>
          </cell>
        </row>
        <row r="1337">
          <cell r="A1337" t="str">
            <v>湖东压气站</v>
          </cell>
          <cell r="B1337" t="str">
            <v>一级</v>
          </cell>
          <cell r="C1337" t="str">
            <v>涩宁兰管道</v>
          </cell>
          <cell r="D1337" t="str">
            <v>涩宁兰管道干线</v>
          </cell>
        </row>
        <row r="1338">
          <cell r="A1338" t="str">
            <v>涩宁兰22#阀室</v>
          </cell>
          <cell r="B1338" t="str">
            <v>一级</v>
          </cell>
          <cell r="C1338" t="str">
            <v>涩宁兰管道</v>
          </cell>
          <cell r="D1338" t="str">
            <v>涩宁兰管道干线</v>
          </cell>
        </row>
        <row r="1339">
          <cell r="A1339" t="str">
            <v>涩宁兰23#阀室</v>
          </cell>
          <cell r="B1339" t="str">
            <v>一级</v>
          </cell>
          <cell r="C1339" t="str">
            <v>涩宁兰管道</v>
          </cell>
          <cell r="D1339" t="str">
            <v>涩宁兰管道干线</v>
          </cell>
        </row>
        <row r="1340">
          <cell r="A1340" t="str">
            <v>西宁分输站</v>
          </cell>
          <cell r="B1340" t="str">
            <v>一级</v>
          </cell>
          <cell r="C1340" t="str">
            <v>涩宁兰管道</v>
          </cell>
          <cell r="D1340" t="str">
            <v>涩宁兰管道干线</v>
          </cell>
        </row>
        <row r="1341">
          <cell r="A1341" t="str">
            <v>甘和门站</v>
          </cell>
          <cell r="B1341" t="str">
            <v>一级</v>
          </cell>
          <cell r="C1341" t="str">
            <v>涩宁兰管道</v>
          </cell>
          <cell r="D1341" t="str">
            <v>涩宁兰管道干线</v>
          </cell>
        </row>
        <row r="1342">
          <cell r="A1342" t="str">
            <v>城东门站</v>
          </cell>
          <cell r="B1342" t="str">
            <v>一级</v>
          </cell>
          <cell r="C1342" t="str">
            <v>涩宁兰管道</v>
          </cell>
          <cell r="D1342" t="str">
            <v>涩宁兰管道干线</v>
          </cell>
        </row>
        <row r="1343">
          <cell r="A1343" t="str">
            <v>涩宁兰24#阀室</v>
          </cell>
          <cell r="B1343" t="str">
            <v>一级</v>
          </cell>
          <cell r="C1343" t="str">
            <v>涩宁兰管道</v>
          </cell>
          <cell r="D1343" t="str">
            <v>涩宁兰管道干线</v>
          </cell>
        </row>
        <row r="1344">
          <cell r="A1344" t="str">
            <v>涩宁兰25#阀室</v>
          </cell>
          <cell r="B1344" t="str">
            <v>一级</v>
          </cell>
          <cell r="C1344" t="str">
            <v>涩宁兰管道</v>
          </cell>
          <cell r="D1344" t="str">
            <v>涩宁兰管道干线</v>
          </cell>
        </row>
        <row r="1345">
          <cell r="A1345" t="str">
            <v>平安分输站</v>
          </cell>
          <cell r="B1345" t="str">
            <v>一级</v>
          </cell>
          <cell r="C1345" t="str">
            <v>涩宁兰管道</v>
          </cell>
          <cell r="D1345" t="str">
            <v>涩宁兰管道干线</v>
          </cell>
        </row>
        <row r="1346">
          <cell r="A1346" t="str">
            <v>涩宁兰26#阀室</v>
          </cell>
          <cell r="B1346" t="str">
            <v>一级</v>
          </cell>
          <cell r="C1346" t="str">
            <v>涩宁兰管道</v>
          </cell>
          <cell r="D1346" t="str">
            <v>涩宁兰管道干线</v>
          </cell>
        </row>
        <row r="1347">
          <cell r="A1347" t="str">
            <v>乐都分输站</v>
          </cell>
          <cell r="B1347" t="str">
            <v>一级</v>
          </cell>
          <cell r="C1347" t="str">
            <v>涩宁兰管道</v>
          </cell>
          <cell r="D1347" t="str">
            <v>涩宁兰管道干线</v>
          </cell>
        </row>
        <row r="1348">
          <cell r="A1348" t="str">
            <v>涩宁兰27#阀室</v>
          </cell>
          <cell r="B1348" t="str">
            <v>一级</v>
          </cell>
          <cell r="C1348" t="str">
            <v>涩宁兰管道</v>
          </cell>
          <cell r="D1348" t="str">
            <v>涩宁兰管道干线</v>
          </cell>
        </row>
        <row r="1349">
          <cell r="A1349" t="str">
            <v>民和分输站</v>
          </cell>
          <cell r="B1349" t="str">
            <v>一级</v>
          </cell>
          <cell r="C1349" t="str">
            <v>涩宁兰管道</v>
          </cell>
          <cell r="D1349" t="str">
            <v>涩宁兰管道干线</v>
          </cell>
        </row>
        <row r="1350">
          <cell r="A1350" t="str">
            <v>涩宁兰28#阀室</v>
          </cell>
          <cell r="B1350" t="str">
            <v>一级</v>
          </cell>
          <cell r="C1350" t="str">
            <v>涩宁兰管道</v>
          </cell>
          <cell r="D1350" t="str">
            <v>涩宁兰管道干线</v>
          </cell>
        </row>
        <row r="1351">
          <cell r="A1351" t="str">
            <v>涩宁兰29#阀室</v>
          </cell>
          <cell r="B1351" t="str">
            <v>一级</v>
          </cell>
          <cell r="C1351" t="str">
            <v>涩宁兰管道</v>
          </cell>
          <cell r="D1351" t="str">
            <v>涩宁兰管道干线</v>
          </cell>
        </row>
        <row r="1352">
          <cell r="A1352" t="str">
            <v>涩宁兰30#阀室</v>
          </cell>
          <cell r="B1352" t="str">
            <v>一级</v>
          </cell>
          <cell r="C1352" t="str">
            <v>涩宁兰管道</v>
          </cell>
          <cell r="D1352" t="str">
            <v>涩宁兰管道干线</v>
          </cell>
        </row>
        <row r="1353">
          <cell r="A1353" t="str">
            <v>涩宁兰31#阀室</v>
          </cell>
          <cell r="B1353" t="str">
            <v>一级</v>
          </cell>
          <cell r="C1353" t="str">
            <v>涩宁兰管道</v>
          </cell>
          <cell r="D1353" t="str">
            <v>涩宁兰管道干线</v>
          </cell>
        </row>
        <row r="1354">
          <cell r="A1354" t="str">
            <v>涩宁兰32#阀室</v>
          </cell>
          <cell r="B1354" t="str">
            <v>一级</v>
          </cell>
          <cell r="C1354" t="str">
            <v>涩宁兰管道</v>
          </cell>
          <cell r="D1354" t="str">
            <v>涩宁兰管道干线</v>
          </cell>
        </row>
        <row r="1355">
          <cell r="A1355" t="str">
            <v>兰州末站</v>
          </cell>
          <cell r="B1355" t="str">
            <v>一级</v>
          </cell>
          <cell r="C1355" t="str">
            <v>涩宁兰管道</v>
          </cell>
          <cell r="D1355" t="str">
            <v>涩宁兰管道干线</v>
          </cell>
        </row>
        <row r="1356">
          <cell r="A1356" t="str">
            <v>涩宁兰875km+300m</v>
          </cell>
          <cell r="B1356" t="str">
            <v>一级</v>
          </cell>
          <cell r="C1356" t="str">
            <v>涩宁兰管道</v>
          </cell>
          <cell r="D1356" t="str">
            <v>连海支线</v>
          </cell>
        </row>
        <row r="1357">
          <cell r="A1357" t="str">
            <v>连海分输站</v>
          </cell>
          <cell r="B1357" t="str">
            <v>一级</v>
          </cell>
          <cell r="C1357" t="str">
            <v>涩宁兰管道</v>
          </cell>
          <cell r="D1357" t="str">
            <v>连海支线</v>
          </cell>
        </row>
        <row r="1358">
          <cell r="A1358" t="str">
            <v>刘化分输站</v>
          </cell>
          <cell r="B1358" t="str">
            <v>一级</v>
          </cell>
          <cell r="C1358" t="str">
            <v>涩宁兰管道</v>
          </cell>
          <cell r="D1358" t="str">
            <v>刘化支线</v>
          </cell>
        </row>
        <row r="1359">
          <cell r="A1359" t="str">
            <v>兰铝分输站</v>
          </cell>
          <cell r="B1359" t="str">
            <v>一级</v>
          </cell>
          <cell r="C1359" t="str">
            <v>涩宁兰管道</v>
          </cell>
          <cell r="D1359" t="str">
            <v>兰铝支线</v>
          </cell>
        </row>
        <row r="1360">
          <cell r="A1360" t="str">
            <v>城南门站</v>
          </cell>
          <cell r="B1360" t="str">
            <v>一级</v>
          </cell>
          <cell r="C1360" t="str">
            <v>涩宁兰管道</v>
          </cell>
          <cell r="D1360" t="str">
            <v>城南支线</v>
          </cell>
        </row>
        <row r="1361">
          <cell r="A1361" t="str">
            <v>兰化门站/兰炼门站</v>
          </cell>
          <cell r="B1361" t="str">
            <v>一级</v>
          </cell>
          <cell r="C1361" t="str">
            <v>涩宁兰管道</v>
          </cell>
          <cell r="D1361" t="str">
            <v>两兰支线</v>
          </cell>
        </row>
        <row r="1362">
          <cell r="A1362" t="str">
            <v>甘西南1#阀室</v>
          </cell>
          <cell r="B1362" t="str">
            <v>一级</v>
          </cell>
          <cell r="C1362" t="str">
            <v>涩宁兰管道</v>
          </cell>
          <cell r="D1362" t="str">
            <v>甘西南支线</v>
          </cell>
        </row>
        <row r="1363">
          <cell r="A1363" t="str">
            <v>甘西南2#阀室</v>
          </cell>
          <cell r="B1363" t="str">
            <v>一级</v>
          </cell>
          <cell r="C1363" t="str">
            <v>涩宁兰管道</v>
          </cell>
          <cell r="D1363" t="str">
            <v>甘西南支线</v>
          </cell>
        </row>
        <row r="1364">
          <cell r="A1364" t="str">
            <v>甘西南3#阀室</v>
          </cell>
          <cell r="B1364" t="str">
            <v>一级</v>
          </cell>
          <cell r="C1364" t="str">
            <v>涩宁兰管道</v>
          </cell>
          <cell r="D1364" t="str">
            <v>甘西南支线</v>
          </cell>
        </row>
        <row r="1365">
          <cell r="A1365" t="str">
            <v>临夏分输站</v>
          </cell>
          <cell r="B1365" t="str">
            <v>一级</v>
          </cell>
          <cell r="C1365" t="str">
            <v>涩宁兰管道</v>
          </cell>
          <cell r="D1365" t="str">
            <v>甘西南支线</v>
          </cell>
        </row>
        <row r="1366">
          <cell r="A1366" t="str">
            <v>甘南1#阀室</v>
          </cell>
          <cell r="B1366" t="str">
            <v>一级</v>
          </cell>
          <cell r="C1366" t="str">
            <v>涩宁兰管道</v>
          </cell>
          <cell r="D1366" t="str">
            <v>甘南支线</v>
          </cell>
        </row>
        <row r="1367">
          <cell r="A1367" t="str">
            <v>甘南2#阀室</v>
          </cell>
          <cell r="B1367" t="str">
            <v>一级</v>
          </cell>
          <cell r="C1367" t="str">
            <v>涩宁兰管道</v>
          </cell>
          <cell r="D1367" t="str">
            <v>甘南支线</v>
          </cell>
        </row>
        <row r="1368">
          <cell r="A1368" t="str">
            <v>甘南3#阀室</v>
          </cell>
          <cell r="B1368" t="str">
            <v>一级</v>
          </cell>
          <cell r="C1368" t="str">
            <v>涩宁兰管道</v>
          </cell>
          <cell r="D1368" t="str">
            <v>甘南支线</v>
          </cell>
        </row>
        <row r="1369">
          <cell r="A1369" t="str">
            <v>甘南4#阀室</v>
          </cell>
          <cell r="B1369" t="str">
            <v>一级</v>
          </cell>
          <cell r="C1369" t="str">
            <v>涩宁兰管道</v>
          </cell>
          <cell r="D1369" t="str">
            <v>甘南支线</v>
          </cell>
        </row>
        <row r="1370">
          <cell r="A1370" t="str">
            <v>甘南5#阀室</v>
          </cell>
          <cell r="B1370" t="str">
            <v>一级</v>
          </cell>
          <cell r="C1370" t="str">
            <v>涩宁兰管道</v>
          </cell>
          <cell r="D1370" t="str">
            <v>甘南支线</v>
          </cell>
        </row>
        <row r="1371">
          <cell r="A1371" t="str">
            <v>合作分输站</v>
          </cell>
          <cell r="B1371" t="str">
            <v>一级</v>
          </cell>
          <cell r="C1371" t="str">
            <v>涩宁兰管道</v>
          </cell>
          <cell r="D1371" t="str">
            <v>甘南支线</v>
          </cell>
        </row>
        <row r="1372">
          <cell r="A1372" t="str">
            <v>夏河分输站</v>
          </cell>
          <cell r="B1372" t="str">
            <v>一级</v>
          </cell>
          <cell r="C1372" t="str">
            <v>涩宁兰管道</v>
          </cell>
          <cell r="D1372" t="str">
            <v>甘南支线支线</v>
          </cell>
        </row>
        <row r="1373">
          <cell r="A1373" t="str">
            <v>兰定1#阀室</v>
          </cell>
          <cell r="B1373" t="str">
            <v>一级</v>
          </cell>
          <cell r="C1373" t="str">
            <v>涩宁兰管道</v>
          </cell>
          <cell r="D1373" t="str">
            <v>兰定线</v>
          </cell>
        </row>
        <row r="1374">
          <cell r="A1374" t="str">
            <v>兰定2#阀室</v>
          </cell>
          <cell r="B1374" t="str">
            <v>一级</v>
          </cell>
          <cell r="C1374" t="str">
            <v>涩宁兰管道</v>
          </cell>
          <cell r="D1374" t="str">
            <v>兰定线</v>
          </cell>
        </row>
        <row r="1375">
          <cell r="A1375" t="str">
            <v>和平分输站</v>
          </cell>
          <cell r="B1375" t="str">
            <v>一级</v>
          </cell>
          <cell r="C1375" t="str">
            <v>涩宁兰管道</v>
          </cell>
          <cell r="D1375" t="str">
            <v>兰定线</v>
          </cell>
        </row>
        <row r="1376">
          <cell r="A1376" t="str">
            <v>兰定3#阀室</v>
          </cell>
          <cell r="B1376" t="str">
            <v>一级</v>
          </cell>
          <cell r="C1376" t="str">
            <v>涩宁兰管道</v>
          </cell>
          <cell r="D1376" t="str">
            <v>兰定线</v>
          </cell>
        </row>
        <row r="1377">
          <cell r="A1377" t="str">
            <v>榆中分输站</v>
          </cell>
          <cell r="B1377" t="str">
            <v>一级</v>
          </cell>
          <cell r="C1377" t="str">
            <v>涩宁兰管道</v>
          </cell>
          <cell r="D1377" t="str">
            <v>兰定线</v>
          </cell>
        </row>
        <row r="1378">
          <cell r="A1378" t="str">
            <v>兰定4#阀室</v>
          </cell>
          <cell r="B1378" t="str">
            <v>一级</v>
          </cell>
          <cell r="C1378" t="str">
            <v>涩宁兰管道</v>
          </cell>
          <cell r="D1378" t="str">
            <v>兰定线</v>
          </cell>
        </row>
        <row r="1379">
          <cell r="A1379" t="str">
            <v>兰定5#阀室</v>
          </cell>
          <cell r="B1379" t="str">
            <v>一级</v>
          </cell>
          <cell r="C1379" t="str">
            <v>涩宁兰管道</v>
          </cell>
          <cell r="D1379" t="str">
            <v>兰定线</v>
          </cell>
        </row>
        <row r="1380">
          <cell r="A1380" t="str">
            <v>兰定6#阀室</v>
          </cell>
          <cell r="B1380" t="str">
            <v>一级</v>
          </cell>
          <cell r="C1380" t="str">
            <v>涩宁兰管道</v>
          </cell>
          <cell r="D1380" t="str">
            <v>兰定线</v>
          </cell>
        </row>
        <row r="1381">
          <cell r="A1381" t="str">
            <v>定西末站</v>
          </cell>
          <cell r="B1381" t="str">
            <v>一级</v>
          </cell>
          <cell r="C1381" t="str">
            <v>涩宁兰管道</v>
          </cell>
          <cell r="D1381" t="str">
            <v>兰定线</v>
          </cell>
        </row>
        <row r="1382">
          <cell r="A1382" t="str">
            <v>古浪压气站</v>
          </cell>
          <cell r="B1382" t="str">
            <v>一级</v>
          </cell>
          <cell r="C1382" t="str">
            <v>涩宁兰管道</v>
          </cell>
          <cell r="D1382" t="str">
            <v>古河线</v>
          </cell>
        </row>
        <row r="1383">
          <cell r="A1383" t="str">
            <v>古河1#阀室</v>
          </cell>
          <cell r="B1383" t="str">
            <v>一级</v>
          </cell>
          <cell r="C1383" t="str">
            <v>涩宁兰管道</v>
          </cell>
          <cell r="D1383" t="str">
            <v>古河线</v>
          </cell>
        </row>
        <row r="1384">
          <cell r="A1384" t="str">
            <v>古河2#阀室</v>
          </cell>
          <cell r="B1384" t="str">
            <v>一级</v>
          </cell>
          <cell r="C1384" t="str">
            <v>涩宁兰管道</v>
          </cell>
          <cell r="D1384" t="str">
            <v>古河线</v>
          </cell>
        </row>
        <row r="1385">
          <cell r="A1385" t="str">
            <v>古河3#阀室</v>
          </cell>
          <cell r="B1385" t="str">
            <v>一级</v>
          </cell>
          <cell r="C1385" t="str">
            <v>涩宁兰管道</v>
          </cell>
          <cell r="D1385" t="str">
            <v>古河线</v>
          </cell>
        </row>
        <row r="1386">
          <cell r="A1386" t="str">
            <v>古河4#阀室</v>
          </cell>
          <cell r="B1386" t="str">
            <v>一级</v>
          </cell>
          <cell r="C1386" t="str">
            <v>涩宁兰管道</v>
          </cell>
          <cell r="D1386" t="str">
            <v>古河线</v>
          </cell>
        </row>
        <row r="1387">
          <cell r="A1387" t="str">
            <v>古河5#阀室</v>
          </cell>
          <cell r="B1387" t="str">
            <v>一级</v>
          </cell>
          <cell r="C1387" t="str">
            <v>涩宁兰管道</v>
          </cell>
          <cell r="D1387" t="str">
            <v>古河线</v>
          </cell>
        </row>
        <row r="1388">
          <cell r="A1388" t="str">
            <v>古河6#阀室</v>
          </cell>
          <cell r="B1388" t="str">
            <v>一级</v>
          </cell>
          <cell r="C1388" t="str">
            <v>涩宁兰管道</v>
          </cell>
          <cell r="D1388" t="str">
            <v>古河线</v>
          </cell>
        </row>
        <row r="1389">
          <cell r="A1389" t="str">
            <v>古河7#阀室</v>
          </cell>
          <cell r="B1389" t="str">
            <v>一级</v>
          </cell>
          <cell r="C1389" t="str">
            <v>涩宁兰管道</v>
          </cell>
          <cell r="D1389" t="str">
            <v>古河线</v>
          </cell>
        </row>
        <row r="1390">
          <cell r="A1390" t="str">
            <v>古河8#阀室</v>
          </cell>
          <cell r="B1390" t="str">
            <v>一级</v>
          </cell>
          <cell r="C1390" t="str">
            <v>涩宁兰管道</v>
          </cell>
          <cell r="D1390" t="str">
            <v>古河线</v>
          </cell>
        </row>
        <row r="1391">
          <cell r="A1391" t="str">
            <v>河口压气站</v>
          </cell>
          <cell r="B1391" t="str">
            <v>一级</v>
          </cell>
          <cell r="C1391" t="str">
            <v>涩宁兰管道</v>
          </cell>
          <cell r="D1391" t="str">
            <v>古河线</v>
          </cell>
        </row>
        <row r="1392">
          <cell r="A1392" t="str">
            <v>涩复1#阀室</v>
          </cell>
          <cell r="B1392" t="str">
            <v>一级</v>
          </cell>
          <cell r="C1392" t="str">
            <v>涩宁兰复线</v>
          </cell>
          <cell r="D1392" t="str">
            <v>涩宁兰复线</v>
          </cell>
        </row>
        <row r="1393">
          <cell r="A1393" t="str">
            <v>涩复2#阀室</v>
          </cell>
          <cell r="B1393" t="str">
            <v>一级</v>
          </cell>
          <cell r="C1393" t="str">
            <v>涩宁兰复线</v>
          </cell>
          <cell r="D1393" t="str">
            <v>涩宁兰复线</v>
          </cell>
        </row>
        <row r="1394">
          <cell r="A1394" t="str">
            <v>涩复3#阀室</v>
          </cell>
          <cell r="B1394" t="str">
            <v>一级</v>
          </cell>
          <cell r="C1394" t="str">
            <v>涩宁兰复线</v>
          </cell>
          <cell r="D1394" t="str">
            <v>涩宁兰复线</v>
          </cell>
        </row>
        <row r="1395">
          <cell r="A1395" t="str">
            <v>涩复4#阀室</v>
          </cell>
          <cell r="B1395" t="str">
            <v>一级</v>
          </cell>
          <cell r="C1395" t="str">
            <v>涩宁兰复线</v>
          </cell>
          <cell r="D1395" t="str">
            <v>涩宁兰复线</v>
          </cell>
        </row>
        <row r="1396">
          <cell r="A1396" t="str">
            <v>涩复5#阀室</v>
          </cell>
          <cell r="B1396" t="str">
            <v>一级</v>
          </cell>
          <cell r="C1396" t="str">
            <v>涩宁兰复线</v>
          </cell>
          <cell r="D1396" t="str">
            <v>涩宁兰复线</v>
          </cell>
        </row>
        <row r="1397">
          <cell r="A1397" t="str">
            <v>涩复6#阀室</v>
          </cell>
          <cell r="B1397" t="str">
            <v>一级</v>
          </cell>
          <cell r="C1397" t="str">
            <v>涩宁兰复线</v>
          </cell>
          <cell r="D1397" t="str">
            <v>涩宁兰复线</v>
          </cell>
        </row>
        <row r="1398">
          <cell r="A1398" t="str">
            <v>涩复7#阀室</v>
          </cell>
          <cell r="B1398" t="str">
            <v>一级</v>
          </cell>
          <cell r="C1398" t="str">
            <v>涩宁兰复线</v>
          </cell>
          <cell r="D1398" t="str">
            <v>涩宁兰复线</v>
          </cell>
        </row>
        <row r="1399">
          <cell r="A1399" t="str">
            <v>涩复8#阀室</v>
          </cell>
          <cell r="B1399" t="str">
            <v>一级</v>
          </cell>
          <cell r="C1399" t="str">
            <v>涩宁兰复线</v>
          </cell>
          <cell r="D1399" t="str">
            <v>涩宁兰复线</v>
          </cell>
        </row>
        <row r="1400">
          <cell r="A1400" t="str">
            <v>涩复9#阀室</v>
          </cell>
          <cell r="B1400" t="str">
            <v>一级</v>
          </cell>
          <cell r="C1400" t="str">
            <v>涩宁兰复线</v>
          </cell>
          <cell r="D1400" t="str">
            <v>涩宁兰复线</v>
          </cell>
        </row>
        <row r="1401">
          <cell r="A1401" t="str">
            <v>涩复11#阀室</v>
          </cell>
          <cell r="B1401" t="str">
            <v>一级</v>
          </cell>
          <cell r="C1401" t="str">
            <v>涩宁兰复线</v>
          </cell>
          <cell r="D1401" t="str">
            <v>涩宁兰复线</v>
          </cell>
        </row>
        <row r="1402">
          <cell r="A1402" t="str">
            <v>涩复12#阀室</v>
          </cell>
          <cell r="B1402" t="str">
            <v>一级</v>
          </cell>
          <cell r="C1402" t="str">
            <v>涩宁兰复线</v>
          </cell>
          <cell r="D1402" t="str">
            <v>涩宁兰复线</v>
          </cell>
        </row>
        <row r="1403">
          <cell r="A1403" t="str">
            <v>涩复13#阀室</v>
          </cell>
          <cell r="B1403" t="str">
            <v>一级</v>
          </cell>
          <cell r="C1403" t="str">
            <v>涩宁兰复线</v>
          </cell>
          <cell r="D1403" t="str">
            <v>涩宁兰复线</v>
          </cell>
        </row>
        <row r="1404">
          <cell r="A1404" t="str">
            <v>涩复14#阀室</v>
          </cell>
          <cell r="B1404" t="str">
            <v>一级</v>
          </cell>
          <cell r="C1404" t="str">
            <v>涩宁兰复线</v>
          </cell>
          <cell r="D1404" t="str">
            <v>涩宁兰复线</v>
          </cell>
        </row>
        <row r="1405">
          <cell r="A1405" t="str">
            <v>涩复15#阀室</v>
          </cell>
          <cell r="B1405" t="str">
            <v>一级</v>
          </cell>
          <cell r="C1405" t="str">
            <v>涩宁兰复线</v>
          </cell>
          <cell r="D1405" t="str">
            <v>涩宁兰复线</v>
          </cell>
        </row>
        <row r="1406">
          <cell r="A1406" t="str">
            <v>涩复16#阀室</v>
          </cell>
          <cell r="B1406" t="str">
            <v>一级</v>
          </cell>
          <cell r="C1406" t="str">
            <v>涩宁兰复线</v>
          </cell>
          <cell r="D1406" t="str">
            <v>涩宁兰复线</v>
          </cell>
        </row>
        <row r="1407">
          <cell r="A1407" t="str">
            <v>涩复17#阀室</v>
          </cell>
          <cell r="B1407" t="str">
            <v>一级</v>
          </cell>
          <cell r="C1407" t="str">
            <v>涩宁兰复线</v>
          </cell>
          <cell r="D1407" t="str">
            <v>涩宁兰复线</v>
          </cell>
        </row>
        <row r="1408">
          <cell r="A1408" t="str">
            <v>涩复18#阀室</v>
          </cell>
          <cell r="B1408" t="str">
            <v>一级</v>
          </cell>
          <cell r="C1408" t="str">
            <v>涩宁兰复线</v>
          </cell>
          <cell r="D1408" t="str">
            <v>涩宁兰复线</v>
          </cell>
        </row>
        <row r="1409">
          <cell r="A1409" t="str">
            <v>涩复19#阀室</v>
          </cell>
          <cell r="B1409" t="str">
            <v>一级</v>
          </cell>
          <cell r="C1409" t="str">
            <v>涩宁兰复线</v>
          </cell>
          <cell r="D1409" t="str">
            <v>涩宁兰复线</v>
          </cell>
        </row>
        <row r="1410">
          <cell r="A1410" t="str">
            <v>涩复20#阀室</v>
          </cell>
          <cell r="B1410" t="str">
            <v>一级</v>
          </cell>
          <cell r="C1410" t="str">
            <v>涩宁兰复线</v>
          </cell>
          <cell r="D1410" t="str">
            <v>涩宁兰复线</v>
          </cell>
        </row>
        <row r="1411">
          <cell r="A1411" t="str">
            <v>涩复21#阀室</v>
          </cell>
          <cell r="B1411" t="str">
            <v>一级</v>
          </cell>
          <cell r="C1411" t="str">
            <v>涩宁兰复线</v>
          </cell>
          <cell r="D1411" t="str">
            <v>涩宁兰复线</v>
          </cell>
        </row>
        <row r="1412">
          <cell r="A1412" t="str">
            <v>涩复22#阀室</v>
          </cell>
          <cell r="B1412" t="str">
            <v>一级</v>
          </cell>
          <cell r="C1412" t="str">
            <v>涩宁兰复线</v>
          </cell>
          <cell r="D1412" t="str">
            <v>涩宁兰复线</v>
          </cell>
        </row>
        <row r="1413">
          <cell r="A1413" t="str">
            <v>涩复23#阀室</v>
          </cell>
          <cell r="B1413" t="str">
            <v>一级</v>
          </cell>
          <cell r="C1413" t="str">
            <v>涩宁兰复线</v>
          </cell>
          <cell r="D1413" t="str">
            <v>涩宁兰复线</v>
          </cell>
        </row>
        <row r="1414">
          <cell r="A1414" t="str">
            <v>涩复24#阀室</v>
          </cell>
          <cell r="B1414" t="str">
            <v>一级</v>
          </cell>
          <cell r="C1414" t="str">
            <v>涩宁兰复线</v>
          </cell>
          <cell r="D1414" t="str">
            <v>涩宁兰复线</v>
          </cell>
        </row>
        <row r="1415">
          <cell r="A1415" t="str">
            <v>涩复25#阀室</v>
          </cell>
          <cell r="B1415" t="str">
            <v>一级</v>
          </cell>
          <cell r="C1415" t="str">
            <v>涩宁兰复线</v>
          </cell>
          <cell r="D1415" t="str">
            <v>涩宁兰复线</v>
          </cell>
        </row>
        <row r="1416">
          <cell r="A1416" t="str">
            <v>涩复26#阀室</v>
          </cell>
          <cell r="B1416" t="str">
            <v>一级</v>
          </cell>
          <cell r="C1416" t="str">
            <v>涩宁兰复线</v>
          </cell>
          <cell r="D1416" t="str">
            <v>涩宁兰复线</v>
          </cell>
        </row>
        <row r="1417">
          <cell r="A1417" t="str">
            <v>涩复27#阀室</v>
          </cell>
          <cell r="B1417" t="str">
            <v>一级</v>
          </cell>
          <cell r="C1417" t="str">
            <v>涩宁兰复线</v>
          </cell>
          <cell r="D1417" t="str">
            <v>涩宁兰复线</v>
          </cell>
        </row>
        <row r="1418">
          <cell r="A1418" t="str">
            <v>涩复28#阀室</v>
          </cell>
          <cell r="B1418" t="str">
            <v>一级</v>
          </cell>
          <cell r="C1418" t="str">
            <v>涩宁兰复线</v>
          </cell>
          <cell r="D1418" t="str">
            <v>涩宁兰复线</v>
          </cell>
        </row>
        <row r="1419">
          <cell r="A1419" t="str">
            <v>涩复29#阀室</v>
          </cell>
          <cell r="B1419" t="str">
            <v>一级</v>
          </cell>
          <cell r="C1419" t="str">
            <v>涩宁兰复线</v>
          </cell>
          <cell r="D1419" t="str">
            <v>涩宁兰复线</v>
          </cell>
        </row>
        <row r="1420">
          <cell r="A1420" t="str">
            <v>涩复30#阀室</v>
          </cell>
          <cell r="B1420" t="str">
            <v>一级</v>
          </cell>
          <cell r="C1420" t="str">
            <v>涩宁兰复线</v>
          </cell>
          <cell r="D1420" t="str">
            <v>涩宁兰复线</v>
          </cell>
        </row>
        <row r="1421">
          <cell r="A1421" t="str">
            <v>涩复31#阀室</v>
          </cell>
          <cell r="B1421" t="str">
            <v>一级</v>
          </cell>
          <cell r="C1421" t="str">
            <v>涩宁兰复线</v>
          </cell>
          <cell r="D1421" t="str">
            <v>涩宁兰复线</v>
          </cell>
        </row>
        <row r="1422">
          <cell r="A1422" t="str">
            <v>涩复32#阀室</v>
          </cell>
          <cell r="B1422" t="str">
            <v>一级</v>
          </cell>
          <cell r="C1422" t="str">
            <v>涩宁兰复线</v>
          </cell>
          <cell r="D1422" t="str">
            <v>涩宁兰复线</v>
          </cell>
        </row>
        <row r="1423">
          <cell r="A1423" t="str">
            <v>涩复33#阀室</v>
          </cell>
          <cell r="B1423" t="str">
            <v>一级</v>
          </cell>
          <cell r="C1423" t="str">
            <v>涩宁兰复线</v>
          </cell>
          <cell r="D1423" t="str">
            <v>涩宁兰复线</v>
          </cell>
        </row>
        <row r="1424">
          <cell r="A1424" t="str">
            <v>涩复34#阀室</v>
          </cell>
          <cell r="B1424" t="str">
            <v>一级</v>
          </cell>
          <cell r="C1424" t="str">
            <v>涩宁兰复线</v>
          </cell>
          <cell r="D1424" t="str">
            <v>涩宁兰复线</v>
          </cell>
        </row>
        <row r="1425">
          <cell r="A1425" t="str">
            <v>涩复35#阀室</v>
          </cell>
          <cell r="B1425" t="str">
            <v>一级</v>
          </cell>
          <cell r="C1425" t="str">
            <v>涩宁兰复线</v>
          </cell>
          <cell r="D1425" t="str">
            <v>涩宁兰复线</v>
          </cell>
        </row>
        <row r="1426">
          <cell r="A1426" t="str">
            <v>河口压气站</v>
          </cell>
          <cell r="B1426" t="str">
            <v>一级</v>
          </cell>
          <cell r="C1426" t="str">
            <v>兰银线</v>
          </cell>
          <cell r="D1426" t="str">
            <v>兰银线甘肃段</v>
          </cell>
        </row>
        <row r="1427">
          <cell r="A1427" t="str">
            <v>兰银1#阀室</v>
          </cell>
          <cell r="B1427" t="str">
            <v>一级</v>
          </cell>
          <cell r="C1427" t="str">
            <v>兰银线</v>
          </cell>
          <cell r="D1427" t="str">
            <v>兰银线甘肃段</v>
          </cell>
        </row>
        <row r="1428">
          <cell r="A1428" t="str">
            <v>兰银2#阀室</v>
          </cell>
          <cell r="B1428" t="str">
            <v>一级</v>
          </cell>
          <cell r="C1428" t="str">
            <v>兰银线</v>
          </cell>
          <cell r="D1428" t="str">
            <v>兰银线甘肃段</v>
          </cell>
        </row>
        <row r="1429">
          <cell r="A1429" t="str">
            <v>兰银3#阀室</v>
          </cell>
          <cell r="B1429" t="str">
            <v>一级</v>
          </cell>
          <cell r="C1429" t="str">
            <v>兰银线</v>
          </cell>
          <cell r="D1429" t="str">
            <v>兰银线甘肃段</v>
          </cell>
        </row>
        <row r="1430">
          <cell r="A1430" t="str">
            <v>兰银4#阀室</v>
          </cell>
          <cell r="B1430" t="str">
            <v>一级</v>
          </cell>
          <cell r="C1430" t="str">
            <v>兰银线</v>
          </cell>
          <cell r="D1430" t="str">
            <v>兰银线甘肃段</v>
          </cell>
        </row>
        <row r="1431">
          <cell r="A1431" t="str">
            <v>兰银5#阀室</v>
          </cell>
          <cell r="B1431" t="str">
            <v>一级</v>
          </cell>
          <cell r="C1431" t="str">
            <v>兰银线</v>
          </cell>
          <cell r="D1431" t="str">
            <v>兰银线甘肃段</v>
          </cell>
        </row>
        <row r="1432">
          <cell r="A1432" t="str">
            <v>兰银6#阀室</v>
          </cell>
          <cell r="B1432" t="str">
            <v>一级</v>
          </cell>
          <cell r="C1432" t="str">
            <v>兰银线</v>
          </cell>
          <cell r="D1432" t="str">
            <v>兰银线甘肃段</v>
          </cell>
        </row>
        <row r="1433">
          <cell r="A1433" t="str">
            <v>兰银7#阀室</v>
          </cell>
          <cell r="B1433" t="str">
            <v>一级</v>
          </cell>
          <cell r="C1433" t="str">
            <v>兰银线</v>
          </cell>
          <cell r="D1433" t="str">
            <v>兰银线甘肃段</v>
          </cell>
        </row>
        <row r="1434">
          <cell r="A1434" t="str">
            <v>甘塘分输站</v>
          </cell>
          <cell r="B1434" t="str">
            <v>一级</v>
          </cell>
          <cell r="C1434" t="str">
            <v>兰银线</v>
          </cell>
          <cell r="D1434" t="str">
            <v>兰银线宁夏段</v>
          </cell>
        </row>
        <row r="1435">
          <cell r="A1435" t="str">
            <v>兰银8#阀室</v>
          </cell>
          <cell r="B1435" t="str">
            <v>一级</v>
          </cell>
          <cell r="C1435" t="str">
            <v>兰银线</v>
          </cell>
          <cell r="D1435" t="str">
            <v>兰银线宁夏段</v>
          </cell>
        </row>
        <row r="1436">
          <cell r="A1436" t="str">
            <v>兰银9#阀室</v>
          </cell>
          <cell r="B1436" t="str">
            <v>一级</v>
          </cell>
          <cell r="C1436" t="str">
            <v>兰银线</v>
          </cell>
          <cell r="D1436" t="str">
            <v>兰银线宁夏段</v>
          </cell>
        </row>
        <row r="1437">
          <cell r="A1437" t="str">
            <v>兰银10#阀室</v>
          </cell>
          <cell r="B1437" t="str">
            <v>一级</v>
          </cell>
          <cell r="C1437" t="str">
            <v>兰银线</v>
          </cell>
          <cell r="D1437" t="str">
            <v>兰银线宁夏段</v>
          </cell>
        </row>
        <row r="1438">
          <cell r="A1438" t="str">
            <v>兰银11#阀室</v>
          </cell>
          <cell r="B1438" t="str">
            <v>一级</v>
          </cell>
          <cell r="C1438" t="str">
            <v>兰银线</v>
          </cell>
          <cell r="D1438" t="str">
            <v>兰银线宁夏段</v>
          </cell>
        </row>
        <row r="1439">
          <cell r="A1439" t="str">
            <v>兰银12#阀室</v>
          </cell>
          <cell r="B1439" t="str">
            <v>一级</v>
          </cell>
          <cell r="C1439" t="str">
            <v>兰银线</v>
          </cell>
          <cell r="D1439" t="str">
            <v>兰银线宁夏段</v>
          </cell>
        </row>
        <row r="1440">
          <cell r="A1440" t="str">
            <v>阿拉善左旗分输站</v>
          </cell>
          <cell r="B1440" t="str">
            <v>一级</v>
          </cell>
          <cell r="C1440" t="str">
            <v>兰银线</v>
          </cell>
          <cell r="D1440" t="str">
            <v>兰银线宁夏段</v>
          </cell>
        </row>
        <row r="1441">
          <cell r="A1441" t="str">
            <v>兰银14#阀室</v>
          </cell>
          <cell r="B1441" t="str">
            <v>一级</v>
          </cell>
          <cell r="C1441" t="str">
            <v>兰银线</v>
          </cell>
          <cell r="D1441" t="str">
            <v>兰银线宁夏段</v>
          </cell>
        </row>
        <row r="1442">
          <cell r="A1442" t="str">
            <v>兰银15#阀室</v>
          </cell>
          <cell r="B1442" t="str">
            <v>一级</v>
          </cell>
          <cell r="C1442" t="str">
            <v>兰银线</v>
          </cell>
          <cell r="D1442" t="str">
            <v>兰银线宁夏段</v>
          </cell>
        </row>
        <row r="1443">
          <cell r="A1443" t="str">
            <v>银川压气站</v>
          </cell>
          <cell r="B1443" t="str">
            <v>一级</v>
          </cell>
          <cell r="C1443" t="str">
            <v>兰银线</v>
          </cell>
          <cell r="D1443" t="str">
            <v>兰银线宁夏段</v>
          </cell>
        </row>
        <row r="1444">
          <cell r="A1444" t="str">
            <v>白银分输站</v>
          </cell>
          <cell r="B1444" t="str">
            <v>一级</v>
          </cell>
          <cell r="C1444" t="str">
            <v>兰银线</v>
          </cell>
          <cell r="D1444" t="str">
            <v>白银支线</v>
          </cell>
        </row>
        <row r="1445">
          <cell r="A1445" t="str">
            <v>景泰分输站</v>
          </cell>
          <cell r="B1445" t="str">
            <v>一级</v>
          </cell>
          <cell r="C1445" t="str">
            <v>兰银线</v>
          </cell>
          <cell r="D1445" t="str">
            <v>景泰支线</v>
          </cell>
        </row>
        <row r="1446">
          <cell r="A1446" t="str">
            <v>马莲湖分输站</v>
          </cell>
          <cell r="B1446" t="str">
            <v>一级</v>
          </cell>
          <cell r="C1446" t="str">
            <v>兰银线</v>
          </cell>
          <cell r="D1446" t="str">
            <v>深中支线</v>
          </cell>
        </row>
        <row r="1447">
          <cell r="A1447" t="str">
            <v>长宁靖边压气站</v>
          </cell>
          <cell r="B1447" t="str">
            <v>一级</v>
          </cell>
          <cell r="C1447" t="str">
            <v>长宁线</v>
          </cell>
          <cell r="D1447" t="str">
            <v>长宁线干线</v>
          </cell>
        </row>
        <row r="1448">
          <cell r="A1448" t="str">
            <v>长宁1#阀室</v>
          </cell>
          <cell r="B1448" t="str">
            <v>一级</v>
          </cell>
          <cell r="C1448" t="str">
            <v>长宁线</v>
          </cell>
          <cell r="D1448" t="str">
            <v>长宁线干线</v>
          </cell>
        </row>
        <row r="1449">
          <cell r="A1449" t="str">
            <v>长宁2#阀室</v>
          </cell>
          <cell r="B1449" t="str">
            <v>一级</v>
          </cell>
          <cell r="C1449" t="str">
            <v>长宁线</v>
          </cell>
          <cell r="D1449" t="str">
            <v>长宁线干线</v>
          </cell>
        </row>
        <row r="1450">
          <cell r="A1450" t="str">
            <v>长宁3#阀室</v>
          </cell>
          <cell r="B1450" t="str">
            <v>一级</v>
          </cell>
          <cell r="C1450" t="str">
            <v>长宁线</v>
          </cell>
          <cell r="D1450" t="str">
            <v>长宁线干线</v>
          </cell>
        </row>
        <row r="1451">
          <cell r="A1451" t="str">
            <v>长宁4#阀室</v>
          </cell>
          <cell r="B1451" t="str">
            <v>一级</v>
          </cell>
          <cell r="C1451" t="str">
            <v>长宁线</v>
          </cell>
          <cell r="D1451" t="str">
            <v>长宁线干线</v>
          </cell>
        </row>
        <row r="1452">
          <cell r="A1452" t="str">
            <v>长宁盐池站</v>
          </cell>
          <cell r="B1452" t="str">
            <v>一级</v>
          </cell>
          <cell r="C1452" t="str">
            <v>长宁线</v>
          </cell>
          <cell r="D1452" t="str">
            <v>长宁线干线</v>
          </cell>
        </row>
        <row r="1453">
          <cell r="A1453" t="str">
            <v>长宁5#阀室</v>
          </cell>
          <cell r="B1453" t="str">
            <v>一级</v>
          </cell>
          <cell r="C1453" t="str">
            <v>长宁线</v>
          </cell>
          <cell r="D1453" t="str">
            <v>长宁线干线</v>
          </cell>
        </row>
        <row r="1454">
          <cell r="A1454" t="str">
            <v>长宁6#阀室</v>
          </cell>
          <cell r="B1454" t="str">
            <v>一级</v>
          </cell>
          <cell r="C1454" t="str">
            <v>长宁线</v>
          </cell>
          <cell r="D1454" t="str">
            <v>长宁线干线</v>
          </cell>
        </row>
        <row r="1455">
          <cell r="A1455" t="str">
            <v>宁东分输站</v>
          </cell>
          <cell r="B1455" t="str">
            <v>一级</v>
          </cell>
          <cell r="C1455" t="str">
            <v>长宁线</v>
          </cell>
          <cell r="D1455" t="str">
            <v>长宁线干线</v>
          </cell>
        </row>
        <row r="1456">
          <cell r="A1456" t="str">
            <v>长宁7#阀室</v>
          </cell>
          <cell r="B1456" t="str">
            <v>一级</v>
          </cell>
          <cell r="C1456" t="str">
            <v>长宁线</v>
          </cell>
          <cell r="D1456" t="str">
            <v>长宁线干线</v>
          </cell>
        </row>
        <row r="1457">
          <cell r="A1457" t="str">
            <v>长宁8#阀室</v>
          </cell>
          <cell r="B1457" t="str">
            <v>一级</v>
          </cell>
          <cell r="C1457" t="str">
            <v>长宁线</v>
          </cell>
          <cell r="D1457" t="str">
            <v>长宁线干线</v>
          </cell>
        </row>
        <row r="1458">
          <cell r="A1458" t="str">
            <v>仁存分输站</v>
          </cell>
          <cell r="B1458" t="str">
            <v>一级</v>
          </cell>
          <cell r="C1458" t="str">
            <v>长宁线</v>
          </cell>
          <cell r="D1458" t="str">
            <v>长宁线干线</v>
          </cell>
        </row>
        <row r="1459">
          <cell r="A1459" t="str">
            <v>长宁10#阀室</v>
          </cell>
          <cell r="B1459" t="str">
            <v>一级</v>
          </cell>
          <cell r="C1459" t="str">
            <v>长宁线</v>
          </cell>
          <cell r="D1459" t="str">
            <v>长宁线干线</v>
          </cell>
        </row>
        <row r="1460">
          <cell r="A1460" t="str">
            <v>长宁9#阀室</v>
          </cell>
          <cell r="B1460" t="str">
            <v>一级</v>
          </cell>
          <cell r="C1460" t="str">
            <v>长宁线</v>
          </cell>
          <cell r="D1460" t="str">
            <v>青铝支线</v>
          </cell>
        </row>
        <row r="1461">
          <cell r="A1461" t="str">
            <v>青铜峡分输站</v>
          </cell>
          <cell r="B1461" t="str">
            <v>一级</v>
          </cell>
          <cell r="C1461" t="str">
            <v>长宁线</v>
          </cell>
          <cell r="D1461" t="str">
            <v>青铝支线</v>
          </cell>
        </row>
        <row r="1462">
          <cell r="A1462" t="str">
            <v>忠县压气站</v>
          </cell>
          <cell r="B1462" t="str">
            <v>一级</v>
          </cell>
          <cell r="C1462" t="str">
            <v>忠武线</v>
          </cell>
          <cell r="D1462" t="str">
            <v>忠武线干线</v>
          </cell>
        </row>
        <row r="1463">
          <cell r="A1463" t="str">
            <v>忠武1#阀室</v>
          </cell>
          <cell r="B1463" t="str">
            <v>一级</v>
          </cell>
          <cell r="C1463" t="str">
            <v>忠武线</v>
          </cell>
          <cell r="D1463" t="str">
            <v>忠武线干线</v>
          </cell>
        </row>
        <row r="1464">
          <cell r="A1464" t="str">
            <v>忠武2#阀室</v>
          </cell>
          <cell r="B1464" t="str">
            <v>一级</v>
          </cell>
          <cell r="C1464" t="str">
            <v>忠武线</v>
          </cell>
          <cell r="D1464" t="str">
            <v>忠武线干线</v>
          </cell>
        </row>
        <row r="1465">
          <cell r="A1465" t="str">
            <v>忠武3#阀室</v>
          </cell>
          <cell r="B1465" t="str">
            <v>一级</v>
          </cell>
          <cell r="C1465" t="str">
            <v>忠武线</v>
          </cell>
          <cell r="D1465" t="str">
            <v>忠武线干线</v>
          </cell>
        </row>
        <row r="1466">
          <cell r="A1466" t="str">
            <v>忠武4#阀室</v>
          </cell>
          <cell r="B1466" t="str">
            <v>一级</v>
          </cell>
          <cell r="C1466" t="str">
            <v>忠武线</v>
          </cell>
          <cell r="D1466" t="str">
            <v>忠武线干线</v>
          </cell>
        </row>
        <row r="1467">
          <cell r="A1467" t="str">
            <v>忠武5#阀室</v>
          </cell>
          <cell r="B1467" t="str">
            <v>一级</v>
          </cell>
          <cell r="C1467" t="str">
            <v>忠武线</v>
          </cell>
          <cell r="D1467" t="str">
            <v>忠武线干线</v>
          </cell>
        </row>
        <row r="1468">
          <cell r="A1468" t="str">
            <v>忠武6#阀室</v>
          </cell>
          <cell r="B1468" t="str">
            <v>一级</v>
          </cell>
          <cell r="C1468" t="str">
            <v>忠武线</v>
          </cell>
          <cell r="D1468" t="str">
            <v>忠武线干线</v>
          </cell>
        </row>
        <row r="1469">
          <cell r="A1469" t="str">
            <v>恩施清管站</v>
          </cell>
          <cell r="B1469" t="str">
            <v>一级</v>
          </cell>
          <cell r="C1469" t="str">
            <v>忠武线</v>
          </cell>
          <cell r="D1469" t="str">
            <v>忠武线干线</v>
          </cell>
        </row>
        <row r="1470">
          <cell r="A1470" t="str">
            <v>恩施分输站</v>
          </cell>
          <cell r="B1470" t="str">
            <v>一级</v>
          </cell>
          <cell r="C1470" t="str">
            <v>忠武线</v>
          </cell>
          <cell r="D1470" t="str">
            <v>忠武线干线</v>
          </cell>
        </row>
        <row r="1471">
          <cell r="A1471" t="str">
            <v>忠武8#阀室</v>
          </cell>
          <cell r="B1471" t="str">
            <v>一级</v>
          </cell>
          <cell r="C1471" t="str">
            <v>忠武线</v>
          </cell>
          <cell r="D1471" t="str">
            <v>忠武线干线</v>
          </cell>
        </row>
        <row r="1472">
          <cell r="A1472" t="str">
            <v>忠武9#阀室</v>
          </cell>
          <cell r="B1472" t="str">
            <v>一级</v>
          </cell>
          <cell r="C1472" t="str">
            <v>忠武线</v>
          </cell>
          <cell r="D1472" t="str">
            <v>忠武线干线</v>
          </cell>
        </row>
        <row r="1473">
          <cell r="A1473" t="str">
            <v>忠武10#阀室</v>
          </cell>
          <cell r="B1473" t="str">
            <v>一级</v>
          </cell>
          <cell r="C1473" t="str">
            <v>忠武线</v>
          </cell>
          <cell r="D1473" t="str">
            <v>忠武线干线</v>
          </cell>
        </row>
        <row r="1474">
          <cell r="A1474" t="str">
            <v>忠武11#阀室</v>
          </cell>
          <cell r="B1474" t="str">
            <v>一级</v>
          </cell>
          <cell r="C1474" t="str">
            <v>忠武线</v>
          </cell>
          <cell r="D1474" t="str">
            <v>忠武线干线</v>
          </cell>
        </row>
        <row r="1475">
          <cell r="A1475" t="str">
            <v>忠武12#阀室</v>
          </cell>
          <cell r="B1475" t="str">
            <v>一级</v>
          </cell>
          <cell r="C1475" t="str">
            <v>忠武线</v>
          </cell>
          <cell r="D1475" t="str">
            <v>忠武线干线</v>
          </cell>
        </row>
        <row r="1476">
          <cell r="A1476" t="str">
            <v>榔枰清管站</v>
          </cell>
          <cell r="B1476" t="str">
            <v>一级</v>
          </cell>
          <cell r="C1476" t="str">
            <v>忠武线</v>
          </cell>
          <cell r="D1476" t="str">
            <v>忠武线干线</v>
          </cell>
        </row>
        <row r="1477">
          <cell r="A1477" t="str">
            <v>忠武13#阀室</v>
          </cell>
          <cell r="B1477" t="str">
            <v>一级</v>
          </cell>
          <cell r="C1477" t="str">
            <v>忠武线</v>
          </cell>
          <cell r="D1477" t="str">
            <v>忠武线干线</v>
          </cell>
        </row>
        <row r="1478">
          <cell r="A1478" t="str">
            <v>忠武14#阀室</v>
          </cell>
          <cell r="B1478" t="str">
            <v>一级</v>
          </cell>
          <cell r="C1478" t="str">
            <v>忠武线</v>
          </cell>
          <cell r="D1478" t="str">
            <v>忠武线干线</v>
          </cell>
        </row>
        <row r="1479">
          <cell r="A1479" t="str">
            <v>忠武15#阀室</v>
          </cell>
          <cell r="B1479" t="str">
            <v>一级</v>
          </cell>
          <cell r="C1479" t="str">
            <v>忠武线</v>
          </cell>
          <cell r="D1479" t="str">
            <v>忠武线干线</v>
          </cell>
        </row>
        <row r="1480">
          <cell r="A1480" t="str">
            <v>长阳分输站</v>
          </cell>
          <cell r="B1480" t="str">
            <v>一级</v>
          </cell>
          <cell r="C1480" t="str">
            <v>忠武线</v>
          </cell>
          <cell r="D1480" t="str">
            <v>忠武线干线</v>
          </cell>
        </row>
        <row r="1481">
          <cell r="A1481" t="str">
            <v>宜昌分输站</v>
          </cell>
          <cell r="B1481" t="str">
            <v>一级</v>
          </cell>
          <cell r="C1481" t="str">
            <v>忠武线</v>
          </cell>
          <cell r="D1481" t="str">
            <v>忠武线干线</v>
          </cell>
        </row>
        <row r="1482">
          <cell r="A1482" t="str">
            <v>忠武17#阀室</v>
          </cell>
          <cell r="B1482" t="str">
            <v>一级</v>
          </cell>
          <cell r="C1482" t="str">
            <v>忠武线</v>
          </cell>
          <cell r="D1482" t="str">
            <v>忠武线干线</v>
          </cell>
        </row>
        <row r="1483">
          <cell r="A1483" t="str">
            <v>枝江分输站</v>
          </cell>
          <cell r="B1483" t="str">
            <v>一级</v>
          </cell>
          <cell r="C1483" t="str">
            <v>忠武线</v>
          </cell>
          <cell r="D1483" t="str">
            <v>忠武线干线</v>
          </cell>
        </row>
        <row r="1484">
          <cell r="A1484" t="str">
            <v>忠武18#阀室</v>
          </cell>
          <cell r="B1484" t="str">
            <v>一级</v>
          </cell>
          <cell r="C1484" t="str">
            <v>忠武线</v>
          </cell>
          <cell r="D1484" t="str">
            <v>忠武线干线</v>
          </cell>
        </row>
        <row r="1485">
          <cell r="A1485" t="str">
            <v>荆州清管站</v>
          </cell>
          <cell r="B1485" t="str">
            <v>一级</v>
          </cell>
          <cell r="C1485" t="str">
            <v>忠武线</v>
          </cell>
          <cell r="D1485" t="str">
            <v>忠武线干线</v>
          </cell>
        </row>
        <row r="1486">
          <cell r="A1486" t="str">
            <v>荆州分输站</v>
          </cell>
          <cell r="B1486" t="str">
            <v>一级</v>
          </cell>
          <cell r="C1486" t="str">
            <v>忠武线</v>
          </cell>
          <cell r="D1486" t="str">
            <v>忠武线干线</v>
          </cell>
        </row>
        <row r="1487">
          <cell r="A1487" t="str">
            <v>忠武19#阀室</v>
          </cell>
          <cell r="B1487" t="str">
            <v>一级</v>
          </cell>
          <cell r="C1487" t="str">
            <v>忠武线</v>
          </cell>
          <cell r="D1487" t="str">
            <v>忠武线干线</v>
          </cell>
        </row>
        <row r="1488">
          <cell r="A1488" t="str">
            <v>潜江分输站</v>
          </cell>
          <cell r="B1488" t="str">
            <v>一级</v>
          </cell>
          <cell r="C1488" t="str">
            <v>忠武线</v>
          </cell>
          <cell r="D1488" t="str">
            <v>忠武线干线</v>
          </cell>
        </row>
        <row r="1489">
          <cell r="A1489" t="str">
            <v>忠武20#阀室</v>
          </cell>
          <cell r="B1489" t="str">
            <v>一级</v>
          </cell>
          <cell r="C1489" t="str">
            <v>忠武线</v>
          </cell>
          <cell r="D1489" t="str">
            <v>忠武线干线</v>
          </cell>
        </row>
        <row r="1490">
          <cell r="A1490" t="str">
            <v>干河分输站</v>
          </cell>
          <cell r="B1490" t="str">
            <v>一级</v>
          </cell>
          <cell r="C1490" t="str">
            <v>忠武线</v>
          </cell>
          <cell r="D1490" t="str">
            <v>忠武线干线</v>
          </cell>
        </row>
        <row r="1491">
          <cell r="A1491" t="str">
            <v>仙桃分输站</v>
          </cell>
          <cell r="B1491" t="str">
            <v>一级</v>
          </cell>
          <cell r="C1491" t="str">
            <v>忠武线</v>
          </cell>
          <cell r="D1491" t="str">
            <v>忠武线干线</v>
          </cell>
        </row>
        <row r="1492">
          <cell r="A1492" t="str">
            <v>忠武21#阀室</v>
          </cell>
          <cell r="B1492" t="str">
            <v>一级</v>
          </cell>
          <cell r="C1492" t="str">
            <v>忠武线</v>
          </cell>
          <cell r="D1492" t="str">
            <v>忠武线干线</v>
          </cell>
        </row>
        <row r="1493">
          <cell r="A1493" t="str">
            <v>忠武22#阀室</v>
          </cell>
          <cell r="B1493" t="str">
            <v>一级</v>
          </cell>
          <cell r="C1493" t="str">
            <v>忠武线</v>
          </cell>
          <cell r="D1493" t="str">
            <v>忠武线干线</v>
          </cell>
        </row>
        <row r="1494">
          <cell r="A1494" t="str">
            <v>武汉东分输站</v>
          </cell>
          <cell r="B1494" t="str">
            <v>一级</v>
          </cell>
          <cell r="C1494" t="str">
            <v>忠武线</v>
          </cell>
          <cell r="D1494" t="str">
            <v>忠武线干线</v>
          </cell>
        </row>
        <row r="1495">
          <cell r="A1495" t="str">
            <v>襄樊1#阀室</v>
          </cell>
          <cell r="B1495" t="str">
            <v>一级</v>
          </cell>
          <cell r="C1495" t="str">
            <v>忠武线</v>
          </cell>
          <cell r="D1495" t="str">
            <v>襄樊支线</v>
          </cell>
        </row>
        <row r="1496">
          <cell r="A1496" t="str">
            <v>襄樊2#阀室</v>
          </cell>
          <cell r="B1496" t="str">
            <v>一级</v>
          </cell>
          <cell r="C1496" t="str">
            <v>忠武线</v>
          </cell>
          <cell r="D1496" t="str">
            <v>襄樊支线</v>
          </cell>
        </row>
        <row r="1497">
          <cell r="A1497" t="str">
            <v>荆门分输站</v>
          </cell>
          <cell r="B1497" t="str">
            <v>一级</v>
          </cell>
          <cell r="C1497" t="str">
            <v>忠武线</v>
          </cell>
          <cell r="D1497" t="str">
            <v>襄樊支线</v>
          </cell>
        </row>
        <row r="1498">
          <cell r="A1498" t="str">
            <v>襄樊3#阀室</v>
          </cell>
          <cell r="B1498" t="str">
            <v>一级</v>
          </cell>
          <cell r="C1498" t="str">
            <v>忠武线</v>
          </cell>
          <cell r="D1498" t="str">
            <v>襄樊支线</v>
          </cell>
        </row>
        <row r="1499">
          <cell r="A1499" t="str">
            <v>襄樊4#阀室</v>
          </cell>
          <cell r="B1499" t="str">
            <v>一级</v>
          </cell>
          <cell r="C1499" t="str">
            <v>忠武线</v>
          </cell>
          <cell r="D1499" t="str">
            <v>襄樊支线</v>
          </cell>
        </row>
        <row r="1500">
          <cell r="A1500" t="str">
            <v>胡集分输站</v>
          </cell>
          <cell r="B1500" t="str">
            <v>一级</v>
          </cell>
          <cell r="C1500" t="str">
            <v>忠武线</v>
          </cell>
          <cell r="D1500" t="str">
            <v>襄樊支线</v>
          </cell>
        </row>
        <row r="1501">
          <cell r="A1501" t="str">
            <v>襄樊5#阀室</v>
          </cell>
          <cell r="B1501" t="str">
            <v>一级</v>
          </cell>
          <cell r="C1501" t="str">
            <v>忠武线</v>
          </cell>
          <cell r="D1501" t="str">
            <v>襄樊支线</v>
          </cell>
        </row>
        <row r="1502">
          <cell r="A1502" t="str">
            <v>宜城分输站</v>
          </cell>
          <cell r="B1502" t="str">
            <v>一级</v>
          </cell>
          <cell r="C1502" t="str">
            <v>忠武线</v>
          </cell>
          <cell r="D1502" t="str">
            <v>襄樊支线</v>
          </cell>
        </row>
        <row r="1503">
          <cell r="A1503" t="str">
            <v>襄樊6#阀室</v>
          </cell>
          <cell r="B1503" t="str">
            <v>一级</v>
          </cell>
          <cell r="C1503" t="str">
            <v>忠武线</v>
          </cell>
          <cell r="D1503" t="str">
            <v>襄樊支线</v>
          </cell>
        </row>
        <row r="1504">
          <cell r="A1504" t="str">
            <v>潜湘1#阀室</v>
          </cell>
          <cell r="B1504" t="str">
            <v>一级</v>
          </cell>
          <cell r="C1504" t="str">
            <v>忠武线</v>
          </cell>
          <cell r="D1504" t="str">
            <v>潜湘支线</v>
          </cell>
        </row>
        <row r="1505">
          <cell r="A1505" t="str">
            <v>监利分输站</v>
          </cell>
          <cell r="B1505" t="str">
            <v>一级</v>
          </cell>
          <cell r="C1505" t="str">
            <v>忠武线</v>
          </cell>
          <cell r="D1505" t="str">
            <v>潜湘支线</v>
          </cell>
        </row>
        <row r="1506">
          <cell r="A1506" t="str">
            <v>潜湘2#阀室</v>
          </cell>
          <cell r="B1506" t="str">
            <v>一级</v>
          </cell>
          <cell r="C1506" t="str">
            <v>忠武线</v>
          </cell>
          <cell r="D1506" t="str">
            <v>潜湘支线</v>
          </cell>
        </row>
        <row r="1507">
          <cell r="A1507" t="str">
            <v>监利清管站</v>
          </cell>
          <cell r="B1507" t="str">
            <v>一级</v>
          </cell>
          <cell r="C1507" t="str">
            <v>忠武线</v>
          </cell>
          <cell r="D1507" t="str">
            <v>潜湘支线</v>
          </cell>
        </row>
        <row r="1508">
          <cell r="A1508" t="str">
            <v>潜湘3#阀室</v>
          </cell>
          <cell r="B1508" t="str">
            <v>一级</v>
          </cell>
          <cell r="C1508" t="str">
            <v>忠武线</v>
          </cell>
          <cell r="D1508" t="str">
            <v>潜湘支线</v>
          </cell>
        </row>
        <row r="1509">
          <cell r="A1509" t="str">
            <v>潜湘3A#阀室</v>
          </cell>
          <cell r="B1509" t="str">
            <v>一级</v>
          </cell>
          <cell r="C1509" t="str">
            <v>忠武线</v>
          </cell>
          <cell r="D1509" t="str">
            <v>潜湘支线</v>
          </cell>
        </row>
        <row r="1510">
          <cell r="A1510" t="str">
            <v>云溪分输站</v>
          </cell>
          <cell r="B1510" t="str">
            <v>一级</v>
          </cell>
          <cell r="C1510" t="str">
            <v>忠武线</v>
          </cell>
          <cell r="D1510" t="str">
            <v>潜湘支线</v>
          </cell>
        </row>
        <row r="1511">
          <cell r="A1511" t="str">
            <v>岳阳分输站</v>
          </cell>
          <cell r="B1511" t="str">
            <v>一级</v>
          </cell>
          <cell r="C1511" t="str">
            <v>忠武线</v>
          </cell>
          <cell r="D1511" t="str">
            <v>潜湘支线</v>
          </cell>
        </row>
        <row r="1512">
          <cell r="A1512" t="str">
            <v>潜湘4#阀室</v>
          </cell>
          <cell r="B1512" t="str">
            <v>一级</v>
          </cell>
          <cell r="C1512" t="str">
            <v>忠武线</v>
          </cell>
          <cell r="D1512" t="str">
            <v>潜湘支线</v>
          </cell>
        </row>
        <row r="1513">
          <cell r="A1513" t="str">
            <v>岳阳南分输站</v>
          </cell>
          <cell r="B1513" t="str">
            <v>一级</v>
          </cell>
          <cell r="C1513" t="str">
            <v>忠武线</v>
          </cell>
          <cell r="D1513" t="str">
            <v>潜湘支线</v>
          </cell>
        </row>
        <row r="1514">
          <cell r="A1514" t="str">
            <v>潜湘5#阀室</v>
          </cell>
          <cell r="B1514" t="str">
            <v>一级</v>
          </cell>
          <cell r="C1514" t="str">
            <v>忠武线</v>
          </cell>
          <cell r="D1514" t="str">
            <v>潜湘支线</v>
          </cell>
        </row>
        <row r="1515">
          <cell r="A1515" t="str">
            <v>潜湘6#阀室</v>
          </cell>
          <cell r="B1515" t="str">
            <v>一级</v>
          </cell>
          <cell r="C1515" t="str">
            <v>忠武线</v>
          </cell>
          <cell r="D1515" t="str">
            <v>潜湘支线</v>
          </cell>
        </row>
        <row r="1516">
          <cell r="A1516" t="str">
            <v>汨罗分输站</v>
          </cell>
          <cell r="B1516" t="str">
            <v>一级</v>
          </cell>
          <cell r="C1516" t="str">
            <v>忠武线</v>
          </cell>
          <cell r="D1516" t="str">
            <v>潜湘支线</v>
          </cell>
        </row>
        <row r="1517">
          <cell r="A1517" t="str">
            <v>潜湘7#阀室</v>
          </cell>
          <cell r="B1517" t="str">
            <v>一级</v>
          </cell>
          <cell r="C1517" t="str">
            <v>忠武线</v>
          </cell>
          <cell r="D1517" t="str">
            <v>潜湘支线</v>
          </cell>
        </row>
        <row r="1518">
          <cell r="A1518" t="str">
            <v>潜湘8#阀室</v>
          </cell>
          <cell r="B1518" t="str">
            <v>一级</v>
          </cell>
          <cell r="C1518" t="str">
            <v>忠武线</v>
          </cell>
          <cell r="D1518" t="str">
            <v>潜湘支线</v>
          </cell>
        </row>
        <row r="1519">
          <cell r="A1519" t="str">
            <v>长沙分输站</v>
          </cell>
          <cell r="B1519" t="str">
            <v>一级</v>
          </cell>
          <cell r="C1519" t="str">
            <v>忠武线</v>
          </cell>
          <cell r="D1519" t="str">
            <v>潜湘支线</v>
          </cell>
        </row>
        <row r="1520">
          <cell r="A1520" t="str">
            <v>潜湘9#阀室</v>
          </cell>
          <cell r="B1520" t="str">
            <v>一级</v>
          </cell>
          <cell r="C1520" t="str">
            <v>忠武线</v>
          </cell>
          <cell r="D1520" t="str">
            <v>潜湘支线</v>
          </cell>
        </row>
        <row r="1521">
          <cell r="A1521" t="str">
            <v>黄石1#阀室</v>
          </cell>
          <cell r="B1521" t="str">
            <v>一级</v>
          </cell>
          <cell r="C1521" t="str">
            <v>忠武线</v>
          </cell>
          <cell r="D1521" t="str">
            <v>黄石支线</v>
          </cell>
        </row>
        <row r="1522">
          <cell r="A1522" t="str">
            <v>鄂州分输站</v>
          </cell>
          <cell r="B1522" t="str">
            <v>一级</v>
          </cell>
          <cell r="C1522" t="str">
            <v>忠武线</v>
          </cell>
          <cell r="D1522" t="str">
            <v>黄石支线</v>
          </cell>
        </row>
        <row r="1523">
          <cell r="A1523" t="str">
            <v>黄石分输站</v>
          </cell>
          <cell r="B1523" t="str">
            <v>一级</v>
          </cell>
          <cell r="C1523" t="str">
            <v>忠武线</v>
          </cell>
          <cell r="D1523" t="str">
            <v>黄石支线</v>
          </cell>
        </row>
        <row r="1524">
          <cell r="A1524" t="str">
            <v>宜昌分输站</v>
          </cell>
          <cell r="B1524" t="str">
            <v>一级</v>
          </cell>
          <cell r="C1524" t="str">
            <v>忠武线</v>
          </cell>
          <cell r="D1524" t="str">
            <v>忠武线与川气东送互联互通宜昌段</v>
          </cell>
        </row>
        <row r="1525">
          <cell r="A1525" t="str">
            <v>宜昌清管站</v>
          </cell>
          <cell r="B1525" t="str">
            <v>一级</v>
          </cell>
          <cell r="C1525" t="str">
            <v>忠武线</v>
          </cell>
          <cell r="D1525" t="str">
            <v>忠武线与川气东送互联互通宜昌段</v>
          </cell>
        </row>
        <row r="1526">
          <cell r="A1526" t="str">
            <v>秦沈1#阀室</v>
          </cell>
          <cell r="B1526" t="str">
            <v>一级</v>
          </cell>
          <cell r="C1526" t="str">
            <v>秦沈线</v>
          </cell>
          <cell r="D1526" t="str">
            <v>秦沈线干线</v>
          </cell>
        </row>
        <row r="1527">
          <cell r="A1527" t="str">
            <v>秦沈2#阀室</v>
          </cell>
          <cell r="B1527" t="str">
            <v>一级</v>
          </cell>
          <cell r="C1527" t="str">
            <v>秦沈线</v>
          </cell>
          <cell r="D1527" t="str">
            <v>秦沈线干线</v>
          </cell>
        </row>
        <row r="1528">
          <cell r="A1528" t="str">
            <v>秦沈3#阀室</v>
          </cell>
          <cell r="B1528" t="str">
            <v>一级</v>
          </cell>
          <cell r="C1528" t="str">
            <v>秦沈线</v>
          </cell>
          <cell r="D1528" t="str">
            <v>秦沈线干线</v>
          </cell>
        </row>
        <row r="1529">
          <cell r="A1529" t="str">
            <v>秦沈4#阀室</v>
          </cell>
          <cell r="B1529" t="str">
            <v>一级</v>
          </cell>
          <cell r="C1529" t="str">
            <v>秦沈线</v>
          </cell>
          <cell r="D1529" t="str">
            <v>秦沈线干线</v>
          </cell>
        </row>
        <row r="1530">
          <cell r="A1530" t="str">
            <v>秦沈5#阀室</v>
          </cell>
          <cell r="B1530" t="str">
            <v>一级</v>
          </cell>
          <cell r="C1530" t="str">
            <v>秦沈线</v>
          </cell>
          <cell r="D1530" t="str">
            <v>秦沈线干线</v>
          </cell>
        </row>
        <row r="1531">
          <cell r="A1531" t="str">
            <v>秦沈6#阀室</v>
          </cell>
          <cell r="B1531" t="str">
            <v>一级</v>
          </cell>
          <cell r="C1531" t="str">
            <v>秦沈线</v>
          </cell>
          <cell r="D1531" t="str">
            <v>秦沈线干线</v>
          </cell>
        </row>
        <row r="1532">
          <cell r="A1532" t="str">
            <v>秦沈7#阀室</v>
          </cell>
          <cell r="B1532" t="str">
            <v>一级</v>
          </cell>
          <cell r="C1532" t="str">
            <v>秦沈线</v>
          </cell>
          <cell r="D1532" t="str">
            <v>秦沈线干线</v>
          </cell>
        </row>
        <row r="1533">
          <cell r="A1533" t="str">
            <v>秦沈8#阀室</v>
          </cell>
          <cell r="B1533" t="str">
            <v>一级</v>
          </cell>
          <cell r="C1533" t="str">
            <v>秦沈线</v>
          </cell>
          <cell r="D1533" t="str">
            <v>秦沈线干线</v>
          </cell>
        </row>
        <row r="1534">
          <cell r="A1534" t="str">
            <v>葫芦岛分输站</v>
          </cell>
          <cell r="B1534" t="str">
            <v>一级</v>
          </cell>
          <cell r="C1534" t="str">
            <v>秦沈线</v>
          </cell>
          <cell r="D1534" t="str">
            <v>秦沈线干线</v>
          </cell>
        </row>
        <row r="1535">
          <cell r="A1535" t="str">
            <v>秦沈9#阀室</v>
          </cell>
          <cell r="B1535" t="str">
            <v>一级</v>
          </cell>
          <cell r="C1535" t="str">
            <v>秦沈线</v>
          </cell>
          <cell r="D1535" t="str">
            <v>秦沈线干线</v>
          </cell>
        </row>
        <row r="1536">
          <cell r="A1536" t="str">
            <v>锦州分输站</v>
          </cell>
          <cell r="B1536" t="str">
            <v>一级</v>
          </cell>
          <cell r="C1536" t="str">
            <v>秦沈线</v>
          </cell>
          <cell r="D1536" t="str">
            <v>秦沈线干线</v>
          </cell>
        </row>
        <row r="1537">
          <cell r="A1537" t="str">
            <v>秦沈10#阀室</v>
          </cell>
          <cell r="B1537" t="str">
            <v>一级</v>
          </cell>
          <cell r="C1537" t="str">
            <v>秦沈线</v>
          </cell>
          <cell r="D1537" t="str">
            <v>秦沈线干线</v>
          </cell>
        </row>
        <row r="1538">
          <cell r="A1538" t="str">
            <v>秦沈11#阀室</v>
          </cell>
          <cell r="B1538" t="str">
            <v>一级</v>
          </cell>
          <cell r="C1538" t="str">
            <v>秦沈线</v>
          </cell>
          <cell r="D1538" t="str">
            <v>秦沈线干线</v>
          </cell>
        </row>
        <row r="1539">
          <cell r="A1539" t="str">
            <v>秦沈12#阀室</v>
          </cell>
          <cell r="B1539" t="str">
            <v>一级</v>
          </cell>
          <cell r="C1539" t="str">
            <v>秦沈线</v>
          </cell>
          <cell r="D1539" t="str">
            <v>秦沈线干线</v>
          </cell>
        </row>
        <row r="1540">
          <cell r="A1540" t="str">
            <v>秦沈13#阀室</v>
          </cell>
          <cell r="B1540" t="str">
            <v>一级</v>
          </cell>
          <cell r="C1540" t="str">
            <v>秦沈线</v>
          </cell>
          <cell r="D1540" t="str">
            <v>秦沈线干线</v>
          </cell>
        </row>
        <row r="1541">
          <cell r="A1541" t="str">
            <v>秦沈14#阀室</v>
          </cell>
          <cell r="B1541" t="str">
            <v>一级</v>
          </cell>
          <cell r="C1541" t="str">
            <v>秦沈线</v>
          </cell>
          <cell r="D1541" t="str">
            <v>秦沈线干线</v>
          </cell>
        </row>
        <row r="1542">
          <cell r="A1542" t="str">
            <v>盘锦分输站</v>
          </cell>
          <cell r="B1542" t="str">
            <v>一级</v>
          </cell>
          <cell r="C1542" t="str">
            <v>秦沈线</v>
          </cell>
          <cell r="D1542" t="str">
            <v>秦沈线干线</v>
          </cell>
        </row>
        <row r="1543">
          <cell r="A1543" t="str">
            <v>秦沈15#阀室</v>
          </cell>
          <cell r="B1543" t="str">
            <v>一级</v>
          </cell>
          <cell r="C1543" t="str">
            <v>秦沈线</v>
          </cell>
          <cell r="D1543" t="str">
            <v>秦沈线干线</v>
          </cell>
        </row>
        <row r="1544">
          <cell r="A1544" t="str">
            <v>秦沈16#阀室</v>
          </cell>
          <cell r="B1544" t="str">
            <v>一级</v>
          </cell>
          <cell r="C1544" t="str">
            <v>秦沈线</v>
          </cell>
          <cell r="D1544" t="str">
            <v>秦沈线干线</v>
          </cell>
        </row>
        <row r="1545">
          <cell r="A1545" t="str">
            <v>秦沈17#阀室</v>
          </cell>
          <cell r="B1545" t="str">
            <v>一级</v>
          </cell>
          <cell r="C1545" t="str">
            <v>秦沈线</v>
          </cell>
          <cell r="D1545" t="str">
            <v>秦沈线干线</v>
          </cell>
        </row>
        <row r="1546">
          <cell r="A1546" t="str">
            <v>秦沈18#阀室</v>
          </cell>
          <cell r="B1546" t="str">
            <v>一级</v>
          </cell>
          <cell r="C1546" t="str">
            <v>秦沈线</v>
          </cell>
          <cell r="D1546" t="str">
            <v>秦沈线干线</v>
          </cell>
        </row>
        <row r="1547">
          <cell r="A1547" t="str">
            <v>秦沈19#阀室</v>
          </cell>
          <cell r="B1547" t="str">
            <v>一级</v>
          </cell>
          <cell r="C1547" t="str">
            <v>秦沈线</v>
          </cell>
          <cell r="D1547" t="str">
            <v>秦沈线干线</v>
          </cell>
        </row>
        <row r="1548">
          <cell r="A1548" t="str">
            <v>沈阳分输站</v>
          </cell>
          <cell r="B1548" t="str">
            <v>一级</v>
          </cell>
          <cell r="C1548" t="str">
            <v>秦沈线</v>
          </cell>
          <cell r="D1548" t="str">
            <v>秦沈线干线</v>
          </cell>
        </row>
        <row r="1549">
          <cell r="A1549" t="str">
            <v>葫芦岛末站</v>
          </cell>
          <cell r="B1549" t="str">
            <v>一级</v>
          </cell>
          <cell r="C1549" t="str">
            <v>秦沈线</v>
          </cell>
          <cell r="D1549" t="str">
            <v>葫芦岛支线</v>
          </cell>
        </row>
        <row r="1550">
          <cell r="A1550" t="str">
            <v>盘锦1#阀室</v>
          </cell>
          <cell r="B1550" t="str">
            <v>一级</v>
          </cell>
          <cell r="C1550" t="str">
            <v>秦沈线</v>
          </cell>
          <cell r="D1550" t="str">
            <v>盘锦支线</v>
          </cell>
        </row>
        <row r="1551">
          <cell r="A1551" t="str">
            <v>盘锦压气站</v>
          </cell>
          <cell r="B1551" t="str">
            <v>一级</v>
          </cell>
          <cell r="C1551" t="str">
            <v>秦沈线</v>
          </cell>
          <cell r="D1551" t="str">
            <v>盘锦支线</v>
          </cell>
        </row>
        <row r="1552">
          <cell r="A1552" t="str">
            <v>沈阳末站</v>
          </cell>
          <cell r="B1552" t="str">
            <v>一级</v>
          </cell>
          <cell r="C1552" t="str">
            <v>秦沈线</v>
          </cell>
          <cell r="D1552" t="str">
            <v>沈阳支线</v>
          </cell>
        </row>
        <row r="1553">
          <cell r="A1553" t="str">
            <v>汤河子分输站</v>
          </cell>
          <cell r="B1553" t="str">
            <v>一级</v>
          </cell>
          <cell r="C1553" t="str">
            <v>秦沈线</v>
          </cell>
          <cell r="D1553" t="str">
            <v>锦州石化支线</v>
          </cell>
        </row>
        <row r="1554">
          <cell r="A1554" t="str">
            <v>锦州石化末站</v>
          </cell>
          <cell r="B1554" t="str">
            <v>一级</v>
          </cell>
          <cell r="C1554" t="str">
            <v>秦沈线</v>
          </cell>
          <cell r="D1554" t="str">
            <v>锦州石化支线</v>
          </cell>
        </row>
        <row r="1555">
          <cell r="A1555" t="str">
            <v>锦西石化公司</v>
          </cell>
          <cell r="B1555" t="str">
            <v>一级</v>
          </cell>
          <cell r="C1555" t="str">
            <v>秦沈线</v>
          </cell>
          <cell r="D1555" t="str">
            <v>锦西石化支线</v>
          </cell>
        </row>
        <row r="1556">
          <cell r="A1556" t="str">
            <v>新港首站</v>
          </cell>
          <cell r="B1556" t="str">
            <v>一级</v>
          </cell>
          <cell r="C1556" t="str">
            <v>大沈线</v>
          </cell>
          <cell r="D1556" t="str">
            <v>大沈线干线</v>
          </cell>
        </row>
        <row r="1557">
          <cell r="A1557" t="str">
            <v>大沈1#阀室</v>
          </cell>
          <cell r="B1557" t="str">
            <v>一级</v>
          </cell>
          <cell r="C1557" t="str">
            <v>大沈线</v>
          </cell>
          <cell r="D1557" t="str">
            <v>大沈线干线</v>
          </cell>
        </row>
        <row r="1558">
          <cell r="A1558" t="str">
            <v>西太平洋石化末站</v>
          </cell>
          <cell r="B1558" t="str">
            <v>一级</v>
          </cell>
          <cell r="C1558" t="str">
            <v>大沈线</v>
          </cell>
          <cell r="D1558" t="str">
            <v>大沈线干线</v>
          </cell>
        </row>
        <row r="1559">
          <cell r="A1559" t="str">
            <v>大沈2#阀室</v>
          </cell>
          <cell r="B1559" t="str">
            <v>一级</v>
          </cell>
          <cell r="C1559" t="str">
            <v>大沈线</v>
          </cell>
          <cell r="D1559" t="str">
            <v>大沈线干线</v>
          </cell>
        </row>
        <row r="1560">
          <cell r="A1560" t="str">
            <v>大沈3#阀室</v>
          </cell>
          <cell r="B1560" t="str">
            <v>一级</v>
          </cell>
          <cell r="C1560" t="str">
            <v>大沈线</v>
          </cell>
          <cell r="D1560" t="str">
            <v>大沈线干线</v>
          </cell>
        </row>
        <row r="1561">
          <cell r="A1561" t="str">
            <v>松岚分输站</v>
          </cell>
          <cell r="B1561" t="str">
            <v>一级</v>
          </cell>
          <cell r="C1561" t="str">
            <v>大沈线</v>
          </cell>
          <cell r="D1561" t="str">
            <v>大沈线干线</v>
          </cell>
        </row>
        <row r="1562">
          <cell r="A1562" t="str">
            <v>大沈4#阀室</v>
          </cell>
          <cell r="B1562" t="str">
            <v>一级</v>
          </cell>
          <cell r="C1562" t="str">
            <v>大沈线</v>
          </cell>
          <cell r="D1562" t="str">
            <v>大沈线干线</v>
          </cell>
        </row>
        <row r="1563">
          <cell r="A1563" t="str">
            <v>大沈5#阀室</v>
          </cell>
          <cell r="B1563" t="str">
            <v>一级</v>
          </cell>
          <cell r="C1563" t="str">
            <v>大沈线</v>
          </cell>
          <cell r="D1563" t="str">
            <v>大沈线干线</v>
          </cell>
        </row>
        <row r="1564">
          <cell r="A1564" t="str">
            <v>大沈6#阀室</v>
          </cell>
          <cell r="B1564" t="str">
            <v>一级</v>
          </cell>
          <cell r="C1564" t="str">
            <v>大沈线</v>
          </cell>
          <cell r="D1564" t="str">
            <v>大沈线干线</v>
          </cell>
        </row>
        <row r="1565">
          <cell r="A1565" t="str">
            <v>大沈7#阀室</v>
          </cell>
          <cell r="B1565" t="str">
            <v>一级</v>
          </cell>
          <cell r="C1565" t="str">
            <v>大沈线</v>
          </cell>
          <cell r="D1565" t="str">
            <v>大沈线干线</v>
          </cell>
        </row>
        <row r="1566">
          <cell r="A1566" t="str">
            <v>大沈8#阀室</v>
          </cell>
          <cell r="B1566" t="str">
            <v>一级</v>
          </cell>
          <cell r="C1566" t="str">
            <v>大沈线</v>
          </cell>
          <cell r="D1566" t="str">
            <v>大沈线干线</v>
          </cell>
        </row>
        <row r="1567">
          <cell r="A1567" t="str">
            <v>大沈9#阀室</v>
          </cell>
          <cell r="B1567" t="str">
            <v>一级</v>
          </cell>
          <cell r="C1567" t="str">
            <v>大沈线</v>
          </cell>
          <cell r="D1567" t="str">
            <v>大沈线干线</v>
          </cell>
        </row>
        <row r="1568">
          <cell r="A1568" t="str">
            <v>大沈10#阀室</v>
          </cell>
          <cell r="B1568" t="str">
            <v>一级</v>
          </cell>
          <cell r="C1568" t="str">
            <v>大沈线</v>
          </cell>
          <cell r="D1568" t="str">
            <v>大沈线干线</v>
          </cell>
        </row>
        <row r="1569">
          <cell r="A1569" t="str">
            <v>大沈11#阀室</v>
          </cell>
          <cell r="B1569" t="str">
            <v>一级</v>
          </cell>
          <cell r="C1569" t="str">
            <v>大沈线</v>
          </cell>
          <cell r="D1569" t="str">
            <v>大沈线干线</v>
          </cell>
        </row>
        <row r="1570">
          <cell r="A1570" t="str">
            <v>盖州压气站</v>
          </cell>
          <cell r="B1570" t="str">
            <v>一级</v>
          </cell>
          <cell r="C1570" t="str">
            <v>大沈线</v>
          </cell>
          <cell r="D1570" t="str">
            <v>大沈线干线</v>
          </cell>
        </row>
        <row r="1571">
          <cell r="A1571" t="str">
            <v>大沈13#阀室</v>
          </cell>
          <cell r="B1571" t="str">
            <v>一级</v>
          </cell>
          <cell r="C1571" t="str">
            <v>大沈线</v>
          </cell>
          <cell r="D1571" t="str">
            <v>大沈线干线</v>
          </cell>
        </row>
        <row r="1572">
          <cell r="A1572" t="str">
            <v>大沈14#阀室</v>
          </cell>
          <cell r="B1572" t="str">
            <v>一级</v>
          </cell>
          <cell r="C1572" t="str">
            <v>大沈线</v>
          </cell>
          <cell r="D1572" t="str">
            <v>大沈线干线</v>
          </cell>
        </row>
        <row r="1573">
          <cell r="A1573" t="str">
            <v>大沈15#阀室</v>
          </cell>
          <cell r="B1573" t="str">
            <v>一级</v>
          </cell>
          <cell r="C1573" t="str">
            <v>大沈线</v>
          </cell>
          <cell r="D1573" t="str">
            <v>大沈线干线</v>
          </cell>
        </row>
        <row r="1574">
          <cell r="A1574" t="str">
            <v>大沈16#阀室</v>
          </cell>
          <cell r="B1574" t="str">
            <v>一级</v>
          </cell>
          <cell r="C1574" t="str">
            <v>大沈线</v>
          </cell>
          <cell r="D1574" t="str">
            <v>大沈线干线</v>
          </cell>
        </row>
        <row r="1575">
          <cell r="A1575" t="str">
            <v>大沈17#阀室</v>
          </cell>
          <cell r="B1575" t="str">
            <v>一级</v>
          </cell>
          <cell r="C1575" t="str">
            <v>大沈线</v>
          </cell>
          <cell r="D1575" t="str">
            <v>大沈线干线</v>
          </cell>
        </row>
        <row r="1576">
          <cell r="A1576" t="str">
            <v>营口分输站</v>
          </cell>
          <cell r="B1576" t="str">
            <v>一级</v>
          </cell>
          <cell r="C1576" t="str">
            <v>大沈线</v>
          </cell>
          <cell r="D1576" t="str">
            <v>大沈线干线</v>
          </cell>
        </row>
        <row r="1577">
          <cell r="A1577" t="str">
            <v>大沈18#阀室</v>
          </cell>
          <cell r="B1577" t="str">
            <v>一级</v>
          </cell>
          <cell r="C1577" t="str">
            <v>大沈线</v>
          </cell>
          <cell r="D1577" t="str">
            <v>大沈线干线</v>
          </cell>
        </row>
        <row r="1578">
          <cell r="A1578" t="str">
            <v>大沈19#阀室</v>
          </cell>
          <cell r="B1578" t="str">
            <v>一级</v>
          </cell>
          <cell r="C1578" t="str">
            <v>大沈线</v>
          </cell>
          <cell r="D1578" t="str">
            <v>大沈线干线</v>
          </cell>
        </row>
        <row r="1579">
          <cell r="A1579" t="str">
            <v>辽鞍分输站</v>
          </cell>
          <cell r="B1579" t="str">
            <v>一级</v>
          </cell>
          <cell r="C1579" t="str">
            <v>大沈线</v>
          </cell>
          <cell r="D1579" t="str">
            <v>大沈线干线</v>
          </cell>
        </row>
        <row r="1580">
          <cell r="A1580" t="str">
            <v>大沈20#阀室</v>
          </cell>
          <cell r="B1580" t="str">
            <v>一级</v>
          </cell>
          <cell r="C1580" t="str">
            <v>大沈线</v>
          </cell>
          <cell r="D1580" t="str">
            <v>大沈线干线</v>
          </cell>
        </row>
        <row r="1581">
          <cell r="A1581" t="str">
            <v>沈抚分输站</v>
          </cell>
          <cell r="B1581" t="str">
            <v>一级</v>
          </cell>
          <cell r="C1581" t="str">
            <v>大沈线</v>
          </cell>
          <cell r="D1581" t="str">
            <v>大沈线干线</v>
          </cell>
        </row>
        <row r="1582">
          <cell r="A1582" t="str">
            <v>大沈21#阀室</v>
          </cell>
          <cell r="B1582" t="str">
            <v>一级</v>
          </cell>
          <cell r="C1582" t="str">
            <v>大沈线</v>
          </cell>
          <cell r="D1582" t="str">
            <v>大沈线干线</v>
          </cell>
        </row>
        <row r="1583">
          <cell r="A1583" t="str">
            <v>大沈22#阀室</v>
          </cell>
          <cell r="B1583" t="str">
            <v>一级</v>
          </cell>
          <cell r="C1583" t="str">
            <v>大沈线</v>
          </cell>
          <cell r="D1583" t="str">
            <v>大沈线干线</v>
          </cell>
        </row>
        <row r="1584">
          <cell r="A1584" t="str">
            <v>大连1#阀室</v>
          </cell>
          <cell r="B1584" t="str">
            <v>一级</v>
          </cell>
          <cell r="C1584" t="str">
            <v>大沈线</v>
          </cell>
          <cell r="D1584" t="str">
            <v>大连支线</v>
          </cell>
        </row>
        <row r="1585">
          <cell r="A1585" t="str">
            <v>大连2#阀室</v>
          </cell>
          <cell r="B1585" t="str">
            <v>一级</v>
          </cell>
          <cell r="C1585" t="str">
            <v>大沈线</v>
          </cell>
          <cell r="D1585" t="str">
            <v>大连支线</v>
          </cell>
        </row>
        <row r="1586">
          <cell r="A1586" t="str">
            <v>大连3#阀室</v>
          </cell>
          <cell r="B1586" t="str">
            <v>一级</v>
          </cell>
          <cell r="C1586" t="str">
            <v>大沈线</v>
          </cell>
          <cell r="D1586" t="str">
            <v>大连支线</v>
          </cell>
        </row>
        <row r="1587">
          <cell r="A1587" t="str">
            <v>大连末站</v>
          </cell>
          <cell r="B1587" t="str">
            <v>一级</v>
          </cell>
          <cell r="C1587" t="str">
            <v>大沈线</v>
          </cell>
          <cell r="D1587" t="str">
            <v>大连支线</v>
          </cell>
        </row>
        <row r="1588">
          <cell r="A1588" t="str">
            <v>抚顺1#阀室</v>
          </cell>
          <cell r="B1588" t="str">
            <v>一级</v>
          </cell>
          <cell r="C1588" t="str">
            <v>大沈线</v>
          </cell>
          <cell r="D1588" t="str">
            <v>抚顺支线</v>
          </cell>
        </row>
        <row r="1589">
          <cell r="A1589" t="str">
            <v>抚顺2#阀室</v>
          </cell>
          <cell r="B1589" t="str">
            <v>一级</v>
          </cell>
          <cell r="C1589" t="str">
            <v>大沈线</v>
          </cell>
          <cell r="D1589" t="str">
            <v>抚顺支线</v>
          </cell>
        </row>
        <row r="1590">
          <cell r="A1590" t="str">
            <v>抚顺3#阀室</v>
          </cell>
          <cell r="B1590" t="str">
            <v>一级</v>
          </cell>
          <cell r="C1590" t="str">
            <v>大沈线</v>
          </cell>
          <cell r="D1590" t="str">
            <v>抚顺支线</v>
          </cell>
        </row>
        <row r="1591">
          <cell r="A1591" t="str">
            <v>抚顺4#阀室</v>
          </cell>
          <cell r="B1591" t="str">
            <v>一级</v>
          </cell>
          <cell r="C1591" t="str">
            <v>大沈线</v>
          </cell>
          <cell r="D1591" t="str">
            <v>抚顺支线</v>
          </cell>
        </row>
        <row r="1592">
          <cell r="A1592" t="str">
            <v>抚顺5#阀室</v>
          </cell>
          <cell r="B1592" t="str">
            <v>一级</v>
          </cell>
          <cell r="C1592" t="str">
            <v>大沈线</v>
          </cell>
          <cell r="D1592" t="str">
            <v>抚顺支线</v>
          </cell>
        </row>
        <row r="1593">
          <cell r="A1593" t="str">
            <v>抚顺末站</v>
          </cell>
          <cell r="B1593" t="str">
            <v>一级</v>
          </cell>
          <cell r="C1593" t="str">
            <v>大沈线</v>
          </cell>
          <cell r="D1593" t="str">
            <v>抚顺支线</v>
          </cell>
        </row>
        <row r="1594">
          <cell r="A1594" t="str">
            <v>营盘1#阀室</v>
          </cell>
          <cell r="B1594" t="str">
            <v>一级</v>
          </cell>
          <cell r="C1594" t="str">
            <v>大沈线</v>
          </cell>
          <cell r="D1594" t="str">
            <v>营盘联络线</v>
          </cell>
        </row>
        <row r="1595">
          <cell r="A1595" t="str">
            <v>营盘2#阀室</v>
          </cell>
          <cell r="B1595" t="str">
            <v>一级</v>
          </cell>
          <cell r="C1595" t="str">
            <v>大沈线</v>
          </cell>
          <cell r="D1595" t="str">
            <v>营盘联络线</v>
          </cell>
        </row>
        <row r="1596">
          <cell r="A1596" t="str">
            <v>营盘3#阀室</v>
          </cell>
          <cell r="B1596" t="str">
            <v>一级</v>
          </cell>
          <cell r="C1596" t="str">
            <v>大沈线</v>
          </cell>
          <cell r="D1596" t="str">
            <v>营盘联络线</v>
          </cell>
        </row>
        <row r="1597">
          <cell r="A1597" t="str">
            <v>营盘4#阀室</v>
          </cell>
          <cell r="B1597" t="str">
            <v>一级</v>
          </cell>
          <cell r="C1597" t="str">
            <v>大沈线</v>
          </cell>
          <cell r="D1597" t="str">
            <v>营盘联络线</v>
          </cell>
        </row>
        <row r="1598">
          <cell r="A1598" t="str">
            <v>双6分输站</v>
          </cell>
          <cell r="B1598" t="str">
            <v>一级</v>
          </cell>
          <cell r="C1598" t="str">
            <v>大沈线</v>
          </cell>
          <cell r="D1598" t="str">
            <v>营盘联络线</v>
          </cell>
        </row>
        <row r="1599">
          <cell r="A1599" t="str">
            <v>营盘截断阀室</v>
          </cell>
          <cell r="B1599" t="str">
            <v>一级</v>
          </cell>
          <cell r="C1599" t="str">
            <v>大沈线</v>
          </cell>
          <cell r="D1599" t="str">
            <v>营盘联络线</v>
          </cell>
        </row>
        <row r="1600">
          <cell r="A1600" t="str">
            <v>哈沈19#阀室</v>
          </cell>
          <cell r="B1600" t="str">
            <v>一级</v>
          </cell>
          <cell r="C1600" t="str">
            <v>哈沈线</v>
          </cell>
          <cell r="D1600" t="str">
            <v>沈阳长春段干线</v>
          </cell>
        </row>
        <row r="1601">
          <cell r="A1601" t="str">
            <v>沈阳北分输站</v>
          </cell>
          <cell r="B1601" t="str">
            <v>一级</v>
          </cell>
          <cell r="C1601" t="str">
            <v>哈沈线</v>
          </cell>
          <cell r="D1601" t="str">
            <v>沈阳长春段干线</v>
          </cell>
        </row>
        <row r="1602">
          <cell r="A1602" t="str">
            <v>哈沈18#阀室</v>
          </cell>
          <cell r="B1602" t="str">
            <v>一级</v>
          </cell>
          <cell r="C1602" t="str">
            <v>哈沈线</v>
          </cell>
          <cell r="D1602" t="str">
            <v>沈阳长春段干线</v>
          </cell>
        </row>
        <row r="1603">
          <cell r="A1603" t="str">
            <v>哈沈17#阀室</v>
          </cell>
          <cell r="B1603" t="str">
            <v>一级</v>
          </cell>
          <cell r="C1603" t="str">
            <v>哈沈线</v>
          </cell>
          <cell r="D1603" t="str">
            <v>沈阳长春段干线</v>
          </cell>
        </row>
        <row r="1604">
          <cell r="A1604" t="str">
            <v>铁岭分输站</v>
          </cell>
          <cell r="B1604" t="str">
            <v>一级</v>
          </cell>
          <cell r="C1604" t="str">
            <v>哈沈线</v>
          </cell>
          <cell r="D1604" t="str">
            <v>沈阳长春段干线</v>
          </cell>
        </row>
        <row r="1605">
          <cell r="A1605" t="str">
            <v>哈沈16#阀室</v>
          </cell>
          <cell r="B1605" t="str">
            <v>一级</v>
          </cell>
          <cell r="C1605" t="str">
            <v>哈沈线</v>
          </cell>
          <cell r="D1605" t="str">
            <v>沈阳长春段干线</v>
          </cell>
        </row>
        <row r="1606">
          <cell r="A1606" t="str">
            <v>开原分输站</v>
          </cell>
          <cell r="B1606" t="str">
            <v>一级</v>
          </cell>
          <cell r="C1606" t="str">
            <v>哈沈线</v>
          </cell>
          <cell r="D1606" t="str">
            <v>沈阳长春段干线</v>
          </cell>
        </row>
        <row r="1607">
          <cell r="A1607" t="str">
            <v>哈沈15#阀室</v>
          </cell>
          <cell r="B1607" t="str">
            <v>一级</v>
          </cell>
          <cell r="C1607" t="str">
            <v>哈沈线</v>
          </cell>
          <cell r="D1607" t="str">
            <v>沈阳长春段干线</v>
          </cell>
        </row>
        <row r="1608">
          <cell r="A1608" t="str">
            <v>昌图分输站</v>
          </cell>
          <cell r="B1608" t="str">
            <v>一级</v>
          </cell>
          <cell r="C1608" t="str">
            <v>哈沈线</v>
          </cell>
          <cell r="D1608" t="str">
            <v>沈阳长春段干线</v>
          </cell>
        </row>
        <row r="1609">
          <cell r="A1609" t="str">
            <v>哈沈14#阀室</v>
          </cell>
          <cell r="B1609" t="str">
            <v>一级</v>
          </cell>
          <cell r="C1609" t="str">
            <v>哈沈线</v>
          </cell>
          <cell r="D1609" t="str">
            <v>沈阳长春段干线</v>
          </cell>
        </row>
        <row r="1610">
          <cell r="A1610" t="str">
            <v>哈沈13#阀室</v>
          </cell>
          <cell r="B1610" t="str">
            <v>一级</v>
          </cell>
          <cell r="C1610" t="str">
            <v>哈沈线</v>
          </cell>
          <cell r="D1610" t="str">
            <v>沈阳长春段干线</v>
          </cell>
        </row>
        <row r="1611">
          <cell r="A1611" t="str">
            <v>四平分输站</v>
          </cell>
          <cell r="B1611" t="str">
            <v>一级</v>
          </cell>
          <cell r="C1611" t="str">
            <v>哈沈线</v>
          </cell>
          <cell r="D1611" t="str">
            <v>沈阳长春段干线</v>
          </cell>
        </row>
        <row r="1612">
          <cell r="A1612" t="str">
            <v>哈沈12#阀室</v>
          </cell>
          <cell r="B1612" t="str">
            <v>一级</v>
          </cell>
          <cell r="C1612" t="str">
            <v>哈沈线</v>
          </cell>
          <cell r="D1612" t="str">
            <v>沈阳长春段干线</v>
          </cell>
        </row>
        <row r="1613">
          <cell r="A1613" t="str">
            <v>哈沈11#阀室</v>
          </cell>
          <cell r="B1613" t="str">
            <v>一级</v>
          </cell>
          <cell r="C1613" t="str">
            <v>哈沈线</v>
          </cell>
          <cell r="D1613" t="str">
            <v>沈阳长春段干线</v>
          </cell>
        </row>
        <row r="1614">
          <cell r="A1614" t="str">
            <v>公主岭分输站</v>
          </cell>
          <cell r="B1614" t="str">
            <v>一级</v>
          </cell>
          <cell r="C1614" t="str">
            <v>哈沈线</v>
          </cell>
          <cell r="D1614" t="str">
            <v>沈阳长春段干线</v>
          </cell>
        </row>
        <row r="1615">
          <cell r="A1615" t="str">
            <v>哈沈10#阀室</v>
          </cell>
          <cell r="B1615" t="str">
            <v>一级</v>
          </cell>
          <cell r="C1615" t="str">
            <v>哈沈线</v>
          </cell>
          <cell r="D1615" t="str">
            <v>沈阳长春段干线</v>
          </cell>
        </row>
        <row r="1616">
          <cell r="A1616" t="str">
            <v>哈沈9#阀室</v>
          </cell>
          <cell r="B1616" t="str">
            <v>一级</v>
          </cell>
          <cell r="C1616" t="str">
            <v>哈沈线</v>
          </cell>
          <cell r="D1616" t="str">
            <v>沈阳长春段干线</v>
          </cell>
        </row>
        <row r="1617">
          <cell r="A1617" t="str">
            <v>哈沈8#阀室</v>
          </cell>
          <cell r="B1617" t="str">
            <v>一级</v>
          </cell>
          <cell r="C1617" t="str">
            <v>哈沈线</v>
          </cell>
          <cell r="D1617" t="str">
            <v>沈阳长春段干线</v>
          </cell>
        </row>
        <row r="1618">
          <cell r="A1618" t="str">
            <v>白山1#阀室</v>
          </cell>
          <cell r="B1618" t="str">
            <v>一级</v>
          </cell>
          <cell r="C1618" t="str">
            <v>哈沈线</v>
          </cell>
          <cell r="D1618" t="str">
            <v>四平-白山支线</v>
          </cell>
        </row>
        <row r="1619">
          <cell r="A1619" t="str">
            <v>白山2#阀室</v>
          </cell>
          <cell r="B1619" t="str">
            <v>一级</v>
          </cell>
          <cell r="C1619" t="str">
            <v>哈沈线</v>
          </cell>
          <cell r="D1619" t="str">
            <v>四平-白山支线</v>
          </cell>
        </row>
        <row r="1620">
          <cell r="A1620" t="str">
            <v>白山3#阀室</v>
          </cell>
          <cell r="B1620" t="str">
            <v>一级</v>
          </cell>
          <cell r="C1620" t="str">
            <v>哈沈线</v>
          </cell>
          <cell r="D1620" t="str">
            <v>四平-白山支线</v>
          </cell>
        </row>
        <row r="1621">
          <cell r="A1621" t="str">
            <v>辽源分输站</v>
          </cell>
          <cell r="B1621" t="str">
            <v>一级</v>
          </cell>
          <cell r="C1621" t="str">
            <v>哈沈线</v>
          </cell>
          <cell r="D1621" t="str">
            <v>四平-白山支线</v>
          </cell>
        </row>
        <row r="1622">
          <cell r="A1622" t="str">
            <v>白山4#阀室</v>
          </cell>
          <cell r="B1622" t="str">
            <v>一级</v>
          </cell>
          <cell r="C1622" t="str">
            <v>哈沈线</v>
          </cell>
          <cell r="D1622" t="str">
            <v>四平-白山支线</v>
          </cell>
        </row>
        <row r="1623">
          <cell r="A1623" t="str">
            <v>白山5#阀室</v>
          </cell>
          <cell r="B1623" t="str">
            <v>一级</v>
          </cell>
          <cell r="C1623" t="str">
            <v>哈沈线</v>
          </cell>
          <cell r="D1623" t="str">
            <v>四平-白山支线</v>
          </cell>
        </row>
        <row r="1624">
          <cell r="A1624" t="str">
            <v>白山6#阀室</v>
          </cell>
          <cell r="B1624" t="str">
            <v>一级</v>
          </cell>
          <cell r="C1624" t="str">
            <v>哈沈线</v>
          </cell>
          <cell r="D1624" t="str">
            <v>四平-白山支线</v>
          </cell>
        </row>
        <row r="1625">
          <cell r="A1625" t="str">
            <v>白山7#阀室</v>
          </cell>
          <cell r="B1625" t="str">
            <v>一级</v>
          </cell>
          <cell r="C1625" t="str">
            <v>哈沈线</v>
          </cell>
          <cell r="D1625" t="str">
            <v>四平-白山支线</v>
          </cell>
        </row>
        <row r="1626">
          <cell r="A1626" t="str">
            <v>梅河口分输站</v>
          </cell>
          <cell r="B1626" t="str">
            <v>一级</v>
          </cell>
          <cell r="C1626" t="str">
            <v>哈沈线</v>
          </cell>
          <cell r="D1626" t="str">
            <v>四平-白山支线</v>
          </cell>
        </row>
        <row r="1627">
          <cell r="A1627" t="str">
            <v>白山8#阀室</v>
          </cell>
          <cell r="B1627" t="str">
            <v>一级</v>
          </cell>
          <cell r="C1627" t="str">
            <v>哈沈线</v>
          </cell>
          <cell r="D1627" t="str">
            <v>四平-白山支线</v>
          </cell>
        </row>
        <row r="1628">
          <cell r="A1628" t="str">
            <v>白山9#阀室</v>
          </cell>
          <cell r="B1628" t="str">
            <v>一级</v>
          </cell>
          <cell r="C1628" t="str">
            <v>哈沈线</v>
          </cell>
          <cell r="D1628" t="str">
            <v>四平-白山支线</v>
          </cell>
        </row>
        <row r="1629">
          <cell r="A1629" t="str">
            <v>白山10#阀室</v>
          </cell>
          <cell r="B1629" t="str">
            <v>一级</v>
          </cell>
          <cell r="C1629" t="str">
            <v>哈沈线</v>
          </cell>
          <cell r="D1629" t="str">
            <v>四平-白山支线</v>
          </cell>
        </row>
        <row r="1630">
          <cell r="A1630" t="str">
            <v>白山11#阀室</v>
          </cell>
          <cell r="B1630" t="str">
            <v>一级</v>
          </cell>
          <cell r="C1630" t="str">
            <v>哈沈线</v>
          </cell>
          <cell r="D1630" t="str">
            <v>四平-白山支线</v>
          </cell>
        </row>
        <row r="1631">
          <cell r="A1631" t="str">
            <v>白山12#阀室</v>
          </cell>
          <cell r="B1631" t="str">
            <v>一级</v>
          </cell>
          <cell r="C1631" t="str">
            <v>哈沈线</v>
          </cell>
          <cell r="D1631" t="str">
            <v>四平-白山支线</v>
          </cell>
        </row>
        <row r="1632">
          <cell r="A1632" t="str">
            <v>通化分输站</v>
          </cell>
          <cell r="B1632" t="str">
            <v>一级</v>
          </cell>
          <cell r="C1632" t="str">
            <v>哈沈线</v>
          </cell>
          <cell r="D1632" t="str">
            <v>四平-白山支线</v>
          </cell>
        </row>
        <row r="1633">
          <cell r="A1633" t="str">
            <v>白山13#阀室</v>
          </cell>
          <cell r="B1633" t="str">
            <v>一级</v>
          </cell>
          <cell r="C1633" t="str">
            <v>哈沈线</v>
          </cell>
          <cell r="D1633" t="str">
            <v>四平-白山支线</v>
          </cell>
        </row>
        <row r="1634">
          <cell r="A1634" t="str">
            <v>白山14#阀室</v>
          </cell>
          <cell r="B1634" t="str">
            <v>一级</v>
          </cell>
          <cell r="C1634" t="str">
            <v>哈沈线</v>
          </cell>
          <cell r="D1634" t="str">
            <v>四平-白山支线</v>
          </cell>
        </row>
        <row r="1635">
          <cell r="A1635" t="str">
            <v>白山末站</v>
          </cell>
          <cell r="B1635" t="str">
            <v>一级</v>
          </cell>
          <cell r="C1635" t="str">
            <v>哈沈线</v>
          </cell>
          <cell r="D1635" t="str">
            <v>四平-白山支线</v>
          </cell>
        </row>
        <row r="1636">
          <cell r="A1636" t="str">
            <v>长岭首站</v>
          </cell>
          <cell r="B1636" t="str">
            <v>一级</v>
          </cell>
          <cell r="C1636" t="str">
            <v>长长吉管道</v>
          </cell>
          <cell r="D1636" t="str">
            <v>长长吉管道</v>
          </cell>
        </row>
        <row r="1637">
          <cell r="A1637" t="str">
            <v>长长吉1#阀室</v>
          </cell>
          <cell r="B1637" t="str">
            <v>一级</v>
          </cell>
          <cell r="C1637" t="str">
            <v>长长吉管道</v>
          </cell>
          <cell r="D1637" t="str">
            <v>长长吉管道</v>
          </cell>
        </row>
        <row r="1638">
          <cell r="A1638" t="str">
            <v>长长吉2#阀室</v>
          </cell>
          <cell r="B1638" t="str">
            <v>一级</v>
          </cell>
          <cell r="C1638" t="str">
            <v>长长吉管道</v>
          </cell>
          <cell r="D1638" t="str">
            <v>长长吉管道</v>
          </cell>
        </row>
        <row r="1639">
          <cell r="A1639" t="str">
            <v>长长吉3#阀室</v>
          </cell>
          <cell r="B1639" t="str">
            <v>一级</v>
          </cell>
          <cell r="C1639" t="str">
            <v>长长吉管道</v>
          </cell>
          <cell r="D1639" t="str">
            <v>长长吉管道</v>
          </cell>
        </row>
        <row r="1640">
          <cell r="A1640" t="str">
            <v>长长吉4#阀室</v>
          </cell>
          <cell r="B1640" t="str">
            <v>一级</v>
          </cell>
          <cell r="C1640" t="str">
            <v>长长吉管道</v>
          </cell>
          <cell r="D1640" t="str">
            <v>长长吉管道</v>
          </cell>
        </row>
        <row r="1641">
          <cell r="A1641" t="str">
            <v>长春分输站</v>
          </cell>
          <cell r="B1641" t="str">
            <v>一级</v>
          </cell>
          <cell r="C1641" t="str">
            <v>长长吉管道</v>
          </cell>
          <cell r="D1641" t="str">
            <v>长长吉管道</v>
          </cell>
        </row>
        <row r="1642">
          <cell r="A1642" t="str">
            <v>长长吉5#阀室</v>
          </cell>
          <cell r="B1642" t="str">
            <v>一级</v>
          </cell>
          <cell r="C1642" t="str">
            <v>长长吉管道</v>
          </cell>
          <cell r="D1642" t="str">
            <v>长长吉管道</v>
          </cell>
        </row>
        <row r="1643">
          <cell r="A1643" t="str">
            <v>长长吉6#阀室</v>
          </cell>
          <cell r="B1643" t="str">
            <v>一级</v>
          </cell>
          <cell r="C1643" t="str">
            <v>长长吉管道</v>
          </cell>
          <cell r="D1643" t="str">
            <v>长长吉管道</v>
          </cell>
        </row>
        <row r="1644">
          <cell r="A1644" t="str">
            <v>长长吉7#阀室</v>
          </cell>
          <cell r="B1644" t="str">
            <v>一级</v>
          </cell>
          <cell r="C1644" t="str">
            <v>长长吉管道</v>
          </cell>
          <cell r="D1644" t="str">
            <v>长长吉管道</v>
          </cell>
        </row>
        <row r="1645">
          <cell r="A1645" t="str">
            <v>长长吉8#阀室</v>
          </cell>
          <cell r="B1645" t="str">
            <v>一级</v>
          </cell>
          <cell r="C1645" t="str">
            <v>长长吉管道</v>
          </cell>
          <cell r="D1645" t="str">
            <v>长长吉管道</v>
          </cell>
        </row>
        <row r="1646">
          <cell r="A1646" t="str">
            <v>吉林分输站</v>
          </cell>
          <cell r="B1646" t="str">
            <v>一级</v>
          </cell>
          <cell r="C1646" t="str">
            <v>长长吉管道</v>
          </cell>
          <cell r="D1646" t="str">
            <v>长长吉管道</v>
          </cell>
        </row>
        <row r="1647">
          <cell r="A1647" t="str">
            <v>长长吉9#阀室</v>
          </cell>
          <cell r="B1647" t="str">
            <v>一级</v>
          </cell>
          <cell r="C1647" t="str">
            <v>长长吉管道</v>
          </cell>
          <cell r="D1647" t="str">
            <v>长长吉管道</v>
          </cell>
        </row>
        <row r="1648">
          <cell r="A1648" t="str">
            <v>吉化末站</v>
          </cell>
          <cell r="B1648" t="str">
            <v>一级</v>
          </cell>
          <cell r="C1648" t="str">
            <v>长长吉管道</v>
          </cell>
          <cell r="D1648" t="str">
            <v>长长吉管道</v>
          </cell>
        </row>
        <row r="1649">
          <cell r="A1649" t="str">
            <v>交气点</v>
          </cell>
          <cell r="B1649" t="str">
            <v>一级</v>
          </cell>
          <cell r="C1649" t="str">
            <v>中俄东线</v>
          </cell>
          <cell r="D1649" t="str">
            <v>中俄东线跨境段</v>
          </cell>
        </row>
        <row r="1650">
          <cell r="A1650" t="str">
            <v>中俄跨境00#阀室</v>
          </cell>
          <cell r="B1650" t="str">
            <v>一级</v>
          </cell>
          <cell r="C1650" t="str">
            <v>中俄东线</v>
          </cell>
          <cell r="D1650" t="str">
            <v>中俄东线跨境段</v>
          </cell>
        </row>
        <row r="1651">
          <cell r="A1651" t="str">
            <v>黑河压气站</v>
          </cell>
          <cell r="B1651" t="str">
            <v>一级</v>
          </cell>
          <cell r="C1651" t="str">
            <v>中俄东线</v>
          </cell>
          <cell r="D1651" t="str">
            <v>中俄东线跨境段</v>
          </cell>
        </row>
        <row r="1652">
          <cell r="A1652" t="str">
            <v>HC1#阀室</v>
          </cell>
          <cell r="B1652" t="str">
            <v>一级</v>
          </cell>
          <cell r="C1652" t="str">
            <v>中俄东线</v>
          </cell>
          <cell r="D1652" t="str">
            <v>中俄东线北段干线</v>
          </cell>
        </row>
        <row r="1653">
          <cell r="A1653" t="str">
            <v>HC2#阀室</v>
          </cell>
          <cell r="B1653" t="str">
            <v>一级</v>
          </cell>
          <cell r="C1653" t="str">
            <v>中俄东线</v>
          </cell>
          <cell r="D1653" t="str">
            <v>中俄东线北段干线</v>
          </cell>
        </row>
        <row r="1654">
          <cell r="A1654" t="str">
            <v>HC3#阀室</v>
          </cell>
          <cell r="B1654" t="str">
            <v>一级</v>
          </cell>
          <cell r="C1654" t="str">
            <v>中俄东线</v>
          </cell>
          <cell r="D1654" t="str">
            <v>中俄东线北段干线</v>
          </cell>
        </row>
        <row r="1655">
          <cell r="A1655" t="str">
            <v>HC4#阀室</v>
          </cell>
          <cell r="B1655" t="str">
            <v>一级</v>
          </cell>
          <cell r="C1655" t="str">
            <v>中俄东线</v>
          </cell>
          <cell r="D1655" t="str">
            <v>中俄东线北段干线</v>
          </cell>
        </row>
        <row r="1656">
          <cell r="A1656" t="str">
            <v>HC5#阀室</v>
          </cell>
          <cell r="B1656" t="str">
            <v>一级</v>
          </cell>
          <cell r="C1656" t="str">
            <v>中俄东线</v>
          </cell>
          <cell r="D1656" t="str">
            <v>中俄东线北段干线</v>
          </cell>
        </row>
        <row r="1657">
          <cell r="A1657" t="str">
            <v>HC6#阀室</v>
          </cell>
          <cell r="B1657" t="str">
            <v>一级</v>
          </cell>
          <cell r="C1657" t="str">
            <v>中俄东线</v>
          </cell>
          <cell r="D1657" t="str">
            <v>中俄东线北段干线</v>
          </cell>
        </row>
        <row r="1658">
          <cell r="A1658" t="str">
            <v>HC7#阀室</v>
          </cell>
          <cell r="B1658" t="str">
            <v>一级</v>
          </cell>
          <cell r="C1658" t="str">
            <v>中俄东线</v>
          </cell>
          <cell r="D1658" t="str">
            <v>中俄东线北段干线</v>
          </cell>
        </row>
        <row r="1659">
          <cell r="A1659" t="str">
            <v>五大连池压气站</v>
          </cell>
          <cell r="B1659" t="str">
            <v>一级</v>
          </cell>
          <cell r="C1659" t="str">
            <v>中俄东线</v>
          </cell>
          <cell r="D1659" t="str">
            <v>中俄东线北段干线</v>
          </cell>
        </row>
        <row r="1660">
          <cell r="A1660" t="str">
            <v>HC8#阀室</v>
          </cell>
          <cell r="B1660" t="str">
            <v>一级</v>
          </cell>
          <cell r="C1660" t="str">
            <v>中俄东线</v>
          </cell>
          <cell r="D1660" t="str">
            <v>中俄东线北段干线</v>
          </cell>
        </row>
        <row r="1661">
          <cell r="A1661" t="str">
            <v>HC9#阀室</v>
          </cell>
          <cell r="B1661" t="str">
            <v>一级</v>
          </cell>
          <cell r="C1661" t="str">
            <v>中俄东线</v>
          </cell>
          <cell r="D1661" t="str">
            <v>中俄东线北段干线</v>
          </cell>
        </row>
        <row r="1662">
          <cell r="A1662" t="str">
            <v>HC10#阀室</v>
          </cell>
          <cell r="B1662" t="str">
            <v>一级</v>
          </cell>
          <cell r="C1662" t="str">
            <v>中俄东线</v>
          </cell>
          <cell r="D1662" t="str">
            <v>中俄东线北段干线</v>
          </cell>
        </row>
        <row r="1663">
          <cell r="A1663" t="str">
            <v>HC11#阀室</v>
          </cell>
          <cell r="B1663" t="str">
            <v>一级</v>
          </cell>
          <cell r="C1663" t="str">
            <v>中俄东线</v>
          </cell>
          <cell r="D1663" t="str">
            <v>中俄东线北段干线</v>
          </cell>
        </row>
        <row r="1664">
          <cell r="A1664" t="str">
            <v>HC12#阀室</v>
          </cell>
          <cell r="B1664" t="str">
            <v>一级</v>
          </cell>
          <cell r="C1664" t="str">
            <v>中俄东线</v>
          </cell>
          <cell r="D1664" t="str">
            <v>中俄东线北段干线</v>
          </cell>
        </row>
        <row r="1665">
          <cell r="A1665" t="str">
            <v>HC13#阀室</v>
          </cell>
          <cell r="B1665" t="str">
            <v>一级</v>
          </cell>
          <cell r="C1665" t="str">
            <v>中俄东线</v>
          </cell>
          <cell r="D1665" t="str">
            <v>中俄东线北段干线</v>
          </cell>
        </row>
        <row r="1666">
          <cell r="A1666" t="str">
            <v>HC14#阀室</v>
          </cell>
          <cell r="B1666" t="str">
            <v>一级</v>
          </cell>
          <cell r="C1666" t="str">
            <v>中俄东线</v>
          </cell>
          <cell r="D1666" t="str">
            <v>中俄东线北段干线</v>
          </cell>
        </row>
        <row r="1667">
          <cell r="A1667" t="str">
            <v>HC15#阀室</v>
          </cell>
          <cell r="B1667" t="str">
            <v>一级</v>
          </cell>
          <cell r="C1667" t="str">
            <v>中俄东线</v>
          </cell>
          <cell r="D1667" t="str">
            <v>中俄东线北段干线</v>
          </cell>
        </row>
        <row r="1668">
          <cell r="A1668" t="str">
            <v>明水压气站</v>
          </cell>
          <cell r="B1668" t="str">
            <v>一级</v>
          </cell>
          <cell r="C1668" t="str">
            <v>中俄东线</v>
          </cell>
          <cell r="D1668" t="str">
            <v>中俄东线北段干线</v>
          </cell>
        </row>
        <row r="1669">
          <cell r="A1669" t="str">
            <v>HC16#阀室</v>
          </cell>
          <cell r="B1669" t="str">
            <v>一级</v>
          </cell>
          <cell r="C1669" t="str">
            <v>中俄东线</v>
          </cell>
          <cell r="D1669" t="str">
            <v>中俄东线北段干线</v>
          </cell>
        </row>
        <row r="1670">
          <cell r="A1670" t="str">
            <v>HC17#阀室</v>
          </cell>
          <cell r="B1670" t="str">
            <v>一级</v>
          </cell>
          <cell r="C1670" t="str">
            <v>中俄东线</v>
          </cell>
          <cell r="D1670" t="str">
            <v>中俄东线北段干线</v>
          </cell>
        </row>
        <row r="1671">
          <cell r="A1671" t="str">
            <v>HC18#阀室</v>
          </cell>
          <cell r="B1671" t="str">
            <v>一级</v>
          </cell>
          <cell r="C1671" t="str">
            <v>中俄东线</v>
          </cell>
          <cell r="D1671" t="str">
            <v>中俄东线北段干线</v>
          </cell>
        </row>
        <row r="1672">
          <cell r="A1672" t="str">
            <v>HC19#阀室</v>
          </cell>
          <cell r="B1672" t="str">
            <v>一级</v>
          </cell>
          <cell r="C1672" t="str">
            <v>中俄东线</v>
          </cell>
          <cell r="D1672" t="str">
            <v>中俄东线北段干线</v>
          </cell>
        </row>
        <row r="1673">
          <cell r="A1673" t="str">
            <v>HC20#阀室</v>
          </cell>
          <cell r="B1673" t="str">
            <v>一级</v>
          </cell>
          <cell r="C1673" t="str">
            <v>中俄东线</v>
          </cell>
          <cell r="D1673" t="str">
            <v>中俄东线北段干线</v>
          </cell>
        </row>
        <row r="1674">
          <cell r="A1674" t="str">
            <v>HC21#阀室</v>
          </cell>
          <cell r="B1674" t="str">
            <v>一级</v>
          </cell>
          <cell r="C1674" t="str">
            <v>中俄东线</v>
          </cell>
          <cell r="D1674" t="str">
            <v>中俄东线北段干线</v>
          </cell>
        </row>
        <row r="1675">
          <cell r="A1675" t="str">
            <v>大庆分输站</v>
          </cell>
          <cell r="B1675" t="str">
            <v>一级</v>
          </cell>
          <cell r="C1675" t="str">
            <v>中俄东线</v>
          </cell>
          <cell r="D1675" t="str">
            <v>中俄东线北段干线</v>
          </cell>
        </row>
        <row r="1676">
          <cell r="A1676" t="str">
            <v>HC22#阀室</v>
          </cell>
          <cell r="B1676" t="str">
            <v>一级</v>
          </cell>
          <cell r="C1676" t="str">
            <v>中俄东线</v>
          </cell>
          <cell r="D1676" t="str">
            <v>中俄东线北段干线</v>
          </cell>
        </row>
        <row r="1677">
          <cell r="A1677" t="str">
            <v>HC23#阀室</v>
          </cell>
          <cell r="B1677" t="str">
            <v>一级</v>
          </cell>
          <cell r="C1677" t="str">
            <v>中俄东线</v>
          </cell>
          <cell r="D1677" t="str">
            <v>中俄东线北段干线</v>
          </cell>
        </row>
        <row r="1678">
          <cell r="A1678" t="str">
            <v>肇源压气站</v>
          </cell>
          <cell r="B1678" t="str">
            <v>一级</v>
          </cell>
          <cell r="C1678" t="str">
            <v>中俄东线</v>
          </cell>
          <cell r="D1678" t="str">
            <v>中俄东线北段干线</v>
          </cell>
        </row>
        <row r="1679">
          <cell r="A1679" t="str">
            <v>HC24#阀室</v>
          </cell>
          <cell r="B1679" t="str">
            <v>一级</v>
          </cell>
          <cell r="C1679" t="str">
            <v>中俄东线</v>
          </cell>
          <cell r="D1679" t="str">
            <v>中俄东线北段干线</v>
          </cell>
        </row>
        <row r="1680">
          <cell r="A1680" t="str">
            <v>HC25#阀室</v>
          </cell>
          <cell r="B1680" t="str">
            <v>一级</v>
          </cell>
          <cell r="C1680" t="str">
            <v>中俄东线</v>
          </cell>
          <cell r="D1680" t="str">
            <v>中俄东线北段干线</v>
          </cell>
        </row>
        <row r="1681">
          <cell r="A1681" t="str">
            <v>HC26#阀室</v>
          </cell>
          <cell r="B1681" t="str">
            <v>一级</v>
          </cell>
          <cell r="C1681" t="str">
            <v>中俄东线</v>
          </cell>
          <cell r="D1681" t="str">
            <v>中俄东线北段干线</v>
          </cell>
        </row>
        <row r="1682">
          <cell r="A1682" t="str">
            <v>HC27#阀室</v>
          </cell>
          <cell r="B1682" t="str">
            <v>一级</v>
          </cell>
          <cell r="C1682" t="str">
            <v>中俄东线</v>
          </cell>
          <cell r="D1682" t="str">
            <v>中俄东线北段干线</v>
          </cell>
        </row>
        <row r="1683">
          <cell r="A1683" t="str">
            <v>HC28#阀室</v>
          </cell>
          <cell r="B1683" t="str">
            <v>一级</v>
          </cell>
          <cell r="C1683" t="str">
            <v>中俄东线</v>
          </cell>
          <cell r="D1683" t="str">
            <v>中俄东线北段干线</v>
          </cell>
        </row>
        <row r="1684">
          <cell r="A1684" t="str">
            <v>中俄长岭分输站</v>
          </cell>
          <cell r="B1684" t="str">
            <v>一级</v>
          </cell>
          <cell r="C1684" t="str">
            <v>中俄东线</v>
          </cell>
          <cell r="D1684" t="str">
            <v>中俄东线北段干线</v>
          </cell>
        </row>
        <row r="1685">
          <cell r="A1685" t="str">
            <v>CY01#阀室</v>
          </cell>
          <cell r="B1685" t="str">
            <v>一级</v>
          </cell>
          <cell r="C1685" t="str">
            <v>中俄东线</v>
          </cell>
          <cell r="D1685" t="str">
            <v>中俄东线中段干线</v>
          </cell>
        </row>
        <row r="1686">
          <cell r="A1686" t="str">
            <v>CY02#阀室</v>
          </cell>
          <cell r="B1686" t="str">
            <v>一级</v>
          </cell>
          <cell r="C1686" t="str">
            <v>中俄东线</v>
          </cell>
          <cell r="D1686" t="str">
            <v>中俄东线中段干线</v>
          </cell>
        </row>
        <row r="1687">
          <cell r="A1687" t="str">
            <v>CY03#阀室</v>
          </cell>
          <cell r="B1687" t="str">
            <v>一级</v>
          </cell>
          <cell r="C1687" t="str">
            <v>中俄东线</v>
          </cell>
          <cell r="D1687" t="str">
            <v>中俄东线中段干线</v>
          </cell>
        </row>
        <row r="1688">
          <cell r="A1688" t="str">
            <v>CY04#阀室</v>
          </cell>
          <cell r="B1688" t="str">
            <v>一级</v>
          </cell>
          <cell r="C1688" t="str">
            <v>中俄东线</v>
          </cell>
          <cell r="D1688" t="str">
            <v>中俄东线中段干线</v>
          </cell>
        </row>
        <row r="1689">
          <cell r="A1689" t="str">
            <v>CY05#阀室</v>
          </cell>
          <cell r="B1689" t="str">
            <v>一级</v>
          </cell>
          <cell r="C1689" t="str">
            <v>中俄东线</v>
          </cell>
          <cell r="D1689" t="str">
            <v>中俄东线中段干线</v>
          </cell>
        </row>
        <row r="1690">
          <cell r="A1690" t="str">
            <v>双辽分输站</v>
          </cell>
          <cell r="B1690" t="str">
            <v>一级</v>
          </cell>
          <cell r="C1690" t="str">
            <v>中俄东线</v>
          </cell>
          <cell r="D1690" t="str">
            <v>中俄东线中段干线</v>
          </cell>
        </row>
        <row r="1691">
          <cell r="A1691" t="str">
            <v>CY06#阀室</v>
          </cell>
          <cell r="B1691" t="str">
            <v>一级</v>
          </cell>
          <cell r="C1691" t="str">
            <v>中俄东线</v>
          </cell>
          <cell r="D1691" t="str">
            <v>中俄东线中段干线</v>
          </cell>
        </row>
        <row r="1692">
          <cell r="A1692" t="str">
            <v>通辽分输站</v>
          </cell>
          <cell r="B1692" t="str">
            <v>一级</v>
          </cell>
          <cell r="C1692" t="str">
            <v>中俄东线</v>
          </cell>
          <cell r="D1692" t="str">
            <v>中俄东线中段干线</v>
          </cell>
        </row>
        <row r="1693">
          <cell r="A1693" t="str">
            <v>CY08#阀室</v>
          </cell>
          <cell r="B1693" t="str">
            <v>一级</v>
          </cell>
          <cell r="C1693" t="str">
            <v>中俄东线</v>
          </cell>
          <cell r="D1693" t="str">
            <v>中俄东线中段干线</v>
          </cell>
        </row>
        <row r="1694">
          <cell r="A1694" t="str">
            <v>CY09#阀室</v>
          </cell>
          <cell r="B1694" t="str">
            <v>一级</v>
          </cell>
          <cell r="C1694" t="str">
            <v>中俄东线</v>
          </cell>
          <cell r="D1694" t="str">
            <v>中俄东线中段干线</v>
          </cell>
        </row>
        <row r="1695">
          <cell r="A1695" t="str">
            <v>CY10#阀室</v>
          </cell>
          <cell r="B1695" t="str">
            <v>一级</v>
          </cell>
          <cell r="C1695" t="str">
            <v>中俄东线</v>
          </cell>
          <cell r="D1695" t="str">
            <v>中俄东线中段干线</v>
          </cell>
        </row>
        <row r="1696">
          <cell r="A1696" t="str">
            <v>CY11#阀室</v>
          </cell>
          <cell r="B1696" t="str">
            <v>一级</v>
          </cell>
          <cell r="C1696" t="str">
            <v>中俄东线</v>
          </cell>
          <cell r="D1696" t="str">
            <v>中俄东线中段干线</v>
          </cell>
        </row>
        <row r="1697">
          <cell r="A1697" t="str">
            <v>CY12#阀室</v>
          </cell>
          <cell r="B1697" t="str">
            <v>一级</v>
          </cell>
          <cell r="C1697" t="str">
            <v>中俄东线</v>
          </cell>
          <cell r="D1697" t="str">
            <v>中俄东线中段干线</v>
          </cell>
        </row>
        <row r="1698">
          <cell r="A1698" t="str">
            <v>CY13#阀室</v>
          </cell>
          <cell r="B1698" t="str">
            <v>一级</v>
          </cell>
          <cell r="C1698" t="str">
            <v>中俄东线</v>
          </cell>
          <cell r="D1698" t="str">
            <v>中俄东线中段干线</v>
          </cell>
        </row>
        <row r="1699">
          <cell r="A1699" t="str">
            <v>沈阳压气站</v>
          </cell>
          <cell r="B1699" t="str">
            <v>一级</v>
          </cell>
          <cell r="C1699" t="str">
            <v>中俄东线</v>
          </cell>
          <cell r="D1699" t="str">
            <v>中俄东线中段干线</v>
          </cell>
        </row>
        <row r="1700">
          <cell r="A1700" t="str">
            <v>CY14#阀室</v>
          </cell>
          <cell r="B1700" t="str">
            <v>一级</v>
          </cell>
          <cell r="C1700" t="str">
            <v>中俄东线</v>
          </cell>
          <cell r="D1700" t="str">
            <v>中俄东线中段干线</v>
          </cell>
        </row>
        <row r="1701">
          <cell r="A1701" t="str">
            <v>CY15#阀室</v>
          </cell>
          <cell r="B1701" t="str">
            <v>一级</v>
          </cell>
          <cell r="C1701" t="str">
            <v>中俄东线</v>
          </cell>
          <cell r="D1701" t="str">
            <v>中俄东线中段干线</v>
          </cell>
        </row>
        <row r="1702">
          <cell r="A1702" t="str">
            <v>CY16#阀室</v>
          </cell>
          <cell r="B1702" t="str">
            <v>一级</v>
          </cell>
          <cell r="C1702" t="str">
            <v>中俄东线</v>
          </cell>
          <cell r="D1702" t="str">
            <v>中俄东线中段干线</v>
          </cell>
        </row>
        <row r="1703">
          <cell r="A1703" t="str">
            <v>CY17#阀室</v>
          </cell>
          <cell r="B1703" t="str">
            <v>一级</v>
          </cell>
          <cell r="C1703" t="str">
            <v>中俄东线</v>
          </cell>
          <cell r="D1703" t="str">
            <v>中俄东线中段干线</v>
          </cell>
        </row>
        <row r="1704">
          <cell r="A1704" t="str">
            <v>CY18#阀室</v>
          </cell>
          <cell r="B1704" t="str">
            <v>一级</v>
          </cell>
          <cell r="C1704" t="str">
            <v>中俄东线</v>
          </cell>
          <cell r="D1704" t="str">
            <v>中俄东线中段干线</v>
          </cell>
        </row>
        <row r="1705">
          <cell r="A1705" t="str">
            <v>盘锦联络站</v>
          </cell>
          <cell r="B1705" t="str">
            <v>一级</v>
          </cell>
          <cell r="C1705" t="str">
            <v>中俄东线</v>
          </cell>
          <cell r="D1705" t="str">
            <v>中俄东线中段干线</v>
          </cell>
        </row>
        <row r="1706">
          <cell r="A1706" t="str">
            <v>CY19#阀室</v>
          </cell>
          <cell r="B1706" t="str">
            <v>一级</v>
          </cell>
          <cell r="C1706" t="str">
            <v>中俄东线</v>
          </cell>
          <cell r="D1706" t="str">
            <v>中俄东线中段干线</v>
          </cell>
        </row>
        <row r="1707">
          <cell r="A1707" t="str">
            <v>CY20#阀室</v>
          </cell>
          <cell r="B1707" t="str">
            <v>一级</v>
          </cell>
          <cell r="C1707" t="str">
            <v>中俄东线</v>
          </cell>
          <cell r="D1707" t="str">
            <v>中俄东线中段干线</v>
          </cell>
        </row>
        <row r="1708">
          <cell r="A1708" t="str">
            <v>CY21#阀室</v>
          </cell>
          <cell r="B1708" t="str">
            <v>一级</v>
          </cell>
          <cell r="C1708" t="str">
            <v>中俄东线</v>
          </cell>
          <cell r="D1708" t="str">
            <v>中俄东线中段干线</v>
          </cell>
        </row>
        <row r="1709">
          <cell r="A1709" t="str">
            <v>CY22#阀室</v>
          </cell>
          <cell r="B1709" t="str">
            <v>一级</v>
          </cell>
          <cell r="C1709" t="str">
            <v>中俄东线</v>
          </cell>
          <cell r="D1709" t="str">
            <v>中俄东线中段干线</v>
          </cell>
        </row>
        <row r="1710">
          <cell r="A1710" t="str">
            <v>锦州压气站</v>
          </cell>
          <cell r="B1710" t="str">
            <v>一级</v>
          </cell>
          <cell r="C1710" t="str">
            <v>中俄东线</v>
          </cell>
          <cell r="D1710" t="str">
            <v>中俄东线中段干线</v>
          </cell>
        </row>
        <row r="1711">
          <cell r="A1711" t="str">
            <v>CY23#阀室</v>
          </cell>
          <cell r="B1711" t="str">
            <v>一级</v>
          </cell>
          <cell r="C1711" t="str">
            <v>中俄东线</v>
          </cell>
          <cell r="D1711" t="str">
            <v>中俄东线中段干线</v>
          </cell>
        </row>
        <row r="1712">
          <cell r="A1712" t="str">
            <v>CY24#阀室</v>
          </cell>
          <cell r="B1712" t="str">
            <v>一级</v>
          </cell>
          <cell r="C1712" t="str">
            <v>中俄东线</v>
          </cell>
          <cell r="D1712" t="str">
            <v>中俄东线中段干线</v>
          </cell>
        </row>
        <row r="1713">
          <cell r="A1713" t="str">
            <v>CY25#阀室</v>
          </cell>
          <cell r="B1713" t="str">
            <v>一级</v>
          </cell>
          <cell r="C1713" t="str">
            <v>中俄东线</v>
          </cell>
          <cell r="D1713" t="str">
            <v>中俄东线中段干线</v>
          </cell>
        </row>
        <row r="1714">
          <cell r="A1714" t="str">
            <v>CY26#阀室</v>
          </cell>
          <cell r="B1714" t="str">
            <v>一级</v>
          </cell>
          <cell r="C1714" t="str">
            <v>中俄东线</v>
          </cell>
          <cell r="D1714" t="str">
            <v>中俄东线中段干线</v>
          </cell>
        </row>
        <row r="1715">
          <cell r="A1715" t="str">
            <v>CY26A#阀室</v>
          </cell>
          <cell r="B1715" t="str">
            <v>一级</v>
          </cell>
          <cell r="C1715" t="str">
            <v>中俄东线</v>
          </cell>
          <cell r="D1715" t="str">
            <v>中俄东线中段干线</v>
          </cell>
        </row>
        <row r="1716">
          <cell r="A1716" t="str">
            <v>CY27#阀室</v>
          </cell>
          <cell r="B1716" t="str">
            <v>一级</v>
          </cell>
          <cell r="C1716" t="str">
            <v>中俄东线</v>
          </cell>
          <cell r="D1716" t="str">
            <v>中俄东线中段干线</v>
          </cell>
        </row>
        <row r="1717">
          <cell r="A1717" t="str">
            <v>CY28#阀室</v>
          </cell>
          <cell r="B1717" t="str">
            <v>一级</v>
          </cell>
          <cell r="C1717" t="str">
            <v>中俄东线</v>
          </cell>
          <cell r="D1717" t="str">
            <v>中俄东线中段干线</v>
          </cell>
        </row>
        <row r="1718">
          <cell r="A1718" t="str">
            <v>CY29#阀室</v>
          </cell>
          <cell r="B1718" t="str">
            <v>一级</v>
          </cell>
          <cell r="C1718" t="str">
            <v>中俄东线</v>
          </cell>
          <cell r="D1718" t="str">
            <v>中俄东线中段干线</v>
          </cell>
        </row>
        <row r="1719">
          <cell r="A1719" t="str">
            <v>CY30#阀室</v>
          </cell>
          <cell r="B1719" t="str">
            <v>一级</v>
          </cell>
          <cell r="C1719" t="str">
            <v>中俄东线</v>
          </cell>
          <cell r="D1719" t="str">
            <v>中俄东线中段干线</v>
          </cell>
        </row>
        <row r="1720">
          <cell r="A1720" t="str">
            <v>CY31#阀室</v>
          </cell>
          <cell r="B1720" t="str">
            <v>一级</v>
          </cell>
          <cell r="C1720" t="str">
            <v>中俄东线</v>
          </cell>
          <cell r="D1720" t="str">
            <v>中俄东线中段干线</v>
          </cell>
        </row>
        <row r="1721">
          <cell r="A1721" t="str">
            <v>中俄秦皇岛分输站</v>
          </cell>
          <cell r="B1721" t="str">
            <v>一级</v>
          </cell>
          <cell r="C1721" t="str">
            <v>中俄东线</v>
          </cell>
          <cell r="D1721" t="str">
            <v>中俄东线中段干线</v>
          </cell>
        </row>
        <row r="1722">
          <cell r="A1722" t="str">
            <v>CY31A#阀室</v>
          </cell>
          <cell r="B1722" t="str">
            <v>一级</v>
          </cell>
          <cell r="C1722" t="str">
            <v>中俄东线</v>
          </cell>
          <cell r="D1722" t="str">
            <v>中俄东线中段干线</v>
          </cell>
        </row>
        <row r="1723">
          <cell r="A1723" t="str">
            <v>CY32#阀室</v>
          </cell>
          <cell r="B1723" t="str">
            <v>一级</v>
          </cell>
          <cell r="C1723" t="str">
            <v>中俄东线</v>
          </cell>
          <cell r="D1723" t="str">
            <v>中俄东线中段干线</v>
          </cell>
        </row>
        <row r="1724">
          <cell r="A1724" t="str">
            <v>CY33#阀室</v>
          </cell>
          <cell r="B1724" t="str">
            <v>一级</v>
          </cell>
          <cell r="C1724" t="str">
            <v>中俄东线</v>
          </cell>
          <cell r="D1724" t="str">
            <v>中俄东线中段干线</v>
          </cell>
        </row>
        <row r="1725">
          <cell r="A1725" t="str">
            <v>CY34#阀室</v>
          </cell>
          <cell r="B1725" t="str">
            <v>一级</v>
          </cell>
          <cell r="C1725" t="str">
            <v>中俄东线</v>
          </cell>
          <cell r="D1725" t="str">
            <v>中俄东线中段干线</v>
          </cell>
        </row>
        <row r="1726">
          <cell r="A1726" t="str">
            <v>CY35#阀室</v>
          </cell>
          <cell r="B1726" t="str">
            <v>一级</v>
          </cell>
          <cell r="C1726" t="str">
            <v>中俄东线</v>
          </cell>
          <cell r="D1726" t="str">
            <v>中俄东线中段干线</v>
          </cell>
        </row>
        <row r="1727">
          <cell r="A1727" t="str">
            <v>CY36#阀室</v>
          </cell>
          <cell r="B1727" t="str">
            <v>一级</v>
          </cell>
          <cell r="C1727" t="str">
            <v>中俄东线</v>
          </cell>
          <cell r="D1727" t="str">
            <v>中俄东线中段干线</v>
          </cell>
        </row>
        <row r="1728">
          <cell r="A1728" t="str">
            <v>CY37#阀室</v>
          </cell>
          <cell r="B1728" t="str">
            <v>一级</v>
          </cell>
          <cell r="C1728" t="str">
            <v>中俄东线</v>
          </cell>
          <cell r="D1728" t="str">
            <v>中俄东线中段干线</v>
          </cell>
        </row>
        <row r="1729">
          <cell r="A1729" t="str">
            <v>CY38#阀室</v>
          </cell>
          <cell r="B1729" t="str">
            <v>一级</v>
          </cell>
          <cell r="C1729" t="str">
            <v>中俄东线</v>
          </cell>
          <cell r="D1729" t="str">
            <v>中俄东线中段干线</v>
          </cell>
        </row>
        <row r="1730">
          <cell r="A1730" t="str">
            <v>CY39#阀室</v>
          </cell>
          <cell r="B1730" t="str">
            <v>一级</v>
          </cell>
          <cell r="C1730" t="str">
            <v>中俄东线</v>
          </cell>
          <cell r="D1730" t="str">
            <v>中俄东线中段干线</v>
          </cell>
        </row>
        <row r="1731">
          <cell r="A1731" t="str">
            <v>中俄唐山压气站</v>
          </cell>
          <cell r="B1731" t="str">
            <v>一级</v>
          </cell>
          <cell r="C1731" t="str">
            <v>中俄东线</v>
          </cell>
          <cell r="D1731" t="str">
            <v>中俄东线中段干线</v>
          </cell>
        </row>
        <row r="1732">
          <cell r="A1732" t="str">
            <v>CY40#阀室</v>
          </cell>
          <cell r="B1732" t="str">
            <v>一级</v>
          </cell>
          <cell r="C1732" t="str">
            <v>中俄东线</v>
          </cell>
          <cell r="D1732" t="str">
            <v>中俄东线中段干线</v>
          </cell>
        </row>
        <row r="1733">
          <cell r="A1733" t="str">
            <v>CY41#阀室</v>
          </cell>
          <cell r="B1733" t="str">
            <v>一级</v>
          </cell>
          <cell r="C1733" t="str">
            <v>中俄东线</v>
          </cell>
          <cell r="D1733" t="str">
            <v>中俄东线中段干线</v>
          </cell>
        </row>
        <row r="1734">
          <cell r="A1734" t="str">
            <v>CY42#阀室</v>
          </cell>
          <cell r="B1734" t="str">
            <v>一级</v>
          </cell>
          <cell r="C1734" t="str">
            <v>中俄东线</v>
          </cell>
          <cell r="D1734" t="str">
            <v>中俄东线中段干线</v>
          </cell>
        </row>
        <row r="1735">
          <cell r="A1735" t="str">
            <v>中俄宝坻分输站</v>
          </cell>
          <cell r="B1735" t="str">
            <v>一级</v>
          </cell>
          <cell r="C1735" t="str">
            <v>中俄东线</v>
          </cell>
          <cell r="D1735" t="str">
            <v>中俄东线中段干线</v>
          </cell>
        </row>
        <row r="1736">
          <cell r="A1736" t="str">
            <v>CY43#阀室</v>
          </cell>
          <cell r="B1736" t="str">
            <v>一级</v>
          </cell>
          <cell r="C1736" t="str">
            <v>中俄东线</v>
          </cell>
          <cell r="D1736" t="str">
            <v>中俄东线中段干线</v>
          </cell>
        </row>
        <row r="1737">
          <cell r="A1737" t="str">
            <v>CY44#阀室</v>
          </cell>
          <cell r="B1737" t="str">
            <v>一级</v>
          </cell>
          <cell r="C1737" t="str">
            <v>中俄东线</v>
          </cell>
          <cell r="D1737" t="str">
            <v>中俄东线中段干线</v>
          </cell>
        </row>
        <row r="1738">
          <cell r="A1738" t="str">
            <v>CY45#阀室</v>
          </cell>
          <cell r="B1738" t="str">
            <v>一级</v>
          </cell>
          <cell r="C1738" t="str">
            <v>中俄东线</v>
          </cell>
          <cell r="D1738" t="str">
            <v>中俄东线中段干线</v>
          </cell>
        </row>
        <row r="1739">
          <cell r="A1739" t="str">
            <v>CY46#阀室</v>
          </cell>
          <cell r="B1739" t="str">
            <v>一级</v>
          </cell>
          <cell r="C1739" t="str">
            <v>中俄东线</v>
          </cell>
          <cell r="D1739" t="str">
            <v>中俄东线中段干线</v>
          </cell>
        </row>
        <row r="1740">
          <cell r="A1740" t="str">
            <v>CY47#阀室</v>
          </cell>
          <cell r="B1740" t="str">
            <v>一级</v>
          </cell>
          <cell r="C1740" t="str">
            <v>中俄东线</v>
          </cell>
          <cell r="D1740" t="str">
            <v>中俄东线中段干线</v>
          </cell>
        </row>
        <row r="1741">
          <cell r="A1741" t="str">
            <v>永清压气站</v>
          </cell>
          <cell r="B1741" t="str">
            <v>一级</v>
          </cell>
          <cell r="C1741" t="str">
            <v>中俄东线</v>
          </cell>
          <cell r="D1741" t="str">
            <v>中俄东线中段干线</v>
          </cell>
        </row>
        <row r="1742">
          <cell r="A1742" t="str">
            <v>安平压气站</v>
          </cell>
          <cell r="B1742" t="str">
            <v>一级</v>
          </cell>
          <cell r="C1742" t="str">
            <v>中俄东线</v>
          </cell>
          <cell r="D1742" t="str">
            <v>中俄东线南段干线</v>
          </cell>
        </row>
        <row r="1743">
          <cell r="A1743" t="str">
            <v>YS01＃阀室</v>
          </cell>
          <cell r="B1743" t="str">
            <v>一级</v>
          </cell>
          <cell r="C1743" t="str">
            <v>中俄东线</v>
          </cell>
          <cell r="D1743" t="str">
            <v>中俄东线南段干线</v>
          </cell>
        </row>
        <row r="1744">
          <cell r="A1744" t="str">
            <v>YS02＃阀室</v>
          </cell>
          <cell r="B1744" t="str">
            <v>一级</v>
          </cell>
          <cell r="C1744" t="str">
            <v>中俄东线</v>
          </cell>
          <cell r="D1744" t="str">
            <v>中俄东线南段干线</v>
          </cell>
        </row>
        <row r="1745">
          <cell r="A1745" t="str">
            <v>YS03＃阀室</v>
          </cell>
          <cell r="B1745" t="str">
            <v>一级</v>
          </cell>
          <cell r="C1745" t="str">
            <v>中俄东线</v>
          </cell>
          <cell r="D1745" t="str">
            <v>中俄东线南段干线</v>
          </cell>
        </row>
        <row r="1746">
          <cell r="A1746" t="str">
            <v>YS04＃阀室</v>
          </cell>
          <cell r="B1746" t="str">
            <v>一级</v>
          </cell>
          <cell r="C1746" t="str">
            <v>中俄东线</v>
          </cell>
          <cell r="D1746" t="str">
            <v>中俄东线南段干线</v>
          </cell>
        </row>
        <row r="1747">
          <cell r="A1747" t="str">
            <v>YS05＃阀室</v>
          </cell>
          <cell r="B1747" t="str">
            <v>一级</v>
          </cell>
          <cell r="C1747" t="str">
            <v>中俄东线</v>
          </cell>
          <cell r="D1747" t="str">
            <v>中俄东线南段干线</v>
          </cell>
        </row>
        <row r="1748">
          <cell r="A1748" t="str">
            <v>YS06＃阀室</v>
          </cell>
          <cell r="B1748" t="str">
            <v>一级</v>
          </cell>
          <cell r="C1748" t="str">
            <v>中俄东线</v>
          </cell>
          <cell r="D1748" t="str">
            <v>中俄东线南段干线</v>
          </cell>
        </row>
        <row r="1749">
          <cell r="A1749" t="str">
            <v>YS07＃阀室</v>
          </cell>
          <cell r="B1749" t="str">
            <v>一级</v>
          </cell>
          <cell r="C1749" t="str">
            <v>中俄东线</v>
          </cell>
          <cell r="D1749" t="str">
            <v>中俄东线南段干线</v>
          </cell>
        </row>
        <row r="1750">
          <cell r="A1750" t="str">
            <v>德州分输站</v>
          </cell>
          <cell r="B1750" t="str">
            <v>一级</v>
          </cell>
          <cell r="C1750" t="str">
            <v>中俄东线</v>
          </cell>
          <cell r="D1750" t="str">
            <v>中俄东线南段干线</v>
          </cell>
        </row>
        <row r="1751">
          <cell r="A1751" t="str">
            <v>YS08＃阀室</v>
          </cell>
          <cell r="B1751" t="str">
            <v>一级</v>
          </cell>
          <cell r="C1751" t="str">
            <v>中俄东线</v>
          </cell>
          <cell r="D1751" t="str">
            <v>中俄东线南段干线</v>
          </cell>
        </row>
        <row r="1752">
          <cell r="A1752" t="str">
            <v>YS09＃阀室</v>
          </cell>
          <cell r="B1752" t="str">
            <v>一级</v>
          </cell>
          <cell r="C1752" t="str">
            <v>中俄东线</v>
          </cell>
          <cell r="D1752" t="str">
            <v>中俄东线南段干线</v>
          </cell>
        </row>
        <row r="1753">
          <cell r="A1753" t="str">
            <v>YS10＃阀室</v>
          </cell>
          <cell r="B1753" t="str">
            <v>一级</v>
          </cell>
          <cell r="C1753" t="str">
            <v>中俄东线</v>
          </cell>
          <cell r="D1753" t="str">
            <v>中俄东线南段干线</v>
          </cell>
        </row>
        <row r="1754">
          <cell r="A1754" t="str">
            <v>YS11＃阀室</v>
          </cell>
          <cell r="B1754" t="str">
            <v>一级</v>
          </cell>
          <cell r="C1754" t="str">
            <v>中俄东线</v>
          </cell>
          <cell r="D1754" t="str">
            <v>中俄东线南段干线</v>
          </cell>
        </row>
        <row r="1755">
          <cell r="A1755" t="str">
            <v>YS12＃阀室</v>
          </cell>
          <cell r="B1755" t="str">
            <v>一级</v>
          </cell>
          <cell r="C1755" t="str">
            <v>中俄东线</v>
          </cell>
          <cell r="D1755" t="str">
            <v>中俄东线南段干线</v>
          </cell>
        </row>
        <row r="1756">
          <cell r="A1756" t="str">
            <v>济南西站</v>
          </cell>
          <cell r="B1756" t="str">
            <v>一级</v>
          </cell>
          <cell r="C1756" t="str">
            <v>中俄东线</v>
          </cell>
          <cell r="D1756" t="str">
            <v>中俄东线南段干线</v>
          </cell>
        </row>
        <row r="1757">
          <cell r="A1757" t="str">
            <v>YS14＃阀室</v>
          </cell>
          <cell r="B1757" t="str">
            <v>一级</v>
          </cell>
          <cell r="C1757" t="str">
            <v>中俄东线</v>
          </cell>
          <cell r="D1757" t="str">
            <v>中俄东线南段干线</v>
          </cell>
        </row>
        <row r="1758">
          <cell r="A1758" t="str">
            <v>YS14A＃阀室</v>
          </cell>
          <cell r="B1758" t="str">
            <v>一级</v>
          </cell>
          <cell r="C1758" t="str">
            <v>中俄东线</v>
          </cell>
          <cell r="D1758" t="str">
            <v>中俄东线南段干线</v>
          </cell>
        </row>
        <row r="1759">
          <cell r="A1759" t="str">
            <v>泰安压气站</v>
          </cell>
          <cell r="B1759" t="str">
            <v>一级</v>
          </cell>
          <cell r="C1759" t="str">
            <v>中俄东线</v>
          </cell>
          <cell r="D1759" t="str">
            <v>中俄东线南段干线</v>
          </cell>
        </row>
        <row r="1760">
          <cell r="A1760" t="str">
            <v>YS15＃阀室</v>
          </cell>
          <cell r="B1760" t="str">
            <v>一级</v>
          </cell>
          <cell r="C1760" t="str">
            <v>中俄东线</v>
          </cell>
          <cell r="D1760" t="str">
            <v>中俄东线南段干线</v>
          </cell>
        </row>
        <row r="1761">
          <cell r="A1761" t="str">
            <v>YS16＃阀室</v>
          </cell>
          <cell r="B1761" t="str">
            <v>一级</v>
          </cell>
          <cell r="C1761" t="str">
            <v>中俄东线</v>
          </cell>
          <cell r="D1761" t="str">
            <v>中俄东线南段干线</v>
          </cell>
        </row>
        <row r="1762">
          <cell r="A1762" t="str">
            <v>YS17＃阀室</v>
          </cell>
          <cell r="B1762" t="str">
            <v>一级</v>
          </cell>
          <cell r="C1762" t="str">
            <v>中俄东线</v>
          </cell>
          <cell r="D1762" t="str">
            <v>中俄东线南段干线</v>
          </cell>
        </row>
        <row r="1763">
          <cell r="A1763" t="str">
            <v>YS18＃阀室</v>
          </cell>
          <cell r="B1763" t="str">
            <v>一级</v>
          </cell>
          <cell r="C1763" t="str">
            <v>中俄东线</v>
          </cell>
          <cell r="D1763" t="str">
            <v>中俄东线南段干线</v>
          </cell>
        </row>
        <row r="1764">
          <cell r="A1764" t="str">
            <v>泗水分输清管站</v>
          </cell>
          <cell r="B1764" t="str">
            <v>一级</v>
          </cell>
          <cell r="C1764" t="str">
            <v>中俄东线</v>
          </cell>
          <cell r="D1764" t="str">
            <v>中俄东线南段干线</v>
          </cell>
        </row>
        <row r="1765">
          <cell r="A1765" t="str">
            <v>YS20＃阀室</v>
          </cell>
          <cell r="B1765" t="str">
            <v>一级</v>
          </cell>
          <cell r="C1765" t="str">
            <v>中俄东线</v>
          </cell>
          <cell r="D1765" t="str">
            <v>中俄东线南段干线</v>
          </cell>
        </row>
        <row r="1766">
          <cell r="A1766" t="str">
            <v>YS21＃阀室</v>
          </cell>
          <cell r="B1766" t="str">
            <v>一级</v>
          </cell>
          <cell r="C1766" t="str">
            <v>中俄东线</v>
          </cell>
          <cell r="D1766" t="str">
            <v>中俄东线南段干线</v>
          </cell>
        </row>
        <row r="1767">
          <cell r="A1767" t="str">
            <v>YS22＃阀室</v>
          </cell>
          <cell r="B1767" t="str">
            <v>一级</v>
          </cell>
          <cell r="C1767" t="str">
            <v>中俄东线</v>
          </cell>
          <cell r="D1767" t="str">
            <v>中俄东线南段干线</v>
          </cell>
        </row>
        <row r="1768">
          <cell r="A1768" t="str">
            <v>YS23＃阀室</v>
          </cell>
          <cell r="B1768" t="str">
            <v>一级</v>
          </cell>
          <cell r="C1768" t="str">
            <v>中俄东线</v>
          </cell>
          <cell r="D1768" t="str">
            <v>中俄东线南段干线</v>
          </cell>
        </row>
        <row r="1769">
          <cell r="A1769" t="str">
            <v>YS24＃阀室</v>
          </cell>
          <cell r="B1769" t="str">
            <v>一级</v>
          </cell>
          <cell r="C1769" t="str">
            <v>中俄东线</v>
          </cell>
          <cell r="D1769" t="str">
            <v>中俄东线南段干线</v>
          </cell>
        </row>
        <row r="1770">
          <cell r="A1770" t="str">
            <v>YS25＃阀室</v>
          </cell>
          <cell r="B1770" t="str">
            <v>一级</v>
          </cell>
          <cell r="C1770" t="str">
            <v>中俄东线</v>
          </cell>
          <cell r="D1770" t="str">
            <v>中俄东线南段干线</v>
          </cell>
        </row>
        <row r="1771">
          <cell r="A1771" t="str">
            <v>临沂分输清管站</v>
          </cell>
          <cell r="B1771" t="str">
            <v>一级</v>
          </cell>
          <cell r="C1771" t="str">
            <v>中俄东线</v>
          </cell>
          <cell r="D1771" t="str">
            <v>中俄东线南段干线</v>
          </cell>
        </row>
        <row r="1772">
          <cell r="A1772" t="str">
            <v>YS26＃阀室</v>
          </cell>
          <cell r="B1772" t="str">
            <v>一级</v>
          </cell>
          <cell r="C1772" t="str">
            <v>中俄东线</v>
          </cell>
          <cell r="D1772" t="str">
            <v>中俄东线南段干线</v>
          </cell>
        </row>
        <row r="1773">
          <cell r="A1773" t="str">
            <v>YS27＃阀室</v>
          </cell>
          <cell r="B1773" t="str">
            <v>一级</v>
          </cell>
          <cell r="C1773" t="str">
            <v>中俄东线</v>
          </cell>
          <cell r="D1773" t="str">
            <v>中俄东线南段干线</v>
          </cell>
        </row>
        <row r="1774">
          <cell r="A1774" t="str">
            <v>YS28＃阀室</v>
          </cell>
          <cell r="B1774" t="str">
            <v>一级</v>
          </cell>
          <cell r="C1774" t="str">
            <v>中俄东线</v>
          </cell>
          <cell r="D1774" t="str">
            <v>中俄东线南段干线</v>
          </cell>
        </row>
        <row r="1775">
          <cell r="A1775" t="str">
            <v>YS29＃阀室</v>
          </cell>
          <cell r="B1775" t="str">
            <v>一级</v>
          </cell>
          <cell r="C1775" t="str">
            <v>中俄东线</v>
          </cell>
          <cell r="D1775" t="str">
            <v>中俄东线南段干线</v>
          </cell>
        </row>
        <row r="1776">
          <cell r="A1776" t="str">
            <v>YS30＃阀室</v>
          </cell>
          <cell r="B1776" t="str">
            <v>一级</v>
          </cell>
          <cell r="C1776" t="str">
            <v>中俄东线</v>
          </cell>
          <cell r="D1776" t="str">
            <v>中俄东线南段干线</v>
          </cell>
        </row>
        <row r="1777">
          <cell r="A1777" t="str">
            <v>YS31＃阀室</v>
          </cell>
          <cell r="B1777" t="str">
            <v>一级</v>
          </cell>
          <cell r="C1777" t="str">
            <v>中俄东线</v>
          </cell>
          <cell r="D1777" t="str">
            <v>中俄东线南段干线</v>
          </cell>
        </row>
        <row r="1778">
          <cell r="A1778" t="str">
            <v>连云港分输压气站</v>
          </cell>
          <cell r="B1778" t="str">
            <v>一级</v>
          </cell>
          <cell r="C1778" t="str">
            <v>中俄东线</v>
          </cell>
          <cell r="D1778" t="str">
            <v>中俄东线南段干线</v>
          </cell>
        </row>
        <row r="1779">
          <cell r="A1779" t="str">
            <v>YS32A＃阀室</v>
          </cell>
          <cell r="B1779" t="str">
            <v>一级</v>
          </cell>
          <cell r="C1779" t="str">
            <v>中俄东线</v>
          </cell>
          <cell r="D1779" t="str">
            <v>中俄东线南段干线</v>
          </cell>
        </row>
        <row r="1780">
          <cell r="A1780" t="str">
            <v>YS32＃阀室</v>
          </cell>
          <cell r="B1780" t="str">
            <v>一级</v>
          </cell>
          <cell r="C1780" t="str">
            <v>中俄东线</v>
          </cell>
          <cell r="D1780" t="str">
            <v>中俄东线南段干线</v>
          </cell>
        </row>
        <row r="1781">
          <cell r="A1781" t="str">
            <v>YS33＃阀室</v>
          </cell>
          <cell r="B1781" t="str">
            <v>一级</v>
          </cell>
          <cell r="C1781" t="str">
            <v>中俄东线</v>
          </cell>
          <cell r="D1781" t="str">
            <v>中俄东线南段干线</v>
          </cell>
        </row>
        <row r="1782">
          <cell r="A1782" t="str">
            <v>YS34＃阀室</v>
          </cell>
          <cell r="B1782" t="str">
            <v>一级</v>
          </cell>
          <cell r="C1782" t="str">
            <v>中俄东线</v>
          </cell>
          <cell r="D1782" t="str">
            <v>中俄东线南段干线</v>
          </cell>
        </row>
        <row r="1783">
          <cell r="A1783" t="str">
            <v>YS35＃阀室</v>
          </cell>
          <cell r="B1783" t="str">
            <v>一级</v>
          </cell>
          <cell r="C1783" t="str">
            <v>中俄东线</v>
          </cell>
          <cell r="D1783" t="str">
            <v>中俄东线南段干线</v>
          </cell>
        </row>
        <row r="1784">
          <cell r="A1784" t="str">
            <v>灌南分输站</v>
          </cell>
          <cell r="B1784" t="str">
            <v>一级</v>
          </cell>
          <cell r="C1784" t="str">
            <v>中俄东线</v>
          </cell>
          <cell r="D1784" t="str">
            <v>中俄东线南段干线</v>
          </cell>
        </row>
        <row r="1785">
          <cell r="A1785" t="str">
            <v>YS36＃阀室</v>
          </cell>
          <cell r="B1785" t="str">
            <v>一级</v>
          </cell>
          <cell r="C1785" t="str">
            <v>中俄东线</v>
          </cell>
          <cell r="D1785" t="str">
            <v>中俄东线南段干线</v>
          </cell>
        </row>
        <row r="1786">
          <cell r="A1786" t="str">
            <v>YS37＃阀室</v>
          </cell>
          <cell r="B1786" t="str">
            <v>一级</v>
          </cell>
          <cell r="C1786" t="str">
            <v>中俄东线</v>
          </cell>
          <cell r="D1786" t="str">
            <v>中俄东线南段干线</v>
          </cell>
        </row>
        <row r="1787">
          <cell r="A1787" t="str">
            <v>YS38＃阀室</v>
          </cell>
          <cell r="B1787" t="str">
            <v>一级</v>
          </cell>
          <cell r="C1787" t="str">
            <v>中俄东线</v>
          </cell>
          <cell r="D1787" t="str">
            <v>中俄东线南段干线</v>
          </cell>
        </row>
        <row r="1788">
          <cell r="A1788" t="str">
            <v>阜宁分输站</v>
          </cell>
          <cell r="B1788" t="str">
            <v>一级</v>
          </cell>
          <cell r="C1788" t="str">
            <v>中俄东线</v>
          </cell>
          <cell r="D1788" t="str">
            <v>中俄东线南段干线</v>
          </cell>
        </row>
        <row r="1789">
          <cell r="A1789" t="str">
            <v>YS40＃阀室</v>
          </cell>
          <cell r="B1789" t="str">
            <v>一级</v>
          </cell>
          <cell r="C1789" t="str">
            <v>中俄东线</v>
          </cell>
          <cell r="D1789" t="str">
            <v>中俄东线南段干线</v>
          </cell>
        </row>
        <row r="1790">
          <cell r="A1790" t="str">
            <v>YS41＃阀室</v>
          </cell>
          <cell r="B1790" t="str">
            <v>一级</v>
          </cell>
          <cell r="C1790" t="str">
            <v>中俄东线</v>
          </cell>
          <cell r="D1790" t="str">
            <v>中俄东线南段干线</v>
          </cell>
        </row>
        <row r="1791">
          <cell r="A1791" t="str">
            <v>盐城分输清管站</v>
          </cell>
          <cell r="B1791" t="str">
            <v>一级</v>
          </cell>
          <cell r="C1791" t="str">
            <v>中俄东线</v>
          </cell>
          <cell r="D1791" t="str">
            <v>中俄东线南段干线</v>
          </cell>
        </row>
        <row r="1792">
          <cell r="A1792" t="str">
            <v>YS42＃阀室</v>
          </cell>
          <cell r="B1792" t="str">
            <v>一级</v>
          </cell>
          <cell r="C1792" t="str">
            <v>中俄东线</v>
          </cell>
          <cell r="D1792" t="str">
            <v>中俄东线南段干线</v>
          </cell>
        </row>
        <row r="1793">
          <cell r="A1793" t="str">
            <v>盐都分输站</v>
          </cell>
          <cell r="B1793" t="str">
            <v>一级</v>
          </cell>
          <cell r="C1793" t="str">
            <v>中俄东线</v>
          </cell>
          <cell r="D1793" t="str">
            <v>中俄东线南段干线</v>
          </cell>
        </row>
        <row r="1794">
          <cell r="A1794" t="str">
            <v>盐都南分输站</v>
          </cell>
          <cell r="B1794" t="str">
            <v>一级</v>
          </cell>
          <cell r="C1794" t="str">
            <v>中俄东线</v>
          </cell>
          <cell r="D1794" t="str">
            <v>中俄东线南段干线</v>
          </cell>
        </row>
        <row r="1795">
          <cell r="A1795" t="str">
            <v>兴化分输站</v>
          </cell>
          <cell r="B1795" t="str">
            <v>一级</v>
          </cell>
          <cell r="C1795" t="str">
            <v>中俄东线</v>
          </cell>
          <cell r="D1795" t="str">
            <v>中俄东线南段干线</v>
          </cell>
        </row>
        <row r="1796">
          <cell r="A1796" t="str">
            <v>YS44＃阀室</v>
          </cell>
          <cell r="B1796" t="str">
            <v>一级</v>
          </cell>
          <cell r="C1796" t="str">
            <v>中俄东线</v>
          </cell>
          <cell r="D1796" t="str">
            <v>中俄东线南段干线</v>
          </cell>
        </row>
        <row r="1797">
          <cell r="A1797" t="str">
            <v>YS45＃阀室</v>
          </cell>
          <cell r="B1797" t="str">
            <v>一级</v>
          </cell>
          <cell r="C1797" t="str">
            <v>中俄东线</v>
          </cell>
          <cell r="D1797" t="str">
            <v>中俄东线南段干线</v>
          </cell>
        </row>
        <row r="1798">
          <cell r="A1798" t="str">
            <v>东台分输站</v>
          </cell>
          <cell r="B1798" t="str">
            <v>一级</v>
          </cell>
          <cell r="C1798" t="str">
            <v>中俄东线</v>
          </cell>
          <cell r="D1798" t="str">
            <v>中俄东线南段干线</v>
          </cell>
        </row>
        <row r="1799">
          <cell r="A1799" t="str">
            <v>YS46＃阀室</v>
          </cell>
          <cell r="B1799" t="str">
            <v>一级</v>
          </cell>
          <cell r="C1799" t="str">
            <v>中俄东线</v>
          </cell>
          <cell r="D1799" t="str">
            <v>中俄东线南段干线</v>
          </cell>
        </row>
        <row r="1800">
          <cell r="A1800" t="str">
            <v>海安分输站</v>
          </cell>
          <cell r="B1800" t="str">
            <v>一级</v>
          </cell>
          <cell r="C1800" t="str">
            <v>中俄东线</v>
          </cell>
          <cell r="D1800" t="str">
            <v>中俄东线南段干线</v>
          </cell>
        </row>
        <row r="1801">
          <cell r="A1801" t="str">
            <v>YS47A＃阀室</v>
          </cell>
          <cell r="B1801" t="str">
            <v>一级</v>
          </cell>
          <cell r="C1801" t="str">
            <v>中俄东线</v>
          </cell>
          <cell r="D1801" t="str">
            <v>中俄东线南段干线</v>
          </cell>
        </row>
        <row r="1802">
          <cell r="A1802" t="str">
            <v>YS47＃阀室</v>
          </cell>
          <cell r="B1802" t="str">
            <v>一级</v>
          </cell>
          <cell r="C1802" t="str">
            <v>中俄东线</v>
          </cell>
          <cell r="D1802" t="str">
            <v>中俄东线南段干线</v>
          </cell>
        </row>
        <row r="1803">
          <cell r="A1803" t="str">
            <v>YS48＃阀室</v>
          </cell>
          <cell r="B1803" t="str">
            <v>一级</v>
          </cell>
          <cell r="C1803" t="str">
            <v>中俄东线</v>
          </cell>
          <cell r="D1803" t="str">
            <v>中俄东线南段干线</v>
          </cell>
        </row>
        <row r="1804">
          <cell r="A1804" t="str">
            <v>YS49＃阀室</v>
          </cell>
          <cell r="B1804" t="str">
            <v>一级</v>
          </cell>
          <cell r="C1804" t="str">
            <v>中俄东线</v>
          </cell>
          <cell r="D1804" t="str">
            <v>中俄东线南段干线</v>
          </cell>
        </row>
        <row r="1805">
          <cell r="A1805" t="str">
            <v>泰兴联络站</v>
          </cell>
          <cell r="B1805" t="str">
            <v>一级</v>
          </cell>
          <cell r="C1805" t="str">
            <v>中俄东线</v>
          </cell>
          <cell r="D1805" t="str">
            <v>中俄东线南段干线</v>
          </cell>
        </row>
        <row r="1806">
          <cell r="A1806" t="str">
            <v>长岭1#阀室</v>
          </cell>
          <cell r="B1806" t="str">
            <v>一级</v>
          </cell>
          <cell r="C1806" t="str">
            <v>中俄东线</v>
          </cell>
          <cell r="D1806" t="str">
            <v>长岭-长春支线</v>
          </cell>
        </row>
        <row r="1807">
          <cell r="A1807" t="str">
            <v>长岭2#阀室</v>
          </cell>
          <cell r="B1807" t="str">
            <v>一级</v>
          </cell>
          <cell r="C1807" t="str">
            <v>中俄东线</v>
          </cell>
          <cell r="D1807" t="str">
            <v>长岭-长春支线</v>
          </cell>
        </row>
        <row r="1808">
          <cell r="A1808" t="str">
            <v>长岭3#阀室</v>
          </cell>
          <cell r="B1808" t="str">
            <v>一级</v>
          </cell>
          <cell r="C1808" t="str">
            <v>中俄东线</v>
          </cell>
          <cell r="D1808" t="str">
            <v>长岭-长春支线</v>
          </cell>
        </row>
        <row r="1809">
          <cell r="A1809" t="str">
            <v>长岭4#阀室</v>
          </cell>
          <cell r="B1809" t="str">
            <v>一级</v>
          </cell>
          <cell r="C1809" t="str">
            <v>中俄东线</v>
          </cell>
          <cell r="D1809" t="str">
            <v>长岭-长春支线</v>
          </cell>
        </row>
        <row r="1810">
          <cell r="A1810" t="str">
            <v>明哈1#阀室</v>
          </cell>
          <cell r="B1810" t="str">
            <v>一级</v>
          </cell>
          <cell r="C1810" t="str">
            <v>中俄东线</v>
          </cell>
          <cell r="D1810" t="str">
            <v>明水-哈尔滨支线</v>
          </cell>
        </row>
        <row r="1811">
          <cell r="A1811" t="str">
            <v>明哈2#阀室</v>
          </cell>
          <cell r="B1811" t="str">
            <v>一级</v>
          </cell>
          <cell r="C1811" t="str">
            <v>中俄东线</v>
          </cell>
          <cell r="D1811" t="str">
            <v>明水-哈尔滨支线</v>
          </cell>
        </row>
        <row r="1812">
          <cell r="A1812" t="str">
            <v>明哈3#阀室</v>
          </cell>
          <cell r="B1812" t="str">
            <v>一级</v>
          </cell>
          <cell r="C1812" t="str">
            <v>中俄东线</v>
          </cell>
          <cell r="D1812" t="str">
            <v>明水-哈尔滨支线</v>
          </cell>
        </row>
        <row r="1813">
          <cell r="A1813" t="str">
            <v>明哈4#阀室</v>
          </cell>
          <cell r="B1813" t="str">
            <v>一级</v>
          </cell>
          <cell r="C1813" t="str">
            <v>中俄东线</v>
          </cell>
          <cell r="D1813" t="str">
            <v>明水-哈尔滨支线</v>
          </cell>
        </row>
        <row r="1814">
          <cell r="A1814" t="str">
            <v>兰西分输站</v>
          </cell>
          <cell r="B1814" t="str">
            <v>一级</v>
          </cell>
          <cell r="C1814" t="str">
            <v>中俄东线</v>
          </cell>
          <cell r="D1814" t="str">
            <v>明水-哈尔滨支线</v>
          </cell>
        </row>
        <row r="1815">
          <cell r="A1815" t="str">
            <v>明哈5#阀室</v>
          </cell>
          <cell r="B1815" t="str">
            <v>一级</v>
          </cell>
          <cell r="C1815" t="str">
            <v>中俄东线</v>
          </cell>
          <cell r="D1815" t="str">
            <v>明水-哈尔滨支线</v>
          </cell>
        </row>
        <row r="1816">
          <cell r="A1816" t="str">
            <v>明哈6#阀室</v>
          </cell>
          <cell r="B1816" t="str">
            <v>一级</v>
          </cell>
          <cell r="C1816" t="str">
            <v>中俄东线</v>
          </cell>
          <cell r="D1816" t="str">
            <v>明水-哈尔滨支线</v>
          </cell>
        </row>
        <row r="1817">
          <cell r="A1817" t="str">
            <v>哈尔滨北站</v>
          </cell>
          <cell r="B1817" t="str">
            <v>一级</v>
          </cell>
          <cell r="C1817" t="str">
            <v>中俄东线</v>
          </cell>
          <cell r="D1817" t="str">
            <v>明水-哈尔滨支线</v>
          </cell>
        </row>
        <row r="1818">
          <cell r="A1818" t="str">
            <v>绥化末站</v>
          </cell>
          <cell r="B1818" t="str">
            <v>一级</v>
          </cell>
          <cell r="C1818" t="str">
            <v>中俄东线</v>
          </cell>
          <cell r="D1818" t="str">
            <v>明水-哈尔滨支线</v>
          </cell>
        </row>
        <row r="1819">
          <cell r="A1819" t="str">
            <v>大庆分输站</v>
          </cell>
          <cell r="B1819" t="str">
            <v>一级</v>
          </cell>
          <cell r="C1819" t="str">
            <v>中俄东线</v>
          </cell>
          <cell r="D1819" t="str">
            <v>大庆-哈尔滨支线</v>
          </cell>
        </row>
        <row r="1820">
          <cell r="A1820" t="str">
            <v>大哈1#阀室</v>
          </cell>
          <cell r="B1820" t="str">
            <v>一级</v>
          </cell>
          <cell r="C1820" t="str">
            <v>中俄东线</v>
          </cell>
          <cell r="D1820" t="str">
            <v>大庆-哈尔滨支线</v>
          </cell>
        </row>
        <row r="1821">
          <cell r="A1821" t="str">
            <v>大哈2#阀室</v>
          </cell>
          <cell r="B1821" t="str">
            <v>一级</v>
          </cell>
          <cell r="C1821" t="str">
            <v>中俄东线</v>
          </cell>
          <cell r="D1821" t="str">
            <v>大庆-哈尔滨支线</v>
          </cell>
        </row>
        <row r="1822">
          <cell r="A1822" t="str">
            <v>双合分输站</v>
          </cell>
          <cell r="B1822" t="str">
            <v>一级</v>
          </cell>
          <cell r="C1822" t="str">
            <v>中俄东线</v>
          </cell>
          <cell r="D1822" t="str">
            <v>大庆-哈尔滨支线</v>
          </cell>
        </row>
        <row r="1823">
          <cell r="A1823" t="str">
            <v>盘锦联络站</v>
          </cell>
          <cell r="B1823" t="str">
            <v>一级</v>
          </cell>
          <cell r="C1823" t="str">
            <v>中俄东线</v>
          </cell>
          <cell r="D1823" t="str">
            <v>双台子储气库双向输气管道</v>
          </cell>
        </row>
        <row r="1824">
          <cell r="A1824" t="str">
            <v>双台子1#阀室</v>
          </cell>
          <cell r="B1824" t="str">
            <v>一级</v>
          </cell>
          <cell r="C1824" t="str">
            <v>中俄东线</v>
          </cell>
          <cell r="D1824" t="str">
            <v>双台子储气库双向输气管道</v>
          </cell>
        </row>
        <row r="1825">
          <cell r="A1825" t="str">
            <v>双台子2#阀室</v>
          </cell>
          <cell r="B1825" t="str">
            <v>一级</v>
          </cell>
          <cell r="C1825" t="str">
            <v>中俄东线</v>
          </cell>
          <cell r="D1825" t="str">
            <v>双台子储气库双向输气管道</v>
          </cell>
        </row>
        <row r="1826">
          <cell r="A1826" t="str">
            <v>双台子集注站</v>
          </cell>
          <cell r="B1826" t="str">
            <v>一级</v>
          </cell>
          <cell r="C1826" t="str">
            <v>中俄东线</v>
          </cell>
          <cell r="D1826" t="str">
            <v>双台子储气库双向输气管道</v>
          </cell>
        </row>
        <row r="1827">
          <cell r="A1827" t="str">
            <v>中俄45#下游330m</v>
          </cell>
          <cell r="B1827" t="str">
            <v>一级</v>
          </cell>
          <cell r="C1827" t="str">
            <v>中俄东线</v>
          </cell>
          <cell r="D1827" t="str">
            <v>武清联通工程</v>
          </cell>
        </row>
        <row r="1828">
          <cell r="A1828" t="str">
            <v>武清计量站</v>
          </cell>
          <cell r="B1828" t="str">
            <v>一级</v>
          </cell>
          <cell r="C1828" t="str">
            <v>中俄东线</v>
          </cell>
          <cell r="D1828" t="str">
            <v>武清联通工程</v>
          </cell>
        </row>
        <row r="1829">
          <cell r="A1829" t="str">
            <v>武清站下游12km</v>
          </cell>
          <cell r="B1829" t="str">
            <v>一级</v>
          </cell>
          <cell r="C1829" t="str">
            <v>中俄东线</v>
          </cell>
          <cell r="D1829" t="str">
            <v>武清联通工程</v>
          </cell>
        </row>
        <row r="1830">
          <cell r="A1830" t="str">
            <v>泰青威1#阀室</v>
          </cell>
          <cell r="B1830" t="str">
            <v>一级</v>
          </cell>
          <cell r="C1830" t="str">
            <v>泰青威管道</v>
          </cell>
          <cell r="D1830" t="str">
            <v>泰青威干线</v>
          </cell>
        </row>
        <row r="1831">
          <cell r="A1831" t="str">
            <v>泰青威2#阀室</v>
          </cell>
          <cell r="B1831" t="str">
            <v>一级</v>
          </cell>
          <cell r="C1831" t="str">
            <v>泰青威管道</v>
          </cell>
          <cell r="D1831" t="str">
            <v>泰青威干线</v>
          </cell>
        </row>
        <row r="1832">
          <cell r="A1832" t="str">
            <v>范镇分输站</v>
          </cell>
          <cell r="B1832" t="str">
            <v>一级</v>
          </cell>
          <cell r="C1832" t="str">
            <v>泰青威管道</v>
          </cell>
          <cell r="D1832" t="str">
            <v>泰青威干线</v>
          </cell>
        </row>
        <row r="1833">
          <cell r="A1833" t="str">
            <v>泰青威4#阀室</v>
          </cell>
          <cell r="B1833" t="str">
            <v>一级</v>
          </cell>
          <cell r="C1833" t="str">
            <v>泰青威管道</v>
          </cell>
          <cell r="D1833" t="str">
            <v>泰青威干线</v>
          </cell>
        </row>
        <row r="1834">
          <cell r="A1834" t="str">
            <v>莱芜分输站</v>
          </cell>
          <cell r="B1834" t="str">
            <v>一级</v>
          </cell>
          <cell r="C1834" t="str">
            <v>泰青威管道</v>
          </cell>
          <cell r="D1834" t="str">
            <v>泰青威干线</v>
          </cell>
        </row>
        <row r="1835">
          <cell r="A1835" t="str">
            <v>泰青威5#阀室</v>
          </cell>
          <cell r="B1835" t="str">
            <v>一级</v>
          </cell>
          <cell r="C1835" t="str">
            <v>泰青威管道</v>
          </cell>
          <cell r="D1835" t="str">
            <v>泰青威干线</v>
          </cell>
        </row>
        <row r="1836">
          <cell r="A1836" t="str">
            <v>泰青威6#阀室</v>
          </cell>
          <cell r="B1836" t="str">
            <v>一级</v>
          </cell>
          <cell r="C1836" t="str">
            <v>泰青威管道</v>
          </cell>
          <cell r="D1836" t="str">
            <v>泰青威干线</v>
          </cell>
        </row>
        <row r="1837">
          <cell r="A1837" t="str">
            <v>博山分输站</v>
          </cell>
          <cell r="B1837" t="str">
            <v>一级</v>
          </cell>
          <cell r="C1837" t="str">
            <v>泰青威管道</v>
          </cell>
          <cell r="D1837" t="str">
            <v>泰青威干线</v>
          </cell>
        </row>
        <row r="1838">
          <cell r="A1838" t="str">
            <v>泰青威7#阀室</v>
          </cell>
          <cell r="B1838" t="str">
            <v>一级</v>
          </cell>
          <cell r="C1838" t="str">
            <v>泰青威管道</v>
          </cell>
          <cell r="D1838" t="str">
            <v>泰青威干线</v>
          </cell>
        </row>
        <row r="1839">
          <cell r="A1839" t="str">
            <v>泰青威8#阀室</v>
          </cell>
          <cell r="B1839" t="str">
            <v>一级</v>
          </cell>
          <cell r="C1839" t="str">
            <v>泰青威管道</v>
          </cell>
          <cell r="D1839" t="str">
            <v>泰青威干线</v>
          </cell>
        </row>
        <row r="1840">
          <cell r="A1840" t="str">
            <v>泰青威9#阀室</v>
          </cell>
          <cell r="B1840" t="str">
            <v>一级</v>
          </cell>
          <cell r="C1840" t="str">
            <v>泰青威管道</v>
          </cell>
          <cell r="D1840" t="str">
            <v>泰青威干线</v>
          </cell>
        </row>
        <row r="1841">
          <cell r="A1841" t="str">
            <v>临朐分输站</v>
          </cell>
          <cell r="B1841" t="str">
            <v>一级</v>
          </cell>
          <cell r="C1841" t="str">
            <v>泰青威管道</v>
          </cell>
          <cell r="D1841" t="str">
            <v>泰青威干线</v>
          </cell>
        </row>
        <row r="1842">
          <cell r="A1842" t="str">
            <v>泰青威10#阀室</v>
          </cell>
          <cell r="B1842" t="str">
            <v>一级</v>
          </cell>
          <cell r="C1842" t="str">
            <v>泰青威管道</v>
          </cell>
          <cell r="D1842" t="str">
            <v>泰青威干线</v>
          </cell>
        </row>
        <row r="1843">
          <cell r="A1843" t="str">
            <v>泰青威11#阀室</v>
          </cell>
          <cell r="B1843" t="str">
            <v>一级</v>
          </cell>
          <cell r="C1843" t="str">
            <v>泰青威管道</v>
          </cell>
          <cell r="D1843" t="str">
            <v>泰青威干线</v>
          </cell>
        </row>
        <row r="1844">
          <cell r="A1844" t="str">
            <v>潍坊分输站</v>
          </cell>
          <cell r="B1844" t="str">
            <v>一级</v>
          </cell>
          <cell r="C1844" t="str">
            <v>泰青威管道</v>
          </cell>
          <cell r="D1844" t="str">
            <v>泰青威干线</v>
          </cell>
        </row>
        <row r="1845">
          <cell r="A1845" t="str">
            <v>峡山分输站</v>
          </cell>
          <cell r="B1845" t="str">
            <v>一级</v>
          </cell>
          <cell r="C1845" t="str">
            <v>泰青威管道</v>
          </cell>
          <cell r="D1845" t="str">
            <v>泰青威干线</v>
          </cell>
        </row>
        <row r="1846">
          <cell r="A1846" t="str">
            <v>泰青威13#阀室</v>
          </cell>
          <cell r="B1846" t="str">
            <v>一级</v>
          </cell>
          <cell r="C1846" t="str">
            <v>泰青威管道</v>
          </cell>
          <cell r="D1846" t="str">
            <v>泰青威干线</v>
          </cell>
        </row>
        <row r="1847">
          <cell r="A1847" t="str">
            <v>高密分输站</v>
          </cell>
          <cell r="B1847" t="str">
            <v>一级</v>
          </cell>
          <cell r="C1847" t="str">
            <v>泰青威管道</v>
          </cell>
          <cell r="D1847" t="str">
            <v>泰青威干线</v>
          </cell>
        </row>
        <row r="1848">
          <cell r="A1848" t="str">
            <v>泰青威14#阀室</v>
          </cell>
          <cell r="B1848" t="str">
            <v>一级</v>
          </cell>
          <cell r="C1848" t="str">
            <v>泰青威管道</v>
          </cell>
          <cell r="D1848" t="str">
            <v>泰青威干线</v>
          </cell>
        </row>
        <row r="1849">
          <cell r="A1849" t="str">
            <v>青岛分输站</v>
          </cell>
          <cell r="B1849" t="str">
            <v>一级</v>
          </cell>
          <cell r="C1849" t="str">
            <v>泰青威管道</v>
          </cell>
          <cell r="D1849" t="str">
            <v>泰青威干线</v>
          </cell>
        </row>
        <row r="1850">
          <cell r="A1850" t="str">
            <v>泰青威15#阀室</v>
          </cell>
          <cell r="B1850" t="str">
            <v>一级</v>
          </cell>
          <cell r="C1850" t="str">
            <v>泰青威管道</v>
          </cell>
          <cell r="D1850" t="str">
            <v>泰青威干线</v>
          </cell>
        </row>
        <row r="1851">
          <cell r="A1851" t="str">
            <v>泰青威16#阀室</v>
          </cell>
          <cell r="B1851" t="str">
            <v>一级</v>
          </cell>
          <cell r="C1851" t="str">
            <v>泰青威管道</v>
          </cell>
          <cell r="D1851" t="str">
            <v>泰青威干线</v>
          </cell>
        </row>
        <row r="1852">
          <cell r="A1852" t="str">
            <v>泰青威17#阀室</v>
          </cell>
          <cell r="B1852" t="str">
            <v>一级</v>
          </cell>
          <cell r="C1852" t="str">
            <v>泰青威管道</v>
          </cell>
          <cell r="D1852" t="str">
            <v>泰青威干线</v>
          </cell>
        </row>
        <row r="1853">
          <cell r="A1853" t="str">
            <v>泰青威18#阀室</v>
          </cell>
          <cell r="B1853" t="str">
            <v>一级</v>
          </cell>
          <cell r="C1853" t="str">
            <v>泰青威管道</v>
          </cell>
          <cell r="D1853" t="str">
            <v>泰青威干线</v>
          </cell>
        </row>
        <row r="1854">
          <cell r="A1854" t="str">
            <v>莱阳分输站</v>
          </cell>
          <cell r="B1854" t="str">
            <v>一级</v>
          </cell>
          <cell r="C1854" t="str">
            <v>泰青威管道</v>
          </cell>
          <cell r="D1854" t="str">
            <v>泰青威干线</v>
          </cell>
        </row>
        <row r="1855">
          <cell r="A1855" t="str">
            <v>泰青威19#阀室</v>
          </cell>
          <cell r="B1855" t="str">
            <v>一级</v>
          </cell>
          <cell r="C1855" t="str">
            <v>泰青威管道</v>
          </cell>
          <cell r="D1855" t="str">
            <v>泰青威干线</v>
          </cell>
        </row>
        <row r="1856">
          <cell r="A1856" t="str">
            <v>泰青威徐家店分输阀室</v>
          </cell>
          <cell r="B1856" t="str">
            <v>一级</v>
          </cell>
          <cell r="C1856" t="str">
            <v>泰青威管道</v>
          </cell>
          <cell r="D1856" t="str">
            <v>泰青威干线</v>
          </cell>
        </row>
        <row r="1857">
          <cell r="A1857" t="str">
            <v>泰青威20#阀室</v>
          </cell>
          <cell r="B1857" t="str">
            <v>一级</v>
          </cell>
          <cell r="C1857" t="str">
            <v>泰青威管道</v>
          </cell>
          <cell r="D1857" t="str">
            <v>泰青威干线</v>
          </cell>
        </row>
        <row r="1858">
          <cell r="A1858" t="str">
            <v>烟台分输站</v>
          </cell>
          <cell r="B1858" t="str">
            <v>一级</v>
          </cell>
          <cell r="C1858" t="str">
            <v>泰青威管道</v>
          </cell>
          <cell r="D1858" t="str">
            <v>泰青威干线</v>
          </cell>
        </row>
        <row r="1859">
          <cell r="A1859" t="str">
            <v>泰青威21#阀室</v>
          </cell>
          <cell r="B1859" t="str">
            <v>一级</v>
          </cell>
          <cell r="C1859" t="str">
            <v>泰青威管道</v>
          </cell>
          <cell r="D1859" t="str">
            <v>泰青威干线</v>
          </cell>
        </row>
        <row r="1860">
          <cell r="A1860" t="str">
            <v>泰青威22#阀室</v>
          </cell>
          <cell r="B1860" t="str">
            <v>一级</v>
          </cell>
          <cell r="C1860" t="str">
            <v>泰青威管道</v>
          </cell>
          <cell r="D1860" t="str">
            <v>泰青威干线</v>
          </cell>
        </row>
        <row r="1861">
          <cell r="A1861" t="str">
            <v>威海分输站</v>
          </cell>
          <cell r="B1861" t="str">
            <v>一级</v>
          </cell>
          <cell r="C1861" t="str">
            <v>泰青威管道</v>
          </cell>
          <cell r="D1861" t="str">
            <v>泰青威干线</v>
          </cell>
        </row>
        <row r="1862">
          <cell r="A1862" t="str">
            <v>莱钢1#阀室</v>
          </cell>
          <cell r="B1862" t="str">
            <v>一级</v>
          </cell>
          <cell r="C1862" t="str">
            <v>泰青威管道</v>
          </cell>
          <cell r="D1862" t="str">
            <v>莱钢支线</v>
          </cell>
        </row>
        <row r="1863">
          <cell r="A1863" t="str">
            <v>莱钢末站</v>
          </cell>
          <cell r="B1863" t="str">
            <v>一级</v>
          </cell>
          <cell r="C1863" t="str">
            <v>泰青威管道</v>
          </cell>
          <cell r="D1863" t="str">
            <v>莱钢支线</v>
          </cell>
        </row>
        <row r="1864">
          <cell r="A1864" t="str">
            <v>博山北分输站</v>
          </cell>
          <cell r="B1864" t="str">
            <v>一级</v>
          </cell>
          <cell r="C1864" t="str">
            <v>泰青威管道</v>
          </cell>
          <cell r="D1864" t="str">
            <v>淄博支线</v>
          </cell>
        </row>
        <row r="1865">
          <cell r="A1865" t="str">
            <v>淄博1#阀室</v>
          </cell>
          <cell r="B1865" t="str">
            <v>一级</v>
          </cell>
          <cell r="C1865" t="str">
            <v>泰青威管道</v>
          </cell>
          <cell r="D1865" t="str">
            <v>淄博支线</v>
          </cell>
        </row>
        <row r="1866">
          <cell r="A1866" t="str">
            <v>寨里分输站</v>
          </cell>
          <cell r="B1866" t="str">
            <v>一级</v>
          </cell>
          <cell r="C1866" t="str">
            <v>泰青威管道</v>
          </cell>
          <cell r="D1866" t="str">
            <v>淄博支线</v>
          </cell>
        </row>
        <row r="1867">
          <cell r="A1867" t="str">
            <v>淄博3#阀室</v>
          </cell>
          <cell r="B1867" t="str">
            <v>一级</v>
          </cell>
          <cell r="C1867" t="str">
            <v>泰青威管道</v>
          </cell>
          <cell r="D1867" t="str">
            <v>淄博支线</v>
          </cell>
        </row>
        <row r="1868">
          <cell r="A1868" t="str">
            <v>沣水分输站</v>
          </cell>
          <cell r="B1868" t="str">
            <v>一级</v>
          </cell>
          <cell r="C1868" t="str">
            <v>泰青威管道</v>
          </cell>
          <cell r="D1868" t="str">
            <v>淄博支线</v>
          </cell>
        </row>
        <row r="1869">
          <cell r="A1869" t="str">
            <v>淄博4#阀室</v>
          </cell>
          <cell r="B1869" t="str">
            <v>一级</v>
          </cell>
          <cell r="C1869" t="str">
            <v>泰青威管道</v>
          </cell>
          <cell r="D1869" t="str">
            <v>淄博支线</v>
          </cell>
        </row>
        <row r="1870">
          <cell r="A1870" t="str">
            <v>淄博北分输站</v>
          </cell>
          <cell r="B1870" t="str">
            <v>一级</v>
          </cell>
          <cell r="C1870" t="str">
            <v>泰青威管道</v>
          </cell>
          <cell r="D1870" t="str">
            <v>淄博支线</v>
          </cell>
        </row>
        <row r="1871">
          <cell r="A1871" t="str">
            <v>沧淄线对接处</v>
          </cell>
          <cell r="B1871" t="str">
            <v>一级</v>
          </cell>
          <cell r="C1871" t="str">
            <v>泰青威管道</v>
          </cell>
          <cell r="D1871" t="str">
            <v>淄博支线</v>
          </cell>
        </row>
        <row r="1872">
          <cell r="A1872" t="str">
            <v>日照1#阀室</v>
          </cell>
          <cell r="B1872" t="str">
            <v>一级</v>
          </cell>
          <cell r="C1872" t="str">
            <v>泰青威管道</v>
          </cell>
          <cell r="D1872" t="str">
            <v>日照支线</v>
          </cell>
        </row>
        <row r="1873">
          <cell r="A1873" t="str">
            <v>日照2#阀室</v>
          </cell>
          <cell r="B1873" t="str">
            <v>一级</v>
          </cell>
          <cell r="C1873" t="str">
            <v>泰青威管道</v>
          </cell>
          <cell r="D1873" t="str">
            <v>日照支线</v>
          </cell>
        </row>
        <row r="1874">
          <cell r="A1874" t="str">
            <v>日照3#阀室</v>
          </cell>
          <cell r="B1874" t="str">
            <v>一级</v>
          </cell>
          <cell r="C1874" t="str">
            <v>泰青威管道</v>
          </cell>
          <cell r="D1874" t="str">
            <v>日照支线</v>
          </cell>
        </row>
        <row r="1875">
          <cell r="A1875" t="str">
            <v>日照4#阀室</v>
          </cell>
          <cell r="B1875" t="str">
            <v>一级</v>
          </cell>
          <cell r="C1875" t="str">
            <v>泰青威管道</v>
          </cell>
          <cell r="D1875" t="str">
            <v>日照支线</v>
          </cell>
        </row>
        <row r="1876">
          <cell r="A1876" t="str">
            <v>日照5#阀室</v>
          </cell>
          <cell r="B1876" t="str">
            <v>一级</v>
          </cell>
          <cell r="C1876" t="str">
            <v>泰青威管道</v>
          </cell>
          <cell r="D1876" t="str">
            <v>日照支线</v>
          </cell>
        </row>
        <row r="1877">
          <cell r="A1877" t="str">
            <v>日照6#阀室</v>
          </cell>
          <cell r="B1877" t="str">
            <v>一级</v>
          </cell>
          <cell r="C1877" t="str">
            <v>泰青威管道</v>
          </cell>
          <cell r="D1877" t="str">
            <v>日照支线</v>
          </cell>
        </row>
        <row r="1878">
          <cell r="A1878" t="str">
            <v>日照7#阀室</v>
          </cell>
          <cell r="B1878" t="str">
            <v>一级</v>
          </cell>
          <cell r="C1878" t="str">
            <v>泰青威管道</v>
          </cell>
          <cell r="D1878" t="str">
            <v>日照支线</v>
          </cell>
        </row>
        <row r="1879">
          <cell r="A1879" t="str">
            <v>日照8#阀室</v>
          </cell>
          <cell r="B1879" t="str">
            <v>一级</v>
          </cell>
          <cell r="C1879" t="str">
            <v>泰青威管道</v>
          </cell>
          <cell r="D1879" t="str">
            <v>日照支线</v>
          </cell>
        </row>
        <row r="1880">
          <cell r="A1880" t="str">
            <v>东港末站</v>
          </cell>
          <cell r="B1880" t="str">
            <v>一级</v>
          </cell>
          <cell r="C1880" t="str">
            <v>泰青威管道</v>
          </cell>
          <cell r="D1880" t="str">
            <v>日照支线</v>
          </cell>
        </row>
        <row r="1881">
          <cell r="A1881" t="str">
            <v>中贵1#阀室</v>
          </cell>
          <cell r="B1881" t="str">
            <v>一级</v>
          </cell>
          <cell r="C1881" t="str">
            <v>中贵线</v>
          </cell>
          <cell r="D1881" t="str">
            <v>中贵线干线</v>
          </cell>
        </row>
        <row r="1882">
          <cell r="A1882" t="str">
            <v>中贵2#阀室</v>
          </cell>
          <cell r="B1882" t="str">
            <v>一级</v>
          </cell>
          <cell r="C1882" t="str">
            <v>中贵线</v>
          </cell>
          <cell r="D1882" t="str">
            <v>中贵线干线</v>
          </cell>
        </row>
        <row r="1883">
          <cell r="A1883" t="str">
            <v>中贵3#阀室</v>
          </cell>
          <cell r="B1883" t="str">
            <v>一级</v>
          </cell>
          <cell r="C1883" t="str">
            <v>中贵线</v>
          </cell>
          <cell r="D1883" t="str">
            <v>中贵线干线</v>
          </cell>
        </row>
        <row r="1884">
          <cell r="A1884" t="str">
            <v>中贵4#阀室</v>
          </cell>
          <cell r="B1884" t="str">
            <v>一级</v>
          </cell>
          <cell r="C1884" t="str">
            <v>中贵线</v>
          </cell>
          <cell r="D1884" t="str">
            <v>中贵线干线</v>
          </cell>
        </row>
        <row r="1885">
          <cell r="A1885" t="str">
            <v>中贵5#阀室</v>
          </cell>
          <cell r="B1885" t="str">
            <v>一级</v>
          </cell>
          <cell r="C1885" t="str">
            <v>中贵线</v>
          </cell>
          <cell r="D1885" t="str">
            <v>中贵线干线</v>
          </cell>
        </row>
        <row r="1886">
          <cell r="A1886" t="str">
            <v>中贵6#阀室</v>
          </cell>
          <cell r="B1886" t="str">
            <v>一级</v>
          </cell>
          <cell r="C1886" t="str">
            <v>中贵线</v>
          </cell>
          <cell r="D1886" t="str">
            <v>中贵线干线</v>
          </cell>
        </row>
        <row r="1887">
          <cell r="A1887" t="str">
            <v>中贵7#阀室</v>
          </cell>
          <cell r="B1887" t="str">
            <v>一级</v>
          </cell>
          <cell r="C1887" t="str">
            <v>中贵线</v>
          </cell>
          <cell r="D1887" t="str">
            <v>中贵线干线</v>
          </cell>
        </row>
        <row r="1888">
          <cell r="A1888" t="str">
            <v>中贵8#阀室</v>
          </cell>
          <cell r="B1888" t="str">
            <v>一级</v>
          </cell>
          <cell r="C1888" t="str">
            <v>中贵线</v>
          </cell>
          <cell r="D1888" t="str">
            <v>中贵线干线</v>
          </cell>
        </row>
        <row r="1889">
          <cell r="A1889" t="str">
            <v>固原压气站</v>
          </cell>
          <cell r="B1889" t="str">
            <v>一级</v>
          </cell>
          <cell r="C1889" t="str">
            <v>中贵线</v>
          </cell>
          <cell r="D1889" t="str">
            <v>中贵线干线</v>
          </cell>
        </row>
        <row r="1890">
          <cell r="A1890" t="str">
            <v>中贵9#阀室</v>
          </cell>
          <cell r="B1890" t="str">
            <v>一级</v>
          </cell>
          <cell r="C1890" t="str">
            <v>中贵线</v>
          </cell>
          <cell r="D1890" t="str">
            <v>中贵线干线</v>
          </cell>
        </row>
        <row r="1891">
          <cell r="A1891" t="str">
            <v>硝河分输站</v>
          </cell>
          <cell r="B1891" t="str">
            <v>一级</v>
          </cell>
          <cell r="C1891" t="str">
            <v>中贵线</v>
          </cell>
          <cell r="D1891" t="str">
            <v>中贵线干线</v>
          </cell>
        </row>
        <row r="1892">
          <cell r="A1892" t="str">
            <v>中贵10#阀室</v>
          </cell>
          <cell r="B1892" t="str">
            <v>一级</v>
          </cell>
          <cell r="C1892" t="str">
            <v>中贵线</v>
          </cell>
          <cell r="D1892" t="str">
            <v>中贵线干线</v>
          </cell>
        </row>
        <row r="1893">
          <cell r="A1893" t="str">
            <v>西吉清管站</v>
          </cell>
          <cell r="B1893" t="str">
            <v>一级</v>
          </cell>
          <cell r="C1893" t="str">
            <v>中贵线</v>
          </cell>
          <cell r="D1893" t="str">
            <v>中贵线干线</v>
          </cell>
        </row>
        <row r="1894">
          <cell r="A1894" t="str">
            <v>中贵11#阀室</v>
          </cell>
          <cell r="B1894" t="str">
            <v>一级</v>
          </cell>
          <cell r="C1894" t="str">
            <v>中贵线</v>
          </cell>
          <cell r="D1894" t="str">
            <v>中贵线干线</v>
          </cell>
        </row>
        <row r="1895">
          <cell r="A1895" t="str">
            <v>中贵12#阀室</v>
          </cell>
          <cell r="B1895" t="str">
            <v>一级</v>
          </cell>
          <cell r="C1895" t="str">
            <v>中贵线</v>
          </cell>
          <cell r="D1895" t="str">
            <v>中贵线干线</v>
          </cell>
        </row>
        <row r="1896">
          <cell r="A1896" t="str">
            <v>中贵13#阀室</v>
          </cell>
          <cell r="B1896" t="str">
            <v>一级</v>
          </cell>
          <cell r="C1896" t="str">
            <v>中贵线</v>
          </cell>
          <cell r="D1896" t="str">
            <v>中贵线干线</v>
          </cell>
        </row>
        <row r="1897">
          <cell r="A1897" t="str">
            <v>中贵14#阀室</v>
          </cell>
          <cell r="B1897" t="str">
            <v>一级</v>
          </cell>
          <cell r="C1897" t="str">
            <v>中贵线</v>
          </cell>
          <cell r="D1897" t="str">
            <v>中贵线干线</v>
          </cell>
        </row>
        <row r="1898">
          <cell r="A1898" t="str">
            <v>中贵15#阀室</v>
          </cell>
          <cell r="B1898" t="str">
            <v>一级</v>
          </cell>
          <cell r="C1898" t="str">
            <v>中贵线</v>
          </cell>
          <cell r="D1898" t="str">
            <v>中贵线干线</v>
          </cell>
        </row>
        <row r="1899">
          <cell r="A1899" t="str">
            <v>中贵16#阀室</v>
          </cell>
          <cell r="B1899" t="str">
            <v>一级</v>
          </cell>
          <cell r="C1899" t="str">
            <v>中贵线</v>
          </cell>
          <cell r="D1899" t="str">
            <v>中贵线干线</v>
          </cell>
        </row>
        <row r="1900">
          <cell r="A1900" t="str">
            <v>中贵17#阀室</v>
          </cell>
          <cell r="B1900" t="str">
            <v>一级</v>
          </cell>
          <cell r="C1900" t="str">
            <v>中贵线</v>
          </cell>
          <cell r="D1900" t="str">
            <v>中贵线干线</v>
          </cell>
        </row>
        <row r="1901">
          <cell r="A1901" t="str">
            <v>中贵18#阀室</v>
          </cell>
          <cell r="B1901" t="str">
            <v>一级</v>
          </cell>
          <cell r="C1901" t="str">
            <v>中贵线</v>
          </cell>
          <cell r="D1901" t="str">
            <v>中贵线干线</v>
          </cell>
        </row>
        <row r="1902">
          <cell r="A1902" t="str">
            <v>天水压气站</v>
          </cell>
          <cell r="B1902" t="str">
            <v>一级</v>
          </cell>
          <cell r="C1902" t="str">
            <v>中贵线</v>
          </cell>
          <cell r="D1902" t="str">
            <v>中贵线干线</v>
          </cell>
        </row>
        <row r="1903">
          <cell r="A1903" t="str">
            <v>中贵19#阀室</v>
          </cell>
          <cell r="B1903" t="str">
            <v>一级</v>
          </cell>
          <cell r="C1903" t="str">
            <v>中贵线</v>
          </cell>
          <cell r="D1903" t="str">
            <v>中贵线干线</v>
          </cell>
        </row>
        <row r="1904">
          <cell r="A1904" t="str">
            <v>中贵20#阀室</v>
          </cell>
          <cell r="B1904" t="str">
            <v>一级</v>
          </cell>
          <cell r="C1904" t="str">
            <v>中贵线</v>
          </cell>
          <cell r="D1904" t="str">
            <v>中贵线干线</v>
          </cell>
        </row>
        <row r="1905">
          <cell r="A1905" t="str">
            <v>中贵21#阀室</v>
          </cell>
          <cell r="B1905" t="str">
            <v>一级</v>
          </cell>
          <cell r="C1905" t="str">
            <v>中贵线</v>
          </cell>
          <cell r="D1905" t="str">
            <v>中贵线干线</v>
          </cell>
        </row>
        <row r="1906">
          <cell r="A1906" t="str">
            <v>中贵22#阀室</v>
          </cell>
          <cell r="B1906" t="str">
            <v>一级</v>
          </cell>
          <cell r="C1906" t="str">
            <v>中贵线</v>
          </cell>
          <cell r="D1906" t="str">
            <v>中贵线干线</v>
          </cell>
        </row>
        <row r="1907">
          <cell r="A1907" t="str">
            <v>中贵23#阀室</v>
          </cell>
          <cell r="B1907" t="str">
            <v>一级</v>
          </cell>
          <cell r="C1907" t="str">
            <v>中贵线</v>
          </cell>
          <cell r="D1907" t="str">
            <v>中贵线干线</v>
          </cell>
        </row>
        <row r="1908">
          <cell r="A1908" t="str">
            <v>中贵24#阀室</v>
          </cell>
          <cell r="B1908" t="str">
            <v>一级</v>
          </cell>
          <cell r="C1908" t="str">
            <v>中贵线</v>
          </cell>
          <cell r="D1908" t="str">
            <v>中贵线干线</v>
          </cell>
        </row>
        <row r="1909">
          <cell r="A1909" t="str">
            <v>陇南分输站</v>
          </cell>
          <cell r="B1909" t="str">
            <v>一级</v>
          </cell>
          <cell r="C1909" t="str">
            <v>中贵线</v>
          </cell>
          <cell r="D1909" t="str">
            <v>中贵线干线</v>
          </cell>
        </row>
        <row r="1910">
          <cell r="A1910" t="str">
            <v>中贵25#阀室</v>
          </cell>
          <cell r="B1910" t="str">
            <v>一级</v>
          </cell>
          <cell r="C1910" t="str">
            <v>中贵线</v>
          </cell>
          <cell r="D1910" t="str">
            <v>中贵线干线</v>
          </cell>
        </row>
        <row r="1911">
          <cell r="A1911" t="str">
            <v>中贵26#阀室</v>
          </cell>
          <cell r="B1911" t="str">
            <v>一级</v>
          </cell>
          <cell r="C1911" t="str">
            <v>中贵线</v>
          </cell>
          <cell r="D1911" t="str">
            <v>中贵线干线</v>
          </cell>
        </row>
        <row r="1912">
          <cell r="A1912" t="str">
            <v>中贵27#阀室</v>
          </cell>
          <cell r="B1912" t="str">
            <v>一级</v>
          </cell>
          <cell r="C1912" t="str">
            <v>中贵线</v>
          </cell>
          <cell r="D1912" t="str">
            <v>中贵线干线</v>
          </cell>
        </row>
        <row r="1913">
          <cell r="A1913" t="str">
            <v>中贵28#阀室</v>
          </cell>
          <cell r="B1913" t="str">
            <v>一级</v>
          </cell>
          <cell r="C1913" t="str">
            <v>中贵线</v>
          </cell>
          <cell r="D1913" t="str">
            <v>中贵线干线</v>
          </cell>
        </row>
        <row r="1914">
          <cell r="A1914" t="str">
            <v>中贵29#阀室</v>
          </cell>
          <cell r="B1914" t="str">
            <v>一级</v>
          </cell>
          <cell r="C1914" t="str">
            <v>中贵线</v>
          </cell>
          <cell r="D1914" t="str">
            <v>中贵线干线</v>
          </cell>
        </row>
        <row r="1915">
          <cell r="A1915" t="str">
            <v>中贵30#阀室</v>
          </cell>
          <cell r="B1915" t="str">
            <v>一级</v>
          </cell>
          <cell r="C1915" t="str">
            <v>中贵线</v>
          </cell>
          <cell r="D1915" t="str">
            <v>中贵线干线</v>
          </cell>
        </row>
        <row r="1916">
          <cell r="A1916" t="str">
            <v>中贵31#阀室</v>
          </cell>
          <cell r="B1916" t="str">
            <v>一级</v>
          </cell>
          <cell r="C1916" t="str">
            <v>中贵线</v>
          </cell>
          <cell r="D1916" t="str">
            <v>中贵线干线</v>
          </cell>
        </row>
        <row r="1917">
          <cell r="A1917" t="str">
            <v>广元压气站</v>
          </cell>
          <cell r="B1917" t="str">
            <v>一级</v>
          </cell>
          <cell r="C1917" t="str">
            <v>中贵线</v>
          </cell>
          <cell r="D1917" t="str">
            <v>中贵线干线</v>
          </cell>
        </row>
        <row r="1918">
          <cell r="A1918" t="str">
            <v>中贵32#阀室</v>
          </cell>
          <cell r="B1918" t="str">
            <v>一级</v>
          </cell>
          <cell r="C1918" t="str">
            <v>中贵线</v>
          </cell>
          <cell r="D1918" t="str">
            <v>中贵线干线</v>
          </cell>
        </row>
        <row r="1919">
          <cell r="A1919" t="str">
            <v>中贵33#阀室</v>
          </cell>
          <cell r="B1919" t="str">
            <v>一级</v>
          </cell>
          <cell r="C1919" t="str">
            <v>中贵线</v>
          </cell>
          <cell r="D1919" t="str">
            <v>中贵线干线</v>
          </cell>
        </row>
        <row r="1920">
          <cell r="A1920" t="str">
            <v>中贵34#阀室</v>
          </cell>
          <cell r="B1920" t="str">
            <v>一级</v>
          </cell>
          <cell r="C1920" t="str">
            <v>中贵线</v>
          </cell>
          <cell r="D1920" t="str">
            <v>中贵线干线</v>
          </cell>
        </row>
        <row r="1921">
          <cell r="A1921" t="str">
            <v>中贵35#阀室</v>
          </cell>
          <cell r="B1921" t="str">
            <v>一级</v>
          </cell>
          <cell r="C1921" t="str">
            <v>中贵线</v>
          </cell>
          <cell r="D1921" t="str">
            <v>中贵线干线</v>
          </cell>
        </row>
        <row r="1922">
          <cell r="A1922" t="str">
            <v>陵江清管站</v>
          </cell>
          <cell r="B1922" t="str">
            <v>一级</v>
          </cell>
          <cell r="C1922" t="str">
            <v>中贵线</v>
          </cell>
          <cell r="D1922" t="str">
            <v>中贵线干线</v>
          </cell>
        </row>
        <row r="1923">
          <cell r="A1923" t="str">
            <v>中贵36#阀室</v>
          </cell>
          <cell r="B1923" t="str">
            <v>一级</v>
          </cell>
          <cell r="C1923" t="str">
            <v>中贵线</v>
          </cell>
          <cell r="D1923" t="str">
            <v>中贵线干线</v>
          </cell>
        </row>
        <row r="1924">
          <cell r="A1924" t="str">
            <v>中贵37#阀室</v>
          </cell>
          <cell r="B1924" t="str">
            <v>一级</v>
          </cell>
          <cell r="C1924" t="str">
            <v>中贵线</v>
          </cell>
          <cell r="D1924" t="str">
            <v>中贵线干线</v>
          </cell>
        </row>
        <row r="1925">
          <cell r="A1925" t="str">
            <v>中贵38#阀室</v>
          </cell>
          <cell r="B1925" t="str">
            <v>一级</v>
          </cell>
          <cell r="C1925" t="str">
            <v>中贵线</v>
          </cell>
          <cell r="D1925" t="str">
            <v>中贵线干线</v>
          </cell>
        </row>
        <row r="1926">
          <cell r="A1926" t="str">
            <v>南部分输站</v>
          </cell>
          <cell r="B1926" t="str">
            <v>一级</v>
          </cell>
          <cell r="C1926" t="str">
            <v>中贵线</v>
          </cell>
          <cell r="D1926" t="str">
            <v>中贵线干线</v>
          </cell>
        </row>
        <row r="1927">
          <cell r="A1927" t="str">
            <v>中贵39#阀室</v>
          </cell>
          <cell r="B1927" t="str">
            <v>一级</v>
          </cell>
          <cell r="C1927" t="str">
            <v>中贵线</v>
          </cell>
          <cell r="D1927" t="str">
            <v>中贵线干线</v>
          </cell>
        </row>
        <row r="1928">
          <cell r="A1928" t="str">
            <v>中贵40#阀室</v>
          </cell>
          <cell r="B1928" t="str">
            <v>一级</v>
          </cell>
          <cell r="C1928" t="str">
            <v>中贵线</v>
          </cell>
          <cell r="D1928" t="str">
            <v>中贵线干线</v>
          </cell>
        </row>
        <row r="1929">
          <cell r="A1929" t="str">
            <v>南充压气站</v>
          </cell>
          <cell r="B1929" t="str">
            <v>一级</v>
          </cell>
          <cell r="C1929" t="str">
            <v>中贵线</v>
          </cell>
          <cell r="D1929" t="str">
            <v>中贵线干线</v>
          </cell>
        </row>
        <row r="1930">
          <cell r="A1930" t="str">
            <v>中贵41#阀室</v>
          </cell>
          <cell r="B1930" t="str">
            <v>一级</v>
          </cell>
          <cell r="C1930" t="str">
            <v>中贵线</v>
          </cell>
          <cell r="D1930" t="str">
            <v>中贵线干线</v>
          </cell>
        </row>
        <row r="1931">
          <cell r="A1931" t="str">
            <v>武胜分输站</v>
          </cell>
          <cell r="B1931" t="str">
            <v>一级</v>
          </cell>
          <cell r="C1931" t="str">
            <v>中贵线</v>
          </cell>
          <cell r="D1931" t="str">
            <v>中贵线干线</v>
          </cell>
        </row>
        <row r="1932">
          <cell r="A1932" t="str">
            <v>中贵42#阀室</v>
          </cell>
          <cell r="B1932" t="str">
            <v>一级</v>
          </cell>
          <cell r="C1932" t="str">
            <v>中贵线</v>
          </cell>
          <cell r="D1932" t="str">
            <v>中贵线干线</v>
          </cell>
        </row>
        <row r="1933">
          <cell r="A1933" t="str">
            <v>中贵43#阀室</v>
          </cell>
          <cell r="B1933" t="str">
            <v>一级</v>
          </cell>
          <cell r="C1933" t="str">
            <v>中贵线</v>
          </cell>
          <cell r="D1933" t="str">
            <v>中贵线干线</v>
          </cell>
        </row>
        <row r="1934">
          <cell r="A1934" t="str">
            <v>中贵44#阀室</v>
          </cell>
          <cell r="B1934" t="str">
            <v>一级</v>
          </cell>
          <cell r="C1934" t="str">
            <v>中贵线</v>
          </cell>
          <cell r="D1934" t="str">
            <v>中贵线干线</v>
          </cell>
        </row>
        <row r="1935">
          <cell r="A1935" t="str">
            <v>铜梁分输站</v>
          </cell>
          <cell r="B1935" t="str">
            <v>一级</v>
          </cell>
          <cell r="C1935" t="str">
            <v>中贵线</v>
          </cell>
          <cell r="D1935" t="str">
            <v>中贵线干线</v>
          </cell>
        </row>
        <row r="1936">
          <cell r="A1936" t="str">
            <v>中贵45#阀室</v>
          </cell>
          <cell r="B1936" t="str">
            <v>一级</v>
          </cell>
          <cell r="C1936" t="str">
            <v>中贵线</v>
          </cell>
          <cell r="D1936" t="str">
            <v>中贵线干线</v>
          </cell>
        </row>
        <row r="1937">
          <cell r="A1937" t="str">
            <v>中贵46#阀室</v>
          </cell>
          <cell r="B1937" t="str">
            <v>一级</v>
          </cell>
          <cell r="C1937" t="str">
            <v>中贵线</v>
          </cell>
          <cell r="D1937" t="str">
            <v>中贵线干线</v>
          </cell>
        </row>
        <row r="1938">
          <cell r="A1938" t="str">
            <v>中贵47#阀室</v>
          </cell>
          <cell r="B1938" t="str">
            <v>一级</v>
          </cell>
          <cell r="C1938" t="str">
            <v>中贵线</v>
          </cell>
          <cell r="D1938" t="str">
            <v>中贵线干线</v>
          </cell>
        </row>
        <row r="1939">
          <cell r="A1939" t="str">
            <v>中贵马坊分输站</v>
          </cell>
          <cell r="B1939" t="str">
            <v>一级</v>
          </cell>
          <cell r="C1939" t="str">
            <v>中贵线</v>
          </cell>
          <cell r="D1939" t="str">
            <v>中贵线干线</v>
          </cell>
        </row>
        <row r="1940">
          <cell r="A1940" t="str">
            <v>中贵49#阀室</v>
          </cell>
          <cell r="B1940" t="str">
            <v>一级</v>
          </cell>
          <cell r="C1940" t="str">
            <v>中贵线</v>
          </cell>
          <cell r="D1940" t="str">
            <v>中贵线干线</v>
          </cell>
        </row>
        <row r="1941">
          <cell r="A1941" t="str">
            <v>中贵50#阀室</v>
          </cell>
          <cell r="B1941" t="str">
            <v>一级</v>
          </cell>
          <cell r="C1941" t="str">
            <v>中贵线</v>
          </cell>
          <cell r="D1941" t="str">
            <v>中贵线干线</v>
          </cell>
        </row>
        <row r="1942">
          <cell r="A1942" t="str">
            <v>江津压气站</v>
          </cell>
          <cell r="B1942" t="str">
            <v>一级</v>
          </cell>
          <cell r="C1942" t="str">
            <v>中贵线</v>
          </cell>
          <cell r="D1942" t="str">
            <v>中贵线干线</v>
          </cell>
        </row>
        <row r="1943">
          <cell r="A1943" t="str">
            <v>中贵51#阀室</v>
          </cell>
          <cell r="B1943" t="str">
            <v>一级</v>
          </cell>
          <cell r="C1943" t="str">
            <v>中贵线</v>
          </cell>
          <cell r="D1943" t="str">
            <v>中贵线干线</v>
          </cell>
        </row>
        <row r="1944">
          <cell r="A1944" t="str">
            <v>中贵52#阀室</v>
          </cell>
          <cell r="B1944" t="str">
            <v>一级</v>
          </cell>
          <cell r="C1944" t="str">
            <v>中贵线</v>
          </cell>
          <cell r="D1944" t="str">
            <v>中贵线干线</v>
          </cell>
        </row>
        <row r="1945">
          <cell r="A1945" t="str">
            <v>中贵53#阀室</v>
          </cell>
          <cell r="B1945" t="str">
            <v>一级</v>
          </cell>
          <cell r="C1945" t="str">
            <v>中贵线</v>
          </cell>
          <cell r="D1945" t="str">
            <v>中贵线干线</v>
          </cell>
        </row>
        <row r="1946">
          <cell r="A1946" t="str">
            <v>中贵54#阀室</v>
          </cell>
          <cell r="B1946" t="str">
            <v>一级</v>
          </cell>
          <cell r="C1946" t="str">
            <v>中贵线</v>
          </cell>
          <cell r="D1946" t="str">
            <v>中贵线干线</v>
          </cell>
        </row>
        <row r="1947">
          <cell r="A1947" t="str">
            <v>中贵55#阀室</v>
          </cell>
          <cell r="B1947" t="str">
            <v>一级</v>
          </cell>
          <cell r="C1947" t="str">
            <v>中贵线</v>
          </cell>
          <cell r="D1947" t="str">
            <v>中贵线干线</v>
          </cell>
        </row>
        <row r="1948">
          <cell r="A1948" t="str">
            <v>中贵56#阀室</v>
          </cell>
          <cell r="B1948" t="str">
            <v>一级</v>
          </cell>
          <cell r="C1948" t="str">
            <v>中贵线</v>
          </cell>
          <cell r="D1948" t="str">
            <v>中贵线干线</v>
          </cell>
        </row>
        <row r="1949">
          <cell r="A1949" t="str">
            <v>中贵57#阀室</v>
          </cell>
          <cell r="B1949" t="str">
            <v>一级</v>
          </cell>
          <cell r="C1949" t="str">
            <v>中贵线</v>
          </cell>
          <cell r="D1949" t="str">
            <v>中贵线干线</v>
          </cell>
        </row>
        <row r="1950">
          <cell r="A1950" t="str">
            <v>中贵58#阀室</v>
          </cell>
          <cell r="B1950" t="str">
            <v>一级</v>
          </cell>
          <cell r="C1950" t="str">
            <v>中贵线</v>
          </cell>
          <cell r="D1950" t="str">
            <v>中贵线干线</v>
          </cell>
        </row>
        <row r="1951">
          <cell r="A1951" t="str">
            <v>中贵59#阀室</v>
          </cell>
          <cell r="B1951" t="str">
            <v>一级</v>
          </cell>
          <cell r="C1951" t="str">
            <v>中贵线</v>
          </cell>
          <cell r="D1951" t="str">
            <v>中贵线干线</v>
          </cell>
        </row>
        <row r="1952">
          <cell r="A1952" t="str">
            <v>中贵60#阀室</v>
          </cell>
          <cell r="B1952" t="str">
            <v>一级</v>
          </cell>
          <cell r="C1952" t="str">
            <v>中贵线</v>
          </cell>
          <cell r="D1952" t="str">
            <v>中贵线干线</v>
          </cell>
        </row>
        <row r="1953">
          <cell r="A1953" t="str">
            <v>中贵61#阀室</v>
          </cell>
          <cell r="B1953" t="str">
            <v>一级</v>
          </cell>
          <cell r="C1953" t="str">
            <v>中贵线</v>
          </cell>
          <cell r="D1953" t="str">
            <v>中贵线干线</v>
          </cell>
        </row>
        <row r="1954">
          <cell r="A1954" t="str">
            <v>遵义压气站</v>
          </cell>
          <cell r="B1954" t="str">
            <v>一级</v>
          </cell>
          <cell r="C1954" t="str">
            <v>中贵线</v>
          </cell>
          <cell r="D1954" t="str">
            <v>中贵线干线</v>
          </cell>
        </row>
        <row r="1955">
          <cell r="A1955" t="str">
            <v>中贵62#阀室</v>
          </cell>
          <cell r="B1955" t="str">
            <v>一级</v>
          </cell>
          <cell r="C1955" t="str">
            <v>中贵线</v>
          </cell>
          <cell r="D1955" t="str">
            <v>中贵线干线</v>
          </cell>
        </row>
        <row r="1956">
          <cell r="A1956" t="str">
            <v>中贵63#阀室</v>
          </cell>
          <cell r="B1956" t="str">
            <v>一级</v>
          </cell>
          <cell r="C1956" t="str">
            <v>中贵线</v>
          </cell>
          <cell r="D1956" t="str">
            <v>中贵线干线</v>
          </cell>
        </row>
        <row r="1957">
          <cell r="A1957" t="str">
            <v>中贵64#阀室</v>
          </cell>
          <cell r="B1957" t="str">
            <v>一级</v>
          </cell>
          <cell r="C1957" t="str">
            <v>中贵线</v>
          </cell>
          <cell r="D1957" t="str">
            <v>中贵线干线</v>
          </cell>
        </row>
        <row r="1958">
          <cell r="A1958" t="str">
            <v>中贵65#阀室</v>
          </cell>
          <cell r="B1958" t="str">
            <v>一级</v>
          </cell>
          <cell r="C1958" t="str">
            <v>中贵线</v>
          </cell>
          <cell r="D1958" t="str">
            <v>中贵线干线</v>
          </cell>
        </row>
        <row r="1959">
          <cell r="A1959" t="str">
            <v>中贵66#阀室</v>
          </cell>
          <cell r="B1959" t="str">
            <v>一级</v>
          </cell>
          <cell r="C1959" t="str">
            <v>中贵线</v>
          </cell>
          <cell r="D1959" t="str">
            <v>中贵线干线</v>
          </cell>
        </row>
        <row r="1960">
          <cell r="A1960" t="str">
            <v>中贵67#阀室</v>
          </cell>
          <cell r="B1960" t="str">
            <v>一级</v>
          </cell>
          <cell r="C1960" t="str">
            <v>中贵线</v>
          </cell>
          <cell r="D1960" t="str">
            <v>中贵线干线</v>
          </cell>
        </row>
        <row r="1961">
          <cell r="A1961" t="str">
            <v>中贵68#阀室</v>
          </cell>
          <cell r="B1961" t="str">
            <v>一级</v>
          </cell>
          <cell r="C1961" t="str">
            <v>中贵线</v>
          </cell>
          <cell r="D1961" t="str">
            <v>中贵线干线</v>
          </cell>
        </row>
        <row r="1962">
          <cell r="A1962" t="str">
            <v>中贵69#阀室</v>
          </cell>
          <cell r="B1962" t="str">
            <v>一级</v>
          </cell>
          <cell r="C1962" t="str">
            <v>中贵线</v>
          </cell>
          <cell r="D1962" t="str">
            <v>中贵线干线</v>
          </cell>
        </row>
        <row r="1963">
          <cell r="A1963" t="str">
            <v>贵阳北分输站</v>
          </cell>
          <cell r="B1963" t="str">
            <v>一级</v>
          </cell>
          <cell r="C1963" t="str">
            <v>中贵线</v>
          </cell>
          <cell r="D1963" t="str">
            <v>中贵线干线</v>
          </cell>
        </row>
        <row r="1964">
          <cell r="A1964" t="str">
            <v>中贵70#阀室</v>
          </cell>
          <cell r="B1964" t="str">
            <v>一级</v>
          </cell>
          <cell r="C1964" t="str">
            <v>中贵线</v>
          </cell>
          <cell r="D1964" t="str">
            <v>中贵线干线</v>
          </cell>
        </row>
        <row r="1965">
          <cell r="A1965" t="str">
            <v>中贵71#阀室</v>
          </cell>
          <cell r="B1965" t="str">
            <v>一级</v>
          </cell>
          <cell r="C1965" t="str">
            <v>中贵线</v>
          </cell>
          <cell r="D1965" t="str">
            <v>中贵线干线</v>
          </cell>
        </row>
        <row r="1966">
          <cell r="A1966" t="str">
            <v>中贵72#阀室</v>
          </cell>
          <cell r="B1966" t="str">
            <v>一级</v>
          </cell>
          <cell r="C1966" t="str">
            <v>中贵线</v>
          </cell>
          <cell r="D1966" t="str">
            <v>中贵线干线</v>
          </cell>
        </row>
        <row r="1967">
          <cell r="A1967" t="str">
            <v>中贵73#阀室</v>
          </cell>
          <cell r="B1967" t="str">
            <v>一级</v>
          </cell>
          <cell r="C1967" t="str">
            <v>中贵线</v>
          </cell>
          <cell r="D1967" t="str">
            <v>中贵线干线</v>
          </cell>
        </row>
        <row r="1968">
          <cell r="A1968" t="str">
            <v>陇西1#阀室</v>
          </cell>
          <cell r="B1968" t="str">
            <v>一级</v>
          </cell>
          <cell r="C1968" t="str">
            <v>中贵线</v>
          </cell>
          <cell r="D1968" t="str">
            <v>陇西支线</v>
          </cell>
        </row>
        <row r="1969">
          <cell r="A1969" t="str">
            <v>陇西2#阀室</v>
          </cell>
          <cell r="B1969" t="str">
            <v>一级</v>
          </cell>
          <cell r="C1969" t="str">
            <v>中贵线</v>
          </cell>
          <cell r="D1969" t="str">
            <v>陇西支线</v>
          </cell>
        </row>
        <row r="1970">
          <cell r="A1970" t="str">
            <v>陇西3#阀室</v>
          </cell>
          <cell r="B1970" t="str">
            <v>一级</v>
          </cell>
          <cell r="C1970" t="str">
            <v>中贵线</v>
          </cell>
          <cell r="D1970" t="str">
            <v>陇西支线</v>
          </cell>
        </row>
        <row r="1971">
          <cell r="A1971" t="str">
            <v>陇西4#阀室</v>
          </cell>
          <cell r="B1971" t="str">
            <v>一级</v>
          </cell>
          <cell r="C1971" t="str">
            <v>中贵线</v>
          </cell>
          <cell r="D1971" t="str">
            <v>陇西支线</v>
          </cell>
        </row>
        <row r="1972">
          <cell r="A1972" t="str">
            <v>陇西5#阀室</v>
          </cell>
          <cell r="B1972" t="str">
            <v>一级</v>
          </cell>
          <cell r="C1972" t="str">
            <v>中贵线</v>
          </cell>
          <cell r="D1972" t="str">
            <v>陇西支线</v>
          </cell>
        </row>
        <row r="1973">
          <cell r="A1973" t="str">
            <v>陇西6#阀室</v>
          </cell>
          <cell r="B1973" t="str">
            <v>一级</v>
          </cell>
          <cell r="C1973" t="str">
            <v>中贵线</v>
          </cell>
          <cell r="D1973" t="str">
            <v>陇西支线</v>
          </cell>
        </row>
        <row r="1974">
          <cell r="A1974" t="str">
            <v>陇西7#阀室</v>
          </cell>
          <cell r="B1974" t="str">
            <v>一级</v>
          </cell>
          <cell r="C1974" t="str">
            <v>中贵线</v>
          </cell>
          <cell r="D1974" t="str">
            <v>陇西支线</v>
          </cell>
        </row>
        <row r="1975">
          <cell r="A1975" t="str">
            <v>陇西末站</v>
          </cell>
          <cell r="B1975" t="str">
            <v>一级</v>
          </cell>
          <cell r="C1975" t="str">
            <v>中贵线</v>
          </cell>
          <cell r="D1975" t="str">
            <v>陇西支线</v>
          </cell>
        </row>
        <row r="1976">
          <cell r="A1976" t="str">
            <v>陇南1#阀室</v>
          </cell>
          <cell r="B1976" t="str">
            <v>一级</v>
          </cell>
          <cell r="C1976" t="str">
            <v>中贵线</v>
          </cell>
          <cell r="D1976" t="str">
            <v>陇南支线</v>
          </cell>
        </row>
        <row r="1977">
          <cell r="A1977" t="str">
            <v>陇南2#阀室</v>
          </cell>
          <cell r="B1977" t="str">
            <v>一级</v>
          </cell>
          <cell r="C1977" t="str">
            <v>中贵线</v>
          </cell>
          <cell r="D1977" t="str">
            <v>陇南支线</v>
          </cell>
        </row>
        <row r="1978">
          <cell r="A1978" t="str">
            <v>陇南3#阀室</v>
          </cell>
          <cell r="B1978" t="str">
            <v>一级</v>
          </cell>
          <cell r="C1978" t="str">
            <v>中贵线</v>
          </cell>
          <cell r="D1978" t="str">
            <v>陇南支线</v>
          </cell>
        </row>
        <row r="1979">
          <cell r="A1979" t="str">
            <v>陇南末站</v>
          </cell>
          <cell r="B1979" t="str">
            <v>一级</v>
          </cell>
          <cell r="C1979" t="str">
            <v>中贵线</v>
          </cell>
          <cell r="D1979" t="str">
            <v>陇南支线</v>
          </cell>
        </row>
        <row r="1980">
          <cell r="A1980" t="str">
            <v>天水1#阀室</v>
          </cell>
          <cell r="B1980" t="str">
            <v>一级</v>
          </cell>
          <cell r="C1980" t="str">
            <v>中贵线</v>
          </cell>
          <cell r="D1980" t="str">
            <v>天水支线</v>
          </cell>
        </row>
        <row r="1981">
          <cell r="A1981" t="str">
            <v>天水末站</v>
          </cell>
          <cell r="B1981" t="str">
            <v>一级</v>
          </cell>
          <cell r="C1981" t="str">
            <v>中贵线</v>
          </cell>
          <cell r="D1981" t="str">
            <v>天水支线</v>
          </cell>
        </row>
        <row r="1982">
          <cell r="A1982" t="str">
            <v>江津压气站</v>
          </cell>
          <cell r="B1982" t="str">
            <v>一级</v>
          </cell>
          <cell r="C1982" t="str">
            <v>中贵线</v>
          </cell>
          <cell r="D1982" t="str">
            <v>重燃支坪支线</v>
          </cell>
        </row>
        <row r="1983">
          <cell r="A1983" t="str">
            <v>支坪分输站</v>
          </cell>
          <cell r="B1983" t="str">
            <v>一级</v>
          </cell>
          <cell r="C1983" t="str">
            <v>中贵线</v>
          </cell>
          <cell r="D1983" t="str">
            <v>重燃支坪支线</v>
          </cell>
        </row>
        <row r="1984">
          <cell r="A1984" t="str">
            <v>跨境点</v>
          </cell>
          <cell r="B1984" t="str">
            <v>一级</v>
          </cell>
          <cell r="C1984" t="str">
            <v>中缅线（国内段）</v>
          </cell>
          <cell r="D1984" t="str">
            <v>中缅线（国内段）</v>
          </cell>
        </row>
        <row r="1985">
          <cell r="A1985" t="str">
            <v>瑞丽分输站</v>
          </cell>
          <cell r="B1985" t="str">
            <v>一级</v>
          </cell>
          <cell r="C1985" t="str">
            <v>中缅线（国内段）</v>
          </cell>
          <cell r="D1985" t="str">
            <v>中缅线（国内段）</v>
          </cell>
        </row>
        <row r="1986">
          <cell r="A1986" t="str">
            <v>中缅1#阀室</v>
          </cell>
          <cell r="B1986" t="str">
            <v>一级</v>
          </cell>
          <cell r="C1986" t="str">
            <v>中缅线（国内段）</v>
          </cell>
          <cell r="D1986" t="str">
            <v>中缅线（国内段）</v>
          </cell>
        </row>
        <row r="1987">
          <cell r="A1987" t="str">
            <v>中缅2#阀室</v>
          </cell>
          <cell r="B1987" t="str">
            <v>一级</v>
          </cell>
          <cell r="C1987" t="str">
            <v>中缅线（国内段）</v>
          </cell>
          <cell r="D1987" t="str">
            <v>中缅线（国内段）</v>
          </cell>
        </row>
        <row r="1988">
          <cell r="A1988" t="str">
            <v>中缅3#阀室</v>
          </cell>
          <cell r="B1988" t="str">
            <v>一级</v>
          </cell>
          <cell r="C1988" t="str">
            <v>中缅线（国内段）</v>
          </cell>
          <cell r="D1988" t="str">
            <v>中缅线（国内段）</v>
          </cell>
        </row>
        <row r="1989">
          <cell r="A1989" t="str">
            <v>中缅4#阀室</v>
          </cell>
          <cell r="B1989" t="str">
            <v>一级</v>
          </cell>
          <cell r="C1989" t="str">
            <v>中缅线（国内段）</v>
          </cell>
          <cell r="D1989" t="str">
            <v>中缅线（国内段）</v>
          </cell>
        </row>
        <row r="1990">
          <cell r="A1990" t="str">
            <v>芒市分输站</v>
          </cell>
          <cell r="B1990" t="str">
            <v>一级</v>
          </cell>
          <cell r="C1990" t="str">
            <v>中缅线（国内段）</v>
          </cell>
          <cell r="D1990" t="str">
            <v>中缅线（国内段）</v>
          </cell>
        </row>
        <row r="1991">
          <cell r="A1991" t="str">
            <v>中缅5#阀室</v>
          </cell>
          <cell r="B1991" t="str">
            <v>一级</v>
          </cell>
          <cell r="C1991" t="str">
            <v>中缅线（国内段）</v>
          </cell>
          <cell r="D1991" t="str">
            <v>中缅线（国内段）</v>
          </cell>
        </row>
        <row r="1992">
          <cell r="A1992" t="str">
            <v>中缅6#阀室</v>
          </cell>
          <cell r="B1992" t="str">
            <v>一级</v>
          </cell>
          <cell r="C1992" t="str">
            <v>中缅线（国内段）</v>
          </cell>
          <cell r="D1992" t="str">
            <v>中缅线（国内段）</v>
          </cell>
        </row>
        <row r="1993">
          <cell r="A1993" t="str">
            <v>龙陵分输站</v>
          </cell>
          <cell r="B1993" t="str">
            <v>一级</v>
          </cell>
          <cell r="C1993" t="str">
            <v>中缅线（国内段）</v>
          </cell>
          <cell r="D1993" t="str">
            <v>中缅线（国内段）</v>
          </cell>
        </row>
        <row r="1994">
          <cell r="A1994" t="str">
            <v>中缅7#阀室</v>
          </cell>
          <cell r="B1994" t="str">
            <v>一级</v>
          </cell>
          <cell r="C1994" t="str">
            <v>中缅线（国内段）</v>
          </cell>
          <cell r="D1994" t="str">
            <v>中缅线（国内段）</v>
          </cell>
        </row>
        <row r="1995">
          <cell r="A1995" t="str">
            <v>中缅8#阀室</v>
          </cell>
          <cell r="B1995" t="str">
            <v>一级</v>
          </cell>
          <cell r="C1995" t="str">
            <v>中缅线（国内段）</v>
          </cell>
          <cell r="D1995" t="str">
            <v>中缅线（国内段）</v>
          </cell>
        </row>
        <row r="1996">
          <cell r="A1996" t="str">
            <v>中缅9#阀室</v>
          </cell>
          <cell r="B1996" t="str">
            <v>一级</v>
          </cell>
          <cell r="C1996" t="str">
            <v>中缅线（国内段）</v>
          </cell>
          <cell r="D1996" t="str">
            <v>中缅线（国内段）</v>
          </cell>
        </row>
        <row r="1997">
          <cell r="A1997" t="str">
            <v>中缅10#阀室</v>
          </cell>
          <cell r="B1997" t="str">
            <v>一级</v>
          </cell>
          <cell r="C1997" t="str">
            <v>中缅线（国内段）</v>
          </cell>
          <cell r="D1997" t="str">
            <v>中缅线（国内段）</v>
          </cell>
        </row>
        <row r="1998">
          <cell r="A1998" t="str">
            <v>保山压气站</v>
          </cell>
          <cell r="B1998" t="str">
            <v>一级</v>
          </cell>
          <cell r="C1998" t="str">
            <v>中缅线（国内段）</v>
          </cell>
          <cell r="D1998" t="str">
            <v>中缅线（国内段）</v>
          </cell>
        </row>
        <row r="1999">
          <cell r="A1999" t="str">
            <v>中缅11#阀室</v>
          </cell>
          <cell r="B1999" t="str">
            <v>一级</v>
          </cell>
          <cell r="C1999" t="str">
            <v>中缅线（国内段）</v>
          </cell>
          <cell r="D1999" t="str">
            <v>中缅线（国内段）</v>
          </cell>
        </row>
        <row r="2000">
          <cell r="A2000" t="str">
            <v>中缅12#阀室</v>
          </cell>
          <cell r="B2000" t="str">
            <v>一级</v>
          </cell>
          <cell r="C2000" t="str">
            <v>中缅线（国内段）</v>
          </cell>
          <cell r="D2000" t="str">
            <v>中缅线（国内段）</v>
          </cell>
        </row>
        <row r="2001">
          <cell r="A2001" t="str">
            <v>中缅13#阀室</v>
          </cell>
          <cell r="B2001" t="str">
            <v>一级</v>
          </cell>
          <cell r="C2001" t="str">
            <v>中缅线（国内段）</v>
          </cell>
          <cell r="D2001" t="str">
            <v>中缅线（国内段）</v>
          </cell>
        </row>
        <row r="2002">
          <cell r="A2002" t="str">
            <v>中缅14#阀室</v>
          </cell>
          <cell r="B2002" t="str">
            <v>一级</v>
          </cell>
          <cell r="C2002" t="str">
            <v>中缅线（国内段）</v>
          </cell>
          <cell r="D2002" t="str">
            <v>中缅线（国内段）</v>
          </cell>
        </row>
        <row r="2003">
          <cell r="A2003" t="str">
            <v>中缅15#阀室</v>
          </cell>
          <cell r="B2003" t="str">
            <v>一级</v>
          </cell>
          <cell r="C2003" t="str">
            <v>中缅线（国内段）</v>
          </cell>
          <cell r="D2003" t="str">
            <v>中缅线（国内段）</v>
          </cell>
        </row>
        <row r="2004">
          <cell r="A2004" t="str">
            <v>中缅16#阀室</v>
          </cell>
          <cell r="B2004" t="str">
            <v>一级</v>
          </cell>
          <cell r="C2004" t="str">
            <v>中缅线（国内段）</v>
          </cell>
          <cell r="D2004" t="str">
            <v>中缅线（国内段）</v>
          </cell>
        </row>
        <row r="2005">
          <cell r="A2005" t="str">
            <v>弥渡分输站</v>
          </cell>
          <cell r="B2005" t="str">
            <v>一级</v>
          </cell>
          <cell r="C2005" t="str">
            <v>中缅线（国内段）</v>
          </cell>
          <cell r="D2005" t="str">
            <v>中缅线（国内段）</v>
          </cell>
        </row>
        <row r="2006">
          <cell r="A2006" t="str">
            <v>中缅17#阀室</v>
          </cell>
          <cell r="B2006" t="str">
            <v>一级</v>
          </cell>
          <cell r="C2006" t="str">
            <v>中缅线（国内段）</v>
          </cell>
          <cell r="D2006" t="str">
            <v>中缅线（国内段）</v>
          </cell>
        </row>
        <row r="2007">
          <cell r="A2007" t="str">
            <v>中缅18#阀室</v>
          </cell>
          <cell r="B2007" t="str">
            <v>一级</v>
          </cell>
          <cell r="C2007" t="str">
            <v>中缅线（国内段）</v>
          </cell>
          <cell r="D2007" t="str">
            <v>中缅线（国内段）</v>
          </cell>
        </row>
        <row r="2008">
          <cell r="A2008" t="str">
            <v>中缅19#阀室</v>
          </cell>
          <cell r="B2008" t="str">
            <v>一级</v>
          </cell>
          <cell r="C2008" t="str">
            <v>中缅线（国内段）</v>
          </cell>
          <cell r="D2008" t="str">
            <v>中缅线（国内段）</v>
          </cell>
        </row>
        <row r="2009">
          <cell r="A2009" t="str">
            <v>中缅20#阀室</v>
          </cell>
          <cell r="B2009" t="str">
            <v>一级</v>
          </cell>
          <cell r="C2009" t="str">
            <v>中缅线（国内段）</v>
          </cell>
          <cell r="D2009" t="str">
            <v>中缅线（国内段）</v>
          </cell>
        </row>
        <row r="2010">
          <cell r="A2010" t="str">
            <v>中缅21#阀室</v>
          </cell>
          <cell r="B2010" t="str">
            <v>一级</v>
          </cell>
          <cell r="C2010" t="str">
            <v>中缅线（国内段）</v>
          </cell>
          <cell r="D2010" t="str">
            <v>中缅线（国内段）</v>
          </cell>
        </row>
        <row r="2011">
          <cell r="A2011" t="str">
            <v>楚雄分输站</v>
          </cell>
          <cell r="B2011" t="str">
            <v>一级</v>
          </cell>
          <cell r="C2011" t="str">
            <v>中缅线（国内段）</v>
          </cell>
          <cell r="D2011" t="str">
            <v>中缅线（国内段）</v>
          </cell>
        </row>
        <row r="2012">
          <cell r="A2012" t="str">
            <v>中缅22#阀室</v>
          </cell>
          <cell r="B2012" t="str">
            <v>一级</v>
          </cell>
          <cell r="C2012" t="str">
            <v>中缅线（国内段）</v>
          </cell>
          <cell r="D2012" t="str">
            <v>中缅线（国内段）</v>
          </cell>
        </row>
        <row r="2013">
          <cell r="A2013" t="str">
            <v>禄丰分输站</v>
          </cell>
          <cell r="B2013" t="str">
            <v>一级</v>
          </cell>
          <cell r="C2013" t="str">
            <v>中缅线（国内段）</v>
          </cell>
          <cell r="D2013" t="str">
            <v>中缅线（国内段）</v>
          </cell>
        </row>
        <row r="2014">
          <cell r="A2014" t="str">
            <v>中缅23#阀室</v>
          </cell>
          <cell r="B2014" t="str">
            <v>一级</v>
          </cell>
          <cell r="C2014" t="str">
            <v>中缅线（国内段）</v>
          </cell>
          <cell r="D2014" t="str">
            <v>中缅线（国内段）</v>
          </cell>
        </row>
        <row r="2015">
          <cell r="A2015" t="str">
            <v>中缅24#阀室</v>
          </cell>
          <cell r="B2015" t="str">
            <v>一级</v>
          </cell>
          <cell r="C2015" t="str">
            <v>中缅线（国内段）</v>
          </cell>
          <cell r="D2015" t="str">
            <v>中缅线（国内段）</v>
          </cell>
        </row>
        <row r="2016">
          <cell r="A2016" t="str">
            <v>中缅25#阀室</v>
          </cell>
          <cell r="B2016" t="str">
            <v>一级</v>
          </cell>
          <cell r="C2016" t="str">
            <v>中缅线（国内段）</v>
          </cell>
          <cell r="D2016" t="str">
            <v>中缅线（国内段）</v>
          </cell>
        </row>
        <row r="2017">
          <cell r="A2017" t="str">
            <v>中缅26#阀室</v>
          </cell>
          <cell r="B2017" t="str">
            <v>一级</v>
          </cell>
          <cell r="C2017" t="str">
            <v>中缅线（国内段）</v>
          </cell>
          <cell r="D2017" t="str">
            <v>中缅线（国内段）</v>
          </cell>
        </row>
        <row r="2018">
          <cell r="A2018" t="str">
            <v>寻甸分输站</v>
          </cell>
          <cell r="B2018" t="str">
            <v>一级</v>
          </cell>
          <cell r="C2018" t="str">
            <v>中缅线（国内段）</v>
          </cell>
          <cell r="D2018" t="str">
            <v>中缅线（国内段）</v>
          </cell>
        </row>
        <row r="2019">
          <cell r="A2019" t="str">
            <v>中缅27#阀室</v>
          </cell>
          <cell r="B2019" t="str">
            <v>一级</v>
          </cell>
          <cell r="C2019" t="str">
            <v>中缅线（国内段）</v>
          </cell>
          <cell r="D2019" t="str">
            <v>中缅线（国内段）</v>
          </cell>
        </row>
        <row r="2020">
          <cell r="A2020" t="str">
            <v>中缅28#阀室</v>
          </cell>
          <cell r="B2020" t="str">
            <v>一级</v>
          </cell>
          <cell r="C2020" t="str">
            <v>中缅线（国内段）</v>
          </cell>
          <cell r="D2020" t="str">
            <v>中缅线（国内段）</v>
          </cell>
        </row>
        <row r="2021">
          <cell r="A2021" t="str">
            <v>曲靖分输站</v>
          </cell>
          <cell r="B2021" t="str">
            <v>一级</v>
          </cell>
          <cell r="C2021" t="str">
            <v>中缅线（国内段）</v>
          </cell>
          <cell r="D2021" t="str">
            <v>中缅线（国内段）</v>
          </cell>
        </row>
        <row r="2022">
          <cell r="A2022" t="str">
            <v>中缅29#阀室</v>
          </cell>
          <cell r="B2022" t="str">
            <v>一级</v>
          </cell>
          <cell r="C2022" t="str">
            <v>中缅线（国内段）</v>
          </cell>
          <cell r="D2022" t="str">
            <v>中缅线（国内段）</v>
          </cell>
        </row>
        <row r="2023">
          <cell r="A2023" t="str">
            <v>中缅30#阀室</v>
          </cell>
          <cell r="B2023" t="str">
            <v>一级</v>
          </cell>
          <cell r="C2023" t="str">
            <v>中缅线（国内段）</v>
          </cell>
          <cell r="D2023" t="str">
            <v>中缅线（国内段）</v>
          </cell>
        </row>
        <row r="2024">
          <cell r="A2024" t="str">
            <v>中缅31#阀室</v>
          </cell>
          <cell r="B2024" t="str">
            <v>一级</v>
          </cell>
          <cell r="C2024" t="str">
            <v>中缅线（国内段）</v>
          </cell>
          <cell r="D2024" t="str">
            <v>中缅线（国内段）</v>
          </cell>
        </row>
        <row r="2025">
          <cell r="A2025" t="str">
            <v>中缅32#阀室</v>
          </cell>
          <cell r="B2025" t="str">
            <v>一级</v>
          </cell>
          <cell r="C2025" t="str">
            <v>中缅线（国内段）</v>
          </cell>
          <cell r="D2025" t="str">
            <v>中缅线（国内段）</v>
          </cell>
        </row>
        <row r="2026">
          <cell r="A2026" t="str">
            <v>中缅33#阀室</v>
          </cell>
          <cell r="B2026" t="str">
            <v>一级</v>
          </cell>
          <cell r="C2026" t="str">
            <v>中缅线（国内段）</v>
          </cell>
          <cell r="D2026" t="str">
            <v>中缅线（国内段）</v>
          </cell>
        </row>
        <row r="2027">
          <cell r="A2027" t="str">
            <v>中缅34#阀室</v>
          </cell>
          <cell r="B2027" t="str">
            <v>一级</v>
          </cell>
          <cell r="C2027" t="str">
            <v>中缅线（国内段）</v>
          </cell>
          <cell r="D2027" t="str">
            <v>中缅线（国内段）</v>
          </cell>
        </row>
        <row r="2028">
          <cell r="A2028" t="str">
            <v>中缅35#阀室</v>
          </cell>
          <cell r="B2028" t="str">
            <v>一级</v>
          </cell>
          <cell r="C2028" t="str">
            <v>中缅线（国内段）</v>
          </cell>
          <cell r="D2028" t="str">
            <v>中缅线（国内段）</v>
          </cell>
        </row>
        <row r="2029">
          <cell r="A2029" t="str">
            <v>中缅35A#阀室</v>
          </cell>
          <cell r="B2029" t="str">
            <v>一级</v>
          </cell>
          <cell r="C2029" t="str">
            <v>中缅线（国内段）</v>
          </cell>
          <cell r="D2029" t="str">
            <v>中缅线（国内段）</v>
          </cell>
        </row>
        <row r="2030">
          <cell r="A2030" t="str">
            <v>中缅36#阀室</v>
          </cell>
          <cell r="B2030" t="str">
            <v>一级</v>
          </cell>
          <cell r="C2030" t="str">
            <v>中缅线（国内段）</v>
          </cell>
          <cell r="D2030" t="str">
            <v>中缅线（国内段）</v>
          </cell>
        </row>
        <row r="2031">
          <cell r="A2031" t="str">
            <v>中缅37#阀室</v>
          </cell>
          <cell r="B2031" t="str">
            <v>一级</v>
          </cell>
          <cell r="C2031" t="str">
            <v>中缅线（国内段）</v>
          </cell>
          <cell r="D2031" t="str">
            <v>中缅线（国内段）</v>
          </cell>
        </row>
        <row r="2032">
          <cell r="A2032" t="str">
            <v>中缅38#阀室</v>
          </cell>
          <cell r="B2032" t="str">
            <v>一级</v>
          </cell>
          <cell r="C2032" t="str">
            <v>中缅线（国内段）</v>
          </cell>
          <cell r="D2032" t="str">
            <v>中缅线（国内段）</v>
          </cell>
        </row>
        <row r="2033">
          <cell r="A2033" t="str">
            <v>中缅39#阀室</v>
          </cell>
          <cell r="B2033" t="str">
            <v>一级</v>
          </cell>
          <cell r="C2033" t="str">
            <v>中缅线（国内段）</v>
          </cell>
          <cell r="D2033" t="str">
            <v>中缅线（国内段）</v>
          </cell>
        </row>
        <row r="2034">
          <cell r="A2034" t="str">
            <v>安顺分输站</v>
          </cell>
          <cell r="B2034" t="str">
            <v>一级</v>
          </cell>
          <cell r="C2034" t="str">
            <v>中缅线（国内段）</v>
          </cell>
          <cell r="D2034" t="str">
            <v>中缅线（国内段）</v>
          </cell>
        </row>
        <row r="2035">
          <cell r="A2035" t="str">
            <v>中缅40#阀室</v>
          </cell>
          <cell r="B2035" t="str">
            <v>一级</v>
          </cell>
          <cell r="C2035" t="str">
            <v>中缅线（国内段）</v>
          </cell>
          <cell r="D2035" t="str">
            <v>中缅线（国内段）</v>
          </cell>
        </row>
        <row r="2036">
          <cell r="A2036" t="str">
            <v>中缅41#阀室</v>
          </cell>
          <cell r="B2036" t="str">
            <v>一级</v>
          </cell>
          <cell r="C2036" t="str">
            <v>中缅线（国内段）</v>
          </cell>
          <cell r="D2036" t="str">
            <v>中缅线（国内段）</v>
          </cell>
        </row>
        <row r="2037">
          <cell r="A2037" t="str">
            <v>中缅42#阀室</v>
          </cell>
          <cell r="B2037" t="str">
            <v>一级</v>
          </cell>
          <cell r="C2037" t="str">
            <v>中缅线（国内段）</v>
          </cell>
          <cell r="D2037" t="str">
            <v>中缅线（国内段）</v>
          </cell>
        </row>
        <row r="2038">
          <cell r="A2038" t="str">
            <v>贵阳压气站</v>
          </cell>
          <cell r="B2038" t="str">
            <v>一级</v>
          </cell>
          <cell r="C2038" t="str">
            <v>中缅线（国内段）</v>
          </cell>
          <cell r="D2038" t="str">
            <v>中缅线（国内段）</v>
          </cell>
        </row>
        <row r="2039">
          <cell r="A2039" t="str">
            <v>中缅43#阀室</v>
          </cell>
          <cell r="B2039" t="str">
            <v>一级</v>
          </cell>
          <cell r="C2039" t="str">
            <v>中缅线（国内段）</v>
          </cell>
          <cell r="D2039" t="str">
            <v>中缅线（国内段）</v>
          </cell>
        </row>
        <row r="2040">
          <cell r="A2040" t="str">
            <v>中缅44#阀室</v>
          </cell>
          <cell r="B2040" t="str">
            <v>一级</v>
          </cell>
          <cell r="C2040" t="str">
            <v>中缅线（国内段）</v>
          </cell>
          <cell r="D2040" t="str">
            <v>中缅线（国内段）</v>
          </cell>
        </row>
        <row r="2041">
          <cell r="A2041" t="str">
            <v>中缅45#阀室</v>
          </cell>
          <cell r="B2041" t="str">
            <v>一级</v>
          </cell>
          <cell r="C2041" t="str">
            <v>中缅线（国内段）</v>
          </cell>
          <cell r="D2041" t="str">
            <v>中缅线（国内段）</v>
          </cell>
        </row>
        <row r="2042">
          <cell r="A2042" t="str">
            <v>中缅46#阀室</v>
          </cell>
          <cell r="B2042" t="str">
            <v>一级</v>
          </cell>
          <cell r="C2042" t="str">
            <v>中缅线（国内段）</v>
          </cell>
          <cell r="D2042" t="str">
            <v>中缅线（国内段）</v>
          </cell>
        </row>
        <row r="2043">
          <cell r="A2043" t="str">
            <v>都匀分输站</v>
          </cell>
          <cell r="B2043" t="str">
            <v>一级</v>
          </cell>
          <cell r="C2043" t="str">
            <v>中缅线（国内段）</v>
          </cell>
          <cell r="D2043" t="str">
            <v>中缅线（国内段）</v>
          </cell>
        </row>
        <row r="2044">
          <cell r="A2044" t="str">
            <v>中缅47#阀室</v>
          </cell>
          <cell r="B2044" t="str">
            <v>一级</v>
          </cell>
          <cell r="C2044" t="str">
            <v>中缅线（国内段）</v>
          </cell>
          <cell r="D2044" t="str">
            <v>中缅线（国内段）</v>
          </cell>
        </row>
        <row r="2045">
          <cell r="A2045" t="str">
            <v>中缅48#阀室</v>
          </cell>
          <cell r="B2045" t="str">
            <v>一级</v>
          </cell>
          <cell r="C2045" t="str">
            <v>中缅线（国内段）</v>
          </cell>
          <cell r="D2045" t="str">
            <v>中缅线（国内段）</v>
          </cell>
        </row>
        <row r="2046">
          <cell r="A2046" t="str">
            <v>中缅49#阀室</v>
          </cell>
          <cell r="B2046" t="str">
            <v>一级</v>
          </cell>
          <cell r="C2046" t="str">
            <v>中缅线（国内段）</v>
          </cell>
          <cell r="D2046" t="str">
            <v>中缅线（国内段）</v>
          </cell>
        </row>
        <row r="2047">
          <cell r="A2047" t="str">
            <v>中缅50#阀室</v>
          </cell>
          <cell r="B2047" t="str">
            <v>一级</v>
          </cell>
          <cell r="C2047" t="str">
            <v>中缅线（国内段）</v>
          </cell>
          <cell r="D2047" t="str">
            <v>中缅线（国内段）</v>
          </cell>
        </row>
        <row r="2048">
          <cell r="A2048" t="str">
            <v>中缅51#阀室</v>
          </cell>
          <cell r="B2048" t="str">
            <v>一级</v>
          </cell>
          <cell r="C2048" t="str">
            <v>中缅线（国内段）</v>
          </cell>
          <cell r="D2048" t="str">
            <v>中缅线（国内段）</v>
          </cell>
        </row>
        <row r="2049">
          <cell r="A2049" t="str">
            <v>中缅52#阀室</v>
          </cell>
          <cell r="B2049" t="str">
            <v>一级</v>
          </cell>
          <cell r="C2049" t="str">
            <v>中缅线（国内段）</v>
          </cell>
          <cell r="D2049" t="str">
            <v>中缅线（国内段）</v>
          </cell>
        </row>
        <row r="2050">
          <cell r="A2050" t="str">
            <v>中缅53#阀室</v>
          </cell>
          <cell r="B2050" t="str">
            <v>一级</v>
          </cell>
          <cell r="C2050" t="str">
            <v>中缅线（国内段）</v>
          </cell>
          <cell r="D2050" t="str">
            <v>中缅线（国内段）</v>
          </cell>
        </row>
        <row r="2051">
          <cell r="A2051" t="str">
            <v>河池压气站</v>
          </cell>
          <cell r="B2051" t="str">
            <v>一级</v>
          </cell>
          <cell r="C2051" t="str">
            <v>中缅线（国内段）</v>
          </cell>
          <cell r="D2051" t="str">
            <v>中缅线（国内段）</v>
          </cell>
        </row>
        <row r="2052">
          <cell r="A2052" t="str">
            <v>中缅54#阀室</v>
          </cell>
          <cell r="B2052" t="str">
            <v>一级</v>
          </cell>
          <cell r="C2052" t="str">
            <v>中缅线（国内段）</v>
          </cell>
          <cell r="D2052" t="str">
            <v>中缅线（国内段）</v>
          </cell>
        </row>
        <row r="2053">
          <cell r="A2053" t="str">
            <v>宜州分输站</v>
          </cell>
          <cell r="B2053" t="str">
            <v>一级</v>
          </cell>
          <cell r="C2053" t="str">
            <v>中缅线（国内段）</v>
          </cell>
          <cell r="D2053" t="str">
            <v>中缅线（国内段）</v>
          </cell>
        </row>
        <row r="2054">
          <cell r="A2054" t="str">
            <v>中缅55#阀室</v>
          </cell>
          <cell r="B2054" t="str">
            <v>一级</v>
          </cell>
          <cell r="C2054" t="str">
            <v>中缅线（国内段）</v>
          </cell>
          <cell r="D2054" t="str">
            <v>中缅线（国内段）</v>
          </cell>
        </row>
        <row r="2055">
          <cell r="A2055" t="str">
            <v>忻城分输站</v>
          </cell>
          <cell r="B2055" t="str">
            <v>一级</v>
          </cell>
          <cell r="C2055" t="str">
            <v>中缅线（国内段）</v>
          </cell>
          <cell r="D2055" t="str">
            <v>中缅线（国内段）</v>
          </cell>
        </row>
        <row r="2056">
          <cell r="A2056" t="str">
            <v>中缅56#阀室</v>
          </cell>
          <cell r="B2056" t="str">
            <v>一级</v>
          </cell>
          <cell r="C2056" t="str">
            <v>中缅线（国内段）</v>
          </cell>
          <cell r="D2056" t="str">
            <v>中缅线（国内段）</v>
          </cell>
        </row>
        <row r="2057">
          <cell r="A2057" t="str">
            <v>中缅57#阀室</v>
          </cell>
          <cell r="B2057" t="str">
            <v>一级</v>
          </cell>
          <cell r="C2057" t="str">
            <v>中缅线（国内段）</v>
          </cell>
          <cell r="D2057" t="str">
            <v>中缅线（国内段）</v>
          </cell>
        </row>
        <row r="2058">
          <cell r="A2058" t="str">
            <v>中缅58#阀室</v>
          </cell>
          <cell r="B2058" t="str">
            <v>一级</v>
          </cell>
          <cell r="C2058" t="str">
            <v>中缅线（国内段）</v>
          </cell>
          <cell r="D2058" t="str">
            <v>中缅线（国内段）</v>
          </cell>
        </row>
        <row r="2059">
          <cell r="A2059" t="str">
            <v>来宾分输站</v>
          </cell>
          <cell r="B2059" t="str">
            <v>一级</v>
          </cell>
          <cell r="C2059" t="str">
            <v>中缅线（国内段）</v>
          </cell>
          <cell r="D2059" t="str">
            <v>中缅线（国内段）</v>
          </cell>
        </row>
        <row r="2060">
          <cell r="A2060" t="str">
            <v>中缅59#阀室</v>
          </cell>
          <cell r="B2060" t="str">
            <v>一级</v>
          </cell>
          <cell r="C2060" t="str">
            <v>中缅线（国内段）</v>
          </cell>
          <cell r="D2060" t="str">
            <v>中缅线（国内段）</v>
          </cell>
        </row>
        <row r="2061">
          <cell r="A2061" t="str">
            <v>中缅60#阀室</v>
          </cell>
          <cell r="B2061" t="str">
            <v>一级</v>
          </cell>
          <cell r="C2061" t="str">
            <v>中缅线（国内段）</v>
          </cell>
          <cell r="D2061" t="str">
            <v>中缅线（国内段）</v>
          </cell>
        </row>
        <row r="2062">
          <cell r="A2062" t="str">
            <v>贵港压气站</v>
          </cell>
          <cell r="B2062" t="str">
            <v>一级</v>
          </cell>
          <cell r="C2062" t="str">
            <v>中缅线（国内段）</v>
          </cell>
          <cell r="D2062" t="str">
            <v>中缅线（国内段）</v>
          </cell>
        </row>
        <row r="2063">
          <cell r="A2063" t="str">
            <v>大理分输站</v>
          </cell>
          <cell r="B2063" t="str">
            <v>一级</v>
          </cell>
          <cell r="C2063" t="str">
            <v>中缅线（国内段）</v>
          </cell>
          <cell r="D2063" t="str">
            <v>丽江支线</v>
          </cell>
        </row>
        <row r="2064">
          <cell r="A2064" t="str">
            <v>丽江1#阀室</v>
          </cell>
          <cell r="B2064" t="str">
            <v>一级</v>
          </cell>
          <cell r="C2064" t="str">
            <v>中缅线（国内段）</v>
          </cell>
          <cell r="D2064" t="str">
            <v>丽江支线</v>
          </cell>
        </row>
        <row r="2065">
          <cell r="A2065" t="str">
            <v>丽江2#阀室</v>
          </cell>
          <cell r="B2065" t="str">
            <v>一级</v>
          </cell>
          <cell r="C2065" t="str">
            <v>中缅线（国内段）</v>
          </cell>
          <cell r="D2065" t="str">
            <v>丽江支线</v>
          </cell>
        </row>
        <row r="2066">
          <cell r="A2066" t="str">
            <v>丽江3#阀室</v>
          </cell>
          <cell r="B2066" t="str">
            <v>一级</v>
          </cell>
          <cell r="C2066" t="str">
            <v>中缅线（国内段）</v>
          </cell>
          <cell r="D2066" t="str">
            <v>丽江支线</v>
          </cell>
        </row>
        <row r="2067">
          <cell r="A2067" t="str">
            <v>丽江4#阀室</v>
          </cell>
          <cell r="B2067" t="str">
            <v>一级</v>
          </cell>
          <cell r="C2067" t="str">
            <v>中缅线（国内段）</v>
          </cell>
          <cell r="D2067" t="str">
            <v>丽江支线</v>
          </cell>
        </row>
        <row r="2068">
          <cell r="A2068" t="str">
            <v>丽江5#阀室</v>
          </cell>
          <cell r="B2068" t="str">
            <v>一级</v>
          </cell>
          <cell r="C2068" t="str">
            <v>中缅线（国内段）</v>
          </cell>
          <cell r="D2068" t="str">
            <v>丽江支线</v>
          </cell>
        </row>
        <row r="2069">
          <cell r="A2069" t="str">
            <v>丽江6#阀室</v>
          </cell>
          <cell r="B2069" t="str">
            <v>一级</v>
          </cell>
          <cell r="C2069" t="str">
            <v>中缅线（国内段）</v>
          </cell>
          <cell r="D2069" t="str">
            <v>丽江支线</v>
          </cell>
        </row>
        <row r="2070">
          <cell r="A2070" t="str">
            <v>丽江7#阀室</v>
          </cell>
          <cell r="B2070" t="str">
            <v>一级</v>
          </cell>
          <cell r="C2070" t="str">
            <v>中缅线（国内段）</v>
          </cell>
          <cell r="D2070" t="str">
            <v>丽江支线</v>
          </cell>
        </row>
        <row r="2071">
          <cell r="A2071" t="str">
            <v>丽江末站</v>
          </cell>
          <cell r="B2071" t="str">
            <v>一级</v>
          </cell>
          <cell r="C2071" t="str">
            <v>中缅线（国内段）</v>
          </cell>
          <cell r="D2071" t="str">
            <v>丽江支线</v>
          </cell>
        </row>
        <row r="2072">
          <cell r="A2072" t="str">
            <v>玉溪1#阀室</v>
          </cell>
          <cell r="B2072" t="str">
            <v>一级</v>
          </cell>
          <cell r="C2072" t="str">
            <v>中缅线（国内段）</v>
          </cell>
          <cell r="D2072" t="str">
            <v>玉溪支线</v>
          </cell>
        </row>
        <row r="2073">
          <cell r="A2073" t="str">
            <v>安宁分输站</v>
          </cell>
          <cell r="B2073" t="str">
            <v>一级</v>
          </cell>
          <cell r="C2073" t="str">
            <v>中缅线（国内段）</v>
          </cell>
          <cell r="D2073" t="str">
            <v>玉溪支线</v>
          </cell>
        </row>
        <row r="2074">
          <cell r="A2074" t="str">
            <v>玉溪2#阀室</v>
          </cell>
          <cell r="B2074" t="str">
            <v>一级</v>
          </cell>
          <cell r="C2074" t="str">
            <v>中缅线（国内段）</v>
          </cell>
          <cell r="D2074" t="str">
            <v>玉溪支线</v>
          </cell>
        </row>
        <row r="2075">
          <cell r="A2075" t="str">
            <v>玉溪3#阀室</v>
          </cell>
          <cell r="B2075" t="str">
            <v>一级</v>
          </cell>
          <cell r="C2075" t="str">
            <v>中缅线（国内段）</v>
          </cell>
          <cell r="D2075" t="str">
            <v>玉溪支线</v>
          </cell>
        </row>
        <row r="2076">
          <cell r="A2076" t="str">
            <v>玉溪末站</v>
          </cell>
          <cell r="B2076" t="str">
            <v>一级</v>
          </cell>
          <cell r="C2076" t="str">
            <v>中缅线（国内段）</v>
          </cell>
          <cell r="D2076" t="str">
            <v>玉溪支线</v>
          </cell>
        </row>
        <row r="2077">
          <cell r="A2077" t="str">
            <v>都匀1#阀室</v>
          </cell>
          <cell r="B2077" t="str">
            <v>一级</v>
          </cell>
          <cell r="C2077" t="str">
            <v>中缅线（国内段）</v>
          </cell>
          <cell r="D2077" t="str">
            <v>都匀支线</v>
          </cell>
        </row>
        <row r="2078">
          <cell r="A2078" t="str">
            <v>都匀末站</v>
          </cell>
          <cell r="B2078" t="str">
            <v>一级</v>
          </cell>
          <cell r="C2078" t="str">
            <v>中缅线（国内段）</v>
          </cell>
          <cell r="D2078" t="str">
            <v>都匀支线</v>
          </cell>
        </row>
        <row r="2079">
          <cell r="A2079" t="str">
            <v>桂林1#阀室</v>
          </cell>
          <cell r="B2079" t="str">
            <v>一级</v>
          </cell>
          <cell r="C2079" t="str">
            <v>中缅线（国内段）</v>
          </cell>
          <cell r="D2079" t="str">
            <v>桂林支线</v>
          </cell>
        </row>
        <row r="2080">
          <cell r="A2080" t="str">
            <v>柳州分输站</v>
          </cell>
          <cell r="B2080" t="str">
            <v>一级</v>
          </cell>
          <cell r="C2080" t="str">
            <v>中缅线（国内段）</v>
          </cell>
          <cell r="D2080" t="str">
            <v>桂林支线</v>
          </cell>
        </row>
        <row r="2081">
          <cell r="A2081" t="str">
            <v>桂林2#阀室</v>
          </cell>
          <cell r="B2081" t="str">
            <v>一级</v>
          </cell>
          <cell r="C2081" t="str">
            <v>中缅线（国内段）</v>
          </cell>
          <cell r="D2081" t="str">
            <v>桂林支线</v>
          </cell>
        </row>
        <row r="2082">
          <cell r="A2082" t="str">
            <v>桂林3#阀室</v>
          </cell>
          <cell r="B2082" t="str">
            <v>一级</v>
          </cell>
          <cell r="C2082" t="str">
            <v>中缅线（国内段）</v>
          </cell>
          <cell r="D2082" t="str">
            <v>桂林支线</v>
          </cell>
        </row>
        <row r="2083">
          <cell r="A2083" t="str">
            <v>桂林4#阀室</v>
          </cell>
          <cell r="B2083" t="str">
            <v>一级</v>
          </cell>
          <cell r="C2083" t="str">
            <v>中缅线（国内段）</v>
          </cell>
          <cell r="D2083" t="str">
            <v>桂林支线</v>
          </cell>
        </row>
        <row r="2084">
          <cell r="A2084" t="str">
            <v>桂林5#阀室</v>
          </cell>
          <cell r="B2084" t="str">
            <v>一级</v>
          </cell>
          <cell r="C2084" t="str">
            <v>中缅线（国内段）</v>
          </cell>
          <cell r="D2084" t="str">
            <v>桂林支线</v>
          </cell>
        </row>
        <row r="2085">
          <cell r="A2085" t="str">
            <v>桂林6#阀室</v>
          </cell>
          <cell r="B2085" t="str">
            <v>一级</v>
          </cell>
          <cell r="C2085" t="str">
            <v>中缅线（国内段）</v>
          </cell>
          <cell r="D2085" t="str">
            <v>桂林支线</v>
          </cell>
        </row>
        <row r="2086">
          <cell r="A2086" t="str">
            <v>永福分输站</v>
          </cell>
          <cell r="B2086" t="str">
            <v>一级</v>
          </cell>
          <cell r="C2086" t="str">
            <v>中缅线（国内段）</v>
          </cell>
          <cell r="D2086" t="str">
            <v>桂林支线</v>
          </cell>
        </row>
        <row r="2087">
          <cell r="A2087" t="str">
            <v>桂林末站</v>
          </cell>
          <cell r="B2087" t="str">
            <v>一级</v>
          </cell>
          <cell r="C2087" t="str">
            <v>中缅线（国内段）</v>
          </cell>
          <cell r="D2087" t="str">
            <v>桂林支线</v>
          </cell>
        </row>
        <row r="2088">
          <cell r="A2088" t="str">
            <v>钦州1#阀室</v>
          </cell>
          <cell r="B2088" t="str">
            <v>一级</v>
          </cell>
          <cell r="C2088" t="str">
            <v>中缅线（国内段）</v>
          </cell>
          <cell r="D2088" t="str">
            <v>钦州支线</v>
          </cell>
        </row>
        <row r="2089">
          <cell r="A2089" t="str">
            <v>钦州2#阀室</v>
          </cell>
          <cell r="B2089" t="str">
            <v>一级</v>
          </cell>
          <cell r="C2089" t="str">
            <v>中缅线（国内段）</v>
          </cell>
          <cell r="D2089" t="str">
            <v>钦州支线</v>
          </cell>
        </row>
        <row r="2090">
          <cell r="A2090" t="str">
            <v>钦州3#阀室</v>
          </cell>
          <cell r="B2090" t="str">
            <v>一级</v>
          </cell>
          <cell r="C2090" t="str">
            <v>中缅线（国内段）</v>
          </cell>
          <cell r="D2090" t="str">
            <v>钦州支线</v>
          </cell>
        </row>
        <row r="2091">
          <cell r="A2091" t="str">
            <v>钦州分输站</v>
          </cell>
          <cell r="B2091" t="str">
            <v>一级</v>
          </cell>
          <cell r="C2091" t="str">
            <v>中缅线（国内段）</v>
          </cell>
          <cell r="D2091" t="str">
            <v>钦州支线</v>
          </cell>
        </row>
        <row r="2092">
          <cell r="A2092" t="str">
            <v>钦州4#阀室</v>
          </cell>
          <cell r="B2092" t="str">
            <v>一级</v>
          </cell>
          <cell r="C2092" t="str">
            <v>中缅线（国内段）</v>
          </cell>
          <cell r="D2092" t="str">
            <v>钦州支线</v>
          </cell>
        </row>
        <row r="2093">
          <cell r="A2093" t="str">
            <v>钦州5#阀室</v>
          </cell>
          <cell r="B2093" t="str">
            <v>一级</v>
          </cell>
          <cell r="C2093" t="str">
            <v>中缅线（国内段）</v>
          </cell>
          <cell r="D2093" t="str">
            <v>钦州支线</v>
          </cell>
        </row>
        <row r="2094">
          <cell r="A2094" t="str">
            <v>钦州6#阀室</v>
          </cell>
          <cell r="B2094" t="str">
            <v>一级</v>
          </cell>
          <cell r="C2094" t="str">
            <v>中缅线（国内段）</v>
          </cell>
          <cell r="D2094" t="str">
            <v>钦州支线</v>
          </cell>
        </row>
        <row r="2095">
          <cell r="A2095" t="str">
            <v>大番坡分输站</v>
          </cell>
          <cell r="B2095" t="str">
            <v>一级</v>
          </cell>
          <cell r="C2095" t="str">
            <v>中缅线（国内段）</v>
          </cell>
          <cell r="D2095" t="str">
            <v>钦州支线</v>
          </cell>
        </row>
        <row r="2096">
          <cell r="A2096" t="str">
            <v>钦州7#阀室</v>
          </cell>
          <cell r="B2096" t="str">
            <v>一级</v>
          </cell>
          <cell r="C2096" t="str">
            <v>中缅线（国内段）</v>
          </cell>
          <cell r="D2096" t="str">
            <v>钦州支线</v>
          </cell>
        </row>
        <row r="2097">
          <cell r="A2097" t="str">
            <v>河东分输站</v>
          </cell>
          <cell r="B2097" t="str">
            <v>一级</v>
          </cell>
          <cell r="C2097" t="str">
            <v>中缅线（国内段）</v>
          </cell>
          <cell r="D2097" t="str">
            <v>钦州支线</v>
          </cell>
        </row>
        <row r="2098">
          <cell r="A2098" t="str">
            <v>广西石化末站</v>
          </cell>
          <cell r="B2098" t="str">
            <v>一级</v>
          </cell>
          <cell r="C2098" t="str">
            <v>中缅线（国内段）</v>
          </cell>
          <cell r="D2098" t="str">
            <v>钦州支线</v>
          </cell>
        </row>
        <row r="2099">
          <cell r="A2099" t="str">
            <v>防城港1#阀室</v>
          </cell>
          <cell r="B2099" t="str">
            <v>一级</v>
          </cell>
          <cell r="C2099" t="str">
            <v>中缅线（国内段）</v>
          </cell>
          <cell r="D2099" t="str">
            <v>防城港支线</v>
          </cell>
        </row>
        <row r="2100">
          <cell r="A2100" t="str">
            <v>防城港2#阀室</v>
          </cell>
          <cell r="B2100" t="str">
            <v>一级</v>
          </cell>
          <cell r="C2100" t="str">
            <v>中缅线（国内段）</v>
          </cell>
          <cell r="D2100" t="str">
            <v>防城港支线</v>
          </cell>
        </row>
        <row r="2101">
          <cell r="A2101" t="str">
            <v>防城港3#阀室</v>
          </cell>
          <cell r="B2101" t="str">
            <v>一级</v>
          </cell>
          <cell r="C2101" t="str">
            <v>中缅线（国内段）</v>
          </cell>
          <cell r="D2101" t="str">
            <v>防城港支线</v>
          </cell>
        </row>
        <row r="2102">
          <cell r="A2102" t="str">
            <v>防城港末站</v>
          </cell>
          <cell r="B2102" t="str">
            <v>一级</v>
          </cell>
          <cell r="C2102" t="str">
            <v>中缅线（国内段）</v>
          </cell>
          <cell r="D2102" t="str">
            <v>防城港支线</v>
          </cell>
        </row>
        <row r="2103">
          <cell r="A2103" t="str">
            <v>北海1#阀室</v>
          </cell>
          <cell r="B2103" t="str">
            <v>一级</v>
          </cell>
          <cell r="C2103" t="str">
            <v>中缅线（国内段）</v>
          </cell>
          <cell r="D2103" t="str">
            <v>北海支线</v>
          </cell>
        </row>
        <row r="2104">
          <cell r="A2104" t="str">
            <v>北海2#阀室</v>
          </cell>
          <cell r="B2104" t="str">
            <v>一级</v>
          </cell>
          <cell r="C2104" t="str">
            <v>中缅线（国内段）</v>
          </cell>
          <cell r="D2104" t="str">
            <v>北海支线</v>
          </cell>
        </row>
        <row r="2105">
          <cell r="A2105" t="str">
            <v>北海3#阀室</v>
          </cell>
          <cell r="B2105" t="str">
            <v>一级</v>
          </cell>
          <cell r="C2105" t="str">
            <v>中缅线（国内段）</v>
          </cell>
          <cell r="D2105" t="str">
            <v>北海支线</v>
          </cell>
        </row>
        <row r="2106">
          <cell r="A2106" t="str">
            <v>北海4#阀室</v>
          </cell>
          <cell r="B2106" t="str">
            <v>一级</v>
          </cell>
          <cell r="C2106" t="str">
            <v>中缅线（国内段）</v>
          </cell>
          <cell r="D2106" t="str">
            <v>北海支线</v>
          </cell>
        </row>
        <row r="2107">
          <cell r="A2107" t="str">
            <v>北海末站</v>
          </cell>
          <cell r="B2107" t="str">
            <v>一级</v>
          </cell>
          <cell r="C2107" t="str">
            <v>中缅线（国内段）</v>
          </cell>
          <cell r="D2107" t="str">
            <v>北海支线</v>
          </cell>
        </row>
        <row r="2108">
          <cell r="A2108" t="str">
            <v>河池末站</v>
          </cell>
          <cell r="B2108" t="str">
            <v>一级</v>
          </cell>
          <cell r="C2108" t="str">
            <v>中缅线（国内段）</v>
          </cell>
          <cell r="D2108" t="str">
            <v>河池支线</v>
          </cell>
        </row>
        <row r="2109">
          <cell r="A2109" t="str">
            <v>中缅47#阀室</v>
          </cell>
          <cell r="B2109" t="str">
            <v>一级</v>
          </cell>
          <cell r="C2109" t="str">
            <v>中缅线（国内段）</v>
          </cell>
          <cell r="D2109" t="str">
            <v>独山支线</v>
          </cell>
        </row>
        <row r="2110">
          <cell r="A2110" t="str">
            <v>独山首站</v>
          </cell>
          <cell r="B2110" t="str">
            <v>一级</v>
          </cell>
          <cell r="C2110" t="str">
            <v>中缅线（国内段）</v>
          </cell>
          <cell r="D2110" t="str">
            <v>独山支线</v>
          </cell>
        </row>
        <row r="2111">
          <cell r="A2111" t="str">
            <v>独山分输站</v>
          </cell>
          <cell r="B2111" t="str">
            <v>一级</v>
          </cell>
          <cell r="C2111" t="str">
            <v>中缅线（国内段）</v>
          </cell>
          <cell r="D2111" t="str">
            <v>独山支线</v>
          </cell>
        </row>
        <row r="2112">
          <cell r="A2112" t="str">
            <v>中缅45#阀室</v>
          </cell>
          <cell r="B2112" t="str">
            <v>一级</v>
          </cell>
          <cell r="C2112" t="str">
            <v>中缅线（国内段）</v>
          </cell>
          <cell r="D2112" t="str">
            <v>福泉支线</v>
          </cell>
        </row>
        <row r="2113">
          <cell r="A2113" t="str">
            <v>云雾首站</v>
          </cell>
          <cell r="B2113" t="str">
            <v>一级</v>
          </cell>
          <cell r="C2113" t="str">
            <v>中缅线（国内段）</v>
          </cell>
          <cell r="D2113" t="str">
            <v>福泉支线</v>
          </cell>
        </row>
        <row r="2114">
          <cell r="A2114" t="str">
            <v>昌明分输站</v>
          </cell>
          <cell r="B2114" t="str">
            <v>一级</v>
          </cell>
          <cell r="C2114" t="str">
            <v>中缅线（国内段）</v>
          </cell>
          <cell r="D2114" t="str">
            <v>福泉支线</v>
          </cell>
        </row>
        <row r="2115">
          <cell r="A2115" t="str">
            <v>福泉1#阀室</v>
          </cell>
          <cell r="B2115" t="str">
            <v>一级</v>
          </cell>
          <cell r="C2115" t="str">
            <v>中缅线（国内段）</v>
          </cell>
          <cell r="D2115" t="str">
            <v>福泉支线</v>
          </cell>
        </row>
        <row r="2116">
          <cell r="A2116" t="str">
            <v>贵定分输站</v>
          </cell>
          <cell r="B2116" t="str">
            <v>一级</v>
          </cell>
          <cell r="C2116" t="str">
            <v>中缅线（国内段）</v>
          </cell>
          <cell r="D2116" t="str">
            <v>福泉支线</v>
          </cell>
        </row>
        <row r="2117">
          <cell r="A2117" t="str">
            <v>福泉2#阀室</v>
          </cell>
          <cell r="B2117" t="str">
            <v>一级</v>
          </cell>
          <cell r="C2117" t="str">
            <v>中缅线（国内段）</v>
          </cell>
          <cell r="D2117" t="str">
            <v>福泉支线</v>
          </cell>
        </row>
        <row r="2118">
          <cell r="A2118" t="str">
            <v>福泉末站</v>
          </cell>
          <cell r="B2118" t="str">
            <v>一级</v>
          </cell>
          <cell r="C2118" t="str">
            <v>中缅线（国内段）</v>
          </cell>
          <cell r="D2118" t="str">
            <v>福泉支线</v>
          </cell>
        </row>
        <row r="2119">
          <cell r="A2119" t="str">
            <v>青岛LNG接收站</v>
          </cell>
          <cell r="B2119" t="str">
            <v>一级</v>
          </cell>
          <cell r="C2119" t="str">
            <v>青宁线</v>
          </cell>
          <cell r="D2119" t="str">
            <v>青宁线干线</v>
          </cell>
        </row>
        <row r="2120">
          <cell r="A2120" t="str">
            <v>青宁泊里站</v>
          </cell>
          <cell r="B2120" t="str">
            <v>一级</v>
          </cell>
          <cell r="C2120" t="str">
            <v>青宁线</v>
          </cell>
          <cell r="D2120" t="str">
            <v>青宁线干线</v>
          </cell>
        </row>
        <row r="2121">
          <cell r="A2121" t="str">
            <v>青宁1#海清阀室</v>
          </cell>
          <cell r="B2121" t="str">
            <v>一级</v>
          </cell>
          <cell r="C2121" t="str">
            <v>青宁线</v>
          </cell>
          <cell r="D2121" t="str">
            <v>青宁线干线</v>
          </cell>
        </row>
        <row r="2122">
          <cell r="A2122" t="str">
            <v>青宁2#河山阀室</v>
          </cell>
          <cell r="B2122" t="str">
            <v>一级</v>
          </cell>
          <cell r="C2122" t="str">
            <v>青宁线</v>
          </cell>
          <cell r="D2122" t="str">
            <v>青宁线干线</v>
          </cell>
        </row>
        <row r="2123">
          <cell r="A2123" t="str">
            <v>青宁3#城关阀室</v>
          </cell>
          <cell r="B2123" t="str">
            <v>一级</v>
          </cell>
          <cell r="C2123" t="str">
            <v>青宁线</v>
          </cell>
          <cell r="D2123" t="str">
            <v>青宁线干线</v>
          </cell>
        </row>
        <row r="2124">
          <cell r="A2124" t="str">
            <v>青宁4#高兴阀室</v>
          </cell>
          <cell r="B2124" t="str">
            <v>一级</v>
          </cell>
          <cell r="C2124" t="str">
            <v>青宁线</v>
          </cell>
          <cell r="D2124" t="str">
            <v>青宁线干线</v>
          </cell>
        </row>
        <row r="2125">
          <cell r="A2125" t="str">
            <v>青宁5#巨峰阀室</v>
          </cell>
          <cell r="B2125" t="str">
            <v>一级</v>
          </cell>
          <cell r="C2125" t="str">
            <v>青宁线</v>
          </cell>
          <cell r="D2125" t="str">
            <v>青宁线干线</v>
          </cell>
        </row>
        <row r="2126">
          <cell r="A2126" t="str">
            <v>岚山分输站</v>
          </cell>
          <cell r="B2126" t="str">
            <v>一级</v>
          </cell>
          <cell r="C2126" t="str">
            <v>青宁线</v>
          </cell>
          <cell r="D2126" t="str">
            <v>青宁线干线</v>
          </cell>
        </row>
        <row r="2127">
          <cell r="A2127" t="str">
            <v>柘汪分输站</v>
          </cell>
          <cell r="B2127" t="str">
            <v>一级</v>
          </cell>
          <cell r="C2127" t="str">
            <v>青宁线</v>
          </cell>
          <cell r="D2127" t="str">
            <v>青宁线干线</v>
          </cell>
        </row>
        <row r="2128">
          <cell r="A2128" t="str">
            <v>青宁6#金山阀室</v>
          </cell>
          <cell r="B2128" t="str">
            <v>一级</v>
          </cell>
          <cell r="C2128" t="str">
            <v>青宁线</v>
          </cell>
          <cell r="D2128" t="str">
            <v>青宁线干线</v>
          </cell>
        </row>
        <row r="2129">
          <cell r="A2129" t="str">
            <v>赣榆分输站</v>
          </cell>
          <cell r="B2129" t="str">
            <v>一级</v>
          </cell>
          <cell r="C2129" t="str">
            <v>青宁线</v>
          </cell>
          <cell r="D2129" t="str">
            <v>青宁线干线</v>
          </cell>
        </row>
        <row r="2130">
          <cell r="A2130" t="str">
            <v>青宁7#墩尚阀室</v>
          </cell>
          <cell r="B2130" t="str">
            <v>一级</v>
          </cell>
          <cell r="C2130" t="str">
            <v>青宁线</v>
          </cell>
          <cell r="D2130" t="str">
            <v>青宁线干线</v>
          </cell>
        </row>
        <row r="2131">
          <cell r="A2131" t="str">
            <v>青宁连云港分输站</v>
          </cell>
          <cell r="B2131" t="str">
            <v>一级</v>
          </cell>
          <cell r="C2131" t="str">
            <v>青宁线</v>
          </cell>
          <cell r="D2131" t="str">
            <v>青宁线干线</v>
          </cell>
        </row>
        <row r="2132">
          <cell r="A2132" t="str">
            <v>青宁8#平明阀室</v>
          </cell>
          <cell r="B2132" t="str">
            <v>一级</v>
          </cell>
          <cell r="C2132" t="str">
            <v>青宁线</v>
          </cell>
          <cell r="D2132" t="str">
            <v>青宁线干线</v>
          </cell>
        </row>
        <row r="2133">
          <cell r="A2133" t="str">
            <v>青宁9#湖东阀室</v>
          </cell>
          <cell r="B2133" t="str">
            <v>一级</v>
          </cell>
          <cell r="C2133" t="str">
            <v>青宁线</v>
          </cell>
          <cell r="D2133" t="str">
            <v>青宁线干线</v>
          </cell>
        </row>
        <row r="2134">
          <cell r="A2134" t="str">
            <v>青宁10#吴集阀室</v>
          </cell>
          <cell r="B2134" t="str">
            <v>一级</v>
          </cell>
          <cell r="C2134" t="str">
            <v>青宁线</v>
          </cell>
          <cell r="D2134" t="str">
            <v>青宁线干线</v>
          </cell>
        </row>
        <row r="2135">
          <cell r="A2135" t="str">
            <v>青宁宿迁分输站</v>
          </cell>
          <cell r="B2135" t="str">
            <v>一级</v>
          </cell>
          <cell r="C2135" t="str">
            <v>青宁线</v>
          </cell>
          <cell r="D2135" t="str">
            <v>青宁线干线</v>
          </cell>
        </row>
        <row r="2136">
          <cell r="A2136" t="str">
            <v>青宁11#周集阀室</v>
          </cell>
          <cell r="B2136" t="str">
            <v>一级</v>
          </cell>
          <cell r="C2136" t="str">
            <v>青宁线</v>
          </cell>
          <cell r="D2136" t="str">
            <v>青宁线干线</v>
          </cell>
        </row>
        <row r="2137">
          <cell r="A2137" t="str">
            <v>青宁12#成集阀室</v>
          </cell>
          <cell r="B2137" t="str">
            <v>一级</v>
          </cell>
          <cell r="C2137" t="str">
            <v>青宁线</v>
          </cell>
          <cell r="D2137" t="str">
            <v>青宁线干线</v>
          </cell>
        </row>
        <row r="2138">
          <cell r="A2138" t="str">
            <v>青宁13#保滩阀室</v>
          </cell>
          <cell r="B2138" t="str">
            <v>一级</v>
          </cell>
          <cell r="C2138" t="str">
            <v>青宁线</v>
          </cell>
          <cell r="D2138" t="str">
            <v>青宁线干线</v>
          </cell>
        </row>
        <row r="2139">
          <cell r="A2139" t="str">
            <v>青宁14#顺河阀室</v>
          </cell>
          <cell r="B2139" t="str">
            <v>一级</v>
          </cell>
          <cell r="C2139" t="str">
            <v>青宁线</v>
          </cell>
          <cell r="D2139" t="str">
            <v>青宁线干线</v>
          </cell>
        </row>
        <row r="2140">
          <cell r="A2140" t="str">
            <v>青宁淮安分输站</v>
          </cell>
          <cell r="B2140" t="str">
            <v>一级</v>
          </cell>
          <cell r="C2140" t="str">
            <v>青宁线</v>
          </cell>
          <cell r="D2140" t="str">
            <v>青宁线干线</v>
          </cell>
        </row>
        <row r="2141">
          <cell r="A2141" t="str">
            <v>青宁15#曹甸阀室</v>
          </cell>
          <cell r="B2141" t="str">
            <v>一级</v>
          </cell>
          <cell r="C2141" t="str">
            <v>青宁线</v>
          </cell>
          <cell r="D2141" t="str">
            <v>青宁线干线</v>
          </cell>
        </row>
        <row r="2142">
          <cell r="A2142" t="str">
            <v>青宁16#鲁垛阀室</v>
          </cell>
          <cell r="B2142" t="str">
            <v>一级</v>
          </cell>
          <cell r="C2142" t="str">
            <v>青宁线</v>
          </cell>
          <cell r="D2142" t="str">
            <v>青宁线干线</v>
          </cell>
        </row>
        <row r="2143">
          <cell r="A2143" t="str">
            <v>青宁宝应分输站</v>
          </cell>
          <cell r="B2143" t="str">
            <v>一级</v>
          </cell>
          <cell r="C2143" t="str">
            <v>青宁线</v>
          </cell>
          <cell r="D2143" t="str">
            <v>青宁线干线</v>
          </cell>
        </row>
        <row r="2144">
          <cell r="A2144" t="str">
            <v>青宁17#周山阀室</v>
          </cell>
          <cell r="B2144" t="str">
            <v>一级</v>
          </cell>
          <cell r="C2144" t="str">
            <v>青宁线</v>
          </cell>
          <cell r="D2144" t="str">
            <v>青宁线干线</v>
          </cell>
        </row>
        <row r="2145">
          <cell r="A2145" t="str">
            <v>青宁高邮分输站</v>
          </cell>
          <cell r="B2145" t="str">
            <v>一级</v>
          </cell>
          <cell r="C2145" t="str">
            <v>青宁线</v>
          </cell>
          <cell r="D2145" t="str">
            <v>青宁线干线</v>
          </cell>
        </row>
        <row r="2146">
          <cell r="A2146" t="str">
            <v>青宁18#车逻阀室</v>
          </cell>
          <cell r="B2146" t="str">
            <v>一级</v>
          </cell>
          <cell r="C2146" t="str">
            <v>青宁线</v>
          </cell>
          <cell r="D2146" t="str">
            <v>青宁线干线</v>
          </cell>
        </row>
        <row r="2147">
          <cell r="A2147" t="str">
            <v>青宁19#郭集阀室</v>
          </cell>
          <cell r="B2147" t="str">
            <v>一级</v>
          </cell>
          <cell r="C2147" t="str">
            <v>青宁线</v>
          </cell>
          <cell r="D2147" t="str">
            <v>青宁线干线</v>
          </cell>
        </row>
        <row r="2148">
          <cell r="A2148" t="str">
            <v>青宁20#送桥阀室</v>
          </cell>
          <cell r="B2148" t="str">
            <v>一级</v>
          </cell>
          <cell r="C2148" t="str">
            <v>青宁线</v>
          </cell>
          <cell r="D2148" t="str">
            <v>青宁线干线</v>
          </cell>
        </row>
        <row r="2149">
          <cell r="A2149" t="str">
            <v>青宁21#大仪阀室</v>
          </cell>
          <cell r="B2149" t="str">
            <v>一级</v>
          </cell>
          <cell r="C2149" t="str">
            <v>青宁线</v>
          </cell>
          <cell r="D2149" t="str">
            <v>青宁线干线</v>
          </cell>
        </row>
        <row r="2150">
          <cell r="A2150" t="str">
            <v>青宁22#陈集阀室</v>
          </cell>
          <cell r="B2150" t="str">
            <v>一级</v>
          </cell>
          <cell r="C2150" t="str">
            <v>青宁线</v>
          </cell>
          <cell r="D2150" t="str">
            <v>青宁线干线</v>
          </cell>
        </row>
        <row r="2151">
          <cell r="A2151" t="str">
            <v>青宁扬州分输站</v>
          </cell>
          <cell r="B2151" t="str">
            <v>一级</v>
          </cell>
          <cell r="C2151" t="str">
            <v>青宁线</v>
          </cell>
          <cell r="D2151" t="str">
            <v>青宁线干线</v>
          </cell>
        </row>
        <row r="2152">
          <cell r="A2152" t="str">
            <v>南京末站</v>
          </cell>
          <cell r="B2152" t="str">
            <v>一级</v>
          </cell>
          <cell r="C2152" t="str">
            <v>青宁线</v>
          </cell>
          <cell r="D2152" t="str">
            <v>青宁线干线</v>
          </cell>
        </row>
        <row r="2153">
          <cell r="A2153" t="str">
            <v>首站</v>
          </cell>
          <cell r="B2153" t="str">
            <v>二级</v>
          </cell>
          <cell r="C2153" t="str">
            <v>鄯乌线</v>
          </cell>
          <cell r="D2153" t="str">
            <v>鄯乌线</v>
          </cell>
        </row>
        <row r="2154">
          <cell r="A2154" t="str">
            <v>鄯乌1#阀室</v>
          </cell>
          <cell r="B2154" t="str">
            <v>二级</v>
          </cell>
          <cell r="C2154" t="str">
            <v>鄯乌线</v>
          </cell>
          <cell r="D2154" t="str">
            <v>鄯乌线</v>
          </cell>
        </row>
        <row r="2155">
          <cell r="A2155" t="str">
            <v>鄯乌2#阀室</v>
          </cell>
          <cell r="B2155" t="str">
            <v>二级</v>
          </cell>
          <cell r="C2155" t="str">
            <v>鄯乌线</v>
          </cell>
          <cell r="D2155" t="str">
            <v>鄯乌线</v>
          </cell>
        </row>
        <row r="2156">
          <cell r="A2156" t="str">
            <v>鄯乌3#阀室</v>
          </cell>
          <cell r="B2156" t="str">
            <v>二级</v>
          </cell>
          <cell r="C2156" t="str">
            <v>鄯乌线</v>
          </cell>
          <cell r="D2156" t="str">
            <v>鄯乌线</v>
          </cell>
        </row>
        <row r="2157">
          <cell r="A2157" t="str">
            <v>大河沿</v>
          </cell>
          <cell r="B2157" t="str">
            <v>二级</v>
          </cell>
          <cell r="C2157" t="str">
            <v>鄯乌线</v>
          </cell>
          <cell r="D2157" t="str">
            <v>鄯乌线</v>
          </cell>
        </row>
        <row r="2158">
          <cell r="A2158" t="str">
            <v>鄯乌4#阀室</v>
          </cell>
          <cell r="B2158" t="str">
            <v>二级</v>
          </cell>
          <cell r="C2158" t="str">
            <v>鄯乌线</v>
          </cell>
          <cell r="D2158" t="str">
            <v>鄯乌线</v>
          </cell>
        </row>
        <row r="2159">
          <cell r="A2159" t="str">
            <v>鄯乌5#阀室</v>
          </cell>
          <cell r="B2159" t="str">
            <v>二级</v>
          </cell>
          <cell r="C2159" t="str">
            <v>鄯乌线</v>
          </cell>
          <cell r="D2159" t="str">
            <v>鄯乌线</v>
          </cell>
        </row>
        <row r="2160">
          <cell r="A2160" t="str">
            <v>新化站</v>
          </cell>
          <cell r="B2160" t="str">
            <v>二级</v>
          </cell>
          <cell r="C2160" t="str">
            <v>鄯乌线</v>
          </cell>
          <cell r="D2160" t="str">
            <v>鄯乌线</v>
          </cell>
        </row>
        <row r="2161">
          <cell r="A2161" t="str">
            <v>城市站</v>
          </cell>
          <cell r="B2161" t="str">
            <v>二级</v>
          </cell>
          <cell r="C2161" t="str">
            <v>鄯乌线</v>
          </cell>
          <cell r="D2161" t="str">
            <v>鄯乌线</v>
          </cell>
        </row>
        <row r="2162">
          <cell r="A2162" t="str">
            <v>鄯乌6#阀室</v>
          </cell>
          <cell r="B2162" t="str">
            <v>二级</v>
          </cell>
          <cell r="C2162" t="str">
            <v>鄯乌线</v>
          </cell>
          <cell r="D2162" t="str">
            <v>鄯乌线</v>
          </cell>
        </row>
        <row r="2163">
          <cell r="A2163" t="str">
            <v>末站</v>
          </cell>
          <cell r="B2163" t="str">
            <v>二级</v>
          </cell>
          <cell r="C2163" t="str">
            <v>鄯乌线</v>
          </cell>
          <cell r="D2163" t="str">
            <v>鄯乌线</v>
          </cell>
        </row>
        <row r="2164">
          <cell r="A2164" t="str">
            <v>涩宁兰732km+300m</v>
          </cell>
          <cell r="B2164" t="str">
            <v>一级</v>
          </cell>
          <cell r="C2164" t="str">
            <v>涩宁兰管道</v>
          </cell>
          <cell r="D2164" t="str">
            <v>涩宁兰管道干线</v>
          </cell>
        </row>
        <row r="2165">
          <cell r="A2165" t="str">
            <v>涩复857km+800m</v>
          </cell>
          <cell r="B2165" t="str">
            <v>一级</v>
          </cell>
          <cell r="C2165" t="str">
            <v>涩宁兰复线</v>
          </cell>
          <cell r="D2165" t="str">
            <v>涩宁兰复线</v>
          </cell>
        </row>
        <row r="2166">
          <cell r="A2166" t="str">
            <v>长宁6#阀室-15.25km</v>
          </cell>
          <cell r="B2166" t="str">
            <v>一级</v>
          </cell>
          <cell r="C2166" t="str">
            <v>长宁线</v>
          </cell>
          <cell r="D2166" t="str">
            <v>长宁线干线</v>
          </cell>
        </row>
        <row r="2167">
          <cell r="A2167" t="str">
            <v>长宁7#阀室-11km</v>
          </cell>
          <cell r="B2167" t="str">
            <v>一级</v>
          </cell>
          <cell r="C2167" t="str">
            <v>长宁线</v>
          </cell>
          <cell r="D2167" t="str">
            <v>长宁线干线</v>
          </cell>
        </row>
        <row r="2168">
          <cell r="A2168" t="str">
            <v>长宁9#阀室-10.38km</v>
          </cell>
          <cell r="B2168" t="str">
            <v>一级</v>
          </cell>
          <cell r="C2168" t="str">
            <v>长宁线</v>
          </cell>
          <cell r="D2168" t="str">
            <v>长宁线干线</v>
          </cell>
        </row>
        <row r="2169">
          <cell r="A2169" t="str">
            <v>长宁10#阀室-1.6km</v>
          </cell>
          <cell r="B2169" t="str">
            <v>一级</v>
          </cell>
          <cell r="C2169" t="str">
            <v>长宁线</v>
          </cell>
          <cell r="D2169" t="str">
            <v>长宁线干线</v>
          </cell>
        </row>
        <row r="2170">
          <cell r="A2170" t="str">
            <v>长宁10#阀室-1.6km</v>
          </cell>
          <cell r="B2170" t="str">
            <v>一级</v>
          </cell>
          <cell r="C2170" t="str">
            <v>长宁线</v>
          </cell>
          <cell r="D2170" t="str">
            <v>长宁线干线</v>
          </cell>
        </row>
        <row r="2171">
          <cell r="A2171" t="str">
            <v>长宁10#阀室+11km</v>
          </cell>
          <cell r="B2171" t="str">
            <v>一级</v>
          </cell>
          <cell r="C2171" t="str">
            <v>长宁线</v>
          </cell>
          <cell r="D2171" t="str">
            <v>长宁线干线</v>
          </cell>
        </row>
        <row r="2172">
          <cell r="A2172" t="str">
            <v>兰银131km+100m</v>
          </cell>
          <cell r="B2172" t="str">
            <v>一级</v>
          </cell>
          <cell r="C2172" t="str">
            <v>兰银线</v>
          </cell>
          <cell r="D2172" t="str">
            <v>兰银线干线</v>
          </cell>
        </row>
        <row r="2173">
          <cell r="A2173" t="str">
            <v>兰银9km</v>
          </cell>
          <cell r="B2173" t="str">
            <v>一级</v>
          </cell>
          <cell r="C2173" t="str">
            <v>兰银线</v>
          </cell>
          <cell r="D2173" t="str">
            <v>兰银线干线</v>
          </cell>
        </row>
        <row r="2174">
          <cell r="A2174" t="str">
            <v>普光首站</v>
          </cell>
          <cell r="B2174" t="str">
            <v>一级</v>
          </cell>
          <cell r="C2174" t="str">
            <v>川气东送管道</v>
          </cell>
          <cell r="D2174" t="str">
            <v>川气东送管道干线</v>
          </cell>
        </row>
        <row r="2175">
          <cell r="A2175" t="str">
            <v>燕子窝阀室</v>
          </cell>
          <cell r="B2175" t="str">
            <v>一级</v>
          </cell>
          <cell r="C2175" t="str">
            <v>川气东送管道</v>
          </cell>
          <cell r="D2175" t="str">
            <v>川气东送管道干线</v>
          </cell>
        </row>
        <row r="2176">
          <cell r="A2176" t="str">
            <v>天生阀室</v>
          </cell>
          <cell r="B2176" t="str">
            <v>一级</v>
          </cell>
          <cell r="C2176" t="str">
            <v>川气东送管道</v>
          </cell>
          <cell r="D2176" t="str">
            <v>川气东送管道干线</v>
          </cell>
        </row>
        <row r="2177">
          <cell r="A2177" t="str">
            <v>金山阀室</v>
          </cell>
          <cell r="B2177" t="str">
            <v>一级</v>
          </cell>
          <cell r="C2177" t="str">
            <v>川气东送管道</v>
          </cell>
          <cell r="D2177" t="str">
            <v>川气东送管道干线</v>
          </cell>
        </row>
        <row r="2178">
          <cell r="A2178" t="str">
            <v>靖安阀室</v>
          </cell>
          <cell r="B2178" t="str">
            <v>一级</v>
          </cell>
          <cell r="C2178" t="str">
            <v>川气东送管道</v>
          </cell>
          <cell r="D2178" t="str">
            <v>川气东送管道干线</v>
          </cell>
        </row>
        <row r="2179">
          <cell r="A2179" t="str">
            <v>新街阀室</v>
          </cell>
          <cell r="B2179" t="str">
            <v>一级</v>
          </cell>
          <cell r="C2179" t="str">
            <v>川气东送管道</v>
          </cell>
          <cell r="D2179" t="str">
            <v>川气东送管道干线</v>
          </cell>
        </row>
        <row r="2180">
          <cell r="A2180" t="str">
            <v>梁平输气站</v>
          </cell>
          <cell r="B2180" t="str">
            <v>一级</v>
          </cell>
          <cell r="C2180" t="str">
            <v>川气东送管道</v>
          </cell>
          <cell r="D2180" t="str">
            <v>川气东送管道干线</v>
          </cell>
        </row>
        <row r="2181">
          <cell r="A2181" t="str">
            <v>柏家阀室</v>
          </cell>
          <cell r="B2181" t="str">
            <v>一级</v>
          </cell>
          <cell r="C2181" t="str">
            <v>川气东送管道</v>
          </cell>
          <cell r="D2181" t="str">
            <v>川气东送管道干线</v>
          </cell>
        </row>
        <row r="2182">
          <cell r="A2182" t="str">
            <v>青峰阀室</v>
          </cell>
          <cell r="B2182" t="str">
            <v>一级</v>
          </cell>
          <cell r="C2182" t="str">
            <v>川气东送管道</v>
          </cell>
          <cell r="D2182" t="str">
            <v>川气东送管道干线</v>
          </cell>
        </row>
        <row r="2183">
          <cell r="A2183" t="str">
            <v>黄金压气站</v>
          </cell>
          <cell r="B2183" t="str">
            <v>一级</v>
          </cell>
          <cell r="C2183" t="str">
            <v>川气东送管道</v>
          </cell>
          <cell r="D2183" t="str">
            <v>川气东送管道干线</v>
          </cell>
        </row>
        <row r="2184">
          <cell r="A2184" t="str">
            <v>忠县长江1号阀室</v>
          </cell>
          <cell r="B2184" t="str">
            <v>一级</v>
          </cell>
          <cell r="C2184" t="str">
            <v>川气东送管道</v>
          </cell>
          <cell r="D2184" t="str">
            <v>川气东送管道干线</v>
          </cell>
        </row>
        <row r="2185">
          <cell r="A2185" t="str">
            <v>忠县长江2号阀室</v>
          </cell>
          <cell r="B2185" t="str">
            <v>一级</v>
          </cell>
          <cell r="C2185" t="str">
            <v>川气东送管道</v>
          </cell>
          <cell r="D2185" t="str">
            <v>川气东送管道干线</v>
          </cell>
        </row>
        <row r="2186">
          <cell r="A2186" t="str">
            <v>王场阀室</v>
          </cell>
          <cell r="B2186" t="str">
            <v>一级</v>
          </cell>
          <cell r="C2186" t="str">
            <v>川气东送管道</v>
          </cell>
          <cell r="D2186" t="str">
            <v>川气东送管道干线</v>
          </cell>
        </row>
        <row r="2187">
          <cell r="A2187" t="str">
            <v>红沙溪阀室</v>
          </cell>
          <cell r="B2187" t="str">
            <v>一级</v>
          </cell>
          <cell r="C2187" t="str">
            <v>川气东送管道</v>
          </cell>
          <cell r="D2187" t="str">
            <v>川气东送管道干线</v>
          </cell>
        </row>
        <row r="2188">
          <cell r="A2188" t="str">
            <v>苏家湾阀室</v>
          </cell>
          <cell r="B2188" t="str">
            <v>一级</v>
          </cell>
          <cell r="C2188" t="str">
            <v>川气东送管道</v>
          </cell>
          <cell r="D2188" t="str">
            <v>川气东送管道干线</v>
          </cell>
        </row>
        <row r="2189">
          <cell r="A2189" t="str">
            <v>青塘铺阀室</v>
          </cell>
          <cell r="B2189" t="str">
            <v>一级</v>
          </cell>
          <cell r="C2189" t="str">
            <v>川气东送管道</v>
          </cell>
          <cell r="D2189" t="str">
            <v>川气东送管道干线</v>
          </cell>
        </row>
        <row r="2190">
          <cell r="A2190" t="str">
            <v>利川压气站</v>
          </cell>
          <cell r="B2190" t="str">
            <v>一级</v>
          </cell>
          <cell r="C2190" t="str">
            <v>川气东送管道</v>
          </cell>
          <cell r="D2190" t="str">
            <v>川气东送管道干线</v>
          </cell>
        </row>
        <row r="2191">
          <cell r="A2191" t="str">
            <v>大坝村阀室</v>
          </cell>
          <cell r="B2191" t="str">
            <v>一级</v>
          </cell>
          <cell r="C2191" t="str">
            <v>川气东送管道</v>
          </cell>
          <cell r="D2191" t="str">
            <v>川气东送管道干线</v>
          </cell>
        </row>
        <row r="2192">
          <cell r="A2192" t="str">
            <v>沙子坡阀室</v>
          </cell>
          <cell r="B2192" t="str">
            <v>一级</v>
          </cell>
          <cell r="C2192" t="str">
            <v>川气东送管道</v>
          </cell>
          <cell r="D2192" t="str">
            <v>川气东送管道干线</v>
          </cell>
        </row>
        <row r="2193">
          <cell r="A2193" t="str">
            <v>龙马阀室</v>
          </cell>
          <cell r="B2193" t="str">
            <v>一级</v>
          </cell>
          <cell r="C2193" t="str">
            <v>川气东送管道</v>
          </cell>
          <cell r="D2193" t="str">
            <v>川气东送管道干线</v>
          </cell>
        </row>
        <row r="2194">
          <cell r="A2194" t="str">
            <v>恩施输气站</v>
          </cell>
          <cell r="B2194" t="str">
            <v>一级</v>
          </cell>
          <cell r="C2194" t="str">
            <v>川气东送管道</v>
          </cell>
          <cell r="D2194" t="str">
            <v>川气东送管道干线</v>
          </cell>
        </row>
        <row r="2195">
          <cell r="A2195" t="str">
            <v>白岩阀室</v>
          </cell>
          <cell r="B2195" t="str">
            <v>一级</v>
          </cell>
          <cell r="C2195" t="str">
            <v>川气东送管道</v>
          </cell>
          <cell r="D2195" t="str">
            <v>川气东送管道干线</v>
          </cell>
        </row>
        <row r="2196">
          <cell r="A2196" t="str">
            <v>小石坪阀室</v>
          </cell>
          <cell r="B2196" t="str">
            <v>一级</v>
          </cell>
          <cell r="C2196" t="str">
            <v>川气东送管道</v>
          </cell>
          <cell r="D2196" t="str">
            <v>川气东送管道干线</v>
          </cell>
        </row>
        <row r="2197">
          <cell r="A2197" t="str">
            <v>高店子阀室</v>
          </cell>
          <cell r="B2197" t="str">
            <v>一级</v>
          </cell>
          <cell r="C2197" t="str">
            <v>川气东送管道</v>
          </cell>
          <cell r="D2197" t="str">
            <v>川气东送管道干线</v>
          </cell>
        </row>
        <row r="2198">
          <cell r="A2198" t="str">
            <v>庙坪阀室</v>
          </cell>
          <cell r="B2198" t="str">
            <v>一级</v>
          </cell>
          <cell r="C2198" t="str">
            <v>川气东送管道</v>
          </cell>
          <cell r="D2198" t="str">
            <v>川气东送管道干线</v>
          </cell>
        </row>
        <row r="2199">
          <cell r="A2199" t="str">
            <v>野三关压气站</v>
          </cell>
          <cell r="B2199" t="str">
            <v>一级</v>
          </cell>
          <cell r="C2199" t="str">
            <v>川气东送管道</v>
          </cell>
          <cell r="D2199" t="str">
            <v>川气东送管道干线</v>
          </cell>
        </row>
        <row r="2200">
          <cell r="A2200" t="str">
            <v>榔坪阀室</v>
          </cell>
          <cell r="B2200" t="str">
            <v>一级</v>
          </cell>
          <cell r="C2200" t="str">
            <v>川气东送管道</v>
          </cell>
          <cell r="D2200" t="str">
            <v>川气东送管道干线</v>
          </cell>
        </row>
        <row r="2201">
          <cell r="A2201" t="str">
            <v>碑坳阀室</v>
          </cell>
          <cell r="B2201" t="str">
            <v>一级</v>
          </cell>
          <cell r="C2201" t="str">
            <v>川气东送管道</v>
          </cell>
          <cell r="D2201" t="str">
            <v>川气东送管道干线</v>
          </cell>
        </row>
        <row r="2202">
          <cell r="A2202" t="str">
            <v>高家岭阀室</v>
          </cell>
          <cell r="B2202" t="str">
            <v>一级</v>
          </cell>
          <cell r="C2202" t="str">
            <v>川气东送管道</v>
          </cell>
          <cell r="D2202" t="str">
            <v>川气东送管道干线</v>
          </cell>
        </row>
        <row r="2203">
          <cell r="A2203" t="str">
            <v>丹水阀室</v>
          </cell>
          <cell r="B2203" t="str">
            <v>一级</v>
          </cell>
          <cell r="C2203" t="str">
            <v>川气东送管道</v>
          </cell>
          <cell r="D2203" t="str">
            <v>川气东送管道干线</v>
          </cell>
        </row>
        <row r="2204">
          <cell r="A2204" t="str">
            <v>白洪溪阀室</v>
          </cell>
          <cell r="B2204" t="str">
            <v>一级</v>
          </cell>
          <cell r="C2204" t="str">
            <v>川气东送管道</v>
          </cell>
          <cell r="D2204" t="str">
            <v>川气东送管道干线</v>
          </cell>
        </row>
        <row r="2205">
          <cell r="A2205" t="str">
            <v>宜昌清管站</v>
          </cell>
          <cell r="B2205" t="str">
            <v>一级</v>
          </cell>
          <cell r="C2205" t="str">
            <v>川气东送管道</v>
          </cell>
          <cell r="D2205" t="str">
            <v>川气东送管道干线</v>
          </cell>
        </row>
        <row r="2206">
          <cell r="A2206" t="str">
            <v>宜昌压气站</v>
          </cell>
          <cell r="B2206" t="str">
            <v>一级</v>
          </cell>
          <cell r="C2206" t="str">
            <v>川气东送管道</v>
          </cell>
          <cell r="D2206" t="str">
            <v>川气东送管道干线</v>
          </cell>
        </row>
        <row r="2207">
          <cell r="A2207" t="str">
            <v>桑树河阀室</v>
          </cell>
          <cell r="B2207" t="str">
            <v>一级</v>
          </cell>
          <cell r="C2207" t="str">
            <v>川气东送管道</v>
          </cell>
          <cell r="D2207" t="str">
            <v>川气东送管道干线</v>
          </cell>
        </row>
        <row r="2208">
          <cell r="A2208" t="str">
            <v>枝江输气站</v>
          </cell>
          <cell r="B2208" t="str">
            <v>一级</v>
          </cell>
          <cell r="C2208" t="str">
            <v>川气东送管道</v>
          </cell>
          <cell r="D2208" t="str">
            <v>川气东送管道干线</v>
          </cell>
        </row>
        <row r="2209">
          <cell r="A2209" t="str">
            <v>沮漳河阀室</v>
          </cell>
          <cell r="B2209" t="str">
            <v>一级</v>
          </cell>
          <cell r="C2209" t="str">
            <v>川气东送管道</v>
          </cell>
          <cell r="D2209" t="str">
            <v>川气东送管道干线</v>
          </cell>
        </row>
        <row r="2210">
          <cell r="A2210" t="str">
            <v>荆州输气站</v>
          </cell>
          <cell r="B2210" t="str">
            <v>一级</v>
          </cell>
          <cell r="C2210" t="str">
            <v>川气东送管道</v>
          </cell>
          <cell r="D2210" t="str">
            <v>川气东送管道干线</v>
          </cell>
        </row>
        <row r="2211">
          <cell r="A2211" t="str">
            <v>花坮村阀室</v>
          </cell>
          <cell r="B2211" t="str">
            <v>一级</v>
          </cell>
          <cell r="C2211" t="str">
            <v>川气东送管道</v>
          </cell>
          <cell r="D2211" t="str">
            <v>川气东送管道干线</v>
          </cell>
        </row>
        <row r="2212">
          <cell r="A2212" t="str">
            <v>西河五队阀室</v>
          </cell>
          <cell r="B2212" t="str">
            <v>一级</v>
          </cell>
          <cell r="C2212" t="str">
            <v>川气东送管道</v>
          </cell>
          <cell r="D2212" t="str">
            <v>川气东送管道干线</v>
          </cell>
        </row>
        <row r="2213">
          <cell r="A2213" t="str">
            <v>鄢家咀阀室</v>
          </cell>
          <cell r="B2213" t="str">
            <v>一级</v>
          </cell>
          <cell r="C2213" t="str">
            <v>川气东送管道</v>
          </cell>
          <cell r="D2213" t="str">
            <v>川气东送管道干线</v>
          </cell>
        </row>
        <row r="2214">
          <cell r="A2214" t="str">
            <v>潜江压气站</v>
          </cell>
          <cell r="B2214" t="str">
            <v>一级</v>
          </cell>
          <cell r="C2214" t="str">
            <v>川气东送管道</v>
          </cell>
          <cell r="D2214" t="str">
            <v>川气东送管道干线</v>
          </cell>
        </row>
        <row r="2215">
          <cell r="A2215" t="str">
            <v>南台子阀室</v>
          </cell>
          <cell r="B2215" t="str">
            <v>一级</v>
          </cell>
          <cell r="C2215" t="str">
            <v>川气东送管道</v>
          </cell>
          <cell r="D2215" t="str">
            <v>川气东送管道干线</v>
          </cell>
        </row>
        <row r="2216">
          <cell r="A2216" t="str">
            <v>下麻港阀室</v>
          </cell>
          <cell r="B2216" t="str">
            <v>一级</v>
          </cell>
          <cell r="C2216" t="str">
            <v>川气东送管道</v>
          </cell>
          <cell r="D2216" t="str">
            <v>川气东送管道干线</v>
          </cell>
        </row>
        <row r="2217">
          <cell r="A2217" t="str">
            <v>余积湖阀室</v>
          </cell>
          <cell r="B2217" t="str">
            <v>一级</v>
          </cell>
          <cell r="C2217" t="str">
            <v>川气东送管道</v>
          </cell>
          <cell r="D2217" t="str">
            <v>川气东送管道干线</v>
          </cell>
        </row>
        <row r="2218">
          <cell r="A2218" t="str">
            <v>西流河阀室</v>
          </cell>
          <cell r="B2218" t="str">
            <v>一级</v>
          </cell>
          <cell r="C2218" t="str">
            <v>川气东送管道</v>
          </cell>
          <cell r="D2218" t="str">
            <v>川气东送管道干线</v>
          </cell>
        </row>
        <row r="2219">
          <cell r="A2219" t="str">
            <v>捞子湖阀室</v>
          </cell>
          <cell r="B2219" t="str">
            <v>一级</v>
          </cell>
          <cell r="C2219" t="str">
            <v>川气东送管道</v>
          </cell>
          <cell r="D2219" t="str">
            <v>川气东送管道干线</v>
          </cell>
        </row>
        <row r="2220">
          <cell r="A2220" t="str">
            <v>周家河阀室</v>
          </cell>
          <cell r="B2220" t="str">
            <v>一级</v>
          </cell>
          <cell r="C2220" t="str">
            <v>川气东送管道</v>
          </cell>
          <cell r="D2220" t="str">
            <v>川气东送管道干线</v>
          </cell>
        </row>
        <row r="2221">
          <cell r="A2221" t="str">
            <v>大咀阀室</v>
          </cell>
          <cell r="B2221" t="str">
            <v>一级</v>
          </cell>
          <cell r="C2221" t="str">
            <v>川气东送管道</v>
          </cell>
          <cell r="D2221" t="str">
            <v>川气东送管道干线</v>
          </cell>
        </row>
        <row r="2222">
          <cell r="A2222" t="str">
            <v>中湾阀室</v>
          </cell>
          <cell r="B2222" t="str">
            <v>一级</v>
          </cell>
          <cell r="C2222" t="str">
            <v>川气东送管道</v>
          </cell>
          <cell r="D2222" t="str">
            <v>川气东送管道干线</v>
          </cell>
        </row>
        <row r="2223">
          <cell r="A2223" t="str">
            <v>武汉输气站</v>
          </cell>
          <cell r="B2223" t="str">
            <v>一级</v>
          </cell>
          <cell r="C2223" t="str">
            <v>川气东送管道</v>
          </cell>
          <cell r="D2223" t="str">
            <v>川气东送管道干线</v>
          </cell>
        </row>
        <row r="2224">
          <cell r="A2224" t="str">
            <v>王通阀室</v>
          </cell>
          <cell r="B2224" t="str">
            <v>一级</v>
          </cell>
          <cell r="C2224" t="str">
            <v>川气东送管道</v>
          </cell>
          <cell r="D2224" t="str">
            <v>川气东送管道干线</v>
          </cell>
        </row>
        <row r="2225">
          <cell r="A2225" t="str">
            <v>武汉压气站</v>
          </cell>
          <cell r="B2225" t="str">
            <v>一级</v>
          </cell>
          <cell r="C2225" t="str">
            <v>川气东送管道</v>
          </cell>
          <cell r="D2225" t="str">
            <v>川气东送管道干线</v>
          </cell>
        </row>
        <row r="2226">
          <cell r="A2226" t="str">
            <v>刘如山阀室</v>
          </cell>
          <cell r="B2226" t="str">
            <v>一级</v>
          </cell>
          <cell r="C2226" t="str">
            <v>川气东送管道</v>
          </cell>
          <cell r="D2226" t="str">
            <v>川气东送管道干线</v>
          </cell>
        </row>
        <row r="2227">
          <cell r="A2227" t="str">
            <v>新屋阀室</v>
          </cell>
          <cell r="B2227" t="str">
            <v>一级</v>
          </cell>
          <cell r="C2227" t="str">
            <v>川气东送管道</v>
          </cell>
          <cell r="D2227" t="str">
            <v>川气东送管道干线</v>
          </cell>
        </row>
        <row r="2228">
          <cell r="A2228" t="str">
            <v>黄石输气站</v>
          </cell>
          <cell r="B2228" t="str">
            <v>一级</v>
          </cell>
          <cell r="C2228" t="str">
            <v>川气东送管道</v>
          </cell>
          <cell r="D2228" t="str">
            <v>川气东送管道干线</v>
          </cell>
        </row>
        <row r="2229">
          <cell r="A2229" t="str">
            <v>太子阀室</v>
          </cell>
          <cell r="B2229" t="str">
            <v>一级</v>
          </cell>
          <cell r="C2229" t="str">
            <v>川气东送管道</v>
          </cell>
          <cell r="D2229" t="str">
            <v>川气东送管道干线</v>
          </cell>
        </row>
        <row r="2230">
          <cell r="A2230" t="str">
            <v>黄颡口阀室</v>
          </cell>
          <cell r="B2230" t="str">
            <v>一级</v>
          </cell>
          <cell r="C2230" t="str">
            <v>川气东送管道</v>
          </cell>
          <cell r="D2230" t="str">
            <v>川气东送管道干线</v>
          </cell>
        </row>
        <row r="2231">
          <cell r="A2231" t="str">
            <v>蕲州阀室</v>
          </cell>
          <cell r="B2231" t="str">
            <v>一级</v>
          </cell>
          <cell r="C2231" t="str">
            <v>川气东送管道</v>
          </cell>
          <cell r="D2231" t="str">
            <v>川气东送管道干线</v>
          </cell>
        </row>
        <row r="2232">
          <cell r="A2232" t="str">
            <v>姜家湾阀室</v>
          </cell>
          <cell r="B2232" t="str">
            <v>一级</v>
          </cell>
          <cell r="C2232" t="str">
            <v>川气东送管道</v>
          </cell>
          <cell r="D2232" t="str">
            <v>川气东送管道干线</v>
          </cell>
        </row>
        <row r="2233">
          <cell r="A2233" t="str">
            <v>花桥阀室</v>
          </cell>
          <cell r="B2233" t="str">
            <v>一级</v>
          </cell>
          <cell r="C2233" t="str">
            <v>川气东送管道</v>
          </cell>
          <cell r="D2233" t="str">
            <v>川气东送管道干线</v>
          </cell>
        </row>
        <row r="2234">
          <cell r="A2234" t="str">
            <v>黄梅压气站</v>
          </cell>
          <cell r="B2234" t="str">
            <v>一级</v>
          </cell>
          <cell r="C2234" t="str">
            <v>川气东送管道</v>
          </cell>
          <cell r="D2234" t="str">
            <v>川气东送管道干线</v>
          </cell>
        </row>
        <row r="2235">
          <cell r="A2235" t="str">
            <v>陶垄阀室</v>
          </cell>
          <cell r="B2235" t="str">
            <v>一级</v>
          </cell>
          <cell r="C2235" t="str">
            <v>川气东送管道</v>
          </cell>
          <cell r="D2235" t="str">
            <v>川气东送管道干线</v>
          </cell>
        </row>
        <row r="2236">
          <cell r="A2236" t="str">
            <v>堰塘角阀室</v>
          </cell>
          <cell r="B2236" t="str">
            <v>一级</v>
          </cell>
          <cell r="C2236" t="str">
            <v>川气东送管道</v>
          </cell>
          <cell r="D2236" t="str">
            <v>川气东送管道干线</v>
          </cell>
        </row>
        <row r="2237">
          <cell r="A2237" t="str">
            <v>周家湾阀室</v>
          </cell>
          <cell r="B2237" t="str">
            <v>一级</v>
          </cell>
          <cell r="C2237" t="str">
            <v>川气东送管道</v>
          </cell>
          <cell r="D2237" t="str">
            <v>川气东送管道干线</v>
          </cell>
        </row>
        <row r="2238">
          <cell r="A2238" t="str">
            <v>袁家林阀室</v>
          </cell>
          <cell r="B2238" t="str">
            <v>一级</v>
          </cell>
          <cell r="C2238" t="str">
            <v>川气东送管道</v>
          </cell>
          <cell r="D2238" t="str">
            <v>川气东送管道干线</v>
          </cell>
        </row>
        <row r="2239">
          <cell r="A2239" t="str">
            <v>李店阀室</v>
          </cell>
          <cell r="B2239" t="str">
            <v>一级</v>
          </cell>
          <cell r="C2239" t="str">
            <v>川气东送管道</v>
          </cell>
          <cell r="D2239" t="str">
            <v>川气东送管道干线</v>
          </cell>
        </row>
        <row r="2240">
          <cell r="A2240" t="str">
            <v>万集阀室</v>
          </cell>
          <cell r="B2240" t="str">
            <v>一级</v>
          </cell>
          <cell r="C2240" t="str">
            <v>川气东送管道</v>
          </cell>
          <cell r="D2240" t="str">
            <v>川气东送管道干线</v>
          </cell>
        </row>
        <row r="2241">
          <cell r="A2241" t="str">
            <v>安庆输气站</v>
          </cell>
          <cell r="B2241" t="str">
            <v>一级</v>
          </cell>
          <cell r="C2241" t="str">
            <v>川气东送管道</v>
          </cell>
          <cell r="D2241" t="str">
            <v>川气东送管道干线</v>
          </cell>
        </row>
        <row r="2242">
          <cell r="A2242" t="str">
            <v>海口阀室</v>
          </cell>
          <cell r="B2242" t="str">
            <v>一级</v>
          </cell>
          <cell r="C2242" t="str">
            <v>川气东送管道</v>
          </cell>
          <cell r="D2242" t="str">
            <v>川气东送管道干线</v>
          </cell>
        </row>
        <row r="2243">
          <cell r="A2243" t="str">
            <v>杨桥阀室</v>
          </cell>
          <cell r="B2243" t="str">
            <v>一级</v>
          </cell>
          <cell r="C2243" t="str">
            <v>川气东送管道</v>
          </cell>
          <cell r="D2243" t="str">
            <v>川气东送管道干线</v>
          </cell>
        </row>
        <row r="2244">
          <cell r="A2244" t="str">
            <v>裕丰村阀室</v>
          </cell>
          <cell r="B2244" t="str">
            <v>一级</v>
          </cell>
          <cell r="C2244" t="str">
            <v>川气东送管道</v>
          </cell>
          <cell r="D2244" t="str">
            <v>川气东送管道干线</v>
          </cell>
        </row>
        <row r="2245">
          <cell r="A2245" t="str">
            <v>殷汇阀室</v>
          </cell>
          <cell r="B2245" t="str">
            <v>一级</v>
          </cell>
          <cell r="C2245" t="str">
            <v>川气东送管道</v>
          </cell>
          <cell r="D2245" t="str">
            <v>川气东送管道干线</v>
          </cell>
        </row>
        <row r="2246">
          <cell r="A2246" t="str">
            <v>清溪阀室</v>
          </cell>
          <cell r="B2246" t="str">
            <v>一级</v>
          </cell>
          <cell r="C2246" t="str">
            <v>川气东送管道</v>
          </cell>
          <cell r="D2246" t="str">
            <v>川气东送管道干线</v>
          </cell>
        </row>
        <row r="2247">
          <cell r="A2247" t="str">
            <v>池州输气站</v>
          </cell>
          <cell r="B2247" t="str">
            <v>一级</v>
          </cell>
          <cell r="C2247" t="str">
            <v>川气东送管道</v>
          </cell>
          <cell r="D2247" t="str">
            <v>川气东送管道干线</v>
          </cell>
        </row>
        <row r="2248">
          <cell r="A2248" t="str">
            <v>八子庙阀室</v>
          </cell>
          <cell r="B2248" t="str">
            <v>一级</v>
          </cell>
          <cell r="C2248" t="str">
            <v>川气东送管道</v>
          </cell>
          <cell r="D2248" t="str">
            <v>川气东送管道干线</v>
          </cell>
        </row>
        <row r="2249">
          <cell r="A2249" t="str">
            <v>木安阀室</v>
          </cell>
          <cell r="B2249" t="str">
            <v>一级</v>
          </cell>
          <cell r="C2249" t="str">
            <v>川气东送管道</v>
          </cell>
          <cell r="D2249" t="str">
            <v>川气东送管道干线</v>
          </cell>
        </row>
        <row r="2250">
          <cell r="A2250" t="str">
            <v>刘店村阀室</v>
          </cell>
          <cell r="B2250" t="str">
            <v>一级</v>
          </cell>
          <cell r="C2250" t="str">
            <v>川气东送管道</v>
          </cell>
          <cell r="D2250" t="str">
            <v>川气东送管道干线</v>
          </cell>
        </row>
        <row r="2251">
          <cell r="A2251" t="str">
            <v>牌楼村阀室</v>
          </cell>
          <cell r="B2251" t="str">
            <v>一级</v>
          </cell>
          <cell r="C2251" t="str">
            <v>川气东送管道</v>
          </cell>
          <cell r="D2251" t="str">
            <v>川气东送管道干线</v>
          </cell>
        </row>
        <row r="2252">
          <cell r="A2252" t="str">
            <v>李村阀室</v>
          </cell>
          <cell r="B2252" t="str">
            <v>一级</v>
          </cell>
          <cell r="C2252" t="str">
            <v>川气东送管道</v>
          </cell>
          <cell r="D2252" t="str">
            <v>川气东送管道干线</v>
          </cell>
        </row>
        <row r="2253">
          <cell r="A2253" t="str">
            <v>宣城输气站</v>
          </cell>
          <cell r="B2253" t="str">
            <v>一级</v>
          </cell>
          <cell r="C2253" t="str">
            <v>川气东送管道</v>
          </cell>
          <cell r="D2253" t="str">
            <v>川气东送管道干线</v>
          </cell>
        </row>
        <row r="2254">
          <cell r="A2254" t="str">
            <v>卫村阀室</v>
          </cell>
          <cell r="B2254" t="str">
            <v>一级</v>
          </cell>
          <cell r="C2254" t="str">
            <v>川气东送管道</v>
          </cell>
          <cell r="D2254" t="str">
            <v>川气东送管道干线</v>
          </cell>
        </row>
        <row r="2255">
          <cell r="A2255" t="str">
            <v>丁村阀室</v>
          </cell>
          <cell r="B2255" t="str">
            <v>一级</v>
          </cell>
          <cell r="C2255" t="str">
            <v>川气东送管道</v>
          </cell>
          <cell r="D2255" t="str">
            <v>川气东送管道干线</v>
          </cell>
        </row>
        <row r="2256">
          <cell r="A2256" t="str">
            <v>十字镇输气站</v>
          </cell>
          <cell r="B2256" t="str">
            <v>一级</v>
          </cell>
          <cell r="C2256" t="str">
            <v>川气东送管道</v>
          </cell>
          <cell r="D2256" t="str">
            <v>川气东送管道干线</v>
          </cell>
        </row>
        <row r="2257">
          <cell r="A2257" t="str">
            <v>晏公殿阀室</v>
          </cell>
          <cell r="B2257" t="str">
            <v>一级</v>
          </cell>
          <cell r="C2257" t="str">
            <v>川气东送管道</v>
          </cell>
          <cell r="D2257" t="str">
            <v>川气东送管道干线</v>
          </cell>
        </row>
        <row r="2258">
          <cell r="A2258" t="str">
            <v>杨家冲阀室</v>
          </cell>
          <cell r="B2258" t="str">
            <v>一级</v>
          </cell>
          <cell r="C2258" t="str">
            <v>川气东送管道</v>
          </cell>
          <cell r="D2258" t="str">
            <v>川气东送管道干线</v>
          </cell>
        </row>
        <row r="2259">
          <cell r="A2259" t="str">
            <v>后林村阀室</v>
          </cell>
          <cell r="B2259" t="str">
            <v>一级</v>
          </cell>
          <cell r="C2259" t="str">
            <v>川气东送管道</v>
          </cell>
          <cell r="D2259" t="str">
            <v>川气东送管道干线</v>
          </cell>
        </row>
        <row r="2260">
          <cell r="A2260" t="str">
            <v>湖北湾阀室</v>
          </cell>
          <cell r="B2260" t="str">
            <v>一级</v>
          </cell>
          <cell r="C2260" t="str">
            <v>川气东送管道</v>
          </cell>
          <cell r="D2260" t="str">
            <v>川气东送管道干线</v>
          </cell>
        </row>
        <row r="2261">
          <cell r="A2261" t="str">
            <v>城山村阀室</v>
          </cell>
          <cell r="B2261" t="str">
            <v>一级</v>
          </cell>
          <cell r="C2261" t="str">
            <v>川气东送管道</v>
          </cell>
          <cell r="D2261" t="str">
            <v>川气东送管道干线</v>
          </cell>
        </row>
        <row r="2262">
          <cell r="A2262" t="str">
            <v>湖州输气站</v>
          </cell>
          <cell r="B2262" t="str">
            <v>一级</v>
          </cell>
          <cell r="C2262" t="str">
            <v>川气东送管道</v>
          </cell>
          <cell r="D2262" t="str">
            <v>川气东送管道干线</v>
          </cell>
        </row>
        <row r="2263">
          <cell r="A2263" t="str">
            <v>西湾里阀室</v>
          </cell>
          <cell r="B2263" t="str">
            <v>一级</v>
          </cell>
          <cell r="C2263" t="str">
            <v>川气东送管道</v>
          </cell>
          <cell r="D2263" t="str">
            <v>川气东送管道干线</v>
          </cell>
        </row>
        <row r="2264">
          <cell r="A2264" t="str">
            <v>李家湾阀室</v>
          </cell>
          <cell r="B2264" t="str">
            <v>一级</v>
          </cell>
          <cell r="C2264" t="str">
            <v>川气东送管道</v>
          </cell>
          <cell r="D2264" t="str">
            <v>川气东送管道干线</v>
          </cell>
        </row>
        <row r="2265">
          <cell r="A2265" t="str">
            <v>乌镇阀室</v>
          </cell>
          <cell r="B2265" t="str">
            <v>一级</v>
          </cell>
          <cell r="C2265" t="str">
            <v>川气东送管道</v>
          </cell>
          <cell r="D2265" t="str">
            <v>川气东送管道干线</v>
          </cell>
        </row>
        <row r="2266">
          <cell r="A2266" t="str">
            <v>嘉兴输气站</v>
          </cell>
          <cell r="B2266" t="str">
            <v>一级</v>
          </cell>
          <cell r="C2266" t="str">
            <v>川气东送管道</v>
          </cell>
          <cell r="D2266" t="str">
            <v>川气东送管道干线</v>
          </cell>
        </row>
        <row r="2267">
          <cell r="A2267" t="str">
            <v>栖真乡阀室</v>
          </cell>
          <cell r="B2267" t="str">
            <v>一级</v>
          </cell>
          <cell r="C2267" t="str">
            <v>川气东送管道</v>
          </cell>
          <cell r="D2267" t="str">
            <v>川气东送管道干线</v>
          </cell>
        </row>
        <row r="2268">
          <cell r="A2268" t="str">
            <v>干窑镇阀室</v>
          </cell>
          <cell r="B2268" t="str">
            <v>一级</v>
          </cell>
          <cell r="C2268" t="str">
            <v>川气东送管道</v>
          </cell>
          <cell r="D2268" t="str">
            <v>川气东送管道干线</v>
          </cell>
        </row>
        <row r="2269">
          <cell r="A2269" t="str">
            <v>上海输气站</v>
          </cell>
          <cell r="B2269" t="str">
            <v>一级</v>
          </cell>
          <cell r="C2269" t="str">
            <v>川气东送管道</v>
          </cell>
          <cell r="D2269" t="str">
            <v>川气东送管道干线</v>
          </cell>
        </row>
        <row r="2270">
          <cell r="A2270" t="str">
            <v>燕子窝阀室</v>
          </cell>
          <cell r="B2270" t="str">
            <v>一级</v>
          </cell>
          <cell r="C2270" t="str">
            <v>川气东送管道</v>
          </cell>
          <cell r="D2270" t="str">
            <v>达化专线</v>
          </cell>
        </row>
        <row r="2271">
          <cell r="A2271" t="str">
            <v>天生阀室</v>
          </cell>
          <cell r="B2271" t="str">
            <v>一级</v>
          </cell>
          <cell r="C2271" t="str">
            <v>川气东送管道</v>
          </cell>
          <cell r="D2271" t="str">
            <v>达化专线</v>
          </cell>
        </row>
        <row r="2272">
          <cell r="A2272" t="str">
            <v>柏树阀室</v>
          </cell>
          <cell r="B2272" t="str">
            <v>一级</v>
          </cell>
          <cell r="C2272" t="str">
            <v>川气东送管道</v>
          </cell>
          <cell r="D2272" t="str">
            <v>达化专线</v>
          </cell>
        </row>
        <row r="2273">
          <cell r="A2273" t="str">
            <v>达化输气站</v>
          </cell>
          <cell r="B2273" t="str">
            <v>一级</v>
          </cell>
          <cell r="C2273" t="str">
            <v>川气东送管道</v>
          </cell>
          <cell r="D2273" t="str">
            <v>达化专线</v>
          </cell>
        </row>
        <row r="2274">
          <cell r="A2274" t="str">
            <v>石牛阀室</v>
          </cell>
          <cell r="B2274" t="str">
            <v>一级</v>
          </cell>
          <cell r="C2274" t="str">
            <v>川气东送管道</v>
          </cell>
          <cell r="D2274" t="str">
            <v>川维支线</v>
          </cell>
        </row>
        <row r="2275">
          <cell r="A2275" t="str">
            <v>回龙阀室</v>
          </cell>
          <cell r="B2275" t="str">
            <v>一级</v>
          </cell>
          <cell r="C2275" t="str">
            <v>川气东送管道</v>
          </cell>
          <cell r="D2275" t="str">
            <v>川维支线</v>
          </cell>
        </row>
        <row r="2276">
          <cell r="A2276" t="str">
            <v>城北阀室</v>
          </cell>
          <cell r="B2276" t="str">
            <v>一级</v>
          </cell>
          <cell r="C2276" t="str">
            <v>川气东送管道</v>
          </cell>
          <cell r="D2276" t="str">
            <v>川维支线</v>
          </cell>
        </row>
        <row r="2277">
          <cell r="A2277" t="str">
            <v>永远阀室</v>
          </cell>
          <cell r="B2277" t="str">
            <v>一级</v>
          </cell>
          <cell r="C2277" t="str">
            <v>川气东送管道</v>
          </cell>
          <cell r="D2277" t="str">
            <v>川维支线</v>
          </cell>
        </row>
        <row r="2278">
          <cell r="A2278" t="str">
            <v>罗大丘阀室</v>
          </cell>
          <cell r="B2278" t="str">
            <v>一级</v>
          </cell>
          <cell r="C2278" t="str">
            <v>川气东送管道</v>
          </cell>
          <cell r="D2278" t="str">
            <v>川维支线</v>
          </cell>
        </row>
        <row r="2279">
          <cell r="A2279" t="str">
            <v>大当湾阀室</v>
          </cell>
          <cell r="B2279" t="str">
            <v>一级</v>
          </cell>
          <cell r="C2279" t="str">
            <v>川气东送管道</v>
          </cell>
          <cell r="D2279" t="str">
            <v>川维支线</v>
          </cell>
        </row>
        <row r="2280">
          <cell r="A2280" t="str">
            <v>川维输气站</v>
          </cell>
          <cell r="B2280" t="str">
            <v>一级</v>
          </cell>
          <cell r="C2280" t="str">
            <v>川气东送管道</v>
          </cell>
          <cell r="D2280" t="str">
            <v>川维支线</v>
          </cell>
        </row>
        <row r="2281">
          <cell r="A2281" t="str">
            <v>新市铺阀室</v>
          </cell>
          <cell r="B2281" t="str">
            <v>一级</v>
          </cell>
          <cell r="C2281" t="str">
            <v>川气东送管道</v>
          </cell>
          <cell r="D2281" t="str">
            <v>武石化支线</v>
          </cell>
        </row>
        <row r="2282">
          <cell r="A2282" t="str">
            <v>尹家湾阀室</v>
          </cell>
          <cell r="B2282" t="str">
            <v>一级</v>
          </cell>
          <cell r="C2282" t="str">
            <v>川气东送管道</v>
          </cell>
          <cell r="D2282" t="str">
            <v>武石化支线</v>
          </cell>
        </row>
        <row r="2283">
          <cell r="A2283" t="str">
            <v>五里界输气站</v>
          </cell>
          <cell r="B2283" t="str">
            <v>一级</v>
          </cell>
          <cell r="C2283" t="str">
            <v>川气东送管道</v>
          </cell>
          <cell r="D2283" t="str">
            <v>武石化支线</v>
          </cell>
        </row>
        <row r="2284">
          <cell r="A2284" t="str">
            <v>前河湾阀室</v>
          </cell>
          <cell r="B2284" t="str">
            <v>一级</v>
          </cell>
          <cell r="C2284" t="str">
            <v>川气东送管道</v>
          </cell>
          <cell r="D2284" t="str">
            <v>武石化支线</v>
          </cell>
        </row>
        <row r="2285">
          <cell r="A2285" t="str">
            <v>栗庙阀室</v>
          </cell>
          <cell r="B2285" t="str">
            <v>一级</v>
          </cell>
          <cell r="C2285" t="str">
            <v>川气东送管道</v>
          </cell>
          <cell r="D2285" t="str">
            <v>武石化支线</v>
          </cell>
        </row>
        <row r="2286">
          <cell r="A2286" t="str">
            <v>郑黄湾阀室</v>
          </cell>
          <cell r="B2286" t="str">
            <v>一级</v>
          </cell>
          <cell r="C2286" t="str">
            <v>川气东送管道</v>
          </cell>
          <cell r="D2286" t="str">
            <v>武石化支线</v>
          </cell>
        </row>
        <row r="2287">
          <cell r="A2287" t="str">
            <v>兰家湾阀室</v>
          </cell>
          <cell r="B2287" t="str">
            <v>一级</v>
          </cell>
          <cell r="C2287" t="str">
            <v>川气东送管道</v>
          </cell>
          <cell r="D2287" t="str">
            <v>武石化支线</v>
          </cell>
        </row>
        <row r="2288">
          <cell r="A2288" t="str">
            <v>鲍家村阀室</v>
          </cell>
          <cell r="B2288" t="str">
            <v>一级</v>
          </cell>
          <cell r="C2288" t="str">
            <v>川气东送管道</v>
          </cell>
          <cell r="D2288" t="str">
            <v>武石化支线</v>
          </cell>
        </row>
        <row r="2289">
          <cell r="A2289" t="str">
            <v>后山村阀室</v>
          </cell>
          <cell r="B2289" t="str">
            <v>一级</v>
          </cell>
          <cell r="C2289" t="str">
            <v>川气东送管道</v>
          </cell>
          <cell r="D2289" t="str">
            <v>武石化支线</v>
          </cell>
        </row>
        <row r="2290">
          <cell r="A2290" t="str">
            <v>武钢输气站</v>
          </cell>
          <cell r="B2290" t="str">
            <v>一级</v>
          </cell>
          <cell r="C2290" t="str">
            <v>川气东送管道</v>
          </cell>
          <cell r="D2290" t="str">
            <v>武石化支线</v>
          </cell>
        </row>
        <row r="2291">
          <cell r="A2291" t="str">
            <v>武汉乙烯输气站</v>
          </cell>
          <cell r="B2291" t="str">
            <v>一级</v>
          </cell>
          <cell r="C2291" t="str">
            <v>川气东送管道</v>
          </cell>
          <cell r="D2291" t="str">
            <v>武石化支线</v>
          </cell>
        </row>
        <row r="2292">
          <cell r="A2292" t="str">
            <v>杨柳湖阀室</v>
          </cell>
          <cell r="B2292" t="str">
            <v>一级</v>
          </cell>
          <cell r="C2292" t="str">
            <v>川气东送管道</v>
          </cell>
          <cell r="D2292" t="str">
            <v>江西支线</v>
          </cell>
        </row>
        <row r="2293">
          <cell r="A2293" t="str">
            <v>唐家湾阀室</v>
          </cell>
          <cell r="B2293" t="str">
            <v>一级</v>
          </cell>
          <cell r="C2293" t="str">
            <v>川气东送管道</v>
          </cell>
          <cell r="D2293" t="str">
            <v>江西支线</v>
          </cell>
        </row>
        <row r="2294">
          <cell r="A2294" t="str">
            <v>胡营村阀室</v>
          </cell>
          <cell r="B2294" t="str">
            <v>一级</v>
          </cell>
          <cell r="C2294" t="str">
            <v>川气东送管道</v>
          </cell>
          <cell r="D2294" t="str">
            <v>江西支线</v>
          </cell>
        </row>
        <row r="2295">
          <cell r="A2295" t="str">
            <v>九江输气站</v>
          </cell>
          <cell r="B2295" t="str">
            <v>一级</v>
          </cell>
          <cell r="C2295" t="str">
            <v>川气东送管道</v>
          </cell>
          <cell r="D2295" t="str">
            <v>江西支线</v>
          </cell>
        </row>
        <row r="2296">
          <cell r="A2296" t="str">
            <v>殷村阀室</v>
          </cell>
          <cell r="B2296" t="str">
            <v>一级</v>
          </cell>
          <cell r="C2296" t="str">
            <v>川气东送管道</v>
          </cell>
          <cell r="D2296" t="str">
            <v>南京支线</v>
          </cell>
        </row>
        <row r="2297">
          <cell r="A2297" t="str">
            <v>社渚阀室</v>
          </cell>
          <cell r="B2297" t="str">
            <v>一级</v>
          </cell>
          <cell r="C2297" t="str">
            <v>川气东送管道</v>
          </cell>
          <cell r="D2297" t="str">
            <v>南京支线</v>
          </cell>
        </row>
        <row r="2298">
          <cell r="A2298" t="str">
            <v>南渡阀室</v>
          </cell>
          <cell r="B2298" t="str">
            <v>一级</v>
          </cell>
          <cell r="C2298" t="str">
            <v>川气东送管道</v>
          </cell>
          <cell r="D2298" t="str">
            <v>南京支线</v>
          </cell>
        </row>
        <row r="2299">
          <cell r="A2299" t="str">
            <v>竹箦阀室</v>
          </cell>
          <cell r="B2299" t="str">
            <v>一级</v>
          </cell>
          <cell r="C2299" t="str">
            <v>川气东送管道</v>
          </cell>
          <cell r="D2299" t="str">
            <v>南京支线</v>
          </cell>
        </row>
        <row r="2300">
          <cell r="A2300" t="str">
            <v>张家村阀室</v>
          </cell>
          <cell r="B2300" t="str">
            <v>一级</v>
          </cell>
          <cell r="C2300" t="str">
            <v>川气东送管道</v>
          </cell>
          <cell r="D2300" t="str">
            <v>南京支线</v>
          </cell>
        </row>
        <row r="2301">
          <cell r="A2301" t="str">
            <v>金坛输气站</v>
          </cell>
          <cell r="B2301" t="str">
            <v>一级</v>
          </cell>
          <cell r="C2301" t="str">
            <v>川气东送管道</v>
          </cell>
          <cell r="D2301" t="str">
            <v>南京支线</v>
          </cell>
        </row>
        <row r="2302">
          <cell r="A2302" t="str">
            <v>宝堰阀室</v>
          </cell>
          <cell r="B2302" t="str">
            <v>一级</v>
          </cell>
          <cell r="C2302" t="str">
            <v>川气东送管道</v>
          </cell>
          <cell r="D2302" t="str">
            <v>南京支线</v>
          </cell>
        </row>
        <row r="2303">
          <cell r="A2303" t="str">
            <v>上党输气站</v>
          </cell>
          <cell r="B2303" t="str">
            <v>一级</v>
          </cell>
          <cell r="C2303" t="str">
            <v>川气东送管道</v>
          </cell>
          <cell r="D2303" t="str">
            <v>南京支线</v>
          </cell>
        </row>
        <row r="2304">
          <cell r="A2304" t="str">
            <v>石马阀室</v>
          </cell>
          <cell r="B2304" t="str">
            <v>一级</v>
          </cell>
          <cell r="C2304" t="str">
            <v>川气东送管道</v>
          </cell>
          <cell r="D2304" t="str">
            <v>南京支线</v>
          </cell>
        </row>
        <row r="2305">
          <cell r="A2305" t="str">
            <v>桥头阀室</v>
          </cell>
          <cell r="B2305" t="str">
            <v>一级</v>
          </cell>
          <cell r="C2305" t="str">
            <v>川气东送管道</v>
          </cell>
          <cell r="D2305" t="str">
            <v>南京支线</v>
          </cell>
        </row>
        <row r="2306">
          <cell r="A2306" t="str">
            <v>龙潭输气站</v>
          </cell>
          <cell r="B2306" t="str">
            <v>一级</v>
          </cell>
          <cell r="C2306" t="str">
            <v>川气东送管道</v>
          </cell>
          <cell r="D2306" t="str">
            <v>南京支线</v>
          </cell>
        </row>
        <row r="2307">
          <cell r="A2307" t="str">
            <v>永安洲阀室</v>
          </cell>
          <cell r="B2307" t="str">
            <v>一级</v>
          </cell>
          <cell r="C2307" t="str">
            <v>川气东送管道</v>
          </cell>
          <cell r="D2307" t="str">
            <v>南京支线</v>
          </cell>
        </row>
        <row r="2308">
          <cell r="A2308" t="str">
            <v>南京输气站</v>
          </cell>
          <cell r="B2308" t="str">
            <v>一级</v>
          </cell>
          <cell r="C2308" t="str">
            <v>川气东送管道</v>
          </cell>
          <cell r="D2308" t="str">
            <v>南京支线</v>
          </cell>
        </row>
        <row r="2309">
          <cell r="A2309" t="str">
            <v>船董阀室</v>
          </cell>
          <cell r="B2309" t="str">
            <v>一级</v>
          </cell>
          <cell r="C2309" t="str">
            <v>川气东送管道</v>
          </cell>
          <cell r="D2309" t="str">
            <v>南京支线</v>
          </cell>
        </row>
        <row r="2310">
          <cell r="A2310" t="str">
            <v>扬子石化输气站</v>
          </cell>
          <cell r="B2310" t="str">
            <v>一级</v>
          </cell>
          <cell r="C2310" t="str">
            <v>川气东送管道</v>
          </cell>
          <cell r="D2310" t="str">
            <v>南京支线</v>
          </cell>
        </row>
        <row r="2311">
          <cell r="A2311" t="str">
            <v>摄山阀室</v>
          </cell>
          <cell r="B2311" t="str">
            <v>一级</v>
          </cell>
          <cell r="C2311" t="str">
            <v>川气东送管道</v>
          </cell>
          <cell r="D2311" t="str">
            <v>金陵支线</v>
          </cell>
        </row>
        <row r="2312">
          <cell r="A2312" t="str">
            <v>金陵输气站</v>
          </cell>
          <cell r="B2312" t="str">
            <v>一级</v>
          </cell>
          <cell r="C2312" t="str">
            <v>川气东送管道</v>
          </cell>
          <cell r="D2312" t="str">
            <v>金陵支线</v>
          </cell>
        </row>
        <row r="2313">
          <cell r="A2313" t="str">
            <v>西气东输一线青山分输清管站</v>
          </cell>
          <cell r="B2313" t="str">
            <v>一级</v>
          </cell>
          <cell r="C2313" t="str">
            <v>川气东送管道</v>
          </cell>
          <cell r="D2313" t="str">
            <v>西一线联络线</v>
          </cell>
        </row>
        <row r="2314">
          <cell r="A2314" t="str">
            <v>周桥村阀室</v>
          </cell>
          <cell r="B2314" t="str">
            <v>一级</v>
          </cell>
          <cell r="C2314" t="str">
            <v>川气东送管道</v>
          </cell>
          <cell r="D2314" t="str">
            <v>江汉储气库联络线</v>
          </cell>
        </row>
        <row r="2315">
          <cell r="A2315" t="str">
            <v>莲市村阀室</v>
          </cell>
          <cell r="B2315" t="str">
            <v>一级</v>
          </cell>
          <cell r="C2315" t="str">
            <v>川气东送管道</v>
          </cell>
          <cell r="D2315" t="str">
            <v>江汉储气库联络线</v>
          </cell>
        </row>
        <row r="2316">
          <cell r="A2316" t="str">
            <v>工农村阀室</v>
          </cell>
          <cell r="B2316" t="str">
            <v>一级</v>
          </cell>
          <cell r="C2316" t="str">
            <v>川气东送管道</v>
          </cell>
          <cell r="D2316" t="str">
            <v>江汉储气库联络线</v>
          </cell>
        </row>
        <row r="2317">
          <cell r="A2317" t="str">
            <v>周叽阀室</v>
          </cell>
          <cell r="B2317" t="str">
            <v>一级</v>
          </cell>
          <cell r="C2317" t="str">
            <v>川气东送管道</v>
          </cell>
          <cell r="D2317" t="str">
            <v>江汉储气库联络线</v>
          </cell>
        </row>
        <row r="2318">
          <cell r="A2318" t="str">
            <v>储气库集注站</v>
          </cell>
          <cell r="B2318" t="str">
            <v>一级</v>
          </cell>
          <cell r="C2318" t="str">
            <v>川气东送管道</v>
          </cell>
          <cell r="D2318" t="str">
            <v>江汉储气库联络线</v>
          </cell>
        </row>
        <row r="2319">
          <cell r="A2319" t="str">
            <v>元坝首站</v>
          </cell>
          <cell r="B2319" t="str">
            <v>二级</v>
          </cell>
          <cell r="C2319" t="str">
            <v>川东北-川西管道</v>
          </cell>
          <cell r="D2319" t="str">
            <v>川东北-川西管道干线</v>
          </cell>
        </row>
        <row r="2320">
          <cell r="A2320" t="str">
            <v>川东北8#阀室</v>
          </cell>
          <cell r="B2320" t="str">
            <v>二级</v>
          </cell>
          <cell r="C2320" t="str">
            <v>川东北-川西管道</v>
          </cell>
          <cell r="D2320" t="str">
            <v>川东北-川西管道干线</v>
          </cell>
        </row>
        <row r="2321">
          <cell r="A2321" t="str">
            <v>川东北7#阀室</v>
          </cell>
          <cell r="B2321" t="str">
            <v>二级</v>
          </cell>
          <cell r="C2321" t="str">
            <v>川东北-川西管道</v>
          </cell>
          <cell r="D2321" t="str">
            <v>川东北-川西管道干线</v>
          </cell>
        </row>
        <row r="2322">
          <cell r="A2322" t="str">
            <v>川东北6#阀室</v>
          </cell>
          <cell r="B2322" t="str">
            <v>二级</v>
          </cell>
          <cell r="C2322" t="str">
            <v>川东北-川西管道</v>
          </cell>
          <cell r="D2322" t="str">
            <v>川东北-川西管道干线</v>
          </cell>
        </row>
        <row r="2323">
          <cell r="A2323" t="str">
            <v>川东北5#阀室</v>
          </cell>
          <cell r="B2323" t="str">
            <v>二级</v>
          </cell>
          <cell r="C2323" t="str">
            <v>川东北-川西管道</v>
          </cell>
          <cell r="D2323" t="str">
            <v>川东北-川西管道干线</v>
          </cell>
        </row>
        <row r="2324">
          <cell r="A2324" t="str">
            <v>川东北4#阀室</v>
          </cell>
          <cell r="B2324" t="str">
            <v>二级</v>
          </cell>
          <cell r="C2324" t="str">
            <v>川东北-川西管道</v>
          </cell>
          <cell r="D2324" t="str">
            <v>川东北-川西管道干线</v>
          </cell>
        </row>
        <row r="2325">
          <cell r="A2325" t="str">
            <v>平昌分输站</v>
          </cell>
          <cell r="B2325" t="str">
            <v>二级</v>
          </cell>
          <cell r="C2325" t="str">
            <v>川东北-川西管道</v>
          </cell>
          <cell r="D2325" t="str">
            <v>川东北-川西管道干线</v>
          </cell>
        </row>
        <row r="2326">
          <cell r="A2326" t="str">
            <v>川东北3#阀室</v>
          </cell>
          <cell r="B2326" t="str">
            <v>二级</v>
          </cell>
          <cell r="C2326" t="str">
            <v>川东北-川西管道</v>
          </cell>
          <cell r="D2326" t="str">
            <v>川东北-川西管道干线</v>
          </cell>
        </row>
        <row r="2327">
          <cell r="A2327" t="str">
            <v>川东北2#阀室</v>
          </cell>
          <cell r="B2327" t="str">
            <v>二级</v>
          </cell>
          <cell r="C2327" t="str">
            <v>川东北-川西管道</v>
          </cell>
          <cell r="D2327" t="str">
            <v>川东北-川西管道干线</v>
          </cell>
        </row>
        <row r="2328">
          <cell r="A2328" t="str">
            <v>川东北1#阀室</v>
          </cell>
          <cell r="B2328" t="str">
            <v>二级</v>
          </cell>
          <cell r="C2328" t="str">
            <v>川东北-川西管道</v>
          </cell>
          <cell r="D2328" t="str">
            <v>川东北-川西管道干线</v>
          </cell>
        </row>
        <row r="2329">
          <cell r="A2329" t="str">
            <v>川东北普光首站</v>
          </cell>
          <cell r="B2329" t="str">
            <v>二级</v>
          </cell>
          <cell r="C2329" t="str">
            <v>川东北-川西管道</v>
          </cell>
          <cell r="D2329" t="str">
            <v>川东北-川西管道干线</v>
          </cell>
        </row>
        <row r="2330">
          <cell r="A2330" t="str">
            <v>涪陵输气站</v>
          </cell>
          <cell r="B2330" t="str">
            <v>一级</v>
          </cell>
          <cell r="C2330" t="str">
            <v>重庆管道</v>
          </cell>
          <cell r="D2330" t="str">
            <v>涪王线</v>
          </cell>
        </row>
        <row r="2331">
          <cell r="A2331" t="str">
            <v>涪陵增压站</v>
          </cell>
          <cell r="B2331" t="str">
            <v>一级</v>
          </cell>
          <cell r="C2331" t="str">
            <v>重庆管道</v>
          </cell>
          <cell r="D2331" t="str">
            <v>涪王线</v>
          </cell>
        </row>
        <row r="2332">
          <cell r="A2332" t="str">
            <v>1#焦石阀室</v>
          </cell>
          <cell r="B2332" t="str">
            <v>一级</v>
          </cell>
          <cell r="C2332" t="str">
            <v>重庆管道</v>
          </cell>
          <cell r="D2332" t="str">
            <v>涪王线</v>
          </cell>
        </row>
        <row r="2333">
          <cell r="A2333" t="str">
            <v>2#罗云阀室</v>
          </cell>
          <cell r="B2333" t="str">
            <v>一级</v>
          </cell>
          <cell r="C2333" t="str">
            <v>重庆管道</v>
          </cell>
          <cell r="D2333" t="str">
            <v>涪王线</v>
          </cell>
        </row>
        <row r="2334">
          <cell r="A2334" t="str">
            <v>3#双路阀室</v>
          </cell>
          <cell r="B2334" t="str">
            <v>一级</v>
          </cell>
          <cell r="C2334" t="str">
            <v>重庆管道</v>
          </cell>
          <cell r="D2334" t="str">
            <v>涪王线</v>
          </cell>
        </row>
        <row r="2335">
          <cell r="A2335" t="str">
            <v>4#兴义阀室</v>
          </cell>
          <cell r="B2335" t="str">
            <v>一级</v>
          </cell>
          <cell r="C2335" t="str">
            <v>重庆管道</v>
          </cell>
          <cell r="D2335" t="str">
            <v>涪王线</v>
          </cell>
        </row>
        <row r="2336">
          <cell r="A2336" t="str">
            <v>5#龙孔阀室</v>
          </cell>
          <cell r="B2336" t="str">
            <v>一级</v>
          </cell>
          <cell r="C2336" t="str">
            <v>重庆管道</v>
          </cell>
          <cell r="D2336" t="str">
            <v>涪王线</v>
          </cell>
        </row>
        <row r="2337">
          <cell r="A2337" t="str">
            <v>6#曹家阀室</v>
          </cell>
          <cell r="B2337" t="str">
            <v>一级</v>
          </cell>
          <cell r="C2337" t="str">
            <v>重庆管道</v>
          </cell>
          <cell r="D2337" t="str">
            <v>涪王线</v>
          </cell>
        </row>
        <row r="2338">
          <cell r="A2338" t="str">
            <v>7#磨子阀室</v>
          </cell>
          <cell r="B2338" t="str">
            <v>一级</v>
          </cell>
          <cell r="C2338" t="str">
            <v>重庆管道</v>
          </cell>
          <cell r="D2338" t="str">
            <v>涪王线</v>
          </cell>
        </row>
        <row r="2339">
          <cell r="A2339" t="str">
            <v>8#万朝阀室</v>
          </cell>
          <cell r="B2339" t="str">
            <v>一级</v>
          </cell>
          <cell r="C2339" t="str">
            <v>重庆管道</v>
          </cell>
          <cell r="D2339" t="str">
            <v>涪王线</v>
          </cell>
        </row>
        <row r="2340">
          <cell r="A2340" t="str">
            <v>王场输气站</v>
          </cell>
          <cell r="B2340" t="str">
            <v>一级</v>
          </cell>
          <cell r="C2340" t="str">
            <v>重庆管道</v>
          </cell>
          <cell r="D2340" t="str">
            <v>涪王线</v>
          </cell>
        </row>
        <row r="2341">
          <cell r="A2341" t="str">
            <v>南川输气站</v>
          </cell>
          <cell r="B2341" t="str">
            <v>一级</v>
          </cell>
          <cell r="C2341" t="str">
            <v>重庆管道</v>
          </cell>
          <cell r="D2341" t="str">
            <v>南涪线</v>
          </cell>
        </row>
        <row r="2342">
          <cell r="A2342" t="str">
            <v>1#平桥阀室</v>
          </cell>
          <cell r="B2342" t="str">
            <v>一级</v>
          </cell>
          <cell r="C2342" t="str">
            <v>重庆管道</v>
          </cell>
          <cell r="D2342" t="str">
            <v>南涪线</v>
          </cell>
        </row>
        <row r="2343">
          <cell r="A2343" t="str">
            <v>2#鸭江阀室</v>
          </cell>
          <cell r="B2343" t="str">
            <v>一级</v>
          </cell>
          <cell r="C2343" t="str">
            <v>重庆管道</v>
          </cell>
          <cell r="D2343" t="str">
            <v>南涪线</v>
          </cell>
        </row>
        <row r="2344">
          <cell r="A2344" t="str">
            <v>3#白涛阀室</v>
          </cell>
          <cell r="B2344" t="str">
            <v>一级</v>
          </cell>
          <cell r="C2344" t="str">
            <v>重庆管道</v>
          </cell>
          <cell r="D2344" t="str">
            <v>南涪线</v>
          </cell>
        </row>
        <row r="2345">
          <cell r="A2345" t="str">
            <v>4#山窝阀室</v>
          </cell>
          <cell r="B2345" t="str">
            <v>一级</v>
          </cell>
          <cell r="C2345" t="str">
            <v>重庆管道</v>
          </cell>
          <cell r="D2345" t="str">
            <v>南涪线</v>
          </cell>
        </row>
        <row r="2346">
          <cell r="A2346" t="str">
            <v>榆林首站</v>
          </cell>
          <cell r="B2346" t="str">
            <v>一级</v>
          </cell>
          <cell r="C2346" t="str">
            <v>榆济管道</v>
          </cell>
          <cell r="D2346" t="str">
            <v>榆济管道干线</v>
          </cell>
        </row>
        <row r="2347">
          <cell r="A2347" t="str">
            <v>三道沟阀室</v>
          </cell>
          <cell r="B2347" t="str">
            <v>一级</v>
          </cell>
          <cell r="C2347" t="str">
            <v>榆济管道</v>
          </cell>
          <cell r="D2347" t="str">
            <v>榆济管道干线</v>
          </cell>
        </row>
        <row r="2348">
          <cell r="A2348" t="str">
            <v>刘千河阀室</v>
          </cell>
          <cell r="B2348" t="str">
            <v>一级</v>
          </cell>
          <cell r="C2348" t="str">
            <v>榆济管道</v>
          </cell>
          <cell r="D2348" t="str">
            <v>榆济管道干线</v>
          </cell>
        </row>
        <row r="2349">
          <cell r="A2349" t="str">
            <v>方塌阀室</v>
          </cell>
          <cell r="B2349" t="str">
            <v>一级</v>
          </cell>
          <cell r="C2349" t="str">
            <v>榆济管道</v>
          </cell>
          <cell r="D2349" t="str">
            <v>榆济管道干线</v>
          </cell>
        </row>
        <row r="2350">
          <cell r="A2350" t="str">
            <v>孙家峁阀室</v>
          </cell>
          <cell r="B2350" t="str">
            <v>一级</v>
          </cell>
          <cell r="C2350" t="str">
            <v>榆济管道</v>
          </cell>
          <cell r="D2350" t="str">
            <v>榆济管道干线</v>
          </cell>
        </row>
        <row r="2351">
          <cell r="A2351" t="str">
            <v>佳县输气站</v>
          </cell>
          <cell r="B2351" t="str">
            <v>一级</v>
          </cell>
          <cell r="C2351" t="str">
            <v>榆济管道</v>
          </cell>
          <cell r="D2351" t="str">
            <v>榆济管道干线</v>
          </cell>
        </row>
        <row r="2352">
          <cell r="A2352" t="str">
            <v>黄河西阀室</v>
          </cell>
          <cell r="B2352" t="str">
            <v>一级</v>
          </cell>
          <cell r="C2352" t="str">
            <v>榆济管道</v>
          </cell>
          <cell r="D2352" t="str">
            <v>榆济管道干线</v>
          </cell>
        </row>
        <row r="2353">
          <cell r="A2353" t="str">
            <v>黄河东阀室</v>
          </cell>
          <cell r="B2353" t="str">
            <v>一级</v>
          </cell>
          <cell r="C2353" t="str">
            <v>榆济管道</v>
          </cell>
          <cell r="D2353" t="str">
            <v>榆济管道干线</v>
          </cell>
        </row>
        <row r="2354">
          <cell r="A2354" t="str">
            <v>兔坂阀室</v>
          </cell>
          <cell r="B2354" t="str">
            <v>一级</v>
          </cell>
          <cell r="C2354" t="str">
            <v>榆济管道</v>
          </cell>
          <cell r="D2354" t="str">
            <v>榆济管道干线</v>
          </cell>
        </row>
        <row r="2355">
          <cell r="A2355" t="str">
            <v>梁家会阀室</v>
          </cell>
          <cell r="B2355" t="str">
            <v>一级</v>
          </cell>
          <cell r="C2355" t="str">
            <v>榆济管道</v>
          </cell>
          <cell r="D2355" t="str">
            <v>榆济管道干线</v>
          </cell>
        </row>
        <row r="2356">
          <cell r="A2356" t="str">
            <v>安坪阀室</v>
          </cell>
          <cell r="B2356" t="str">
            <v>一级</v>
          </cell>
          <cell r="C2356" t="str">
            <v>榆济管道</v>
          </cell>
          <cell r="D2356" t="str">
            <v>榆济管道干线</v>
          </cell>
        </row>
        <row r="2357">
          <cell r="A2357" t="str">
            <v>高家山阀室</v>
          </cell>
          <cell r="B2357" t="str">
            <v>一级</v>
          </cell>
          <cell r="C2357" t="str">
            <v>榆济管道</v>
          </cell>
          <cell r="D2357" t="str">
            <v>榆济管道干线</v>
          </cell>
        </row>
        <row r="2358">
          <cell r="A2358" t="str">
            <v>方山输气站</v>
          </cell>
          <cell r="B2358" t="str">
            <v>一级</v>
          </cell>
          <cell r="C2358" t="str">
            <v>榆济管道</v>
          </cell>
          <cell r="D2358" t="str">
            <v>榆济管道干线</v>
          </cell>
        </row>
        <row r="2359">
          <cell r="A2359" t="str">
            <v>横梁阀室</v>
          </cell>
          <cell r="B2359" t="str">
            <v>一级</v>
          </cell>
          <cell r="C2359" t="str">
            <v>榆济管道</v>
          </cell>
          <cell r="D2359" t="str">
            <v>榆济管道干线</v>
          </cell>
        </row>
        <row r="2360">
          <cell r="A2360" t="str">
            <v>上楼桥阀室</v>
          </cell>
          <cell r="B2360" t="str">
            <v>一级</v>
          </cell>
          <cell r="C2360" t="str">
            <v>榆济管道</v>
          </cell>
          <cell r="D2360" t="str">
            <v>榆济管道干线</v>
          </cell>
        </row>
        <row r="2361">
          <cell r="A2361" t="str">
            <v>李家湾阀室</v>
          </cell>
          <cell r="B2361" t="str">
            <v>一级</v>
          </cell>
          <cell r="C2361" t="str">
            <v>榆济管道</v>
          </cell>
          <cell r="D2361" t="str">
            <v>榆济管道干线</v>
          </cell>
        </row>
        <row r="2362">
          <cell r="A2362" t="str">
            <v>北偏城阀室</v>
          </cell>
          <cell r="B2362" t="str">
            <v>一级</v>
          </cell>
          <cell r="C2362" t="str">
            <v>榆济管道</v>
          </cell>
          <cell r="D2362" t="str">
            <v>榆济管道干线</v>
          </cell>
        </row>
        <row r="2363">
          <cell r="A2363" t="str">
            <v>汾阳输气站</v>
          </cell>
          <cell r="B2363" t="str">
            <v>一级</v>
          </cell>
          <cell r="C2363" t="str">
            <v>榆济管道</v>
          </cell>
          <cell r="D2363" t="str">
            <v>榆济管道干线</v>
          </cell>
        </row>
        <row r="2364">
          <cell r="A2364" t="str">
            <v>招贤村阀室</v>
          </cell>
          <cell r="B2364" t="str">
            <v>一级</v>
          </cell>
          <cell r="C2364" t="str">
            <v>榆济管道</v>
          </cell>
          <cell r="D2364" t="str">
            <v>榆济管道干线</v>
          </cell>
        </row>
        <row r="2365">
          <cell r="A2365" t="str">
            <v>平遥增压站</v>
          </cell>
          <cell r="B2365" t="str">
            <v>一级</v>
          </cell>
          <cell r="C2365" t="str">
            <v>榆济管道</v>
          </cell>
          <cell r="D2365" t="str">
            <v>榆济管道干线</v>
          </cell>
        </row>
        <row r="2366">
          <cell r="A2366" t="str">
            <v>西源祠阀室</v>
          </cell>
          <cell r="B2366" t="str">
            <v>一级</v>
          </cell>
          <cell r="C2366" t="str">
            <v>榆济管道</v>
          </cell>
          <cell r="D2366" t="str">
            <v>榆济管道干线</v>
          </cell>
        </row>
        <row r="2367">
          <cell r="A2367" t="str">
            <v>石门村阀室</v>
          </cell>
          <cell r="B2367" t="str">
            <v>一级</v>
          </cell>
          <cell r="C2367" t="str">
            <v>榆济管道</v>
          </cell>
          <cell r="D2367" t="str">
            <v>榆济管道干线</v>
          </cell>
        </row>
        <row r="2368">
          <cell r="A2368" t="str">
            <v>杨家峪阀室</v>
          </cell>
          <cell r="B2368" t="str">
            <v>一级</v>
          </cell>
          <cell r="C2368" t="str">
            <v>榆济管道</v>
          </cell>
          <cell r="D2368" t="str">
            <v>榆济管道干线</v>
          </cell>
        </row>
        <row r="2369">
          <cell r="A2369" t="str">
            <v>山交河阀室</v>
          </cell>
          <cell r="B2369" t="str">
            <v>一级</v>
          </cell>
          <cell r="C2369" t="str">
            <v>榆济管道</v>
          </cell>
          <cell r="D2369" t="str">
            <v>榆济管道干线</v>
          </cell>
        </row>
        <row r="2370">
          <cell r="A2370" t="str">
            <v>武乡输气站</v>
          </cell>
          <cell r="B2370" t="str">
            <v>一级</v>
          </cell>
          <cell r="C2370" t="str">
            <v>榆济管道</v>
          </cell>
          <cell r="D2370" t="str">
            <v>榆济管道干线</v>
          </cell>
        </row>
        <row r="2371">
          <cell r="A2371" t="str">
            <v>北社阀室</v>
          </cell>
          <cell r="B2371" t="str">
            <v>一级</v>
          </cell>
          <cell r="C2371" t="str">
            <v>榆济管道</v>
          </cell>
          <cell r="D2371" t="str">
            <v>榆济管道干线</v>
          </cell>
        </row>
        <row r="2372">
          <cell r="A2372" t="str">
            <v>土地垴阀室</v>
          </cell>
          <cell r="B2372" t="str">
            <v>一级</v>
          </cell>
          <cell r="C2372" t="str">
            <v>榆济管道</v>
          </cell>
          <cell r="D2372" t="str">
            <v>榆济管道干线</v>
          </cell>
        </row>
        <row r="2373">
          <cell r="A2373" t="str">
            <v>平头阀室</v>
          </cell>
          <cell r="B2373" t="str">
            <v>一级</v>
          </cell>
          <cell r="C2373" t="str">
            <v>榆济管道</v>
          </cell>
          <cell r="D2373" t="str">
            <v>榆济管道干线</v>
          </cell>
        </row>
        <row r="2374">
          <cell r="A2374" t="str">
            <v>黎城输气站</v>
          </cell>
          <cell r="B2374" t="str">
            <v>一级</v>
          </cell>
          <cell r="C2374" t="str">
            <v>榆济管道</v>
          </cell>
          <cell r="D2374" t="str">
            <v>榆济管道干线</v>
          </cell>
        </row>
        <row r="2375">
          <cell r="A2375" t="str">
            <v>岩井阀室</v>
          </cell>
          <cell r="B2375" t="str">
            <v>一级</v>
          </cell>
          <cell r="C2375" t="str">
            <v>榆济管道</v>
          </cell>
          <cell r="D2375" t="str">
            <v>榆济管道干线</v>
          </cell>
        </row>
        <row r="2376">
          <cell r="A2376" t="str">
            <v>阳高阀室</v>
          </cell>
          <cell r="B2376" t="str">
            <v>一级</v>
          </cell>
          <cell r="C2376" t="str">
            <v>榆济管道</v>
          </cell>
          <cell r="D2376" t="str">
            <v>榆济管道干线</v>
          </cell>
        </row>
        <row r="2377">
          <cell r="A2377" t="str">
            <v>龙门阀室</v>
          </cell>
          <cell r="B2377" t="str">
            <v>一级</v>
          </cell>
          <cell r="C2377" t="str">
            <v>榆济管道</v>
          </cell>
          <cell r="D2377" t="str">
            <v>榆济管道干线</v>
          </cell>
        </row>
        <row r="2378">
          <cell r="A2378" t="str">
            <v>遮峪阀室</v>
          </cell>
          <cell r="B2378" t="str">
            <v>一级</v>
          </cell>
          <cell r="C2378" t="str">
            <v>榆济管道</v>
          </cell>
          <cell r="D2378" t="str">
            <v>榆济管道干线</v>
          </cell>
        </row>
        <row r="2379">
          <cell r="A2379" t="str">
            <v>任村阀室</v>
          </cell>
          <cell r="B2379" t="str">
            <v>一级</v>
          </cell>
          <cell r="C2379" t="str">
            <v>榆济管道</v>
          </cell>
          <cell r="D2379" t="str">
            <v>榆济管道干线</v>
          </cell>
        </row>
        <row r="2380">
          <cell r="A2380" t="str">
            <v>东水阀室</v>
          </cell>
          <cell r="B2380" t="str">
            <v>一级</v>
          </cell>
          <cell r="C2380" t="str">
            <v>榆济管道</v>
          </cell>
          <cell r="D2380" t="str">
            <v>榆济管道干线</v>
          </cell>
        </row>
        <row r="2381">
          <cell r="A2381" t="str">
            <v>孙家岗阀室</v>
          </cell>
          <cell r="B2381" t="str">
            <v>一级</v>
          </cell>
          <cell r="C2381" t="str">
            <v>榆济管道</v>
          </cell>
          <cell r="D2381" t="str">
            <v>榆济管道干线</v>
          </cell>
        </row>
        <row r="2382">
          <cell r="A2382" t="str">
            <v>安阳输气站</v>
          </cell>
          <cell r="B2382" t="str">
            <v>一级</v>
          </cell>
          <cell r="C2382" t="str">
            <v>榆济管道</v>
          </cell>
          <cell r="D2382" t="str">
            <v>榆济管道干线</v>
          </cell>
        </row>
        <row r="2383">
          <cell r="A2383" t="str">
            <v>高村阀室</v>
          </cell>
          <cell r="B2383" t="str">
            <v>一级</v>
          </cell>
          <cell r="C2383" t="str">
            <v>榆济管道</v>
          </cell>
          <cell r="D2383" t="str">
            <v>榆济管道干线</v>
          </cell>
        </row>
        <row r="2384">
          <cell r="A2384" t="str">
            <v>北豆供阀室</v>
          </cell>
          <cell r="B2384" t="str">
            <v>一级</v>
          </cell>
          <cell r="C2384" t="str">
            <v>榆济管道</v>
          </cell>
          <cell r="D2384" t="str">
            <v>榆济管道干线</v>
          </cell>
        </row>
        <row r="2385">
          <cell r="A2385" t="str">
            <v>东同住阀室</v>
          </cell>
          <cell r="B2385" t="str">
            <v>一级</v>
          </cell>
          <cell r="C2385" t="str">
            <v>榆济管道</v>
          </cell>
          <cell r="D2385" t="str">
            <v>榆济管道干线</v>
          </cell>
        </row>
        <row r="2386">
          <cell r="A2386" t="str">
            <v>榆济线南乐站</v>
          </cell>
          <cell r="B2386" t="str">
            <v>一级</v>
          </cell>
          <cell r="C2386" t="str">
            <v>榆济管道</v>
          </cell>
          <cell r="D2386" t="str">
            <v>榆济管道干线</v>
          </cell>
        </row>
        <row r="2387">
          <cell r="A2387" t="str">
            <v>宋耿落阀室</v>
          </cell>
          <cell r="B2387" t="str">
            <v>一级</v>
          </cell>
          <cell r="C2387" t="str">
            <v>榆济管道</v>
          </cell>
          <cell r="D2387" t="str">
            <v>榆济管道干线</v>
          </cell>
        </row>
        <row r="2388">
          <cell r="A2388" t="str">
            <v>韩楼阀室</v>
          </cell>
          <cell r="B2388" t="str">
            <v>一级</v>
          </cell>
          <cell r="C2388" t="str">
            <v>榆济管道</v>
          </cell>
          <cell r="D2388" t="str">
            <v>榆济管道干线</v>
          </cell>
        </row>
        <row r="2389">
          <cell r="A2389" t="str">
            <v>后刘家阀室</v>
          </cell>
          <cell r="B2389" t="str">
            <v>一级</v>
          </cell>
          <cell r="C2389" t="str">
            <v>榆济管道</v>
          </cell>
          <cell r="D2389" t="str">
            <v>榆济管道干线</v>
          </cell>
        </row>
        <row r="2390">
          <cell r="A2390" t="str">
            <v>聊城西输气站</v>
          </cell>
          <cell r="B2390" t="str">
            <v>一级</v>
          </cell>
          <cell r="C2390" t="str">
            <v>榆济管道</v>
          </cell>
          <cell r="D2390" t="str">
            <v>榆济管道干线</v>
          </cell>
        </row>
        <row r="2391">
          <cell r="A2391" t="str">
            <v>郭庄阀室</v>
          </cell>
          <cell r="B2391" t="str">
            <v>一级</v>
          </cell>
          <cell r="C2391" t="str">
            <v>榆济管道</v>
          </cell>
          <cell r="D2391" t="str">
            <v>榆济管道干线</v>
          </cell>
        </row>
        <row r="2392">
          <cell r="A2392" t="str">
            <v>金庄阀室</v>
          </cell>
          <cell r="B2392" t="str">
            <v>一级</v>
          </cell>
          <cell r="C2392" t="str">
            <v>榆济管道</v>
          </cell>
          <cell r="D2392" t="str">
            <v>榆济管道干线</v>
          </cell>
        </row>
        <row r="2393">
          <cell r="A2393" t="str">
            <v>望鲁店阀室</v>
          </cell>
          <cell r="B2393" t="str">
            <v>一级</v>
          </cell>
          <cell r="C2393" t="str">
            <v>榆济管道</v>
          </cell>
          <cell r="D2393" t="str">
            <v>榆济管道干线</v>
          </cell>
        </row>
        <row r="2394">
          <cell r="A2394" t="str">
            <v>孟店阀室</v>
          </cell>
          <cell r="B2394" t="str">
            <v>一级</v>
          </cell>
          <cell r="C2394" t="str">
            <v>榆济管道</v>
          </cell>
          <cell r="D2394" t="str">
            <v>榆济管道干线</v>
          </cell>
        </row>
        <row r="2395">
          <cell r="A2395" t="str">
            <v>齐河输气站</v>
          </cell>
          <cell r="B2395" t="str">
            <v>一级</v>
          </cell>
          <cell r="C2395" t="str">
            <v>榆济管道</v>
          </cell>
          <cell r="D2395" t="str">
            <v>榆济管道干线</v>
          </cell>
        </row>
        <row r="2396">
          <cell r="A2396" t="str">
            <v>宣章屯输气站（中石化）</v>
          </cell>
          <cell r="B2396" t="str">
            <v>一级</v>
          </cell>
          <cell r="C2396" t="str">
            <v>榆济管道</v>
          </cell>
          <cell r="D2396" t="str">
            <v>榆济管道干线</v>
          </cell>
        </row>
        <row r="2397">
          <cell r="A2397" t="str">
            <v>乔界阀室</v>
          </cell>
          <cell r="B2397" t="str">
            <v>一级</v>
          </cell>
          <cell r="C2397" t="str">
            <v>榆济管道</v>
          </cell>
          <cell r="D2397" t="str">
            <v>榆麻支线</v>
          </cell>
        </row>
        <row r="2398">
          <cell r="A2398" t="str">
            <v>麻黄梁末站</v>
          </cell>
          <cell r="B2398" t="str">
            <v>一级</v>
          </cell>
          <cell r="C2398" t="str">
            <v>榆济管道</v>
          </cell>
          <cell r="D2398" t="str">
            <v>榆麻支线</v>
          </cell>
        </row>
        <row r="2399">
          <cell r="A2399" t="str">
            <v>安济线安平站</v>
          </cell>
          <cell r="B2399" t="str">
            <v>一级</v>
          </cell>
          <cell r="C2399" t="str">
            <v>安济线</v>
          </cell>
          <cell r="D2399" t="str">
            <v>安济线</v>
          </cell>
        </row>
        <row r="2400">
          <cell r="A2400" t="str">
            <v>黄城乡阀室</v>
          </cell>
          <cell r="B2400" t="str">
            <v>一级</v>
          </cell>
          <cell r="C2400" t="str">
            <v>安济线</v>
          </cell>
          <cell r="D2400" t="str">
            <v>安济线</v>
          </cell>
        </row>
        <row r="2401">
          <cell r="A2401" t="str">
            <v>辰时阀室</v>
          </cell>
          <cell r="B2401" t="str">
            <v>一级</v>
          </cell>
          <cell r="C2401" t="str">
            <v>安济线</v>
          </cell>
          <cell r="D2401" t="str">
            <v>安济线</v>
          </cell>
        </row>
        <row r="2402">
          <cell r="A2402" t="str">
            <v>圈头乡阀室</v>
          </cell>
          <cell r="B2402" t="str">
            <v>一级</v>
          </cell>
          <cell r="C2402" t="str">
            <v>安济线</v>
          </cell>
          <cell r="D2402" t="str">
            <v>安济线</v>
          </cell>
        </row>
        <row r="2403">
          <cell r="A2403" t="str">
            <v>衡水输气站</v>
          </cell>
          <cell r="B2403" t="str">
            <v>一级</v>
          </cell>
          <cell r="C2403" t="str">
            <v>安济线</v>
          </cell>
          <cell r="D2403" t="str">
            <v>安济线</v>
          </cell>
        </row>
        <row r="2404">
          <cell r="A2404" t="str">
            <v>紫塔乡阀室</v>
          </cell>
          <cell r="B2404" t="str">
            <v>一级</v>
          </cell>
          <cell r="C2404" t="str">
            <v>安济线</v>
          </cell>
          <cell r="D2404" t="str">
            <v>安济线</v>
          </cell>
        </row>
        <row r="2405">
          <cell r="A2405" t="str">
            <v>王谦寺阀室阀室</v>
          </cell>
          <cell r="B2405" t="str">
            <v>一级</v>
          </cell>
          <cell r="C2405" t="str">
            <v>安济线</v>
          </cell>
          <cell r="D2405" t="str">
            <v>安济线</v>
          </cell>
        </row>
        <row r="2406">
          <cell r="A2406" t="str">
            <v>北留智乡阀室</v>
          </cell>
          <cell r="B2406" t="str">
            <v>一级</v>
          </cell>
          <cell r="C2406" t="str">
            <v>安济线</v>
          </cell>
          <cell r="D2406" t="str">
            <v>安济线</v>
          </cell>
        </row>
        <row r="2407">
          <cell r="A2407" t="str">
            <v>二屯乡阀室</v>
          </cell>
          <cell r="B2407" t="str">
            <v>一级</v>
          </cell>
          <cell r="C2407" t="str">
            <v>安济线</v>
          </cell>
          <cell r="D2407" t="str">
            <v>安济线</v>
          </cell>
        </row>
        <row r="2408">
          <cell r="A2408" t="str">
            <v>赵虎乡阀室</v>
          </cell>
          <cell r="B2408" t="str">
            <v>一级</v>
          </cell>
          <cell r="C2408" t="str">
            <v>安济线</v>
          </cell>
          <cell r="D2408" t="str">
            <v>安济线</v>
          </cell>
        </row>
        <row r="2409">
          <cell r="A2409" t="str">
            <v>德州输气站</v>
          </cell>
          <cell r="B2409" t="str">
            <v>一级</v>
          </cell>
          <cell r="C2409" t="str">
            <v>安济线</v>
          </cell>
          <cell r="D2409" t="str">
            <v>安济线</v>
          </cell>
        </row>
        <row r="2410">
          <cell r="A2410" t="str">
            <v>王凤楼阀室</v>
          </cell>
          <cell r="B2410" t="str">
            <v>一级</v>
          </cell>
          <cell r="C2410" t="str">
            <v>安济线</v>
          </cell>
          <cell r="D2410" t="str">
            <v>安济线</v>
          </cell>
        </row>
        <row r="2411">
          <cell r="A2411" t="str">
            <v>辛店阀室</v>
          </cell>
          <cell r="B2411" t="str">
            <v>一级</v>
          </cell>
          <cell r="C2411" t="str">
            <v>安济线</v>
          </cell>
          <cell r="D2411" t="str">
            <v>安济线</v>
          </cell>
        </row>
        <row r="2412">
          <cell r="A2412" t="str">
            <v>大黄乡阀室</v>
          </cell>
          <cell r="B2412" t="str">
            <v>一级</v>
          </cell>
          <cell r="C2412" t="str">
            <v>安济线</v>
          </cell>
          <cell r="D2412" t="str">
            <v>安济线</v>
          </cell>
        </row>
        <row r="2413">
          <cell r="A2413" t="str">
            <v>宣章屯输气站（中石化）</v>
          </cell>
          <cell r="B2413" t="str">
            <v>一级</v>
          </cell>
          <cell r="C2413" t="str">
            <v>安济线</v>
          </cell>
          <cell r="D2413" t="str">
            <v>安济线</v>
          </cell>
        </row>
        <row r="2414">
          <cell r="A2414" t="str">
            <v>齐河站（中石化）</v>
          </cell>
          <cell r="B2414" t="str">
            <v>一级</v>
          </cell>
          <cell r="C2414" t="str">
            <v>济青二线</v>
          </cell>
          <cell r="D2414" t="str">
            <v>济青二线干线</v>
          </cell>
        </row>
        <row r="2415">
          <cell r="A2415" t="str">
            <v>晏城阀室</v>
          </cell>
          <cell r="B2415" t="str">
            <v>一级</v>
          </cell>
          <cell r="C2415" t="str">
            <v>济青二线</v>
          </cell>
          <cell r="D2415" t="str">
            <v>济青二线干线</v>
          </cell>
        </row>
        <row r="2416">
          <cell r="A2416" t="str">
            <v>孙耿阀室</v>
          </cell>
          <cell r="B2416" t="str">
            <v>一级</v>
          </cell>
          <cell r="C2416" t="str">
            <v>济青二线</v>
          </cell>
          <cell r="D2416" t="str">
            <v>济青二线干线</v>
          </cell>
        </row>
        <row r="2417">
          <cell r="A2417" t="str">
            <v>济阳站</v>
          </cell>
          <cell r="B2417" t="str">
            <v>一级</v>
          </cell>
          <cell r="C2417" t="str">
            <v>济青二线</v>
          </cell>
          <cell r="D2417" t="str">
            <v>济青二线干线</v>
          </cell>
        </row>
        <row r="2418">
          <cell r="A2418" t="str">
            <v>北高居阀室</v>
          </cell>
          <cell r="B2418" t="str">
            <v>一级</v>
          </cell>
          <cell r="C2418" t="str">
            <v>济青二线</v>
          </cell>
          <cell r="D2418" t="str">
            <v>济青二线干线</v>
          </cell>
        </row>
        <row r="2419">
          <cell r="A2419" t="str">
            <v>王寨阀室</v>
          </cell>
          <cell r="B2419" t="str">
            <v>一级</v>
          </cell>
          <cell r="C2419" t="str">
            <v>济青二线</v>
          </cell>
          <cell r="D2419" t="str">
            <v>济青二线干线</v>
          </cell>
        </row>
        <row r="2420">
          <cell r="A2420" t="str">
            <v>绿金分输站</v>
          </cell>
          <cell r="B2420" t="str">
            <v>一级</v>
          </cell>
          <cell r="C2420" t="str">
            <v>济青二线</v>
          </cell>
          <cell r="D2420" t="str">
            <v>济青二线干线</v>
          </cell>
        </row>
        <row r="2421">
          <cell r="A2421" t="str">
            <v>魏桥阀室</v>
          </cell>
          <cell r="B2421" t="str">
            <v>一级</v>
          </cell>
          <cell r="C2421" t="str">
            <v>济青二线</v>
          </cell>
          <cell r="D2421" t="str">
            <v>济青二线干线</v>
          </cell>
        </row>
        <row r="2422">
          <cell r="A2422" t="str">
            <v>孙镇阀室</v>
          </cell>
          <cell r="B2422" t="str">
            <v>一级</v>
          </cell>
          <cell r="C2422" t="str">
            <v>济青二线</v>
          </cell>
          <cell r="D2422" t="str">
            <v>济青二线干线</v>
          </cell>
        </row>
        <row r="2423">
          <cell r="A2423" t="str">
            <v>邹平站</v>
          </cell>
          <cell r="B2423" t="str">
            <v>一级</v>
          </cell>
          <cell r="C2423" t="str">
            <v>济青二线</v>
          </cell>
          <cell r="D2423" t="str">
            <v>济青二线干线</v>
          </cell>
        </row>
        <row r="2424">
          <cell r="A2424" t="str">
            <v>马桥阀室</v>
          </cell>
          <cell r="B2424" t="str">
            <v>一级</v>
          </cell>
          <cell r="C2424" t="str">
            <v>济青二线</v>
          </cell>
          <cell r="D2424" t="str">
            <v>济青二线干线</v>
          </cell>
        </row>
        <row r="2425">
          <cell r="A2425" t="str">
            <v>桓台站</v>
          </cell>
          <cell r="B2425" t="str">
            <v>一级</v>
          </cell>
          <cell r="C2425" t="str">
            <v>济青二线</v>
          </cell>
          <cell r="D2425" t="str">
            <v>济青二线干线</v>
          </cell>
        </row>
        <row r="2426">
          <cell r="A2426" t="str">
            <v>博兴站</v>
          </cell>
          <cell r="B2426" t="str">
            <v>一级</v>
          </cell>
          <cell r="C2426" t="str">
            <v>济青二线</v>
          </cell>
          <cell r="D2426" t="str">
            <v>济青二线干线</v>
          </cell>
        </row>
        <row r="2427">
          <cell r="A2427" t="str">
            <v>乐安阀室</v>
          </cell>
          <cell r="B2427" t="str">
            <v>一级</v>
          </cell>
          <cell r="C2427" t="str">
            <v>济青二线</v>
          </cell>
          <cell r="D2427" t="str">
            <v>济青二线干线</v>
          </cell>
        </row>
        <row r="2428">
          <cell r="A2428" t="str">
            <v>广饶站</v>
          </cell>
          <cell r="B2428" t="str">
            <v>一级</v>
          </cell>
          <cell r="C2428" t="str">
            <v>济青二线</v>
          </cell>
          <cell r="D2428" t="str">
            <v>济青二线干线</v>
          </cell>
        </row>
        <row r="2429">
          <cell r="A2429" t="str">
            <v>大码头阀室</v>
          </cell>
          <cell r="B2429" t="str">
            <v>一级</v>
          </cell>
          <cell r="C2429" t="str">
            <v>济青二线</v>
          </cell>
          <cell r="D2429" t="str">
            <v>济青二线干线</v>
          </cell>
        </row>
        <row r="2430">
          <cell r="A2430" t="str">
            <v>寿光站</v>
          </cell>
          <cell r="B2430" t="str">
            <v>一级</v>
          </cell>
          <cell r="C2430" t="str">
            <v>济青二线</v>
          </cell>
          <cell r="D2430" t="str">
            <v>济青二线干线</v>
          </cell>
        </row>
        <row r="2431">
          <cell r="A2431" t="str">
            <v>侯镇阀室</v>
          </cell>
          <cell r="B2431" t="str">
            <v>一级</v>
          </cell>
          <cell r="C2431" t="str">
            <v>济青二线</v>
          </cell>
          <cell r="D2431" t="str">
            <v>济青二线干线</v>
          </cell>
        </row>
        <row r="2432">
          <cell r="A2432" t="str">
            <v>滨海站</v>
          </cell>
          <cell r="B2432" t="str">
            <v>一级</v>
          </cell>
          <cell r="C2432" t="str">
            <v>济青二线</v>
          </cell>
          <cell r="D2432" t="str">
            <v>济青二线干线</v>
          </cell>
        </row>
        <row r="2433">
          <cell r="A2433" t="str">
            <v>昌邑站</v>
          </cell>
          <cell r="B2433" t="str">
            <v>一级</v>
          </cell>
          <cell r="C2433" t="str">
            <v>济青二线</v>
          </cell>
          <cell r="D2433" t="str">
            <v>济青二线干线</v>
          </cell>
        </row>
        <row r="2434">
          <cell r="A2434" t="str">
            <v>卜庄阀室</v>
          </cell>
          <cell r="B2434" t="str">
            <v>一级</v>
          </cell>
          <cell r="C2434" t="str">
            <v>济青二线</v>
          </cell>
          <cell r="D2434" t="str">
            <v>济青二线干线</v>
          </cell>
        </row>
        <row r="2435">
          <cell r="A2435" t="str">
            <v>田庄阀室</v>
          </cell>
          <cell r="B2435" t="str">
            <v>一级</v>
          </cell>
          <cell r="C2435" t="str">
            <v>济青二线</v>
          </cell>
          <cell r="D2435" t="str">
            <v>济青二线干线</v>
          </cell>
        </row>
        <row r="2436">
          <cell r="A2436" t="str">
            <v>同和阀室</v>
          </cell>
          <cell r="B2436" t="str">
            <v>一级</v>
          </cell>
          <cell r="C2436" t="str">
            <v>济青二线</v>
          </cell>
          <cell r="D2436" t="str">
            <v>济青二线干线</v>
          </cell>
        </row>
        <row r="2437">
          <cell r="A2437" t="str">
            <v>平度站</v>
          </cell>
          <cell r="B2437" t="str">
            <v>一级</v>
          </cell>
          <cell r="C2437" t="str">
            <v>济青二线</v>
          </cell>
          <cell r="D2437" t="str">
            <v>济青二线干线</v>
          </cell>
        </row>
        <row r="2438">
          <cell r="A2438" t="str">
            <v>泊里站（中石化）</v>
          </cell>
          <cell r="B2438" t="str">
            <v>一级</v>
          </cell>
          <cell r="C2438" t="str">
            <v>青岛LNG北干线</v>
          </cell>
          <cell r="D2438" t="str">
            <v>青岛LNG北干线</v>
          </cell>
        </row>
        <row r="2439">
          <cell r="A2439" t="str">
            <v>大村阀室</v>
          </cell>
          <cell r="B2439" t="str">
            <v>一级</v>
          </cell>
          <cell r="C2439" t="str">
            <v>青岛LNG北干线</v>
          </cell>
          <cell r="D2439" t="str">
            <v>青岛LNG北干线</v>
          </cell>
        </row>
        <row r="2440">
          <cell r="A2440" t="str">
            <v>六汪阀室</v>
          </cell>
          <cell r="B2440" t="str">
            <v>一级</v>
          </cell>
          <cell r="C2440" t="str">
            <v>青岛LNG北干线</v>
          </cell>
          <cell r="D2440" t="str">
            <v>青岛LNG北干线</v>
          </cell>
        </row>
        <row r="2441">
          <cell r="A2441" t="str">
            <v>张应站</v>
          </cell>
          <cell r="B2441" t="str">
            <v>一级</v>
          </cell>
          <cell r="C2441" t="str">
            <v>青岛LNG北干线</v>
          </cell>
          <cell r="D2441" t="str">
            <v>青岛LNG北干线</v>
          </cell>
        </row>
        <row r="2442">
          <cell r="A2442" t="str">
            <v>胶西阀室</v>
          </cell>
          <cell r="B2442" t="str">
            <v>一级</v>
          </cell>
          <cell r="C2442" t="str">
            <v>青岛LNG北干线</v>
          </cell>
          <cell r="D2442" t="str">
            <v>青岛LNG北干线</v>
          </cell>
        </row>
        <row r="2443">
          <cell r="A2443" t="str">
            <v>胶北阀室</v>
          </cell>
          <cell r="B2443" t="str">
            <v>一级</v>
          </cell>
          <cell r="C2443" t="str">
            <v>青岛LNG北干线</v>
          </cell>
          <cell r="D2443" t="str">
            <v>青岛LNG北干线</v>
          </cell>
        </row>
        <row r="2444">
          <cell r="A2444" t="str">
            <v>东北乡阀室</v>
          </cell>
          <cell r="B2444" t="str">
            <v>一级</v>
          </cell>
          <cell r="C2444" t="str">
            <v>青岛LNG北干线</v>
          </cell>
          <cell r="D2444" t="str">
            <v>青岛LNG北干线</v>
          </cell>
        </row>
        <row r="2445">
          <cell r="A2445" t="str">
            <v>南村阀室</v>
          </cell>
          <cell r="B2445" t="str">
            <v>一级</v>
          </cell>
          <cell r="C2445" t="str">
            <v>青岛LNG北干线</v>
          </cell>
          <cell r="D2445" t="str">
            <v>青岛LNG北干线</v>
          </cell>
        </row>
        <row r="2446">
          <cell r="A2446" t="str">
            <v>仁兆阀室</v>
          </cell>
          <cell r="B2446" t="str">
            <v>一级</v>
          </cell>
          <cell r="C2446" t="str">
            <v>青岛LNG北干线</v>
          </cell>
          <cell r="D2446" t="str">
            <v>青岛LNG北干线</v>
          </cell>
        </row>
        <row r="2447">
          <cell r="A2447" t="str">
            <v>店埠阀室</v>
          </cell>
          <cell r="B2447" t="str">
            <v>一级</v>
          </cell>
          <cell r="C2447" t="str">
            <v>青岛LNG北干线</v>
          </cell>
          <cell r="D2447" t="str">
            <v>青岛LNG北干线</v>
          </cell>
        </row>
        <row r="2448">
          <cell r="A2448" t="str">
            <v>姜山阀室</v>
          </cell>
          <cell r="B2448" t="str">
            <v>一级</v>
          </cell>
          <cell r="C2448" t="str">
            <v>青岛LNG北干线</v>
          </cell>
          <cell r="D2448" t="str">
            <v>青岛LNG北干线</v>
          </cell>
        </row>
        <row r="2449">
          <cell r="A2449" t="str">
            <v>莱西站</v>
          </cell>
          <cell r="B2449" t="str">
            <v>一级</v>
          </cell>
          <cell r="C2449" t="str">
            <v>青岛LNG北干线</v>
          </cell>
          <cell r="D2449" t="str">
            <v>青岛LNG北干线</v>
          </cell>
        </row>
        <row r="2450">
          <cell r="A2450" t="str">
            <v>天津LNG接收站</v>
          </cell>
          <cell r="B2450" t="str">
            <v>一级</v>
          </cell>
          <cell r="C2450" t="str">
            <v>天津管道</v>
          </cell>
          <cell r="D2450" t="str">
            <v>天津管道干线（接收站-唐官屯）</v>
          </cell>
        </row>
        <row r="2451">
          <cell r="A2451" t="str">
            <v>工业园阀室一</v>
          </cell>
          <cell r="B2451" t="str">
            <v>一级</v>
          </cell>
          <cell r="C2451" t="str">
            <v>天津管道</v>
          </cell>
          <cell r="D2451" t="str">
            <v>天津管道干线（接收站-唐官屯）</v>
          </cell>
        </row>
        <row r="2452">
          <cell r="A2452" t="str">
            <v>工业园阀室二</v>
          </cell>
          <cell r="B2452" t="str">
            <v>一级</v>
          </cell>
          <cell r="C2452" t="str">
            <v>天津管道</v>
          </cell>
          <cell r="D2452" t="str">
            <v>天津管道干线（接收站-唐官屯）</v>
          </cell>
        </row>
        <row r="2453">
          <cell r="A2453" t="str">
            <v>工业园阀室三</v>
          </cell>
          <cell r="B2453" t="str">
            <v>一级</v>
          </cell>
          <cell r="C2453" t="str">
            <v>天津管道</v>
          </cell>
          <cell r="D2453" t="str">
            <v>天津管道干线（接收站-唐官屯）</v>
          </cell>
        </row>
        <row r="2454">
          <cell r="A2454" t="str">
            <v>南港阀室</v>
          </cell>
          <cell r="B2454" t="str">
            <v>一级</v>
          </cell>
          <cell r="C2454" t="str">
            <v>天津管道</v>
          </cell>
          <cell r="D2454" t="str">
            <v>天津管道干线（接收站-唐官屯）</v>
          </cell>
        </row>
        <row r="2455">
          <cell r="A2455" t="str">
            <v>独流阀室一</v>
          </cell>
          <cell r="B2455" t="str">
            <v>一级</v>
          </cell>
          <cell r="C2455" t="str">
            <v>天津管道</v>
          </cell>
          <cell r="D2455" t="str">
            <v>天津管道干线（接收站-唐官屯）</v>
          </cell>
        </row>
        <row r="2456">
          <cell r="A2456" t="str">
            <v>团泊洼阀室</v>
          </cell>
          <cell r="B2456" t="str">
            <v>一级</v>
          </cell>
          <cell r="C2456" t="str">
            <v>天津管道</v>
          </cell>
          <cell r="D2456" t="str">
            <v>天津管道干线（接收站-唐官屯）</v>
          </cell>
        </row>
        <row r="2457">
          <cell r="A2457" t="str">
            <v>蔡公庄阀室</v>
          </cell>
          <cell r="B2457" t="str">
            <v>一级</v>
          </cell>
          <cell r="C2457" t="str">
            <v>天津管道</v>
          </cell>
          <cell r="D2457" t="str">
            <v>天津管道干线（接收站-唐官屯）</v>
          </cell>
        </row>
        <row r="2458">
          <cell r="A2458" t="str">
            <v>唐官屯站</v>
          </cell>
          <cell r="B2458" t="str">
            <v>一级</v>
          </cell>
          <cell r="C2458" t="str">
            <v>天津管道</v>
          </cell>
          <cell r="D2458" t="str">
            <v>天津管道干线（接收站-唐官屯）</v>
          </cell>
        </row>
        <row r="2459">
          <cell r="A2459" t="str">
            <v>陈官屯阀室</v>
          </cell>
          <cell r="B2459" t="str">
            <v>一级</v>
          </cell>
          <cell r="C2459" t="str">
            <v>天津管道</v>
          </cell>
          <cell r="D2459" t="str">
            <v>天津管道干线（唐官屯-唐山）</v>
          </cell>
        </row>
        <row r="2460">
          <cell r="A2460" t="str">
            <v>梁头阀室</v>
          </cell>
          <cell r="B2460" t="str">
            <v>一级</v>
          </cell>
          <cell r="C2460" t="str">
            <v>天津管道</v>
          </cell>
          <cell r="D2460" t="str">
            <v>天津管道干线（唐官屯-唐山）</v>
          </cell>
        </row>
        <row r="2461">
          <cell r="A2461" t="str">
            <v>独流阀室</v>
          </cell>
          <cell r="B2461" t="str">
            <v>一级</v>
          </cell>
          <cell r="C2461" t="str">
            <v>天津管道</v>
          </cell>
          <cell r="D2461" t="str">
            <v>天津管道干线（唐官屯-唐山）</v>
          </cell>
        </row>
        <row r="2462">
          <cell r="A2462" t="str">
            <v>西青阀室</v>
          </cell>
          <cell r="B2462" t="str">
            <v>一级</v>
          </cell>
          <cell r="C2462" t="str">
            <v>天津管道</v>
          </cell>
          <cell r="D2462" t="str">
            <v>天津管道干线（唐官屯-唐山）</v>
          </cell>
        </row>
        <row r="2463">
          <cell r="A2463" t="str">
            <v>王庆坨阀室</v>
          </cell>
          <cell r="B2463" t="str">
            <v>一级</v>
          </cell>
          <cell r="C2463" t="str">
            <v>天津管道</v>
          </cell>
          <cell r="D2463" t="str">
            <v>天津管道干线（唐官屯-唐山）</v>
          </cell>
        </row>
        <row r="2464">
          <cell r="A2464" t="str">
            <v>黄花店阀室</v>
          </cell>
          <cell r="B2464" t="str">
            <v>一级</v>
          </cell>
          <cell r="C2464" t="str">
            <v>天津管道</v>
          </cell>
          <cell r="D2464" t="str">
            <v>天津管道干线（唐官屯-唐山）</v>
          </cell>
        </row>
        <row r="2465">
          <cell r="A2465" t="str">
            <v>武清分输站</v>
          </cell>
          <cell r="B2465" t="str">
            <v>一级</v>
          </cell>
          <cell r="C2465" t="str">
            <v>天津管道</v>
          </cell>
          <cell r="D2465" t="str">
            <v>天津管道干线（唐官屯-唐山）</v>
          </cell>
        </row>
        <row r="2466">
          <cell r="A2466" t="str">
            <v>城关阀室</v>
          </cell>
          <cell r="B2466" t="str">
            <v>一级</v>
          </cell>
          <cell r="C2466" t="str">
            <v>天津管道</v>
          </cell>
          <cell r="D2466" t="str">
            <v>天津管道干线（唐官屯-唐山）</v>
          </cell>
        </row>
        <row r="2467">
          <cell r="A2467" t="str">
            <v>南蔡阀室</v>
          </cell>
          <cell r="B2467" t="str">
            <v>一级</v>
          </cell>
          <cell r="C2467" t="str">
            <v>天津管道</v>
          </cell>
          <cell r="D2467" t="str">
            <v>天津管道干线（唐官屯-唐山）</v>
          </cell>
        </row>
        <row r="2468">
          <cell r="A2468" t="str">
            <v>后巷阀室</v>
          </cell>
          <cell r="B2468" t="str">
            <v>一级</v>
          </cell>
          <cell r="C2468" t="str">
            <v>天津管道</v>
          </cell>
          <cell r="D2468" t="str">
            <v>天津管道干线（唐官屯-唐山）</v>
          </cell>
        </row>
        <row r="2469">
          <cell r="A2469" t="str">
            <v>大口屯阀室</v>
          </cell>
          <cell r="B2469" t="str">
            <v>一级</v>
          </cell>
          <cell r="C2469" t="str">
            <v>天津管道</v>
          </cell>
          <cell r="D2469" t="str">
            <v>天津管道干线（唐官屯-唐山）</v>
          </cell>
        </row>
        <row r="2470">
          <cell r="A2470" t="str">
            <v>林亭口阀室</v>
          </cell>
          <cell r="B2470" t="str">
            <v>一级</v>
          </cell>
          <cell r="C2470" t="str">
            <v>天津管道</v>
          </cell>
          <cell r="D2470" t="str">
            <v>天津管道干线（唐官屯-唐山）</v>
          </cell>
        </row>
        <row r="2471">
          <cell r="A2471" t="str">
            <v>袁罗庄阀室</v>
          </cell>
          <cell r="B2471" t="str">
            <v>一级</v>
          </cell>
          <cell r="C2471" t="str">
            <v>天津管道</v>
          </cell>
          <cell r="D2471" t="str">
            <v>天津管道干线（唐官屯-唐山）</v>
          </cell>
        </row>
        <row r="2472">
          <cell r="A2472" t="str">
            <v>潮洛窝阀室</v>
          </cell>
          <cell r="B2472" t="str">
            <v>一级</v>
          </cell>
          <cell r="C2472" t="str">
            <v>天津管道</v>
          </cell>
          <cell r="D2472" t="str">
            <v>天津管道干线（唐官屯-唐山）</v>
          </cell>
        </row>
        <row r="2473">
          <cell r="A2473" t="str">
            <v>唐山末站</v>
          </cell>
          <cell r="B2473" t="str">
            <v>一级</v>
          </cell>
          <cell r="C2473" t="str">
            <v>天津管道</v>
          </cell>
          <cell r="D2473" t="str">
            <v>天津管道干线（唐官屯-唐山）</v>
          </cell>
        </row>
        <row r="2474">
          <cell r="A2474" t="str">
            <v>唐官屯阀室</v>
          </cell>
          <cell r="B2474" t="str">
            <v>一级</v>
          </cell>
          <cell r="C2474" t="str">
            <v>天津管道</v>
          </cell>
          <cell r="D2474" t="str">
            <v>天津管道干线（唐官屯-邹平）</v>
          </cell>
        </row>
        <row r="2475">
          <cell r="A2475" t="str">
            <v>金牛阀室</v>
          </cell>
          <cell r="B2475" t="str">
            <v>一级</v>
          </cell>
          <cell r="C2475" t="str">
            <v>天津管道</v>
          </cell>
          <cell r="D2475" t="str">
            <v>天津管道干线（唐官屯-邹平）</v>
          </cell>
        </row>
        <row r="2476">
          <cell r="A2476" t="str">
            <v>兴济阀室</v>
          </cell>
          <cell r="B2476" t="str">
            <v>一级</v>
          </cell>
          <cell r="C2476" t="str">
            <v>天津管道</v>
          </cell>
          <cell r="D2476" t="str">
            <v>天津管道干线（唐官屯-邹平）</v>
          </cell>
        </row>
        <row r="2477">
          <cell r="A2477" t="str">
            <v>天津管道沧州站</v>
          </cell>
          <cell r="B2477" t="str">
            <v>一级</v>
          </cell>
          <cell r="C2477" t="str">
            <v>天津管道</v>
          </cell>
          <cell r="D2477" t="str">
            <v>天津管道干线（唐官屯-邹平）</v>
          </cell>
        </row>
        <row r="2478">
          <cell r="A2478" t="str">
            <v>旧州阀室</v>
          </cell>
          <cell r="B2478" t="str">
            <v>一级</v>
          </cell>
          <cell r="C2478" t="str">
            <v>天津管道</v>
          </cell>
          <cell r="D2478" t="str">
            <v>天津管道干线（唐官屯-邹平）</v>
          </cell>
        </row>
        <row r="2479">
          <cell r="A2479" t="str">
            <v>牛进庄阀室</v>
          </cell>
          <cell r="B2479" t="str">
            <v>一级</v>
          </cell>
          <cell r="C2479" t="str">
            <v>天津管道</v>
          </cell>
          <cell r="D2479" t="str">
            <v>天津管道干线（唐官屯-邹平）</v>
          </cell>
        </row>
        <row r="2480">
          <cell r="A2480" t="str">
            <v>盐山站</v>
          </cell>
          <cell r="B2480" t="str">
            <v>一级</v>
          </cell>
          <cell r="C2480" t="str">
            <v>天津管道</v>
          </cell>
          <cell r="D2480" t="str">
            <v>天津管道干线（唐官屯-邹平）</v>
          </cell>
        </row>
        <row r="2481">
          <cell r="A2481" t="str">
            <v>王猛阀室</v>
          </cell>
          <cell r="B2481" t="str">
            <v>一级</v>
          </cell>
          <cell r="C2481" t="str">
            <v>天津管道</v>
          </cell>
          <cell r="D2481" t="str">
            <v>天津管道干线（唐官屯-邹平）</v>
          </cell>
        </row>
        <row r="2482">
          <cell r="A2482" t="str">
            <v>常庄阀室</v>
          </cell>
          <cell r="B2482" t="str">
            <v>一级</v>
          </cell>
          <cell r="C2482" t="str">
            <v>天津管道</v>
          </cell>
          <cell r="D2482" t="str">
            <v>天津管道干线（唐官屯-邹平）</v>
          </cell>
        </row>
        <row r="2483">
          <cell r="A2483" t="str">
            <v>庆云站</v>
          </cell>
          <cell r="B2483" t="str">
            <v>一级</v>
          </cell>
          <cell r="C2483" t="str">
            <v>天津管道</v>
          </cell>
          <cell r="D2483" t="str">
            <v>天津管道干线（唐官屯-邹平）</v>
          </cell>
        </row>
        <row r="2484">
          <cell r="A2484" t="str">
            <v>翟王阀室</v>
          </cell>
          <cell r="B2484" t="str">
            <v>一级</v>
          </cell>
          <cell r="C2484" t="str">
            <v>天津管道</v>
          </cell>
          <cell r="D2484" t="str">
            <v>天津管道干线（唐官屯-邹平）</v>
          </cell>
        </row>
        <row r="2485">
          <cell r="A2485" t="str">
            <v>银高阀室</v>
          </cell>
          <cell r="B2485" t="str">
            <v>一级</v>
          </cell>
          <cell r="C2485" t="str">
            <v>天津管道</v>
          </cell>
          <cell r="D2485" t="str">
            <v>天津管道干线（唐官屯-邹平）</v>
          </cell>
        </row>
        <row r="2486">
          <cell r="A2486" t="str">
            <v>麻店阀室</v>
          </cell>
          <cell r="B2486" t="str">
            <v>一级</v>
          </cell>
          <cell r="C2486" t="str">
            <v>天津管道</v>
          </cell>
          <cell r="D2486" t="str">
            <v>天津管道干线（唐官屯-邹平）</v>
          </cell>
        </row>
        <row r="2487">
          <cell r="A2487" t="str">
            <v>滨州站</v>
          </cell>
          <cell r="B2487" t="str">
            <v>一级</v>
          </cell>
          <cell r="C2487" t="str">
            <v>天津管道</v>
          </cell>
          <cell r="D2487" t="str">
            <v>天津管道干线（唐官屯-邹平）</v>
          </cell>
        </row>
        <row r="2488">
          <cell r="A2488" t="str">
            <v>黄河阀室</v>
          </cell>
          <cell r="B2488" t="str">
            <v>一级</v>
          </cell>
          <cell r="C2488" t="str">
            <v>天津管道</v>
          </cell>
          <cell r="D2488" t="str">
            <v>天津管道干线（唐官屯-邹平）</v>
          </cell>
        </row>
        <row r="2489">
          <cell r="A2489" t="str">
            <v>花沟阀室</v>
          </cell>
          <cell r="B2489" t="str">
            <v>一级</v>
          </cell>
          <cell r="C2489" t="str">
            <v>天津管道</v>
          </cell>
          <cell r="D2489" t="str">
            <v>天津管道干线（唐官屯-邹平）</v>
          </cell>
        </row>
        <row r="2490">
          <cell r="A2490" t="str">
            <v>邹平末站</v>
          </cell>
          <cell r="B2490" t="str">
            <v>一级</v>
          </cell>
          <cell r="C2490" t="str">
            <v>天津管道</v>
          </cell>
          <cell r="D2490" t="str">
            <v>天津管道干线（唐官屯-邹平）</v>
          </cell>
        </row>
        <row r="2491">
          <cell r="A2491" t="str">
            <v>天津LNG管道</v>
          </cell>
          <cell r="B2491" t="str">
            <v>一级</v>
          </cell>
          <cell r="C2491" t="str">
            <v>鄂安沧管道</v>
          </cell>
          <cell r="D2491" t="str">
            <v>鄂安沧管道干线</v>
          </cell>
        </row>
        <row r="2492">
          <cell r="A2492" t="str">
            <v>鄂安沧沧州站</v>
          </cell>
          <cell r="B2492" t="str">
            <v>一级</v>
          </cell>
          <cell r="C2492" t="str">
            <v>鄂安沧管道</v>
          </cell>
          <cell r="D2492" t="str">
            <v>鄂安沧管道干线</v>
          </cell>
        </row>
        <row r="2493">
          <cell r="A2493" t="str">
            <v>捷地阀室</v>
          </cell>
          <cell r="B2493" t="str">
            <v>一级</v>
          </cell>
          <cell r="C2493" t="str">
            <v>鄂安沧管道</v>
          </cell>
          <cell r="D2493" t="str">
            <v>鄂安沧管道干线</v>
          </cell>
        </row>
        <row r="2494">
          <cell r="A2494" t="str">
            <v>黄递铺阀室</v>
          </cell>
          <cell r="B2494" t="str">
            <v>一级</v>
          </cell>
          <cell r="C2494" t="str">
            <v>鄂安沧管道</v>
          </cell>
          <cell r="D2494" t="str">
            <v>鄂安沧管道干线</v>
          </cell>
        </row>
        <row r="2495">
          <cell r="A2495" t="str">
            <v>高官阀室</v>
          </cell>
          <cell r="B2495" t="str">
            <v>一级</v>
          </cell>
          <cell r="C2495" t="str">
            <v>鄂安沧管道</v>
          </cell>
          <cell r="D2495" t="str">
            <v>鄂安沧管道干线</v>
          </cell>
        </row>
        <row r="2496">
          <cell r="A2496" t="str">
            <v>郭庄阀室</v>
          </cell>
          <cell r="B2496" t="str">
            <v>一级</v>
          </cell>
          <cell r="C2496" t="str">
            <v>鄂安沧管道</v>
          </cell>
          <cell r="D2496" t="str">
            <v>鄂安沧管道干线</v>
          </cell>
        </row>
        <row r="2497">
          <cell r="A2497" t="str">
            <v>献县分输站</v>
          </cell>
          <cell r="B2497" t="str">
            <v>一级</v>
          </cell>
          <cell r="C2497" t="str">
            <v>鄂安沧管道</v>
          </cell>
          <cell r="D2497" t="str">
            <v>鄂安沧管道干线</v>
          </cell>
        </row>
        <row r="2498">
          <cell r="A2498" t="str">
            <v>万里阀室</v>
          </cell>
          <cell r="B2498" t="str">
            <v>一级</v>
          </cell>
          <cell r="C2498" t="str">
            <v>鄂安沧管道</v>
          </cell>
          <cell r="D2498" t="str">
            <v>鄂安沧管道干线</v>
          </cell>
        </row>
        <row r="2499">
          <cell r="A2499" t="str">
            <v>大官亭阀室</v>
          </cell>
          <cell r="B2499" t="str">
            <v>一级</v>
          </cell>
          <cell r="C2499" t="str">
            <v>鄂安沧管道</v>
          </cell>
          <cell r="D2499" t="str">
            <v>鄂安沧管道干线</v>
          </cell>
        </row>
        <row r="2500">
          <cell r="A2500" t="str">
            <v>鄂安沧安平站</v>
          </cell>
          <cell r="B2500" t="str">
            <v>一级</v>
          </cell>
          <cell r="C2500" t="str">
            <v>鄂安沧管道</v>
          </cell>
          <cell r="D2500" t="str">
            <v>鄂安沧管道干线</v>
          </cell>
        </row>
        <row r="2501">
          <cell r="A2501" t="str">
            <v>南娄底阀室</v>
          </cell>
          <cell r="B2501" t="str">
            <v>一级</v>
          </cell>
          <cell r="C2501" t="str">
            <v>鄂安沧管道</v>
          </cell>
          <cell r="D2501" t="str">
            <v>鄂安沧管道干线</v>
          </cell>
        </row>
        <row r="2502">
          <cell r="A2502" t="str">
            <v>留村阀室</v>
          </cell>
          <cell r="B2502" t="str">
            <v>一级</v>
          </cell>
          <cell r="C2502" t="str">
            <v>鄂安沧管道</v>
          </cell>
          <cell r="D2502" t="str">
            <v>鄂安沧管道干线</v>
          </cell>
        </row>
        <row r="2503">
          <cell r="A2503" t="str">
            <v>里城道阀室</v>
          </cell>
          <cell r="B2503" t="str">
            <v>一级</v>
          </cell>
          <cell r="C2503" t="str">
            <v>鄂安沧管道</v>
          </cell>
          <cell r="D2503" t="str">
            <v>鄂安沧管道干线</v>
          </cell>
        </row>
        <row r="2504">
          <cell r="A2504" t="str">
            <v>藁城分输站</v>
          </cell>
          <cell r="B2504" t="str">
            <v>一级</v>
          </cell>
          <cell r="C2504" t="str">
            <v>鄂安沧管道</v>
          </cell>
          <cell r="D2504" t="str">
            <v>鄂安沧管道干线</v>
          </cell>
        </row>
        <row r="2505">
          <cell r="A2505" t="str">
            <v>南牛阀室</v>
          </cell>
          <cell r="B2505" t="str">
            <v>一级</v>
          </cell>
          <cell r="C2505" t="str">
            <v>鄂安沧管道</v>
          </cell>
          <cell r="D2505" t="str">
            <v>鄂安沧管道干线</v>
          </cell>
        </row>
        <row r="2506">
          <cell r="A2506" t="str">
            <v>正定阀室</v>
          </cell>
          <cell r="B2506" t="str">
            <v>一级</v>
          </cell>
          <cell r="C2506" t="str">
            <v>鄂安沧管道</v>
          </cell>
          <cell r="D2506" t="str">
            <v>鄂安沧管道干线</v>
          </cell>
        </row>
        <row r="2507">
          <cell r="A2507" t="str">
            <v>曲阳桥阀室</v>
          </cell>
          <cell r="B2507" t="str">
            <v>一级</v>
          </cell>
          <cell r="C2507" t="str">
            <v>鄂安沧管道</v>
          </cell>
          <cell r="D2507" t="str">
            <v>鄂安沧管道干线</v>
          </cell>
        </row>
        <row r="2508">
          <cell r="A2508" t="str">
            <v>鹿泉分输清管站</v>
          </cell>
          <cell r="B2508" t="str">
            <v>一级</v>
          </cell>
          <cell r="C2508" t="str">
            <v>鄂安沧管道</v>
          </cell>
          <cell r="D2508" t="str">
            <v>鄂安沧管道干线</v>
          </cell>
        </row>
        <row r="2509">
          <cell r="A2509" t="str">
            <v>博野阀室</v>
          </cell>
          <cell r="B2509" t="str">
            <v>一级</v>
          </cell>
          <cell r="C2509" t="str">
            <v>鄂安沧管道</v>
          </cell>
          <cell r="D2509" t="str">
            <v>保定支干线</v>
          </cell>
        </row>
        <row r="2510">
          <cell r="A2510" t="str">
            <v>温仁阀室</v>
          </cell>
          <cell r="B2510" t="str">
            <v>一级</v>
          </cell>
          <cell r="C2510" t="str">
            <v>鄂安沧管道</v>
          </cell>
          <cell r="D2510" t="str">
            <v>保定支干线</v>
          </cell>
        </row>
        <row r="2511">
          <cell r="A2511" t="str">
            <v>保定分输清管站</v>
          </cell>
          <cell r="B2511" t="str">
            <v>一级</v>
          </cell>
          <cell r="C2511" t="str">
            <v>鄂安沧管道</v>
          </cell>
          <cell r="D2511" t="str">
            <v>保定支干线</v>
          </cell>
        </row>
        <row r="2512">
          <cell r="A2512" t="str">
            <v>南王庄阀室</v>
          </cell>
          <cell r="B2512" t="str">
            <v>一级</v>
          </cell>
          <cell r="C2512" t="str">
            <v>鄂安沧管道</v>
          </cell>
          <cell r="D2512" t="str">
            <v>濮阳支干线</v>
          </cell>
        </row>
        <row r="2513">
          <cell r="A2513" t="str">
            <v>前营阀室</v>
          </cell>
          <cell r="B2513" t="str">
            <v>一级</v>
          </cell>
          <cell r="C2513" t="str">
            <v>鄂安沧管道</v>
          </cell>
          <cell r="D2513" t="str">
            <v>濮阳支干线</v>
          </cell>
        </row>
        <row r="2514">
          <cell r="A2514" t="str">
            <v>马庄阀室</v>
          </cell>
          <cell r="B2514" t="str">
            <v>一级</v>
          </cell>
          <cell r="C2514" t="str">
            <v>鄂安沧管道</v>
          </cell>
          <cell r="D2514" t="str">
            <v>濮阳支干线</v>
          </cell>
        </row>
        <row r="2515">
          <cell r="A2515" t="str">
            <v>码头李阀室</v>
          </cell>
          <cell r="B2515" t="str">
            <v>一级</v>
          </cell>
          <cell r="C2515" t="str">
            <v>鄂安沧管道</v>
          </cell>
          <cell r="D2515" t="str">
            <v>濮阳支干线</v>
          </cell>
        </row>
        <row r="2516">
          <cell r="A2516" t="str">
            <v>冀州分输站</v>
          </cell>
          <cell r="B2516" t="str">
            <v>一级</v>
          </cell>
          <cell r="C2516" t="str">
            <v>鄂安沧管道</v>
          </cell>
          <cell r="D2516" t="str">
            <v>濮阳支干线</v>
          </cell>
        </row>
        <row r="2517">
          <cell r="A2517" t="str">
            <v>大高村阀室</v>
          </cell>
          <cell r="B2517" t="str">
            <v>一级</v>
          </cell>
          <cell r="C2517" t="str">
            <v>鄂安沧管道</v>
          </cell>
          <cell r="D2517" t="str">
            <v>濮阳支干线</v>
          </cell>
        </row>
        <row r="2518">
          <cell r="A2518" t="str">
            <v>章台阀室</v>
          </cell>
          <cell r="B2518" t="str">
            <v>一级</v>
          </cell>
          <cell r="C2518" t="str">
            <v>鄂安沧管道</v>
          </cell>
          <cell r="D2518" t="str">
            <v>濮阳支干线</v>
          </cell>
        </row>
        <row r="2519">
          <cell r="A2519" t="str">
            <v>梨园屯阀室</v>
          </cell>
          <cell r="B2519" t="str">
            <v>一级</v>
          </cell>
          <cell r="C2519" t="str">
            <v>鄂安沧管道</v>
          </cell>
          <cell r="D2519" t="str">
            <v>濮阳支干线</v>
          </cell>
        </row>
        <row r="2520">
          <cell r="A2520" t="str">
            <v>固献阀室</v>
          </cell>
          <cell r="B2520" t="str">
            <v>一级</v>
          </cell>
          <cell r="C2520" t="str">
            <v>鄂安沧管道</v>
          </cell>
          <cell r="D2520" t="str">
            <v>濮阳支干线</v>
          </cell>
        </row>
        <row r="2521">
          <cell r="A2521" t="str">
            <v>梁二庄阀室</v>
          </cell>
          <cell r="B2521" t="str">
            <v>一级</v>
          </cell>
          <cell r="C2521" t="str">
            <v>鄂安沧管道</v>
          </cell>
          <cell r="D2521" t="str">
            <v>濮阳支干线</v>
          </cell>
        </row>
        <row r="2522">
          <cell r="A2522" t="str">
            <v>馆陶分输站</v>
          </cell>
          <cell r="B2522" t="str">
            <v>一级</v>
          </cell>
          <cell r="C2522" t="str">
            <v>鄂安沧管道</v>
          </cell>
          <cell r="D2522" t="str">
            <v>濮阳支干线</v>
          </cell>
        </row>
        <row r="2523">
          <cell r="A2523" t="str">
            <v>王桥阀室</v>
          </cell>
          <cell r="B2523" t="str">
            <v>一级</v>
          </cell>
          <cell r="C2523" t="str">
            <v>鄂安沧管道</v>
          </cell>
          <cell r="D2523" t="str">
            <v>濮阳支干线</v>
          </cell>
        </row>
        <row r="2524">
          <cell r="A2524" t="str">
            <v>红庙阀室</v>
          </cell>
          <cell r="B2524" t="str">
            <v>一级</v>
          </cell>
          <cell r="C2524" t="str">
            <v>鄂安沧管道</v>
          </cell>
          <cell r="D2524" t="str">
            <v>濮阳支干线</v>
          </cell>
        </row>
        <row r="2525">
          <cell r="A2525" t="str">
            <v>龙王庙阀室</v>
          </cell>
          <cell r="B2525" t="str">
            <v>一级</v>
          </cell>
          <cell r="C2525" t="str">
            <v>鄂安沧管道</v>
          </cell>
          <cell r="D2525" t="str">
            <v>濮阳支干线</v>
          </cell>
        </row>
        <row r="2526">
          <cell r="A2526" t="str">
            <v>南乐阀室</v>
          </cell>
          <cell r="B2526" t="str">
            <v>一级</v>
          </cell>
          <cell r="C2526" t="str">
            <v>鄂安沧管道</v>
          </cell>
          <cell r="D2526" t="str">
            <v>濮阳支干线</v>
          </cell>
        </row>
        <row r="2527">
          <cell r="A2527" t="str">
            <v>马村阀室</v>
          </cell>
          <cell r="B2527" t="str">
            <v>一级</v>
          </cell>
          <cell r="C2527" t="str">
            <v>鄂安沧管道</v>
          </cell>
          <cell r="D2527" t="str">
            <v>濮阳支干线</v>
          </cell>
        </row>
        <row r="2528">
          <cell r="A2528" t="str">
            <v>六塔阀室</v>
          </cell>
          <cell r="B2528" t="str">
            <v>一级</v>
          </cell>
          <cell r="C2528" t="str">
            <v>鄂安沧管道</v>
          </cell>
          <cell r="D2528" t="str">
            <v>濮阳支干线</v>
          </cell>
        </row>
        <row r="2529">
          <cell r="A2529" t="str">
            <v>文23注采站</v>
          </cell>
          <cell r="B2529" t="str">
            <v>一级</v>
          </cell>
          <cell r="C2529" t="str">
            <v>鄂安沧管道</v>
          </cell>
          <cell r="D2529" t="str">
            <v>濮阳支干线</v>
          </cell>
        </row>
        <row r="2530">
          <cell r="A2530" t="str">
            <v>南乐清管阀室</v>
          </cell>
          <cell r="B2530" t="str">
            <v>一级</v>
          </cell>
          <cell r="C2530" t="str">
            <v>鄂安沧管道</v>
          </cell>
          <cell r="D2530" t="str">
            <v>南乐联络线</v>
          </cell>
        </row>
        <row r="2531">
          <cell r="A2531" t="str">
            <v>榆济管道南乐站</v>
          </cell>
          <cell r="B2531" t="str">
            <v>一级</v>
          </cell>
          <cell r="C2531" t="str">
            <v>鄂安沧管道</v>
          </cell>
          <cell r="D2531" t="str">
            <v>南乐联络线</v>
          </cell>
        </row>
        <row r="2532">
          <cell r="A2532" t="str">
            <v>榆济管道南乐站</v>
          </cell>
          <cell r="B2532" t="str">
            <v>一级</v>
          </cell>
          <cell r="C2532" t="str">
            <v>中原管道</v>
          </cell>
          <cell r="D2532" t="str">
            <v>中开线</v>
          </cell>
        </row>
        <row r="2533">
          <cell r="A2533" t="str">
            <v>纸房阀室</v>
          </cell>
          <cell r="B2533" t="str">
            <v>一级</v>
          </cell>
          <cell r="C2533" t="str">
            <v>中原管道</v>
          </cell>
          <cell r="D2533" t="str">
            <v>中开线</v>
          </cell>
        </row>
        <row r="2534">
          <cell r="A2534" t="str">
            <v>濮阳站</v>
          </cell>
          <cell r="B2534" t="str">
            <v>一级</v>
          </cell>
          <cell r="C2534" t="str">
            <v>中原管道</v>
          </cell>
          <cell r="D2534" t="str">
            <v>中开线</v>
          </cell>
        </row>
        <row r="2535">
          <cell r="A2535" t="str">
            <v>文留阀室</v>
          </cell>
          <cell r="B2535" t="str">
            <v>一级</v>
          </cell>
          <cell r="C2535" t="str">
            <v>中原管道</v>
          </cell>
          <cell r="D2535" t="str">
            <v>中开线</v>
          </cell>
        </row>
        <row r="2536">
          <cell r="A2536" t="str">
            <v>梁庄阀室</v>
          </cell>
          <cell r="B2536" t="str">
            <v>一级</v>
          </cell>
          <cell r="C2536" t="str">
            <v>中原管道</v>
          </cell>
          <cell r="D2536" t="str">
            <v>中开线</v>
          </cell>
        </row>
        <row r="2537">
          <cell r="A2537" t="str">
            <v>黄河北阀室</v>
          </cell>
          <cell r="B2537" t="str">
            <v>一级</v>
          </cell>
          <cell r="C2537" t="str">
            <v>中原管道</v>
          </cell>
          <cell r="D2537" t="str">
            <v>中开线</v>
          </cell>
        </row>
        <row r="2538">
          <cell r="A2538" t="str">
            <v>黄河南阀室</v>
          </cell>
          <cell r="B2538" t="str">
            <v>一级</v>
          </cell>
          <cell r="C2538" t="str">
            <v>中原管道</v>
          </cell>
          <cell r="D2538" t="str">
            <v>中开线</v>
          </cell>
        </row>
        <row r="2539">
          <cell r="A2539" t="str">
            <v>东明站</v>
          </cell>
          <cell r="B2539" t="str">
            <v>一级</v>
          </cell>
          <cell r="C2539" t="str">
            <v>中原管道</v>
          </cell>
          <cell r="D2539" t="str">
            <v>中开线</v>
          </cell>
        </row>
        <row r="2540">
          <cell r="A2540" t="str">
            <v>沙窝阀室</v>
          </cell>
          <cell r="B2540" t="str">
            <v>一级</v>
          </cell>
          <cell r="C2540" t="str">
            <v>中原管道</v>
          </cell>
          <cell r="D2540" t="str">
            <v>中开线</v>
          </cell>
        </row>
        <row r="2541">
          <cell r="A2541" t="str">
            <v>刘楼阀室</v>
          </cell>
          <cell r="B2541" t="str">
            <v>一级</v>
          </cell>
          <cell r="C2541" t="str">
            <v>中原管道</v>
          </cell>
          <cell r="D2541" t="str">
            <v>中开线</v>
          </cell>
        </row>
        <row r="2542">
          <cell r="A2542" t="str">
            <v>堌阳阀室</v>
          </cell>
          <cell r="B2542" t="str">
            <v>一级</v>
          </cell>
          <cell r="C2542" t="str">
            <v>中原管道</v>
          </cell>
          <cell r="D2542" t="str">
            <v>中开线</v>
          </cell>
        </row>
        <row r="2543">
          <cell r="A2543" t="str">
            <v>中原管道兰考站</v>
          </cell>
          <cell r="B2543" t="str">
            <v>一级</v>
          </cell>
          <cell r="C2543" t="str">
            <v>中原管道</v>
          </cell>
          <cell r="D2543" t="str">
            <v>中开线</v>
          </cell>
        </row>
        <row r="2544">
          <cell r="A2544" t="str">
            <v>曲兴阀室</v>
          </cell>
          <cell r="B2544" t="str">
            <v>一级</v>
          </cell>
          <cell r="C2544" t="str">
            <v>中原管道</v>
          </cell>
          <cell r="D2544" t="str">
            <v>中开线</v>
          </cell>
        </row>
        <row r="2545">
          <cell r="A2545" t="str">
            <v>中原管道开封站</v>
          </cell>
          <cell r="B2545" t="str">
            <v>一级</v>
          </cell>
          <cell r="C2545" t="str">
            <v>中原管道</v>
          </cell>
          <cell r="D2545" t="str">
            <v>中开线</v>
          </cell>
        </row>
        <row r="2546">
          <cell r="A2546" t="str">
            <v>寺庄阀室</v>
          </cell>
          <cell r="B2546" t="str">
            <v>一级</v>
          </cell>
          <cell r="C2546" t="str">
            <v>中原管道</v>
          </cell>
          <cell r="D2546" t="str">
            <v>南寺线</v>
          </cell>
        </row>
        <row r="2547">
          <cell r="A2547" t="str">
            <v>濮阳站</v>
          </cell>
          <cell r="B2547" t="str">
            <v>一级</v>
          </cell>
          <cell r="C2547" t="str">
            <v>中原管道</v>
          </cell>
          <cell r="D2547" t="str">
            <v>濮范台管道</v>
          </cell>
        </row>
        <row r="2548">
          <cell r="A2548" t="str">
            <v>范县输气站</v>
          </cell>
          <cell r="B2548" t="str">
            <v>一级</v>
          </cell>
          <cell r="C2548" t="str">
            <v>中原管道</v>
          </cell>
          <cell r="D2548" t="str">
            <v>濮范台管道</v>
          </cell>
        </row>
        <row r="2549">
          <cell r="A2549" t="str">
            <v>颜村铺阀室</v>
          </cell>
          <cell r="B2549" t="str">
            <v>一级</v>
          </cell>
          <cell r="C2549" t="str">
            <v>中原管道</v>
          </cell>
          <cell r="D2549" t="str">
            <v>濮范台管道</v>
          </cell>
        </row>
        <row r="2550">
          <cell r="A2550" t="str">
            <v>侯庙阀室</v>
          </cell>
          <cell r="B2550" t="str">
            <v>一级</v>
          </cell>
          <cell r="C2550" t="str">
            <v>中原管道</v>
          </cell>
          <cell r="D2550" t="str">
            <v>濮范台管道</v>
          </cell>
        </row>
        <row r="2551">
          <cell r="A2551" t="str">
            <v>台前输气站</v>
          </cell>
          <cell r="B2551" t="str">
            <v>一级</v>
          </cell>
          <cell r="C2551" t="str">
            <v>中原管道</v>
          </cell>
          <cell r="D2551" t="str">
            <v>濮范台管道</v>
          </cell>
        </row>
        <row r="2552">
          <cell r="A2552" t="str">
            <v>LNG接收站</v>
          </cell>
          <cell r="B2552" t="str">
            <v>一级</v>
          </cell>
          <cell r="C2552" t="str">
            <v>广西管道</v>
          </cell>
          <cell r="D2552" t="str">
            <v>广西管道干线</v>
          </cell>
        </row>
        <row r="2553">
          <cell r="A2553" t="str">
            <v>北海首站</v>
          </cell>
          <cell r="B2553" t="str">
            <v>一级</v>
          </cell>
          <cell r="C2553" t="str">
            <v>广西管道</v>
          </cell>
          <cell r="D2553" t="str">
            <v>广西管道干线</v>
          </cell>
        </row>
        <row r="2554">
          <cell r="A2554" t="str">
            <v>闸口输气站</v>
          </cell>
          <cell r="B2554" t="str">
            <v>一级</v>
          </cell>
          <cell r="C2554" t="str">
            <v>广西管道</v>
          </cell>
          <cell r="D2554" t="str">
            <v>广西管道干线</v>
          </cell>
        </row>
        <row r="2555">
          <cell r="A2555" t="str">
            <v>山背岭阀室</v>
          </cell>
          <cell r="B2555" t="str">
            <v>一级</v>
          </cell>
          <cell r="C2555" t="str">
            <v>广西管道</v>
          </cell>
          <cell r="D2555" t="str">
            <v>广西管道干线</v>
          </cell>
        </row>
        <row r="2556">
          <cell r="A2556" t="str">
            <v>花屋洞阀室</v>
          </cell>
          <cell r="B2556" t="str">
            <v>一级</v>
          </cell>
          <cell r="C2556" t="str">
            <v>广西管道</v>
          </cell>
          <cell r="D2556" t="str">
            <v>广西管道干线</v>
          </cell>
        </row>
        <row r="2557">
          <cell r="A2557" t="str">
            <v>崩塘阀室</v>
          </cell>
          <cell r="B2557" t="str">
            <v>一级</v>
          </cell>
          <cell r="C2557" t="str">
            <v>广西管道</v>
          </cell>
          <cell r="D2557" t="str">
            <v>广西管道干线</v>
          </cell>
        </row>
        <row r="2558">
          <cell r="A2558" t="str">
            <v>六湖阀室</v>
          </cell>
          <cell r="B2558" t="str">
            <v>一级</v>
          </cell>
          <cell r="C2558" t="str">
            <v>广西管道</v>
          </cell>
          <cell r="D2558" t="str">
            <v>广西管道干线</v>
          </cell>
        </row>
        <row r="2559">
          <cell r="A2559" t="str">
            <v>平湖阀室</v>
          </cell>
          <cell r="B2559" t="str">
            <v>一级</v>
          </cell>
          <cell r="C2559" t="str">
            <v>广西管道</v>
          </cell>
          <cell r="D2559" t="str">
            <v>广西管道干线</v>
          </cell>
        </row>
        <row r="2560">
          <cell r="A2560" t="str">
            <v>钦州输气站</v>
          </cell>
          <cell r="B2560" t="str">
            <v>一级</v>
          </cell>
          <cell r="C2560" t="str">
            <v>广西管道</v>
          </cell>
          <cell r="D2560" t="str">
            <v>广西管道干线</v>
          </cell>
        </row>
        <row r="2561">
          <cell r="A2561" t="str">
            <v>长滩阀室</v>
          </cell>
          <cell r="B2561" t="str">
            <v>一级</v>
          </cell>
          <cell r="C2561" t="str">
            <v>广西管道</v>
          </cell>
          <cell r="D2561" t="str">
            <v>广西管道干线</v>
          </cell>
        </row>
        <row r="2562">
          <cell r="A2562" t="str">
            <v>邕宁输气站</v>
          </cell>
          <cell r="B2562" t="str">
            <v>一级</v>
          </cell>
          <cell r="C2562" t="str">
            <v>广西管道</v>
          </cell>
          <cell r="D2562" t="str">
            <v>广西管道干线</v>
          </cell>
        </row>
        <row r="2563">
          <cell r="A2563" t="str">
            <v>新江阀室</v>
          </cell>
          <cell r="B2563" t="str">
            <v>一级</v>
          </cell>
          <cell r="C2563" t="str">
            <v>广西管道</v>
          </cell>
          <cell r="D2563" t="str">
            <v>广西管道干线</v>
          </cell>
        </row>
        <row r="2564">
          <cell r="A2564" t="str">
            <v>南宁输气站</v>
          </cell>
          <cell r="B2564" t="str">
            <v>一级</v>
          </cell>
          <cell r="C2564" t="str">
            <v>广西管道</v>
          </cell>
          <cell r="D2564" t="str">
            <v>广西管道干线</v>
          </cell>
        </row>
        <row r="2565">
          <cell r="A2565" t="str">
            <v>伶俐阀室</v>
          </cell>
          <cell r="B2565" t="str">
            <v>一级</v>
          </cell>
          <cell r="C2565" t="str">
            <v>广西管道</v>
          </cell>
          <cell r="D2565" t="str">
            <v>广西管道干线</v>
          </cell>
        </row>
        <row r="2566">
          <cell r="A2566" t="str">
            <v>六景阀室</v>
          </cell>
          <cell r="B2566" t="str">
            <v>一级</v>
          </cell>
          <cell r="C2566" t="str">
            <v>广西管道</v>
          </cell>
          <cell r="D2566" t="str">
            <v>广西管道干线</v>
          </cell>
        </row>
        <row r="2567">
          <cell r="A2567" t="str">
            <v>合庄阀室</v>
          </cell>
          <cell r="B2567" t="str">
            <v>一级</v>
          </cell>
          <cell r="C2567" t="str">
            <v>广西管道</v>
          </cell>
          <cell r="D2567" t="str">
            <v>广西管道干线</v>
          </cell>
        </row>
        <row r="2568">
          <cell r="A2568" t="str">
            <v>稔竹阀室</v>
          </cell>
          <cell r="B2568" t="str">
            <v>一级</v>
          </cell>
          <cell r="C2568" t="str">
            <v>广西管道</v>
          </cell>
          <cell r="D2568" t="str">
            <v>广西管道干线</v>
          </cell>
        </row>
        <row r="2569">
          <cell r="A2569" t="str">
            <v>黎塘输气站</v>
          </cell>
          <cell r="B2569" t="str">
            <v>一级</v>
          </cell>
          <cell r="C2569" t="str">
            <v>广西管道</v>
          </cell>
          <cell r="D2569" t="str">
            <v>广西管道干线</v>
          </cell>
        </row>
        <row r="2570">
          <cell r="A2570" t="str">
            <v>小平阳阀室</v>
          </cell>
          <cell r="B2570" t="str">
            <v>一级</v>
          </cell>
          <cell r="C2570" t="str">
            <v>广西管道</v>
          </cell>
          <cell r="D2570" t="str">
            <v>广西管道干线</v>
          </cell>
        </row>
        <row r="2571">
          <cell r="A2571" t="str">
            <v>三五街阀室</v>
          </cell>
          <cell r="B2571" t="str">
            <v>一级</v>
          </cell>
          <cell r="C2571" t="str">
            <v>广西管道</v>
          </cell>
          <cell r="D2571" t="str">
            <v>广西管道干线</v>
          </cell>
        </row>
        <row r="2572">
          <cell r="A2572" t="str">
            <v>来宾合建站</v>
          </cell>
          <cell r="B2572" t="str">
            <v>一级</v>
          </cell>
          <cell r="C2572" t="str">
            <v>广西管道</v>
          </cell>
          <cell r="D2572" t="str">
            <v>广西管道干线</v>
          </cell>
        </row>
        <row r="2573">
          <cell r="A2573" t="str">
            <v>新安阀室</v>
          </cell>
          <cell r="B2573" t="str">
            <v>一级</v>
          </cell>
          <cell r="C2573" t="str">
            <v>广西管道</v>
          </cell>
          <cell r="D2573" t="str">
            <v>广西管道干线</v>
          </cell>
        </row>
        <row r="2574">
          <cell r="A2574" t="str">
            <v>来宾输气站</v>
          </cell>
          <cell r="B2574" t="str">
            <v>一级</v>
          </cell>
          <cell r="C2574" t="str">
            <v>广西管道</v>
          </cell>
          <cell r="D2574" t="str">
            <v>广西管道干线</v>
          </cell>
        </row>
        <row r="2575">
          <cell r="A2575" t="str">
            <v>龙岩阀室</v>
          </cell>
          <cell r="B2575" t="str">
            <v>一级</v>
          </cell>
          <cell r="C2575" t="str">
            <v>广西管道</v>
          </cell>
          <cell r="D2575" t="str">
            <v>广西管道干线</v>
          </cell>
        </row>
        <row r="2576">
          <cell r="A2576" t="str">
            <v>闷村阀室</v>
          </cell>
          <cell r="B2576" t="str">
            <v>一级</v>
          </cell>
          <cell r="C2576" t="str">
            <v>广西管道</v>
          </cell>
          <cell r="D2576" t="str">
            <v>广西管道干线</v>
          </cell>
        </row>
        <row r="2577">
          <cell r="A2577" t="str">
            <v>龙朝阀室</v>
          </cell>
          <cell r="B2577" t="str">
            <v>一级</v>
          </cell>
          <cell r="C2577" t="str">
            <v>广西管道</v>
          </cell>
          <cell r="D2577" t="str">
            <v>广西管道干线</v>
          </cell>
        </row>
        <row r="2578">
          <cell r="A2578" t="str">
            <v>前村阀室</v>
          </cell>
          <cell r="B2578" t="str">
            <v>一级</v>
          </cell>
          <cell r="C2578" t="str">
            <v>广西管道</v>
          </cell>
          <cell r="D2578" t="str">
            <v>广西管道干线</v>
          </cell>
        </row>
        <row r="2579">
          <cell r="A2579" t="str">
            <v>柳州输气站</v>
          </cell>
          <cell r="B2579" t="str">
            <v>一级</v>
          </cell>
          <cell r="C2579" t="str">
            <v>广西管道</v>
          </cell>
          <cell r="D2579" t="str">
            <v>广西管道干线</v>
          </cell>
        </row>
        <row r="2580">
          <cell r="A2580" t="str">
            <v>公馆输气站</v>
          </cell>
          <cell r="B2580" t="str">
            <v>一级</v>
          </cell>
          <cell r="C2580" t="str">
            <v>广西管道</v>
          </cell>
          <cell r="D2580" t="str">
            <v>粤西支线</v>
          </cell>
        </row>
        <row r="2581">
          <cell r="A2581" t="str">
            <v>白沙阀室</v>
          </cell>
          <cell r="B2581" t="str">
            <v>一级</v>
          </cell>
          <cell r="C2581" t="str">
            <v>广西管道</v>
          </cell>
          <cell r="D2581" t="str">
            <v>粤西支线</v>
          </cell>
        </row>
        <row r="2582">
          <cell r="A2582" t="str">
            <v>南门垌阀室</v>
          </cell>
          <cell r="B2582" t="str">
            <v>一级</v>
          </cell>
          <cell r="C2582" t="str">
            <v>广西管道</v>
          </cell>
          <cell r="D2582" t="str">
            <v>粤西支线</v>
          </cell>
        </row>
        <row r="2583">
          <cell r="A2583" t="str">
            <v>上白路岭阀室</v>
          </cell>
          <cell r="B2583" t="str">
            <v>一级</v>
          </cell>
          <cell r="C2583" t="str">
            <v>广西管道</v>
          </cell>
          <cell r="D2583" t="str">
            <v>粤西支线</v>
          </cell>
        </row>
        <row r="2584">
          <cell r="A2584" t="str">
            <v>鸭菜岭阀室</v>
          </cell>
          <cell r="B2584" t="str">
            <v>一级</v>
          </cell>
          <cell r="C2584" t="str">
            <v>广西管道</v>
          </cell>
          <cell r="D2584" t="str">
            <v>粤西支线</v>
          </cell>
        </row>
        <row r="2585">
          <cell r="A2585" t="str">
            <v>书房仔阀室</v>
          </cell>
          <cell r="B2585" t="str">
            <v>一级</v>
          </cell>
          <cell r="C2585" t="str">
            <v>广西管道</v>
          </cell>
          <cell r="D2585" t="str">
            <v>粤西支线</v>
          </cell>
        </row>
        <row r="2586">
          <cell r="A2586" t="str">
            <v>湛江输气站</v>
          </cell>
          <cell r="B2586" t="str">
            <v>一级</v>
          </cell>
          <cell r="C2586" t="str">
            <v>广西管道</v>
          </cell>
          <cell r="D2586" t="str">
            <v>粤西支线</v>
          </cell>
        </row>
        <row r="2587">
          <cell r="A2587" t="str">
            <v>里山尾阀室</v>
          </cell>
          <cell r="B2587" t="str">
            <v>一级</v>
          </cell>
          <cell r="C2587" t="str">
            <v>广西管道</v>
          </cell>
          <cell r="D2587" t="str">
            <v>粤西支线</v>
          </cell>
        </row>
        <row r="2588">
          <cell r="A2588" t="str">
            <v>东岸阀室</v>
          </cell>
          <cell r="B2588" t="str">
            <v>一级</v>
          </cell>
          <cell r="C2588" t="str">
            <v>广西管道</v>
          </cell>
          <cell r="D2588" t="str">
            <v>粤西支线</v>
          </cell>
        </row>
        <row r="2589">
          <cell r="A2589" t="str">
            <v>竹山阀室</v>
          </cell>
          <cell r="B2589" t="str">
            <v>一级</v>
          </cell>
          <cell r="C2589" t="str">
            <v>广西管道</v>
          </cell>
          <cell r="D2589" t="str">
            <v>粤西支线</v>
          </cell>
        </row>
        <row r="2590">
          <cell r="A2590" t="str">
            <v>茂名分输站</v>
          </cell>
          <cell r="B2590" t="str">
            <v>一级</v>
          </cell>
          <cell r="C2590" t="str">
            <v>广西管道</v>
          </cell>
          <cell r="D2590" t="str">
            <v>粤西支线</v>
          </cell>
        </row>
        <row r="2591">
          <cell r="A2591" t="str">
            <v>共和阀室</v>
          </cell>
          <cell r="B2591" t="str">
            <v>一级</v>
          </cell>
          <cell r="C2591" t="str">
            <v>广西管道</v>
          </cell>
          <cell r="D2591" t="str">
            <v>柳州支线</v>
          </cell>
        </row>
        <row r="2592">
          <cell r="A2592" t="str">
            <v>柳东输气站</v>
          </cell>
          <cell r="B2592" t="str">
            <v>一级</v>
          </cell>
          <cell r="C2592" t="str">
            <v>广西管道</v>
          </cell>
          <cell r="D2592" t="str">
            <v>柳州支线</v>
          </cell>
        </row>
        <row r="2593">
          <cell r="A2593" t="str">
            <v>柳州输气站</v>
          </cell>
          <cell r="B2593" t="str">
            <v>一级</v>
          </cell>
          <cell r="C2593" t="str">
            <v>广西管道</v>
          </cell>
          <cell r="D2593" t="str">
            <v>广西管道桂林支线</v>
          </cell>
        </row>
        <row r="2594">
          <cell r="A2594" t="str">
            <v>1#大洞1#阀室</v>
          </cell>
          <cell r="B2594" t="str">
            <v>一级</v>
          </cell>
          <cell r="C2594" t="str">
            <v>广西管道</v>
          </cell>
          <cell r="D2594" t="str">
            <v>广西管道桂林支线</v>
          </cell>
        </row>
        <row r="2595">
          <cell r="A2595" t="str">
            <v>2#大洞2#阀室</v>
          </cell>
          <cell r="B2595" t="str">
            <v>一级</v>
          </cell>
          <cell r="C2595" t="str">
            <v>广西管道</v>
          </cell>
          <cell r="D2595" t="str">
            <v>广西管道桂林支线</v>
          </cell>
        </row>
        <row r="2596">
          <cell r="A2596" t="str">
            <v>3#社八阀室</v>
          </cell>
          <cell r="B2596" t="str">
            <v>一级</v>
          </cell>
          <cell r="C2596" t="str">
            <v>广西管道</v>
          </cell>
          <cell r="D2596" t="str">
            <v>广西管道桂林支线</v>
          </cell>
        </row>
        <row r="2597">
          <cell r="A2597" t="str">
            <v>4#中渡阀室</v>
          </cell>
          <cell r="B2597" t="str">
            <v>一级</v>
          </cell>
          <cell r="C2597" t="str">
            <v>广西管道</v>
          </cell>
          <cell r="D2597" t="str">
            <v>广西管道桂林支线</v>
          </cell>
        </row>
        <row r="2598">
          <cell r="A2598" t="str">
            <v>5#潮水阀室</v>
          </cell>
          <cell r="B2598" t="str">
            <v>一级</v>
          </cell>
          <cell r="C2598" t="str">
            <v>广西管道</v>
          </cell>
          <cell r="D2598" t="str">
            <v>广西管道桂林支线</v>
          </cell>
        </row>
        <row r="2599">
          <cell r="A2599" t="str">
            <v>6#古拉阀室</v>
          </cell>
          <cell r="B2599" t="str">
            <v>一级</v>
          </cell>
          <cell r="C2599" t="str">
            <v>广西管道</v>
          </cell>
          <cell r="D2599" t="str">
            <v>广西管道桂林支线</v>
          </cell>
        </row>
        <row r="2600">
          <cell r="A2600" t="str">
            <v>7#曾村阀室</v>
          </cell>
          <cell r="B2600" t="str">
            <v>一级</v>
          </cell>
          <cell r="C2600" t="str">
            <v>广西管道</v>
          </cell>
          <cell r="D2600" t="str">
            <v>广西管道桂林支线</v>
          </cell>
        </row>
        <row r="2601">
          <cell r="A2601" t="str">
            <v>桂林输气站</v>
          </cell>
          <cell r="B2601" t="str">
            <v>一级</v>
          </cell>
          <cell r="C2601" t="str">
            <v>广西管道</v>
          </cell>
          <cell r="D2601" t="str">
            <v>广西管道桂林支线</v>
          </cell>
        </row>
        <row r="2602">
          <cell r="A2602" t="str">
            <v>潜江压气站</v>
          </cell>
          <cell r="B2602" t="str">
            <v>一级</v>
          </cell>
          <cell r="C2602" t="str">
            <v>川气东送管道</v>
          </cell>
          <cell r="D2602" t="str">
            <v>川气东送潜江站-新气管道潜江站联络线</v>
          </cell>
        </row>
        <row r="2603">
          <cell r="A2603" t="str">
            <v>新气管道潜江站</v>
          </cell>
          <cell r="B2603" t="str">
            <v>一级</v>
          </cell>
          <cell r="C2603" t="str">
            <v>新气管道</v>
          </cell>
          <cell r="D2603" t="str">
            <v>川气东送潜江站-新气管道潜江站联络线</v>
          </cell>
        </row>
        <row r="2604">
          <cell r="A2604" t="str">
            <v>新气管道潜江站</v>
          </cell>
          <cell r="B2604" t="str">
            <v>一级</v>
          </cell>
          <cell r="C2604" t="str">
            <v>新气管道</v>
          </cell>
          <cell r="D2604" t="str">
            <v>新气管道干线</v>
          </cell>
        </row>
        <row r="2605">
          <cell r="A2605" t="str">
            <v>排湾村阀室</v>
          </cell>
          <cell r="B2605" t="str">
            <v>一级</v>
          </cell>
          <cell r="C2605" t="str">
            <v>新气管道</v>
          </cell>
          <cell r="D2605" t="str">
            <v>新气管道干线</v>
          </cell>
        </row>
        <row r="2606">
          <cell r="A2606" t="str">
            <v>横台村阀室</v>
          </cell>
          <cell r="B2606" t="str">
            <v>一级</v>
          </cell>
          <cell r="C2606" t="str">
            <v>新气管道</v>
          </cell>
          <cell r="D2606" t="str">
            <v>新气管道干线</v>
          </cell>
        </row>
        <row r="2607">
          <cell r="A2607" t="str">
            <v>群力村阀室</v>
          </cell>
          <cell r="B2607" t="str">
            <v>一级</v>
          </cell>
          <cell r="C2607" t="str">
            <v>新气管道</v>
          </cell>
          <cell r="D2607" t="str">
            <v>新气管道干线</v>
          </cell>
        </row>
        <row r="2608">
          <cell r="A2608" t="str">
            <v>新气管道监利站</v>
          </cell>
          <cell r="B2608" t="str">
            <v>一级</v>
          </cell>
          <cell r="C2608" t="str">
            <v>新气管道</v>
          </cell>
          <cell r="D2608" t="str">
            <v>新气管道干线</v>
          </cell>
        </row>
        <row r="2609">
          <cell r="A2609" t="str">
            <v>黄花村阀室</v>
          </cell>
          <cell r="B2609" t="str">
            <v>一级</v>
          </cell>
          <cell r="C2609" t="str">
            <v>新气管道</v>
          </cell>
          <cell r="D2609" t="str">
            <v>新气管道干线</v>
          </cell>
        </row>
        <row r="2610">
          <cell r="A2610" t="str">
            <v>龚王村阀室</v>
          </cell>
          <cell r="B2610" t="str">
            <v>一级</v>
          </cell>
          <cell r="C2610" t="str">
            <v>新气管道</v>
          </cell>
          <cell r="D2610" t="str">
            <v>新气管道干线</v>
          </cell>
        </row>
        <row r="2611">
          <cell r="A2611" t="str">
            <v>白螺阀室</v>
          </cell>
          <cell r="B2611" t="str">
            <v>一级</v>
          </cell>
          <cell r="C2611" t="str">
            <v>新气管道</v>
          </cell>
          <cell r="D2611" t="str">
            <v>新气管道干线</v>
          </cell>
        </row>
        <row r="2612">
          <cell r="A2612" t="str">
            <v>陆城阀室</v>
          </cell>
          <cell r="B2612" t="str">
            <v>一级</v>
          </cell>
          <cell r="C2612" t="str">
            <v>新气管道</v>
          </cell>
          <cell r="D2612" t="str">
            <v>新气管道干线</v>
          </cell>
        </row>
        <row r="2613">
          <cell r="A2613" t="str">
            <v>双花阀室</v>
          </cell>
          <cell r="B2613" t="str">
            <v>一级</v>
          </cell>
          <cell r="C2613" t="str">
            <v>新气管道</v>
          </cell>
          <cell r="D2613" t="str">
            <v>新气管道干线</v>
          </cell>
        </row>
        <row r="2614">
          <cell r="A2614" t="str">
            <v>三联村阀室</v>
          </cell>
          <cell r="B2614" t="str">
            <v>一级</v>
          </cell>
          <cell r="C2614" t="str">
            <v>新气管道</v>
          </cell>
          <cell r="D2614" t="str">
            <v>新气管道干线</v>
          </cell>
        </row>
        <row r="2615">
          <cell r="A2615" t="str">
            <v>横铺村阀室</v>
          </cell>
          <cell r="B2615" t="str">
            <v>一级</v>
          </cell>
          <cell r="C2615" t="str">
            <v>新气管道</v>
          </cell>
          <cell r="D2615" t="str">
            <v>新气管道干线</v>
          </cell>
        </row>
        <row r="2616">
          <cell r="A2616" t="str">
            <v>新气管道岳阳站</v>
          </cell>
          <cell r="B2616" t="str">
            <v>一级</v>
          </cell>
          <cell r="C2616" t="str">
            <v>新气管道</v>
          </cell>
          <cell r="D2616" t="str">
            <v>新气管道干线</v>
          </cell>
        </row>
        <row r="2617">
          <cell r="A2617" t="str">
            <v>双港阀室</v>
          </cell>
          <cell r="B2617" t="str">
            <v>一级</v>
          </cell>
          <cell r="C2617" t="str">
            <v>新气管道</v>
          </cell>
          <cell r="D2617" t="str">
            <v>新气管道干线</v>
          </cell>
        </row>
        <row r="2618">
          <cell r="A2618" t="str">
            <v>金星阀室</v>
          </cell>
          <cell r="B2618" t="str">
            <v>一级</v>
          </cell>
          <cell r="C2618" t="str">
            <v>新气管道</v>
          </cell>
          <cell r="D2618" t="str">
            <v>新气管道干线</v>
          </cell>
        </row>
        <row r="2619">
          <cell r="A2619" t="str">
            <v>嵩华阀室</v>
          </cell>
          <cell r="B2619" t="str">
            <v>一级</v>
          </cell>
          <cell r="C2619" t="str">
            <v>新气管道</v>
          </cell>
          <cell r="D2619" t="str">
            <v>新气管道干线</v>
          </cell>
        </row>
        <row r="2620">
          <cell r="A2620" t="str">
            <v>梅树村阀室</v>
          </cell>
          <cell r="B2620" t="str">
            <v>一级</v>
          </cell>
          <cell r="C2620" t="str">
            <v>新气管道</v>
          </cell>
          <cell r="D2620" t="str">
            <v>新气管道干线</v>
          </cell>
        </row>
        <row r="2621">
          <cell r="A2621" t="str">
            <v>福林铺阀室</v>
          </cell>
          <cell r="B2621" t="str">
            <v>一级</v>
          </cell>
          <cell r="C2621" t="str">
            <v>新气管道</v>
          </cell>
          <cell r="D2621" t="str">
            <v>新气管道干线</v>
          </cell>
        </row>
        <row r="2622">
          <cell r="A2622" t="str">
            <v>石潭村阀室</v>
          </cell>
          <cell r="B2622" t="str">
            <v>一级</v>
          </cell>
          <cell r="C2622" t="str">
            <v>新气管道</v>
          </cell>
          <cell r="D2622" t="str">
            <v>新气管道干线</v>
          </cell>
        </row>
        <row r="2623">
          <cell r="A2623" t="str">
            <v>金鼎村阀室</v>
          </cell>
          <cell r="B2623" t="str">
            <v>一级</v>
          </cell>
          <cell r="C2623" t="str">
            <v>新气管道</v>
          </cell>
          <cell r="D2623" t="str">
            <v>新气管道干线</v>
          </cell>
        </row>
        <row r="2624">
          <cell r="A2624" t="str">
            <v>新气管道长沙站</v>
          </cell>
          <cell r="B2624" t="str">
            <v>一级</v>
          </cell>
          <cell r="C2624" t="str">
            <v>新气管道</v>
          </cell>
          <cell r="D2624" t="str">
            <v>新气管道干线</v>
          </cell>
        </row>
        <row r="2625">
          <cell r="A2625" t="str">
            <v>万古村阀室</v>
          </cell>
          <cell r="B2625" t="str">
            <v>一级</v>
          </cell>
          <cell r="C2625" t="str">
            <v>新气管道</v>
          </cell>
          <cell r="D2625" t="str">
            <v>新气管道干线</v>
          </cell>
        </row>
        <row r="2626">
          <cell r="A2626" t="str">
            <v>北星村阀室</v>
          </cell>
          <cell r="B2626" t="str">
            <v>一级</v>
          </cell>
          <cell r="C2626" t="str">
            <v>新气管道</v>
          </cell>
          <cell r="D2626" t="str">
            <v>新气管道干线</v>
          </cell>
        </row>
        <row r="2627">
          <cell r="A2627" t="str">
            <v>新气管道株洲站</v>
          </cell>
          <cell r="B2627" t="str">
            <v>一级</v>
          </cell>
          <cell r="C2627" t="str">
            <v>新气管道</v>
          </cell>
          <cell r="D2627" t="str">
            <v>新气管道干线</v>
          </cell>
        </row>
        <row r="2628">
          <cell r="A2628" t="str">
            <v>苏塘村阀室</v>
          </cell>
          <cell r="B2628" t="str">
            <v>一级</v>
          </cell>
          <cell r="C2628" t="str">
            <v>新气管道</v>
          </cell>
          <cell r="D2628" t="str">
            <v>新气管道干线</v>
          </cell>
        </row>
        <row r="2629">
          <cell r="A2629" t="str">
            <v>马洲村阀室</v>
          </cell>
          <cell r="B2629" t="str">
            <v>一级</v>
          </cell>
          <cell r="C2629" t="str">
            <v>新气管道</v>
          </cell>
          <cell r="D2629" t="str">
            <v>新气管道干线</v>
          </cell>
        </row>
        <row r="2630">
          <cell r="A2630" t="str">
            <v>九丘坳阀室</v>
          </cell>
          <cell r="B2630" t="str">
            <v>一级</v>
          </cell>
          <cell r="C2630" t="str">
            <v>新气管道</v>
          </cell>
          <cell r="D2630" t="str">
            <v>新气管道干线</v>
          </cell>
        </row>
        <row r="2631">
          <cell r="A2631" t="str">
            <v>荷花塘阀室</v>
          </cell>
          <cell r="B2631" t="str">
            <v>一级</v>
          </cell>
          <cell r="C2631" t="str">
            <v>新气管道</v>
          </cell>
          <cell r="D2631" t="str">
            <v>新气管道干线</v>
          </cell>
        </row>
        <row r="2632">
          <cell r="A2632" t="str">
            <v>红茶亭阀室</v>
          </cell>
          <cell r="B2632" t="str">
            <v>一级</v>
          </cell>
          <cell r="C2632" t="str">
            <v>新气管道</v>
          </cell>
          <cell r="D2632" t="str">
            <v>新气管道干线</v>
          </cell>
        </row>
        <row r="2633">
          <cell r="A2633" t="str">
            <v>老头冲阀室</v>
          </cell>
          <cell r="B2633" t="str">
            <v>一级</v>
          </cell>
          <cell r="C2633" t="str">
            <v>新气管道</v>
          </cell>
          <cell r="D2633" t="str">
            <v>新气管道干线</v>
          </cell>
        </row>
        <row r="2634">
          <cell r="A2634" t="str">
            <v>衡阳站</v>
          </cell>
          <cell r="B2634" t="str">
            <v>一级</v>
          </cell>
          <cell r="C2634" t="str">
            <v>新气管道</v>
          </cell>
          <cell r="D2634" t="str">
            <v>新气管道干线</v>
          </cell>
        </row>
        <row r="2635">
          <cell r="A2635" t="str">
            <v>洲上阀室</v>
          </cell>
          <cell r="B2635" t="str">
            <v>一级</v>
          </cell>
          <cell r="C2635" t="str">
            <v>新气管道</v>
          </cell>
          <cell r="D2635" t="str">
            <v>新气管道干线</v>
          </cell>
        </row>
        <row r="2636">
          <cell r="A2636" t="str">
            <v>长泉村阀室</v>
          </cell>
          <cell r="B2636" t="str">
            <v>一级</v>
          </cell>
          <cell r="C2636" t="str">
            <v>新气管道</v>
          </cell>
          <cell r="D2636" t="str">
            <v>新气管道干线</v>
          </cell>
        </row>
        <row r="2637">
          <cell r="A2637" t="str">
            <v>里王村阀室</v>
          </cell>
          <cell r="B2637" t="str">
            <v>一级</v>
          </cell>
          <cell r="C2637" t="str">
            <v>新气管道</v>
          </cell>
          <cell r="D2637" t="str">
            <v>新气管道干线</v>
          </cell>
        </row>
        <row r="2638">
          <cell r="A2638" t="str">
            <v>梧桥阀室</v>
          </cell>
          <cell r="B2638" t="str">
            <v>一级</v>
          </cell>
          <cell r="C2638" t="str">
            <v>新气管道</v>
          </cell>
          <cell r="D2638" t="str">
            <v>新气管道干线</v>
          </cell>
        </row>
        <row r="2639">
          <cell r="A2639" t="str">
            <v>土桥阀室</v>
          </cell>
          <cell r="B2639" t="str">
            <v>一级</v>
          </cell>
          <cell r="C2639" t="str">
            <v>新气管道</v>
          </cell>
          <cell r="D2639" t="str">
            <v>新气管道干线</v>
          </cell>
        </row>
        <row r="2640">
          <cell r="A2640" t="str">
            <v>东冲阀室</v>
          </cell>
          <cell r="B2640" t="str">
            <v>一级</v>
          </cell>
          <cell r="C2640" t="str">
            <v>新气管道</v>
          </cell>
          <cell r="D2640" t="str">
            <v>新气管道干线</v>
          </cell>
        </row>
        <row r="2641">
          <cell r="A2641" t="str">
            <v>郴州站</v>
          </cell>
          <cell r="B2641" t="str">
            <v>一级</v>
          </cell>
          <cell r="C2641" t="str">
            <v>新气管道</v>
          </cell>
          <cell r="D2641" t="str">
            <v>新气管道干线</v>
          </cell>
        </row>
        <row r="2642">
          <cell r="A2642" t="str">
            <v>黄家阀室</v>
          </cell>
          <cell r="B2642" t="str">
            <v>一级</v>
          </cell>
          <cell r="C2642" t="str">
            <v>新气管道</v>
          </cell>
          <cell r="D2642" t="str">
            <v>新气管道干线</v>
          </cell>
        </row>
        <row r="2643">
          <cell r="A2643" t="str">
            <v>邓家塘阀室</v>
          </cell>
          <cell r="B2643" t="str">
            <v>一级</v>
          </cell>
          <cell r="C2643" t="str">
            <v>新气管道</v>
          </cell>
          <cell r="D2643" t="str">
            <v>新气管道干线</v>
          </cell>
        </row>
        <row r="2644">
          <cell r="A2644" t="str">
            <v>段家阀室</v>
          </cell>
          <cell r="B2644" t="str">
            <v>一级</v>
          </cell>
          <cell r="C2644" t="str">
            <v>新气管道</v>
          </cell>
          <cell r="D2644" t="str">
            <v>新气管道干线</v>
          </cell>
        </row>
        <row r="2645">
          <cell r="A2645" t="str">
            <v>廊头阀室</v>
          </cell>
          <cell r="B2645" t="str">
            <v>一级</v>
          </cell>
          <cell r="C2645" t="str">
            <v>新气管道</v>
          </cell>
          <cell r="D2645" t="str">
            <v>新气管道干线</v>
          </cell>
        </row>
        <row r="2646">
          <cell r="A2646" t="str">
            <v>周雷阀室</v>
          </cell>
          <cell r="B2646" t="str">
            <v>一级</v>
          </cell>
          <cell r="C2646" t="str">
            <v>新气管道</v>
          </cell>
          <cell r="D2646" t="str">
            <v>新气管道干线</v>
          </cell>
        </row>
        <row r="2647">
          <cell r="A2647" t="str">
            <v>深源阀室</v>
          </cell>
          <cell r="B2647" t="str">
            <v>一级</v>
          </cell>
          <cell r="C2647" t="str">
            <v>新气管道</v>
          </cell>
          <cell r="D2647" t="str">
            <v>新气管道干线</v>
          </cell>
        </row>
        <row r="2648">
          <cell r="A2648" t="str">
            <v>井塘阀室</v>
          </cell>
          <cell r="B2648" t="str">
            <v>一级</v>
          </cell>
          <cell r="C2648" t="str">
            <v>新气管道</v>
          </cell>
          <cell r="D2648" t="str">
            <v>新气管道干线</v>
          </cell>
        </row>
        <row r="2649">
          <cell r="A2649" t="str">
            <v>乐昌站</v>
          </cell>
          <cell r="B2649" t="str">
            <v>一级</v>
          </cell>
          <cell r="C2649" t="str">
            <v>新气管道</v>
          </cell>
          <cell r="D2649" t="str">
            <v>新气管道干线</v>
          </cell>
        </row>
        <row r="2650">
          <cell r="A2650" t="str">
            <v>内腾阀室</v>
          </cell>
          <cell r="B2650" t="str">
            <v>一级</v>
          </cell>
          <cell r="C2650" t="str">
            <v>新气管道</v>
          </cell>
          <cell r="D2650" t="str">
            <v>新气管道干线</v>
          </cell>
        </row>
        <row r="2651">
          <cell r="A2651" t="str">
            <v>拗背阀室</v>
          </cell>
          <cell r="B2651" t="str">
            <v>一级</v>
          </cell>
          <cell r="C2651" t="str">
            <v>新气管道</v>
          </cell>
          <cell r="D2651" t="str">
            <v>新气管道干线</v>
          </cell>
        </row>
        <row r="2652">
          <cell r="A2652" t="str">
            <v>新气管道韶关站</v>
          </cell>
          <cell r="B2652" t="str">
            <v>一级</v>
          </cell>
          <cell r="C2652" t="str">
            <v>新气管道</v>
          </cell>
          <cell r="D2652" t="str">
            <v>新气管道干线</v>
          </cell>
        </row>
        <row r="2653">
          <cell r="A2653" t="str">
            <v>周田镇1#阀室</v>
          </cell>
          <cell r="B2653" t="str">
            <v>一级</v>
          </cell>
          <cell r="C2653" t="str">
            <v>新气管道</v>
          </cell>
          <cell r="D2653" t="str">
            <v>新气管道干线</v>
          </cell>
        </row>
        <row r="2654">
          <cell r="A2654" t="str">
            <v>周田镇2#阀室</v>
          </cell>
          <cell r="B2654" t="str">
            <v>一级</v>
          </cell>
          <cell r="C2654" t="str">
            <v>新气管道</v>
          </cell>
          <cell r="D2654" t="str">
            <v>新气管道干线</v>
          </cell>
        </row>
        <row r="2655">
          <cell r="A2655" t="str">
            <v>城南镇阀室</v>
          </cell>
          <cell r="B2655" t="str">
            <v>一级</v>
          </cell>
          <cell r="C2655" t="str">
            <v>新气管道</v>
          </cell>
          <cell r="D2655" t="str">
            <v>新气管道干线</v>
          </cell>
        </row>
        <row r="2656">
          <cell r="A2656" t="str">
            <v>衡阳站</v>
          </cell>
          <cell r="B2656" t="str">
            <v>一级</v>
          </cell>
          <cell r="C2656" t="str">
            <v>新气管道</v>
          </cell>
          <cell r="D2656" t="str">
            <v>新气管道干线</v>
          </cell>
        </row>
        <row r="2657">
          <cell r="A2657" t="str">
            <v>1#茶市镇阀室</v>
          </cell>
          <cell r="B2657" t="str">
            <v>一级</v>
          </cell>
          <cell r="C2657" t="str">
            <v>新气管道</v>
          </cell>
          <cell r="D2657" t="str">
            <v>广西支干线</v>
          </cell>
        </row>
        <row r="2658">
          <cell r="A2658" t="str">
            <v>2#云集镇 1#阀室</v>
          </cell>
          <cell r="B2658" t="str">
            <v>一级</v>
          </cell>
          <cell r="C2658" t="str">
            <v>新气管道</v>
          </cell>
          <cell r="D2658" t="str">
            <v>广西支干线</v>
          </cell>
        </row>
        <row r="2659">
          <cell r="A2659" t="str">
            <v>3#云集镇 2#阀室</v>
          </cell>
          <cell r="B2659" t="str">
            <v>一级</v>
          </cell>
          <cell r="C2659" t="str">
            <v>新气管道</v>
          </cell>
          <cell r="D2659" t="str">
            <v>广西支干线</v>
          </cell>
        </row>
        <row r="2660">
          <cell r="A2660" t="str">
            <v>4#栗江镇阀室</v>
          </cell>
          <cell r="B2660" t="str">
            <v>一级</v>
          </cell>
          <cell r="C2660" t="str">
            <v>新气管道</v>
          </cell>
          <cell r="D2660" t="str">
            <v>广西支干线</v>
          </cell>
        </row>
        <row r="2661">
          <cell r="A2661" t="str">
            <v>5#硫市镇阀室</v>
          </cell>
          <cell r="B2661" t="str">
            <v>一级</v>
          </cell>
          <cell r="C2661" t="str">
            <v>新气管道</v>
          </cell>
          <cell r="D2661" t="str">
            <v>广西支干线</v>
          </cell>
        </row>
        <row r="2662">
          <cell r="A2662" t="str">
            <v>6#茅市镇阀室</v>
          </cell>
          <cell r="B2662" t="str">
            <v>一级</v>
          </cell>
          <cell r="C2662" t="str">
            <v>新气管道</v>
          </cell>
          <cell r="D2662" t="str">
            <v>广西支干线</v>
          </cell>
        </row>
        <row r="2663">
          <cell r="A2663" t="str">
            <v>7#鸟江镇阀室</v>
          </cell>
          <cell r="B2663" t="str">
            <v>一级</v>
          </cell>
          <cell r="C2663" t="str">
            <v>新气管道</v>
          </cell>
          <cell r="D2663" t="str">
            <v>广西支干线</v>
          </cell>
        </row>
        <row r="2664">
          <cell r="A2664" t="str">
            <v>8#潘市镇1#阀室</v>
          </cell>
          <cell r="B2664" t="str">
            <v>一级</v>
          </cell>
          <cell r="C2664" t="str">
            <v>新气管道</v>
          </cell>
          <cell r="D2664" t="str">
            <v>广西支干线</v>
          </cell>
        </row>
        <row r="2665">
          <cell r="A2665" t="str">
            <v>9#潘市镇2#阀室</v>
          </cell>
          <cell r="B2665" t="str">
            <v>一级</v>
          </cell>
          <cell r="C2665" t="str">
            <v>新气管道</v>
          </cell>
          <cell r="D2665" t="str">
            <v>广西支干线</v>
          </cell>
        </row>
        <row r="2666">
          <cell r="A2666" t="str">
            <v>10#白水镇阀室</v>
          </cell>
          <cell r="B2666" t="str">
            <v>一级</v>
          </cell>
          <cell r="C2666" t="str">
            <v>新气管道</v>
          </cell>
          <cell r="D2666" t="str">
            <v>广西支干线</v>
          </cell>
        </row>
        <row r="2667">
          <cell r="A2667" t="str">
            <v>11#大忠桥镇阀</v>
          </cell>
          <cell r="B2667" t="str">
            <v>一级</v>
          </cell>
          <cell r="C2667" t="str">
            <v>新气管道</v>
          </cell>
          <cell r="D2667" t="str">
            <v>广西支干线</v>
          </cell>
        </row>
        <row r="2668">
          <cell r="A2668" t="str">
            <v>永州分输站</v>
          </cell>
          <cell r="B2668" t="str">
            <v>一级</v>
          </cell>
          <cell r="C2668" t="str">
            <v>新气管道</v>
          </cell>
          <cell r="D2668" t="str">
            <v>广西支干线</v>
          </cell>
        </row>
        <row r="2669">
          <cell r="A2669" t="str">
            <v>12#凼底乡阀室</v>
          </cell>
          <cell r="B2669" t="str">
            <v>一级</v>
          </cell>
          <cell r="C2669" t="str">
            <v>新气管道</v>
          </cell>
          <cell r="D2669" t="str">
            <v>广西支干线</v>
          </cell>
        </row>
        <row r="2670">
          <cell r="A2670" t="str">
            <v>13#黄田铺镇阀室</v>
          </cell>
          <cell r="B2670" t="str">
            <v>一级</v>
          </cell>
          <cell r="C2670" t="str">
            <v>新气管道</v>
          </cell>
          <cell r="D2670" t="str">
            <v>广西支干线</v>
          </cell>
        </row>
        <row r="2671">
          <cell r="A2671" t="str">
            <v>14#珠山镇阀室</v>
          </cell>
          <cell r="B2671" t="str">
            <v>一级</v>
          </cell>
          <cell r="C2671" t="str">
            <v>新气管道</v>
          </cell>
          <cell r="D2671" t="str">
            <v>广西支干线</v>
          </cell>
        </row>
        <row r="2672">
          <cell r="A2672" t="str">
            <v>15#永岁乡1#阀室</v>
          </cell>
          <cell r="B2672" t="str">
            <v>一级</v>
          </cell>
          <cell r="C2672" t="str">
            <v>新气管道</v>
          </cell>
          <cell r="D2672" t="str">
            <v>广西支干线</v>
          </cell>
        </row>
        <row r="2673">
          <cell r="A2673" t="str">
            <v>16#永岁乡2#阀室</v>
          </cell>
          <cell r="B2673" t="str">
            <v>一级</v>
          </cell>
          <cell r="C2673" t="str">
            <v>新气管道</v>
          </cell>
          <cell r="D2673" t="str">
            <v>广西支干线</v>
          </cell>
        </row>
        <row r="2674">
          <cell r="A2674" t="str">
            <v>才湾分输站</v>
          </cell>
          <cell r="B2674" t="str">
            <v>一级</v>
          </cell>
          <cell r="C2674" t="str">
            <v>新气管道</v>
          </cell>
          <cell r="D2674" t="str">
            <v>广西支干线</v>
          </cell>
        </row>
        <row r="2675">
          <cell r="A2675" t="str">
            <v>17#凤凰镇阀室</v>
          </cell>
          <cell r="B2675" t="str">
            <v>一级</v>
          </cell>
          <cell r="C2675" t="str">
            <v>新气管道</v>
          </cell>
          <cell r="D2675" t="str">
            <v>广西支干线</v>
          </cell>
        </row>
        <row r="2676">
          <cell r="A2676" t="str">
            <v>18#界首镇阀室</v>
          </cell>
          <cell r="B2676" t="str">
            <v>一级</v>
          </cell>
          <cell r="C2676" t="str">
            <v>新气管道</v>
          </cell>
          <cell r="D2676" t="str">
            <v>广西支干线</v>
          </cell>
        </row>
        <row r="2677">
          <cell r="A2677" t="str">
            <v>19#严关镇阀室</v>
          </cell>
          <cell r="B2677" t="str">
            <v>一级</v>
          </cell>
          <cell r="C2677" t="str">
            <v>新气管道</v>
          </cell>
          <cell r="D2677" t="str">
            <v>广西支干线</v>
          </cell>
        </row>
        <row r="2678">
          <cell r="A2678" t="str">
            <v>20#溶江镇阀室</v>
          </cell>
          <cell r="B2678" t="str">
            <v>一级</v>
          </cell>
          <cell r="C2678" t="str">
            <v>新气管道</v>
          </cell>
          <cell r="D2678" t="str">
            <v>广西支干线</v>
          </cell>
        </row>
        <row r="2679">
          <cell r="A2679" t="str">
            <v>21#三街镇阀室</v>
          </cell>
          <cell r="B2679" t="str">
            <v>一级</v>
          </cell>
          <cell r="C2679" t="str">
            <v>新气管道</v>
          </cell>
          <cell r="D2679" t="str">
            <v>广西支干线</v>
          </cell>
        </row>
        <row r="2680">
          <cell r="A2680" t="str">
            <v>22#潭下镇阀室</v>
          </cell>
          <cell r="B2680" t="str">
            <v>一级</v>
          </cell>
          <cell r="C2680" t="str">
            <v>新气管道</v>
          </cell>
          <cell r="D2680" t="str">
            <v>广西支干线</v>
          </cell>
        </row>
        <row r="2681">
          <cell r="A2681" t="str">
            <v>23#定江镇阀室</v>
          </cell>
          <cell r="B2681" t="str">
            <v>一级</v>
          </cell>
          <cell r="C2681" t="str">
            <v>新气管道</v>
          </cell>
          <cell r="D2681" t="str">
            <v>广西支干线</v>
          </cell>
        </row>
        <row r="2682">
          <cell r="A2682" t="str">
            <v>24#临桂镇阀室</v>
          </cell>
          <cell r="B2682" t="str">
            <v>一级</v>
          </cell>
          <cell r="C2682" t="str">
            <v>新气管道</v>
          </cell>
          <cell r="D2682" t="str">
            <v>广西支干线</v>
          </cell>
        </row>
        <row r="2683">
          <cell r="A2683" t="str">
            <v>桂林输气站</v>
          </cell>
          <cell r="B2683" t="str">
            <v>一级</v>
          </cell>
          <cell r="C2683" t="str">
            <v>新气管道</v>
          </cell>
          <cell r="D2683" t="str">
            <v>广西支干线</v>
          </cell>
        </row>
        <row r="2684">
          <cell r="A2684" t="str">
            <v>三亚分输站</v>
          </cell>
          <cell r="B2684" t="str">
            <v>二级</v>
          </cell>
          <cell r="C2684" t="str">
            <v>海南管网</v>
          </cell>
          <cell r="D2684" t="str">
            <v>三亚-八所管道</v>
          </cell>
        </row>
        <row r="2685">
          <cell r="A2685" t="str">
            <v>三八1#阀室</v>
          </cell>
          <cell r="B2685" t="str">
            <v>二级</v>
          </cell>
          <cell r="C2685" t="str">
            <v>海南管网</v>
          </cell>
          <cell r="D2685" t="str">
            <v>三亚-八所管道</v>
          </cell>
        </row>
        <row r="2686">
          <cell r="A2686" t="str">
            <v>三八2#阀室</v>
          </cell>
          <cell r="B2686" t="str">
            <v>二级</v>
          </cell>
          <cell r="C2686" t="str">
            <v>海南管网</v>
          </cell>
          <cell r="D2686" t="str">
            <v>三亚-八所管道</v>
          </cell>
        </row>
        <row r="2687">
          <cell r="A2687" t="str">
            <v>三八3#阀室</v>
          </cell>
          <cell r="B2687" t="str">
            <v>二级</v>
          </cell>
          <cell r="C2687" t="str">
            <v>海南管网</v>
          </cell>
          <cell r="D2687" t="str">
            <v>三亚-八所管道</v>
          </cell>
        </row>
        <row r="2688">
          <cell r="A2688" t="str">
            <v>东方站</v>
          </cell>
          <cell r="B2688" t="str">
            <v>二级</v>
          </cell>
          <cell r="C2688" t="str">
            <v>海南管网</v>
          </cell>
          <cell r="D2688" t="str">
            <v>三亚-八所管道</v>
          </cell>
        </row>
        <row r="2689">
          <cell r="A2689" t="str">
            <v>东方首站</v>
          </cell>
          <cell r="B2689" t="str">
            <v>二级</v>
          </cell>
          <cell r="C2689" t="str">
            <v>海南管网</v>
          </cell>
          <cell r="D2689" t="str">
            <v>东洋海管道</v>
          </cell>
        </row>
        <row r="2690">
          <cell r="A2690" t="str">
            <v>东洋海1#阀室</v>
          </cell>
          <cell r="B2690" t="str">
            <v>二级</v>
          </cell>
          <cell r="C2690" t="str">
            <v>海南管网</v>
          </cell>
          <cell r="D2690" t="str">
            <v>东洋海管道</v>
          </cell>
        </row>
        <row r="2691">
          <cell r="A2691" t="str">
            <v>东洋海2#阀室</v>
          </cell>
          <cell r="B2691" t="str">
            <v>二级</v>
          </cell>
          <cell r="C2691" t="str">
            <v>海南管网</v>
          </cell>
          <cell r="D2691" t="str">
            <v>东洋海管道</v>
          </cell>
        </row>
        <row r="2692">
          <cell r="A2692" t="str">
            <v>东洋海3#阀室</v>
          </cell>
          <cell r="B2692" t="str">
            <v>二级</v>
          </cell>
          <cell r="C2692" t="str">
            <v>海南管网</v>
          </cell>
          <cell r="D2692" t="str">
            <v>东洋海管道</v>
          </cell>
        </row>
        <row r="2693">
          <cell r="A2693" t="str">
            <v>东洋海4#阀室</v>
          </cell>
          <cell r="B2693" t="str">
            <v>二级</v>
          </cell>
          <cell r="C2693" t="str">
            <v>海南管网</v>
          </cell>
          <cell r="D2693" t="str">
            <v>东洋海管道</v>
          </cell>
        </row>
        <row r="2694">
          <cell r="A2694" t="str">
            <v>东洋海5#阀室</v>
          </cell>
          <cell r="B2694" t="str">
            <v>二级</v>
          </cell>
          <cell r="C2694" t="str">
            <v>海南管网</v>
          </cell>
          <cell r="D2694" t="str">
            <v>东洋海管道</v>
          </cell>
        </row>
        <row r="2695">
          <cell r="A2695" t="str">
            <v>东洋海6#阀室</v>
          </cell>
          <cell r="B2695" t="str">
            <v>二级</v>
          </cell>
          <cell r="C2695" t="str">
            <v>海南管网</v>
          </cell>
          <cell r="D2695" t="str">
            <v>东洋海管道</v>
          </cell>
        </row>
        <row r="2696">
          <cell r="A2696" t="str">
            <v>东洋海7#阀室</v>
          </cell>
          <cell r="B2696" t="str">
            <v>二级</v>
          </cell>
          <cell r="C2696" t="str">
            <v>海南管网</v>
          </cell>
          <cell r="D2696" t="str">
            <v>东洋海管道</v>
          </cell>
        </row>
        <row r="2697">
          <cell r="A2697" t="str">
            <v>东洋海8#阀室</v>
          </cell>
          <cell r="B2697" t="str">
            <v>二级</v>
          </cell>
          <cell r="C2697" t="str">
            <v>海南管网</v>
          </cell>
          <cell r="D2697" t="str">
            <v>东洋海管道</v>
          </cell>
        </row>
        <row r="2698">
          <cell r="A2698" t="str">
            <v>儋州站</v>
          </cell>
          <cell r="B2698" t="str">
            <v>二级</v>
          </cell>
          <cell r="C2698" t="str">
            <v>海南管网</v>
          </cell>
          <cell r="D2698" t="str">
            <v>东洋海管道</v>
          </cell>
        </row>
        <row r="2699">
          <cell r="A2699" t="str">
            <v>洋浦站</v>
          </cell>
          <cell r="B2699" t="str">
            <v>二级</v>
          </cell>
          <cell r="C2699" t="str">
            <v>海南管网</v>
          </cell>
          <cell r="D2699" t="str">
            <v>东洋海管道</v>
          </cell>
        </row>
        <row r="2700">
          <cell r="A2700" t="str">
            <v>东洋海9#阀室</v>
          </cell>
          <cell r="B2700" t="str">
            <v>二级</v>
          </cell>
          <cell r="C2700" t="str">
            <v>海南管网</v>
          </cell>
          <cell r="D2700" t="str">
            <v>东洋海管道</v>
          </cell>
        </row>
        <row r="2701">
          <cell r="A2701" t="str">
            <v>东洋海10#阀室</v>
          </cell>
          <cell r="B2701" t="str">
            <v>二级</v>
          </cell>
          <cell r="C2701" t="str">
            <v>海南管网</v>
          </cell>
          <cell r="D2701" t="str">
            <v>东洋海管道</v>
          </cell>
        </row>
        <row r="2702">
          <cell r="A2702" t="str">
            <v>东洋海11#阀室</v>
          </cell>
          <cell r="B2702" t="str">
            <v>二级</v>
          </cell>
          <cell r="C2702" t="str">
            <v>海南管网</v>
          </cell>
          <cell r="D2702" t="str">
            <v>东洋海管道</v>
          </cell>
        </row>
        <row r="2703">
          <cell r="A2703" t="str">
            <v>东洋海12#阀室</v>
          </cell>
          <cell r="B2703" t="str">
            <v>二级</v>
          </cell>
          <cell r="C2703" t="str">
            <v>海南管网</v>
          </cell>
          <cell r="D2703" t="str">
            <v>东洋海管道</v>
          </cell>
        </row>
        <row r="2704">
          <cell r="A2704" t="str">
            <v>海口分输站</v>
          </cell>
          <cell r="B2704" t="str">
            <v>二级</v>
          </cell>
          <cell r="C2704" t="str">
            <v>海南管网</v>
          </cell>
          <cell r="D2704" t="str">
            <v>东洋海管道</v>
          </cell>
        </row>
        <row r="2705">
          <cell r="A2705" t="str">
            <v>东洋海3#阀室</v>
          </cell>
          <cell r="B2705" t="str">
            <v>二级</v>
          </cell>
          <cell r="C2705" t="str">
            <v>海南管网</v>
          </cell>
          <cell r="D2705" t="str">
            <v>昌江支线</v>
          </cell>
        </row>
        <row r="2706">
          <cell r="A2706" t="str">
            <v>昌江站</v>
          </cell>
          <cell r="B2706" t="str">
            <v>二级</v>
          </cell>
          <cell r="C2706" t="str">
            <v>海南管网</v>
          </cell>
          <cell r="D2706" t="str">
            <v>昌江支线</v>
          </cell>
        </row>
        <row r="2707">
          <cell r="A2707" t="str">
            <v>海文14#阀室</v>
          </cell>
          <cell r="B2707" t="str">
            <v>二级</v>
          </cell>
          <cell r="C2707" t="str">
            <v>海南管网</v>
          </cell>
          <cell r="D2707" t="str">
            <v>海口-文昌管道</v>
          </cell>
        </row>
        <row r="2708">
          <cell r="A2708" t="str">
            <v>海文15#阀室</v>
          </cell>
          <cell r="B2708" t="str">
            <v>二级</v>
          </cell>
          <cell r="C2708" t="str">
            <v>海南管网</v>
          </cell>
          <cell r="D2708" t="str">
            <v>海口-文昌管道</v>
          </cell>
        </row>
        <row r="2709">
          <cell r="A2709" t="str">
            <v>海文16#阀室</v>
          </cell>
          <cell r="B2709" t="str">
            <v>二级</v>
          </cell>
          <cell r="C2709" t="str">
            <v>海南管网</v>
          </cell>
          <cell r="D2709" t="str">
            <v>海口-文昌管道</v>
          </cell>
        </row>
        <row r="2710">
          <cell r="A2710" t="str">
            <v>海文17#阀室</v>
          </cell>
          <cell r="B2710" t="str">
            <v>二级</v>
          </cell>
          <cell r="C2710" t="str">
            <v>海南管网</v>
          </cell>
          <cell r="D2710" t="str">
            <v>海口-文昌管道</v>
          </cell>
        </row>
        <row r="2711">
          <cell r="A2711" t="str">
            <v>海文18#阀室</v>
          </cell>
          <cell r="B2711" t="str">
            <v>二级</v>
          </cell>
          <cell r="C2711" t="str">
            <v>海南管网</v>
          </cell>
          <cell r="D2711" t="str">
            <v>海口-文昌管道</v>
          </cell>
        </row>
        <row r="2712">
          <cell r="A2712" t="str">
            <v>文昌站</v>
          </cell>
          <cell r="B2712" t="str">
            <v>二级</v>
          </cell>
          <cell r="C2712" t="str">
            <v>海南管网</v>
          </cell>
          <cell r="D2712" t="str">
            <v>海口-文昌管道</v>
          </cell>
        </row>
        <row r="2713">
          <cell r="A2713" t="str">
            <v>文昌三亚19#阀室</v>
          </cell>
          <cell r="B2713" t="str">
            <v>二级</v>
          </cell>
          <cell r="C2713" t="str">
            <v>海南管网</v>
          </cell>
          <cell r="D2713" t="str">
            <v>文昌-三亚管道</v>
          </cell>
        </row>
        <row r="2714">
          <cell r="A2714" t="str">
            <v>琼海分输站</v>
          </cell>
          <cell r="B2714" t="str">
            <v>二级</v>
          </cell>
          <cell r="C2714" t="str">
            <v>海南管网</v>
          </cell>
          <cell r="D2714" t="str">
            <v>文昌-三亚管道</v>
          </cell>
        </row>
        <row r="2715">
          <cell r="A2715" t="str">
            <v>文昌三亚20#阀室</v>
          </cell>
          <cell r="B2715" t="str">
            <v>二级</v>
          </cell>
          <cell r="C2715" t="str">
            <v>海南管网</v>
          </cell>
          <cell r="D2715" t="str">
            <v>文昌-三亚管道</v>
          </cell>
        </row>
        <row r="2716">
          <cell r="A2716" t="str">
            <v>文昌三亚21#阀室</v>
          </cell>
          <cell r="B2716" t="str">
            <v>二级</v>
          </cell>
          <cell r="C2716" t="str">
            <v>海南管网</v>
          </cell>
          <cell r="D2716" t="str">
            <v>文昌-三亚管道</v>
          </cell>
        </row>
        <row r="2717">
          <cell r="A2717" t="str">
            <v>文昌三亚22#阀室</v>
          </cell>
          <cell r="B2717" t="str">
            <v>二级</v>
          </cell>
          <cell r="C2717" t="str">
            <v>海南管网</v>
          </cell>
          <cell r="D2717" t="str">
            <v>文昌-三亚管道</v>
          </cell>
        </row>
        <row r="2718">
          <cell r="A2718" t="str">
            <v>文昌三亚23#阀室</v>
          </cell>
          <cell r="B2718" t="str">
            <v>二级</v>
          </cell>
          <cell r="C2718" t="str">
            <v>海南管网</v>
          </cell>
          <cell r="D2718" t="str">
            <v>文昌-三亚管道</v>
          </cell>
        </row>
        <row r="2719">
          <cell r="A2719" t="str">
            <v>文昌三亚24#阀室</v>
          </cell>
          <cell r="B2719" t="str">
            <v>二级</v>
          </cell>
          <cell r="C2719" t="str">
            <v>海南管网</v>
          </cell>
          <cell r="D2719" t="str">
            <v>文昌-三亚管道</v>
          </cell>
        </row>
        <row r="2720">
          <cell r="A2720" t="str">
            <v>万宁分输站</v>
          </cell>
          <cell r="B2720" t="str">
            <v>二级</v>
          </cell>
          <cell r="C2720" t="str">
            <v>海南管网</v>
          </cell>
          <cell r="D2720" t="str">
            <v>文昌-三亚管道</v>
          </cell>
        </row>
        <row r="2721">
          <cell r="A2721" t="str">
            <v>文昌三亚25#阀室</v>
          </cell>
          <cell r="B2721" t="str">
            <v>二级</v>
          </cell>
          <cell r="C2721" t="str">
            <v>海南管网</v>
          </cell>
          <cell r="D2721" t="str">
            <v>文昌-三亚管道</v>
          </cell>
        </row>
        <row r="2722">
          <cell r="A2722" t="str">
            <v>文昌三亚26#阀室</v>
          </cell>
          <cell r="B2722" t="str">
            <v>二级</v>
          </cell>
          <cell r="C2722" t="str">
            <v>海南管网</v>
          </cell>
          <cell r="D2722" t="str">
            <v>文昌-三亚管道</v>
          </cell>
        </row>
        <row r="2723">
          <cell r="A2723" t="str">
            <v>文昌三亚27#阀室</v>
          </cell>
          <cell r="B2723" t="str">
            <v>二级</v>
          </cell>
          <cell r="C2723" t="str">
            <v>海南管网</v>
          </cell>
          <cell r="D2723" t="str">
            <v>文昌-三亚管道</v>
          </cell>
        </row>
        <row r="2724">
          <cell r="A2724" t="str">
            <v>文昌三亚28#阀室</v>
          </cell>
          <cell r="B2724" t="str">
            <v>二级</v>
          </cell>
          <cell r="C2724" t="str">
            <v>海南管网</v>
          </cell>
          <cell r="D2724" t="str">
            <v>文昌-三亚管道</v>
          </cell>
        </row>
        <row r="2725">
          <cell r="A2725" t="str">
            <v>文昌三亚29#阀室</v>
          </cell>
          <cell r="B2725" t="str">
            <v>二级</v>
          </cell>
          <cell r="C2725" t="str">
            <v>海南管网</v>
          </cell>
          <cell r="D2725" t="str">
            <v>文昌-三亚管道</v>
          </cell>
        </row>
        <row r="2726">
          <cell r="A2726" t="str">
            <v>文昌三亚30#阀室</v>
          </cell>
          <cell r="B2726" t="str">
            <v>二级</v>
          </cell>
          <cell r="C2726" t="str">
            <v>海南管网</v>
          </cell>
          <cell r="D2726" t="str">
            <v>文昌-三亚管道</v>
          </cell>
        </row>
        <row r="2727">
          <cell r="A2727" t="str">
            <v>文昌三亚31#阀室</v>
          </cell>
          <cell r="B2727" t="str">
            <v>二级</v>
          </cell>
          <cell r="C2727" t="str">
            <v>海南管网</v>
          </cell>
          <cell r="D2727" t="str">
            <v>文昌-三亚管道</v>
          </cell>
        </row>
        <row r="2728">
          <cell r="A2728" t="str">
            <v>文昌三亚32#阀室</v>
          </cell>
          <cell r="B2728" t="str">
            <v>二级</v>
          </cell>
          <cell r="C2728" t="str">
            <v>海南管网</v>
          </cell>
          <cell r="D2728" t="str">
            <v>文昌-三亚管道</v>
          </cell>
        </row>
        <row r="2729">
          <cell r="A2729" t="str">
            <v>文昌三亚33#阀室</v>
          </cell>
          <cell r="B2729" t="str">
            <v>二级</v>
          </cell>
          <cell r="C2729" t="str">
            <v>海南管网</v>
          </cell>
          <cell r="D2729" t="str">
            <v>文昌-三亚管道</v>
          </cell>
        </row>
        <row r="2730">
          <cell r="A2730" t="str">
            <v>文昌三亚34#阀室</v>
          </cell>
          <cell r="B2730" t="str">
            <v>二级</v>
          </cell>
          <cell r="C2730" t="str">
            <v>海南管网</v>
          </cell>
          <cell r="D2730" t="str">
            <v>文昌-三亚管道</v>
          </cell>
        </row>
        <row r="2731">
          <cell r="A2731" t="str">
            <v>文昌三亚35#阀室</v>
          </cell>
          <cell r="B2731" t="str">
            <v>二级</v>
          </cell>
          <cell r="C2731" t="str">
            <v>海南管网</v>
          </cell>
          <cell r="D2731" t="str">
            <v>文昌-三亚管道</v>
          </cell>
        </row>
        <row r="2732">
          <cell r="A2732" t="str">
            <v>三亚分输站</v>
          </cell>
          <cell r="B2732" t="str">
            <v>二级</v>
          </cell>
          <cell r="C2732" t="str">
            <v>海南管网</v>
          </cell>
          <cell r="D2732" t="str">
            <v>文昌-三亚管道</v>
          </cell>
        </row>
        <row r="2733">
          <cell r="A2733" t="str">
            <v>神州半岛末站</v>
          </cell>
          <cell r="B2733" t="str">
            <v>二级</v>
          </cell>
          <cell r="C2733" t="str">
            <v>海南管网</v>
          </cell>
          <cell r="D2733" t="str">
            <v>神州半岛支线</v>
          </cell>
        </row>
        <row r="2734">
          <cell r="A2734" t="str">
            <v>北大分输站</v>
          </cell>
          <cell r="B2734" t="str">
            <v>二级</v>
          </cell>
          <cell r="C2734" t="str">
            <v>海南管网</v>
          </cell>
          <cell r="D2734" t="str">
            <v>文昌-三亚管道</v>
          </cell>
        </row>
        <row r="2735">
          <cell r="A2735" t="str">
            <v>文东1#阀室</v>
          </cell>
          <cell r="B2735" t="str">
            <v>二级</v>
          </cell>
          <cell r="C2735" t="str">
            <v>海南管网</v>
          </cell>
          <cell r="D2735" t="str">
            <v>文昌-东路管道</v>
          </cell>
        </row>
        <row r="2736">
          <cell r="A2736" t="str">
            <v>东路站</v>
          </cell>
          <cell r="B2736" t="str">
            <v>二级</v>
          </cell>
          <cell r="C2736" t="str">
            <v>海南管网</v>
          </cell>
          <cell r="D2736" t="str">
            <v>文昌-东路管道</v>
          </cell>
        </row>
        <row r="2737">
          <cell r="A2737" t="str">
            <v>大唐清管站</v>
          </cell>
          <cell r="B2737" t="str">
            <v>二级</v>
          </cell>
          <cell r="C2737" t="str">
            <v>海南管网</v>
          </cell>
          <cell r="D2737" t="str">
            <v>大唐海口天然气发电输气管道</v>
          </cell>
        </row>
        <row r="2738">
          <cell r="A2738" t="str">
            <v>华能电厂清管站</v>
          </cell>
          <cell r="B2738" t="str">
            <v>二级</v>
          </cell>
          <cell r="C2738" t="str">
            <v>海南管网</v>
          </cell>
          <cell r="D2738" t="str">
            <v>洋浦石化功能区天然气管道</v>
          </cell>
        </row>
        <row r="2739">
          <cell r="A2739" t="str">
            <v>定兴分输站</v>
          </cell>
          <cell r="B2739" t="str">
            <v>一级</v>
          </cell>
          <cell r="C2739" t="str">
            <v>蒙西管道</v>
          </cell>
          <cell r="D2739" t="str">
            <v>定兴-黄骅输气管道</v>
          </cell>
        </row>
        <row r="2740">
          <cell r="A2740" t="str">
            <v>GX31#阀室</v>
          </cell>
          <cell r="B2740" t="str">
            <v>一级</v>
          </cell>
          <cell r="C2740" t="str">
            <v>蒙西管道</v>
          </cell>
          <cell r="D2740" t="str">
            <v>定兴-黄骅输气管道</v>
          </cell>
        </row>
        <row r="2741">
          <cell r="A2741" t="str">
            <v>GX31+1#阀室</v>
          </cell>
          <cell r="B2741" t="str">
            <v>一级</v>
          </cell>
          <cell r="C2741" t="str">
            <v>蒙西管道</v>
          </cell>
          <cell r="D2741" t="str">
            <v>定兴-黄骅输气管道</v>
          </cell>
        </row>
        <row r="2742">
          <cell r="A2742" t="str">
            <v>GX32#阀室</v>
          </cell>
          <cell r="B2742" t="str">
            <v>一级</v>
          </cell>
          <cell r="C2742" t="str">
            <v>蒙西管道</v>
          </cell>
          <cell r="D2742" t="str">
            <v>定兴-黄骅输气管道</v>
          </cell>
        </row>
        <row r="2743">
          <cell r="A2743" t="str">
            <v>GX32+1#阀室</v>
          </cell>
          <cell r="B2743" t="str">
            <v>一级</v>
          </cell>
          <cell r="C2743" t="str">
            <v>蒙西管道</v>
          </cell>
          <cell r="D2743" t="str">
            <v>定兴-黄骅输气管道</v>
          </cell>
        </row>
        <row r="2744">
          <cell r="A2744" t="str">
            <v>霸州分输阀室</v>
          </cell>
          <cell r="B2744" t="str">
            <v>一级</v>
          </cell>
          <cell r="C2744" t="str">
            <v>蒙西管道</v>
          </cell>
          <cell r="D2744" t="str">
            <v>定兴-黄骅输气管道</v>
          </cell>
        </row>
        <row r="2745">
          <cell r="A2745" t="str">
            <v>GX33#阀室</v>
          </cell>
          <cell r="B2745" t="str">
            <v>一级</v>
          </cell>
          <cell r="C2745" t="str">
            <v>蒙西管道</v>
          </cell>
          <cell r="D2745" t="str">
            <v>定兴-黄骅输气管道</v>
          </cell>
        </row>
        <row r="2746">
          <cell r="A2746" t="str">
            <v>GX34#阀室</v>
          </cell>
          <cell r="B2746" t="str">
            <v>一级</v>
          </cell>
          <cell r="C2746" t="str">
            <v>蒙西管道</v>
          </cell>
          <cell r="D2746" t="str">
            <v>定兴-黄骅输气管道</v>
          </cell>
        </row>
        <row r="2747">
          <cell r="A2747" t="str">
            <v>GX35#阀室</v>
          </cell>
          <cell r="B2747" t="str">
            <v>一级</v>
          </cell>
          <cell r="C2747" t="str">
            <v>蒙西管道</v>
          </cell>
          <cell r="D2747" t="str">
            <v>定兴-黄骅输气管道</v>
          </cell>
        </row>
        <row r="2748">
          <cell r="A2748" t="str">
            <v>GX36#阀室</v>
          </cell>
          <cell r="B2748" t="str">
            <v>一级</v>
          </cell>
          <cell r="C2748" t="str">
            <v>蒙西管道</v>
          </cell>
          <cell r="D2748" t="str">
            <v>定兴-黄骅输气管道</v>
          </cell>
        </row>
        <row r="2749">
          <cell r="A2749" t="str">
            <v>静海分输站</v>
          </cell>
          <cell r="B2749" t="str">
            <v>一级</v>
          </cell>
          <cell r="C2749" t="str">
            <v>蒙西管道</v>
          </cell>
          <cell r="D2749" t="str">
            <v>定兴-黄骅输气管道</v>
          </cell>
        </row>
        <row r="2750">
          <cell r="A2750" t="str">
            <v>GX37#阀室</v>
          </cell>
          <cell r="B2750" t="str">
            <v>一级</v>
          </cell>
          <cell r="C2750" t="str">
            <v>蒙西管道</v>
          </cell>
          <cell r="D2750" t="str">
            <v>定兴-黄骅输气管道</v>
          </cell>
        </row>
        <row r="2751">
          <cell r="A2751" t="str">
            <v>大港分输站</v>
          </cell>
          <cell r="B2751" t="str">
            <v>一级</v>
          </cell>
          <cell r="C2751" t="str">
            <v>蒙西管道</v>
          </cell>
          <cell r="D2751" t="str">
            <v>定兴-黄骅输气管道</v>
          </cell>
        </row>
        <row r="2752">
          <cell r="A2752" t="str">
            <v>齐家务计量清管站</v>
          </cell>
          <cell r="B2752" t="str">
            <v>一级</v>
          </cell>
          <cell r="C2752" t="str">
            <v>蒙西管道</v>
          </cell>
          <cell r="D2752" t="str">
            <v>定兴-黄骅输气管道</v>
          </cell>
        </row>
        <row r="2753">
          <cell r="A2753" t="str">
            <v>GX38#阀室</v>
          </cell>
          <cell r="B2753" t="str">
            <v>一级</v>
          </cell>
          <cell r="C2753" t="str">
            <v>蒙西管道</v>
          </cell>
          <cell r="D2753" t="str">
            <v>定兴-黄骅输气管道</v>
          </cell>
        </row>
        <row r="2754">
          <cell r="A2754" t="str">
            <v>黄骅末站</v>
          </cell>
          <cell r="B2754" t="str">
            <v>一级</v>
          </cell>
          <cell r="C2754" t="str">
            <v>蒙西管道</v>
          </cell>
          <cell r="D2754" t="str">
            <v>定兴-黄骅输气管道</v>
          </cell>
        </row>
        <row r="2755">
          <cell r="A2755" t="str">
            <v>临港分输站</v>
          </cell>
          <cell r="B2755" t="str">
            <v>一级</v>
          </cell>
          <cell r="C2755" t="str">
            <v>蒙西管道</v>
          </cell>
          <cell r="D2755" t="str">
            <v>天津LNG联络线</v>
          </cell>
        </row>
        <row r="2756">
          <cell r="A2756" t="str">
            <v>TJ1#阀室</v>
          </cell>
          <cell r="B2756" t="str">
            <v>一级</v>
          </cell>
          <cell r="C2756" t="str">
            <v>蒙西管道</v>
          </cell>
          <cell r="D2756" t="str">
            <v>天津LNG联络线</v>
          </cell>
        </row>
        <row r="2757">
          <cell r="A2757" t="str">
            <v>TJ2#阀室</v>
          </cell>
          <cell r="B2757" t="str">
            <v>一级</v>
          </cell>
          <cell r="C2757" t="str">
            <v>蒙西管道</v>
          </cell>
          <cell r="D2757" t="str">
            <v>天津LNG联络线</v>
          </cell>
        </row>
        <row r="2758">
          <cell r="A2758" t="str">
            <v>TJ3#阀室</v>
          </cell>
          <cell r="B2758" t="str">
            <v>一级</v>
          </cell>
          <cell r="C2758" t="str">
            <v>蒙西管道</v>
          </cell>
          <cell r="D2758" t="str">
            <v>天津LNG联络线</v>
          </cell>
        </row>
        <row r="2759">
          <cell r="A2759" t="str">
            <v>TJ4#阀室</v>
          </cell>
          <cell r="B2759" t="str">
            <v>一级</v>
          </cell>
          <cell r="C2759" t="str">
            <v>蒙西管道</v>
          </cell>
          <cell r="D2759" t="str">
            <v>天津LNG联络线</v>
          </cell>
        </row>
        <row r="2760">
          <cell r="A2760" t="str">
            <v>TJ5#阀室</v>
          </cell>
          <cell r="B2760" t="str">
            <v>一级</v>
          </cell>
          <cell r="C2760" t="str">
            <v>蒙西管道</v>
          </cell>
          <cell r="D2760" t="str">
            <v>天津LNG联络线</v>
          </cell>
        </row>
        <row r="2761">
          <cell r="A2761" t="str">
            <v>齐家务计量清管站</v>
          </cell>
          <cell r="B2761" t="str">
            <v>一级</v>
          </cell>
          <cell r="C2761" t="str">
            <v>蒙西管道</v>
          </cell>
          <cell r="D2761" t="str">
            <v>天津LNG联络线</v>
          </cell>
        </row>
        <row r="2762">
          <cell r="A2762" t="str">
            <v>霸州分输站</v>
          </cell>
          <cell r="B2762" t="str">
            <v>一级</v>
          </cell>
          <cell r="C2762" t="str">
            <v>蒙西管道</v>
          </cell>
          <cell r="D2762" t="str">
            <v>廊坊支线</v>
          </cell>
        </row>
        <row r="2763">
          <cell r="A2763" t="str">
            <v>LF1#阀室</v>
          </cell>
          <cell r="B2763" t="str">
            <v>一级</v>
          </cell>
          <cell r="C2763" t="str">
            <v>蒙西管道</v>
          </cell>
          <cell r="D2763" t="str">
            <v>廊坊支线</v>
          </cell>
        </row>
        <row r="2764">
          <cell r="A2764" t="str">
            <v>LF2#阀室</v>
          </cell>
          <cell r="B2764" t="str">
            <v>一级</v>
          </cell>
          <cell r="C2764" t="str">
            <v>蒙西管道</v>
          </cell>
          <cell r="D2764" t="str">
            <v>廊坊支线</v>
          </cell>
        </row>
        <row r="2765">
          <cell r="A2765" t="str">
            <v>永清分输站</v>
          </cell>
          <cell r="B2765" t="str">
            <v>一级</v>
          </cell>
          <cell r="C2765" t="str">
            <v>蒙西管道</v>
          </cell>
          <cell r="D2765" t="str">
            <v>廊坊支线</v>
          </cell>
        </row>
        <row r="2766">
          <cell r="A2766" t="str">
            <v>LF3#阀室</v>
          </cell>
          <cell r="B2766" t="str">
            <v>一级</v>
          </cell>
          <cell r="C2766" t="str">
            <v>蒙西管道</v>
          </cell>
          <cell r="D2766" t="str">
            <v>廊坊支线</v>
          </cell>
        </row>
        <row r="2767">
          <cell r="A2767" t="str">
            <v>LF4#阀室</v>
          </cell>
          <cell r="B2767" t="str">
            <v>一级</v>
          </cell>
          <cell r="C2767" t="str">
            <v>蒙西管道</v>
          </cell>
          <cell r="D2767" t="str">
            <v>廊坊支线</v>
          </cell>
        </row>
        <row r="2768">
          <cell r="A2768" t="str">
            <v>廊坊末站</v>
          </cell>
          <cell r="B2768" t="str">
            <v>一级</v>
          </cell>
          <cell r="C2768" t="str">
            <v>蒙西管道</v>
          </cell>
          <cell r="D2768" t="str">
            <v>廊坊支线</v>
          </cell>
        </row>
        <row r="2769">
          <cell r="A2769" t="str">
            <v>廊坊支线LF1#阀室</v>
          </cell>
          <cell r="B2769" t="str">
            <v>一级</v>
          </cell>
          <cell r="C2769" t="str">
            <v>蒙西管道</v>
          </cell>
          <cell r="D2769" t="str">
            <v>霸州站联通线</v>
          </cell>
        </row>
        <row r="2770">
          <cell r="A2770" t="str">
            <v>陕京霸州分输站</v>
          </cell>
          <cell r="B2770" t="str">
            <v>一级</v>
          </cell>
          <cell r="C2770" t="str">
            <v>蒙西管道</v>
          </cell>
          <cell r="D2770" t="str">
            <v>霸州站联通线</v>
          </cell>
        </row>
        <row r="2771">
          <cell r="A2771" t="str">
            <v>天津LNG接收站</v>
          </cell>
          <cell r="B2771" t="str">
            <v>一级</v>
          </cell>
          <cell r="C2771" t="str">
            <v>蒙西管道</v>
          </cell>
          <cell r="D2771" t="str">
            <v>天津LNG外输管道</v>
          </cell>
        </row>
        <row r="2772">
          <cell r="A2772" t="str">
            <v>1#阀室</v>
          </cell>
          <cell r="B2772" t="str">
            <v>一级</v>
          </cell>
          <cell r="C2772" t="str">
            <v>蒙西管道</v>
          </cell>
          <cell r="D2772" t="str">
            <v>天津LNG外输管道</v>
          </cell>
        </row>
        <row r="2773">
          <cell r="A2773" t="str">
            <v>临港分输站</v>
          </cell>
          <cell r="B2773" t="str">
            <v>一级</v>
          </cell>
          <cell r="C2773" t="str">
            <v>蒙西管道</v>
          </cell>
          <cell r="D2773" t="str">
            <v>天津LNG外输管道</v>
          </cell>
        </row>
        <row r="2774">
          <cell r="A2774" t="str">
            <v>天津LNG接收站</v>
          </cell>
          <cell r="B2774" t="str">
            <v>一级</v>
          </cell>
          <cell r="C2774" t="str">
            <v>蒙西管道</v>
          </cell>
          <cell r="D2774" t="str">
            <v>天津LNG外输管道复线</v>
          </cell>
        </row>
        <row r="2775">
          <cell r="A2775" t="str">
            <v>临港分输站</v>
          </cell>
          <cell r="B2775" t="str">
            <v>一级</v>
          </cell>
          <cell r="C2775" t="str">
            <v>蒙西管道</v>
          </cell>
          <cell r="D2775" t="str">
            <v>天津LNG外输管道复线</v>
          </cell>
        </row>
        <row r="2776">
          <cell r="A2776" t="str">
            <v>揭阳首站</v>
          </cell>
          <cell r="B2776" t="str">
            <v>二级</v>
          </cell>
          <cell r="C2776" t="str">
            <v>粤东LNG外输管道</v>
          </cell>
          <cell r="D2776" t="str">
            <v>粤东LNG外输管道干线</v>
          </cell>
        </row>
        <row r="2777">
          <cell r="A2777" t="str">
            <v>惠来站</v>
          </cell>
          <cell r="B2777" t="str">
            <v>二级</v>
          </cell>
          <cell r="C2777" t="str">
            <v>粤东LNG外输管道</v>
          </cell>
          <cell r="D2777" t="str">
            <v>粤东LNG外输管道干线</v>
          </cell>
        </row>
        <row r="2778">
          <cell r="A2778" t="str">
            <v>潮南站</v>
          </cell>
          <cell r="B2778" t="str">
            <v>二级</v>
          </cell>
          <cell r="C2778" t="str">
            <v>粤东LNG外输管道</v>
          </cell>
          <cell r="D2778" t="str">
            <v>粤东LNG外输管道干线</v>
          </cell>
        </row>
        <row r="2779">
          <cell r="A2779" t="str">
            <v>司马浦阀室</v>
          </cell>
          <cell r="B2779" t="str">
            <v>二级</v>
          </cell>
          <cell r="C2779" t="str">
            <v>粤东LNG外输管道</v>
          </cell>
          <cell r="D2779" t="str">
            <v>粤东LNG外输管道干线</v>
          </cell>
        </row>
        <row r="2780">
          <cell r="A2780" t="str">
            <v>铜盂阀室</v>
          </cell>
          <cell r="B2780" t="str">
            <v>二级</v>
          </cell>
          <cell r="C2780" t="str">
            <v>粤东LNG外输管道</v>
          </cell>
          <cell r="D2780" t="str">
            <v>粤东LNG外输管道干线</v>
          </cell>
        </row>
        <row r="2781">
          <cell r="A2781" t="str">
            <v>西胪站</v>
          </cell>
          <cell r="B2781" t="str">
            <v>二级</v>
          </cell>
          <cell r="C2781" t="str">
            <v>粤东LNG外输管道</v>
          </cell>
          <cell r="D2781" t="str">
            <v>粤东LNG外输管道干线</v>
          </cell>
        </row>
        <row r="2782">
          <cell r="A2782" t="str">
            <v>关埠阀室</v>
          </cell>
          <cell r="B2782" t="str">
            <v>二级</v>
          </cell>
          <cell r="C2782" t="str">
            <v>粤东LNG外输管道</v>
          </cell>
          <cell r="D2782" t="str">
            <v>粤东LNG外输管道干线</v>
          </cell>
        </row>
        <row r="2783">
          <cell r="A2783" t="str">
            <v>登岗站</v>
          </cell>
          <cell r="B2783" t="str">
            <v>二级</v>
          </cell>
          <cell r="C2783" t="str">
            <v>粤东LNG外输管道</v>
          </cell>
          <cell r="D2783" t="str">
            <v>粤东LNG外输管道干线</v>
          </cell>
        </row>
        <row r="2784">
          <cell r="A2784" t="str">
            <v>浮洋站</v>
          </cell>
          <cell r="B2784" t="str">
            <v>二级</v>
          </cell>
          <cell r="C2784" t="str">
            <v>粤东LNG外输管道</v>
          </cell>
          <cell r="D2784" t="str">
            <v>粤东LNG外输管道干线</v>
          </cell>
        </row>
        <row r="2785">
          <cell r="A2785" t="str">
            <v>浮洋阀室</v>
          </cell>
          <cell r="B2785" t="str">
            <v>二级</v>
          </cell>
          <cell r="C2785" t="str">
            <v>粤东LNG外输管道</v>
          </cell>
          <cell r="D2785" t="str">
            <v>粤东LNG外输管道干线</v>
          </cell>
        </row>
        <row r="2786">
          <cell r="A2786" t="str">
            <v>磷溪阀室</v>
          </cell>
          <cell r="B2786" t="str">
            <v>二级</v>
          </cell>
          <cell r="C2786" t="str">
            <v>粤东LNG外输管道</v>
          </cell>
          <cell r="D2786" t="str">
            <v>粤东LNG外输管道干线</v>
          </cell>
        </row>
        <row r="2787">
          <cell r="A2787" t="str">
            <v>莲华末站</v>
          </cell>
          <cell r="B2787" t="str">
            <v>二级</v>
          </cell>
          <cell r="C2787" t="str">
            <v>粤东LNG外输管道</v>
          </cell>
          <cell r="D2787" t="str">
            <v>粤东LNG外输管道干线</v>
          </cell>
        </row>
        <row r="2788">
          <cell r="A2788" t="str">
            <v>潮南站</v>
          </cell>
          <cell r="B2788" t="str">
            <v>二级</v>
          </cell>
          <cell r="C2788" t="str">
            <v>粤东LNG外输管道</v>
          </cell>
          <cell r="D2788" t="str">
            <v>普宁支线</v>
          </cell>
        </row>
        <row r="2789">
          <cell r="A2789" t="str">
            <v>普宁末站</v>
          </cell>
          <cell r="B2789" t="str">
            <v>二级</v>
          </cell>
          <cell r="C2789" t="str">
            <v>粤东LNG外输管道</v>
          </cell>
          <cell r="D2789" t="str">
            <v>普宁支线</v>
          </cell>
        </row>
        <row r="2790">
          <cell r="A2790" t="str">
            <v>西胪站</v>
          </cell>
          <cell r="B2790" t="str">
            <v>二级</v>
          </cell>
          <cell r="C2790" t="str">
            <v>粤东LNG外输管道</v>
          </cell>
          <cell r="D2790" t="str">
            <v>潮阳支线</v>
          </cell>
        </row>
        <row r="2791">
          <cell r="A2791" t="str">
            <v>潮阳末站</v>
          </cell>
          <cell r="B2791" t="str">
            <v>二级</v>
          </cell>
          <cell r="C2791" t="str">
            <v>粤东LNG外输管道</v>
          </cell>
          <cell r="D2791" t="str">
            <v>潮阳支线</v>
          </cell>
        </row>
        <row r="2792">
          <cell r="A2792" t="str">
            <v>滨海首站</v>
          </cell>
          <cell r="B2792" t="str">
            <v>一级</v>
          </cell>
          <cell r="C2792" t="str">
            <v>滨海LNG外输管道</v>
          </cell>
          <cell r="D2792" t="str">
            <v>滨海LNG外输管道干线</v>
          </cell>
        </row>
        <row r="2793">
          <cell r="A2793" t="str">
            <v>0#阀室</v>
          </cell>
          <cell r="B2793" t="str">
            <v>一级</v>
          </cell>
          <cell r="C2793" t="str">
            <v>滨海LNG外输管道</v>
          </cell>
          <cell r="D2793" t="str">
            <v>滨海LNG外输管道干线</v>
          </cell>
        </row>
        <row r="2794">
          <cell r="A2794" t="str">
            <v>滨海分输站</v>
          </cell>
          <cell r="B2794" t="str">
            <v>一级</v>
          </cell>
          <cell r="C2794" t="str">
            <v>滨海LNG外输管道</v>
          </cell>
          <cell r="D2794" t="str">
            <v>滨海LNG外输管道干线</v>
          </cell>
        </row>
        <row r="2795">
          <cell r="A2795" t="str">
            <v>江苏1#阀室</v>
          </cell>
          <cell r="B2795" t="str">
            <v>一级</v>
          </cell>
          <cell r="C2795" t="str">
            <v>滨海LNG外输管道</v>
          </cell>
          <cell r="D2795" t="str">
            <v>滨海LNG外输管道干线</v>
          </cell>
        </row>
        <row r="2796">
          <cell r="A2796" t="str">
            <v>江苏2#阀室</v>
          </cell>
          <cell r="B2796" t="str">
            <v>一级</v>
          </cell>
          <cell r="C2796" t="str">
            <v>滨海LNG外输管道</v>
          </cell>
          <cell r="D2796" t="str">
            <v>滨海LNG外输管道干线</v>
          </cell>
        </row>
        <row r="2797">
          <cell r="A2797" t="str">
            <v>江苏3#阀室</v>
          </cell>
          <cell r="B2797" t="str">
            <v>一级</v>
          </cell>
          <cell r="C2797" t="str">
            <v>滨海LNG外输管道</v>
          </cell>
          <cell r="D2797" t="str">
            <v>滨海LNG外输管道干线</v>
          </cell>
        </row>
        <row r="2798">
          <cell r="A2798" t="str">
            <v>通榆分输清管站</v>
          </cell>
          <cell r="B2798" t="str">
            <v>一级</v>
          </cell>
          <cell r="C2798" t="str">
            <v>滨海LNG外输管道</v>
          </cell>
          <cell r="D2798" t="str">
            <v>滨海LNG外输管道干线</v>
          </cell>
        </row>
        <row r="2799">
          <cell r="A2799" t="str">
            <v>江苏4#阀室</v>
          </cell>
          <cell r="B2799" t="str">
            <v>一级</v>
          </cell>
          <cell r="C2799" t="str">
            <v>滨海LNG外输管道</v>
          </cell>
          <cell r="D2799" t="str">
            <v>滨海LNG外输管道干线</v>
          </cell>
        </row>
        <row r="2800">
          <cell r="A2800" t="str">
            <v>江苏5#阀室</v>
          </cell>
          <cell r="B2800" t="str">
            <v>一级</v>
          </cell>
          <cell r="C2800" t="str">
            <v>滨海LNG外输管道</v>
          </cell>
          <cell r="D2800" t="str">
            <v>滨海LNG外输管道干线</v>
          </cell>
        </row>
        <row r="2801">
          <cell r="A2801" t="str">
            <v>江苏6#阀室</v>
          </cell>
          <cell r="B2801" t="str">
            <v>一级</v>
          </cell>
          <cell r="C2801" t="str">
            <v>滨海LNG外输管道</v>
          </cell>
          <cell r="D2801" t="str">
            <v>滨海LNG外输管道干线</v>
          </cell>
        </row>
        <row r="2802">
          <cell r="A2802" t="str">
            <v>江苏7#阀室</v>
          </cell>
          <cell r="B2802" t="str">
            <v>一级</v>
          </cell>
          <cell r="C2802" t="str">
            <v>滨海LNG外输管道</v>
          </cell>
          <cell r="D2802" t="str">
            <v>滨海LNG外输管道干线</v>
          </cell>
        </row>
        <row r="2803">
          <cell r="A2803" t="str">
            <v>江苏8#阀室</v>
          </cell>
          <cell r="B2803" t="str">
            <v>一级</v>
          </cell>
          <cell r="C2803" t="str">
            <v>滨海LNG外输管道</v>
          </cell>
          <cell r="D2803" t="str">
            <v>滨海LNG外输管道干线</v>
          </cell>
        </row>
        <row r="2804">
          <cell r="A2804" t="str">
            <v>江苏9#阀室</v>
          </cell>
          <cell r="B2804" t="str">
            <v>一级</v>
          </cell>
          <cell r="C2804" t="str">
            <v>滨海LNG外输管道</v>
          </cell>
          <cell r="D2804" t="str">
            <v>滨海LNG外输管道干线</v>
          </cell>
        </row>
        <row r="2805">
          <cell r="A2805" t="str">
            <v>淮安分输清管站</v>
          </cell>
          <cell r="B2805" t="str">
            <v>一级</v>
          </cell>
          <cell r="C2805" t="str">
            <v>滨海LNG外输管道</v>
          </cell>
          <cell r="D2805" t="str">
            <v>滨海LNG外输管道干线</v>
          </cell>
        </row>
        <row r="2806">
          <cell r="A2806" t="str">
            <v>江苏10#阀室</v>
          </cell>
          <cell r="B2806" t="str">
            <v>一级</v>
          </cell>
          <cell r="C2806" t="str">
            <v>滨海LNG外输管道</v>
          </cell>
          <cell r="D2806" t="str">
            <v>滨海LNG外输管道干线</v>
          </cell>
        </row>
        <row r="2807">
          <cell r="A2807" t="str">
            <v>江苏11#阀室</v>
          </cell>
          <cell r="B2807" t="str">
            <v>一级</v>
          </cell>
          <cell r="C2807" t="str">
            <v>滨海LNG外输管道</v>
          </cell>
          <cell r="D2807" t="str">
            <v>滨海LNG外输管道干线</v>
          </cell>
        </row>
        <row r="2808">
          <cell r="A2808" t="str">
            <v>江苏12#阀室</v>
          </cell>
          <cell r="B2808" t="str">
            <v>一级</v>
          </cell>
          <cell r="C2808" t="str">
            <v>滨海LNG外输管道</v>
          </cell>
          <cell r="D2808" t="str">
            <v>滨海LNG外输管道干线</v>
          </cell>
        </row>
        <row r="2809">
          <cell r="A2809" t="str">
            <v>江苏13#阀室</v>
          </cell>
          <cell r="B2809" t="str">
            <v>一级</v>
          </cell>
          <cell r="C2809" t="str">
            <v>滨海LNG外输管道</v>
          </cell>
          <cell r="D2809" t="str">
            <v>滨海LNG外输管道干线</v>
          </cell>
        </row>
        <row r="2810">
          <cell r="A2810" t="str">
            <v>江苏14#阀室</v>
          </cell>
          <cell r="B2810" t="str">
            <v>一级</v>
          </cell>
          <cell r="C2810" t="str">
            <v>滨海LNG外输管道</v>
          </cell>
          <cell r="D2810" t="str">
            <v>滨海LNG外输管道干线</v>
          </cell>
        </row>
        <row r="2811">
          <cell r="A2811" t="str">
            <v>旧铺分输清管站</v>
          </cell>
          <cell r="B2811" t="str">
            <v>一级</v>
          </cell>
          <cell r="C2811" t="str">
            <v>滨海LNG外输管道</v>
          </cell>
          <cell r="D2811" t="str">
            <v>滨海LNG外输管道干线</v>
          </cell>
        </row>
        <row r="2812">
          <cell r="A2812" t="str">
            <v>安徽1#阀室</v>
          </cell>
          <cell r="B2812" t="str">
            <v>一级</v>
          </cell>
          <cell r="C2812" t="str">
            <v>滨海LNG外输管道</v>
          </cell>
          <cell r="D2812" t="str">
            <v>滨海LNG外输管道干线</v>
          </cell>
        </row>
        <row r="2813">
          <cell r="A2813" t="str">
            <v>安徽2#阀室</v>
          </cell>
          <cell r="B2813" t="str">
            <v>一级</v>
          </cell>
          <cell r="C2813" t="str">
            <v>滨海LNG外输管道</v>
          </cell>
          <cell r="D2813" t="str">
            <v>滨海LNG外输管道干线</v>
          </cell>
        </row>
        <row r="2814">
          <cell r="A2814" t="str">
            <v>安徽3#阀室</v>
          </cell>
          <cell r="B2814" t="str">
            <v>一级</v>
          </cell>
          <cell r="C2814" t="str">
            <v>滨海LNG外输管道</v>
          </cell>
          <cell r="D2814" t="str">
            <v>滨海LNG外输管道干线</v>
          </cell>
        </row>
        <row r="2815">
          <cell r="A2815" t="str">
            <v>安徽4#阀室</v>
          </cell>
          <cell r="B2815" t="str">
            <v>一级</v>
          </cell>
          <cell r="C2815" t="str">
            <v>滨海LNG外输管道</v>
          </cell>
          <cell r="D2815" t="str">
            <v>滨海LNG外输管道干线</v>
          </cell>
        </row>
        <row r="2816">
          <cell r="A2816" t="str">
            <v>滁州分输清管站</v>
          </cell>
          <cell r="B2816" t="str">
            <v>一级</v>
          </cell>
          <cell r="C2816" t="str">
            <v>滨海LNG外输管道</v>
          </cell>
          <cell r="D2816" t="str">
            <v>滨海LNG外输管道干线</v>
          </cell>
        </row>
        <row r="2817">
          <cell r="A2817" t="str">
            <v>安徽5#阀室</v>
          </cell>
          <cell r="B2817" t="str">
            <v>一级</v>
          </cell>
          <cell r="C2817" t="str">
            <v>滨海LNG外输管道</v>
          </cell>
          <cell r="D2817" t="str">
            <v>滨海LNG外输管道干线</v>
          </cell>
        </row>
        <row r="2818">
          <cell r="A2818" t="str">
            <v>安徽6#阀室</v>
          </cell>
          <cell r="B2818" t="str">
            <v>一级</v>
          </cell>
          <cell r="C2818" t="str">
            <v>滨海LNG外输管道</v>
          </cell>
          <cell r="D2818" t="str">
            <v>滨海LNG外输管道干线</v>
          </cell>
        </row>
        <row r="2819">
          <cell r="A2819" t="str">
            <v>全椒分输站</v>
          </cell>
          <cell r="B2819" t="str">
            <v>一级</v>
          </cell>
          <cell r="C2819" t="str">
            <v>滨海LNG外输管道</v>
          </cell>
          <cell r="D2819" t="str">
            <v>滨海LNG外输管道干线</v>
          </cell>
        </row>
        <row r="2820">
          <cell r="A2820" t="str">
            <v>安徽7#阀室</v>
          </cell>
          <cell r="B2820" t="str">
            <v>一级</v>
          </cell>
          <cell r="C2820" t="str">
            <v>滨海LNG外输管道</v>
          </cell>
          <cell r="D2820" t="str">
            <v>滨海LNG外输管道干线</v>
          </cell>
        </row>
        <row r="2821">
          <cell r="A2821" t="str">
            <v>安徽8#阀室</v>
          </cell>
          <cell r="B2821" t="str">
            <v>一级</v>
          </cell>
          <cell r="C2821" t="str">
            <v>滨海LNG外输管道</v>
          </cell>
          <cell r="D2821" t="str">
            <v>滨海LNG外输管道干线</v>
          </cell>
        </row>
        <row r="2822">
          <cell r="A2822" t="str">
            <v>安徽9#阀室</v>
          </cell>
          <cell r="B2822" t="str">
            <v>一级</v>
          </cell>
          <cell r="C2822" t="str">
            <v>滨海LNG外输管道</v>
          </cell>
          <cell r="D2822" t="str">
            <v>滨海LNG外输管道干线</v>
          </cell>
        </row>
        <row r="2823">
          <cell r="A2823" t="str">
            <v>安徽10#阀室</v>
          </cell>
          <cell r="B2823" t="str">
            <v>一级</v>
          </cell>
          <cell r="C2823" t="str">
            <v>滨海LNG外输管道</v>
          </cell>
          <cell r="D2823" t="str">
            <v>滨海LNG外输管道干线</v>
          </cell>
        </row>
        <row r="2824">
          <cell r="A2824" t="str">
            <v>肥东末站</v>
          </cell>
          <cell r="B2824" t="str">
            <v>一级</v>
          </cell>
          <cell r="C2824" t="str">
            <v>滨海LNG外输管道</v>
          </cell>
          <cell r="D2824" t="str">
            <v>滨海LNG外输管道干线</v>
          </cell>
        </row>
        <row r="2825">
          <cell r="A2825" t="str">
            <v>通榆分输清管站</v>
          </cell>
          <cell r="B2825" t="str">
            <v>一级</v>
          </cell>
          <cell r="C2825" t="str">
            <v>滨海LNG外输管道</v>
          </cell>
          <cell r="D2825" t="str">
            <v>阜宁支线</v>
          </cell>
        </row>
        <row r="2826">
          <cell r="A2826" t="str">
            <v>1#阀室</v>
          </cell>
          <cell r="B2826" t="str">
            <v>一级</v>
          </cell>
          <cell r="C2826" t="str">
            <v>滨海LNG外输管道</v>
          </cell>
          <cell r="D2826" t="str">
            <v>阜宁支线</v>
          </cell>
        </row>
        <row r="2827">
          <cell r="A2827" t="str">
            <v>阜宁分输清管站</v>
          </cell>
          <cell r="B2827" t="str">
            <v>一级</v>
          </cell>
          <cell r="C2827" t="str">
            <v>滨海LNG外输管道</v>
          </cell>
          <cell r="D2827" t="str">
            <v>阜宁支线</v>
          </cell>
        </row>
        <row r="2828">
          <cell r="A2828" t="str">
            <v>南安分输联络站</v>
          </cell>
          <cell r="B2828" t="str">
            <v>一级</v>
          </cell>
          <cell r="C2828" t="str">
            <v>海西管网</v>
          </cell>
          <cell r="D2828" t="str">
            <v>德化支线</v>
          </cell>
        </row>
        <row r="2829">
          <cell r="A2829" t="str">
            <v>2#阀室</v>
          </cell>
          <cell r="B2829" t="str">
            <v>一级</v>
          </cell>
          <cell r="C2829" t="str">
            <v>海西管网</v>
          </cell>
          <cell r="D2829" t="str">
            <v>德化支线</v>
          </cell>
        </row>
        <row r="2830">
          <cell r="A2830" t="str">
            <v>安溪分输站</v>
          </cell>
          <cell r="B2830" t="str">
            <v>一级</v>
          </cell>
          <cell r="C2830" t="str">
            <v>海西管网</v>
          </cell>
          <cell r="D2830" t="str">
            <v>德化支线</v>
          </cell>
        </row>
        <row r="2831">
          <cell r="A2831" t="str">
            <v>3#阀室</v>
          </cell>
          <cell r="B2831" t="str">
            <v>一级</v>
          </cell>
          <cell r="C2831" t="str">
            <v>海西管网</v>
          </cell>
          <cell r="D2831" t="str">
            <v>德化支线</v>
          </cell>
        </row>
        <row r="2832">
          <cell r="A2832" t="str">
            <v>南安分输站</v>
          </cell>
          <cell r="B2832" t="str">
            <v>一级</v>
          </cell>
          <cell r="C2832" t="str">
            <v>海西管网</v>
          </cell>
          <cell r="D2832" t="str">
            <v>德化支线</v>
          </cell>
        </row>
        <row r="2833">
          <cell r="A2833" t="str">
            <v>永春分输站</v>
          </cell>
          <cell r="B2833" t="str">
            <v>一级</v>
          </cell>
          <cell r="C2833" t="str">
            <v>海西管网</v>
          </cell>
          <cell r="D2833" t="str">
            <v>德化支线</v>
          </cell>
        </row>
        <row r="2834">
          <cell r="A2834" t="str">
            <v>4#阀室</v>
          </cell>
          <cell r="B2834" t="str">
            <v>一级</v>
          </cell>
          <cell r="C2834" t="str">
            <v>海西管网</v>
          </cell>
          <cell r="D2834" t="str">
            <v>德化支线</v>
          </cell>
        </row>
        <row r="2835">
          <cell r="A2835" t="str">
            <v>德化分输站</v>
          </cell>
          <cell r="B2835" t="str">
            <v>一级</v>
          </cell>
          <cell r="C2835" t="str">
            <v>海西管网</v>
          </cell>
          <cell r="D2835" t="str">
            <v>德化支线</v>
          </cell>
        </row>
        <row r="2836">
          <cell r="A2836" t="str">
            <v>西二线广州站</v>
          </cell>
          <cell r="B2836" t="str">
            <v>二级</v>
          </cell>
          <cell r="C2836" t="str">
            <v>广东省管网</v>
          </cell>
          <cell r="D2836" t="str">
            <v>鳌头-广州干线</v>
          </cell>
        </row>
        <row r="2837">
          <cell r="A2837" t="str">
            <v>鳌头首站</v>
          </cell>
          <cell r="B2837" t="str">
            <v>二级</v>
          </cell>
          <cell r="C2837" t="str">
            <v>广东省管网</v>
          </cell>
          <cell r="D2837" t="str">
            <v>鳌头-广州干线</v>
          </cell>
        </row>
        <row r="2838">
          <cell r="A2838" t="str">
            <v>从化分输站</v>
          </cell>
          <cell r="B2838" t="str">
            <v>二级</v>
          </cell>
          <cell r="C2838" t="str">
            <v>广东省管网</v>
          </cell>
          <cell r="D2838" t="str">
            <v>鳌头-广州干线</v>
          </cell>
        </row>
        <row r="2839">
          <cell r="A2839" t="str">
            <v>广东省网广州站</v>
          </cell>
          <cell r="B2839" t="str">
            <v>二级</v>
          </cell>
          <cell r="C2839" t="str">
            <v>广东省管网</v>
          </cell>
          <cell r="D2839" t="str">
            <v>鳌头-广州干线</v>
          </cell>
        </row>
        <row r="2840">
          <cell r="A2840" t="str">
            <v>中新阀室</v>
          </cell>
          <cell r="B2840" t="str">
            <v>二级</v>
          </cell>
          <cell r="C2840" t="str">
            <v>广东省管网</v>
          </cell>
          <cell r="D2840" t="str">
            <v>广州-惠州干线</v>
          </cell>
        </row>
        <row r="2841">
          <cell r="A2841" t="str">
            <v>朱村阀室</v>
          </cell>
          <cell r="B2841" t="str">
            <v>二级</v>
          </cell>
          <cell r="C2841" t="str">
            <v>广东省管网</v>
          </cell>
          <cell r="D2841" t="str">
            <v>广州-惠州干线</v>
          </cell>
        </row>
        <row r="2842">
          <cell r="A2842" t="str">
            <v>广东省网增城站</v>
          </cell>
          <cell r="B2842" t="str">
            <v>二级</v>
          </cell>
          <cell r="C2842" t="str">
            <v>广东省管网</v>
          </cell>
          <cell r="D2842" t="str">
            <v>广州-惠州干线</v>
          </cell>
        </row>
        <row r="2843">
          <cell r="A2843" t="str">
            <v>园洲阀室</v>
          </cell>
          <cell r="B2843" t="str">
            <v>二级</v>
          </cell>
          <cell r="C2843" t="str">
            <v>广东省管网</v>
          </cell>
          <cell r="D2843" t="str">
            <v>广州-惠州干线</v>
          </cell>
        </row>
        <row r="2844">
          <cell r="A2844" t="str">
            <v>长宁阀室</v>
          </cell>
          <cell r="B2844" t="str">
            <v>二级</v>
          </cell>
          <cell r="C2844" t="str">
            <v>广东省管网</v>
          </cell>
          <cell r="D2844" t="str">
            <v>广州-惠州干线</v>
          </cell>
        </row>
        <row r="2845">
          <cell r="A2845" t="str">
            <v>龙溪阀室</v>
          </cell>
          <cell r="B2845" t="str">
            <v>二级</v>
          </cell>
          <cell r="C2845" t="str">
            <v>广东省管网</v>
          </cell>
          <cell r="D2845" t="str">
            <v>广州-惠州干线</v>
          </cell>
        </row>
        <row r="2846">
          <cell r="A2846" t="str">
            <v>潼湖分输阀室</v>
          </cell>
          <cell r="B2846" t="str">
            <v>二级</v>
          </cell>
          <cell r="C2846" t="str">
            <v>广东省管网</v>
          </cell>
          <cell r="D2846" t="str">
            <v>广州-惠州干线</v>
          </cell>
        </row>
        <row r="2847">
          <cell r="A2847" t="str">
            <v>镇隆阀室</v>
          </cell>
          <cell r="B2847" t="str">
            <v>二级</v>
          </cell>
          <cell r="C2847" t="str">
            <v>广东省管网</v>
          </cell>
          <cell r="D2847" t="str">
            <v>广州-惠州干线</v>
          </cell>
        </row>
        <row r="2848">
          <cell r="A2848" t="str">
            <v>永湖阀室</v>
          </cell>
          <cell r="B2848" t="str">
            <v>二级</v>
          </cell>
          <cell r="C2848" t="str">
            <v>广东省管网</v>
          </cell>
          <cell r="D2848" t="str">
            <v>广州-惠州干线</v>
          </cell>
        </row>
        <row r="2849">
          <cell r="A2849" t="str">
            <v>惠州分输站</v>
          </cell>
          <cell r="B2849" t="str">
            <v>二级</v>
          </cell>
          <cell r="C2849" t="str">
            <v>广东省管网</v>
          </cell>
          <cell r="D2849" t="str">
            <v>广州-惠州干线</v>
          </cell>
        </row>
        <row r="2850">
          <cell r="A2850" t="str">
            <v>鳌头首站</v>
          </cell>
          <cell r="B2850" t="str">
            <v>二级</v>
          </cell>
          <cell r="C2850" t="str">
            <v>广东省管网</v>
          </cell>
          <cell r="D2850" t="str">
            <v>广州-肇庆干线</v>
          </cell>
        </row>
        <row r="2851">
          <cell r="A2851" t="str">
            <v>清城阀室</v>
          </cell>
          <cell r="B2851" t="str">
            <v>二级</v>
          </cell>
          <cell r="C2851" t="str">
            <v>广东省管网</v>
          </cell>
          <cell r="D2851" t="str">
            <v>广州-肇庆干线</v>
          </cell>
        </row>
        <row r="2852">
          <cell r="A2852" t="str">
            <v>源潭阀室</v>
          </cell>
          <cell r="B2852" t="str">
            <v>二级</v>
          </cell>
          <cell r="C2852" t="str">
            <v>广东省管网</v>
          </cell>
          <cell r="D2852" t="str">
            <v>广州-肇庆干线</v>
          </cell>
        </row>
        <row r="2853">
          <cell r="A2853" t="str">
            <v>龙塘阀室</v>
          </cell>
          <cell r="B2853" t="str">
            <v>二级</v>
          </cell>
          <cell r="C2853" t="str">
            <v>广东省管网</v>
          </cell>
          <cell r="D2853" t="str">
            <v>广州-肇庆干线</v>
          </cell>
        </row>
        <row r="2854">
          <cell r="A2854" t="str">
            <v>清远分输阀室</v>
          </cell>
          <cell r="B2854" t="str">
            <v>二级</v>
          </cell>
          <cell r="C2854" t="str">
            <v>广东省管网</v>
          </cell>
          <cell r="D2854" t="str">
            <v>广州-肇庆干线</v>
          </cell>
        </row>
        <row r="2855">
          <cell r="A2855" t="str">
            <v>石角阀室</v>
          </cell>
          <cell r="B2855" t="str">
            <v>二级</v>
          </cell>
          <cell r="C2855" t="str">
            <v>广东省管网</v>
          </cell>
          <cell r="D2855" t="str">
            <v>广州-肇庆干线</v>
          </cell>
        </row>
        <row r="2856">
          <cell r="A2856" t="str">
            <v>大塘阀室</v>
          </cell>
          <cell r="B2856" t="str">
            <v>二级</v>
          </cell>
          <cell r="C2856" t="str">
            <v>广东省管网</v>
          </cell>
          <cell r="D2856" t="str">
            <v>广州-肇庆干线</v>
          </cell>
        </row>
        <row r="2857">
          <cell r="A2857" t="str">
            <v>三水分输站</v>
          </cell>
          <cell r="B2857" t="str">
            <v>二级</v>
          </cell>
          <cell r="C2857" t="str">
            <v>广东省管网</v>
          </cell>
          <cell r="D2857" t="str">
            <v>广州-肇庆干线</v>
          </cell>
        </row>
        <row r="2858">
          <cell r="A2858" t="str">
            <v>大旺阀室</v>
          </cell>
          <cell r="B2858" t="str">
            <v>二级</v>
          </cell>
          <cell r="C2858" t="str">
            <v>广东省管网</v>
          </cell>
          <cell r="D2858" t="str">
            <v>广州-肇庆干线</v>
          </cell>
        </row>
        <row r="2859">
          <cell r="A2859" t="str">
            <v>大旺分输站</v>
          </cell>
          <cell r="B2859" t="str">
            <v>二级</v>
          </cell>
          <cell r="C2859" t="str">
            <v>广东省管网</v>
          </cell>
          <cell r="D2859" t="str">
            <v>广州-肇庆干线</v>
          </cell>
        </row>
        <row r="2860">
          <cell r="A2860" t="str">
            <v>大沙阀室</v>
          </cell>
          <cell r="B2860" t="str">
            <v>二级</v>
          </cell>
          <cell r="C2860" t="str">
            <v>广东省管网</v>
          </cell>
          <cell r="D2860" t="str">
            <v>广州-肇庆干线</v>
          </cell>
        </row>
        <row r="2861">
          <cell r="A2861" t="str">
            <v>永安阀室</v>
          </cell>
          <cell r="B2861" t="str">
            <v>二级</v>
          </cell>
          <cell r="C2861" t="str">
            <v>广东省管网</v>
          </cell>
          <cell r="D2861" t="str">
            <v>广州-肇庆干线</v>
          </cell>
        </row>
        <row r="2862">
          <cell r="A2862" t="str">
            <v>金利分输站</v>
          </cell>
          <cell r="B2862" t="str">
            <v>二级</v>
          </cell>
          <cell r="C2862" t="str">
            <v>广东省管网</v>
          </cell>
          <cell r="D2862" t="str">
            <v>广州-肇庆干线</v>
          </cell>
        </row>
        <row r="2863">
          <cell r="A2863" t="str">
            <v>蚬岗阀室</v>
          </cell>
          <cell r="B2863" t="str">
            <v>二级</v>
          </cell>
          <cell r="C2863" t="str">
            <v>广东省管网</v>
          </cell>
          <cell r="D2863" t="str">
            <v>广州-肇庆干线</v>
          </cell>
        </row>
        <row r="2864">
          <cell r="A2864" t="str">
            <v>广东省网肇庆站</v>
          </cell>
          <cell r="B2864" t="str">
            <v>二级</v>
          </cell>
          <cell r="C2864" t="str">
            <v>广东省管网</v>
          </cell>
          <cell r="D2864" t="str">
            <v>广州-肇庆干线</v>
          </cell>
        </row>
        <row r="2865">
          <cell r="A2865" t="str">
            <v>清远分输阀室</v>
          </cell>
          <cell r="B2865" t="str">
            <v>二级</v>
          </cell>
          <cell r="C2865" t="str">
            <v>广东省管网</v>
          </cell>
          <cell r="D2865" t="str">
            <v>清远支干线</v>
          </cell>
        </row>
        <row r="2866">
          <cell r="A2866" t="str">
            <v>清远末站</v>
          </cell>
          <cell r="B2866" t="str">
            <v>二级</v>
          </cell>
          <cell r="C2866" t="str">
            <v>广东省管网</v>
          </cell>
          <cell r="D2866" t="str">
            <v>清远支干线</v>
          </cell>
        </row>
        <row r="2867">
          <cell r="A2867" t="str">
            <v>潼湖分输阀室</v>
          </cell>
          <cell r="B2867" t="str">
            <v>二级</v>
          </cell>
          <cell r="C2867" t="str">
            <v>广东省管网</v>
          </cell>
          <cell r="D2867" t="str">
            <v>东莞支干线</v>
          </cell>
        </row>
        <row r="2868">
          <cell r="A2868" t="str">
            <v>广东省网东莞站</v>
          </cell>
          <cell r="B2868" t="str">
            <v>二级</v>
          </cell>
          <cell r="C2868" t="str">
            <v>广东省管网</v>
          </cell>
          <cell r="D2868" t="str">
            <v>东莞支干线</v>
          </cell>
        </row>
        <row r="2869">
          <cell r="A2869" t="str">
            <v>西二线韶关站</v>
          </cell>
          <cell r="B2869" t="str">
            <v>二级</v>
          </cell>
          <cell r="C2869" t="str">
            <v>广东省管网</v>
          </cell>
          <cell r="D2869" t="str">
            <v>韶关支干线</v>
          </cell>
        </row>
        <row r="2870">
          <cell r="A2870" t="str">
            <v>始兴首站</v>
          </cell>
          <cell r="B2870" t="str">
            <v>二级</v>
          </cell>
          <cell r="C2870" t="str">
            <v>广东省管网</v>
          </cell>
          <cell r="D2870" t="str">
            <v>韶关支干线</v>
          </cell>
        </row>
        <row r="2871">
          <cell r="A2871" t="str">
            <v>沈所阀室</v>
          </cell>
          <cell r="B2871" t="str">
            <v>二级</v>
          </cell>
          <cell r="C2871" t="str">
            <v>广东省管网</v>
          </cell>
          <cell r="D2871" t="str">
            <v>韶关支干线</v>
          </cell>
        </row>
        <row r="2872">
          <cell r="A2872" t="str">
            <v>大桥阀室</v>
          </cell>
          <cell r="B2872" t="str">
            <v>二级</v>
          </cell>
          <cell r="C2872" t="str">
            <v>广东省管网</v>
          </cell>
          <cell r="D2872" t="str">
            <v>韶关支干线</v>
          </cell>
        </row>
        <row r="2873">
          <cell r="A2873" t="str">
            <v>广东省网韶关站</v>
          </cell>
          <cell r="B2873" t="str">
            <v>二级</v>
          </cell>
          <cell r="C2873" t="str">
            <v>广东省管网</v>
          </cell>
          <cell r="D2873" t="str">
            <v>韶关支干线</v>
          </cell>
        </row>
        <row r="2874">
          <cell r="A2874" t="str">
            <v>中海油高栏港站</v>
          </cell>
          <cell r="B2874" t="str">
            <v>二级</v>
          </cell>
          <cell r="C2874" t="str">
            <v>广东省管网</v>
          </cell>
          <cell r="D2874" t="str">
            <v>珠海LNG西干线</v>
          </cell>
        </row>
        <row r="2875">
          <cell r="A2875" t="str">
            <v>平沙阀室</v>
          </cell>
          <cell r="B2875" t="str">
            <v>二级</v>
          </cell>
          <cell r="C2875" t="str">
            <v>广东省管网</v>
          </cell>
          <cell r="D2875" t="str">
            <v>珠海LNG西干线</v>
          </cell>
        </row>
        <row r="2876">
          <cell r="A2876" t="str">
            <v>斗门分输站</v>
          </cell>
          <cell r="B2876" t="str">
            <v>二级</v>
          </cell>
          <cell r="C2876" t="str">
            <v>广东省管网</v>
          </cell>
          <cell r="D2876" t="str">
            <v>珠海LNG西干线</v>
          </cell>
        </row>
        <row r="2877">
          <cell r="A2877" t="str">
            <v>崖门分输站</v>
          </cell>
          <cell r="B2877" t="str">
            <v>二级</v>
          </cell>
          <cell r="C2877" t="str">
            <v>广东省管网</v>
          </cell>
          <cell r="D2877" t="str">
            <v>珠海LNG西干线</v>
          </cell>
        </row>
        <row r="2878">
          <cell r="A2878" t="str">
            <v>双水阀室</v>
          </cell>
          <cell r="B2878" t="str">
            <v>二级</v>
          </cell>
          <cell r="C2878" t="str">
            <v>广东省管网</v>
          </cell>
          <cell r="D2878" t="str">
            <v>珠海LNG西干线</v>
          </cell>
        </row>
        <row r="2879">
          <cell r="A2879" t="str">
            <v>潭江阀室</v>
          </cell>
          <cell r="B2879" t="str">
            <v>二级</v>
          </cell>
          <cell r="C2879" t="str">
            <v>广东省管网</v>
          </cell>
          <cell r="D2879" t="str">
            <v>珠海LNG西干线</v>
          </cell>
        </row>
        <row r="2880">
          <cell r="A2880" t="str">
            <v>共和阀室</v>
          </cell>
          <cell r="B2880" t="str">
            <v>二级</v>
          </cell>
          <cell r="C2880" t="str">
            <v>广东省管网</v>
          </cell>
          <cell r="D2880" t="str">
            <v>珠海LNG西干线</v>
          </cell>
        </row>
        <row r="2881">
          <cell r="A2881" t="str">
            <v>蓬江分输站</v>
          </cell>
          <cell r="B2881" t="str">
            <v>二级</v>
          </cell>
          <cell r="C2881" t="str">
            <v>广东省管网</v>
          </cell>
          <cell r="D2881" t="str">
            <v>珠海LNG西干线</v>
          </cell>
        </row>
        <row r="2882">
          <cell r="A2882" t="str">
            <v>龙口阀室</v>
          </cell>
          <cell r="B2882" t="str">
            <v>二级</v>
          </cell>
          <cell r="C2882" t="str">
            <v>广东省管网</v>
          </cell>
          <cell r="D2882" t="str">
            <v>珠海LNG西干线</v>
          </cell>
        </row>
        <row r="2883">
          <cell r="A2883" t="str">
            <v>杨和阀室</v>
          </cell>
          <cell r="B2883" t="str">
            <v>二级</v>
          </cell>
          <cell r="C2883" t="str">
            <v>广东省管网</v>
          </cell>
          <cell r="D2883" t="str">
            <v>珠海LNG西干线</v>
          </cell>
        </row>
        <row r="2884">
          <cell r="A2884" t="str">
            <v>高明分输站</v>
          </cell>
          <cell r="B2884" t="str">
            <v>二级</v>
          </cell>
          <cell r="C2884" t="str">
            <v>广东省管网</v>
          </cell>
          <cell r="D2884" t="str">
            <v>珠海LNG西干线</v>
          </cell>
        </row>
        <row r="2885">
          <cell r="A2885" t="str">
            <v>浮洋站</v>
          </cell>
          <cell r="B2885" t="str">
            <v>二级</v>
          </cell>
          <cell r="C2885" t="str">
            <v>广东省管网</v>
          </cell>
          <cell r="D2885" t="str">
            <v>揭阳-梅州支干线</v>
          </cell>
        </row>
        <row r="2886">
          <cell r="A2886" t="str">
            <v>云路阀室</v>
          </cell>
          <cell r="B2886" t="str">
            <v>二级</v>
          </cell>
          <cell r="C2886" t="str">
            <v>广东省管网</v>
          </cell>
          <cell r="D2886" t="str">
            <v>揭阳-梅州支干线</v>
          </cell>
        </row>
        <row r="2887">
          <cell r="A2887" t="str">
            <v>埔田阀室</v>
          </cell>
          <cell r="B2887" t="str">
            <v>二级</v>
          </cell>
          <cell r="C2887" t="str">
            <v>广东省管网</v>
          </cell>
          <cell r="D2887" t="str">
            <v>揭阳-梅州支干线</v>
          </cell>
        </row>
        <row r="2888">
          <cell r="A2888" t="str">
            <v>广东省网揭阳站</v>
          </cell>
          <cell r="B2888" t="str">
            <v>二级</v>
          </cell>
          <cell r="C2888" t="str">
            <v>广东省管网</v>
          </cell>
          <cell r="D2888" t="str">
            <v>揭阳-梅州支干线</v>
          </cell>
        </row>
        <row r="2889">
          <cell r="A2889" t="str">
            <v>汤西阀室</v>
          </cell>
          <cell r="B2889" t="str">
            <v>二级</v>
          </cell>
          <cell r="C2889" t="str">
            <v>广东省管网</v>
          </cell>
          <cell r="D2889" t="str">
            <v>揭阳-梅州支干线</v>
          </cell>
        </row>
        <row r="2890">
          <cell r="A2890" t="str">
            <v>北斗阀室</v>
          </cell>
          <cell r="B2890" t="str">
            <v>二级</v>
          </cell>
          <cell r="C2890" t="str">
            <v>广东省管网</v>
          </cell>
          <cell r="D2890" t="str">
            <v>揭阳-梅州支干线</v>
          </cell>
        </row>
        <row r="2891">
          <cell r="A2891" t="str">
            <v>畲江阀室</v>
          </cell>
          <cell r="B2891" t="str">
            <v>二级</v>
          </cell>
          <cell r="C2891" t="str">
            <v>广东省管网</v>
          </cell>
          <cell r="D2891" t="str">
            <v>揭阳-梅州支干线</v>
          </cell>
        </row>
        <row r="2892">
          <cell r="A2892" t="str">
            <v>梅南阀室</v>
          </cell>
          <cell r="B2892" t="str">
            <v>二级</v>
          </cell>
          <cell r="C2892" t="str">
            <v>广东省管网</v>
          </cell>
          <cell r="D2892" t="str">
            <v>揭阳-梅州支干线</v>
          </cell>
        </row>
        <row r="2893">
          <cell r="A2893" t="str">
            <v>梅州末站</v>
          </cell>
          <cell r="B2893" t="str">
            <v>二级</v>
          </cell>
          <cell r="C2893" t="str">
            <v>广东省管网</v>
          </cell>
          <cell r="D2893" t="str">
            <v>揭阳-梅州支干线</v>
          </cell>
        </row>
        <row r="2894">
          <cell r="A2894" t="str">
            <v>揭阳分输站</v>
          </cell>
          <cell r="B2894" t="str">
            <v>二级</v>
          </cell>
          <cell r="C2894" t="str">
            <v>广东省管网</v>
          </cell>
          <cell r="D2894" t="str">
            <v>揭阳-梅州支干线</v>
          </cell>
        </row>
        <row r="2895">
          <cell r="A2895" t="str">
            <v>广东省网揭阳站</v>
          </cell>
          <cell r="B2895" t="str">
            <v>二级</v>
          </cell>
          <cell r="C2895" t="str">
            <v>广东省管网</v>
          </cell>
          <cell r="D2895" t="str">
            <v>揭阳-梅州支干线</v>
          </cell>
        </row>
        <row r="2896">
          <cell r="A2896" t="str">
            <v>广东省网韶关站</v>
          </cell>
          <cell r="B2896" t="str">
            <v>二级</v>
          </cell>
          <cell r="C2896" t="str">
            <v>广东省管网</v>
          </cell>
          <cell r="D2896" t="str">
            <v>韶关-鳌头干线</v>
          </cell>
        </row>
        <row r="2897">
          <cell r="A2897" t="str">
            <v>苏村阀室</v>
          </cell>
          <cell r="B2897" t="str">
            <v>二级</v>
          </cell>
          <cell r="C2897" t="str">
            <v>广东省管网</v>
          </cell>
          <cell r="D2897" t="str">
            <v>韶关-鳌头干线</v>
          </cell>
        </row>
        <row r="2898">
          <cell r="A2898" t="str">
            <v>曲江分输站</v>
          </cell>
          <cell r="B2898" t="str">
            <v>二级</v>
          </cell>
          <cell r="C2898" t="str">
            <v>广东省管网</v>
          </cell>
          <cell r="D2898" t="str">
            <v>韶关-鳌头干线</v>
          </cell>
        </row>
        <row r="2899">
          <cell r="A2899" t="str">
            <v>铁龙清管站</v>
          </cell>
          <cell r="B2899" t="str">
            <v>二级</v>
          </cell>
          <cell r="C2899" t="str">
            <v>广东省管网</v>
          </cell>
          <cell r="D2899" t="str">
            <v>韶关-鳌头干线</v>
          </cell>
        </row>
        <row r="2900">
          <cell r="A2900" t="str">
            <v>翁源分输站</v>
          </cell>
          <cell r="B2900" t="str">
            <v>二级</v>
          </cell>
          <cell r="C2900" t="str">
            <v>广东省管网</v>
          </cell>
          <cell r="D2900" t="str">
            <v>韶关-鳌头干线</v>
          </cell>
        </row>
        <row r="2901">
          <cell r="A2901" t="str">
            <v>大镇分输站</v>
          </cell>
          <cell r="B2901" t="str">
            <v>二级</v>
          </cell>
          <cell r="C2901" t="str">
            <v>广东省管网</v>
          </cell>
          <cell r="D2901" t="str">
            <v>韶关-鳌头干线</v>
          </cell>
        </row>
        <row r="2902">
          <cell r="A2902" t="str">
            <v>东华阀室</v>
          </cell>
          <cell r="B2902" t="str">
            <v>二级</v>
          </cell>
          <cell r="C2902" t="str">
            <v>广东省管网</v>
          </cell>
          <cell r="D2902" t="str">
            <v>韶关-鳌头干线</v>
          </cell>
        </row>
        <row r="2903">
          <cell r="A2903" t="str">
            <v>高岗阀室</v>
          </cell>
          <cell r="B2903" t="str">
            <v>二级</v>
          </cell>
          <cell r="C2903" t="str">
            <v>广东省管网</v>
          </cell>
          <cell r="D2903" t="str">
            <v>韶关-鳌头干线</v>
          </cell>
        </row>
        <row r="2904">
          <cell r="A2904" t="str">
            <v>佛冈分输站</v>
          </cell>
          <cell r="B2904" t="str">
            <v>二级</v>
          </cell>
          <cell r="C2904" t="str">
            <v>广东省管网</v>
          </cell>
          <cell r="D2904" t="str">
            <v>韶关-鳌头干线</v>
          </cell>
        </row>
        <row r="2905">
          <cell r="A2905" t="str">
            <v>汤塘阀室</v>
          </cell>
          <cell r="B2905" t="str">
            <v>二级</v>
          </cell>
          <cell r="C2905" t="str">
            <v>广东省管网</v>
          </cell>
          <cell r="D2905" t="str">
            <v>韶关-鳌头干线</v>
          </cell>
        </row>
        <row r="2906">
          <cell r="A2906" t="str">
            <v>鳌头首站</v>
          </cell>
          <cell r="B2906" t="str">
            <v>二级</v>
          </cell>
          <cell r="C2906" t="str">
            <v>广东省管网</v>
          </cell>
          <cell r="D2906" t="str">
            <v>韶关-鳌头干线</v>
          </cell>
        </row>
        <row r="2907">
          <cell r="A2907" t="str">
            <v>铁龙清管站</v>
          </cell>
          <cell r="B2907" t="str">
            <v>二级</v>
          </cell>
          <cell r="C2907" t="str">
            <v>广东省管网</v>
          </cell>
          <cell r="D2907" t="str">
            <v>英德支干线</v>
          </cell>
        </row>
        <row r="2908">
          <cell r="A2908" t="str">
            <v>石坑阀室</v>
          </cell>
          <cell r="B2908" t="str">
            <v>二级</v>
          </cell>
          <cell r="C2908" t="str">
            <v>广东省管网</v>
          </cell>
          <cell r="D2908" t="str">
            <v>英德支干线</v>
          </cell>
        </row>
        <row r="2909">
          <cell r="A2909" t="str">
            <v>平峰阀室</v>
          </cell>
          <cell r="B2909" t="str">
            <v>二级</v>
          </cell>
          <cell r="C2909" t="str">
            <v>广东省管网</v>
          </cell>
          <cell r="D2909" t="str">
            <v>英德支干线</v>
          </cell>
        </row>
        <row r="2910">
          <cell r="A2910" t="str">
            <v>英德末站</v>
          </cell>
          <cell r="B2910" t="str">
            <v>二级</v>
          </cell>
          <cell r="C2910" t="str">
            <v>广东省管网</v>
          </cell>
          <cell r="D2910" t="str">
            <v>英德支干线</v>
          </cell>
        </row>
        <row r="2911">
          <cell r="A2911" t="str">
            <v>大镇分输站</v>
          </cell>
          <cell r="B2911" t="str">
            <v>二级</v>
          </cell>
          <cell r="C2911" t="str">
            <v>广东省管网</v>
          </cell>
          <cell r="D2911" t="str">
            <v>华电华侨园专线</v>
          </cell>
        </row>
        <row r="2912">
          <cell r="A2912" t="str">
            <v>华电华侨园末站</v>
          </cell>
          <cell r="B2912" t="str">
            <v>二级</v>
          </cell>
          <cell r="C2912" t="str">
            <v>广东省管网</v>
          </cell>
          <cell r="D2912" t="str">
            <v>华电华侨园专线</v>
          </cell>
        </row>
        <row r="2913">
          <cell r="A2913" t="str">
            <v>镇盛阀室</v>
          </cell>
          <cell r="B2913" t="str">
            <v>二级</v>
          </cell>
          <cell r="C2913" t="str">
            <v>广东省管网</v>
          </cell>
          <cell r="D2913" t="str">
            <v>阳江-茂名干线</v>
          </cell>
        </row>
        <row r="2914">
          <cell r="A2914" t="str">
            <v>坡心阀室</v>
          </cell>
          <cell r="B2914" t="str">
            <v>二级</v>
          </cell>
          <cell r="C2914" t="str">
            <v>广东省管网</v>
          </cell>
          <cell r="D2914" t="str">
            <v>阳江-茂名干线</v>
          </cell>
        </row>
        <row r="2915">
          <cell r="A2915" t="str">
            <v>林头阀室</v>
          </cell>
          <cell r="B2915" t="str">
            <v>二级</v>
          </cell>
          <cell r="C2915" t="str">
            <v>广东省管网</v>
          </cell>
          <cell r="D2915" t="str">
            <v>阳江-茂名干线</v>
          </cell>
        </row>
        <row r="2916">
          <cell r="A2916" t="str">
            <v>观珠阀室</v>
          </cell>
          <cell r="B2916" t="str">
            <v>二级</v>
          </cell>
          <cell r="C2916" t="str">
            <v>广东省管网</v>
          </cell>
          <cell r="D2916" t="str">
            <v>阳江-茂名干线</v>
          </cell>
        </row>
        <row r="2917">
          <cell r="A2917" t="str">
            <v>马踏清管站</v>
          </cell>
          <cell r="B2917" t="str">
            <v>二级</v>
          </cell>
          <cell r="C2917" t="str">
            <v>广东省管网</v>
          </cell>
          <cell r="D2917" t="str">
            <v>阳江-茂名干线</v>
          </cell>
        </row>
        <row r="2918">
          <cell r="A2918" t="str">
            <v>新墟阀室</v>
          </cell>
          <cell r="B2918" t="str">
            <v>二级</v>
          </cell>
          <cell r="C2918" t="str">
            <v>广东省管网</v>
          </cell>
          <cell r="D2918" t="str">
            <v>阳江-茂名干线</v>
          </cell>
        </row>
        <row r="2919">
          <cell r="A2919" t="str">
            <v>织篢阀室</v>
          </cell>
          <cell r="B2919" t="str">
            <v>二级</v>
          </cell>
          <cell r="C2919" t="str">
            <v>广东省管网</v>
          </cell>
          <cell r="D2919" t="str">
            <v>阳江-茂名干线</v>
          </cell>
        </row>
        <row r="2920">
          <cell r="A2920" t="str">
            <v>龙门阀室</v>
          </cell>
          <cell r="B2920" t="str">
            <v>二级</v>
          </cell>
          <cell r="C2920" t="str">
            <v>广东省管网</v>
          </cell>
          <cell r="D2920" t="str">
            <v>阳江-茂名干线</v>
          </cell>
        </row>
        <row r="2921">
          <cell r="A2921" t="str">
            <v>河口阀室</v>
          </cell>
          <cell r="B2921" t="str">
            <v>二级</v>
          </cell>
          <cell r="C2921" t="str">
            <v>广东省管网</v>
          </cell>
          <cell r="D2921" t="str">
            <v>阳江-茂名干线</v>
          </cell>
        </row>
        <row r="2922">
          <cell r="A2922" t="str">
            <v>红丰清管站</v>
          </cell>
          <cell r="B2922" t="str">
            <v>二级</v>
          </cell>
          <cell r="C2922" t="str">
            <v>广东省管网</v>
          </cell>
          <cell r="D2922" t="str">
            <v>阳江-茂名干线</v>
          </cell>
        </row>
        <row r="2923">
          <cell r="A2923" t="str">
            <v>阳江分输站</v>
          </cell>
          <cell r="B2923" t="str">
            <v>二级</v>
          </cell>
          <cell r="C2923" t="str">
            <v>广东省管网</v>
          </cell>
          <cell r="D2923" t="str">
            <v>阳江-江门干线</v>
          </cell>
        </row>
        <row r="2924">
          <cell r="A2924" t="str">
            <v>红丰清管站</v>
          </cell>
          <cell r="B2924" t="str">
            <v>二级</v>
          </cell>
          <cell r="C2924" t="str">
            <v>广东省管网</v>
          </cell>
          <cell r="D2924" t="str">
            <v>阳江-江门干线</v>
          </cell>
        </row>
        <row r="2925">
          <cell r="A2925" t="str">
            <v>塘坪阀室</v>
          </cell>
          <cell r="B2925" t="str">
            <v>二级</v>
          </cell>
          <cell r="C2925" t="str">
            <v>广东省管网</v>
          </cell>
          <cell r="D2925" t="str">
            <v>阳江-江门干线</v>
          </cell>
        </row>
        <row r="2926">
          <cell r="A2926" t="str">
            <v>大八阀室</v>
          </cell>
          <cell r="B2926" t="str">
            <v>二级</v>
          </cell>
          <cell r="C2926" t="str">
            <v>广东省管网</v>
          </cell>
          <cell r="D2926" t="str">
            <v>阳江-江门干线</v>
          </cell>
        </row>
        <row r="2927">
          <cell r="A2927" t="str">
            <v>那龙阀室</v>
          </cell>
          <cell r="B2927" t="str">
            <v>二级</v>
          </cell>
          <cell r="C2927" t="str">
            <v>广东省管网</v>
          </cell>
          <cell r="D2927" t="str">
            <v>阳江-江门干线</v>
          </cell>
        </row>
        <row r="2928">
          <cell r="A2928" t="str">
            <v>大槐阀室</v>
          </cell>
          <cell r="B2928" t="str">
            <v>二级</v>
          </cell>
          <cell r="C2928" t="str">
            <v>广东省管网</v>
          </cell>
          <cell r="D2928" t="str">
            <v>阳江-江门干线</v>
          </cell>
        </row>
        <row r="2929">
          <cell r="A2929" t="str">
            <v>恩平分输站</v>
          </cell>
          <cell r="B2929" t="str">
            <v>二级</v>
          </cell>
          <cell r="C2929" t="str">
            <v>广东省管网</v>
          </cell>
          <cell r="D2929" t="str">
            <v>阳江-江门干线</v>
          </cell>
        </row>
        <row r="2930">
          <cell r="A2930" t="str">
            <v>东成阀室</v>
          </cell>
          <cell r="B2930" t="str">
            <v>二级</v>
          </cell>
          <cell r="C2930" t="str">
            <v>广东省管网</v>
          </cell>
          <cell r="D2930" t="str">
            <v>阳江-江门干线</v>
          </cell>
        </row>
        <row r="2931">
          <cell r="A2931" t="str">
            <v>风洞阀室</v>
          </cell>
          <cell r="B2931" t="str">
            <v>二级</v>
          </cell>
          <cell r="C2931" t="str">
            <v>广东省管网</v>
          </cell>
          <cell r="D2931" t="str">
            <v>阳江-江门干线</v>
          </cell>
        </row>
        <row r="2932">
          <cell r="A2932" t="str">
            <v>赤坎阀室</v>
          </cell>
          <cell r="B2932" t="str">
            <v>二级</v>
          </cell>
          <cell r="C2932" t="str">
            <v>广东省管网</v>
          </cell>
          <cell r="D2932" t="str">
            <v>阳江-江门干线</v>
          </cell>
        </row>
        <row r="2933">
          <cell r="A2933" t="str">
            <v>台城阀室</v>
          </cell>
          <cell r="B2933" t="str">
            <v>二级</v>
          </cell>
          <cell r="C2933" t="str">
            <v>广东省管网</v>
          </cell>
          <cell r="D2933" t="str">
            <v>阳江-江门干线</v>
          </cell>
        </row>
        <row r="2934">
          <cell r="A2934" t="str">
            <v>台山分输站</v>
          </cell>
          <cell r="B2934" t="str">
            <v>二级</v>
          </cell>
          <cell r="C2934" t="str">
            <v>广东省管网</v>
          </cell>
          <cell r="D2934" t="str">
            <v>阳江-江门干线</v>
          </cell>
        </row>
        <row r="2935">
          <cell r="A2935" t="str">
            <v>罗坑阀室</v>
          </cell>
          <cell r="B2935" t="str">
            <v>二级</v>
          </cell>
          <cell r="C2935" t="str">
            <v>广东省管网</v>
          </cell>
          <cell r="D2935" t="str">
            <v>阳江-江门干线</v>
          </cell>
        </row>
        <row r="2936">
          <cell r="A2936" t="str">
            <v>双水清管站</v>
          </cell>
          <cell r="B2936" t="str">
            <v>二级</v>
          </cell>
          <cell r="C2936" t="str">
            <v>广东省管网</v>
          </cell>
          <cell r="D2936" t="str">
            <v>阳江-江门干线</v>
          </cell>
        </row>
        <row r="2937">
          <cell r="A2937" t="str">
            <v>河源末站</v>
          </cell>
          <cell r="B2937" t="str">
            <v>二级</v>
          </cell>
          <cell r="C2937" t="str">
            <v>广东省管网</v>
          </cell>
          <cell r="D2937" t="str">
            <v>惠州-河源支干线</v>
          </cell>
        </row>
        <row r="2938">
          <cell r="A2938" t="str">
            <v>白土阀室</v>
          </cell>
          <cell r="B2938" t="str">
            <v>二级</v>
          </cell>
          <cell r="C2938" t="str">
            <v>广东省管网</v>
          </cell>
          <cell r="D2938" t="str">
            <v>肇庆-云浮支干线</v>
          </cell>
        </row>
        <row r="2939">
          <cell r="A2939" t="str">
            <v>南岸阀室</v>
          </cell>
          <cell r="B2939" t="str">
            <v>二级</v>
          </cell>
          <cell r="C2939" t="str">
            <v>广东省管网</v>
          </cell>
          <cell r="D2939" t="str">
            <v>肇庆-云浮支干线</v>
          </cell>
        </row>
        <row r="2940">
          <cell r="A2940" t="str">
            <v>白诸阀室</v>
          </cell>
          <cell r="B2940" t="str">
            <v>二级</v>
          </cell>
          <cell r="C2940" t="str">
            <v>广东省管网</v>
          </cell>
          <cell r="D2940" t="str">
            <v>肇庆-云浮支干线</v>
          </cell>
        </row>
        <row r="2941">
          <cell r="A2941" t="str">
            <v>云浮分输站</v>
          </cell>
          <cell r="B2941" t="str">
            <v>二级</v>
          </cell>
          <cell r="C2941" t="str">
            <v>广东省管网</v>
          </cell>
          <cell r="D2941" t="str">
            <v>肇庆-云浮支干线</v>
          </cell>
        </row>
        <row r="2942">
          <cell r="A2942" t="str">
            <v>永安阀室</v>
          </cell>
          <cell r="B2942" t="str">
            <v>二级</v>
          </cell>
          <cell r="C2942" t="str">
            <v>广东省管网</v>
          </cell>
          <cell r="D2942" t="str">
            <v>肇庆-永安专线</v>
          </cell>
        </row>
        <row r="2943">
          <cell r="A2943" t="str">
            <v>永安电厂末站</v>
          </cell>
          <cell r="B2943" t="str">
            <v>二级</v>
          </cell>
          <cell r="C2943" t="str">
            <v>广东省管网</v>
          </cell>
          <cell r="D2943" t="str">
            <v>肇庆-永安专线</v>
          </cell>
        </row>
        <row r="2944">
          <cell r="A2944" t="str">
            <v>海丰分输站</v>
          </cell>
          <cell r="B2944" t="str">
            <v>二级</v>
          </cell>
          <cell r="C2944" t="str">
            <v>广东省管网</v>
          </cell>
          <cell r="D2944" t="str">
            <v>海丰-惠来联络线</v>
          </cell>
        </row>
        <row r="2945">
          <cell r="A2945" t="str">
            <v>平东阀室</v>
          </cell>
          <cell r="B2945" t="str">
            <v>二级</v>
          </cell>
          <cell r="C2945" t="str">
            <v>广东省管网</v>
          </cell>
          <cell r="D2945" t="str">
            <v>海丰-惠来联络线</v>
          </cell>
        </row>
        <row r="2946">
          <cell r="A2946" t="str">
            <v>大安阀室</v>
          </cell>
          <cell r="B2946" t="str">
            <v>二级</v>
          </cell>
          <cell r="C2946" t="str">
            <v>广东省管网</v>
          </cell>
          <cell r="D2946" t="str">
            <v>海丰-惠来联络线</v>
          </cell>
        </row>
        <row r="2947">
          <cell r="A2947" t="str">
            <v>河东阀室</v>
          </cell>
          <cell r="B2947" t="str">
            <v>二级</v>
          </cell>
          <cell r="C2947" t="str">
            <v>广东省管网</v>
          </cell>
          <cell r="D2947" t="str">
            <v>海丰-惠来联络线</v>
          </cell>
        </row>
        <row r="2948">
          <cell r="A2948" t="str">
            <v>内湖阀室</v>
          </cell>
          <cell r="B2948" t="str">
            <v>二级</v>
          </cell>
          <cell r="C2948" t="str">
            <v>广东省管网</v>
          </cell>
          <cell r="D2948" t="str">
            <v>海丰-惠来联络线</v>
          </cell>
        </row>
        <row r="2949">
          <cell r="A2949" t="str">
            <v>鳌江阀室</v>
          </cell>
          <cell r="B2949" t="str">
            <v>二级</v>
          </cell>
          <cell r="C2949" t="str">
            <v>广东省管网</v>
          </cell>
          <cell r="D2949" t="str">
            <v>海丰-惠来联络线</v>
          </cell>
        </row>
        <row r="2950">
          <cell r="A2950" t="str">
            <v>隆江阀室</v>
          </cell>
          <cell r="B2950" t="str">
            <v>二级</v>
          </cell>
          <cell r="C2950" t="str">
            <v>广东省管网</v>
          </cell>
          <cell r="D2950" t="str">
            <v>海丰-惠来联络线</v>
          </cell>
        </row>
        <row r="2951">
          <cell r="A2951" t="str">
            <v>惠来首站</v>
          </cell>
          <cell r="B2951" t="str">
            <v>二级</v>
          </cell>
          <cell r="C2951" t="str">
            <v>广东省管网</v>
          </cell>
          <cell r="D2951" t="str">
            <v>海丰-惠来联络线</v>
          </cell>
        </row>
        <row r="2952">
          <cell r="A2952" t="str">
            <v>浙江省网长兴站</v>
          </cell>
          <cell r="B2952" t="str">
            <v>二级</v>
          </cell>
          <cell r="C2952" t="str">
            <v>浙江省管网</v>
          </cell>
          <cell r="D2952" t="str">
            <v>杭湖主干线</v>
          </cell>
        </row>
        <row r="2953">
          <cell r="A2953" t="str">
            <v>湖州站</v>
          </cell>
          <cell r="B2953" t="str">
            <v>二级</v>
          </cell>
          <cell r="C2953" t="str">
            <v>浙江省管网</v>
          </cell>
          <cell r="D2953" t="str">
            <v>杭湖主干线</v>
          </cell>
        </row>
        <row r="2954">
          <cell r="A2954" t="str">
            <v>湖州联络站</v>
          </cell>
          <cell r="B2954" t="str">
            <v>二级</v>
          </cell>
          <cell r="C2954" t="str">
            <v>浙江省管网</v>
          </cell>
          <cell r="D2954" t="str">
            <v>杭湖主干线</v>
          </cell>
        </row>
        <row r="2955">
          <cell r="A2955" t="str">
            <v>青山阀室</v>
          </cell>
          <cell r="B2955" t="str">
            <v>二级</v>
          </cell>
          <cell r="C2955" t="str">
            <v>浙江省管网</v>
          </cell>
          <cell r="D2955" t="str">
            <v>杭湖主干线</v>
          </cell>
        </row>
        <row r="2956">
          <cell r="A2956" t="str">
            <v>塍头阀室</v>
          </cell>
          <cell r="B2956" t="str">
            <v>二级</v>
          </cell>
          <cell r="C2956" t="str">
            <v>浙江省管网</v>
          </cell>
          <cell r="D2956" t="str">
            <v>杭湖主干线</v>
          </cell>
        </row>
        <row r="2957">
          <cell r="A2957" t="str">
            <v>塍头站</v>
          </cell>
          <cell r="B2957" t="str">
            <v>二级</v>
          </cell>
          <cell r="C2957" t="str">
            <v>浙江省管网</v>
          </cell>
          <cell r="D2957" t="str">
            <v>杭湖主干线</v>
          </cell>
        </row>
        <row r="2958">
          <cell r="A2958" t="str">
            <v>渔公桥阀室</v>
          </cell>
          <cell r="B2958" t="str">
            <v>二级</v>
          </cell>
          <cell r="C2958" t="str">
            <v>浙江省管网</v>
          </cell>
          <cell r="D2958" t="str">
            <v>杭湖主干线</v>
          </cell>
        </row>
        <row r="2959">
          <cell r="A2959" t="str">
            <v>杭州站</v>
          </cell>
          <cell r="B2959" t="str">
            <v>二级</v>
          </cell>
          <cell r="C2959" t="str">
            <v>浙江省管网</v>
          </cell>
          <cell r="D2959" t="str">
            <v>杭湖主干线</v>
          </cell>
        </row>
        <row r="2960">
          <cell r="A2960" t="str">
            <v>杭州站</v>
          </cell>
          <cell r="B2960" t="str">
            <v>二级</v>
          </cell>
          <cell r="C2960" t="str">
            <v>浙江省管网</v>
          </cell>
          <cell r="D2960" t="str">
            <v>半山电厂支线</v>
          </cell>
        </row>
        <row r="2961">
          <cell r="A2961" t="str">
            <v>半山电厂末站</v>
          </cell>
          <cell r="B2961" t="str">
            <v>二级</v>
          </cell>
          <cell r="C2961" t="str">
            <v>浙江省管网</v>
          </cell>
          <cell r="D2961" t="str">
            <v>半山电厂支线</v>
          </cell>
        </row>
        <row r="2962">
          <cell r="A2962" t="str">
            <v>塍头阀室</v>
          </cell>
          <cell r="B2962" t="str">
            <v>二级</v>
          </cell>
          <cell r="C2962" t="str">
            <v>浙江省管网</v>
          </cell>
          <cell r="D2962" t="str">
            <v>德清支线一</v>
          </cell>
        </row>
        <row r="2963">
          <cell r="A2963" t="str">
            <v>德清站</v>
          </cell>
          <cell r="B2963" t="str">
            <v>二级</v>
          </cell>
          <cell r="C2963" t="str">
            <v>浙江省管网</v>
          </cell>
          <cell r="D2963" t="str">
            <v>德清支线一</v>
          </cell>
        </row>
        <row r="2964">
          <cell r="A2964" t="str">
            <v>德能站</v>
          </cell>
          <cell r="B2964" t="str">
            <v>二级</v>
          </cell>
          <cell r="C2964" t="str">
            <v>浙江省管网</v>
          </cell>
          <cell r="D2964" t="str">
            <v>德清支线一</v>
          </cell>
        </row>
        <row r="2965">
          <cell r="A2965" t="str">
            <v>德能站</v>
          </cell>
          <cell r="B2965" t="str">
            <v>二级</v>
          </cell>
          <cell r="C2965" t="str">
            <v>浙江省管网</v>
          </cell>
          <cell r="D2965" t="str">
            <v>德清支线二</v>
          </cell>
        </row>
        <row r="2966">
          <cell r="A2966" t="str">
            <v>德清分布式能源</v>
          </cell>
          <cell r="B2966" t="str">
            <v>二级</v>
          </cell>
          <cell r="C2966" t="str">
            <v>浙江省管网</v>
          </cell>
          <cell r="D2966" t="str">
            <v>德清支线二</v>
          </cell>
        </row>
        <row r="2967">
          <cell r="A2967" t="str">
            <v>浙江省网长兴站</v>
          </cell>
          <cell r="B2967" t="str">
            <v>二级</v>
          </cell>
          <cell r="C2967" t="str">
            <v>浙江省管网</v>
          </cell>
          <cell r="D2967" t="str">
            <v>长兴热电支线</v>
          </cell>
        </row>
        <row r="2968">
          <cell r="A2968" t="str">
            <v>长兴热电厂</v>
          </cell>
          <cell r="B2968" t="str">
            <v>二级</v>
          </cell>
          <cell r="C2968" t="str">
            <v>浙江省管网</v>
          </cell>
          <cell r="D2968" t="str">
            <v>长兴热电支线</v>
          </cell>
        </row>
        <row r="2969">
          <cell r="A2969" t="str">
            <v>长兴末站</v>
          </cell>
          <cell r="B2969" t="str">
            <v>二级</v>
          </cell>
          <cell r="C2969" t="str">
            <v>浙江省管网</v>
          </cell>
          <cell r="D2969" t="str">
            <v>长兴联络线</v>
          </cell>
        </row>
        <row r="2970">
          <cell r="A2970" t="str">
            <v>浙江省网长兴站</v>
          </cell>
          <cell r="B2970" t="str">
            <v>二级</v>
          </cell>
          <cell r="C2970" t="str">
            <v>浙江省管网</v>
          </cell>
          <cell r="D2970" t="str">
            <v>长兴联络线</v>
          </cell>
        </row>
        <row r="2971">
          <cell r="A2971" t="str">
            <v>湖州站</v>
          </cell>
          <cell r="B2971" t="str">
            <v>二级</v>
          </cell>
          <cell r="C2971" t="str">
            <v>浙江省管网</v>
          </cell>
          <cell r="D2971" t="str">
            <v>湖州联络线</v>
          </cell>
        </row>
        <row r="2972">
          <cell r="A2972" t="str">
            <v>湖州联络站</v>
          </cell>
          <cell r="B2972" t="str">
            <v>二级</v>
          </cell>
          <cell r="C2972" t="str">
            <v>浙江省管网</v>
          </cell>
          <cell r="D2972" t="str">
            <v>湖州联络线</v>
          </cell>
        </row>
        <row r="2973">
          <cell r="A2973" t="str">
            <v>湖州联络站</v>
          </cell>
          <cell r="B2973" t="str">
            <v>二级</v>
          </cell>
          <cell r="C2973" t="str">
            <v>浙江省管网</v>
          </cell>
          <cell r="D2973" t="str">
            <v>安吉支线一</v>
          </cell>
        </row>
        <row r="2974">
          <cell r="A2974" t="str">
            <v>妙西阀室</v>
          </cell>
          <cell r="B2974" t="str">
            <v>二级</v>
          </cell>
          <cell r="C2974" t="str">
            <v>浙江省管网</v>
          </cell>
          <cell r="D2974" t="str">
            <v>安吉支线一</v>
          </cell>
        </row>
        <row r="2975">
          <cell r="A2975" t="str">
            <v>回车岭阀室</v>
          </cell>
          <cell r="B2975" t="str">
            <v>二级</v>
          </cell>
          <cell r="C2975" t="str">
            <v>浙江省管网</v>
          </cell>
          <cell r="D2975" t="str">
            <v>安吉支线一</v>
          </cell>
        </row>
        <row r="2976">
          <cell r="A2976" t="str">
            <v>回车岭站</v>
          </cell>
          <cell r="B2976" t="str">
            <v>二级</v>
          </cell>
          <cell r="C2976" t="str">
            <v>浙江省管网</v>
          </cell>
          <cell r="D2976" t="str">
            <v>安吉支线一</v>
          </cell>
        </row>
        <row r="2977">
          <cell r="A2977" t="str">
            <v>回车岭阀室</v>
          </cell>
          <cell r="B2977" t="str">
            <v>二级</v>
          </cell>
          <cell r="C2977" t="str">
            <v>浙江省管网</v>
          </cell>
          <cell r="D2977" t="str">
            <v>安吉支线二</v>
          </cell>
        </row>
        <row r="2978">
          <cell r="A2978" t="str">
            <v>徐村湾站</v>
          </cell>
          <cell r="B2978" t="str">
            <v>二级</v>
          </cell>
          <cell r="C2978" t="str">
            <v>浙江省管网</v>
          </cell>
          <cell r="D2978" t="str">
            <v>安吉支线二</v>
          </cell>
        </row>
        <row r="2979">
          <cell r="A2979" t="str">
            <v>安吉站</v>
          </cell>
          <cell r="B2979" t="str">
            <v>二级</v>
          </cell>
          <cell r="C2979" t="str">
            <v>浙江省管网</v>
          </cell>
          <cell r="D2979" t="str">
            <v>安吉支线二</v>
          </cell>
        </row>
        <row r="2980">
          <cell r="A2980" t="str">
            <v>安吉站</v>
          </cell>
          <cell r="B2980" t="str">
            <v>二级</v>
          </cell>
          <cell r="C2980" t="str">
            <v>浙江省管网</v>
          </cell>
          <cell r="D2980" t="str">
            <v>安吉热电支线</v>
          </cell>
        </row>
        <row r="2981">
          <cell r="A2981" t="str">
            <v>琥珀安吉热电末站</v>
          </cell>
          <cell r="B2981" t="str">
            <v>二级</v>
          </cell>
          <cell r="C2981" t="str">
            <v>浙江省管网</v>
          </cell>
          <cell r="D2981" t="str">
            <v>安吉热电支线</v>
          </cell>
        </row>
        <row r="2982">
          <cell r="A2982" t="str">
            <v>湖州联络站</v>
          </cell>
          <cell r="B2982" t="str">
            <v>二级</v>
          </cell>
          <cell r="C2982" t="str">
            <v>浙江省管网</v>
          </cell>
          <cell r="D2982" t="str">
            <v>南浔支线</v>
          </cell>
        </row>
        <row r="2983">
          <cell r="A2983" t="str">
            <v>群益阀室</v>
          </cell>
          <cell r="B2983" t="str">
            <v>二级</v>
          </cell>
          <cell r="C2983" t="str">
            <v>浙江省管网</v>
          </cell>
          <cell r="D2983" t="str">
            <v>南浔支线</v>
          </cell>
        </row>
        <row r="2984">
          <cell r="A2984" t="str">
            <v>南浔站</v>
          </cell>
          <cell r="B2984" t="str">
            <v>二级</v>
          </cell>
          <cell r="C2984" t="str">
            <v>浙江省管网</v>
          </cell>
          <cell r="D2984" t="str">
            <v>南浔支线</v>
          </cell>
        </row>
        <row r="2985">
          <cell r="A2985" t="str">
            <v>西湾里阀室</v>
          </cell>
          <cell r="B2985" t="str">
            <v>二级</v>
          </cell>
          <cell r="C2985" t="str">
            <v>浙江省管网</v>
          </cell>
          <cell r="D2985" t="str">
            <v>南浔热电支线一</v>
          </cell>
        </row>
        <row r="2986">
          <cell r="A2986" t="str">
            <v>南浔站</v>
          </cell>
          <cell r="B2986" t="str">
            <v>二级</v>
          </cell>
          <cell r="C2986" t="str">
            <v>浙江省管网</v>
          </cell>
          <cell r="D2986" t="str">
            <v>南浔热电支线一</v>
          </cell>
        </row>
        <row r="2987">
          <cell r="A2987" t="str">
            <v>南浔站</v>
          </cell>
          <cell r="B2987" t="str">
            <v>二级</v>
          </cell>
          <cell r="C2987" t="str">
            <v>浙江省管网</v>
          </cell>
          <cell r="D2987" t="str">
            <v>南浔热电支线二</v>
          </cell>
        </row>
        <row r="2988">
          <cell r="A2988" t="str">
            <v>双林1#阀室</v>
          </cell>
          <cell r="B2988" t="str">
            <v>二级</v>
          </cell>
          <cell r="C2988" t="str">
            <v>浙江省管网</v>
          </cell>
          <cell r="D2988" t="str">
            <v>南浔热电支线二</v>
          </cell>
        </row>
        <row r="2989">
          <cell r="A2989" t="str">
            <v>双林2#阀室</v>
          </cell>
          <cell r="B2989" t="str">
            <v>二级</v>
          </cell>
          <cell r="C2989" t="str">
            <v>浙江省管网</v>
          </cell>
          <cell r="D2989" t="str">
            <v>南浔热电支线二</v>
          </cell>
        </row>
        <row r="2990">
          <cell r="A2990" t="str">
            <v>南浔热电</v>
          </cell>
          <cell r="B2990" t="str">
            <v>二级</v>
          </cell>
          <cell r="C2990" t="str">
            <v>浙江省管网</v>
          </cell>
          <cell r="D2990" t="str">
            <v>南浔热电支线二</v>
          </cell>
        </row>
        <row r="2991">
          <cell r="A2991" t="str">
            <v>秀洲站</v>
          </cell>
          <cell r="B2991" t="str">
            <v>二级</v>
          </cell>
          <cell r="C2991" t="str">
            <v>浙江省管网</v>
          </cell>
          <cell r="D2991" t="str">
            <v>杭嘉主干线</v>
          </cell>
        </row>
        <row r="2992">
          <cell r="A2992" t="str">
            <v>徐家洋阀室</v>
          </cell>
          <cell r="B2992" t="str">
            <v>二级</v>
          </cell>
          <cell r="C2992" t="str">
            <v>浙江省管网</v>
          </cell>
          <cell r="D2992" t="str">
            <v>杭嘉主干线</v>
          </cell>
        </row>
        <row r="2993">
          <cell r="A2993" t="str">
            <v>浙江省网嘉兴站</v>
          </cell>
          <cell r="B2993" t="str">
            <v>二级</v>
          </cell>
          <cell r="C2993" t="str">
            <v>浙江省管网</v>
          </cell>
          <cell r="D2993" t="str">
            <v>杭嘉主干线</v>
          </cell>
        </row>
        <row r="2994">
          <cell r="A2994" t="str">
            <v>王店阀室</v>
          </cell>
          <cell r="B2994" t="str">
            <v>二级</v>
          </cell>
          <cell r="C2994" t="str">
            <v>浙江省管网</v>
          </cell>
          <cell r="D2994" t="str">
            <v>杭嘉主干线</v>
          </cell>
        </row>
        <row r="2995">
          <cell r="A2995" t="str">
            <v>屠甸站</v>
          </cell>
          <cell r="B2995" t="str">
            <v>二级</v>
          </cell>
          <cell r="C2995" t="str">
            <v>浙江省管网</v>
          </cell>
          <cell r="D2995" t="str">
            <v>杭嘉主干线</v>
          </cell>
        </row>
        <row r="2996">
          <cell r="A2996" t="str">
            <v>南沈门阀室</v>
          </cell>
          <cell r="B2996" t="str">
            <v>二级</v>
          </cell>
          <cell r="C2996" t="str">
            <v>浙江省管网</v>
          </cell>
          <cell r="D2996" t="str">
            <v>杭嘉主干线</v>
          </cell>
        </row>
        <row r="2997">
          <cell r="A2997" t="str">
            <v>章家塔阀室</v>
          </cell>
          <cell r="B2997" t="str">
            <v>二级</v>
          </cell>
          <cell r="C2997" t="str">
            <v>浙江省管网</v>
          </cell>
          <cell r="D2997" t="str">
            <v>杭嘉主干线</v>
          </cell>
        </row>
        <row r="2998">
          <cell r="A2998" t="str">
            <v>天明站</v>
          </cell>
          <cell r="B2998" t="str">
            <v>二级</v>
          </cell>
          <cell r="C2998" t="str">
            <v>浙江省管网</v>
          </cell>
          <cell r="D2998" t="str">
            <v>杭嘉主干线</v>
          </cell>
        </row>
        <row r="2999">
          <cell r="A2999" t="str">
            <v>下沙站</v>
          </cell>
          <cell r="B2999" t="str">
            <v>二级</v>
          </cell>
          <cell r="C2999" t="str">
            <v>浙江省管网</v>
          </cell>
          <cell r="D2999" t="str">
            <v>杭嘉主干线</v>
          </cell>
        </row>
        <row r="3000">
          <cell r="A3000" t="str">
            <v>嘉兴站</v>
          </cell>
          <cell r="B3000" t="str">
            <v>二级</v>
          </cell>
          <cell r="C3000" t="str">
            <v>浙江省管网</v>
          </cell>
          <cell r="D3000" t="str">
            <v>秀洲联络线</v>
          </cell>
        </row>
        <row r="3001">
          <cell r="A3001" t="str">
            <v>秀洲站</v>
          </cell>
          <cell r="B3001" t="str">
            <v>二级</v>
          </cell>
          <cell r="C3001" t="str">
            <v>浙江省管网</v>
          </cell>
          <cell r="D3001" t="str">
            <v>秀洲联络线</v>
          </cell>
        </row>
        <row r="3002">
          <cell r="A3002" t="str">
            <v>屠甸站</v>
          </cell>
          <cell r="B3002" t="str">
            <v>二级</v>
          </cell>
          <cell r="C3002" t="str">
            <v>浙江省管网</v>
          </cell>
          <cell r="D3002" t="str">
            <v>桐乡热电支线</v>
          </cell>
        </row>
        <row r="3003">
          <cell r="A3003" t="str">
            <v>新玄阀室</v>
          </cell>
          <cell r="B3003" t="str">
            <v>二级</v>
          </cell>
          <cell r="C3003" t="str">
            <v>浙江省管网</v>
          </cell>
          <cell r="D3003" t="str">
            <v>桐乡热电支线</v>
          </cell>
        </row>
        <row r="3004">
          <cell r="A3004" t="str">
            <v>长新阀室</v>
          </cell>
          <cell r="B3004" t="str">
            <v>二级</v>
          </cell>
          <cell r="C3004" t="str">
            <v>浙江省管网</v>
          </cell>
          <cell r="D3004" t="str">
            <v>桐乡热电支线</v>
          </cell>
        </row>
        <row r="3005">
          <cell r="A3005" t="str">
            <v>联庄阀室</v>
          </cell>
          <cell r="B3005" t="str">
            <v>二级</v>
          </cell>
          <cell r="C3005" t="str">
            <v>浙江省管网</v>
          </cell>
          <cell r="D3005" t="str">
            <v>桐乡热电支线</v>
          </cell>
        </row>
        <row r="3006">
          <cell r="A3006" t="str">
            <v>联丰阀室</v>
          </cell>
          <cell r="B3006" t="str">
            <v>二级</v>
          </cell>
          <cell r="C3006" t="str">
            <v>浙江省管网</v>
          </cell>
          <cell r="D3006" t="str">
            <v>桐乡热电支线</v>
          </cell>
        </row>
        <row r="3007">
          <cell r="A3007" t="str">
            <v>桐乡热电站</v>
          </cell>
          <cell r="B3007" t="str">
            <v>二级</v>
          </cell>
          <cell r="C3007" t="str">
            <v>浙江省管网</v>
          </cell>
          <cell r="D3007" t="str">
            <v>桐乡热电支线</v>
          </cell>
        </row>
        <row r="3008">
          <cell r="A3008" t="str">
            <v>屠甸站</v>
          </cell>
          <cell r="B3008" t="str">
            <v>二级</v>
          </cell>
          <cell r="C3008" t="str">
            <v>浙江省管网</v>
          </cell>
          <cell r="D3008" t="str">
            <v>浙沪联络线</v>
          </cell>
        </row>
        <row r="3009">
          <cell r="A3009" t="str">
            <v>殳山阀室</v>
          </cell>
          <cell r="B3009" t="str">
            <v>二级</v>
          </cell>
          <cell r="C3009" t="str">
            <v>浙江省管网</v>
          </cell>
          <cell r="D3009" t="str">
            <v>浙沪联络线</v>
          </cell>
        </row>
        <row r="3010">
          <cell r="A3010" t="str">
            <v>百步站</v>
          </cell>
          <cell r="B3010" t="str">
            <v>二级</v>
          </cell>
          <cell r="C3010" t="str">
            <v>浙江省管网</v>
          </cell>
          <cell r="D3010" t="str">
            <v>浙沪联络线</v>
          </cell>
        </row>
        <row r="3011">
          <cell r="A3011" t="str">
            <v>于城阀室</v>
          </cell>
          <cell r="B3011" t="str">
            <v>二级</v>
          </cell>
          <cell r="C3011" t="str">
            <v>浙江省管网</v>
          </cell>
          <cell r="D3011" t="str">
            <v>浙沪联络线</v>
          </cell>
        </row>
        <row r="3012">
          <cell r="A3012" t="str">
            <v>海盐站</v>
          </cell>
          <cell r="B3012" t="str">
            <v>二级</v>
          </cell>
          <cell r="C3012" t="str">
            <v>浙江省管网</v>
          </cell>
          <cell r="D3012" t="str">
            <v>浙沪联络线</v>
          </cell>
        </row>
        <row r="3013">
          <cell r="A3013" t="str">
            <v>杭州站</v>
          </cell>
          <cell r="B3013" t="str">
            <v>二级</v>
          </cell>
          <cell r="C3013" t="str">
            <v>浙江省管网</v>
          </cell>
          <cell r="D3013" t="str">
            <v>杭甬主干线</v>
          </cell>
        </row>
        <row r="3014">
          <cell r="A3014" t="str">
            <v>沿山港阀室</v>
          </cell>
          <cell r="B3014" t="str">
            <v>二级</v>
          </cell>
          <cell r="C3014" t="str">
            <v>浙江省管网</v>
          </cell>
          <cell r="D3014" t="str">
            <v>杭甬主干线</v>
          </cell>
        </row>
        <row r="3015">
          <cell r="A3015" t="str">
            <v>紫云站</v>
          </cell>
          <cell r="B3015" t="str">
            <v>二级</v>
          </cell>
          <cell r="C3015" t="str">
            <v>浙江省管网</v>
          </cell>
          <cell r="D3015" t="str">
            <v>杭甬主干线</v>
          </cell>
        </row>
        <row r="3016">
          <cell r="A3016" t="str">
            <v>丁桥阀室</v>
          </cell>
          <cell r="B3016" t="str">
            <v>二级</v>
          </cell>
          <cell r="C3016" t="str">
            <v>浙江省管网</v>
          </cell>
          <cell r="D3016" t="str">
            <v>杭甬主干线</v>
          </cell>
        </row>
        <row r="3017">
          <cell r="A3017" t="str">
            <v>下沙阀室</v>
          </cell>
          <cell r="B3017" t="str">
            <v>二级</v>
          </cell>
          <cell r="C3017" t="str">
            <v>浙江省管网</v>
          </cell>
          <cell r="D3017" t="str">
            <v>杭甬主干线</v>
          </cell>
        </row>
        <row r="3018">
          <cell r="A3018" t="str">
            <v>下沙站</v>
          </cell>
          <cell r="B3018" t="str">
            <v>二级</v>
          </cell>
          <cell r="C3018" t="str">
            <v>浙江省管网</v>
          </cell>
          <cell r="D3018" t="str">
            <v>杭甬主干线</v>
          </cell>
        </row>
        <row r="3019">
          <cell r="A3019" t="str">
            <v>萧山联络站</v>
          </cell>
          <cell r="B3019" t="str">
            <v>二级</v>
          </cell>
          <cell r="C3019" t="str">
            <v>浙江省管网</v>
          </cell>
          <cell r="D3019" t="str">
            <v>杭甬主干线</v>
          </cell>
        </row>
        <row r="3020">
          <cell r="A3020" t="str">
            <v>红垦阀室</v>
          </cell>
          <cell r="B3020" t="str">
            <v>二级</v>
          </cell>
          <cell r="C3020" t="str">
            <v>浙江省管网</v>
          </cell>
          <cell r="D3020" t="str">
            <v>杭甬主干线</v>
          </cell>
        </row>
        <row r="3021">
          <cell r="A3021" t="str">
            <v>浙江省网萧山站</v>
          </cell>
          <cell r="B3021" t="str">
            <v>二级</v>
          </cell>
          <cell r="C3021" t="str">
            <v>浙江省管网</v>
          </cell>
          <cell r="D3021" t="str">
            <v>杭甬主干线</v>
          </cell>
        </row>
        <row r="3022">
          <cell r="A3022" t="str">
            <v>壶瓶山阀室</v>
          </cell>
          <cell r="B3022" t="str">
            <v>二级</v>
          </cell>
          <cell r="C3022" t="str">
            <v>浙江省管网</v>
          </cell>
          <cell r="D3022" t="str">
            <v>杭甬主干线</v>
          </cell>
        </row>
        <row r="3023">
          <cell r="A3023" t="str">
            <v>绍兴站</v>
          </cell>
          <cell r="B3023" t="str">
            <v>二级</v>
          </cell>
          <cell r="C3023" t="str">
            <v>浙江省管网</v>
          </cell>
          <cell r="D3023" t="str">
            <v>杭甬主干线</v>
          </cell>
        </row>
        <row r="3024">
          <cell r="A3024" t="str">
            <v>大吉庵阀室</v>
          </cell>
          <cell r="B3024" t="str">
            <v>二级</v>
          </cell>
          <cell r="C3024" t="str">
            <v>浙江省管网</v>
          </cell>
          <cell r="D3024" t="str">
            <v>杭甬主干线</v>
          </cell>
        </row>
        <row r="3025">
          <cell r="A3025" t="str">
            <v>西直河阀室</v>
          </cell>
          <cell r="B3025" t="str">
            <v>二级</v>
          </cell>
          <cell r="C3025" t="str">
            <v>浙江省管网</v>
          </cell>
          <cell r="D3025" t="str">
            <v>杭甬主干线</v>
          </cell>
        </row>
        <row r="3026">
          <cell r="A3026" t="str">
            <v>上虞站</v>
          </cell>
          <cell r="B3026" t="str">
            <v>二级</v>
          </cell>
          <cell r="C3026" t="str">
            <v>浙江省管网</v>
          </cell>
          <cell r="D3026" t="str">
            <v>杭甬主干线</v>
          </cell>
        </row>
        <row r="3027">
          <cell r="A3027" t="str">
            <v>百官阀室</v>
          </cell>
          <cell r="B3027" t="str">
            <v>二级</v>
          </cell>
          <cell r="C3027" t="str">
            <v>浙江省管网</v>
          </cell>
          <cell r="D3027" t="str">
            <v>杭甬主干线</v>
          </cell>
        </row>
        <row r="3028">
          <cell r="A3028" t="str">
            <v>金盾站</v>
          </cell>
          <cell r="B3028" t="str">
            <v>二级</v>
          </cell>
          <cell r="C3028" t="str">
            <v>浙江省管网</v>
          </cell>
          <cell r="D3028" t="str">
            <v>杭甬主干线</v>
          </cell>
        </row>
        <row r="3029">
          <cell r="A3029" t="str">
            <v>牛头山阀室</v>
          </cell>
          <cell r="B3029" t="str">
            <v>二级</v>
          </cell>
          <cell r="C3029" t="str">
            <v>浙江省管网</v>
          </cell>
          <cell r="D3029" t="str">
            <v>杭甬主干线</v>
          </cell>
        </row>
        <row r="3030">
          <cell r="A3030" t="str">
            <v>毛竹山阀室</v>
          </cell>
          <cell r="B3030" t="str">
            <v>二级</v>
          </cell>
          <cell r="C3030" t="str">
            <v>浙江省管网</v>
          </cell>
          <cell r="D3030" t="str">
            <v>杭甬主干线</v>
          </cell>
        </row>
        <row r="3031">
          <cell r="A3031" t="str">
            <v>余姚清管站</v>
          </cell>
          <cell r="B3031" t="str">
            <v>二级</v>
          </cell>
          <cell r="C3031" t="str">
            <v>浙江省管网</v>
          </cell>
          <cell r="D3031" t="str">
            <v>杭甬主干线</v>
          </cell>
        </row>
        <row r="3032">
          <cell r="A3032" t="str">
            <v>官路沿阀室</v>
          </cell>
          <cell r="B3032" t="str">
            <v>二级</v>
          </cell>
          <cell r="C3032" t="str">
            <v>浙江省管网</v>
          </cell>
          <cell r="D3032" t="str">
            <v>杭甬主干线</v>
          </cell>
        </row>
        <row r="3033">
          <cell r="A3033" t="str">
            <v>江北1#阀室</v>
          </cell>
          <cell r="B3033" t="str">
            <v>二级</v>
          </cell>
          <cell r="C3033" t="str">
            <v>浙江省管网</v>
          </cell>
          <cell r="D3033" t="str">
            <v>杭甬主干线</v>
          </cell>
        </row>
        <row r="3034">
          <cell r="A3034" t="str">
            <v>江北2#阀室</v>
          </cell>
          <cell r="B3034" t="str">
            <v>二级</v>
          </cell>
          <cell r="C3034" t="str">
            <v>浙江省管网</v>
          </cell>
          <cell r="D3034" t="str">
            <v>杭甬主干线</v>
          </cell>
        </row>
        <row r="3035">
          <cell r="A3035" t="str">
            <v>半江王阀室</v>
          </cell>
          <cell r="B3035" t="str">
            <v>二级</v>
          </cell>
          <cell r="C3035" t="str">
            <v>浙江省管网</v>
          </cell>
          <cell r="D3035" t="str">
            <v>杭甬主干线</v>
          </cell>
        </row>
        <row r="3036">
          <cell r="A3036" t="str">
            <v>镇海站</v>
          </cell>
          <cell r="B3036" t="str">
            <v>二级</v>
          </cell>
          <cell r="C3036" t="str">
            <v>浙江省管网</v>
          </cell>
          <cell r="D3036" t="str">
            <v>杭甬主干线</v>
          </cell>
        </row>
        <row r="3037">
          <cell r="A3037" t="str">
            <v>龙山阀室</v>
          </cell>
          <cell r="B3037" t="str">
            <v>二级</v>
          </cell>
          <cell r="C3037" t="str">
            <v>浙江省管网</v>
          </cell>
          <cell r="D3037" t="str">
            <v>杭甬主干线</v>
          </cell>
        </row>
        <row r="3038">
          <cell r="A3038" t="str">
            <v>钟家沙阀室</v>
          </cell>
          <cell r="B3038" t="str">
            <v>二级</v>
          </cell>
          <cell r="C3038" t="str">
            <v>浙江省管网</v>
          </cell>
          <cell r="D3038" t="str">
            <v>杭甬主干线</v>
          </cell>
        </row>
        <row r="3039">
          <cell r="A3039" t="str">
            <v>北仑阀室</v>
          </cell>
          <cell r="B3039" t="str">
            <v>二级</v>
          </cell>
          <cell r="C3039" t="str">
            <v>浙江省管网</v>
          </cell>
          <cell r="D3039" t="str">
            <v>杭甬主干线</v>
          </cell>
        </row>
        <row r="3040">
          <cell r="A3040" t="str">
            <v>春晓站</v>
          </cell>
          <cell r="B3040" t="str">
            <v>二级</v>
          </cell>
          <cell r="C3040" t="str">
            <v>浙江省管网</v>
          </cell>
          <cell r="D3040" t="str">
            <v>杭甬主干线</v>
          </cell>
        </row>
        <row r="3041">
          <cell r="A3041" t="str">
            <v>北仑阀室</v>
          </cell>
          <cell r="B3041" t="str">
            <v>二级</v>
          </cell>
          <cell r="C3041" t="str">
            <v>浙江省管网</v>
          </cell>
          <cell r="D3041" t="str">
            <v>北仑支线</v>
          </cell>
        </row>
        <row r="3042">
          <cell r="A3042" t="str">
            <v>北仑站</v>
          </cell>
          <cell r="B3042" t="str">
            <v>二级</v>
          </cell>
          <cell r="C3042" t="str">
            <v>浙江省管网</v>
          </cell>
          <cell r="D3042" t="str">
            <v>北仑支线</v>
          </cell>
        </row>
        <row r="3043">
          <cell r="A3043" t="str">
            <v>镇海站</v>
          </cell>
          <cell r="B3043" t="str">
            <v>二级</v>
          </cell>
          <cell r="C3043" t="str">
            <v>浙江省管网</v>
          </cell>
          <cell r="D3043" t="str">
            <v>镇海电厂支线</v>
          </cell>
        </row>
        <row r="3044">
          <cell r="A3044" t="str">
            <v>镇海电厂</v>
          </cell>
          <cell r="B3044" t="str">
            <v>二级</v>
          </cell>
          <cell r="C3044" t="str">
            <v>浙江省管网</v>
          </cell>
          <cell r="D3044" t="str">
            <v>镇海电厂支线</v>
          </cell>
        </row>
        <row r="3045">
          <cell r="A3045" t="str">
            <v>镇海站</v>
          </cell>
          <cell r="B3045" t="str">
            <v>二级</v>
          </cell>
          <cell r="C3045" t="str">
            <v>浙江省管网</v>
          </cell>
          <cell r="D3045" t="str">
            <v>镇海炼化支线</v>
          </cell>
        </row>
        <row r="3046">
          <cell r="A3046" t="str">
            <v>镇海炼化</v>
          </cell>
          <cell r="B3046" t="str">
            <v>二级</v>
          </cell>
          <cell r="C3046" t="str">
            <v>浙江省管网</v>
          </cell>
          <cell r="D3046" t="str">
            <v>镇海炼化支线</v>
          </cell>
        </row>
        <row r="3047">
          <cell r="A3047" t="str">
            <v>余姚清管站</v>
          </cell>
          <cell r="B3047" t="str">
            <v>二级</v>
          </cell>
          <cell r="C3047" t="str">
            <v>浙江省管网</v>
          </cell>
          <cell r="D3047" t="str">
            <v>余姚支线</v>
          </cell>
        </row>
        <row r="3048">
          <cell r="A3048" t="str">
            <v>余姚站</v>
          </cell>
          <cell r="B3048" t="str">
            <v>二级</v>
          </cell>
          <cell r="C3048" t="str">
            <v>浙江省管网</v>
          </cell>
          <cell r="D3048" t="str">
            <v>余姚支线</v>
          </cell>
        </row>
        <row r="3049">
          <cell r="A3049" t="str">
            <v>牛头山阀室</v>
          </cell>
          <cell r="B3049" t="str">
            <v>二级</v>
          </cell>
          <cell r="C3049" t="str">
            <v>浙江省管网</v>
          </cell>
          <cell r="D3049" t="str">
            <v>国华电厂支线</v>
          </cell>
        </row>
        <row r="3050">
          <cell r="A3050" t="str">
            <v>国华电厂</v>
          </cell>
          <cell r="B3050" t="str">
            <v>二级</v>
          </cell>
          <cell r="C3050" t="str">
            <v>浙江省管网</v>
          </cell>
          <cell r="D3050" t="str">
            <v>国华电厂支线</v>
          </cell>
        </row>
        <row r="3051">
          <cell r="A3051" t="str">
            <v>红垦阀室</v>
          </cell>
          <cell r="B3051" t="str">
            <v>二级</v>
          </cell>
          <cell r="C3051" t="str">
            <v>浙江省管网</v>
          </cell>
          <cell r="D3051" t="str">
            <v>萧山支线</v>
          </cell>
        </row>
        <row r="3052">
          <cell r="A3052" t="str">
            <v>城郊阀室</v>
          </cell>
          <cell r="B3052" t="str">
            <v>二级</v>
          </cell>
          <cell r="C3052" t="str">
            <v>浙江省管网</v>
          </cell>
          <cell r="D3052" t="str">
            <v>萧山支线</v>
          </cell>
        </row>
        <row r="3053">
          <cell r="A3053" t="str">
            <v>杨汛桥阀室</v>
          </cell>
          <cell r="B3053" t="str">
            <v>二级</v>
          </cell>
          <cell r="C3053" t="str">
            <v>浙江省管网</v>
          </cell>
          <cell r="D3053" t="str">
            <v>萧山支线</v>
          </cell>
        </row>
        <row r="3054">
          <cell r="A3054" t="str">
            <v>临浦站</v>
          </cell>
          <cell r="B3054" t="str">
            <v>二级</v>
          </cell>
          <cell r="C3054" t="str">
            <v>浙江省管网</v>
          </cell>
          <cell r="D3054" t="str">
            <v>萧山支线</v>
          </cell>
        </row>
        <row r="3055">
          <cell r="A3055" t="str">
            <v>萧山电厂站</v>
          </cell>
          <cell r="B3055" t="str">
            <v>二级</v>
          </cell>
          <cell r="C3055" t="str">
            <v>浙江省管网</v>
          </cell>
          <cell r="D3055" t="str">
            <v>萧山支线</v>
          </cell>
        </row>
        <row r="3056">
          <cell r="A3056" t="str">
            <v>萧山分输站</v>
          </cell>
          <cell r="B3056" t="str">
            <v>二级</v>
          </cell>
          <cell r="C3056" t="str">
            <v>浙江省管网</v>
          </cell>
          <cell r="D3056" t="str">
            <v>萧山联络线</v>
          </cell>
        </row>
        <row r="3057">
          <cell r="A3057" t="str">
            <v>浙江省网萧山站</v>
          </cell>
          <cell r="B3057" t="str">
            <v>二级</v>
          </cell>
          <cell r="C3057" t="str">
            <v>浙江省管网</v>
          </cell>
          <cell r="D3057" t="str">
            <v>萧山联络线</v>
          </cell>
        </row>
        <row r="3058">
          <cell r="A3058" t="str">
            <v>春晓油气处理厂</v>
          </cell>
          <cell r="B3058" t="str">
            <v>二级</v>
          </cell>
          <cell r="C3058" t="str">
            <v>浙江省管网</v>
          </cell>
          <cell r="D3058" t="str">
            <v>油气处理厂支线</v>
          </cell>
        </row>
        <row r="3059">
          <cell r="A3059" t="str">
            <v>春晓站</v>
          </cell>
          <cell r="B3059" t="str">
            <v>二级</v>
          </cell>
          <cell r="C3059" t="str">
            <v>浙江省管网</v>
          </cell>
          <cell r="D3059" t="str">
            <v>油气处理厂支线</v>
          </cell>
        </row>
        <row r="3060">
          <cell r="A3060" t="str">
            <v>LNG接收站</v>
          </cell>
          <cell r="B3060" t="str">
            <v>二级</v>
          </cell>
          <cell r="C3060" t="str">
            <v>浙江省管网</v>
          </cell>
          <cell r="D3060" t="str">
            <v>LNG配套管线</v>
          </cell>
        </row>
        <row r="3061">
          <cell r="A3061" t="str">
            <v>中宅站</v>
          </cell>
          <cell r="B3061" t="str">
            <v>二级</v>
          </cell>
          <cell r="C3061" t="str">
            <v>浙江省管网</v>
          </cell>
          <cell r="D3061" t="str">
            <v>LNG配套管线</v>
          </cell>
        </row>
        <row r="3062">
          <cell r="A3062" t="str">
            <v>郑家堂阀室</v>
          </cell>
          <cell r="B3062" t="str">
            <v>二级</v>
          </cell>
          <cell r="C3062" t="str">
            <v>浙江省管网</v>
          </cell>
          <cell r="D3062" t="str">
            <v>LNG配套管线</v>
          </cell>
        </row>
        <row r="3063">
          <cell r="A3063" t="str">
            <v>下庙阀室</v>
          </cell>
          <cell r="B3063" t="str">
            <v>二级</v>
          </cell>
          <cell r="C3063" t="str">
            <v>浙江省管网</v>
          </cell>
          <cell r="D3063" t="str">
            <v>LNG配套管线</v>
          </cell>
        </row>
        <row r="3064">
          <cell r="A3064" t="str">
            <v>春晓站</v>
          </cell>
          <cell r="B3064" t="str">
            <v>二级</v>
          </cell>
          <cell r="C3064" t="str">
            <v>浙江省管网</v>
          </cell>
          <cell r="D3064" t="str">
            <v>LNG配套管线</v>
          </cell>
        </row>
        <row r="3065">
          <cell r="A3065" t="str">
            <v>春晓站</v>
          </cell>
          <cell r="B3065" t="str">
            <v>二级</v>
          </cell>
          <cell r="C3065" t="str">
            <v>浙江省管网</v>
          </cell>
          <cell r="D3065" t="str">
            <v>春晓热电支线</v>
          </cell>
        </row>
        <row r="3066">
          <cell r="A3066" t="str">
            <v>春晓热电厂</v>
          </cell>
          <cell r="B3066" t="str">
            <v>二级</v>
          </cell>
          <cell r="C3066" t="str">
            <v>浙江省管网</v>
          </cell>
          <cell r="D3066" t="str">
            <v>春晓热电支线</v>
          </cell>
        </row>
        <row r="3067">
          <cell r="A3067" t="str">
            <v>澥浦阀室</v>
          </cell>
          <cell r="B3067" t="str">
            <v>二级</v>
          </cell>
          <cell r="C3067" t="str">
            <v>浙江省管网</v>
          </cell>
          <cell r="D3067" t="str">
            <v>镇海热电支线</v>
          </cell>
        </row>
        <row r="3068">
          <cell r="A3068" t="str">
            <v>镇海动力中心</v>
          </cell>
          <cell r="B3068" t="str">
            <v>二级</v>
          </cell>
          <cell r="C3068" t="str">
            <v>浙江省管网</v>
          </cell>
          <cell r="D3068" t="str">
            <v>镇海热电支线</v>
          </cell>
        </row>
        <row r="3069">
          <cell r="A3069" t="str">
            <v>大吉庵阀室</v>
          </cell>
          <cell r="B3069" t="str">
            <v>二级</v>
          </cell>
          <cell r="C3069" t="str">
            <v>浙江省管网</v>
          </cell>
          <cell r="D3069" t="str">
            <v>大唐江滨支线</v>
          </cell>
        </row>
        <row r="3070">
          <cell r="A3070" t="str">
            <v>大唐江滨站</v>
          </cell>
          <cell r="B3070" t="str">
            <v>二级</v>
          </cell>
          <cell r="C3070" t="str">
            <v>浙江省管网</v>
          </cell>
          <cell r="D3070" t="str">
            <v>大唐江滨支线</v>
          </cell>
        </row>
        <row r="3071">
          <cell r="A3071" t="str">
            <v>上虞站</v>
          </cell>
          <cell r="B3071" t="str">
            <v>二级</v>
          </cell>
          <cell r="C3071" t="str">
            <v>浙江省管网</v>
          </cell>
          <cell r="D3071" t="str">
            <v>上三线</v>
          </cell>
        </row>
        <row r="3072">
          <cell r="A3072" t="str">
            <v>曹娥阀室</v>
          </cell>
          <cell r="B3072" t="str">
            <v>二级</v>
          </cell>
          <cell r="C3072" t="str">
            <v>浙江省管网</v>
          </cell>
          <cell r="D3072" t="str">
            <v>上三线</v>
          </cell>
        </row>
        <row r="3073">
          <cell r="A3073" t="str">
            <v>东关阀室</v>
          </cell>
          <cell r="B3073" t="str">
            <v>二级</v>
          </cell>
          <cell r="C3073" t="str">
            <v>浙江省管网</v>
          </cell>
          <cell r="D3073" t="str">
            <v>上三线</v>
          </cell>
        </row>
        <row r="3074">
          <cell r="A3074" t="str">
            <v>汤浦阀室</v>
          </cell>
          <cell r="B3074" t="str">
            <v>二级</v>
          </cell>
          <cell r="C3074" t="str">
            <v>浙江省管网</v>
          </cell>
          <cell r="D3074" t="str">
            <v>上三线</v>
          </cell>
        </row>
        <row r="3075">
          <cell r="A3075" t="str">
            <v>上虞南站</v>
          </cell>
          <cell r="B3075" t="str">
            <v>二级</v>
          </cell>
          <cell r="C3075" t="str">
            <v>浙江省管网</v>
          </cell>
          <cell r="D3075" t="str">
            <v>上三线</v>
          </cell>
        </row>
        <row r="3076">
          <cell r="A3076" t="str">
            <v>浦口阀室</v>
          </cell>
          <cell r="B3076" t="str">
            <v>二级</v>
          </cell>
          <cell r="C3076" t="str">
            <v>浙江省管网</v>
          </cell>
          <cell r="D3076" t="str">
            <v>上三线</v>
          </cell>
        </row>
        <row r="3077">
          <cell r="A3077" t="str">
            <v>嵊州站</v>
          </cell>
          <cell r="B3077" t="str">
            <v>二级</v>
          </cell>
          <cell r="C3077" t="str">
            <v>浙江省管网</v>
          </cell>
          <cell r="D3077" t="str">
            <v>上三线</v>
          </cell>
        </row>
        <row r="3078">
          <cell r="A3078" t="str">
            <v>羽林阀室</v>
          </cell>
          <cell r="B3078" t="str">
            <v>二级</v>
          </cell>
          <cell r="C3078" t="str">
            <v>浙江省管网</v>
          </cell>
          <cell r="D3078" t="str">
            <v>上三线</v>
          </cell>
        </row>
        <row r="3079">
          <cell r="A3079" t="str">
            <v>儒岙阀室</v>
          </cell>
          <cell r="B3079" t="str">
            <v>二级</v>
          </cell>
          <cell r="C3079" t="str">
            <v>浙江省管网</v>
          </cell>
          <cell r="D3079" t="str">
            <v>上三线</v>
          </cell>
        </row>
        <row r="3080">
          <cell r="A3080" t="str">
            <v>白鹤阀室</v>
          </cell>
          <cell r="B3080" t="str">
            <v>二级</v>
          </cell>
          <cell r="C3080" t="str">
            <v>浙江省管网</v>
          </cell>
          <cell r="D3080" t="str">
            <v>上三线</v>
          </cell>
        </row>
        <row r="3081">
          <cell r="A3081" t="str">
            <v>天台分输站</v>
          </cell>
          <cell r="B3081" t="str">
            <v>二级</v>
          </cell>
          <cell r="C3081" t="str">
            <v>浙江省管网</v>
          </cell>
          <cell r="D3081" t="str">
            <v>上三线</v>
          </cell>
        </row>
        <row r="3082">
          <cell r="A3082" t="str">
            <v>始丰阀室</v>
          </cell>
          <cell r="B3082" t="str">
            <v>二级</v>
          </cell>
          <cell r="C3082" t="str">
            <v>浙江省管网</v>
          </cell>
          <cell r="D3082" t="str">
            <v>上三线</v>
          </cell>
        </row>
        <row r="3083">
          <cell r="A3083" t="str">
            <v>三合阀室</v>
          </cell>
          <cell r="B3083" t="str">
            <v>二级</v>
          </cell>
          <cell r="C3083" t="str">
            <v>浙江省管网</v>
          </cell>
          <cell r="D3083" t="str">
            <v>上三线</v>
          </cell>
        </row>
        <row r="3084">
          <cell r="A3084" t="str">
            <v>洪畴阀室</v>
          </cell>
          <cell r="B3084" t="str">
            <v>二级</v>
          </cell>
          <cell r="C3084" t="str">
            <v>浙江省管网</v>
          </cell>
          <cell r="D3084" t="str">
            <v>上三线</v>
          </cell>
        </row>
        <row r="3085">
          <cell r="A3085" t="str">
            <v>三门站</v>
          </cell>
          <cell r="B3085" t="str">
            <v>二级</v>
          </cell>
          <cell r="C3085" t="str">
            <v>浙江省管网</v>
          </cell>
          <cell r="D3085" t="str">
            <v>上三线</v>
          </cell>
        </row>
        <row r="3086">
          <cell r="A3086" t="str">
            <v>临浦站</v>
          </cell>
          <cell r="B3086" t="str">
            <v>二级</v>
          </cell>
          <cell r="C3086" t="str">
            <v>浙江省管网</v>
          </cell>
          <cell r="D3086" t="str">
            <v>萧义线</v>
          </cell>
        </row>
        <row r="3087">
          <cell r="A3087" t="str">
            <v>临浦清管站</v>
          </cell>
          <cell r="B3087" t="str">
            <v>二级</v>
          </cell>
          <cell r="C3087" t="str">
            <v>浙江省管网</v>
          </cell>
          <cell r="D3087" t="str">
            <v>萧义线</v>
          </cell>
        </row>
        <row r="3088">
          <cell r="A3088" t="str">
            <v>进化阀室</v>
          </cell>
          <cell r="B3088" t="str">
            <v>二级</v>
          </cell>
          <cell r="C3088" t="str">
            <v>浙江省管网</v>
          </cell>
          <cell r="D3088" t="str">
            <v>萧义线</v>
          </cell>
        </row>
        <row r="3089">
          <cell r="A3089" t="str">
            <v>次坞阀室</v>
          </cell>
          <cell r="B3089" t="str">
            <v>二级</v>
          </cell>
          <cell r="C3089" t="str">
            <v>浙江省管网</v>
          </cell>
          <cell r="D3089" t="str">
            <v>萧义线</v>
          </cell>
        </row>
        <row r="3090">
          <cell r="A3090" t="str">
            <v>店口阀室</v>
          </cell>
          <cell r="B3090" t="str">
            <v>二级</v>
          </cell>
          <cell r="C3090" t="str">
            <v>浙江省管网</v>
          </cell>
          <cell r="D3090" t="str">
            <v>萧义线</v>
          </cell>
        </row>
        <row r="3091">
          <cell r="A3091" t="str">
            <v>陶朱阀室</v>
          </cell>
          <cell r="B3091" t="str">
            <v>二级</v>
          </cell>
          <cell r="C3091" t="str">
            <v>浙江省管网</v>
          </cell>
          <cell r="D3091" t="str">
            <v>萧义线</v>
          </cell>
        </row>
        <row r="3092">
          <cell r="A3092" t="str">
            <v>浙江省网诸暨站</v>
          </cell>
          <cell r="B3092" t="str">
            <v>二级</v>
          </cell>
          <cell r="C3092" t="str">
            <v>浙江省管网</v>
          </cell>
          <cell r="D3092" t="str">
            <v>萧义线</v>
          </cell>
        </row>
        <row r="3093">
          <cell r="A3093" t="str">
            <v>同山阀室</v>
          </cell>
          <cell r="B3093" t="str">
            <v>二级</v>
          </cell>
          <cell r="C3093" t="str">
            <v>浙江省管网</v>
          </cell>
          <cell r="D3093" t="str">
            <v>萧义线</v>
          </cell>
        </row>
        <row r="3094">
          <cell r="A3094" t="str">
            <v>白马阀室</v>
          </cell>
          <cell r="B3094" t="str">
            <v>二级</v>
          </cell>
          <cell r="C3094" t="str">
            <v>浙江省管网</v>
          </cell>
          <cell r="D3094" t="str">
            <v>萧义线</v>
          </cell>
        </row>
        <row r="3095">
          <cell r="A3095" t="str">
            <v>后宅阀室</v>
          </cell>
          <cell r="B3095" t="str">
            <v>二级</v>
          </cell>
          <cell r="C3095" t="str">
            <v>浙江省管网</v>
          </cell>
          <cell r="D3095" t="str">
            <v>萧义线</v>
          </cell>
        </row>
        <row r="3096">
          <cell r="A3096" t="str">
            <v>义乌站</v>
          </cell>
          <cell r="B3096" t="str">
            <v>二级</v>
          </cell>
          <cell r="C3096" t="str">
            <v>浙江省管网</v>
          </cell>
          <cell r="D3096" t="str">
            <v>萧义线</v>
          </cell>
        </row>
        <row r="3097">
          <cell r="A3097" t="str">
            <v>诸暨分输站</v>
          </cell>
          <cell r="B3097" t="str">
            <v>二级</v>
          </cell>
          <cell r="C3097" t="str">
            <v>浙江省管网</v>
          </cell>
          <cell r="D3097" t="str">
            <v>诸暨联络线</v>
          </cell>
        </row>
        <row r="3098">
          <cell r="A3098" t="str">
            <v>浙江省网诸暨站</v>
          </cell>
          <cell r="B3098" t="str">
            <v>二级</v>
          </cell>
          <cell r="C3098" t="str">
            <v>浙江省管网</v>
          </cell>
          <cell r="D3098" t="str">
            <v>诸暨联络线</v>
          </cell>
        </row>
        <row r="3099">
          <cell r="A3099" t="str">
            <v>春晓站</v>
          </cell>
          <cell r="B3099" t="str">
            <v>二级</v>
          </cell>
          <cell r="C3099" t="str">
            <v>浙江省管网</v>
          </cell>
          <cell r="D3099" t="str">
            <v>甬台温主干线（春晓-温州）</v>
          </cell>
        </row>
        <row r="3100">
          <cell r="A3100" t="str">
            <v>咸祥阀室</v>
          </cell>
          <cell r="B3100" t="str">
            <v>二级</v>
          </cell>
          <cell r="C3100" t="str">
            <v>浙江省管网</v>
          </cell>
          <cell r="D3100" t="str">
            <v>甬台温主干线（春晓-温州）</v>
          </cell>
        </row>
        <row r="3101">
          <cell r="A3101" t="str">
            <v>松岙阀室</v>
          </cell>
          <cell r="B3101" t="str">
            <v>二级</v>
          </cell>
          <cell r="C3101" t="str">
            <v>浙江省管网</v>
          </cell>
          <cell r="D3101" t="str">
            <v>甬台温主干线（春晓-温州）</v>
          </cell>
        </row>
        <row r="3102">
          <cell r="A3102" t="str">
            <v>奉化站</v>
          </cell>
          <cell r="B3102" t="str">
            <v>二级</v>
          </cell>
          <cell r="C3102" t="str">
            <v>浙江省管网</v>
          </cell>
          <cell r="D3102" t="str">
            <v>甬台温主干线（春晓-温州）</v>
          </cell>
        </row>
        <row r="3103">
          <cell r="A3103" t="str">
            <v>莼湖阀室</v>
          </cell>
          <cell r="B3103" t="str">
            <v>二级</v>
          </cell>
          <cell r="C3103" t="str">
            <v>浙江省管网</v>
          </cell>
          <cell r="D3103" t="str">
            <v>甬台温主干线（春晓-温州）</v>
          </cell>
        </row>
        <row r="3104">
          <cell r="A3104" t="str">
            <v>江瑶阀室</v>
          </cell>
          <cell r="B3104" t="str">
            <v>二级</v>
          </cell>
          <cell r="C3104" t="str">
            <v>浙江省管网</v>
          </cell>
          <cell r="D3104" t="str">
            <v>甬台温主干线（春晓-温州）</v>
          </cell>
        </row>
        <row r="3105">
          <cell r="A3105" t="str">
            <v>宁海站</v>
          </cell>
          <cell r="B3105" t="str">
            <v>二级</v>
          </cell>
          <cell r="C3105" t="str">
            <v>浙江省管网</v>
          </cell>
          <cell r="D3105" t="str">
            <v>甬台温主干线（春晓-温州）</v>
          </cell>
        </row>
        <row r="3106">
          <cell r="A3106" t="str">
            <v>岭南阀室</v>
          </cell>
          <cell r="B3106" t="str">
            <v>二级</v>
          </cell>
          <cell r="C3106" t="str">
            <v>浙江省管网</v>
          </cell>
          <cell r="D3106" t="str">
            <v>甬台温主干线（春晓-温州）</v>
          </cell>
        </row>
        <row r="3107">
          <cell r="A3107" t="str">
            <v>桑洲阀室</v>
          </cell>
          <cell r="B3107" t="str">
            <v>二级</v>
          </cell>
          <cell r="C3107" t="str">
            <v>浙江省管网</v>
          </cell>
          <cell r="D3107" t="str">
            <v>甬台温主干线（春晓-温州）</v>
          </cell>
        </row>
        <row r="3108">
          <cell r="A3108" t="str">
            <v>三门站</v>
          </cell>
          <cell r="B3108" t="str">
            <v>二级</v>
          </cell>
          <cell r="C3108" t="str">
            <v>浙江省管网</v>
          </cell>
          <cell r="D3108" t="str">
            <v>甬台温主干线（春晓-温州）</v>
          </cell>
        </row>
        <row r="3109">
          <cell r="A3109" t="str">
            <v>汇溪阀室</v>
          </cell>
          <cell r="B3109" t="str">
            <v>二级</v>
          </cell>
          <cell r="C3109" t="str">
            <v>浙江省管网</v>
          </cell>
          <cell r="D3109" t="str">
            <v>甬台温主干线（春晓-温州）</v>
          </cell>
        </row>
        <row r="3110">
          <cell r="A3110" t="str">
            <v>临海站</v>
          </cell>
          <cell r="B3110" t="str">
            <v>二级</v>
          </cell>
          <cell r="C3110" t="str">
            <v>浙江省管网</v>
          </cell>
          <cell r="D3110" t="str">
            <v>甬台温主干线（春晓-温州）</v>
          </cell>
        </row>
        <row r="3111">
          <cell r="A3111" t="str">
            <v>长甸阀室</v>
          </cell>
          <cell r="B3111" t="str">
            <v>二级</v>
          </cell>
          <cell r="C3111" t="str">
            <v>浙江省管网</v>
          </cell>
          <cell r="D3111" t="str">
            <v>甬台温主干线（春晓-温州）</v>
          </cell>
        </row>
        <row r="3112">
          <cell r="A3112" t="str">
            <v>台州清管站</v>
          </cell>
          <cell r="B3112" t="str">
            <v>二级</v>
          </cell>
          <cell r="C3112" t="str">
            <v>浙江省管网</v>
          </cell>
          <cell r="D3112" t="str">
            <v>甬台温主干线（春晓-温州）</v>
          </cell>
        </row>
        <row r="3113">
          <cell r="A3113" t="str">
            <v>澄江阀室</v>
          </cell>
          <cell r="B3113" t="str">
            <v>二级</v>
          </cell>
          <cell r="C3113" t="str">
            <v>浙江省管网</v>
          </cell>
          <cell r="D3113" t="str">
            <v>甬台温主干线（春晓-温州）</v>
          </cell>
        </row>
        <row r="3114">
          <cell r="A3114" t="str">
            <v>院桥阀室</v>
          </cell>
          <cell r="B3114" t="str">
            <v>二级</v>
          </cell>
          <cell r="C3114" t="str">
            <v>浙江省管网</v>
          </cell>
          <cell r="D3114" t="str">
            <v>甬台温主干线（春晓-温州）</v>
          </cell>
        </row>
        <row r="3115">
          <cell r="A3115" t="str">
            <v>院桥站</v>
          </cell>
          <cell r="B3115" t="str">
            <v>二级</v>
          </cell>
          <cell r="C3115" t="str">
            <v>浙江省管网</v>
          </cell>
          <cell r="D3115" t="str">
            <v>甬台温主干线（春晓-温州）</v>
          </cell>
        </row>
        <row r="3116">
          <cell r="A3116" t="str">
            <v>温岭站</v>
          </cell>
          <cell r="B3116" t="str">
            <v>二级</v>
          </cell>
          <cell r="C3116" t="str">
            <v>浙江省管网</v>
          </cell>
          <cell r="D3116" t="str">
            <v>甬台温主干线（春晓-温州）</v>
          </cell>
        </row>
        <row r="3117">
          <cell r="A3117" t="str">
            <v>湖雾阀室</v>
          </cell>
          <cell r="B3117" t="str">
            <v>二级</v>
          </cell>
          <cell r="C3117" t="str">
            <v>浙江省管网</v>
          </cell>
          <cell r="D3117" t="str">
            <v>甬台温主干线（春晓-温州）</v>
          </cell>
        </row>
        <row r="3118">
          <cell r="A3118" t="str">
            <v>清江阀室</v>
          </cell>
          <cell r="B3118" t="str">
            <v>二级</v>
          </cell>
          <cell r="C3118" t="str">
            <v>浙江省管网</v>
          </cell>
          <cell r="D3118" t="str">
            <v>甬台温主干线（春晓-温州）</v>
          </cell>
        </row>
        <row r="3119">
          <cell r="A3119" t="str">
            <v>南岳阀室</v>
          </cell>
          <cell r="B3119" t="str">
            <v>二级</v>
          </cell>
          <cell r="C3119" t="str">
            <v>浙江省管网</v>
          </cell>
          <cell r="D3119" t="str">
            <v>甬台温主干线（春晓-温州）</v>
          </cell>
        </row>
        <row r="3120">
          <cell r="A3120" t="str">
            <v>乐成阀室</v>
          </cell>
          <cell r="B3120" t="str">
            <v>二级</v>
          </cell>
          <cell r="C3120" t="str">
            <v>浙江省管网</v>
          </cell>
          <cell r="D3120" t="str">
            <v>甬台温主干线（春晓-温州）</v>
          </cell>
        </row>
        <row r="3121">
          <cell r="A3121" t="str">
            <v>乐清清管站</v>
          </cell>
          <cell r="B3121" t="str">
            <v>二级</v>
          </cell>
          <cell r="C3121" t="str">
            <v>浙江省管网</v>
          </cell>
          <cell r="D3121" t="str">
            <v>甬台温主干线（春晓-温州）</v>
          </cell>
        </row>
        <row r="3122">
          <cell r="A3122" t="str">
            <v>象阳阀室</v>
          </cell>
          <cell r="B3122" t="str">
            <v>二级</v>
          </cell>
          <cell r="C3122" t="str">
            <v>浙江省管网</v>
          </cell>
          <cell r="D3122" t="str">
            <v>甬台温主干线（春晓-温州）</v>
          </cell>
        </row>
        <row r="3123">
          <cell r="A3123" t="str">
            <v>北白象站</v>
          </cell>
          <cell r="B3123" t="str">
            <v>二级</v>
          </cell>
          <cell r="C3123" t="str">
            <v>浙江省管网</v>
          </cell>
          <cell r="D3123" t="str">
            <v>甬台温主干线（春晓-温州）</v>
          </cell>
        </row>
        <row r="3124">
          <cell r="A3124" t="str">
            <v>乌牛阀室</v>
          </cell>
          <cell r="B3124" t="str">
            <v>二级</v>
          </cell>
          <cell r="C3124" t="str">
            <v>浙江省管网</v>
          </cell>
          <cell r="D3124" t="str">
            <v>甬台温主干线（春晓-温州）</v>
          </cell>
        </row>
        <row r="3125">
          <cell r="A3125" t="str">
            <v>永嘉站</v>
          </cell>
          <cell r="B3125" t="str">
            <v>二级</v>
          </cell>
          <cell r="C3125" t="str">
            <v>浙江省管网</v>
          </cell>
          <cell r="D3125" t="str">
            <v>甬台温主干线（春晓-温州）</v>
          </cell>
        </row>
        <row r="3126">
          <cell r="A3126" t="str">
            <v>桥下阀室</v>
          </cell>
          <cell r="B3126" t="str">
            <v>二级</v>
          </cell>
          <cell r="C3126" t="str">
            <v>浙江省管网</v>
          </cell>
          <cell r="D3126" t="str">
            <v>甬台温主干线（春晓-温州）</v>
          </cell>
        </row>
        <row r="3127">
          <cell r="A3127" t="str">
            <v>温州末站</v>
          </cell>
          <cell r="B3127" t="str">
            <v>二级</v>
          </cell>
          <cell r="C3127" t="str">
            <v>浙江省管网</v>
          </cell>
          <cell r="D3127" t="str">
            <v>甬台温主干线（春晓-温州）</v>
          </cell>
        </row>
        <row r="3128">
          <cell r="A3128" t="str">
            <v>乐清清管站</v>
          </cell>
          <cell r="B3128" t="str">
            <v>二级</v>
          </cell>
          <cell r="C3128" t="str">
            <v>浙江省管网</v>
          </cell>
          <cell r="D3128" t="str">
            <v>甬台温主干线（乐清-龙湾）</v>
          </cell>
        </row>
        <row r="3129">
          <cell r="A3129" t="str">
            <v>黄华阀室</v>
          </cell>
          <cell r="B3129" t="str">
            <v>二级</v>
          </cell>
          <cell r="C3129" t="str">
            <v>浙江省管网</v>
          </cell>
          <cell r="D3129" t="str">
            <v>甬台温主干线（乐清-龙湾）</v>
          </cell>
        </row>
        <row r="3130">
          <cell r="A3130" t="str">
            <v>灵昆阀室</v>
          </cell>
          <cell r="B3130" t="str">
            <v>二级</v>
          </cell>
          <cell r="C3130" t="str">
            <v>浙江省管网</v>
          </cell>
          <cell r="D3130" t="str">
            <v>甬台温主干线（乐清-龙湾）</v>
          </cell>
        </row>
        <row r="3131">
          <cell r="A3131" t="str">
            <v>龙湾站</v>
          </cell>
          <cell r="B3131" t="str">
            <v>二级</v>
          </cell>
          <cell r="C3131" t="str">
            <v>浙江省管网</v>
          </cell>
          <cell r="D3131" t="str">
            <v>甬台温主干线（乐清-龙湾）</v>
          </cell>
        </row>
        <row r="3132">
          <cell r="A3132" t="str">
            <v>龙湾站</v>
          </cell>
          <cell r="B3132" t="str">
            <v>二级</v>
          </cell>
          <cell r="C3132" t="str">
            <v>浙江省管网</v>
          </cell>
          <cell r="D3132" t="str">
            <v>龙湾支线</v>
          </cell>
        </row>
        <row r="3133">
          <cell r="A3133" t="str">
            <v>龙湾电厂</v>
          </cell>
          <cell r="B3133" t="str">
            <v>二级</v>
          </cell>
          <cell r="C3133" t="str">
            <v>浙江省管网</v>
          </cell>
          <cell r="D3133" t="str">
            <v>龙湾支线</v>
          </cell>
        </row>
        <row r="3134">
          <cell r="A3134" t="str">
            <v>龙湾站</v>
          </cell>
          <cell r="B3134" t="str">
            <v>二级</v>
          </cell>
          <cell r="C3134" t="str">
            <v>浙江省管网</v>
          </cell>
          <cell r="D3134" t="str">
            <v>苍南支线</v>
          </cell>
        </row>
        <row r="3135">
          <cell r="A3135" t="str">
            <v>永兴阀室</v>
          </cell>
          <cell r="B3135" t="str">
            <v>二级</v>
          </cell>
          <cell r="C3135" t="str">
            <v>浙江省管网</v>
          </cell>
          <cell r="D3135" t="str">
            <v>苍南支线</v>
          </cell>
        </row>
        <row r="3136">
          <cell r="A3136" t="str">
            <v>瑞安站</v>
          </cell>
          <cell r="B3136" t="str">
            <v>二级</v>
          </cell>
          <cell r="C3136" t="str">
            <v>浙江省管网</v>
          </cell>
          <cell r="D3136" t="str">
            <v>苍南支线</v>
          </cell>
        </row>
        <row r="3137">
          <cell r="A3137" t="str">
            <v>飞云阀室</v>
          </cell>
          <cell r="B3137" t="str">
            <v>二级</v>
          </cell>
          <cell r="C3137" t="str">
            <v>浙江省管网</v>
          </cell>
          <cell r="D3137" t="str">
            <v>苍南支线</v>
          </cell>
        </row>
        <row r="3138">
          <cell r="A3138" t="str">
            <v>平阳站</v>
          </cell>
          <cell r="B3138" t="str">
            <v>二级</v>
          </cell>
          <cell r="C3138" t="str">
            <v>浙江省管网</v>
          </cell>
          <cell r="D3138" t="str">
            <v>苍南支线</v>
          </cell>
        </row>
        <row r="3139">
          <cell r="A3139" t="str">
            <v>鳌江阀室</v>
          </cell>
          <cell r="B3139" t="str">
            <v>二级</v>
          </cell>
          <cell r="C3139" t="str">
            <v>浙江省管网</v>
          </cell>
          <cell r="D3139" t="str">
            <v>苍南支线</v>
          </cell>
        </row>
        <row r="3140">
          <cell r="A3140" t="str">
            <v>苍南站</v>
          </cell>
          <cell r="B3140" t="str">
            <v>二级</v>
          </cell>
          <cell r="C3140" t="str">
            <v>浙江省管网</v>
          </cell>
          <cell r="D3140" t="str">
            <v>苍南支线</v>
          </cell>
        </row>
        <row r="3141">
          <cell r="A3141" t="str">
            <v>汇溪阀室</v>
          </cell>
          <cell r="B3141" t="str">
            <v>二级</v>
          </cell>
          <cell r="C3141" t="str">
            <v>浙江省管网</v>
          </cell>
          <cell r="D3141" t="str">
            <v>仙居支线</v>
          </cell>
        </row>
        <row r="3142">
          <cell r="A3142" t="str">
            <v>河头阀室</v>
          </cell>
          <cell r="B3142" t="str">
            <v>二级</v>
          </cell>
          <cell r="C3142" t="str">
            <v>浙江省管网</v>
          </cell>
          <cell r="D3142" t="str">
            <v>仙居支线</v>
          </cell>
        </row>
        <row r="3143">
          <cell r="A3143" t="str">
            <v>永丰阀室</v>
          </cell>
          <cell r="B3143" t="str">
            <v>二级</v>
          </cell>
          <cell r="C3143" t="str">
            <v>浙江省管网</v>
          </cell>
          <cell r="D3143" t="str">
            <v>仙居支线</v>
          </cell>
        </row>
        <row r="3144">
          <cell r="A3144" t="str">
            <v>白水洋阀室</v>
          </cell>
          <cell r="B3144" t="str">
            <v>二级</v>
          </cell>
          <cell r="C3144" t="str">
            <v>浙江省管网</v>
          </cell>
          <cell r="D3144" t="str">
            <v>仙居支线</v>
          </cell>
        </row>
        <row r="3145">
          <cell r="A3145" t="str">
            <v>仙居站</v>
          </cell>
          <cell r="B3145" t="str">
            <v>二级</v>
          </cell>
          <cell r="C3145" t="str">
            <v>浙江省管网</v>
          </cell>
          <cell r="D3145" t="str">
            <v>仙居支线</v>
          </cell>
        </row>
        <row r="3146">
          <cell r="A3146" t="str">
            <v>江瑶阀室</v>
          </cell>
          <cell r="B3146" t="str">
            <v>二级</v>
          </cell>
          <cell r="C3146" t="str">
            <v>浙江省管网</v>
          </cell>
          <cell r="D3146" t="str">
            <v>宁海-象山支线</v>
          </cell>
        </row>
        <row r="3147">
          <cell r="A3147" t="str">
            <v>桥头胡阀室</v>
          </cell>
          <cell r="B3147" t="str">
            <v>二级</v>
          </cell>
          <cell r="C3147" t="str">
            <v>浙江省管网</v>
          </cell>
          <cell r="D3147" t="str">
            <v>宁海-象山支线</v>
          </cell>
        </row>
        <row r="3148">
          <cell r="A3148" t="str">
            <v>大佳何阀室</v>
          </cell>
          <cell r="B3148" t="str">
            <v>二级</v>
          </cell>
          <cell r="C3148" t="str">
            <v>浙江省管网</v>
          </cell>
          <cell r="D3148" t="str">
            <v>宁海-象山支线</v>
          </cell>
        </row>
        <row r="3149">
          <cell r="A3149" t="str">
            <v>象山末站</v>
          </cell>
          <cell r="B3149" t="str">
            <v>二级</v>
          </cell>
          <cell r="C3149" t="str">
            <v>浙江省管网</v>
          </cell>
          <cell r="D3149" t="str">
            <v>宁海-象山支线</v>
          </cell>
        </row>
        <row r="3150">
          <cell r="A3150" t="str">
            <v>浙江省网金华站</v>
          </cell>
          <cell r="B3150" t="str">
            <v>二级</v>
          </cell>
          <cell r="C3150" t="str">
            <v>浙江省管网</v>
          </cell>
          <cell r="D3150" t="str">
            <v>金丽温主干线（金华-丽水）</v>
          </cell>
        </row>
        <row r="3151">
          <cell r="A3151" t="str">
            <v>东孝阀室</v>
          </cell>
          <cell r="B3151" t="str">
            <v>二级</v>
          </cell>
          <cell r="C3151" t="str">
            <v>浙江省管网</v>
          </cell>
          <cell r="D3151" t="str">
            <v>金丽温主干线（金华-丽水）</v>
          </cell>
        </row>
        <row r="3152">
          <cell r="A3152" t="str">
            <v>澧浦阀室</v>
          </cell>
          <cell r="B3152" t="str">
            <v>二级</v>
          </cell>
          <cell r="C3152" t="str">
            <v>浙江省管网</v>
          </cell>
          <cell r="D3152" t="str">
            <v>金丽温主干线（金华-丽水）</v>
          </cell>
        </row>
        <row r="3153">
          <cell r="A3153" t="str">
            <v>履坦阀室</v>
          </cell>
          <cell r="B3153" t="str">
            <v>二级</v>
          </cell>
          <cell r="C3153" t="str">
            <v>浙江省管网</v>
          </cell>
          <cell r="D3153" t="str">
            <v>金丽温主干线（金华-丽水）</v>
          </cell>
        </row>
        <row r="3154">
          <cell r="A3154" t="str">
            <v>武义站</v>
          </cell>
          <cell r="B3154" t="str">
            <v>二级</v>
          </cell>
          <cell r="C3154" t="str">
            <v>浙江省管网</v>
          </cell>
          <cell r="D3154" t="str">
            <v>金丽温主干线（金华-丽水）</v>
          </cell>
        </row>
        <row r="3155">
          <cell r="A3155" t="str">
            <v>永康站</v>
          </cell>
          <cell r="B3155" t="str">
            <v>二级</v>
          </cell>
          <cell r="C3155" t="str">
            <v>浙江省管网</v>
          </cell>
          <cell r="D3155" t="str">
            <v>金丽温主干线（金华-丽水）</v>
          </cell>
        </row>
        <row r="3156">
          <cell r="A3156" t="str">
            <v>缙云站</v>
          </cell>
          <cell r="B3156" t="str">
            <v>二级</v>
          </cell>
          <cell r="C3156" t="str">
            <v>浙江省管网</v>
          </cell>
          <cell r="D3156" t="str">
            <v>金丽温主干线（金华-丽水）</v>
          </cell>
        </row>
        <row r="3157">
          <cell r="A3157" t="str">
            <v>七里阀室</v>
          </cell>
          <cell r="B3157" t="str">
            <v>二级</v>
          </cell>
          <cell r="C3157" t="str">
            <v>浙江省管网</v>
          </cell>
          <cell r="D3157" t="str">
            <v>金丽温主干线（金华-丽水）</v>
          </cell>
        </row>
        <row r="3158">
          <cell r="A3158" t="str">
            <v>双黄阀室</v>
          </cell>
          <cell r="B3158" t="str">
            <v>二级</v>
          </cell>
          <cell r="C3158" t="str">
            <v>浙江省管网</v>
          </cell>
          <cell r="D3158" t="str">
            <v>金丽温主干线（金华-丽水）</v>
          </cell>
        </row>
        <row r="3159">
          <cell r="A3159" t="str">
            <v>紫金阀室</v>
          </cell>
          <cell r="B3159" t="str">
            <v>二级</v>
          </cell>
          <cell r="C3159" t="str">
            <v>浙江省管网</v>
          </cell>
          <cell r="D3159" t="str">
            <v>金丽温主干线（金华-丽水）</v>
          </cell>
        </row>
        <row r="3160">
          <cell r="A3160" t="str">
            <v>丽水站</v>
          </cell>
          <cell r="B3160" t="str">
            <v>二级</v>
          </cell>
          <cell r="C3160" t="str">
            <v>浙江省管网</v>
          </cell>
          <cell r="D3160" t="str">
            <v>金丽温主干线（金华-丽水）</v>
          </cell>
        </row>
        <row r="3161">
          <cell r="A3161" t="str">
            <v>紫金阀室</v>
          </cell>
          <cell r="B3161" t="str">
            <v>二级</v>
          </cell>
          <cell r="C3161" t="str">
            <v>浙江省管网</v>
          </cell>
          <cell r="D3161" t="str">
            <v>金丽温主干线（紫金阀室-温州）</v>
          </cell>
        </row>
        <row r="3162">
          <cell r="A3162" t="str">
            <v>海口阀室</v>
          </cell>
          <cell r="B3162" t="str">
            <v>二级</v>
          </cell>
          <cell r="C3162" t="str">
            <v>浙江省管网</v>
          </cell>
          <cell r="D3162" t="str">
            <v>金丽温主干线（紫金阀室-温州）</v>
          </cell>
        </row>
        <row r="3163">
          <cell r="A3163" t="str">
            <v>船寮阀室</v>
          </cell>
          <cell r="B3163" t="str">
            <v>二级</v>
          </cell>
          <cell r="C3163" t="str">
            <v>浙江省管网</v>
          </cell>
          <cell r="D3163" t="str">
            <v>金丽温主干线（紫金阀室-温州）</v>
          </cell>
        </row>
        <row r="3164">
          <cell r="A3164" t="str">
            <v>青田站</v>
          </cell>
          <cell r="B3164" t="str">
            <v>二级</v>
          </cell>
          <cell r="C3164" t="str">
            <v>浙江省管网</v>
          </cell>
          <cell r="D3164" t="str">
            <v>金丽温主干线（紫金阀室-温州）</v>
          </cell>
        </row>
        <row r="3165">
          <cell r="A3165" t="str">
            <v>油竹阀室</v>
          </cell>
          <cell r="B3165" t="str">
            <v>二级</v>
          </cell>
          <cell r="C3165" t="str">
            <v>浙江省管网</v>
          </cell>
          <cell r="D3165" t="str">
            <v>金丽温主干线（紫金阀室-温州）</v>
          </cell>
        </row>
        <row r="3166">
          <cell r="A3166" t="str">
            <v>温州末站</v>
          </cell>
          <cell r="B3166" t="str">
            <v>二级</v>
          </cell>
          <cell r="C3166" t="str">
            <v>浙江省管网</v>
          </cell>
          <cell r="D3166" t="str">
            <v>金丽温主干线（紫金阀室-温州）</v>
          </cell>
        </row>
        <row r="3167">
          <cell r="A3167" t="str">
            <v>浙江省网金华站</v>
          </cell>
          <cell r="B3167" t="str">
            <v>二级</v>
          </cell>
          <cell r="C3167" t="str">
            <v>浙江省管网</v>
          </cell>
          <cell r="D3167" t="str">
            <v>金华燃气支线</v>
          </cell>
        </row>
        <row r="3168">
          <cell r="A3168" t="str">
            <v>金华燃气</v>
          </cell>
          <cell r="B3168" t="str">
            <v>二级</v>
          </cell>
          <cell r="C3168" t="str">
            <v>浙江省管网</v>
          </cell>
          <cell r="D3168" t="str">
            <v>金华燃气支线</v>
          </cell>
        </row>
        <row r="3169">
          <cell r="A3169" t="str">
            <v>金华分输站</v>
          </cell>
          <cell r="B3169" t="str">
            <v>二级</v>
          </cell>
          <cell r="C3169" t="str">
            <v>浙江省管网</v>
          </cell>
          <cell r="D3169" t="str">
            <v>金华联络线</v>
          </cell>
        </row>
        <row r="3170">
          <cell r="A3170" t="str">
            <v>浙江省网金华分输站</v>
          </cell>
          <cell r="B3170" t="str">
            <v>二级</v>
          </cell>
          <cell r="C3170" t="str">
            <v>浙江省管网</v>
          </cell>
          <cell r="D3170" t="str">
            <v>金华联络线</v>
          </cell>
        </row>
        <row r="3171">
          <cell r="A3171" t="str">
            <v>油竹阀室</v>
          </cell>
          <cell r="B3171" t="str">
            <v>二级</v>
          </cell>
          <cell r="C3171" t="str">
            <v>浙江省管网</v>
          </cell>
          <cell r="D3171" t="str">
            <v>油竹支线</v>
          </cell>
        </row>
        <row r="3172">
          <cell r="A3172" t="str">
            <v>油竹站</v>
          </cell>
          <cell r="B3172" t="str">
            <v>二级</v>
          </cell>
          <cell r="C3172" t="str">
            <v>浙江省管网</v>
          </cell>
          <cell r="D3172" t="str">
            <v>油竹支线</v>
          </cell>
        </row>
        <row r="3173">
          <cell r="A3173" t="str">
            <v>丽水站</v>
          </cell>
          <cell r="B3173" t="str">
            <v>二级</v>
          </cell>
          <cell r="C3173" t="str">
            <v>浙江省管网</v>
          </cell>
          <cell r="D3173" t="str">
            <v>遂昌支线</v>
          </cell>
        </row>
        <row r="3174">
          <cell r="A3174" t="str">
            <v>南明山阀室</v>
          </cell>
          <cell r="B3174" t="str">
            <v>二级</v>
          </cell>
          <cell r="C3174" t="str">
            <v>浙江省管网</v>
          </cell>
          <cell r="D3174" t="str">
            <v>遂昌支线</v>
          </cell>
        </row>
        <row r="3175">
          <cell r="A3175" t="str">
            <v>大港头阀室</v>
          </cell>
          <cell r="B3175" t="str">
            <v>二级</v>
          </cell>
          <cell r="C3175" t="str">
            <v>浙江省管网</v>
          </cell>
          <cell r="D3175" t="str">
            <v>遂昌支线</v>
          </cell>
        </row>
        <row r="3176">
          <cell r="A3176" t="str">
            <v>石塘清管站</v>
          </cell>
          <cell r="B3176" t="str">
            <v>二级</v>
          </cell>
          <cell r="C3176" t="str">
            <v>浙江省管网</v>
          </cell>
          <cell r="D3176" t="str">
            <v>遂昌支线</v>
          </cell>
        </row>
        <row r="3177">
          <cell r="A3177" t="str">
            <v>象溪阀室</v>
          </cell>
          <cell r="B3177" t="str">
            <v>二级</v>
          </cell>
          <cell r="C3177" t="str">
            <v>浙江省管网</v>
          </cell>
          <cell r="D3177" t="str">
            <v>遂昌支线</v>
          </cell>
        </row>
        <row r="3178">
          <cell r="A3178" t="str">
            <v>松阳站</v>
          </cell>
          <cell r="B3178" t="str">
            <v>二级</v>
          </cell>
          <cell r="C3178" t="str">
            <v>浙江省管网</v>
          </cell>
          <cell r="D3178" t="str">
            <v>遂昌支线</v>
          </cell>
        </row>
        <row r="3179">
          <cell r="A3179" t="str">
            <v>赤寿阀室</v>
          </cell>
          <cell r="B3179" t="str">
            <v>二级</v>
          </cell>
          <cell r="C3179" t="str">
            <v>浙江省管网</v>
          </cell>
          <cell r="D3179" t="str">
            <v>遂昌支线</v>
          </cell>
        </row>
        <row r="3180">
          <cell r="A3180" t="str">
            <v>遂昌站</v>
          </cell>
          <cell r="B3180" t="str">
            <v>二级</v>
          </cell>
          <cell r="C3180" t="str">
            <v>浙江省管网</v>
          </cell>
          <cell r="D3180" t="str">
            <v>遂昌支线</v>
          </cell>
        </row>
        <row r="3181">
          <cell r="A3181" t="str">
            <v>石塘清管站</v>
          </cell>
          <cell r="B3181" t="str">
            <v>二级</v>
          </cell>
          <cell r="C3181" t="str">
            <v>浙江省管网</v>
          </cell>
          <cell r="D3181" t="str">
            <v>云和支线</v>
          </cell>
        </row>
        <row r="3182">
          <cell r="A3182" t="str">
            <v>紧水滩阀室</v>
          </cell>
          <cell r="B3182" t="str">
            <v>二级</v>
          </cell>
          <cell r="C3182" t="str">
            <v>浙江省管网</v>
          </cell>
          <cell r="D3182" t="str">
            <v>云和支线</v>
          </cell>
        </row>
        <row r="3183">
          <cell r="A3183" t="str">
            <v>崇头清管站</v>
          </cell>
          <cell r="B3183" t="str">
            <v>二级</v>
          </cell>
          <cell r="C3183" t="str">
            <v>浙江省管网</v>
          </cell>
          <cell r="D3183" t="str">
            <v>云和支线</v>
          </cell>
        </row>
        <row r="3184">
          <cell r="A3184" t="str">
            <v>云和站</v>
          </cell>
          <cell r="B3184" t="str">
            <v>二级</v>
          </cell>
          <cell r="C3184" t="str">
            <v>浙江省管网</v>
          </cell>
          <cell r="D3184" t="str">
            <v>云和支线</v>
          </cell>
        </row>
        <row r="3185">
          <cell r="A3185" t="str">
            <v>崇头清管站</v>
          </cell>
          <cell r="B3185" t="str">
            <v>二级</v>
          </cell>
          <cell r="C3185" t="str">
            <v>浙江省管网</v>
          </cell>
          <cell r="D3185" t="str">
            <v>龙泉支线</v>
          </cell>
        </row>
        <row r="3186">
          <cell r="A3186" t="str">
            <v>安仁阀室</v>
          </cell>
          <cell r="B3186" t="str">
            <v>二级</v>
          </cell>
          <cell r="C3186" t="str">
            <v>浙江省管网</v>
          </cell>
          <cell r="D3186" t="str">
            <v>龙泉支线</v>
          </cell>
        </row>
        <row r="3187">
          <cell r="A3187" t="str">
            <v>龙泉站</v>
          </cell>
          <cell r="B3187" t="str">
            <v>二级</v>
          </cell>
          <cell r="C3187" t="str">
            <v>浙江省管网</v>
          </cell>
          <cell r="D3187" t="str">
            <v>龙泉支线</v>
          </cell>
        </row>
        <row r="3188">
          <cell r="A3188" t="str">
            <v>浙江省网金华站</v>
          </cell>
          <cell r="B3188" t="str">
            <v>二级</v>
          </cell>
          <cell r="C3188" t="str">
            <v>浙江省管网</v>
          </cell>
          <cell r="D3188" t="str">
            <v>义乌支线（金华-义乌）</v>
          </cell>
        </row>
        <row r="3189">
          <cell r="A3189" t="str">
            <v>鞋塘阀室</v>
          </cell>
          <cell r="B3189" t="str">
            <v>二级</v>
          </cell>
          <cell r="C3189" t="str">
            <v>浙江省管网</v>
          </cell>
          <cell r="D3189" t="str">
            <v>义乌支线（金华-义乌）</v>
          </cell>
        </row>
        <row r="3190">
          <cell r="A3190" t="str">
            <v>义乌站</v>
          </cell>
          <cell r="B3190" t="str">
            <v>二级</v>
          </cell>
          <cell r="C3190" t="str">
            <v>浙江省管网</v>
          </cell>
          <cell r="D3190" t="str">
            <v>义乌支线（金华-义乌）</v>
          </cell>
        </row>
        <row r="3191">
          <cell r="A3191" t="str">
            <v>鞋塘阀室</v>
          </cell>
          <cell r="B3191" t="str">
            <v>二级</v>
          </cell>
          <cell r="C3191" t="str">
            <v>浙江省管网</v>
          </cell>
          <cell r="D3191" t="str">
            <v>义乌支线（鞋塘-金华中燃）</v>
          </cell>
        </row>
        <row r="3192">
          <cell r="A3192" t="str">
            <v>金华中燃</v>
          </cell>
          <cell r="B3192" t="str">
            <v>二级</v>
          </cell>
          <cell r="C3192" t="str">
            <v>浙江省管网</v>
          </cell>
          <cell r="D3192" t="str">
            <v>义乌支线（鞋塘-金华中燃）</v>
          </cell>
        </row>
        <row r="3193">
          <cell r="A3193" t="str">
            <v>义乌站</v>
          </cell>
          <cell r="B3193" t="str">
            <v>二级</v>
          </cell>
          <cell r="C3193" t="str">
            <v>浙江省管网</v>
          </cell>
          <cell r="D3193" t="str">
            <v>东阳支线</v>
          </cell>
        </row>
        <row r="3194">
          <cell r="A3194" t="str">
            <v>下金阀室</v>
          </cell>
          <cell r="B3194" t="str">
            <v>二级</v>
          </cell>
          <cell r="C3194" t="str">
            <v>浙江省管网</v>
          </cell>
          <cell r="D3194" t="str">
            <v>东阳支线</v>
          </cell>
        </row>
        <row r="3195">
          <cell r="A3195" t="str">
            <v>南王店阀室</v>
          </cell>
          <cell r="B3195" t="str">
            <v>二级</v>
          </cell>
          <cell r="C3195" t="str">
            <v>浙江省管网</v>
          </cell>
          <cell r="D3195" t="str">
            <v>东阳支线</v>
          </cell>
        </row>
        <row r="3196">
          <cell r="A3196" t="str">
            <v>西坞阀室</v>
          </cell>
          <cell r="B3196" t="str">
            <v>二级</v>
          </cell>
          <cell r="C3196" t="str">
            <v>浙江省管网</v>
          </cell>
          <cell r="D3196" t="str">
            <v>东阳支线</v>
          </cell>
        </row>
        <row r="3197">
          <cell r="A3197" t="str">
            <v>东阳站</v>
          </cell>
          <cell r="B3197" t="str">
            <v>二级</v>
          </cell>
          <cell r="C3197" t="str">
            <v>浙江省管网</v>
          </cell>
          <cell r="D3197" t="str">
            <v>东阳支线</v>
          </cell>
        </row>
        <row r="3198">
          <cell r="A3198" t="str">
            <v>东阳站</v>
          </cell>
          <cell r="B3198" t="str">
            <v>二级</v>
          </cell>
          <cell r="C3198" t="str">
            <v>浙江省管网</v>
          </cell>
          <cell r="D3198" t="str">
            <v>磐安支线</v>
          </cell>
        </row>
        <row r="3199">
          <cell r="A3199" t="str">
            <v>横店无人站</v>
          </cell>
          <cell r="B3199" t="str">
            <v>二级</v>
          </cell>
          <cell r="C3199" t="str">
            <v>浙江省管网</v>
          </cell>
          <cell r="D3199" t="str">
            <v>磐安支线</v>
          </cell>
        </row>
        <row r="3200">
          <cell r="A3200" t="str">
            <v>屠梁阀室</v>
          </cell>
          <cell r="B3200" t="str">
            <v>二级</v>
          </cell>
          <cell r="C3200" t="str">
            <v>浙江省管网</v>
          </cell>
          <cell r="D3200" t="str">
            <v>磐安支线</v>
          </cell>
        </row>
        <row r="3201">
          <cell r="A3201" t="str">
            <v>祥旺阀室</v>
          </cell>
          <cell r="B3201" t="str">
            <v>二级</v>
          </cell>
          <cell r="C3201" t="str">
            <v>浙江省管网</v>
          </cell>
          <cell r="D3201" t="str">
            <v>磐安支线</v>
          </cell>
        </row>
        <row r="3202">
          <cell r="A3202" t="str">
            <v>磐安站</v>
          </cell>
          <cell r="B3202" t="str">
            <v>二级</v>
          </cell>
          <cell r="C3202" t="str">
            <v>浙江省管网</v>
          </cell>
          <cell r="D3202" t="str">
            <v>磐安支线</v>
          </cell>
        </row>
        <row r="3203">
          <cell r="A3203" t="str">
            <v>义乌站</v>
          </cell>
          <cell r="B3203" t="str">
            <v>二级</v>
          </cell>
          <cell r="C3203" t="str">
            <v>浙江省管网</v>
          </cell>
          <cell r="D3203" t="str">
            <v>浦江支线</v>
          </cell>
        </row>
        <row r="3204">
          <cell r="A3204" t="str">
            <v>塘岭阀室</v>
          </cell>
          <cell r="B3204" t="str">
            <v>二级</v>
          </cell>
          <cell r="C3204" t="str">
            <v>浙江省管网</v>
          </cell>
          <cell r="D3204" t="str">
            <v>浦江支线</v>
          </cell>
        </row>
        <row r="3205">
          <cell r="A3205" t="str">
            <v>浦江站</v>
          </cell>
          <cell r="B3205" t="str">
            <v>二级</v>
          </cell>
          <cell r="C3205" t="str">
            <v>浙江省管网</v>
          </cell>
          <cell r="D3205" t="str">
            <v>浦江支线</v>
          </cell>
        </row>
        <row r="3206">
          <cell r="A3206" t="str">
            <v>浙江省网金华站</v>
          </cell>
          <cell r="B3206" t="str">
            <v>二级</v>
          </cell>
          <cell r="C3206" t="str">
            <v>浙江省管网</v>
          </cell>
          <cell r="D3206" t="str">
            <v>金华燃机支线</v>
          </cell>
        </row>
        <row r="3207">
          <cell r="A3207" t="str">
            <v>高村阀室</v>
          </cell>
          <cell r="B3207" t="str">
            <v>二级</v>
          </cell>
          <cell r="C3207" t="str">
            <v>浙江省管网</v>
          </cell>
          <cell r="D3207" t="str">
            <v>金华燃机支线</v>
          </cell>
        </row>
        <row r="3208">
          <cell r="A3208" t="str">
            <v>下窑站</v>
          </cell>
          <cell r="B3208" t="str">
            <v>二级</v>
          </cell>
          <cell r="C3208" t="str">
            <v>浙江省管网</v>
          </cell>
          <cell r="D3208" t="str">
            <v>金华燃机支线</v>
          </cell>
        </row>
        <row r="3209">
          <cell r="A3209" t="str">
            <v>古方阀室</v>
          </cell>
          <cell r="B3209" t="str">
            <v>二级</v>
          </cell>
          <cell r="C3209" t="str">
            <v>浙江省管网</v>
          </cell>
          <cell r="D3209" t="str">
            <v>金华燃机支线</v>
          </cell>
        </row>
        <row r="3210">
          <cell r="A3210" t="str">
            <v>金华燃机</v>
          </cell>
          <cell r="B3210" t="str">
            <v>二级</v>
          </cell>
          <cell r="C3210" t="str">
            <v>浙江省管网</v>
          </cell>
          <cell r="D3210" t="str">
            <v>金华燃机支线</v>
          </cell>
        </row>
        <row r="3211">
          <cell r="A3211" t="str">
            <v>下窑站</v>
          </cell>
          <cell r="B3211" t="str">
            <v>二级</v>
          </cell>
          <cell r="C3211" t="str">
            <v>浙江省管网</v>
          </cell>
          <cell r="D3211" t="str">
            <v>兰溪支线</v>
          </cell>
        </row>
        <row r="3212">
          <cell r="A3212" t="str">
            <v>兰溪燃气</v>
          </cell>
          <cell r="B3212" t="str">
            <v>二级</v>
          </cell>
          <cell r="C3212" t="str">
            <v>浙江省管网</v>
          </cell>
          <cell r="D3212" t="str">
            <v>兰溪支线</v>
          </cell>
        </row>
        <row r="3213">
          <cell r="A3213" t="str">
            <v>下窑站</v>
          </cell>
          <cell r="B3213" t="str">
            <v>二级</v>
          </cell>
          <cell r="C3213" t="str">
            <v>浙江省管网</v>
          </cell>
          <cell r="D3213" t="str">
            <v>下窑-龙游支线</v>
          </cell>
        </row>
        <row r="3214">
          <cell r="A3214" t="str">
            <v>罗埠阀室</v>
          </cell>
          <cell r="B3214" t="str">
            <v>二级</v>
          </cell>
          <cell r="C3214" t="str">
            <v>浙江省管网</v>
          </cell>
          <cell r="D3214" t="str">
            <v>下窑-龙游支线</v>
          </cell>
        </row>
        <row r="3215">
          <cell r="A3215" t="str">
            <v>蒲塘阀室</v>
          </cell>
          <cell r="B3215" t="str">
            <v>二级</v>
          </cell>
          <cell r="C3215" t="str">
            <v>浙江省管网</v>
          </cell>
          <cell r="D3215" t="str">
            <v>下窑-龙游支线</v>
          </cell>
        </row>
        <row r="3216">
          <cell r="A3216" t="str">
            <v>龙游站</v>
          </cell>
          <cell r="B3216" t="str">
            <v>二级</v>
          </cell>
          <cell r="C3216" t="str">
            <v>浙江省管网</v>
          </cell>
          <cell r="D3216" t="str">
            <v>下窑-龙游支线</v>
          </cell>
        </row>
        <row r="3217">
          <cell r="A3217" t="str">
            <v>浙江省网衢州站</v>
          </cell>
          <cell r="B3217" t="str">
            <v>二级</v>
          </cell>
          <cell r="C3217" t="str">
            <v>浙江省管网</v>
          </cell>
          <cell r="D3217" t="str">
            <v>龙游支线</v>
          </cell>
        </row>
        <row r="3218">
          <cell r="A3218" t="str">
            <v>欧塘阀室</v>
          </cell>
          <cell r="B3218" t="str">
            <v>二级</v>
          </cell>
          <cell r="C3218" t="str">
            <v>浙江省管网</v>
          </cell>
          <cell r="D3218" t="str">
            <v>龙游支线</v>
          </cell>
        </row>
        <row r="3219">
          <cell r="A3219" t="str">
            <v>龙游站</v>
          </cell>
          <cell r="B3219" t="str">
            <v>二级</v>
          </cell>
          <cell r="C3219" t="str">
            <v>浙江省管网</v>
          </cell>
          <cell r="D3219" t="str">
            <v>龙游支线</v>
          </cell>
        </row>
        <row r="3220">
          <cell r="A3220" t="str">
            <v>湖镇阀室</v>
          </cell>
          <cell r="B3220" t="str">
            <v>二级</v>
          </cell>
          <cell r="C3220" t="str">
            <v>浙江省管网</v>
          </cell>
          <cell r="D3220" t="str">
            <v>龙游支线</v>
          </cell>
        </row>
        <row r="3221">
          <cell r="A3221" t="str">
            <v>龙游热电</v>
          </cell>
          <cell r="B3221" t="str">
            <v>二级</v>
          </cell>
          <cell r="C3221" t="str">
            <v>浙江省管网</v>
          </cell>
          <cell r="D3221" t="str">
            <v>龙游支线</v>
          </cell>
        </row>
        <row r="3222">
          <cell r="A3222" t="str">
            <v>浙江省网衢州站</v>
          </cell>
          <cell r="B3222" t="str">
            <v>二级</v>
          </cell>
          <cell r="C3222" t="str">
            <v>浙江省管网</v>
          </cell>
          <cell r="D3222" t="str">
            <v>江山支线</v>
          </cell>
        </row>
        <row r="3223">
          <cell r="A3223" t="str">
            <v>航埠阀室</v>
          </cell>
          <cell r="B3223" t="str">
            <v>二级</v>
          </cell>
          <cell r="C3223" t="str">
            <v>浙江省管网</v>
          </cell>
          <cell r="D3223" t="str">
            <v>江山支线</v>
          </cell>
        </row>
        <row r="3224">
          <cell r="A3224" t="str">
            <v>航埠站</v>
          </cell>
          <cell r="B3224" t="str">
            <v>二级</v>
          </cell>
          <cell r="C3224" t="str">
            <v>浙江省管网</v>
          </cell>
          <cell r="D3224" t="str">
            <v>江山支线</v>
          </cell>
        </row>
        <row r="3225">
          <cell r="A3225" t="str">
            <v>航埠阀室</v>
          </cell>
          <cell r="B3225" t="str">
            <v>二级</v>
          </cell>
          <cell r="C3225" t="str">
            <v>浙江省管网</v>
          </cell>
          <cell r="D3225" t="str">
            <v>江山支线</v>
          </cell>
        </row>
        <row r="3226">
          <cell r="A3226" t="str">
            <v>四都阀室</v>
          </cell>
          <cell r="B3226" t="str">
            <v>二级</v>
          </cell>
          <cell r="C3226" t="str">
            <v>浙江省管网</v>
          </cell>
          <cell r="D3226" t="str">
            <v>江山支线</v>
          </cell>
        </row>
        <row r="3227">
          <cell r="A3227" t="str">
            <v>江山站</v>
          </cell>
          <cell r="B3227" t="str">
            <v>二级</v>
          </cell>
          <cell r="C3227" t="str">
            <v>浙江省管网</v>
          </cell>
          <cell r="D3227" t="str">
            <v>江山支线</v>
          </cell>
        </row>
        <row r="3228">
          <cell r="A3228" t="str">
            <v>坛石阀室</v>
          </cell>
          <cell r="B3228" t="str">
            <v>二级</v>
          </cell>
          <cell r="C3228" t="str">
            <v>浙江省管网</v>
          </cell>
          <cell r="D3228" t="str">
            <v>江山支线</v>
          </cell>
        </row>
        <row r="3229">
          <cell r="A3229" t="str">
            <v>江山热电</v>
          </cell>
          <cell r="B3229" t="str">
            <v>二级</v>
          </cell>
          <cell r="C3229" t="str">
            <v>浙江省管网</v>
          </cell>
          <cell r="D3229" t="str">
            <v>江山支线</v>
          </cell>
        </row>
        <row r="3230">
          <cell r="A3230" t="str">
            <v>衢州压气站</v>
          </cell>
          <cell r="B3230" t="str">
            <v>二级</v>
          </cell>
          <cell r="C3230" t="str">
            <v>浙江省管网</v>
          </cell>
          <cell r="D3230" t="str">
            <v>衢州联络线</v>
          </cell>
        </row>
        <row r="3231">
          <cell r="A3231" t="str">
            <v>浙江省网衢州站</v>
          </cell>
          <cell r="B3231" t="str">
            <v>二级</v>
          </cell>
          <cell r="C3231" t="str">
            <v>浙江省管网</v>
          </cell>
          <cell r="D3231" t="str">
            <v>衢州联络线</v>
          </cell>
        </row>
        <row r="3232">
          <cell r="A3232" t="str">
            <v>塘下阀室</v>
          </cell>
          <cell r="B3232" t="str">
            <v>二级</v>
          </cell>
          <cell r="C3232" t="str">
            <v>浙江省管网</v>
          </cell>
          <cell r="D3232" t="str">
            <v>常山支线</v>
          </cell>
        </row>
        <row r="3233">
          <cell r="A3233" t="str">
            <v>五里阀室</v>
          </cell>
          <cell r="B3233" t="str">
            <v>二级</v>
          </cell>
          <cell r="C3233" t="str">
            <v>浙江省管网</v>
          </cell>
          <cell r="D3233" t="str">
            <v>常山支线</v>
          </cell>
        </row>
        <row r="3234">
          <cell r="A3234" t="str">
            <v>常山站</v>
          </cell>
          <cell r="B3234" t="str">
            <v>二级</v>
          </cell>
          <cell r="C3234" t="str">
            <v>浙江省管网</v>
          </cell>
          <cell r="D3234" t="str">
            <v>常山支线</v>
          </cell>
        </row>
        <row r="3235">
          <cell r="A3235" t="str">
            <v>常山站</v>
          </cell>
          <cell r="B3235" t="str">
            <v>二级</v>
          </cell>
          <cell r="C3235" t="str">
            <v>浙江省管网</v>
          </cell>
          <cell r="D3235" t="str">
            <v>开化支线</v>
          </cell>
        </row>
        <row r="3236">
          <cell r="A3236" t="str">
            <v>高峰阀室</v>
          </cell>
          <cell r="B3236" t="str">
            <v>二级</v>
          </cell>
          <cell r="C3236" t="str">
            <v>浙江省管网</v>
          </cell>
          <cell r="D3236" t="str">
            <v>开化支线</v>
          </cell>
        </row>
        <row r="3237">
          <cell r="A3237" t="str">
            <v>开化站</v>
          </cell>
          <cell r="B3237" t="str">
            <v>二级</v>
          </cell>
          <cell r="C3237" t="str">
            <v>浙江省管网</v>
          </cell>
          <cell r="D3237" t="str">
            <v>开化支线</v>
          </cell>
        </row>
        <row r="3238">
          <cell r="A3238" t="str">
            <v>常山站</v>
          </cell>
          <cell r="B3238" t="str">
            <v>二级</v>
          </cell>
          <cell r="C3238" t="str">
            <v>浙江省管网</v>
          </cell>
          <cell r="D3238" t="str">
            <v>常山电厂支线</v>
          </cell>
        </row>
        <row r="3239">
          <cell r="A3239" t="str">
            <v>常山热电</v>
          </cell>
          <cell r="B3239" t="str">
            <v>二级</v>
          </cell>
          <cell r="C3239" t="str">
            <v>浙江省管网</v>
          </cell>
          <cell r="D3239" t="str">
            <v>常山电厂支线</v>
          </cell>
        </row>
        <row r="3240">
          <cell r="A3240" t="str">
            <v>塘下阀室</v>
          </cell>
          <cell r="B3240" t="str">
            <v>二级</v>
          </cell>
          <cell r="C3240" t="str">
            <v>浙江省管网</v>
          </cell>
          <cell r="D3240" t="str">
            <v>柯城电厂支线</v>
          </cell>
        </row>
        <row r="3241">
          <cell r="A3241" t="str">
            <v>柯城热电</v>
          </cell>
          <cell r="B3241" t="str">
            <v>二级</v>
          </cell>
          <cell r="C3241" t="str">
            <v>浙江省管网</v>
          </cell>
          <cell r="D3241" t="str">
            <v>柯城电厂支线</v>
          </cell>
        </row>
      </sheetData>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N28"/>
  <sheetViews>
    <sheetView zoomScale="85" zoomScaleNormal="85" workbookViewId="0">
      <selection activeCell="D18" sqref="D18"/>
    </sheetView>
  </sheetViews>
  <sheetFormatPr defaultColWidth="9" defaultRowHeight="15"/>
  <cols>
    <col min="1" max="1" width="4.75" style="204" customWidth="1"/>
    <col min="2" max="2" width="27.3333333333333" style="204" customWidth="1"/>
    <col min="3" max="3" width="11.6666666666667" style="204" customWidth="1"/>
    <col min="4" max="4" width="26.6666666666667" style="204" customWidth="1"/>
    <col min="5" max="5" width="25.4416666666667" style="204" customWidth="1"/>
    <col min="6" max="6" width="26.6666666666667" style="204" customWidth="1"/>
    <col min="7" max="7" width="24.6666666666667" style="204" customWidth="1"/>
    <col min="8" max="8" width="17.0833333333333" style="204" customWidth="1"/>
    <col min="9" max="9" width="12.4166666666667" style="204" customWidth="1"/>
    <col min="10" max="10" width="9" style="204"/>
    <col min="11" max="11" width="21" style="204" customWidth="1"/>
    <col min="12" max="12" width="12.6666666666667" style="204" customWidth="1"/>
    <col min="13" max="13" width="8.66666666666667" style="204" customWidth="1"/>
    <col min="14" max="14" width="40.3333333333333" style="204" customWidth="1"/>
    <col min="15" max="15" width="32.4166666666667" style="204" customWidth="1"/>
    <col min="16" max="16384" width="9" style="204"/>
  </cols>
  <sheetData>
    <row r="2" spans="2:8">
      <c r="B2" s="262" t="s">
        <v>0</v>
      </c>
      <c r="C2" s="262"/>
      <c r="D2" s="262"/>
      <c r="E2" s="262"/>
      <c r="F2" s="262"/>
      <c r="G2" s="262"/>
      <c r="H2" s="262"/>
    </row>
    <row r="3" spans="2:8">
      <c r="B3" s="263" t="s">
        <v>1</v>
      </c>
      <c r="C3" s="263" t="s">
        <v>2</v>
      </c>
      <c r="D3" s="263" t="s">
        <v>3</v>
      </c>
      <c r="E3" s="263" t="s">
        <v>4</v>
      </c>
      <c r="F3" s="263" t="s">
        <v>5</v>
      </c>
      <c r="G3" s="263" t="s">
        <v>6</v>
      </c>
      <c r="H3" s="263" t="s">
        <v>7</v>
      </c>
    </row>
    <row r="4" spans="2:8">
      <c r="B4" s="69" t="s">
        <v>8</v>
      </c>
      <c r="C4" s="69">
        <v>55</v>
      </c>
      <c r="D4" s="264">
        <f>SUMIF(干线管道!C:C,"一级",干线管道!D:D)</f>
        <v>55638.935187</v>
      </c>
      <c r="E4" s="69">
        <f>SUMIF(干线管道!C:C,"一级",干线管道!F:F)</f>
        <v>799</v>
      </c>
      <c r="F4" s="69">
        <f>SUMIF(干线管道!C:C,"一级",干线管道!G:G)</f>
        <v>2120</v>
      </c>
      <c r="G4" s="69">
        <f>SUMIF(干线管道!C:C,"一级",干线管道!H:H)</f>
        <v>110</v>
      </c>
      <c r="H4" s="69">
        <f>COUNTIFS(压缩机!B:B,"一级",压缩机!R:R,"投产")</f>
        <v>408</v>
      </c>
    </row>
    <row r="5" spans="2:8">
      <c r="B5" s="69" t="s">
        <v>9</v>
      </c>
      <c r="C5" s="69">
        <f>COUNTIF(干线管道!C:C,"二级")</f>
        <v>7</v>
      </c>
      <c r="D5" s="264">
        <f>SUMIF(干线管道!C:C,"二级",干线管道!D:D)</f>
        <v>6901.349619</v>
      </c>
      <c r="E5" s="69">
        <f>SUMIF(干线管道!C:C,"二级",干线管道!F:F)</f>
        <v>217</v>
      </c>
      <c r="F5" s="69">
        <f>SUMIF(干线管道!C:C,"二级",干线管道!G:G)</f>
        <v>302</v>
      </c>
      <c r="G5" s="69">
        <f>SUMIF(干线管道!C:C,"二级",干线管道!H:H)</f>
        <v>1</v>
      </c>
      <c r="H5" s="69">
        <f>COUNTIFS(压缩机!B:B,"二级",压缩机!R:R,"投产")</f>
        <v>4</v>
      </c>
    </row>
    <row r="6" spans="2:8">
      <c r="B6" s="69" t="s">
        <v>10</v>
      </c>
      <c r="C6" s="69">
        <f>C4+C5</f>
        <v>62</v>
      </c>
      <c r="D6" s="264">
        <f t="shared" ref="C6:H6" si="0">D4+D5</f>
        <v>62540.284806</v>
      </c>
      <c r="E6" s="69">
        <f t="shared" si="0"/>
        <v>1016</v>
      </c>
      <c r="F6" s="69">
        <f t="shared" si="0"/>
        <v>2422</v>
      </c>
      <c r="G6" s="69">
        <f t="shared" si="0"/>
        <v>111</v>
      </c>
      <c r="H6" s="69">
        <f t="shared" si="0"/>
        <v>412</v>
      </c>
    </row>
    <row r="8" spans="2:9">
      <c r="B8" s="262" t="s">
        <v>11</v>
      </c>
      <c r="C8" s="262"/>
      <c r="D8" s="262" t="s">
        <v>12</v>
      </c>
      <c r="E8" s="262"/>
      <c r="F8" s="262"/>
      <c r="G8" s="262"/>
      <c r="H8" s="262"/>
      <c r="I8" s="262"/>
    </row>
    <row r="9" spans="2:9">
      <c r="B9" s="69" t="s">
        <v>13</v>
      </c>
      <c r="C9" s="250">
        <v>937</v>
      </c>
      <c r="D9" s="265"/>
      <c r="E9" s="265" t="s">
        <v>6</v>
      </c>
      <c r="F9" s="265" t="s">
        <v>14</v>
      </c>
      <c r="G9" s="265" t="s">
        <v>15</v>
      </c>
      <c r="H9" s="265" t="s">
        <v>16</v>
      </c>
      <c r="I9" s="265" t="s">
        <v>17</v>
      </c>
    </row>
    <row r="10" spans="2:9">
      <c r="B10" s="69" t="s">
        <v>18</v>
      </c>
      <c r="C10" s="250">
        <v>1633</v>
      </c>
      <c r="D10" s="69" t="s">
        <v>19</v>
      </c>
      <c r="E10" s="69">
        <f>SUMIF(干线管道!$C:$C,"一级",干线管道!H:H)+SUMIF(干线管道!$C:$C,"二级",干线管道!H:H)</f>
        <v>111</v>
      </c>
      <c r="F10" s="69">
        <f>SUMIF(干线管道!$C:$C,"一级",干线管道!I:I)+SUMIF(干线管道!$C:$C,"二级",干线管道!I:I)</f>
        <v>657</v>
      </c>
      <c r="G10" s="69">
        <f>SUMIF(干线管道!$C:$C,"一级",干线管道!J:J)+SUMIF(干线管道!$C:$C,"二级",干线管道!J:J)</f>
        <v>191</v>
      </c>
      <c r="H10" s="69">
        <f>SUMIF(干线管道!$C:$C,"一级",干线管道!K:K)+SUMIF(干线管道!$C:$C,"二级",干线管道!K:K)</f>
        <v>57</v>
      </c>
      <c r="I10" s="69">
        <f>SUMIF(干线管道!$C:$C,"一级",干线管道!L:L)+SUMIF(干线管道!$C:$C,"二级",干线管道!L:L)</f>
        <v>1695</v>
      </c>
    </row>
    <row r="13" spans="2:14">
      <c r="B13" s="266"/>
      <c r="C13" s="267"/>
      <c r="F13" s="267"/>
      <c r="G13" s="267"/>
      <c r="H13" s="267"/>
      <c r="I13" s="267"/>
      <c r="J13" s="267"/>
      <c r="K13" s="267"/>
      <c r="L13" s="267"/>
      <c r="M13" s="267"/>
      <c r="N13" s="267"/>
    </row>
    <row r="14" spans="2:14">
      <c r="B14" s="266"/>
      <c r="C14" s="267"/>
      <c r="F14" s="267"/>
      <c r="G14" s="267"/>
      <c r="H14" s="267"/>
      <c r="I14" s="267"/>
      <c r="J14" s="267"/>
      <c r="K14" s="267"/>
      <c r="L14" s="267"/>
      <c r="M14" s="269"/>
      <c r="N14" s="266"/>
    </row>
    <row r="15" spans="2:14">
      <c r="B15" s="266"/>
      <c r="C15" s="266"/>
      <c r="D15" s="246"/>
      <c r="F15" s="266"/>
      <c r="G15" s="266"/>
      <c r="H15" s="266"/>
      <c r="I15" s="266"/>
      <c r="J15" s="266"/>
      <c r="K15" s="266"/>
      <c r="L15" s="266"/>
      <c r="M15" s="266"/>
      <c r="N15" s="266"/>
    </row>
    <row r="28" spans="6:6">
      <c r="F28" s="268"/>
    </row>
  </sheetData>
  <mergeCells count="3">
    <mergeCell ref="B2:H2"/>
    <mergeCell ref="B8:C8"/>
    <mergeCell ref="D8:I8"/>
  </mergeCells>
  <pageMargins left="0.7" right="0.7" top="0.75" bottom="0.75" header="0.3" footer="0.3"/>
  <pageSetup paperSize="8"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6"/>
  <sheetViews>
    <sheetView zoomScale="85" zoomScaleNormal="85" workbookViewId="0">
      <pane ySplit="1" topLeftCell="A56" activePane="bottomLeft" state="frozen"/>
      <selection/>
      <selection pane="bottomLeft" activeCell="A1" sqref="$A1:$XFD1048576"/>
    </sheetView>
  </sheetViews>
  <sheetFormatPr defaultColWidth="9" defaultRowHeight="14"/>
  <cols>
    <col min="1" max="1" width="8.91666666666667" style="246" customWidth="1"/>
    <col min="2" max="2" width="25.4166666666667" style="246" customWidth="1"/>
    <col min="3" max="3" width="9" style="246"/>
    <col min="4" max="4" width="9.08333333333333" style="247" customWidth="1"/>
    <col min="5" max="5" width="9.41666666666667" style="247" customWidth="1"/>
    <col min="6" max="10" width="9" style="246"/>
    <col min="11" max="11" width="9.375" style="246"/>
    <col min="12" max="14" width="9" style="246"/>
    <col min="15" max="15" width="10.375" style="246"/>
    <col min="17" max="17" width="9.25" style="246"/>
    <col min="18" max="16384" width="9" style="246"/>
  </cols>
  <sheetData>
    <row r="1" ht="28.25" customHeight="1" spans="1:14">
      <c r="A1" s="248" t="s">
        <v>20</v>
      </c>
      <c r="B1" s="248" t="s">
        <v>21</v>
      </c>
      <c r="C1" s="248" t="s">
        <v>22</v>
      </c>
      <c r="D1" s="249" t="s">
        <v>23</v>
      </c>
      <c r="E1" s="249" t="s">
        <v>24</v>
      </c>
      <c r="F1" s="248" t="s">
        <v>4</v>
      </c>
      <c r="G1" s="248" t="s">
        <v>5</v>
      </c>
      <c r="H1" s="248" t="s">
        <v>6</v>
      </c>
      <c r="I1" s="248" t="s">
        <v>14</v>
      </c>
      <c r="J1" s="248" t="s">
        <v>15</v>
      </c>
      <c r="K1" s="248" t="s">
        <v>16</v>
      </c>
      <c r="L1" s="248" t="s">
        <v>25</v>
      </c>
      <c r="M1" s="248" t="s">
        <v>26</v>
      </c>
      <c r="N1" s="248" t="s">
        <v>27</v>
      </c>
    </row>
    <row r="2" ht="15" spans="1:14">
      <c r="A2" s="250">
        <v>1</v>
      </c>
      <c r="B2" s="122" t="s">
        <v>28</v>
      </c>
      <c r="C2" s="251" t="s">
        <v>29</v>
      </c>
      <c r="D2" s="252">
        <f>SUMIF(管道站场阀室关系!A:A,B2,管道站场阀室关系!H:H)</f>
        <v>4474.7199</v>
      </c>
      <c r="E2" s="252">
        <f>SUMIF(管道站场阀室关系!A:A,B2,管道站场阀室关系!J:J)</f>
        <v>3098264.58556608</v>
      </c>
      <c r="F2" s="251">
        <f t="shared" ref="F2:F16" si="0">SUM(H2:K2)</f>
        <v>65</v>
      </c>
      <c r="G2" s="251">
        <f t="shared" ref="G2:G20" si="1">SUM(L2:N2)</f>
        <v>158</v>
      </c>
      <c r="H2" s="251">
        <f>COUNTIFS(管道站场阀室关系!A:A,B2,管道站场阀室关系!P:P,H$1)</f>
        <v>22</v>
      </c>
      <c r="I2" s="251">
        <f>COUNTIFS(管道站场阀室关系!A:A,B2,管道站场阀室关系!P:P,I$1)</f>
        <v>41</v>
      </c>
      <c r="J2" s="251">
        <f>COUNTIFS(管道站场阀室关系!A:A,B2,管道站场阀室关系!P:P,J$1)</f>
        <v>2</v>
      </c>
      <c r="K2" s="251">
        <f>COUNTIFS(管道站场阀室关系!A:A,B2,管道站场阀室关系!P:P,K$1)</f>
        <v>0</v>
      </c>
      <c r="L2" s="251">
        <f>COUNTIFS(管道站场阀室关系!A:A,B2,管道站场阀室关系!P:P,L$1)</f>
        <v>139</v>
      </c>
      <c r="M2" s="251">
        <f>COUNTIFS(管道站场阀室关系!A:A,B2,管道站场阀室关系!P:P,M$1)</f>
        <v>2</v>
      </c>
      <c r="N2" s="251">
        <f>COUNTIFS(管道站场阀室关系!A:A,B2,管道站场阀室关系!P:P,N$1)</f>
        <v>17</v>
      </c>
    </row>
    <row r="3" ht="15" spans="1:14">
      <c r="A3" s="250">
        <v>2</v>
      </c>
      <c r="B3" s="122" t="s">
        <v>30</v>
      </c>
      <c r="C3" s="251" t="s">
        <v>29</v>
      </c>
      <c r="D3" s="252">
        <f>SUMIF(管道站场阀室关系!A:A,B3,管道站场阀室关系!H:H)</f>
        <v>1331.2707</v>
      </c>
      <c r="E3" s="252">
        <f>SUMIF(管道站场阀室关系!A:A,B3,管道站场阀室关系!J:J)</f>
        <v>487778.669482251</v>
      </c>
      <c r="F3" s="251">
        <f t="shared" si="0"/>
        <v>32</v>
      </c>
      <c r="G3" s="251">
        <f t="shared" si="1"/>
        <v>45</v>
      </c>
      <c r="H3" s="251">
        <f>COUNTIFS(管道站场阀室关系!A:A,B3,管道站场阀室关系!P:P,H$1)</f>
        <v>1</v>
      </c>
      <c r="I3" s="251">
        <f>COUNTIFS(管道站场阀室关系!A:A,B3,管道站场阀室关系!P:P,I$1)</f>
        <v>29</v>
      </c>
      <c r="J3" s="251">
        <f>COUNTIFS(管道站场阀室关系!A:A,B3,管道站场阀室关系!P:P,J$1)</f>
        <v>0</v>
      </c>
      <c r="K3" s="251">
        <f>COUNTIFS(管道站场阀室关系!A:A,B3,管道站场阀室关系!P:P,K$1)</f>
        <v>2</v>
      </c>
      <c r="L3" s="251">
        <f>COUNTIFS(管道站场阀室关系!A:A,B3,管道站场阀室关系!P:P,L$1)</f>
        <v>6</v>
      </c>
      <c r="M3" s="251">
        <f>COUNTIFS(管道站场阀室关系!A:A,B3,管道站场阀室关系!P:P,M$1)</f>
        <v>1</v>
      </c>
      <c r="N3" s="251">
        <f>COUNTIFS(管道站场阀室关系!A:A,B3,管道站场阀室关系!P:P,N$1)</f>
        <v>38</v>
      </c>
    </row>
    <row r="4" ht="15" spans="1:14">
      <c r="A4" s="250">
        <v>3</v>
      </c>
      <c r="B4" s="101" t="s">
        <v>31</v>
      </c>
      <c r="C4" s="251" t="s">
        <v>29</v>
      </c>
      <c r="D4" s="252">
        <f>SUMIF(管道站场阀室关系!A:A,B4,管道站场阀室关系!H:H)</f>
        <v>391.877</v>
      </c>
      <c r="E4" s="252">
        <f>SUMIF(管道站场阀室关系!A:A,B4,管道站场阀室关系!J:J)</f>
        <v>250339.447737152</v>
      </c>
      <c r="F4" s="251">
        <f t="shared" si="0"/>
        <v>10</v>
      </c>
      <c r="G4" s="251">
        <f t="shared" si="1"/>
        <v>20</v>
      </c>
      <c r="H4" s="251">
        <f>COUNTIFS(管道站场阀室关系!A:A,B4,管道站场阀室关系!P:P,H$1)</f>
        <v>0</v>
      </c>
      <c r="I4" s="251">
        <f>COUNTIFS(管道站场阀室关系!A:A,B4,管道站场阀室关系!P:P,I$1)</f>
        <v>9</v>
      </c>
      <c r="J4" s="251">
        <f>COUNTIFS(管道站场阀室关系!A:A,B4,管道站场阀室关系!P:P,J$1)</f>
        <v>1</v>
      </c>
      <c r="K4" s="251">
        <f>COUNTIFS(管道站场阀室关系!A:A,B4,管道站场阀室关系!P:P,K$1)</f>
        <v>0</v>
      </c>
      <c r="L4" s="251">
        <f>COUNTIFS(管道站场阀室关系!A:A,B4,管道站场阀室关系!P:P,L$1)</f>
        <v>18</v>
      </c>
      <c r="M4" s="251">
        <f>COUNTIFS(管道站场阀室关系!A:A,B4,管道站场阀室关系!P:P,M$1)</f>
        <v>2</v>
      </c>
      <c r="N4" s="251">
        <f>COUNTIFS(管道站场阀室关系!A:A,B4,管道站场阀室关系!P:P,N$1)</f>
        <v>0</v>
      </c>
    </row>
    <row r="5" ht="15" spans="1:14">
      <c r="A5" s="250">
        <v>4</v>
      </c>
      <c r="B5" s="253" t="s">
        <v>32</v>
      </c>
      <c r="C5" s="251" t="s">
        <v>29</v>
      </c>
      <c r="D5" s="252">
        <f>SUMIF(管道站场阀室关系!A:A,B5,管道站场阀室关系!H:H)</f>
        <v>436.889</v>
      </c>
      <c r="E5" s="252">
        <f>SUMIF(管道站场阀室关系!A:A,B5,管道站场阀室关系!J:J)</f>
        <v>116059</v>
      </c>
      <c r="F5" s="251">
        <f t="shared" si="0"/>
        <v>3</v>
      </c>
      <c r="G5" s="251">
        <f t="shared" si="1"/>
        <v>21</v>
      </c>
      <c r="H5" s="251">
        <f>COUNTIFS(管道站场阀室关系!A:A,B5,管道站场阀室关系!P:P,H$1)</f>
        <v>0</v>
      </c>
      <c r="I5" s="251">
        <f>COUNTIFS(管道站场阀室关系!A:A,B5,管道站场阀室关系!P:P,I$1)</f>
        <v>3</v>
      </c>
      <c r="J5" s="251">
        <f>COUNTIFS(管道站场阀室关系!A:A,B5,管道站场阀室关系!P:P,J$1)</f>
        <v>0</v>
      </c>
      <c r="K5" s="251">
        <f>COUNTIFS(管道站场阀室关系!A:A,B5,管道站场阀室关系!P:P,K$1)</f>
        <v>0</v>
      </c>
      <c r="L5" s="251">
        <f>COUNTIFS(管道站场阀室关系!A:A,B5,管道站场阀室关系!P:P,L$1)</f>
        <v>8</v>
      </c>
      <c r="M5" s="251">
        <f>COUNTIFS(管道站场阀室关系!A:A,B5,管道站场阀室关系!P:P,M$1)</f>
        <v>0</v>
      </c>
      <c r="N5" s="251">
        <f>COUNTIFS(管道站场阀室关系!A:A,B5,管道站场阀室关系!P:P,N$1)</f>
        <v>13</v>
      </c>
    </row>
    <row r="6" ht="15" spans="1:14">
      <c r="A6" s="250">
        <v>5</v>
      </c>
      <c r="B6" s="122" t="s">
        <v>33</v>
      </c>
      <c r="C6" s="251" t="s">
        <v>29</v>
      </c>
      <c r="D6" s="252">
        <f>SUMIF(管道站场阀室关系!A:A,B6,管道站场阀室关系!H:H)</f>
        <v>5098.0123</v>
      </c>
      <c r="E6" s="252">
        <f>SUMIF(管道站场阀室关系!A:A,B6,管道站场阀室关系!J:J)</f>
        <v>5365107.9459223</v>
      </c>
      <c r="F6" s="251">
        <f t="shared" si="0"/>
        <v>64</v>
      </c>
      <c r="G6" s="251">
        <f t="shared" si="1"/>
        <v>150</v>
      </c>
      <c r="H6" s="251">
        <f>COUNTIFS(管道站场阀室关系!A:A,B6,管道站场阀室关系!P:P,H$1)</f>
        <v>27</v>
      </c>
      <c r="I6" s="251">
        <f>COUNTIFS(管道站场阀室关系!A:A,B6,管道站场阀室关系!P:P,I$1)</f>
        <v>36</v>
      </c>
      <c r="J6" s="251">
        <f>COUNTIFS(管道站场阀室关系!A:A,B6,管道站场阀室关系!P:P,J$1)</f>
        <v>1</v>
      </c>
      <c r="K6" s="251">
        <f>COUNTIFS(管道站场阀室关系!A:A,B6,管道站场阀室关系!P:P,K$1)</f>
        <v>0</v>
      </c>
      <c r="L6" s="251">
        <f>COUNTIFS(管道站场阀室关系!A:A,B6,管道站场阀室关系!P:P,L$1)</f>
        <v>33</v>
      </c>
      <c r="M6" s="251">
        <f>COUNTIFS(管道站场阀室关系!A:A,B6,管道站场阀室关系!P:P,M$1)</f>
        <v>116</v>
      </c>
      <c r="N6" s="251">
        <f>COUNTIFS(管道站场阀室关系!A:A,B6,管道站场阀室关系!P:P,N$1)</f>
        <v>1</v>
      </c>
    </row>
    <row r="7" ht="15" spans="1:14">
      <c r="A7" s="250">
        <v>6</v>
      </c>
      <c r="B7" s="254" t="s">
        <v>34</v>
      </c>
      <c r="C7" s="251" t="s">
        <v>29</v>
      </c>
      <c r="D7" s="252">
        <f>SUMIF(管道站场阀室关系!A:A,B7,管道站场阀室关系!H:H)</f>
        <v>524</v>
      </c>
      <c r="E7" s="252">
        <f>SUMIF(管道站场阀室关系!A:A,B7,管道站场阀室关系!J:J)</f>
        <v>424150</v>
      </c>
      <c r="F7" s="251">
        <f t="shared" si="0"/>
        <v>1</v>
      </c>
      <c r="G7" s="251">
        <f t="shared" si="1"/>
        <v>15</v>
      </c>
      <c r="H7" s="251">
        <f>COUNTIFS(管道站场阀室关系!A:A,B7,管道站场阀室关系!P:P,H$1)</f>
        <v>1</v>
      </c>
      <c r="I7" s="251">
        <f>COUNTIFS(管道站场阀室关系!A:A,B7,管道站场阀室关系!P:P,I$1)</f>
        <v>0</v>
      </c>
      <c r="J7" s="251">
        <f>COUNTIFS(管道站场阀室关系!A:A,B7,管道站场阀室关系!P:P,J$1)</f>
        <v>0</v>
      </c>
      <c r="K7" s="251">
        <f>COUNTIFS(管道站场阀室关系!A:A,B7,管道站场阀室关系!P:P,K$1)</f>
        <v>0</v>
      </c>
      <c r="L7" s="251">
        <f>COUNTIFS(管道站场阀室关系!A:A,B7,管道站场阀室关系!P:P,L$1)</f>
        <v>3</v>
      </c>
      <c r="M7" s="251">
        <f>COUNTIFS(管道站场阀室关系!A:A,B7,管道站场阀室关系!P:P,M$1)</f>
        <v>12</v>
      </c>
      <c r="N7" s="251">
        <f>COUNTIFS(管道站场阀室关系!A:A,B7,管道站场阀室关系!P:P,N$1)</f>
        <v>0</v>
      </c>
    </row>
    <row r="8" ht="15" spans="1:14">
      <c r="A8" s="250">
        <v>7</v>
      </c>
      <c r="B8" s="219" t="s">
        <v>35</v>
      </c>
      <c r="C8" s="251" t="s">
        <v>29</v>
      </c>
      <c r="D8" s="252">
        <f>SUMIF(管道站场阀室关系!A:A,B8,管道站场阀室关系!H:H)</f>
        <v>335.4</v>
      </c>
      <c r="E8" s="252">
        <f>SUMIF(管道站场阀室关系!A:A,B8,管道站场阀室关系!J:J)</f>
        <v>262751.21</v>
      </c>
      <c r="F8" s="251">
        <f t="shared" si="0"/>
        <v>2</v>
      </c>
      <c r="G8" s="251">
        <f t="shared" si="1"/>
        <v>12</v>
      </c>
      <c r="H8" s="251">
        <f>COUNTIFS(管道站场阀室关系!A:A,B8,管道站场阀室关系!P:P,H$1)</f>
        <v>0</v>
      </c>
      <c r="I8" s="251">
        <f>COUNTIFS(管道站场阀室关系!A:A,B8,管道站场阀室关系!P:P,I$1)</f>
        <v>2</v>
      </c>
      <c r="J8" s="251">
        <f>COUNTIFS(管道站场阀室关系!A:A,B8,管道站场阀室关系!P:P,J$1)</f>
        <v>0</v>
      </c>
      <c r="K8" s="251">
        <f>COUNTIFS(管道站场阀室关系!A:A,B8,管道站场阀室关系!P:P,K$1)</f>
        <v>0</v>
      </c>
      <c r="L8" s="251">
        <f>COUNTIFS(管道站场阀室关系!A:A,B8,管道站场阀室关系!P:P,L$1)</f>
        <v>0</v>
      </c>
      <c r="M8" s="251">
        <f>COUNTIFS(管道站场阀室关系!A:A,B8,管道站场阀室关系!P:P,M$1)</f>
        <v>12</v>
      </c>
      <c r="N8" s="251">
        <f>COUNTIFS(管道站场阀室关系!A:A,B8,管道站场阀室关系!P:P,N$1)</f>
        <v>0</v>
      </c>
    </row>
    <row r="9" ht="15" spans="1:14">
      <c r="A9" s="250">
        <v>8</v>
      </c>
      <c r="B9" s="122" t="s">
        <v>36</v>
      </c>
      <c r="C9" s="251" t="s">
        <v>29</v>
      </c>
      <c r="D9" s="252">
        <f>SUMIF(管道站场阀室关系!A:A,B9,管道站场阀室关系!H:H)</f>
        <v>206.1798</v>
      </c>
      <c r="E9" s="252">
        <f>SUMIF(管道站场阀室关系!A:A,B9,管道站场阀室关系!J:J)</f>
        <v>38420.46</v>
      </c>
      <c r="F9" s="251">
        <f t="shared" si="0"/>
        <v>7</v>
      </c>
      <c r="G9" s="251">
        <f t="shared" si="1"/>
        <v>11</v>
      </c>
      <c r="H9" s="251">
        <f>COUNTIFS(管道站场阀室关系!A:A,B9,管道站场阀室关系!P:P,H$1)</f>
        <v>0</v>
      </c>
      <c r="I9" s="251">
        <f>COUNTIFS(管道站场阀室关系!A:A,B9,管道站场阀室关系!P:P,I$1)</f>
        <v>7</v>
      </c>
      <c r="J9" s="251">
        <f>COUNTIFS(管道站场阀室关系!A:A,B9,管道站场阀室关系!P:P,J$1)</f>
        <v>0</v>
      </c>
      <c r="K9" s="251">
        <f>COUNTIFS(管道站场阀室关系!A:A,B9,管道站场阀室关系!P:P,K$1)</f>
        <v>0</v>
      </c>
      <c r="L9" s="251">
        <f>COUNTIFS(管道站场阀室关系!A:A,B9,管道站场阀室关系!P:P,L$1)</f>
        <v>5</v>
      </c>
      <c r="M9" s="251">
        <f>COUNTIFS(管道站场阀室关系!A:A,B9,管道站场阀室关系!P:P,M$1)</f>
        <v>6</v>
      </c>
      <c r="N9" s="251">
        <f>COUNTIFS(管道站场阀室关系!A:A,B9,管道站场阀室关系!P:P,N$1)</f>
        <v>0</v>
      </c>
    </row>
    <row r="10" ht="15" spans="1:14">
      <c r="A10" s="250">
        <v>9</v>
      </c>
      <c r="B10" s="254" t="s">
        <v>37</v>
      </c>
      <c r="C10" s="251" t="s">
        <v>29</v>
      </c>
      <c r="D10" s="252">
        <f>SUMIF(管道站场阀室关系!A:A,B10,管道站场阀室关系!H:H)</f>
        <v>262.2999</v>
      </c>
      <c r="E10" s="252">
        <f>SUMIF(管道站场阀室关系!A:A,B10,管道站场阀室关系!J:J)</f>
        <v>81166.3190324826</v>
      </c>
      <c r="F10" s="251">
        <f t="shared" si="0"/>
        <v>8</v>
      </c>
      <c r="G10" s="251">
        <f t="shared" si="1"/>
        <v>10</v>
      </c>
      <c r="H10" s="251">
        <f>COUNTIFS(管道站场阀室关系!A:A,B10,管道站场阀室关系!P:P,H$1)</f>
        <v>1</v>
      </c>
      <c r="I10" s="251">
        <f>COUNTIFS(管道站场阀室关系!A:A,B10,管道站场阀室关系!P:P,I$1)</f>
        <v>7</v>
      </c>
      <c r="J10" s="251">
        <f>COUNTIFS(管道站场阀室关系!A:A,B10,管道站场阀室关系!P:P,J$1)</f>
        <v>0</v>
      </c>
      <c r="K10" s="251">
        <f>COUNTIFS(管道站场阀室关系!A:A,B10,管道站场阀室关系!P:P,K$1)</f>
        <v>0</v>
      </c>
      <c r="L10" s="251">
        <f>COUNTIFS(管道站场阀室关系!A:A,B10,管道站场阀室关系!P:P,L$1)</f>
        <v>3</v>
      </c>
      <c r="M10" s="251">
        <f>COUNTIFS(管道站场阀室关系!A:A,B10,管道站场阀室关系!P:P,M$1)</f>
        <v>7</v>
      </c>
      <c r="N10" s="251">
        <f>COUNTIFS(管道站场阀室关系!A:A,B10,管道站场阀室关系!P:P,N$1)</f>
        <v>0</v>
      </c>
    </row>
    <row r="11" ht="15" spans="1:14">
      <c r="A11" s="250">
        <v>10</v>
      </c>
      <c r="B11" s="122" t="s">
        <v>38</v>
      </c>
      <c r="C11" s="251" t="s">
        <v>29</v>
      </c>
      <c r="D11" s="252">
        <f>SUMIF(管道站场阀室关系!A:A,B11,管道站场阀室关系!H:H)</f>
        <v>902.8247</v>
      </c>
      <c r="E11" s="252">
        <f>SUMIF(管道站场阀室关系!A:A,B11,管道站场阀室关系!J:J)</f>
        <v>687510.585150249</v>
      </c>
      <c r="F11" s="251">
        <f t="shared" si="0"/>
        <v>13</v>
      </c>
      <c r="G11" s="251">
        <f t="shared" si="1"/>
        <v>49</v>
      </c>
      <c r="H11" s="251">
        <f>COUNTIFS(管道站场阀室关系!A:A,B11,管道站场阀室关系!P:P,H$1)</f>
        <v>2</v>
      </c>
      <c r="I11" s="251">
        <f>COUNTIFS(管道站场阀室关系!A:A,B11,管道站场阀室关系!P:P,I$1)</f>
        <v>11</v>
      </c>
      <c r="J11" s="251">
        <f>COUNTIFS(管道站场阀室关系!A:A,B11,管道站场阀室关系!P:P,J$1)</f>
        <v>0</v>
      </c>
      <c r="K11" s="251">
        <f>COUNTIFS(管道站场阀室关系!A:A,B11,管道站场阀室关系!P:P,K$1)</f>
        <v>0</v>
      </c>
      <c r="L11" s="251">
        <f>COUNTIFS(管道站场阀室关系!A:A,B11,管道站场阀室关系!P:P,L$1)</f>
        <v>20</v>
      </c>
      <c r="M11" s="251">
        <f>COUNTIFS(管道站场阀室关系!A:A,B11,管道站场阀室关系!P:P,M$1)</f>
        <v>29</v>
      </c>
      <c r="N11" s="251">
        <f>COUNTIFS(管道站场阀室关系!A:A,B11,管道站场阀室关系!P:P,N$1)</f>
        <v>0</v>
      </c>
    </row>
    <row r="12" ht="15" spans="1:14">
      <c r="A12" s="250">
        <v>11</v>
      </c>
      <c r="B12" s="254" t="s">
        <v>39</v>
      </c>
      <c r="C12" s="251" t="s">
        <v>29</v>
      </c>
      <c r="D12" s="252">
        <f>SUMIF(管道站场阀室关系!A:A,B12,管道站场阀室关系!H:H)</f>
        <v>570.9099</v>
      </c>
      <c r="E12" s="252">
        <f>SUMIF(管道站场阀室关系!A:A,B12,管道站场阀室关系!J:J)</f>
        <v>398273.484673224</v>
      </c>
      <c r="F12" s="251">
        <f t="shared" si="0"/>
        <v>9</v>
      </c>
      <c r="G12" s="251">
        <f t="shared" si="1"/>
        <v>17</v>
      </c>
      <c r="H12" s="251">
        <f>COUNTIFS(管道站场阀室关系!A:A,B12,管道站场阀室关系!P:P,H$1)</f>
        <v>1</v>
      </c>
      <c r="I12" s="251">
        <f>COUNTIFS(管道站场阀室关系!A:A,B12,管道站场阀室关系!P:P,I$1)</f>
        <v>8</v>
      </c>
      <c r="J12" s="251">
        <f>COUNTIFS(管道站场阀室关系!A:A,B12,管道站场阀室关系!P:P,J$1)</f>
        <v>0</v>
      </c>
      <c r="K12" s="251">
        <f>COUNTIFS(管道站场阀室关系!A:A,B12,管道站场阀室关系!P:P,K$1)</f>
        <v>0</v>
      </c>
      <c r="L12" s="251">
        <f>COUNTIFS(管道站场阀室关系!A:A,B12,管道站场阀室关系!P:P,L$1)</f>
        <v>5</v>
      </c>
      <c r="M12" s="251">
        <f>COUNTIFS(管道站场阀室关系!A:A,B12,管道站场阀室关系!P:P,M$1)</f>
        <v>12</v>
      </c>
      <c r="N12" s="251">
        <f>COUNTIFS(管道站场阀室关系!A:A,B12,管道站场阀室关系!P:P,N$1)</f>
        <v>0</v>
      </c>
    </row>
    <row r="13" ht="15" spans="1:14">
      <c r="A13" s="250">
        <v>12</v>
      </c>
      <c r="B13" s="49" t="s">
        <v>40</v>
      </c>
      <c r="C13" s="251" t="s">
        <v>29</v>
      </c>
      <c r="D13" s="252">
        <f>SUMIF(管道站场阀室关系!A:A,B13,管道站场阀室关系!H:H)</f>
        <v>1327.0113</v>
      </c>
      <c r="E13" s="252">
        <f>SUMIF(管道站场阀室关系!A:A,B13,管道站场阀室关系!J:J)</f>
        <v>579597.54237762</v>
      </c>
      <c r="F13" s="251">
        <f t="shared" si="0"/>
        <v>21</v>
      </c>
      <c r="G13" s="251">
        <f t="shared" si="1"/>
        <v>53</v>
      </c>
      <c r="H13" s="251">
        <f>COUNTIFS(管道站场阀室关系!A:A,B13,管道站场阀室关系!P:P,H$1)</f>
        <v>1</v>
      </c>
      <c r="I13" s="251">
        <f>COUNTIFS(管道站场阀室关系!A:A,B13,管道站场阀室关系!P:P,I$1)</f>
        <v>14</v>
      </c>
      <c r="J13" s="251">
        <f>COUNTIFS(管道站场阀室关系!A:A,B13,管道站场阀室关系!P:P,J$1)</f>
        <v>2</v>
      </c>
      <c r="K13" s="251">
        <f>COUNTIFS(管道站场阀室关系!A:A,B13,管道站场阀室关系!P:P,K$1)</f>
        <v>4</v>
      </c>
      <c r="L13" s="251">
        <f>COUNTIFS(管道站场阀室关系!A:A,B13,管道站场阀室关系!P:P,L$1)</f>
        <v>36</v>
      </c>
      <c r="M13" s="251">
        <f>COUNTIFS(管道站场阀室关系!A:A,B13,管道站场阀室关系!P:P,M$1)</f>
        <v>17</v>
      </c>
      <c r="N13" s="251">
        <f>COUNTIFS(管道站场阀室关系!A:A,B13,管道站场阀室关系!P:P,N$1)</f>
        <v>0</v>
      </c>
    </row>
    <row r="14" ht="15" spans="1:14">
      <c r="A14" s="250">
        <v>13</v>
      </c>
      <c r="B14" s="49" t="s">
        <v>41</v>
      </c>
      <c r="C14" s="251" t="s">
        <v>29</v>
      </c>
      <c r="D14" s="252">
        <f>SUMIF(管道站场阀室关系!A:A,B14,管道站场阀室关系!H:H)</f>
        <v>259.1999</v>
      </c>
      <c r="E14" s="252">
        <f>SUMIF(管道站场阀室关系!A:A,B14,管道站场阀室关系!J:J)</f>
        <v>189834</v>
      </c>
      <c r="F14" s="251">
        <f t="shared" si="0"/>
        <v>4</v>
      </c>
      <c r="G14" s="251">
        <f t="shared" si="1"/>
        <v>18</v>
      </c>
      <c r="H14" s="251">
        <f>COUNTIFS(管道站场阀室关系!A:A,B14,管道站场阀室关系!P:P,H$1)</f>
        <v>1</v>
      </c>
      <c r="I14" s="251">
        <f>COUNTIFS(管道站场阀室关系!A:A,B14,管道站场阀室关系!P:P,I$1)</f>
        <v>3</v>
      </c>
      <c r="J14" s="251">
        <f>COUNTIFS(管道站场阀室关系!A:A,B14,管道站场阀室关系!P:P,J$1)</f>
        <v>0</v>
      </c>
      <c r="K14" s="251">
        <f>COUNTIFS(管道站场阀室关系!A:A,B14,管道站场阀室关系!P:P,K$1)</f>
        <v>0</v>
      </c>
      <c r="L14" s="251">
        <f>COUNTIFS(管道站场阀室关系!A:A,B14,管道站场阀室关系!P:P,L$1)</f>
        <v>11</v>
      </c>
      <c r="M14" s="251">
        <f>COUNTIFS(管道站场阀室关系!A:A,B14,管道站场阀室关系!P:P,M$1)</f>
        <v>7</v>
      </c>
      <c r="N14" s="251">
        <f>COUNTIFS(管道站场阀室关系!A:A,B14,管道站场阀室关系!P:P,N$1)</f>
        <v>0</v>
      </c>
    </row>
    <row r="15" ht="15" spans="1:14">
      <c r="A15" s="250">
        <v>14</v>
      </c>
      <c r="B15" s="49" t="s">
        <v>42</v>
      </c>
      <c r="C15" s="251" t="s">
        <v>29</v>
      </c>
      <c r="D15" s="252">
        <f>SUMIF(管道站场阀室关系!A:A,B15,管道站场阀室关系!H:H)</f>
        <v>21.074</v>
      </c>
      <c r="E15" s="252">
        <f>SUMIF(管道站场阀室关系!A:A,B15,管道站场阀室关系!J:J)</f>
        <v>9738</v>
      </c>
      <c r="F15" s="251">
        <f t="shared" si="0"/>
        <v>1</v>
      </c>
      <c r="G15" s="251">
        <f t="shared" si="1"/>
        <v>0</v>
      </c>
      <c r="H15" s="251">
        <f>COUNTIFS(管道站场阀室关系!A:A,B15,管道站场阀室关系!P:P,H$1)</f>
        <v>0</v>
      </c>
      <c r="I15" s="251">
        <f>COUNTIFS(管道站场阀室关系!A:A,B15,管道站场阀室关系!P:P,I$1)</f>
        <v>1</v>
      </c>
      <c r="J15" s="251">
        <f>COUNTIFS(管道站场阀室关系!A:A,B15,管道站场阀室关系!P:P,J$1)</f>
        <v>0</v>
      </c>
      <c r="K15" s="251">
        <f>COUNTIFS(管道站场阀室关系!A:A,B15,管道站场阀室关系!P:P,K$1)</f>
        <v>0</v>
      </c>
      <c r="L15" s="251">
        <f>COUNTIFS(管道站场阀室关系!A:A,B15,管道站场阀室关系!P:P,L$1)</f>
        <v>0</v>
      </c>
      <c r="M15" s="251">
        <f>COUNTIFS(管道站场阀室关系!A:A,B15,管道站场阀室关系!P:P,M$1)</f>
        <v>0</v>
      </c>
      <c r="N15" s="251">
        <f>COUNTIFS(管道站场阀室关系!A:A,B15,管道站场阀室关系!P:P,N$1)</f>
        <v>0</v>
      </c>
    </row>
    <row r="16" ht="15" spans="1:14">
      <c r="A16" s="250">
        <v>15</v>
      </c>
      <c r="B16" s="122" t="s">
        <v>43</v>
      </c>
      <c r="C16" s="251" t="s">
        <v>29</v>
      </c>
      <c r="D16" s="252">
        <f>SUMIF(管道站场阀室关系!A:A,B16,管道站场阀室关系!H:H)</f>
        <v>5655.1403</v>
      </c>
      <c r="E16" s="252">
        <f>SUMIF(管道站场阀室关系!A:A,B16,管道站场阀室关系!J:J)</f>
        <v>5710086.86373473</v>
      </c>
      <c r="F16" s="251">
        <f t="shared" si="0"/>
        <v>32</v>
      </c>
      <c r="G16" s="251">
        <f t="shared" si="1"/>
        <v>210</v>
      </c>
      <c r="H16" s="251">
        <f>COUNTIFS(管道站场阀室关系!A:A,B16,管道站场阀室关系!P:P,H$1)</f>
        <v>0</v>
      </c>
      <c r="I16" s="251">
        <f>COUNTIFS(管道站场阀室关系!A:A,B16,管道站场阀室关系!P:P,I$1)</f>
        <v>21</v>
      </c>
      <c r="J16" s="251">
        <f>COUNTIFS(管道站场阀室关系!A:A,B16,管道站场阀室关系!P:P,J$1)</f>
        <v>11</v>
      </c>
      <c r="K16" s="251">
        <f>COUNTIFS(管道站场阀室关系!A:A,B16,管道站场阀室关系!P:P,K$1)</f>
        <v>0</v>
      </c>
      <c r="L16" s="251">
        <f>COUNTIFS(管道站场阀室关系!A:A,B16,管道站场阀室关系!P:P,L$1)</f>
        <v>163</v>
      </c>
      <c r="M16" s="251">
        <f>COUNTIFS(管道站场阀室关系!A:A,B16,管道站场阀室关系!P:P,M$1)</f>
        <v>47</v>
      </c>
      <c r="N16" s="251">
        <f>COUNTIFS(管道站场阀室关系!A:A,B16,管道站场阀室关系!P:P,N$1)</f>
        <v>0</v>
      </c>
    </row>
    <row r="17" ht="15" spans="1:14">
      <c r="A17" s="250">
        <v>16</v>
      </c>
      <c r="B17" s="122" t="s">
        <v>44</v>
      </c>
      <c r="C17" s="255" t="s">
        <v>29</v>
      </c>
      <c r="D17" s="256">
        <f>SUMIF(管道站场阀室关系!A:A,B17,管道站场阀室关系!H:H)</f>
        <v>66.5</v>
      </c>
      <c r="E17" s="256">
        <f>SUMIF(管道站场阀室关系!A:A,B17,管道站场阀室关系!J:J)</f>
        <v>40335.0569822117</v>
      </c>
      <c r="F17" s="251">
        <f t="shared" ref="F17:F41" si="2">SUM(H17:K17)</f>
        <v>1</v>
      </c>
      <c r="G17" s="255">
        <f t="shared" si="1"/>
        <v>5</v>
      </c>
      <c r="H17" s="251">
        <f>COUNTIFS(管道站场阀室关系!A:A,B17,管道站场阀室关系!P:P,H$1)</f>
        <v>0</v>
      </c>
      <c r="I17" s="251">
        <f>COUNTIFS(管道站场阀室关系!A:A,B17,管道站场阀室关系!P:P,I$1)</f>
        <v>0</v>
      </c>
      <c r="J17" s="251">
        <f>COUNTIFS(管道站场阀室关系!A:A,B17,管道站场阀室关系!P:P,J$1)</f>
        <v>1</v>
      </c>
      <c r="K17" s="251">
        <f>COUNTIFS(管道站场阀室关系!A:A,B17,管道站场阀室关系!P:P,K$1)</f>
        <v>0</v>
      </c>
      <c r="L17" s="251">
        <f>COUNTIFS(管道站场阀室关系!A:A,B17,管道站场阀室关系!P:P,L$1)</f>
        <v>5</v>
      </c>
      <c r="M17" s="251">
        <f>COUNTIFS(管道站场阀室关系!A:A,B17,管道站场阀室关系!P:P,M$1)</f>
        <v>0</v>
      </c>
      <c r="N17" s="251">
        <f>COUNTIFS(管道站场阀室关系!A:A,B17,管道站场阀室关系!P:P,N$1)</f>
        <v>0</v>
      </c>
    </row>
    <row r="18" ht="15" spans="1:14">
      <c r="A18" s="250">
        <v>17</v>
      </c>
      <c r="B18" s="122" t="s">
        <v>45</v>
      </c>
      <c r="C18" s="255" t="s">
        <v>29</v>
      </c>
      <c r="D18" s="256">
        <f>SUMIF(管道站场阀室关系!A:A,B18,管道站场阀室关系!H:H)</f>
        <v>1745</v>
      </c>
      <c r="E18" s="256">
        <f>SUMIF(管道站场阀室关系!A:A,B18,管道站场阀室关系!J:J)</f>
        <v>603528</v>
      </c>
      <c r="F18" s="251">
        <f t="shared" si="2"/>
        <v>0</v>
      </c>
      <c r="G18" s="255">
        <f t="shared" si="1"/>
        <v>17</v>
      </c>
      <c r="H18" s="251">
        <f>COUNTIFS(管道站场阀室关系!A:A,B18,管道站场阀室关系!P:P,H$1)</f>
        <v>0</v>
      </c>
      <c r="I18" s="251">
        <f>COUNTIFS(管道站场阀室关系!A:A,B18,管道站场阀室关系!P:P,I$1)</f>
        <v>0</v>
      </c>
      <c r="J18" s="251">
        <f>COUNTIFS(管道站场阀室关系!A:A,B18,管道站场阀室关系!P:P,J$1)</f>
        <v>0</v>
      </c>
      <c r="K18" s="251">
        <f>COUNTIFS(管道站场阀室关系!A:A,B18,管道站场阀室关系!P:P,K$1)</f>
        <v>0</v>
      </c>
      <c r="L18" s="251">
        <f>COUNTIFS(管道站场阀室关系!A:A,B18,管道站场阀室关系!P:P,L$1)</f>
        <v>17</v>
      </c>
      <c r="M18" s="251">
        <f>COUNTIFS(管道站场阀室关系!A:A,B18,管道站场阀室关系!P:P,M$1)</f>
        <v>0</v>
      </c>
      <c r="N18" s="251">
        <f>COUNTIFS(管道站场阀室关系!A:A,B18,管道站场阀室关系!P:P,N$1)</f>
        <v>0</v>
      </c>
    </row>
    <row r="19" ht="15" spans="1:14">
      <c r="A19" s="250">
        <v>18</v>
      </c>
      <c r="B19" s="122" t="s">
        <v>46</v>
      </c>
      <c r="C19" s="251" t="s">
        <v>29</v>
      </c>
      <c r="D19" s="252">
        <f>SUMIF(管道站场阀室关系!A:A,B19,管道站场阀室关系!H:H)</f>
        <v>920.2796</v>
      </c>
      <c r="E19" s="252">
        <f>SUMIF(管道站场阀室关系!A:A,B19,管道站场阀室关系!J:J)</f>
        <v>300666.282729326</v>
      </c>
      <c r="F19" s="251">
        <f t="shared" si="2"/>
        <v>21</v>
      </c>
      <c r="G19" s="251">
        <f t="shared" ref="G19:G43" si="3">SUM(L19:N19)</f>
        <v>35</v>
      </c>
      <c r="H19" s="251">
        <f>COUNTIFS(管道站场阀室关系!A:A,B19,管道站场阀室关系!P:P,H$1)</f>
        <v>1</v>
      </c>
      <c r="I19" s="251">
        <f>COUNTIFS(管道站场阀室关系!A:A,B19,管道站场阀室关系!P:P,I$1)</f>
        <v>13</v>
      </c>
      <c r="J19" s="251">
        <f>COUNTIFS(管道站场阀室关系!A:A,B19,管道站场阀室关系!P:P,J$1)</f>
        <v>2</v>
      </c>
      <c r="K19" s="251">
        <f>COUNTIFS(管道站场阀室关系!A:A,B19,管道站场阀室关系!P:P,K$1)</f>
        <v>5</v>
      </c>
      <c r="L19" s="251">
        <f>COUNTIFS(管道站场阀室关系!A:A,B19,管道站场阀室关系!P:P,L$1)</f>
        <v>34</v>
      </c>
      <c r="M19" s="251">
        <f>COUNTIFS(管道站场阀室关系!A:A,B19,管道站场阀室关系!P:P,M$1)</f>
        <v>1</v>
      </c>
      <c r="N19" s="251">
        <f>COUNTIFS(管道站场阀室关系!A:A,B19,管道站场阀室关系!P:P,N$1)</f>
        <v>0</v>
      </c>
    </row>
    <row r="20" ht="15" spans="1:14">
      <c r="A20" s="250">
        <v>19</v>
      </c>
      <c r="B20" s="122" t="s">
        <v>47</v>
      </c>
      <c r="C20" s="251" t="s">
        <v>29</v>
      </c>
      <c r="D20" s="252">
        <f>SUMIF(管道站场阀室关系!A:A,B20,管道站场阀室关系!H:H)</f>
        <v>1462.460102</v>
      </c>
      <c r="E20" s="252">
        <f>SUMIF(管道站场阀室关系!A:A,B20,管道站场阀室关系!J:J)</f>
        <v>963354.602265835</v>
      </c>
      <c r="F20" s="251">
        <f t="shared" si="2"/>
        <v>35</v>
      </c>
      <c r="G20" s="251">
        <f t="shared" si="3"/>
        <v>55</v>
      </c>
      <c r="H20" s="251">
        <f>COUNTIFS(管道站场阀室关系!A:A,B20,管道站场阀室关系!P:P,H$1)</f>
        <v>3</v>
      </c>
      <c r="I20" s="251">
        <f>COUNTIFS(管道站场阀室关系!A:A,B20,管道站场阀室关系!P:P,I$1)</f>
        <v>20</v>
      </c>
      <c r="J20" s="251">
        <f>COUNTIFS(管道站场阀室关系!A:A,B20,管道站场阀室关系!P:P,J$1)</f>
        <v>1</v>
      </c>
      <c r="K20" s="251">
        <f>COUNTIFS(管道站场阀室关系!A:A,B20,管道站场阀室关系!P:P,K$1)</f>
        <v>11</v>
      </c>
      <c r="L20" s="251">
        <f>COUNTIFS(管道站场阀室关系!A:A,B20,管道站场阀室关系!P:P,L$1)</f>
        <v>55</v>
      </c>
      <c r="M20" s="251">
        <f>COUNTIFS(管道站场阀室关系!A:A,B20,管道站场阀室关系!P:P,M$1)</f>
        <v>0</v>
      </c>
      <c r="N20" s="251">
        <f>COUNTIFS(管道站场阀室关系!A:A,B20,管道站场阀室关系!P:P,N$1)</f>
        <v>0</v>
      </c>
    </row>
    <row r="21" ht="15" spans="1:14">
      <c r="A21" s="250">
        <v>20</v>
      </c>
      <c r="B21" s="253" t="s">
        <v>48</v>
      </c>
      <c r="C21" s="251" t="s">
        <v>29</v>
      </c>
      <c r="D21" s="252">
        <f>SUMIF(管道站场阀室关系!A:A,B21,管道站场阀室关系!H:H)</f>
        <v>981.8001</v>
      </c>
      <c r="E21" s="252">
        <f>SUMIF(管道站场阀室关系!A:A,B21,管道站场阀室关系!J:J)</f>
        <v>724461</v>
      </c>
      <c r="F21" s="251">
        <f t="shared" si="2"/>
        <v>17</v>
      </c>
      <c r="G21" s="251">
        <f t="shared" si="3"/>
        <v>47</v>
      </c>
      <c r="H21" s="251">
        <f>COUNTIFS(管道站场阀室关系!A:A,B21,管道站场阀室关系!P:P,H$1)</f>
        <v>1</v>
      </c>
      <c r="I21" s="251">
        <f>COUNTIFS(管道站场阀室关系!A:A,B21,管道站场阀室关系!P:P,I$1)</f>
        <v>8</v>
      </c>
      <c r="J21" s="251">
        <f>COUNTIFS(管道站场阀室关系!A:A,B21,管道站场阀室关系!P:P,J$1)</f>
        <v>0</v>
      </c>
      <c r="K21" s="251">
        <f>COUNTIFS(管道站场阀室关系!A:A,B21,管道站场阀室关系!P:P,K$1)</f>
        <v>8</v>
      </c>
      <c r="L21" s="251">
        <f>COUNTIFS(管道站场阀室关系!A:A,B21,管道站场阀室关系!P:P,L$1)</f>
        <v>47</v>
      </c>
      <c r="M21" s="251">
        <f>COUNTIFS(管道站场阀室关系!A:A,B21,管道站场阀室关系!P:P,M$1)</f>
        <v>0</v>
      </c>
      <c r="N21" s="251">
        <f>COUNTIFS(管道站场阀室关系!A:A,B21,管道站场阀室关系!P:P,N$1)</f>
        <v>0</v>
      </c>
    </row>
    <row r="22" ht="15" spans="1:14">
      <c r="A22" s="250">
        <v>21</v>
      </c>
      <c r="B22" s="122" t="s">
        <v>49</v>
      </c>
      <c r="C22" s="251" t="s">
        <v>29</v>
      </c>
      <c r="D22" s="252">
        <f>SUMIF(管道站场阀室关系!A:A,B22,管道站场阀室关系!H:H)</f>
        <v>1494.395245</v>
      </c>
      <c r="E22" s="252">
        <f>SUMIF(管道站场阀室关系!A:A,B22,管道站场阀室关系!J:J)</f>
        <v>1382126.34819754</v>
      </c>
      <c r="F22" s="251">
        <f t="shared" si="2"/>
        <v>29</v>
      </c>
      <c r="G22" s="251">
        <f t="shared" si="3"/>
        <v>68</v>
      </c>
      <c r="H22" s="251">
        <f>COUNTIFS(管道站场阀室关系!A:A,B22,管道站场阀室关系!P:P,H$1)</f>
        <v>5</v>
      </c>
      <c r="I22" s="251">
        <f>COUNTIFS(管道站场阀室关系!A:A,B22,管道站场阀室关系!P:P,I$1)</f>
        <v>10</v>
      </c>
      <c r="J22" s="251">
        <f>COUNTIFS(管道站场阀室关系!A:A,B22,管道站场阀室关系!P:P,J$1)</f>
        <v>7</v>
      </c>
      <c r="K22" s="251">
        <f>COUNTIFS(管道站场阀室关系!A:A,B22,管道站场阀室关系!P:P,K$1)</f>
        <v>7</v>
      </c>
      <c r="L22" s="251">
        <f>COUNTIFS(管道站场阀室关系!A:A,B22,管道站场阀室关系!P:P,L$1)</f>
        <v>68</v>
      </c>
      <c r="M22" s="251">
        <f>COUNTIFS(管道站场阀室关系!A:A,B22,管道站场阀室关系!P:P,M$1)</f>
        <v>0</v>
      </c>
      <c r="N22" s="251">
        <f>COUNTIFS(管道站场阀室关系!A:A,B22,管道站场阀室关系!P:P,N$1)</f>
        <v>0</v>
      </c>
    </row>
    <row r="23" ht="15" spans="1:14">
      <c r="A23" s="250">
        <v>22</v>
      </c>
      <c r="B23" s="122" t="s">
        <v>50</v>
      </c>
      <c r="C23" s="251" t="s">
        <v>29</v>
      </c>
      <c r="D23" s="252">
        <f>SUMIF(管道站场阀室关系!A:A,B23,管道站场阀室关系!H:H)</f>
        <v>317.8601</v>
      </c>
      <c r="E23" s="252">
        <f>SUMIF(管道站场阀室关系!A:A,B23,管道站场阀室关系!J:J)</f>
        <v>217334.504154716</v>
      </c>
      <c r="F23" s="251">
        <f t="shared" si="2"/>
        <v>11</v>
      </c>
      <c r="G23" s="251">
        <f t="shared" si="3"/>
        <v>14</v>
      </c>
      <c r="H23" s="251">
        <f>COUNTIFS(管道站场阀室关系!A:A,B23,管道站场阀室关系!P:P,H$1)</f>
        <v>1</v>
      </c>
      <c r="I23" s="251">
        <f>COUNTIFS(管道站场阀室关系!A:A,B23,管道站场阀室关系!P:P,I$1)</f>
        <v>5</v>
      </c>
      <c r="J23" s="251">
        <f>COUNTIFS(管道站场阀室关系!A:A,B23,管道站场阀室关系!P:P,J$1)</f>
        <v>0</v>
      </c>
      <c r="K23" s="251">
        <f>COUNTIFS(管道站场阀室关系!A:A,B23,管道站场阀室关系!P:P,K$1)</f>
        <v>5</v>
      </c>
      <c r="L23" s="251">
        <f>COUNTIFS(管道站场阀室关系!A:A,B23,管道站场阀室关系!P:P,L$1)</f>
        <v>14</v>
      </c>
      <c r="M23" s="251">
        <f>COUNTIFS(管道站场阀室关系!A:A,B23,管道站场阀室关系!P:P,M$1)</f>
        <v>0</v>
      </c>
      <c r="N23" s="251">
        <f>COUNTIFS(管道站场阀室关系!A:A,B23,管道站场阀室关系!P:P,N$1)</f>
        <v>0</v>
      </c>
    </row>
    <row r="24" ht="15" spans="1:14">
      <c r="A24" s="250">
        <v>23</v>
      </c>
      <c r="B24" s="219" t="s">
        <v>51</v>
      </c>
      <c r="C24" s="251" t="s">
        <v>29</v>
      </c>
      <c r="D24" s="252">
        <f>SUMIF(管道站场阀室关系!A:A,B24,管道站场阀室关系!H:H)</f>
        <v>134.4634</v>
      </c>
      <c r="E24" s="252">
        <f>SUMIF(管道站场阀室关系!A:A,B24,管道站场阀室关系!J:J)</f>
        <v>92941.0157069073</v>
      </c>
      <c r="F24" s="251">
        <f t="shared" si="2"/>
        <v>5</v>
      </c>
      <c r="G24" s="251">
        <f t="shared" si="3"/>
        <v>6</v>
      </c>
      <c r="H24" s="251">
        <f>COUNTIFS(管道站场阀室关系!A:A,B24,管道站场阀室关系!P:P,H$1)</f>
        <v>0</v>
      </c>
      <c r="I24" s="251">
        <f>COUNTIFS(管道站场阀室关系!A:A,B24,管道站场阀室关系!P:P,I$1)</f>
        <v>1</v>
      </c>
      <c r="J24" s="251">
        <f>COUNTIFS(管道站场阀室关系!A:A,B24,管道站场阀室关系!P:P,J$1)</f>
        <v>3</v>
      </c>
      <c r="K24" s="251">
        <f>COUNTIFS(管道站场阀室关系!A:A,B24,管道站场阀室关系!P:P,K$1)</f>
        <v>1</v>
      </c>
      <c r="L24" s="251">
        <f>COUNTIFS(管道站场阀室关系!A:A,B24,管道站场阀室关系!P:P,L$1)</f>
        <v>6</v>
      </c>
      <c r="M24" s="251">
        <f>COUNTIFS(管道站场阀室关系!A:A,B24,管道站场阀室关系!P:P,M$1)</f>
        <v>0</v>
      </c>
      <c r="N24" s="251">
        <f>COUNTIFS(管道站场阀室关系!A:A,B24,管道站场阀室关系!P:P,N$1)</f>
        <v>0</v>
      </c>
    </row>
    <row r="25" ht="15" spans="1:14">
      <c r="A25" s="250">
        <v>24</v>
      </c>
      <c r="B25" s="122" t="s">
        <v>52</v>
      </c>
      <c r="C25" s="251" t="s">
        <v>29</v>
      </c>
      <c r="D25" s="252">
        <f>SUMIF(管道站场阀室关系!A:A,B25,管道站场阀室关系!H:H)</f>
        <v>1555.7093</v>
      </c>
      <c r="E25" s="252">
        <f>SUMIF(管道站场阀室关系!A:A,B25,管道站场阀室关系!J:J)</f>
        <v>441259.7536</v>
      </c>
      <c r="F25" s="251">
        <f t="shared" si="2"/>
        <v>19</v>
      </c>
      <c r="G25" s="251">
        <f t="shared" si="3"/>
        <v>57</v>
      </c>
      <c r="H25" s="251">
        <f>COUNTIFS(管道站场阀室关系!A:A,B25,管道站场阀室关系!P:P,H$1)</f>
        <v>4</v>
      </c>
      <c r="I25" s="251">
        <f>COUNTIFS(管道站场阀室关系!A:A,B25,管道站场阀室关系!P:P,I$1)</f>
        <v>8</v>
      </c>
      <c r="J25" s="251">
        <f>COUNTIFS(管道站场阀室关系!A:A,B25,管道站场阀室关系!P:P,J$1)</f>
        <v>4</v>
      </c>
      <c r="K25" s="251">
        <f>COUNTIFS(管道站场阀室关系!A:A,B25,管道站场阀室关系!P:P,K$1)</f>
        <v>3</v>
      </c>
      <c r="L25" s="251">
        <f>COUNTIFS(管道站场阀室关系!A:A,B25,管道站场阀室关系!P:P,L$1)</f>
        <v>14</v>
      </c>
      <c r="M25" s="251">
        <f>COUNTIFS(管道站场阀室关系!A:A,B25,管道站场阀室关系!P:P,M$1)</f>
        <v>42</v>
      </c>
      <c r="N25" s="251">
        <f>COUNTIFS(管道站场阀室关系!A:A,B25,管道站场阀室关系!P:P,N$1)</f>
        <v>1</v>
      </c>
    </row>
    <row r="26" ht="15" spans="1:14">
      <c r="A26" s="250">
        <v>25</v>
      </c>
      <c r="B26" s="253" t="s">
        <v>53</v>
      </c>
      <c r="C26" s="251" t="s">
        <v>29</v>
      </c>
      <c r="D26" s="252">
        <f>SUMIF(管道站场阀室关系!A:A,B26,管道站场阀室关系!H:H)</f>
        <v>921.415</v>
      </c>
      <c r="E26" s="252">
        <f>SUMIF(管道站场阀室关系!A:A,B26,管道站场阀室关系!J:J)</f>
        <v>301657.18</v>
      </c>
      <c r="F26" s="251">
        <f t="shared" si="2"/>
        <v>2</v>
      </c>
      <c r="G26" s="251">
        <f t="shared" si="3"/>
        <v>35</v>
      </c>
      <c r="H26" s="251">
        <f>COUNTIFS(管道站场阀室关系!A:A,B26,管道站场阀室关系!P:P,H$1)</f>
        <v>0</v>
      </c>
      <c r="I26" s="251">
        <f>COUNTIFS(管道站场阀室关系!A:A,B26,管道站场阀室关系!P:P,I$1)</f>
        <v>1</v>
      </c>
      <c r="J26" s="251">
        <f>COUNTIFS(管道站场阀室关系!A:A,B26,管道站场阀室关系!P:P,J$1)</f>
        <v>0</v>
      </c>
      <c r="K26" s="251">
        <f>COUNTIFS(管道站场阀室关系!A:A,B26,管道站场阀室关系!P:P,K$1)</f>
        <v>1</v>
      </c>
      <c r="L26" s="251">
        <f>COUNTIFS(管道站场阀室关系!A:A,B26,管道站场阀室关系!P:P,L$1)</f>
        <v>16</v>
      </c>
      <c r="M26" s="251">
        <f>COUNTIFS(管道站场阀室关系!A:A,B26,管道站场阀室关系!P:P,M$1)</f>
        <v>19</v>
      </c>
      <c r="N26" s="251">
        <f>COUNTIFS(管道站场阀室关系!A:A,B26,管道站场阀室关系!P:P,N$1)</f>
        <v>0</v>
      </c>
    </row>
    <row r="27" ht="15" spans="1:14">
      <c r="A27" s="250">
        <v>26</v>
      </c>
      <c r="B27" s="122" t="s">
        <v>54</v>
      </c>
      <c r="C27" s="251" t="s">
        <v>29</v>
      </c>
      <c r="D27" s="252">
        <f>SUMIF(管道站场阀室关系!A:A,B27,管道站场阀室关系!H:H)</f>
        <v>529.803</v>
      </c>
      <c r="E27" s="252">
        <f>SUMIF(管道站场阀室关系!A:A,B27,管道站场阀室关系!J:J)</f>
        <v>114765.512061744</v>
      </c>
      <c r="F27" s="251">
        <f t="shared" si="2"/>
        <v>7</v>
      </c>
      <c r="G27" s="251">
        <f t="shared" si="3"/>
        <v>16</v>
      </c>
      <c r="H27" s="251">
        <f>COUNTIFS(管道站场阀室关系!A:A,B27,管道站场阀室关系!P:P,H$1)</f>
        <v>2</v>
      </c>
      <c r="I27" s="251">
        <f>COUNTIFS(管道站场阀室关系!A:A,B27,管道站场阀室关系!P:P,I$1)</f>
        <v>5</v>
      </c>
      <c r="J27" s="251">
        <f>COUNTIFS(管道站场阀室关系!A:A,B27,管道站场阀室关系!P:P,J$1)</f>
        <v>0</v>
      </c>
      <c r="K27" s="251">
        <f>COUNTIFS(管道站场阀室关系!A:A,B27,管道站场阀室关系!P:P,K$1)</f>
        <v>0</v>
      </c>
      <c r="L27" s="251">
        <f>COUNTIFS(管道站场阀室关系!A:A,B27,管道站场阀室关系!P:P,L$1)</f>
        <v>2</v>
      </c>
      <c r="M27" s="251">
        <f>COUNTIFS(管道站场阀室关系!A:A,B27,管道站场阀室关系!P:P,M$1)</f>
        <v>7</v>
      </c>
      <c r="N27" s="251">
        <f>COUNTIFS(管道站场阀室关系!A:A,B27,管道站场阀室关系!P:P,N$1)</f>
        <v>7</v>
      </c>
    </row>
    <row r="28" ht="15" spans="1:14">
      <c r="A28" s="250">
        <v>27</v>
      </c>
      <c r="B28" s="122" t="s">
        <v>55</v>
      </c>
      <c r="C28" s="251" t="s">
        <v>29</v>
      </c>
      <c r="D28" s="252">
        <f>SUMIF(管道站场阀室关系!A:A,B28,管道站场阀室关系!H:H)</f>
        <v>298.9999</v>
      </c>
      <c r="E28" s="252">
        <f>SUMIF(管道站场阀室关系!A:A,B28,管道站场阀室关系!J:J)</f>
        <v>39054.2107337133</v>
      </c>
      <c r="F28" s="251">
        <f t="shared" si="2"/>
        <v>5</v>
      </c>
      <c r="G28" s="251">
        <f t="shared" si="3"/>
        <v>8</v>
      </c>
      <c r="H28" s="251">
        <f>COUNTIFS(管道站场阀室关系!A:A,B28,管道站场阀室关系!P:P,H$1)</f>
        <v>1</v>
      </c>
      <c r="I28" s="251">
        <f>COUNTIFS(管道站场阀室关系!A:A,B28,管道站场阀室关系!P:P,I$1)</f>
        <v>4</v>
      </c>
      <c r="J28" s="251">
        <f>COUNTIFS(管道站场阀室关系!A:A,B28,管道站场阀室关系!P:P,J$1)</f>
        <v>0</v>
      </c>
      <c r="K28" s="251">
        <f>COUNTIFS(管道站场阀室关系!A:A,B28,管道站场阀室关系!P:P,K$1)</f>
        <v>0</v>
      </c>
      <c r="L28" s="251">
        <f>COUNTIFS(管道站场阀室关系!A:A,B28,管道站场阀室关系!P:P,L$1)</f>
        <v>0</v>
      </c>
      <c r="M28" s="251">
        <f>COUNTIFS(管道站场阀室关系!A:A,B28,管道站场阀室关系!P:P,M$1)</f>
        <v>0</v>
      </c>
      <c r="N28" s="251">
        <f>COUNTIFS(管道站场阀室关系!A:A,B28,管道站场阀室关系!P:P,N$1)</f>
        <v>8</v>
      </c>
    </row>
    <row r="29" ht="15" spans="1:14">
      <c r="A29" s="250">
        <v>28</v>
      </c>
      <c r="B29" s="122" t="s">
        <v>56</v>
      </c>
      <c r="C29" s="251" t="s">
        <v>29</v>
      </c>
      <c r="D29" s="252">
        <f>SUMIF(管道站场阀室关系!A:A,B29,管道站场阀室关系!H:H)</f>
        <v>1352.7701</v>
      </c>
      <c r="E29" s="252">
        <f>SUMIF(管道站场阀室关系!A:A,B29,管道站场阀室关系!J:J)</f>
        <v>396646.82</v>
      </c>
      <c r="F29" s="251">
        <f t="shared" si="2"/>
        <v>27</v>
      </c>
      <c r="G29" s="251">
        <f t="shared" si="3"/>
        <v>36</v>
      </c>
      <c r="H29" s="251">
        <f>COUNTIFS(管道站场阀室关系!A:A,B29,管道站场阀室关系!P:P,H$1)</f>
        <v>1</v>
      </c>
      <c r="I29" s="251">
        <f>COUNTIFS(管道站场阀室关系!A:A,B29,管道站场阀室关系!P:P,I$1)</f>
        <v>20</v>
      </c>
      <c r="J29" s="251">
        <f>COUNTIFS(管道站场阀室关系!A:A,B29,管道站场阀室关系!P:P,J$1)</f>
        <v>6</v>
      </c>
      <c r="K29" s="251">
        <f>COUNTIFS(管道站场阀室关系!A:A,B29,管道站场阀室关系!P:P,K$1)</f>
        <v>0</v>
      </c>
      <c r="L29" s="251">
        <f>COUNTIFS(管道站场阀室关系!A:A,B29,管道站场阀室关系!P:P,L$1)</f>
        <v>5</v>
      </c>
      <c r="M29" s="251">
        <f>COUNTIFS(管道站场阀室关系!A:A,B29,管道站场阀室关系!P:P,M$1)</f>
        <v>31</v>
      </c>
      <c r="N29" s="251">
        <f>COUNTIFS(管道站场阀室关系!A:A,B29,管道站场阀室关系!P:P,N$1)</f>
        <v>0</v>
      </c>
    </row>
    <row r="30" ht="15" spans="1:14">
      <c r="A30" s="250">
        <v>29</v>
      </c>
      <c r="B30" s="122" t="s">
        <v>57</v>
      </c>
      <c r="C30" s="251" t="s">
        <v>29</v>
      </c>
      <c r="D30" s="252">
        <f>SUMIF(管道站场阀室关系!A:A,B30,管道站场阀室关系!H:H)</f>
        <v>501.647</v>
      </c>
      <c r="E30" s="252">
        <f>SUMIF(管道站场阀室关系!A:A,B30,管道站场阀室关系!J:J)</f>
        <v>341101.401590133</v>
      </c>
      <c r="F30" s="251">
        <f t="shared" si="2"/>
        <v>9</v>
      </c>
      <c r="G30" s="251">
        <f t="shared" si="3"/>
        <v>20</v>
      </c>
      <c r="H30" s="251">
        <f>COUNTIFS(管道站场阀室关系!A:A,B30,管道站场阀室关系!P:P,H$1)</f>
        <v>3</v>
      </c>
      <c r="I30" s="251">
        <f>COUNTIFS(管道站场阀室关系!A:A,B30,管道站场阀室关系!P:P,I$1)</f>
        <v>6</v>
      </c>
      <c r="J30" s="251">
        <f>COUNTIFS(管道站场阀室关系!A:A,B30,管道站场阀室关系!P:P,J$1)</f>
        <v>0</v>
      </c>
      <c r="K30" s="251">
        <f>COUNTIFS(管道站场阀室关系!A:A,B30,管道站场阀室关系!P:P,K$1)</f>
        <v>0</v>
      </c>
      <c r="L30" s="251">
        <f>COUNTIFS(管道站场阀室关系!A:A,B30,管道站场阀室关系!P:P,L$1)</f>
        <v>5</v>
      </c>
      <c r="M30" s="251">
        <f>COUNTIFS(管道站场阀室关系!A:A,B30,管道站场阀室关系!P:P,M$1)</f>
        <v>15</v>
      </c>
      <c r="N30" s="251">
        <f>COUNTIFS(管道站场阀室关系!A:A,B30,管道站场阀室关系!P:P,N$1)</f>
        <v>0</v>
      </c>
    </row>
    <row r="31" ht="15" spans="1:14">
      <c r="A31" s="250">
        <v>30</v>
      </c>
      <c r="B31" s="122" t="s">
        <v>58</v>
      </c>
      <c r="C31" s="251" t="s">
        <v>29</v>
      </c>
      <c r="D31" s="252">
        <f>SUMIF(管道站场阀室关系!A:A,B31,管道站场阀室关系!H:H)</f>
        <v>664.61</v>
      </c>
      <c r="E31" s="252">
        <f>SUMIF(管道站场阀室关系!A:A,B31,管道站场阀室关系!J:J)</f>
        <v>229081.813781203</v>
      </c>
      <c r="F31" s="251">
        <f t="shared" si="2"/>
        <v>10</v>
      </c>
      <c r="G31" s="251">
        <f t="shared" si="3"/>
        <v>34</v>
      </c>
      <c r="H31" s="251">
        <f>COUNTIFS(管道站场阀室关系!A:A,B31,管道站场阀室关系!P:P,H$1)</f>
        <v>1</v>
      </c>
      <c r="I31" s="251">
        <f>COUNTIFS(管道站场阀室关系!A:A,B31,管道站场阀室关系!P:P,I$1)</f>
        <v>7</v>
      </c>
      <c r="J31" s="251">
        <f>COUNTIFS(管道站场阀室关系!A:A,B31,管道站场阀室关系!P:P,J$1)</f>
        <v>1</v>
      </c>
      <c r="K31" s="251">
        <f>COUNTIFS(管道站场阀室关系!A:A,B31,管道站场阀室关系!P:P,K$1)</f>
        <v>1</v>
      </c>
      <c r="L31" s="251">
        <f>COUNTIFS(管道站场阀室关系!A:A,B31,管道站场阀室关系!P:P,L$1)</f>
        <v>26</v>
      </c>
      <c r="M31" s="251">
        <f>COUNTIFS(管道站场阀室关系!A:A,B31,管道站场阀室关系!P:P,M$1)</f>
        <v>8</v>
      </c>
      <c r="N31" s="251">
        <f>COUNTIFS(管道站场阀室关系!A:A,B31,管道站场阀室关系!P:P,N$1)</f>
        <v>0</v>
      </c>
    </row>
    <row r="32" ht="15" spans="1:14">
      <c r="A32" s="250">
        <v>31</v>
      </c>
      <c r="B32" s="122" t="s">
        <v>59</v>
      </c>
      <c r="C32" s="251" t="s">
        <v>29</v>
      </c>
      <c r="D32" s="252">
        <f>SUMIF(管道站场阀室关系!A:A,B32,管道站场阀室关系!H:H)</f>
        <v>830.770000000001</v>
      </c>
      <c r="E32" s="252">
        <f>SUMIF(管道站场阀室关系!A:A,B32,管道站场阀室关系!J:J)</f>
        <v>343092.15775213</v>
      </c>
      <c r="F32" s="251">
        <f t="shared" si="2"/>
        <v>14</v>
      </c>
      <c r="G32" s="251">
        <f t="shared" si="3"/>
        <v>29</v>
      </c>
      <c r="H32" s="251">
        <f>COUNTIFS(管道站场阀室关系!A:A,B32,管道站场阀室关系!P:P,H$1)</f>
        <v>0</v>
      </c>
      <c r="I32" s="251">
        <f>COUNTIFS(管道站场阀室关系!A:A,B32,管道站场阀室关系!P:P,I$1)</f>
        <v>14</v>
      </c>
      <c r="J32" s="251">
        <f>COUNTIFS(管道站场阀室关系!A:A,B32,管道站场阀室关系!P:P,J$1)</f>
        <v>0</v>
      </c>
      <c r="K32" s="251">
        <f>COUNTIFS(管道站场阀室关系!A:A,B32,管道站场阀室关系!P:P,K$1)</f>
        <v>0</v>
      </c>
      <c r="L32" s="251">
        <f>COUNTIFS(管道站场阀室关系!A:A,B32,管道站场阀室关系!P:P,L$1)</f>
        <v>6</v>
      </c>
      <c r="M32" s="251">
        <f>COUNTIFS(管道站场阀室关系!A:A,B32,管道站场阀室关系!P:P,M$1)</f>
        <v>23</v>
      </c>
      <c r="N32" s="251">
        <f>COUNTIFS(管道站场阀室关系!A:A,B32,管道站场阀室关系!P:P,N$1)</f>
        <v>0</v>
      </c>
    </row>
    <row r="33" ht="15" spans="1:14">
      <c r="A33" s="250">
        <v>32</v>
      </c>
      <c r="B33" s="219" t="s">
        <v>60</v>
      </c>
      <c r="C33" s="251" t="s">
        <v>29</v>
      </c>
      <c r="D33" s="252">
        <f>SUMIF(管道站场阀室关系!A:A,B33,管道站场阀室关系!H:H)</f>
        <v>228</v>
      </c>
      <c r="E33" s="252">
        <f>SUMIF(管道站场阀室关系!A:A,B33,管道站场阀室关系!J:J)</f>
        <v>72964</v>
      </c>
      <c r="F33" s="251">
        <f t="shared" si="2"/>
        <v>3</v>
      </c>
      <c r="G33" s="251">
        <f t="shared" si="3"/>
        <v>10</v>
      </c>
      <c r="H33" s="251">
        <f>COUNTIFS(管道站场阀室关系!A:A,B33,管道站场阀室关系!P:P,H$1)</f>
        <v>0</v>
      </c>
      <c r="I33" s="251">
        <f>COUNTIFS(管道站场阀室关系!A:A,B33,管道站场阀室关系!P:P,I$1)</f>
        <v>3</v>
      </c>
      <c r="J33" s="251">
        <f>COUNTIFS(管道站场阀室关系!A:A,B33,管道站场阀室关系!P:P,J$1)</f>
        <v>0</v>
      </c>
      <c r="K33" s="251">
        <f>COUNTIFS(管道站场阀室关系!A:A,B33,管道站场阀室关系!P:P,K$1)</f>
        <v>0</v>
      </c>
      <c r="L33" s="251">
        <f>COUNTIFS(管道站场阀室关系!A:A,B33,管道站场阀室关系!P:P,L$1)</f>
        <v>0</v>
      </c>
      <c r="M33" s="251">
        <f>COUNTIFS(管道站场阀室关系!A:A,B33,管道站场阀室关系!P:P,M$1)</f>
        <v>10</v>
      </c>
      <c r="N33" s="251">
        <f>COUNTIFS(管道站场阀室关系!A:A,B33,管道站场阀室关系!P:P,N$1)</f>
        <v>0</v>
      </c>
    </row>
    <row r="34" ht="15" spans="1:14">
      <c r="A34" s="250">
        <v>33</v>
      </c>
      <c r="B34" s="219" t="s">
        <v>61</v>
      </c>
      <c r="C34" s="251" t="s">
        <v>29</v>
      </c>
      <c r="D34" s="252">
        <f>SUMIF(管道站场阀室关系!A:A,B34,管道站场阀室关系!H:H)</f>
        <v>3667.4091</v>
      </c>
      <c r="E34" s="252">
        <f>SUMIF(管道站场阀室关系!A:A,B34,管道站场阀室关系!J:J)</f>
        <v>4194361.13706</v>
      </c>
      <c r="F34" s="251">
        <f t="shared" si="2"/>
        <v>37</v>
      </c>
      <c r="G34" s="251">
        <f t="shared" si="3"/>
        <v>159</v>
      </c>
      <c r="H34" s="251">
        <f>COUNTIFS(管道站场阀室关系!A:A,B34,管道站场阀室关系!P:P,H$1)</f>
        <v>7</v>
      </c>
      <c r="I34" s="251">
        <f>COUNTIFS(管道站场阀室关系!A:A,B34,管道站场阀室关系!P:P,I$1)</f>
        <v>10</v>
      </c>
      <c r="J34" s="251">
        <f>COUNTIFS(管道站场阀室关系!A:A,B34,管道站场阀室关系!P:P,J$1)</f>
        <v>20</v>
      </c>
      <c r="K34" s="251">
        <f>COUNTIFS(管道站场阀室关系!A:A,B34,管道站场阀室关系!P:P,K$1)</f>
        <v>0</v>
      </c>
      <c r="L34" s="251">
        <f>COUNTIFS(管道站场阀室关系!A:A,B34,管道站场阀室关系!P:P,L$1)</f>
        <v>154</v>
      </c>
      <c r="M34" s="251">
        <f>COUNTIFS(管道站场阀室关系!A:A,B34,管道站场阀室关系!P:P,M$1)</f>
        <v>4</v>
      </c>
      <c r="N34" s="251">
        <f>COUNTIFS(管道站场阀室关系!A:A,B34,管道站场阀室关系!P:P,N$1)</f>
        <v>1</v>
      </c>
    </row>
    <row r="35" ht="15" spans="1:14">
      <c r="A35" s="250">
        <v>34</v>
      </c>
      <c r="B35" s="122" t="s">
        <v>62</v>
      </c>
      <c r="C35" s="251" t="s">
        <v>29</v>
      </c>
      <c r="D35" s="252">
        <f>SUMIF(管道站场阀室关系!A:A,B35,管道站场阀室关系!H:H)</f>
        <v>905.128</v>
      </c>
      <c r="E35" s="252">
        <f>SUMIF(管道站场阀室关系!A:A,B35,管道站场阀室关系!J:J)</f>
        <v>480597.68</v>
      </c>
      <c r="F35" s="251">
        <f t="shared" si="2"/>
        <v>19</v>
      </c>
      <c r="G35" s="251">
        <f t="shared" si="3"/>
        <v>37</v>
      </c>
      <c r="H35" s="251">
        <f>COUNTIFS(管道站场阀室关系!A:A,B35,管道站场阀室关系!P:P,H$1)</f>
        <v>0</v>
      </c>
      <c r="I35" s="251">
        <f>COUNTIFS(管道站场阀室关系!A:A,B35,管道站场阀室关系!P:P,I$1)</f>
        <v>13</v>
      </c>
      <c r="J35" s="251">
        <f>COUNTIFS(管道站场阀室关系!A:A,B35,管道站场阀室关系!P:P,J$1)</f>
        <v>1</v>
      </c>
      <c r="K35" s="251">
        <f>COUNTIFS(管道站场阀室关系!A:A,B35,管道站场阀室关系!P:P,K$1)</f>
        <v>5</v>
      </c>
      <c r="L35" s="251">
        <f>COUNTIFS(管道站场阀室关系!A:A,B35,管道站场阀室关系!P:P,L$1)</f>
        <v>6</v>
      </c>
      <c r="M35" s="251">
        <f>COUNTIFS(管道站场阀室关系!A:A,B35,管道站场阀室关系!P:P,M$1)</f>
        <v>31</v>
      </c>
      <c r="N35" s="251">
        <f>COUNTIFS(管道站场阀室关系!A:A,B35,管道站场阀室关系!P:P,N$1)</f>
        <v>0</v>
      </c>
    </row>
    <row r="36" ht="15" spans="1:14">
      <c r="A36" s="250">
        <v>35</v>
      </c>
      <c r="B36" s="49" t="s">
        <v>63</v>
      </c>
      <c r="C36" s="251" t="s">
        <v>29</v>
      </c>
      <c r="D36" s="252">
        <f>SUMIF(管道站场阀室关系!A:A,B36,管道站场阀室关系!H:H)</f>
        <v>1939.053</v>
      </c>
      <c r="E36" s="252">
        <f>SUMIF(管道站场阀室关系!A:A,B36,管道站场阀室关系!J:J)</f>
        <v>1261454.69015864</v>
      </c>
      <c r="F36" s="251">
        <f t="shared" si="2"/>
        <v>20</v>
      </c>
      <c r="G36" s="251">
        <f t="shared" si="3"/>
        <v>83</v>
      </c>
      <c r="H36" s="251">
        <f>COUNTIFS(管道站场阀室关系!A:A,B36,管道站场阀室关系!P:P,H$1)</f>
        <v>6</v>
      </c>
      <c r="I36" s="251">
        <f>COUNTIFS(管道站场阀室关系!A:A,B36,管道站场阀室关系!P:P,I$1)</f>
        <v>9</v>
      </c>
      <c r="J36" s="251">
        <f>COUNTIFS(管道站场阀室关系!A:A,B36,管道站场阀室关系!P:P,J$1)</f>
        <v>4</v>
      </c>
      <c r="K36" s="251">
        <f>COUNTIFS(管道站场阀室关系!A:A,B36,管道站场阀室关系!P:P,K$1)</f>
        <v>1</v>
      </c>
      <c r="L36" s="251">
        <f>COUNTIFS(管道站场阀室关系!A:A,B36,管道站场阀室关系!P:P,L$1)</f>
        <v>40</v>
      </c>
      <c r="M36" s="251">
        <f>COUNTIFS(管道站场阀室关系!A:A,B36,管道站场阀室关系!P:P,M$1)</f>
        <v>43</v>
      </c>
      <c r="N36" s="251">
        <f>COUNTIFS(管道站场阀室关系!A:A,B36,管道站场阀室关系!P:P,N$1)</f>
        <v>0</v>
      </c>
    </row>
    <row r="37" ht="15" spans="1:14">
      <c r="A37" s="250">
        <v>36</v>
      </c>
      <c r="B37" s="122" t="s">
        <v>64</v>
      </c>
      <c r="C37" s="251" t="s">
        <v>29</v>
      </c>
      <c r="D37" s="252">
        <f>SUMIF(管道站场阀室关系!A:A,B37,管道站场阀室关系!H:H)</f>
        <v>2760.47</v>
      </c>
      <c r="E37" s="252">
        <f>SUMIF(管道站场阀室关系!A:A,B37,管道站场阀室关系!J:J)</f>
        <v>1496958.48</v>
      </c>
      <c r="F37" s="251">
        <f t="shared" si="2"/>
        <v>43</v>
      </c>
      <c r="G37" s="251">
        <f t="shared" si="3"/>
        <v>92</v>
      </c>
      <c r="H37" s="251">
        <f>COUNTIFS(管道站场阀室关系!A:A,B37,管道站场阀室关系!P:P,H$1)</f>
        <v>4</v>
      </c>
      <c r="I37" s="251">
        <f>COUNTIFS(管道站场阀室关系!A:A,B37,管道站场阀室关系!P:P,I$1)</f>
        <v>31</v>
      </c>
      <c r="J37" s="251">
        <f>COUNTIFS(管道站场阀室关系!A:A,B37,管道站场阀室关系!P:P,J$1)</f>
        <v>6</v>
      </c>
      <c r="K37" s="251">
        <f>COUNTIFS(管道站场阀室关系!A:A,B37,管道站场阀室关系!P:P,K$1)</f>
        <v>2</v>
      </c>
      <c r="L37" s="251">
        <f>COUNTIFS(管道站场阀室关系!A:A,B37,管道站场阀室关系!P:P,L$1)</f>
        <v>54</v>
      </c>
      <c r="M37" s="251">
        <f>COUNTIFS(管道站场阀室关系!A:A,B37,管道站场阀室关系!P:P,M$1)</f>
        <v>38</v>
      </c>
      <c r="N37" s="251">
        <f>COUNTIFS(管道站场阀室关系!A:A,B37,管道站场阀室关系!P:P,N$1)</f>
        <v>0</v>
      </c>
    </row>
    <row r="38" ht="15" spans="1:14">
      <c r="A38" s="250">
        <v>37</v>
      </c>
      <c r="B38" s="122" t="s">
        <v>65</v>
      </c>
      <c r="C38" s="251" t="s">
        <v>29</v>
      </c>
      <c r="D38" s="252">
        <f>SUMIF(管道站场阀室关系!A:A,B38,管道站场阀室关系!H:H)</f>
        <v>536.917</v>
      </c>
      <c r="E38" s="252">
        <f>SUMIF(管道站场阀室关系!A:A,B38,管道站场阀室关系!J:J)</f>
        <v>406621</v>
      </c>
      <c r="F38" s="251">
        <f t="shared" si="2"/>
        <v>13</v>
      </c>
      <c r="G38" s="251">
        <f t="shared" ref="G38" si="4">SUM(L38:N38)</f>
        <v>21</v>
      </c>
      <c r="H38" s="251">
        <f>COUNTIFS(管道站场阀室关系!A:A,B38,管道站场阀室关系!P:P,H$1)</f>
        <v>0</v>
      </c>
      <c r="I38" s="251">
        <f>COUNTIFS(管道站场阀室关系!A:A,B38,管道站场阀室关系!P:P,I$1)</f>
        <v>4</v>
      </c>
      <c r="J38" s="251">
        <f>COUNTIFS(管道站场阀室关系!A:A,B38,管道站场阀室关系!P:P,J$1)</f>
        <v>9</v>
      </c>
      <c r="K38" s="251">
        <f>COUNTIFS(管道站场阀室关系!A:A,B38,管道站场阀室关系!P:P,K$1)</f>
        <v>0</v>
      </c>
      <c r="L38" s="251">
        <f>COUNTIFS(管道站场阀室关系!A:A,B38,管道站场阀室关系!P:P,L$1)</f>
        <v>21</v>
      </c>
      <c r="M38" s="251">
        <f>COUNTIFS(管道站场阀室关系!A:A,B38,管道站场阀室关系!P:P,M$1)</f>
        <v>0</v>
      </c>
      <c r="N38" s="251">
        <f>COUNTIFS(管道站场阀室关系!A:A,B38,管道站场阀室关系!P:P,N$1)</f>
        <v>0</v>
      </c>
    </row>
    <row r="39" ht="15" spans="1:14">
      <c r="A39" s="250">
        <v>38</v>
      </c>
      <c r="B39" s="122" t="s">
        <v>66</v>
      </c>
      <c r="C39" s="251" t="s">
        <v>29</v>
      </c>
      <c r="D39" s="252">
        <f>SUMIF(管道站场阀室关系!A:A,B39,管道站场阀室关系!H:H)</f>
        <v>700</v>
      </c>
      <c r="E39" s="252">
        <f>SUMIF(管道站场阀室关系!A:A,B39,管道站场阀室关系!J:J)</f>
        <v>546186.405315485</v>
      </c>
      <c r="F39" s="251">
        <f t="shared" si="2"/>
        <v>9</v>
      </c>
      <c r="G39" s="251">
        <f t="shared" ref="G39" si="5">SUM(L39:N39)</f>
        <v>29</v>
      </c>
      <c r="H39" s="251">
        <f>COUNTIFS(管道站场阀室关系!A:A,B39,管道站场阀室关系!P:P,H$1)</f>
        <v>0</v>
      </c>
      <c r="I39" s="251">
        <f>COUNTIFS(管道站场阀室关系!A:A,B39,管道站场阀室关系!P:P,I$1)</f>
        <v>5</v>
      </c>
      <c r="J39" s="251">
        <f>COUNTIFS(管道站场阀室关系!A:A,B39,管道站场阀室关系!P:P,J$1)</f>
        <v>4</v>
      </c>
      <c r="K39" s="251">
        <f>COUNTIFS(管道站场阀室关系!A:A,B39,管道站场阀室关系!P:P,K$1)</f>
        <v>0</v>
      </c>
      <c r="L39" s="251">
        <f>COUNTIFS(管道站场阀室关系!A:A,B39,管道站场阀室关系!P:P,L$1)</f>
        <v>28</v>
      </c>
      <c r="M39" s="251">
        <f>COUNTIFS(管道站场阀室关系!A:A,B39,管道站场阀室关系!P:P,M$1)</f>
        <v>1</v>
      </c>
      <c r="N39" s="251">
        <f>COUNTIFS(管道站场阀室关系!A:A,B39,管道站场阀室关系!P:P,N$1)</f>
        <v>0</v>
      </c>
    </row>
    <row r="40" ht="15" spans="1:14">
      <c r="A40" s="250">
        <v>39</v>
      </c>
      <c r="B40" s="122" t="s">
        <v>67</v>
      </c>
      <c r="C40" s="251" t="s">
        <v>29</v>
      </c>
      <c r="D40" s="252">
        <f>SUMIF(管道站场阀室关系!A:A,B40,管道站场阀室关系!H:H)</f>
        <v>2371.2024</v>
      </c>
      <c r="E40" s="252">
        <f>SUMIF(管道站场阀室关系!A:A,B40,管道站场阀室关系!J:J)</f>
        <v>1446049.27356814</v>
      </c>
      <c r="F40" s="251">
        <f t="shared" si="2"/>
        <v>47</v>
      </c>
      <c r="G40" s="251">
        <f t="shared" si="3"/>
        <v>112</v>
      </c>
      <c r="H40" s="251">
        <f>COUNTIFS(管道站场阀室关系!A:A,B40,管道站场阀室关系!P:P,H$1)</f>
        <v>8</v>
      </c>
      <c r="I40" s="251">
        <f>COUNTIFS(管道站场阀室关系!A:A,B40,管道站场阀室关系!P:P,I$1)</f>
        <v>29</v>
      </c>
      <c r="J40" s="251">
        <f>COUNTIFS(管道站场阀室关系!A:A,B40,管道站场阀室关系!P:P,J$1)</f>
        <v>10</v>
      </c>
      <c r="K40" s="251">
        <f>COUNTIFS(管道站场阀室关系!A:A,B40,管道站场阀室关系!P:P,K$1)</f>
        <v>0</v>
      </c>
      <c r="L40" s="251">
        <f>COUNTIFS(管道站场阀室关系!A:A,B40,管道站场阀室关系!P:P,L$1)</f>
        <v>101</v>
      </c>
      <c r="M40" s="251">
        <f>COUNTIFS(管道站场阀室关系!A:A,B40,管道站场阀室关系!P:P,M$1)</f>
        <v>1</v>
      </c>
      <c r="N40" s="251">
        <f>COUNTIFS(管道站场阀室关系!A:A,B40,管道站场阀室关系!P:P,N$1)</f>
        <v>10</v>
      </c>
    </row>
    <row r="41" s="245" customFormat="1" ht="15" spans="1:16">
      <c r="A41" s="250">
        <v>40</v>
      </c>
      <c r="B41" s="49" t="s">
        <v>68</v>
      </c>
      <c r="C41" s="257" t="s">
        <v>29</v>
      </c>
      <c r="D41" s="258">
        <f>SUMIF(管道站场阀室关系!A:A,B41,管道站场阀室关系!H:H)</f>
        <v>57.55</v>
      </c>
      <c r="E41" s="258">
        <f>SUMIF(管道站场阀室关系!A:A,B41,管道站场阀室关系!J:J)</f>
        <v>63472</v>
      </c>
      <c r="F41" s="257">
        <f t="shared" si="2"/>
        <v>1</v>
      </c>
      <c r="G41" s="257">
        <f t="shared" si="3"/>
        <v>3</v>
      </c>
      <c r="H41" s="257">
        <f>COUNTIFS(管道站场阀室关系!A:A,B41,管道站场阀室关系!P:P,H$1)</f>
        <v>1</v>
      </c>
      <c r="I41" s="257">
        <f>COUNTIFS(管道站场阀室关系!A:A,B41,管道站场阀室关系!P:P,I$1)</f>
        <v>0</v>
      </c>
      <c r="J41" s="257">
        <f>COUNTIFS(管道站场阀室关系!A:A,B41,管道站场阀室关系!P:P,J$1)</f>
        <v>0</v>
      </c>
      <c r="K41" s="257">
        <f>COUNTIFS(管道站场阀室关系!A:A,B41,管道站场阀室关系!P:P,K$1)</f>
        <v>0</v>
      </c>
      <c r="L41" s="257">
        <f>COUNTIFS(管道站场阀室关系!A:A,B41,管道站场阀室关系!P:P,L$1)</f>
        <v>3</v>
      </c>
      <c r="M41" s="257">
        <f>COUNTIFS(管道站场阀室关系!A:A,B41,管道站场阀室关系!P:P,M$1)</f>
        <v>0</v>
      </c>
      <c r="N41" s="257">
        <f>COUNTIFS(管道站场阀室关系!A:A,B41,管道站场阀室关系!P:P,N$1)</f>
        <v>0</v>
      </c>
      <c r="P41" s="210"/>
    </row>
    <row r="42" ht="15" spans="1:14">
      <c r="A42" s="250">
        <v>41</v>
      </c>
      <c r="B42" s="122" t="s">
        <v>69</v>
      </c>
      <c r="C42" s="251" t="s">
        <v>29</v>
      </c>
      <c r="D42" s="252">
        <f>SUMIF(管道站场阀室关系!A:A,B42,管道站场阀室关系!H:H)</f>
        <v>200.6999</v>
      </c>
      <c r="E42" s="252">
        <f>SUMIF(管道站场阀室关系!A:A,B42,管道站场阀室关系!J:J)</f>
        <v>151697</v>
      </c>
      <c r="F42" s="251">
        <f t="shared" ref="F42:F66" si="6">SUM(H42:K42)</f>
        <v>2</v>
      </c>
      <c r="G42" s="251">
        <f t="shared" ref="G42:G66" si="7">SUM(L42:N42)</f>
        <v>8</v>
      </c>
      <c r="H42" s="251">
        <f>COUNTIFS(管道站场阀室关系!A:A,B42,管道站场阀室关系!P:P,H$1)</f>
        <v>1</v>
      </c>
      <c r="I42" s="251">
        <f>COUNTIFS(管道站场阀室关系!A:A,B42,管道站场阀室关系!P:P,I$1)</f>
        <v>1</v>
      </c>
      <c r="J42" s="251">
        <f>COUNTIFS(管道站场阀室关系!A:A,B42,管道站场阀室关系!P:P,J$1)</f>
        <v>0</v>
      </c>
      <c r="K42" s="251">
        <f>COUNTIFS(管道站场阀室关系!A:A,B42,管道站场阀室关系!P:P,K$1)</f>
        <v>0</v>
      </c>
      <c r="L42" s="251">
        <f>COUNTIFS(管道站场阀室关系!A:A,B42,管道站场阀室关系!P:P,L$1)</f>
        <v>8</v>
      </c>
      <c r="M42" s="251">
        <f>COUNTIFS(管道站场阀室关系!A:A,B42,管道站场阀室关系!P:P,M$1)</f>
        <v>0</v>
      </c>
      <c r="N42" s="251">
        <f>COUNTIFS(管道站场阀室关系!A:A,B42,管道站场阀室关系!P:P,N$1)</f>
        <v>0</v>
      </c>
    </row>
    <row r="43" ht="15" spans="1:14">
      <c r="A43" s="250">
        <v>42</v>
      </c>
      <c r="B43" s="122" t="s">
        <v>70</v>
      </c>
      <c r="C43" s="251" t="s">
        <v>29</v>
      </c>
      <c r="D43" s="252">
        <f>SUMIF(管道站场阀室关系!A:A,B43,管道站场阀室关系!H:H)</f>
        <v>964.9</v>
      </c>
      <c r="E43" s="252">
        <f>SUMIF(管道站场阀室关系!A:A,B43,管道站场阀室关系!J:J)</f>
        <v>313780.979483214</v>
      </c>
      <c r="F43" s="251">
        <f t="shared" si="6"/>
        <v>11</v>
      </c>
      <c r="G43" s="251">
        <f t="shared" si="7"/>
        <v>40</v>
      </c>
      <c r="H43" s="251">
        <f>COUNTIFS(管道站场阀室关系!A:A,B43,管道站场阀室关系!P:P,H$1)</f>
        <v>2</v>
      </c>
      <c r="I43" s="251">
        <f>COUNTIFS(管道站场阀室关系!A:A,B43,管道站场阀室关系!P:P,I$1)</f>
        <v>8</v>
      </c>
      <c r="J43" s="251">
        <f>COUNTIFS(管道站场阀室关系!A:A,B43,管道站场阀室关系!P:P,J$1)</f>
        <v>1</v>
      </c>
      <c r="K43" s="251">
        <f>COUNTIFS(管道站场阀室关系!A:A,B43,管道站场阀室关系!P:P,K$1)</f>
        <v>0</v>
      </c>
      <c r="L43" s="251">
        <f>COUNTIFS(管道站场阀室关系!A:A,B43,管道站场阀室关系!P:P,L$1)</f>
        <v>23</v>
      </c>
      <c r="M43" s="251">
        <f>COUNTIFS(管道站场阀室关系!A:A,B43,管道站场阀室关系!P:P,M$1)</f>
        <v>16</v>
      </c>
      <c r="N43" s="251">
        <f>COUNTIFS(管道站场阀室关系!A:A,B43,管道站场阀室关系!P:P,N$1)</f>
        <v>1</v>
      </c>
    </row>
    <row r="44" ht="15" spans="1:14">
      <c r="A44" s="250">
        <v>43</v>
      </c>
      <c r="B44" s="122" t="s">
        <v>71</v>
      </c>
      <c r="C44" s="251" t="s">
        <v>29</v>
      </c>
      <c r="D44" s="252">
        <f>SUMIF(管道站场阀室关系!A:A,B44,管道站场阀室关系!H:H)</f>
        <v>286.7928</v>
      </c>
      <c r="E44" s="252">
        <f>SUMIF(管道站场阀室关系!A:A,B44,管道站场阀室关系!J:J)</f>
        <v>82212.6112847373</v>
      </c>
      <c r="F44" s="251">
        <f t="shared" si="6"/>
        <v>4</v>
      </c>
      <c r="G44" s="251">
        <f t="shared" si="7"/>
        <v>11</v>
      </c>
      <c r="H44" s="251">
        <f>COUNTIFS(管道站场阀室关系!A:A,B44,管道站场阀室关系!P:P,H$1)</f>
        <v>0</v>
      </c>
      <c r="I44" s="251">
        <f>COUNTIFS(管道站场阀室关系!A:A,B44,管道站场阀室关系!P:P,I$1)</f>
        <v>4</v>
      </c>
      <c r="J44" s="251">
        <f>COUNTIFS(管道站场阀室关系!A:A,B44,管道站场阀室关系!P:P,J$1)</f>
        <v>0</v>
      </c>
      <c r="K44" s="251">
        <f>COUNTIFS(管道站场阀室关系!A:A,B44,管道站场阀室关系!P:P,K$1)</f>
        <v>0</v>
      </c>
      <c r="L44" s="251">
        <f>COUNTIFS(管道站场阀室关系!A:A,B44,管道站场阀室关系!P:P,L$1)</f>
        <v>4</v>
      </c>
      <c r="M44" s="251">
        <f>COUNTIFS(管道站场阀室关系!A:A,B44,管道站场阀室关系!P:P,M$1)</f>
        <v>0</v>
      </c>
      <c r="N44" s="251">
        <f>COUNTIFS(管道站场阀室关系!A:A,B44,管道站场阀室关系!P:P,N$1)</f>
        <v>7</v>
      </c>
    </row>
    <row r="45" ht="15" spans="1:14">
      <c r="A45" s="250">
        <v>44</v>
      </c>
      <c r="B45" s="122" t="s">
        <v>72</v>
      </c>
      <c r="C45" s="251" t="s">
        <v>29</v>
      </c>
      <c r="D45" s="252">
        <f>SUMIF(管道站场阀室关系!A:A,B45,管道站场阀室关系!H:H)</f>
        <v>358.341</v>
      </c>
      <c r="E45" s="252">
        <f>SUMIF(管道站场阀室关系!A:A,B45,管道站场阀室关系!J:J)</f>
        <v>176804.48256</v>
      </c>
      <c r="F45" s="251">
        <f t="shared" si="6"/>
        <v>11</v>
      </c>
      <c r="G45" s="251">
        <f t="shared" si="7"/>
        <v>12</v>
      </c>
      <c r="H45" s="251">
        <f>COUNTIFS(管道站场阀室关系!A:A,B45,管道站场阀室关系!P:P,H$1)</f>
        <v>0</v>
      </c>
      <c r="I45" s="251">
        <f>COUNTIFS(管道站场阀室关系!A:A,B45,管道站场阀室关系!P:P,I$1)</f>
        <v>11</v>
      </c>
      <c r="J45" s="251">
        <f>COUNTIFS(管道站场阀室关系!A:A,B45,管道站场阀室关系!P:P,J$1)</f>
        <v>0</v>
      </c>
      <c r="K45" s="251">
        <f>COUNTIFS(管道站场阀室关系!A:A,B45,管道站场阀室关系!P:P,K$1)</f>
        <v>0</v>
      </c>
      <c r="L45" s="251">
        <f>COUNTIFS(管道站场阀室关系!A:A,B45,管道站场阀室关系!P:P,L$1)</f>
        <v>2</v>
      </c>
      <c r="M45" s="251">
        <f>COUNTIFS(管道站场阀室关系!A:A,B45,管道站场阀室关系!P:P,M$1)</f>
        <v>0</v>
      </c>
      <c r="N45" s="251">
        <f>COUNTIFS(管道站场阀室关系!A:A,B45,管道站场阀室关系!P:P,N$1)</f>
        <v>10</v>
      </c>
    </row>
    <row r="46" ht="15" spans="1:14">
      <c r="A46" s="250">
        <v>45</v>
      </c>
      <c r="B46" s="122" t="s">
        <v>73</v>
      </c>
      <c r="C46" s="251" t="s">
        <v>29</v>
      </c>
      <c r="D46" s="252">
        <f>SUMIF(管道站场阀室关系!A:A,B46,管道站场阀室关系!H:H)</f>
        <v>187.135</v>
      </c>
      <c r="E46" s="252">
        <f>SUMIF(管道站场阀室关系!A:A,B46,管道站场阀室关系!J:J)</f>
        <v>123206.12664</v>
      </c>
      <c r="F46" s="251">
        <f t="shared" si="6"/>
        <v>2</v>
      </c>
      <c r="G46" s="251">
        <f t="shared" si="7"/>
        <v>9</v>
      </c>
      <c r="H46" s="251">
        <f>COUNTIFS(管道站场阀室关系!A:A,B46,管道站场阀室关系!P:P,H$1)</f>
        <v>0</v>
      </c>
      <c r="I46" s="251">
        <f>COUNTIFS(管道站场阀室关系!A:A,B46,管道站场阀室关系!P:P,I$1)</f>
        <v>1</v>
      </c>
      <c r="J46" s="251">
        <f>COUNTIFS(管道站场阀室关系!A:A,B46,管道站场阀室关系!P:P,J$1)</f>
        <v>1</v>
      </c>
      <c r="K46" s="251">
        <f>COUNTIFS(管道站场阀室关系!A:A,B46,管道站场阀室关系!P:P,K$1)</f>
        <v>0</v>
      </c>
      <c r="L46" s="251">
        <f>COUNTIFS(管道站场阀室关系!A:A,B46,管道站场阀室关系!P:P,L$1)</f>
        <v>3</v>
      </c>
      <c r="M46" s="251">
        <f>COUNTIFS(管道站场阀室关系!A:A,B46,管道站场阀室关系!P:P,M$1)</f>
        <v>0</v>
      </c>
      <c r="N46" s="251">
        <f>COUNTIFS(管道站场阀室关系!A:A,B46,管道站场阀室关系!P:P,N$1)</f>
        <v>6</v>
      </c>
    </row>
    <row r="47" ht="15" spans="1:14">
      <c r="A47" s="250">
        <v>46</v>
      </c>
      <c r="B47" s="122" t="s">
        <v>74</v>
      </c>
      <c r="C47" s="251" t="s">
        <v>29</v>
      </c>
      <c r="D47" s="252">
        <f>SUMIF(管道站场阀室关系!A:A,B47,管道站场阀室关系!H:H)</f>
        <v>576.62604</v>
      </c>
      <c r="E47" s="252">
        <f>SUMIF(管道站场阀室关系!A:A,B47,管道站场阀室关系!J:J)</f>
        <v>312399.604861099</v>
      </c>
      <c r="F47" s="251">
        <f t="shared" si="6"/>
        <v>8</v>
      </c>
      <c r="G47" s="251">
        <f t="shared" si="7"/>
        <v>32</v>
      </c>
      <c r="H47" s="251">
        <f>COUNTIFS(管道站场阀室关系!A:A,B47,管道站场阀室关系!P:P,H$1)</f>
        <v>0</v>
      </c>
      <c r="I47" s="251">
        <f>COUNTIFS(管道站场阀室关系!A:A,B47,管道站场阀室关系!P:P,I$1)</f>
        <v>7</v>
      </c>
      <c r="J47" s="251">
        <f>COUNTIFS(管道站场阀室关系!A:A,B47,管道站场阀室关系!P:P,J$1)</f>
        <v>1</v>
      </c>
      <c r="K47" s="251">
        <f>COUNTIFS(管道站场阀室关系!A:A,B47,管道站场阀室关系!P:P,K$1)</f>
        <v>0</v>
      </c>
      <c r="L47" s="251">
        <f>COUNTIFS(管道站场阀室关系!A:A,B47,管道站场阀室关系!P:P,L$1)</f>
        <v>16</v>
      </c>
      <c r="M47" s="251">
        <f>COUNTIFS(管道站场阀室关系!A:A,B47,管道站场阀室关系!P:P,M$1)</f>
        <v>0</v>
      </c>
      <c r="N47" s="251">
        <f>COUNTIFS(管道站场阀室关系!A:A,B47,管道站场阀室关系!P:P,N$1)</f>
        <v>16</v>
      </c>
    </row>
    <row r="48" s="245" customFormat="1" ht="15" spans="1:16">
      <c r="A48" s="250">
        <v>47</v>
      </c>
      <c r="B48" s="122" t="s">
        <v>75</v>
      </c>
      <c r="C48" s="257" t="s">
        <v>29</v>
      </c>
      <c r="D48" s="258">
        <f>SUMIF(管道站场阀室关系!A:A,B48,管道站场阀室关系!H:H)</f>
        <v>76.129</v>
      </c>
      <c r="E48" s="258">
        <f>SUMIF(管道站场阀室关系!A:A,B48,管道站场阀室关系!J:J)</f>
        <v>64155</v>
      </c>
      <c r="F48" s="257">
        <f t="shared" si="6"/>
        <v>3</v>
      </c>
      <c r="G48" s="257">
        <f t="shared" si="7"/>
        <v>3</v>
      </c>
      <c r="H48" s="257">
        <f>COUNTIFS(管道站场阀室关系!A:A,B48,管道站场阀室关系!P:P,H$1)</f>
        <v>0</v>
      </c>
      <c r="I48" s="257">
        <f>COUNTIFS(管道站场阀室关系!A:A,B48,管道站场阀室关系!P:P,I$1)</f>
        <v>3</v>
      </c>
      <c r="J48" s="257">
        <f>COUNTIFS(管道站场阀室关系!A:A,B48,管道站场阀室关系!P:P,J$1)</f>
        <v>0</v>
      </c>
      <c r="K48" s="257">
        <f>COUNTIFS(管道站场阀室关系!A:A,B48,管道站场阀室关系!P:P,K$1)</f>
        <v>0</v>
      </c>
      <c r="L48" s="257">
        <f>COUNTIFS(管道站场阀室关系!A:A,B48,管道站场阀室关系!P:P,L$1)</f>
        <v>3</v>
      </c>
      <c r="M48" s="257">
        <f>COUNTIFS(管道站场阀室关系!A:A,B48,管道站场阀室关系!P:P,M$1)</f>
        <v>0</v>
      </c>
      <c r="N48" s="257">
        <f>COUNTIFS(管道站场阀室关系!A:A,B48,管道站场阀室关系!P:P,N$1)</f>
        <v>0</v>
      </c>
      <c r="P48" s="210"/>
    </row>
    <row r="49" ht="15" spans="1:14">
      <c r="A49" s="250">
        <v>48</v>
      </c>
      <c r="B49" s="122" t="s">
        <v>76</v>
      </c>
      <c r="C49" s="251" t="s">
        <v>29</v>
      </c>
      <c r="D49" s="252">
        <f>SUMIF(管道站场阀室关系!A:A,B49,管道站场阀室关系!H:H)</f>
        <v>271.742</v>
      </c>
      <c r="E49" s="252">
        <f>SUMIF(管道站场阀室关系!A:A,B49,管道站场阀室关系!J:J)</f>
        <v>86203.0459711501</v>
      </c>
      <c r="F49" s="251">
        <f t="shared" si="6"/>
        <v>6</v>
      </c>
      <c r="G49" s="251">
        <f t="shared" si="7"/>
        <v>12</v>
      </c>
      <c r="H49" s="251">
        <f>COUNTIFS(管道站场阀室关系!A:A,B49,管道站场阀室关系!P:P,H$1)</f>
        <v>0</v>
      </c>
      <c r="I49" s="251">
        <f>COUNTIFS(管道站场阀室关系!A:A,B49,管道站场阀室关系!P:P,I$1)</f>
        <v>4</v>
      </c>
      <c r="J49" s="251">
        <f>COUNTIFS(管道站场阀室关系!A:A,B49,管道站场阀室关系!P:P,J$1)</f>
        <v>2</v>
      </c>
      <c r="K49" s="251">
        <f>COUNTIFS(管道站场阀室关系!A:A,B49,管道站场阀室关系!P:P,K$1)</f>
        <v>0</v>
      </c>
      <c r="L49" s="251">
        <f>COUNTIFS(管道站场阀室关系!A:A,B49,管道站场阀室关系!P:P,L$1)</f>
        <v>4</v>
      </c>
      <c r="M49" s="251">
        <f>COUNTIFS(管道站场阀室关系!A:A,B49,管道站场阀室关系!P:P,M$1)</f>
        <v>8</v>
      </c>
      <c r="N49" s="251">
        <f>COUNTIFS(管道站场阀室关系!A:A,B49,管道站场阀室关系!P:P,N$1)</f>
        <v>0</v>
      </c>
    </row>
    <row r="50" ht="15" spans="1:14">
      <c r="A50" s="250">
        <v>49</v>
      </c>
      <c r="B50" s="122" t="s">
        <v>77</v>
      </c>
      <c r="C50" s="251" t="s">
        <v>29</v>
      </c>
      <c r="D50" s="252">
        <f>SUMIF(管道站场阀室关系!A:A,B50,管道站场阀室关系!H:H)</f>
        <v>195.3001</v>
      </c>
      <c r="E50" s="252">
        <f>SUMIF(管道站场阀室关系!A:A,B50,管道站场阀室关系!J:J)</f>
        <v>145579</v>
      </c>
      <c r="F50" s="251">
        <f t="shared" si="6"/>
        <v>4</v>
      </c>
      <c r="G50" s="251">
        <f t="shared" si="7"/>
        <v>12</v>
      </c>
      <c r="H50" s="251">
        <f>COUNTIFS(管道站场阀室关系!A:A,B50,管道站场阀室关系!P:P,H$1)</f>
        <v>1</v>
      </c>
      <c r="I50" s="251">
        <f>COUNTIFS(管道站场阀室关系!A:A,B50,管道站场阀室关系!P:P,I$1)</f>
        <v>1</v>
      </c>
      <c r="J50" s="251">
        <f>COUNTIFS(管道站场阀室关系!A:A,B50,管道站场阀室关系!P:P,J$1)</f>
        <v>2</v>
      </c>
      <c r="K50" s="251">
        <f>COUNTIFS(管道站场阀室关系!A:A,B50,管道站场阀室关系!P:P,K$1)</f>
        <v>0</v>
      </c>
      <c r="L50" s="251">
        <f>COUNTIFS(管道站场阀室关系!A:A,B50,管道站场阀室关系!P:P,L$1)</f>
        <v>12</v>
      </c>
      <c r="M50" s="251">
        <f>COUNTIFS(管道站场阀室关系!A:A,B50,管道站场阀室关系!P:P,M$1)</f>
        <v>0</v>
      </c>
      <c r="N50" s="251">
        <f>COUNTIFS(管道站场阀室关系!A:A,B50,管道站场阀室关系!P:P,N$1)</f>
        <v>0</v>
      </c>
    </row>
    <row r="51" ht="15" spans="1:14">
      <c r="A51" s="250">
        <v>50</v>
      </c>
      <c r="B51" s="122" t="s">
        <v>78</v>
      </c>
      <c r="C51" s="251" t="s">
        <v>29</v>
      </c>
      <c r="D51" s="252">
        <f>SUMIF(管道站场阀室关系!A:A,B51,管道站场阀室关系!H:H)</f>
        <v>887.0483</v>
      </c>
      <c r="E51" s="252">
        <f>SUMIF(管道站场阀室关系!A:A,B51,管道站场阀室关系!J:J)</f>
        <v>380818</v>
      </c>
      <c r="F51" s="251">
        <f t="shared" si="6"/>
        <v>17</v>
      </c>
      <c r="G51" s="251">
        <f t="shared" si="7"/>
        <v>33</v>
      </c>
      <c r="H51" s="251">
        <f>COUNTIFS(管道站场阀室关系!A:A,B51,管道站场阀室关系!P:P,H$1)</f>
        <v>0</v>
      </c>
      <c r="I51" s="251">
        <f>COUNTIFS(管道站场阀室关系!A:A,B51,管道站场阀室关系!P:P,I$1)</f>
        <v>8</v>
      </c>
      <c r="J51" s="251">
        <f>COUNTIFS(管道站场阀室关系!A:A,B51,管道站场阀室关系!P:P,J$1)</f>
        <v>9</v>
      </c>
      <c r="K51" s="251">
        <f>COUNTIFS(管道站场阀室关系!A:A,B51,管道站场阀室关系!P:P,K$1)</f>
        <v>0</v>
      </c>
      <c r="L51" s="251">
        <f>COUNTIFS(管道站场阀室关系!A:A,B51,管道站场阀室关系!P:P,L$1)</f>
        <v>33</v>
      </c>
      <c r="M51" s="251">
        <f>COUNTIFS(管道站场阀室关系!A:A,B51,管道站场阀室关系!P:P,M$1)</f>
        <v>0</v>
      </c>
      <c r="N51" s="251">
        <f>COUNTIFS(管道站场阀室关系!A:A,B51,管道站场阀室关系!P:P,N$1)</f>
        <v>0</v>
      </c>
    </row>
    <row r="52" ht="18" customHeight="1" spans="1:14">
      <c r="A52" s="250">
        <v>51</v>
      </c>
      <c r="B52" s="259" t="s">
        <v>79</v>
      </c>
      <c r="C52" s="251" t="s">
        <v>80</v>
      </c>
      <c r="D52" s="252">
        <f>SUMIF(管道站场阀室关系!A:A,B52,管道站场阀室关系!H:H)</f>
        <v>887.129</v>
      </c>
      <c r="E52" s="252">
        <f>SUMIF(管道站场阀室关系!A:A,B52,管道站场阀室关系!J:J)</f>
        <v>184838.156971338</v>
      </c>
      <c r="F52" s="251">
        <f t="shared" si="6"/>
        <v>14</v>
      </c>
      <c r="G52" s="251">
        <f t="shared" si="7"/>
        <v>43</v>
      </c>
      <c r="H52" s="251">
        <f>COUNTIFS(管道站场阀室关系!A:A,B52,管道站场阀室关系!P:P,H$1)</f>
        <v>0</v>
      </c>
      <c r="I52" s="251">
        <f>COUNTIFS(管道站场阀室关系!A:A,B52,管道站场阀室关系!P:P,I$1)</f>
        <v>8</v>
      </c>
      <c r="J52" s="251">
        <f>COUNTIFS(管道站场阀室关系!A:A,B52,管道站场阀室关系!P:P,J$1)</f>
        <v>6</v>
      </c>
      <c r="K52" s="251">
        <f>COUNTIFS(管道站场阀室关系!A:A,B52,管道站场阀室关系!P:P,K$1)</f>
        <v>0</v>
      </c>
      <c r="L52" s="251">
        <f>COUNTIFS(管道站场阀室关系!A:A,B52,管道站场阀室关系!P:P,L$1)</f>
        <v>43</v>
      </c>
      <c r="M52" s="251">
        <f>COUNTIFS(管道站场阀室关系!A:A,B52,管道站场阀室关系!P:P,M$1)</f>
        <v>0</v>
      </c>
      <c r="N52" s="251">
        <f>COUNTIFS(管道站场阀室关系!A:A,B52,管道站场阀室关系!P:P,N$1)</f>
        <v>0</v>
      </c>
    </row>
    <row r="53" ht="15" spans="1:14">
      <c r="A53" s="250">
        <v>52</v>
      </c>
      <c r="B53" s="122" t="s">
        <v>81</v>
      </c>
      <c r="C53" s="251" t="s">
        <v>29</v>
      </c>
      <c r="D53" s="252">
        <f>SUMIF(管道站场阀室关系!A:A,B53,管道站场阀室关系!H:H)</f>
        <v>391.54</v>
      </c>
      <c r="E53" s="252">
        <f>SUMIF(管道站场阀室关系!A:A,B53,管道站场阀室关系!J:J)</f>
        <v>322920</v>
      </c>
      <c r="F53" s="251">
        <f t="shared" si="6"/>
        <v>7</v>
      </c>
      <c r="G53" s="251">
        <f t="shared" si="7"/>
        <v>19</v>
      </c>
      <c r="H53" s="251">
        <f>COUNTIFS(管道站场阀室关系!A:A,B53,管道站场阀室关系!P:P,H$1)</f>
        <v>0</v>
      </c>
      <c r="I53" s="251">
        <f>COUNTIFS(管道站场阀室关系!A:A,B53,管道站场阀室关系!P:P,I$1)</f>
        <v>1</v>
      </c>
      <c r="J53" s="251">
        <f>COUNTIFS(管道站场阀室关系!A:A,B53,管道站场阀室关系!P:P,J$1)</f>
        <v>6</v>
      </c>
      <c r="K53" s="251">
        <f>COUNTIFS(管道站场阀室关系!A:A,B53,管道站场阀室关系!P:P,K$1)</f>
        <v>0</v>
      </c>
      <c r="L53" s="251">
        <f>COUNTIFS(管道站场阀室关系!A:A,B53,管道站场阀室关系!P:P,L$1)</f>
        <v>19</v>
      </c>
      <c r="M53" s="251">
        <f>COUNTIFS(管道站场阀室关系!A:A,B53,管道站场阀室关系!P:P,M$1)</f>
        <v>0</v>
      </c>
      <c r="N53" s="251">
        <f>COUNTIFS(管道站场阀室关系!A:A,B53,管道站场阀室关系!P:P,N$1)</f>
        <v>0</v>
      </c>
    </row>
    <row r="54" ht="15" spans="1:14">
      <c r="A54" s="250">
        <v>53</v>
      </c>
      <c r="B54" s="122" t="s">
        <v>82</v>
      </c>
      <c r="C54" s="251" t="s">
        <v>29</v>
      </c>
      <c r="D54" s="252">
        <f>SUMIF(管道站场阀室关系!A:A,B54,管道站场阀室关系!H:H)</f>
        <v>1328.806</v>
      </c>
      <c r="E54" s="252">
        <f>SUMIF(管道站场阀室关系!A:A,B54,管道站场阀室关系!J:J)</f>
        <v>887460.345725582</v>
      </c>
      <c r="F54" s="251">
        <f t="shared" si="6"/>
        <v>17</v>
      </c>
      <c r="G54" s="251">
        <f t="shared" si="7"/>
        <v>65</v>
      </c>
      <c r="H54" s="251">
        <f>COUNTIFS(管道站场阀室关系!A:A,B54,管道站场阀室关系!P:P,H$1)</f>
        <v>0</v>
      </c>
      <c r="I54" s="251">
        <f>COUNTIFS(管道站场阀室关系!A:A,B54,管道站场阀室关系!P:P,I$1)</f>
        <v>8</v>
      </c>
      <c r="J54" s="251">
        <f>COUNTIFS(管道站场阀室关系!A:A,B54,管道站场阀室关系!P:P,J$1)</f>
        <v>9</v>
      </c>
      <c r="K54" s="251">
        <f>COUNTIFS(管道站场阀室关系!A:A,B54,管道站场阀室关系!P:P,K$1)</f>
        <v>0</v>
      </c>
      <c r="L54" s="251">
        <f>COUNTIFS(管道站场阀室关系!A:A,B54,管道站场阀室关系!P:P,L$1)</f>
        <v>65</v>
      </c>
      <c r="M54" s="251">
        <f>COUNTIFS(管道站场阀室关系!A:A,B54,管道站场阀室关系!P:P,M$1)</f>
        <v>0</v>
      </c>
      <c r="N54" s="251">
        <f>COUNTIFS(管道站场阀室关系!A:A,B54,管道站场阀室关系!P:P,N$1)</f>
        <v>0</v>
      </c>
    </row>
    <row r="55" ht="15" spans="1:14">
      <c r="A55" s="250">
        <v>54</v>
      </c>
      <c r="B55" s="122" t="s">
        <v>83</v>
      </c>
      <c r="C55" s="251" t="s">
        <v>29</v>
      </c>
      <c r="D55" s="252">
        <f>SUMIF(管道站场阀室关系!A:A,B55,管道站场阀室关系!H:H)</f>
        <v>516.73</v>
      </c>
      <c r="E55" s="252">
        <f>SUMIF(管道站场阀室关系!A:A,B55,管道站场阀室关系!J:J)</f>
        <v>330552.153142217</v>
      </c>
      <c r="F55" s="251">
        <f t="shared" si="6"/>
        <v>10</v>
      </c>
      <c r="G55" s="251">
        <f t="shared" si="7"/>
        <v>26</v>
      </c>
      <c r="H55" s="251">
        <f>COUNTIFS(管道站场阀室关系!A:A,B55,管道站场阀室关系!P:P,H$1)</f>
        <v>0</v>
      </c>
      <c r="I55" s="251">
        <f>COUNTIFS(管道站场阀室关系!A:A,B55,管道站场阀室关系!P:P,I$1)</f>
        <v>2</v>
      </c>
      <c r="J55" s="251">
        <f>COUNTIFS(管道站场阀室关系!A:A,B55,管道站场阀室关系!P:P,J$1)</f>
        <v>8</v>
      </c>
      <c r="K55" s="251">
        <f>COUNTIFS(管道站场阀室关系!A:A,B55,管道站场阀室关系!P:P,K$1)</f>
        <v>0</v>
      </c>
      <c r="L55" s="251">
        <f>COUNTIFS(管道站场阀室关系!A:A,B55,管道站场阀室关系!P:P,L$1)</f>
        <v>26</v>
      </c>
      <c r="M55" s="251">
        <f>COUNTIFS(管道站场阀室关系!A:A,B55,管道站场阀室关系!P:P,M$1)</f>
        <v>0</v>
      </c>
      <c r="N55" s="251">
        <f>COUNTIFS(管道站场阀室关系!A:A,B55,管道站场阀室关系!P:P,N$1)</f>
        <v>0</v>
      </c>
    </row>
    <row r="56" ht="15" spans="1:14">
      <c r="A56" s="250">
        <v>55</v>
      </c>
      <c r="B56" s="122" t="s">
        <v>84</v>
      </c>
      <c r="C56" s="251" t="s">
        <v>29</v>
      </c>
      <c r="D56" s="252">
        <f>SUMIF(管道站场阀室关系!A:A,B56,管道站场阀室关系!H:H)</f>
        <v>517.4</v>
      </c>
      <c r="E56" s="252">
        <f>SUMIF(管道站场阀室关系!A:A,B56,管道站场阀室关系!J:J)</f>
        <v>229096.565</v>
      </c>
      <c r="F56" s="251">
        <f t="shared" si="6"/>
        <v>17</v>
      </c>
      <c r="G56" s="251">
        <f t="shared" si="7"/>
        <v>16</v>
      </c>
      <c r="H56" s="251">
        <f>COUNTIFS(管道站场阀室关系!A:A,B56,管道站场阀室关系!P:P,H$1)</f>
        <v>0</v>
      </c>
      <c r="I56" s="251">
        <f>COUNTIFS(管道站场阀室关系!A:A,B56,管道站场阀室关系!P:P,I$1)</f>
        <v>14</v>
      </c>
      <c r="J56" s="251">
        <f>COUNTIFS(管道站场阀室关系!A:A,B56,管道站场阀室关系!P:P,J$1)</f>
        <v>3</v>
      </c>
      <c r="K56" s="251">
        <f>COUNTIFS(管道站场阀室关系!A:A,B56,管道站场阀室关系!P:P,K$1)</f>
        <v>0</v>
      </c>
      <c r="L56" s="251">
        <f>COUNTIFS(管道站场阀室关系!A:A,B56,管道站场阀室关系!P:P,L$1)</f>
        <v>16</v>
      </c>
      <c r="M56" s="251">
        <f>COUNTIFS(管道站场阀室关系!A:A,B56,管道站场阀室关系!P:P,M$1)</f>
        <v>0</v>
      </c>
      <c r="N56" s="251">
        <f>COUNTIFS(管道站场阀室关系!A:A,B56,管道站场阀室关系!P:P,N$1)</f>
        <v>0</v>
      </c>
    </row>
    <row r="57" ht="15" spans="1:14">
      <c r="A57" s="250">
        <v>56</v>
      </c>
      <c r="B57" s="49" t="s">
        <v>85</v>
      </c>
      <c r="C57" s="251" t="s">
        <v>29</v>
      </c>
      <c r="D57" s="252">
        <f>SUMIF(管道站场阀室关系!A:A,B57,管道站场阀室关系!H:H)</f>
        <v>123.25</v>
      </c>
      <c r="E57" s="252">
        <f>SUMIF(管道站场阀室关系!A:A,B57,管道站场阀室关系!J:J)</f>
        <v>85360.55</v>
      </c>
      <c r="F57" s="251">
        <f t="shared" si="6"/>
        <v>2</v>
      </c>
      <c r="G57" s="251">
        <f t="shared" si="7"/>
        <v>5</v>
      </c>
      <c r="H57" s="251">
        <f>COUNTIFS(管道站场阀室关系!A:A,B57,管道站场阀室关系!P:P,H$1)</f>
        <v>0</v>
      </c>
      <c r="I57" s="251">
        <f>COUNTIFS(管道站场阀室关系!A:A,B57,管道站场阀室关系!P:P,I$1)</f>
        <v>2</v>
      </c>
      <c r="J57" s="251">
        <f>COUNTIFS(管道站场阀室关系!A:A,B57,管道站场阀室关系!P:P,J$1)</f>
        <v>0</v>
      </c>
      <c r="K57" s="251">
        <f>COUNTIFS(管道站场阀室关系!A:A,B57,管道站场阀室关系!P:P,K$1)</f>
        <v>0</v>
      </c>
      <c r="L57" s="251">
        <f>COUNTIFS(管道站场阀室关系!A:A,B57,管道站场阀室关系!P:P,L$1)</f>
        <v>5</v>
      </c>
      <c r="M57" s="251">
        <f>COUNTIFS(管道站场阀室关系!A:A,B57,管道站场阀室关系!P:P,M$1)</f>
        <v>0</v>
      </c>
      <c r="N57" s="251">
        <f>COUNTIFS(管道站场阀室关系!A:A,B57,管道站场阀室关系!P:P,N$1)</f>
        <v>0</v>
      </c>
    </row>
    <row r="58" ht="15" spans="1:17">
      <c r="A58" s="250">
        <v>57</v>
      </c>
      <c r="B58" s="122" t="s">
        <v>86</v>
      </c>
      <c r="C58" s="251" t="s">
        <v>80</v>
      </c>
      <c r="D58" s="258">
        <v>1989.464</v>
      </c>
      <c r="E58" s="258">
        <v>1503624</v>
      </c>
      <c r="F58" s="257">
        <v>59</v>
      </c>
      <c r="G58" s="257">
        <f t="shared" si="7"/>
        <v>77</v>
      </c>
      <c r="H58" s="257">
        <f>COUNTIFS(管道站场阀室关系!A:A,B58,管道站场阀室关系!P:P,H$1)</f>
        <v>0</v>
      </c>
      <c r="I58" s="257">
        <v>43</v>
      </c>
      <c r="J58" s="257">
        <v>15</v>
      </c>
      <c r="K58" s="257">
        <f>COUNTIFS(管道站场阀室关系!A:A,B58,管道站场阀室关系!P:P,K$1)</f>
        <v>1</v>
      </c>
      <c r="L58" s="257">
        <f>COUNTIFS(管道站场阀室关系!A:A,B58,管道站场阀室关系!P:P,L$1)</f>
        <v>77</v>
      </c>
      <c r="M58" s="257">
        <f>COUNTIFS(管道站场阀室关系!A:A,B58,管道站场阀室关系!P:P,M$1)</f>
        <v>0</v>
      </c>
      <c r="N58" s="257">
        <f>COUNTIFS(管道站场阀室关系!A:A,B58,管道站场阀室关系!P:P,N$1)</f>
        <v>0</v>
      </c>
      <c r="Q58" s="260"/>
    </row>
    <row r="59" ht="15" spans="1:17">
      <c r="A59" s="250"/>
      <c r="B59" s="122" t="s">
        <v>87</v>
      </c>
      <c r="C59" s="251" t="s">
        <v>29</v>
      </c>
      <c r="D59" s="258">
        <v>15.474</v>
      </c>
      <c r="E59" s="258">
        <v>1173</v>
      </c>
      <c r="F59" s="257">
        <v>2</v>
      </c>
      <c r="G59" s="257">
        <v>0</v>
      </c>
      <c r="H59" s="257">
        <v>0</v>
      </c>
      <c r="I59" s="257">
        <v>1</v>
      </c>
      <c r="J59" s="257">
        <v>1</v>
      </c>
      <c r="K59" s="257">
        <v>0</v>
      </c>
      <c r="L59" s="257">
        <v>0</v>
      </c>
      <c r="M59" s="257">
        <v>0</v>
      </c>
      <c r="N59" s="257">
        <v>0</v>
      </c>
      <c r="Q59" s="260"/>
    </row>
    <row r="60" ht="15" spans="1:14">
      <c r="A60" s="250">
        <v>58</v>
      </c>
      <c r="B60" s="122" t="s">
        <v>88</v>
      </c>
      <c r="C60" s="251" t="s">
        <v>80</v>
      </c>
      <c r="D60" s="258">
        <f>SUMIF(管道站场阀室关系!A:A,B60,管道站场阀室关系!H:H)</f>
        <v>179.28</v>
      </c>
      <c r="E60" s="258">
        <f>SUMIF(管道站场阀室关系!A:A,B60,管道站场阀室关系!J:J)</f>
        <v>93041</v>
      </c>
      <c r="F60" s="257">
        <f>SUM(H60:K60)</f>
        <v>9</v>
      </c>
      <c r="G60" s="257">
        <f>SUM(L60:N60)</f>
        <v>5</v>
      </c>
      <c r="H60" s="257">
        <f>COUNTIFS(管道站场阀室关系!A:A,B60,管道站场阀室关系!P:P,H$1)</f>
        <v>0</v>
      </c>
      <c r="I60" s="257">
        <f>COUNTIFS(管道站场阀室关系!A:A,B60,管道站场阀室关系!P:P,I$1)</f>
        <v>2</v>
      </c>
      <c r="J60" s="257">
        <f>COUNTIFS(管道站场阀室关系!A:A,B60,管道站场阀室关系!P:P,J$1)</f>
        <v>7</v>
      </c>
      <c r="K60" s="257">
        <f>COUNTIFS(管道站场阀室关系!A:A,B60,管道站场阀室关系!P:P,K$1)</f>
        <v>0</v>
      </c>
      <c r="L60" s="257">
        <f>COUNTIFS(管道站场阀室关系!A:A,B60,管道站场阀室关系!P:P,L$1)</f>
        <v>5</v>
      </c>
      <c r="M60" s="257">
        <f>COUNTIFS(管道站场阀室关系!A:A,B60,管道站场阀室关系!P:P,M$1)</f>
        <v>0</v>
      </c>
      <c r="N60" s="257">
        <f>COUNTIFS(管道站场阀室关系!A:A,B60,管道站场阀室关系!P:P,N$1)</f>
        <v>0</v>
      </c>
    </row>
    <row r="61" ht="15" spans="1:14">
      <c r="A61" s="250">
        <v>59</v>
      </c>
      <c r="B61" s="122" t="s">
        <v>89</v>
      </c>
      <c r="C61" s="251" t="s">
        <v>80</v>
      </c>
      <c r="D61" s="252">
        <f>SUMIF(管道站场阀室关系!A:A,B61,管道站场阀室关系!H:H)</f>
        <v>2493.887719</v>
      </c>
      <c r="E61" s="252">
        <f>SUMIF(管道站场阀室关系!A:A,B61,管道站场阀室关系!J:J)</f>
        <v>959122</v>
      </c>
      <c r="F61" s="251">
        <f>SUM(H61:K61)</f>
        <v>91</v>
      </c>
      <c r="G61" s="251">
        <f>SUM(L61:N61)</f>
        <v>119</v>
      </c>
      <c r="H61" s="251">
        <f>COUNTIFS(管道站场阀室关系!A:A,B61,管道站场阀室关系!P:P,H$1)</f>
        <v>0</v>
      </c>
      <c r="I61" s="251">
        <f>COUNTIFS(管道站场阀室关系!A:A,B61,管道站场阀室关系!P:P,I$1)</f>
        <v>75</v>
      </c>
      <c r="J61" s="251">
        <f>COUNTIFS(管道站场阀室关系!A:A,B61,管道站场阀室关系!P:P,J$1)</f>
        <v>16</v>
      </c>
      <c r="K61" s="251">
        <f>COUNTIFS(管道站场阀室关系!A:A,B61,管道站场阀室关系!P:P,K$1)</f>
        <v>0</v>
      </c>
      <c r="L61" s="251">
        <f>COUNTIFS(管道站场阀室关系!A:A,B61,管道站场阀室关系!P:P,L$1)</f>
        <v>119</v>
      </c>
      <c r="M61" s="251">
        <f>COUNTIFS(管道站场阀室关系!A:A,B61,管道站场阀室关系!P:P,M$1)</f>
        <v>0</v>
      </c>
      <c r="N61" s="251">
        <f>COUNTIFS(管道站场阀室关系!A:A,B61,管道站场阀室关系!P:P,N$1)</f>
        <v>0</v>
      </c>
    </row>
    <row r="62" ht="15" spans="1:14">
      <c r="A62" s="250">
        <v>60</v>
      </c>
      <c r="B62" s="49" t="s">
        <v>90</v>
      </c>
      <c r="C62" s="251" t="s">
        <v>80</v>
      </c>
      <c r="D62" s="252">
        <f>SUMIF(管道站场阀室关系!A:A,B62,管道站场阀室关系!H:H)</f>
        <v>957.4799</v>
      </c>
      <c r="E62" s="252">
        <f>SUMIF(管道站场阀室关系!A:A,B62,管道站场阀室关系!J:J)</f>
        <v>0</v>
      </c>
      <c r="F62" s="251">
        <f>SUM(H62:K62)</f>
        <v>24</v>
      </c>
      <c r="G62" s="251">
        <f>SUM(L62:N62)</f>
        <v>50</v>
      </c>
      <c r="H62" s="251">
        <f>COUNTIFS(管道站场阀室关系!A:A,B62,管道站场阀室关系!P:P,H$1)</f>
        <v>0</v>
      </c>
      <c r="I62" s="251">
        <f>COUNTIFS(管道站场阀室关系!A:A,B62,管道站场阀室关系!P:P,I$1)</f>
        <v>18</v>
      </c>
      <c r="J62" s="251">
        <f>COUNTIFS(管道站场阀室关系!A:A,B62,管道站场阀室关系!P:P,J$1)</f>
        <v>6</v>
      </c>
      <c r="K62" s="251">
        <f>COUNTIFS(管道站场阀室关系!A:A,B62,管道站场阀室关系!P:P,K$1)</f>
        <v>0</v>
      </c>
      <c r="L62" s="251">
        <f>COUNTIFS(管道站场阀室关系!A:A,B62,管道站场阀室关系!P:P,L$1)</f>
        <v>35</v>
      </c>
      <c r="M62" s="251">
        <f>COUNTIFS(管道站场阀室关系!A:A,B62,管道站场阀室关系!P:P,M$1)</f>
        <v>3</v>
      </c>
      <c r="N62" s="251">
        <f>COUNTIFS(管道站场阀室关系!A:A,B62,管道站场阀室关系!P:P,N$1)</f>
        <v>12</v>
      </c>
    </row>
    <row r="63" ht="15" spans="1:14">
      <c r="A63" s="250">
        <v>61</v>
      </c>
      <c r="B63" s="49" t="s">
        <v>91</v>
      </c>
      <c r="C63" s="251" t="s">
        <v>80</v>
      </c>
      <c r="D63" s="252">
        <f>SUMIF(管道站场阀室关系!A:A,B63,管道站场阀室关系!H:H)</f>
        <v>92.379</v>
      </c>
      <c r="E63" s="252">
        <f>SUMIF(管道站场阀室关系!A:A,B63,管道站场阀室关系!J:J)</f>
        <v>5680.98298925618</v>
      </c>
      <c r="F63" s="251">
        <f>SUM(H63:K63)</f>
        <v>15</v>
      </c>
      <c r="G63" s="251">
        <f>SUM(L63:N63)</f>
        <v>1</v>
      </c>
      <c r="H63" s="251">
        <f>COUNTIFS(管道站场阀室关系!A:A,B63,管道站场阀室关系!P:P,H$1)</f>
        <v>0</v>
      </c>
      <c r="I63" s="251">
        <f>COUNTIFS(管道站场阀室关系!A:A,B63,管道站场阀室关系!P:P,I$1)</f>
        <v>14</v>
      </c>
      <c r="J63" s="251">
        <f>COUNTIFS(管道站场阀室关系!A:A,B63,管道站场阀室关系!P:P,J$1)</f>
        <v>1</v>
      </c>
      <c r="K63" s="251">
        <f>COUNTIFS(管道站场阀室关系!A:A,B63,管道站场阀室关系!P:P,K$1)</f>
        <v>0</v>
      </c>
      <c r="L63" s="251">
        <f>COUNTIFS(管道站场阀室关系!A:A,B63,管道站场阀室关系!P:P,L$1)</f>
        <v>0</v>
      </c>
      <c r="M63" s="251">
        <f>COUNTIFS(管道站场阀室关系!A:A,B63,管道站场阀室关系!P:P,M$1)</f>
        <v>0</v>
      </c>
      <c r="N63" s="251">
        <f>COUNTIFS(管道站场阀室关系!A:A,B63,管道站场阀室关系!P:P,N$1)</f>
        <v>1</v>
      </c>
    </row>
    <row r="64" ht="15" spans="1:14">
      <c r="A64" s="250">
        <v>62</v>
      </c>
      <c r="B64" s="122" t="s">
        <v>92</v>
      </c>
      <c r="C64" s="251" t="s">
        <v>80</v>
      </c>
      <c r="D64" s="252">
        <f>SUMIF(管道站场阀室关系!A:A,B64,管道站场阀室关系!H:H)</f>
        <v>301.73</v>
      </c>
      <c r="E64" s="252">
        <f>SUMIF(管道站场阀室关系!A:A,B64,管道站场阀室关系!J:J)</f>
        <v>47355</v>
      </c>
      <c r="F64" s="251">
        <f>SUM(H64:K64)</f>
        <v>5</v>
      </c>
      <c r="G64" s="251">
        <f>SUM(L64:N64)</f>
        <v>7</v>
      </c>
      <c r="H64" s="251">
        <f>COUNTIFS(管道站场阀室关系!A:A,B64,管道站场阀室关系!P:P,H$1)</f>
        <v>1</v>
      </c>
      <c r="I64" s="251">
        <f>COUNTIFS(管道站场阀室关系!A:A,B64,管道站场阀室关系!P:P,I$1)</f>
        <v>3</v>
      </c>
      <c r="J64" s="251">
        <f>COUNTIFS(管道站场阀室关系!A:A,B64,管道站场阀室关系!P:P,J$1)</f>
        <v>1</v>
      </c>
      <c r="K64" s="251">
        <f>COUNTIFS(管道站场阀室关系!A:A,B64,管道站场阀室关系!P:P,K$1)</f>
        <v>0</v>
      </c>
      <c r="L64" s="251">
        <f>COUNTIFS(管道站场阀室关系!A:A,B64,管道站场阀室关系!P:P,L$1)</f>
        <v>0</v>
      </c>
      <c r="M64" s="251">
        <f>COUNTIFS(管道站场阀室关系!A:A,B64,管道站场阀室关系!P:P,M$1)</f>
        <v>7</v>
      </c>
      <c r="N64" s="251">
        <f>COUNTIFS(管道站场阀室关系!A:A,B64,管道站场阀室关系!P:P,N$1)</f>
        <v>0</v>
      </c>
    </row>
    <row r="65" ht="15" customHeight="1" spans="2:8">
      <c r="B65" s="261" t="s">
        <v>93</v>
      </c>
      <c r="C65" s="261"/>
      <c r="D65" s="261"/>
      <c r="E65" s="261"/>
      <c r="F65" s="261"/>
      <c r="G65" s="261"/>
      <c r="H65" s="261"/>
    </row>
    <row r="66" spans="2:8">
      <c r="B66" s="261"/>
      <c r="C66" s="261"/>
      <c r="D66" s="261"/>
      <c r="E66" s="261"/>
      <c r="F66" s="261"/>
      <c r="G66" s="261"/>
      <c r="H66" s="261"/>
    </row>
  </sheetData>
  <mergeCells count="1">
    <mergeCell ref="B65:H66"/>
  </mergeCells>
  <conditionalFormatting sqref="B52">
    <cfRule type="duplicateValues" dxfId="0" priority="9"/>
  </conditionalFormatting>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53"/>
  <sheetViews>
    <sheetView zoomScale="85" zoomScaleNormal="85" workbookViewId="0">
      <pane xSplit="3" ySplit="1" topLeftCell="D293" activePane="bottomRight" state="frozen"/>
      <selection/>
      <selection pane="topRight"/>
      <selection pane="bottomLeft"/>
      <selection pane="bottomRight" activeCell="A1" sqref="$A1:$XFD1048576"/>
    </sheetView>
  </sheetViews>
  <sheetFormatPr defaultColWidth="22.0833333333333" defaultRowHeight="15"/>
  <cols>
    <col min="1" max="1" width="8.33333333333333" style="214" customWidth="1"/>
    <col min="2" max="2" width="17.6666666666667" style="209" customWidth="1"/>
    <col min="3" max="3" width="33.9166666666667" style="213" customWidth="1"/>
    <col min="4" max="4" width="17.0833333333333" style="209" customWidth="1"/>
    <col min="5" max="5" width="20.4166666666667" style="209" customWidth="1"/>
    <col min="6" max="6" width="11.25" style="215" customWidth="1"/>
    <col min="7" max="7" width="19.4166666666667" style="209" customWidth="1"/>
    <col min="8" max="8" width="15.725" style="216" customWidth="1"/>
    <col min="9" max="9" width="16.9166666666667" style="216" customWidth="1"/>
    <col min="10" max="10" width="18.8333333333333" style="209" customWidth="1"/>
    <col min="11" max="11" width="15.6666666666667" style="209" customWidth="1"/>
    <col min="12" max="12" width="15" style="217" customWidth="1"/>
    <col min="13" max="13" width="26" style="209" customWidth="1"/>
    <col min="14" max="14" width="16.4166666666667" style="209" customWidth="1"/>
    <col min="15" max="15" width="30" style="209" customWidth="1"/>
    <col min="16" max="16384" width="22.0833333333333" style="209"/>
  </cols>
  <sheetData>
    <row r="1" ht="32" spans="1:15">
      <c r="A1" s="161" t="s">
        <v>94</v>
      </c>
      <c r="B1" s="101" t="s">
        <v>95</v>
      </c>
      <c r="C1" s="101" t="s">
        <v>96</v>
      </c>
      <c r="D1" s="101" t="s">
        <v>97</v>
      </c>
      <c r="E1" s="101" t="s">
        <v>98</v>
      </c>
      <c r="F1" s="218" t="s">
        <v>99</v>
      </c>
      <c r="G1" s="101" t="s">
        <v>100</v>
      </c>
      <c r="H1" s="131" t="s">
        <v>101</v>
      </c>
      <c r="I1" s="131" t="s">
        <v>102</v>
      </c>
      <c r="J1" s="101" t="s">
        <v>103</v>
      </c>
      <c r="K1" s="101" t="s">
        <v>104</v>
      </c>
      <c r="L1" s="101" t="s">
        <v>105</v>
      </c>
      <c r="M1" s="101" t="s">
        <v>106</v>
      </c>
      <c r="N1" s="101" t="s">
        <v>107</v>
      </c>
      <c r="O1" s="161" t="s">
        <v>108</v>
      </c>
    </row>
    <row r="2" spans="1:15">
      <c r="A2" s="161">
        <v>1</v>
      </c>
      <c r="B2" s="122" t="s">
        <v>28</v>
      </c>
      <c r="C2" s="166" t="s">
        <v>109</v>
      </c>
      <c r="D2" s="101" t="s">
        <v>110</v>
      </c>
      <c r="E2" s="101" t="s">
        <v>111</v>
      </c>
      <c r="F2" s="83">
        <f>SUMIF(管道站场阀室关系!B:B,支线管道!C2,管道站场阀室关系!H:H)</f>
        <v>954.9577</v>
      </c>
      <c r="G2" s="101">
        <v>1016</v>
      </c>
      <c r="H2" s="131">
        <v>14</v>
      </c>
      <c r="I2" s="131">
        <v>10</v>
      </c>
      <c r="J2" s="101">
        <v>170</v>
      </c>
      <c r="K2" s="101"/>
      <c r="L2" s="118">
        <f>SUMIF(管道站场阀室关系!B:B,支线管道!C2,管道站场阀室关系!J:J)</f>
        <v>711669</v>
      </c>
      <c r="M2" s="101">
        <v>20041001</v>
      </c>
      <c r="N2" s="101" t="s">
        <v>112</v>
      </c>
      <c r="O2" s="101"/>
    </row>
    <row r="3" spans="1:15">
      <c r="A3" s="161">
        <v>2</v>
      </c>
      <c r="B3" s="122" t="s">
        <v>28</v>
      </c>
      <c r="C3" s="166" t="s">
        <v>113</v>
      </c>
      <c r="D3" s="101" t="s">
        <v>111</v>
      </c>
      <c r="E3" s="101" t="s">
        <v>114</v>
      </c>
      <c r="F3" s="83">
        <f>SUMIF(管道站场阀室关系!B:B,支线管道!C3,管道站场阀室关系!H:H)</f>
        <v>1028.9439</v>
      </c>
      <c r="G3" s="101">
        <v>1016</v>
      </c>
      <c r="H3" s="131">
        <v>14</v>
      </c>
      <c r="I3" s="131">
        <v>10</v>
      </c>
      <c r="J3" s="101">
        <v>170</v>
      </c>
      <c r="K3" s="101"/>
      <c r="L3" s="118">
        <f>SUMIF(管道站场阀室关系!B:B,支线管道!C3,管道站场阀室关系!J:J)</f>
        <v>810642.05278434</v>
      </c>
      <c r="M3" s="101">
        <v>20041001</v>
      </c>
      <c r="N3" s="101" t="s">
        <v>112</v>
      </c>
      <c r="O3" s="101"/>
    </row>
    <row r="4" spans="1:15">
      <c r="A4" s="161">
        <v>3</v>
      </c>
      <c r="B4" s="122" t="s">
        <v>28</v>
      </c>
      <c r="C4" s="166" t="s">
        <v>115</v>
      </c>
      <c r="D4" s="101" t="s">
        <v>114</v>
      </c>
      <c r="E4" s="101" t="s">
        <v>116</v>
      </c>
      <c r="F4" s="86">
        <f>SUMIF(管道站场阀室关系!B:B,支线管道!C4,管道站场阀室关系!H:H)</f>
        <v>1862.2965</v>
      </c>
      <c r="G4" s="101">
        <v>1016</v>
      </c>
      <c r="H4" s="131">
        <v>14</v>
      </c>
      <c r="I4" s="131">
        <v>10</v>
      </c>
      <c r="J4" s="101">
        <v>170</v>
      </c>
      <c r="K4" s="101"/>
      <c r="L4" s="118">
        <f>SUMIF(管道站场阀室关系!B:B,支线管道!C4,管道站场阀室关系!J:J)</f>
        <v>1392366.45994603</v>
      </c>
      <c r="M4" s="101">
        <v>20041001</v>
      </c>
      <c r="N4" s="101" t="s">
        <v>117</v>
      </c>
      <c r="O4" s="101"/>
    </row>
    <row r="5" spans="1:15">
      <c r="A5" s="161">
        <v>4</v>
      </c>
      <c r="B5" s="122" t="s">
        <v>28</v>
      </c>
      <c r="C5" s="166" t="s">
        <v>118</v>
      </c>
      <c r="D5" s="101" t="s">
        <v>119</v>
      </c>
      <c r="E5" s="101" t="s">
        <v>120</v>
      </c>
      <c r="F5" s="86">
        <f>SUMIF(管道站场阀室关系!B:B,支线管道!C5,管道站场阀室关系!H:H)</f>
        <v>99.6003</v>
      </c>
      <c r="G5" s="101">
        <v>813</v>
      </c>
      <c r="H5" s="131"/>
      <c r="I5" s="131">
        <v>6.4</v>
      </c>
      <c r="J5" s="101">
        <v>17.86</v>
      </c>
      <c r="K5" s="101"/>
      <c r="L5" s="118">
        <f>SUMIF(管道站场阀室关系!B:B,支线管道!C5,管道站场阀室关系!J:J)</f>
        <v>48562.5264730306</v>
      </c>
      <c r="M5" s="101">
        <v>20031218</v>
      </c>
      <c r="N5" s="101" t="s">
        <v>117</v>
      </c>
      <c r="O5" s="101"/>
    </row>
    <row r="6" spans="1:15">
      <c r="A6" s="161">
        <v>5</v>
      </c>
      <c r="B6" s="122" t="s">
        <v>28</v>
      </c>
      <c r="C6" s="166" t="s">
        <v>121</v>
      </c>
      <c r="D6" s="101" t="s">
        <v>122</v>
      </c>
      <c r="E6" s="101" t="s">
        <v>123</v>
      </c>
      <c r="F6" s="86">
        <f>SUMIF(管道站场阀室关系!B:B,支线管道!C6,管道站场阀室关系!H:H)</f>
        <v>130</v>
      </c>
      <c r="G6" s="101">
        <v>508</v>
      </c>
      <c r="H6" s="131">
        <v>7.1</v>
      </c>
      <c r="I6" s="131">
        <v>6.3</v>
      </c>
      <c r="J6" s="101">
        <v>16.71</v>
      </c>
      <c r="K6" s="101"/>
      <c r="L6" s="118">
        <f>SUMIF(管道站场阀室关系!B:B,支线管道!C6,管道站场阀室关系!J:J)</f>
        <v>24780.7185777245</v>
      </c>
      <c r="M6" s="101">
        <v>200405</v>
      </c>
      <c r="N6" s="101" t="s">
        <v>117</v>
      </c>
      <c r="O6" s="101"/>
    </row>
    <row r="7" spans="1:15">
      <c r="A7" s="161">
        <v>6</v>
      </c>
      <c r="B7" s="122" t="s">
        <v>28</v>
      </c>
      <c r="C7" s="166" t="s">
        <v>124</v>
      </c>
      <c r="D7" s="101" t="s">
        <v>122</v>
      </c>
      <c r="E7" s="101" t="s">
        <v>125</v>
      </c>
      <c r="F7" s="86">
        <f>SUMIF(管道站场阀室关系!B:B,支线管道!C7,管道站场阀室关系!H:H)</f>
        <v>3.696</v>
      </c>
      <c r="G7" s="101"/>
      <c r="H7" s="131"/>
      <c r="I7" s="131"/>
      <c r="J7" s="101"/>
      <c r="K7" s="101"/>
      <c r="L7" s="118">
        <f>SUMIF(管道站场阀室关系!B:B,支线管道!C7,管道站场阀室关系!J:J)</f>
        <v>320.656</v>
      </c>
      <c r="M7" s="101"/>
      <c r="N7" s="101" t="s">
        <v>117</v>
      </c>
      <c r="O7" s="101"/>
    </row>
    <row r="8" spans="1:15">
      <c r="A8" s="161">
        <v>7</v>
      </c>
      <c r="B8" s="122" t="s">
        <v>28</v>
      </c>
      <c r="C8" s="166" t="s">
        <v>126</v>
      </c>
      <c r="D8" s="101" t="s">
        <v>127</v>
      </c>
      <c r="E8" s="101" t="s">
        <v>128</v>
      </c>
      <c r="F8" s="86">
        <f>SUMIF(管道站场阀室关系!B:B,支线管道!C8,管道站场阀室关系!H:H)</f>
        <v>79.5999</v>
      </c>
      <c r="G8" s="101">
        <v>406.4</v>
      </c>
      <c r="H8" s="131">
        <v>6.3</v>
      </c>
      <c r="I8" s="131">
        <v>6.3</v>
      </c>
      <c r="J8" s="101">
        <v>3.28</v>
      </c>
      <c r="K8" s="101"/>
      <c r="L8" s="118">
        <f>SUMIF(管道站场阀室关系!B:B,支线管道!C8,管道站场阀室关系!J:J)</f>
        <v>9989.09038</v>
      </c>
      <c r="M8" s="101">
        <v>200306</v>
      </c>
      <c r="N8" s="101" t="s">
        <v>117</v>
      </c>
      <c r="O8" s="101"/>
    </row>
    <row r="9" spans="1:15">
      <c r="A9" s="161">
        <v>8</v>
      </c>
      <c r="B9" s="122" t="s">
        <v>28</v>
      </c>
      <c r="C9" s="166" t="s">
        <v>129</v>
      </c>
      <c r="D9" s="101" t="s">
        <v>127</v>
      </c>
      <c r="E9" s="101" t="s">
        <v>130</v>
      </c>
      <c r="F9" s="86">
        <f>SUMIF(管道站场阀室关系!B:B,支线管道!C9,管道站场阀室关系!H:H)</f>
        <v>67.2999</v>
      </c>
      <c r="G9" s="101">
        <v>711</v>
      </c>
      <c r="H9" s="131" t="s">
        <v>131</v>
      </c>
      <c r="I9" s="131">
        <v>10</v>
      </c>
      <c r="J9" s="101">
        <v>34.89</v>
      </c>
      <c r="K9" s="101"/>
      <c r="L9" s="118">
        <f>SUMIF(管道站场阀室关系!B:B,支线管道!C9,管道站场阀室关系!J:J)</f>
        <v>26730.7372296</v>
      </c>
      <c r="M9" s="101">
        <v>20191106</v>
      </c>
      <c r="N9" s="101" t="s">
        <v>117</v>
      </c>
      <c r="O9" s="101"/>
    </row>
    <row r="10" spans="1:15">
      <c r="A10" s="161">
        <v>9</v>
      </c>
      <c r="B10" s="122" t="s">
        <v>28</v>
      </c>
      <c r="C10" s="166" t="s">
        <v>132</v>
      </c>
      <c r="D10" s="101" t="s">
        <v>133</v>
      </c>
      <c r="E10" s="101" t="s">
        <v>134</v>
      </c>
      <c r="F10" s="86">
        <f>SUMIF(管道站场阀室关系!B:B,支线管道!C10,管道站场阀室关系!H:H)</f>
        <v>6.2</v>
      </c>
      <c r="G10" s="101">
        <v>406.4</v>
      </c>
      <c r="H10" s="131"/>
      <c r="I10" s="131">
        <v>10</v>
      </c>
      <c r="J10" s="101">
        <v>15</v>
      </c>
      <c r="K10" s="101"/>
      <c r="L10" s="118">
        <f>SUMIF(管道站场阀室关系!B:B,支线管道!C10,管道站场阀室关系!J:J)</f>
        <v>718.225383260607</v>
      </c>
      <c r="M10" s="101">
        <v>200312</v>
      </c>
      <c r="N10" s="101" t="s">
        <v>117</v>
      </c>
      <c r="O10" s="101"/>
    </row>
    <row r="11" spans="1:15">
      <c r="A11" s="161">
        <v>10</v>
      </c>
      <c r="B11" s="122" t="s">
        <v>28</v>
      </c>
      <c r="C11" s="166" t="s">
        <v>135</v>
      </c>
      <c r="D11" s="101" t="s">
        <v>136</v>
      </c>
      <c r="E11" s="101" t="s">
        <v>137</v>
      </c>
      <c r="F11" s="86">
        <f>SUMIF(管道站场阀室关系!B:B,支线管道!C11,管道站场阀室关系!H:H)</f>
        <v>24</v>
      </c>
      <c r="G11" s="101">
        <v>219</v>
      </c>
      <c r="H11" s="131"/>
      <c r="I11" s="131">
        <v>6.4</v>
      </c>
      <c r="J11" s="101">
        <v>1</v>
      </c>
      <c r="K11" s="101"/>
      <c r="L11" s="118">
        <f>SUMIF(管道站场阀室关系!B:B,支线管道!C11,管道站场阀室关系!J:J)</f>
        <v>934</v>
      </c>
      <c r="M11" s="101">
        <v>20040630</v>
      </c>
      <c r="N11" s="101" t="s">
        <v>117</v>
      </c>
      <c r="O11" s="101"/>
    </row>
    <row r="12" spans="1:15">
      <c r="A12" s="161">
        <v>11</v>
      </c>
      <c r="B12" s="122" t="s">
        <v>28</v>
      </c>
      <c r="C12" s="166" t="s">
        <v>138</v>
      </c>
      <c r="D12" s="101" t="s">
        <v>139</v>
      </c>
      <c r="E12" s="101" t="s">
        <v>140</v>
      </c>
      <c r="F12" s="86">
        <f>SUMIF(管道站场阀室关系!B:B,支线管道!C12,管道站场阀室关系!H:H)</f>
        <v>8.2</v>
      </c>
      <c r="G12" s="101">
        <v>508</v>
      </c>
      <c r="H12" s="131"/>
      <c r="I12" s="131">
        <v>10</v>
      </c>
      <c r="J12" s="101">
        <v>10</v>
      </c>
      <c r="K12" s="101"/>
      <c r="L12" s="118">
        <f>SUMIF(管道站场阀室关系!B:B,支线管道!C12,管道站场阀室关系!J:J)</f>
        <v>1481.93480433599</v>
      </c>
      <c r="M12" s="101">
        <v>200506</v>
      </c>
      <c r="N12" s="101" t="s">
        <v>117</v>
      </c>
      <c r="O12" s="101"/>
    </row>
    <row r="13" spans="1:15">
      <c r="A13" s="161">
        <v>12</v>
      </c>
      <c r="B13" s="122" t="s">
        <v>28</v>
      </c>
      <c r="C13" s="166" t="s">
        <v>141</v>
      </c>
      <c r="D13" s="101" t="s">
        <v>142</v>
      </c>
      <c r="E13" s="101" t="s">
        <v>143</v>
      </c>
      <c r="F13" s="86">
        <f>SUMIF(管道站场阀室关系!B:B,支线管道!C13,管道站场阀室关系!H:H)</f>
        <v>80.219</v>
      </c>
      <c r="G13" s="101">
        <v>610</v>
      </c>
      <c r="H13" s="131"/>
      <c r="I13" s="131">
        <v>4</v>
      </c>
      <c r="J13" s="101">
        <v>20</v>
      </c>
      <c r="K13" s="101"/>
      <c r="L13" s="118">
        <f>SUMIF(管道站场阀室关系!B:B,支线管道!C13,管道站场阀室关系!J:J)</f>
        <v>23909.5499697597</v>
      </c>
      <c r="M13" s="101">
        <v>20110816</v>
      </c>
      <c r="N13" s="101" t="s">
        <v>117</v>
      </c>
      <c r="O13" s="101"/>
    </row>
    <row r="14" spans="1:15">
      <c r="A14" s="161">
        <v>13</v>
      </c>
      <c r="B14" s="122" t="s">
        <v>28</v>
      </c>
      <c r="C14" s="166" t="s">
        <v>144</v>
      </c>
      <c r="D14" s="101" t="s">
        <v>145</v>
      </c>
      <c r="E14" s="101" t="s">
        <v>146</v>
      </c>
      <c r="F14" s="86">
        <f>SUMIF(管道站场阀室关系!B:B,支线管道!C14,管道站场阀室关系!H:H)</f>
        <v>34.81</v>
      </c>
      <c r="G14" s="101">
        <v>1016</v>
      </c>
      <c r="H14" s="131">
        <v>26</v>
      </c>
      <c r="I14" s="131">
        <v>10</v>
      </c>
      <c r="J14" s="101" t="s">
        <v>147</v>
      </c>
      <c r="K14" s="101"/>
      <c r="L14" s="118">
        <f>SUMIF(管道站场阀室关系!B:B,支线管道!C14,管道站场阀室关系!J:J)</f>
        <v>25726.6194216521</v>
      </c>
      <c r="M14" s="101">
        <v>20070101</v>
      </c>
      <c r="N14" s="101" t="s">
        <v>117</v>
      </c>
      <c r="O14" s="101"/>
    </row>
    <row r="15" spans="1:15">
      <c r="A15" s="161">
        <v>14</v>
      </c>
      <c r="B15" s="122" t="s">
        <v>28</v>
      </c>
      <c r="C15" s="166" t="s">
        <v>148</v>
      </c>
      <c r="D15" s="101" t="s">
        <v>146</v>
      </c>
      <c r="E15" s="101" t="s">
        <v>149</v>
      </c>
      <c r="F15" s="86">
        <f>SUMIF(管道站场阀室关系!B:B,支线管道!C15,管道站场阀室关系!H:H)</f>
        <v>52.3467</v>
      </c>
      <c r="G15" s="101">
        <v>508</v>
      </c>
      <c r="H15" s="131"/>
      <c r="I15" s="131">
        <v>6.3</v>
      </c>
      <c r="J15" s="101">
        <v>21.66</v>
      </c>
      <c r="K15" s="101"/>
      <c r="L15" s="118">
        <f>SUMIF(管道站场阀室关系!B:B,支线管道!C15,管道站场阀室关系!J:J)</f>
        <v>10084.3745963532</v>
      </c>
      <c r="M15" s="101">
        <v>20160612</v>
      </c>
      <c r="N15" s="101" t="s">
        <v>117</v>
      </c>
      <c r="O15" s="101"/>
    </row>
    <row r="16" spans="1:15">
      <c r="A16" s="161">
        <v>15</v>
      </c>
      <c r="B16" s="122" t="s">
        <v>28</v>
      </c>
      <c r="C16" s="166" t="s">
        <v>150</v>
      </c>
      <c r="D16" s="101" t="s">
        <v>151</v>
      </c>
      <c r="E16" s="101" t="s">
        <v>152</v>
      </c>
      <c r="F16" s="86">
        <f>SUMIF(管道站场阀室关系!B:B,支线管道!C16,管道站场阀室关系!H:H)</f>
        <v>35</v>
      </c>
      <c r="G16" s="101">
        <v>610</v>
      </c>
      <c r="H16" s="131">
        <v>8</v>
      </c>
      <c r="I16" s="131">
        <v>6.3</v>
      </c>
      <c r="J16" s="101">
        <v>30</v>
      </c>
      <c r="K16" s="101"/>
      <c r="L16" s="118">
        <f>SUMIF(管道站场阀室关系!B:B,支线管道!C16,管道站场阀室关系!J:J)</f>
        <v>9668</v>
      </c>
      <c r="M16" s="101">
        <v>20090915</v>
      </c>
      <c r="N16" s="101" t="s">
        <v>117</v>
      </c>
      <c r="O16" s="101"/>
    </row>
    <row r="17" spans="1:15">
      <c r="A17" s="161">
        <v>16</v>
      </c>
      <c r="B17" s="122" t="s">
        <v>28</v>
      </c>
      <c r="C17" s="219" t="s">
        <v>153</v>
      </c>
      <c r="D17" s="101" t="s">
        <v>154</v>
      </c>
      <c r="E17" s="101" t="s">
        <v>155</v>
      </c>
      <c r="F17" s="86">
        <f>SUMIF(管道站场阀室关系!B:B,支线管道!C17,管道站场阀室关系!H:H)</f>
        <v>5.8</v>
      </c>
      <c r="G17" s="101">
        <v>406.4</v>
      </c>
      <c r="H17" s="131"/>
      <c r="I17" s="131"/>
      <c r="J17" s="101"/>
      <c r="K17" s="101"/>
      <c r="L17" s="118">
        <f>SUMIF(管道站场阀室关系!B:B,支线管道!C17,管道站场阀室关系!J:J)</f>
        <v>0</v>
      </c>
      <c r="M17" s="101"/>
      <c r="N17" s="101" t="s">
        <v>117</v>
      </c>
      <c r="O17" s="101"/>
    </row>
    <row r="18" spans="1:15">
      <c r="A18" s="161">
        <v>17</v>
      </c>
      <c r="B18" s="122" t="s">
        <v>28</v>
      </c>
      <c r="C18" s="219" t="s">
        <v>156</v>
      </c>
      <c r="D18" s="101" t="s">
        <v>154</v>
      </c>
      <c r="E18" s="101" t="s">
        <v>157</v>
      </c>
      <c r="F18" s="86">
        <f>SUMIF(管道站场阀室关系!B:B,支线管道!C18,管道站场阀室关系!H:H)</f>
        <v>1.25</v>
      </c>
      <c r="G18" s="101"/>
      <c r="H18" s="131"/>
      <c r="I18" s="131"/>
      <c r="J18" s="101"/>
      <c r="K18" s="101"/>
      <c r="L18" s="118">
        <f>SUMIF(管道站场阀室关系!B:B,支线管道!C18,管道站场阀室关系!J:J)</f>
        <v>680.64</v>
      </c>
      <c r="M18" s="101"/>
      <c r="N18" s="101"/>
      <c r="O18" s="101"/>
    </row>
    <row r="19" spans="1:15">
      <c r="A19" s="161">
        <v>18</v>
      </c>
      <c r="B19" s="122" t="s">
        <v>28</v>
      </c>
      <c r="C19" s="219" t="s">
        <v>158</v>
      </c>
      <c r="D19" s="101" t="s">
        <v>159</v>
      </c>
      <c r="E19" s="101" t="s">
        <v>160</v>
      </c>
      <c r="F19" s="86">
        <f>SUMIF(管道站场阀室关系!B:B,支线管道!C19,管道站场阀室关系!H:H)</f>
        <v>0.5</v>
      </c>
      <c r="G19" s="101"/>
      <c r="H19" s="131"/>
      <c r="I19" s="131"/>
      <c r="J19" s="101"/>
      <c r="K19" s="101"/>
      <c r="L19" s="118">
        <f>SUMIF(管道站场阀室关系!B:B,支线管道!C19,管道站场阀室关系!J:J)</f>
        <v>0</v>
      </c>
      <c r="M19" s="101"/>
      <c r="N19" s="101"/>
      <c r="O19" s="101"/>
    </row>
    <row r="20" spans="1:15">
      <c r="A20" s="161">
        <v>19</v>
      </c>
      <c r="B20" s="122" t="s">
        <v>30</v>
      </c>
      <c r="C20" s="166" t="s">
        <v>161</v>
      </c>
      <c r="D20" s="101" t="s">
        <v>162</v>
      </c>
      <c r="E20" s="101" t="s">
        <v>163</v>
      </c>
      <c r="F20" s="86">
        <f>SUMIF(管道站场阀室关系!B:B,支线管道!C20,管道站场阀室关系!H:H)</f>
        <v>530.476</v>
      </c>
      <c r="G20" s="101">
        <v>1016</v>
      </c>
      <c r="H20" s="131">
        <v>17.5</v>
      </c>
      <c r="I20" s="131">
        <v>10</v>
      </c>
      <c r="J20" s="101">
        <v>110</v>
      </c>
      <c r="K20" s="101"/>
      <c r="L20" s="118">
        <f>SUMIF(管道站场阀室关系!B:B,支线管道!C20,管道站场阀室关系!J:J)</f>
        <v>273090</v>
      </c>
      <c r="M20" s="101">
        <v>20060115</v>
      </c>
      <c r="N20" s="101" t="s">
        <v>117</v>
      </c>
      <c r="O20" s="222"/>
    </row>
    <row r="21" spans="1:15">
      <c r="A21" s="161">
        <v>20</v>
      </c>
      <c r="B21" s="122" t="s">
        <v>30</v>
      </c>
      <c r="C21" s="166" t="s">
        <v>164</v>
      </c>
      <c r="D21" s="101" t="s">
        <v>154</v>
      </c>
      <c r="E21" s="101" t="s">
        <v>162</v>
      </c>
      <c r="F21" s="86">
        <f>SUMIF(管道站场阀室关系!B:B,支线管道!C21,管道站场阀室关系!H:H)</f>
        <v>386.5989</v>
      </c>
      <c r="G21" s="101">
        <v>711</v>
      </c>
      <c r="H21" s="131">
        <v>12.3</v>
      </c>
      <c r="I21" s="131">
        <v>10</v>
      </c>
      <c r="J21" s="101">
        <v>110</v>
      </c>
      <c r="K21" s="101"/>
      <c r="L21" s="118">
        <f>SUMIF(管道站场阀室关系!B:B,支线管道!C21,管道站场阀室关系!J:J)</f>
        <v>138439.304973533</v>
      </c>
      <c r="M21" s="101">
        <v>20060115</v>
      </c>
      <c r="N21" s="101" t="s">
        <v>117</v>
      </c>
      <c r="O21" s="222"/>
    </row>
    <row r="22" spans="1:15">
      <c r="A22" s="161">
        <v>21</v>
      </c>
      <c r="B22" s="122" t="s">
        <v>30</v>
      </c>
      <c r="C22" s="166" t="s">
        <v>165</v>
      </c>
      <c r="D22" s="101" t="s">
        <v>166</v>
      </c>
      <c r="E22" s="101" t="s">
        <v>167</v>
      </c>
      <c r="F22" s="86">
        <f>SUMIF(管道站场阀室关系!B:B,支线管道!C22,管道站场阀室关系!H:H)</f>
        <v>90.5009</v>
      </c>
      <c r="G22" s="101">
        <v>406.4</v>
      </c>
      <c r="H22" s="131"/>
      <c r="I22" s="131">
        <v>6.3</v>
      </c>
      <c r="J22" s="101">
        <v>6.5</v>
      </c>
      <c r="K22" s="101"/>
      <c r="L22" s="118">
        <f>SUMIF(管道站场阀室关系!B:B,支线管道!C22,管道站场阀室关系!J:J)</f>
        <v>10707</v>
      </c>
      <c r="M22" s="101">
        <v>20060710</v>
      </c>
      <c r="N22" s="101" t="s">
        <v>117</v>
      </c>
      <c r="O22" s="101"/>
    </row>
    <row r="23" spans="1:15">
      <c r="A23" s="161">
        <v>22</v>
      </c>
      <c r="B23" s="122" t="s">
        <v>30</v>
      </c>
      <c r="C23" s="166" t="s">
        <v>168</v>
      </c>
      <c r="D23" s="101" t="s">
        <v>169</v>
      </c>
      <c r="E23" s="101" t="s">
        <v>170</v>
      </c>
      <c r="F23" s="86">
        <f>SUMIF(管道站场阀室关系!B:B,支线管道!C23,管道站场阀室关系!H:H)</f>
        <v>40.21</v>
      </c>
      <c r="G23" s="101">
        <v>323.9</v>
      </c>
      <c r="H23" s="131"/>
      <c r="I23" s="131">
        <v>6.3</v>
      </c>
      <c r="J23" s="101">
        <v>7.5</v>
      </c>
      <c r="K23" s="101"/>
      <c r="L23" s="118">
        <f>SUMIF(管道站场阀室关系!B:B,支线管道!C23,管道站场阀室关系!J:J)</f>
        <v>3060</v>
      </c>
      <c r="M23" s="101">
        <v>200710</v>
      </c>
      <c r="N23" s="101" t="s">
        <v>117</v>
      </c>
      <c r="O23" s="101"/>
    </row>
    <row r="24" spans="1:15">
      <c r="A24" s="161">
        <v>23</v>
      </c>
      <c r="B24" s="122" t="s">
        <v>30</v>
      </c>
      <c r="C24" s="166" t="s">
        <v>171</v>
      </c>
      <c r="D24" s="101" t="s">
        <v>172</v>
      </c>
      <c r="E24" s="101" t="s">
        <v>173</v>
      </c>
      <c r="F24" s="86">
        <f>SUMIF(管道站场阀室关系!B:B,支线管道!C24,管道站场阀室关系!H:H)</f>
        <v>55.1159</v>
      </c>
      <c r="G24" s="101">
        <v>610</v>
      </c>
      <c r="H24" s="131"/>
      <c r="I24" s="131">
        <v>10</v>
      </c>
      <c r="J24" s="101">
        <v>11.79</v>
      </c>
      <c r="K24" s="101"/>
      <c r="L24" s="118">
        <f>SUMIF(管道站场阀室关系!B:B,支线管道!C24,管道站场阀室关系!J:J)</f>
        <v>14964.3717588376</v>
      </c>
      <c r="M24" s="101">
        <v>20070130</v>
      </c>
      <c r="N24" s="101" t="s">
        <v>117</v>
      </c>
      <c r="O24" s="101"/>
    </row>
    <row r="25" spans="1:15">
      <c r="A25" s="161">
        <v>24</v>
      </c>
      <c r="B25" s="122" t="s">
        <v>30</v>
      </c>
      <c r="C25" s="166" t="s">
        <v>174</v>
      </c>
      <c r="D25" s="101" t="s">
        <v>172</v>
      </c>
      <c r="E25" s="101" t="s">
        <v>175</v>
      </c>
      <c r="F25" s="86">
        <f>SUMIF(管道站场阀室关系!B:B,支线管道!C25,管道站场阀室关系!H:H)</f>
        <v>139.869</v>
      </c>
      <c r="G25" s="101">
        <v>610</v>
      </c>
      <c r="H25" s="131"/>
      <c r="I25" s="131">
        <v>10</v>
      </c>
      <c r="J25" s="101">
        <v>4.4</v>
      </c>
      <c r="K25" s="101"/>
      <c r="L25" s="118">
        <f>SUMIF(管道站场阀室关系!B:B,支线管道!C25,管道站场阀室关系!J:J)</f>
        <v>39154.0999826804</v>
      </c>
      <c r="M25" s="101">
        <v>20061206</v>
      </c>
      <c r="N25" s="101" t="s">
        <v>117</v>
      </c>
      <c r="O25" s="101"/>
    </row>
    <row r="26" spans="1:15">
      <c r="A26" s="161">
        <v>25</v>
      </c>
      <c r="B26" s="122" t="s">
        <v>30</v>
      </c>
      <c r="C26" s="166" t="s">
        <v>176</v>
      </c>
      <c r="D26" s="101" t="s">
        <v>177</v>
      </c>
      <c r="E26" s="101" t="s">
        <v>178</v>
      </c>
      <c r="F26" s="86">
        <f>SUMIF(管道站场阀室关系!B:B,支线管道!C26,管道站场阀室关系!H:H)</f>
        <v>18.39</v>
      </c>
      <c r="G26" s="101">
        <v>168.3</v>
      </c>
      <c r="H26" s="131"/>
      <c r="I26" s="131">
        <v>6.3</v>
      </c>
      <c r="J26" s="101">
        <v>4.5</v>
      </c>
      <c r="K26" s="101"/>
      <c r="L26" s="118">
        <f>SUMIF(管道站场阀室关系!B:B,支线管道!C26,管道站场阀室关系!J:J)</f>
        <v>338</v>
      </c>
      <c r="M26" s="101">
        <v>200610</v>
      </c>
      <c r="N26" s="101" t="s">
        <v>117</v>
      </c>
      <c r="O26" s="101"/>
    </row>
    <row r="27" spans="1:15">
      <c r="A27" s="161">
        <v>26</v>
      </c>
      <c r="B27" s="122" t="s">
        <v>30</v>
      </c>
      <c r="C27" s="166" t="s">
        <v>179</v>
      </c>
      <c r="D27" s="101" t="s">
        <v>177</v>
      </c>
      <c r="E27" s="101" t="s">
        <v>180</v>
      </c>
      <c r="F27" s="86">
        <f>SUMIF(管道站场阀室关系!B:B,支线管道!C27,管道站场阀室关系!H:H)</f>
        <v>15.11</v>
      </c>
      <c r="G27" s="101">
        <v>219.1</v>
      </c>
      <c r="H27" s="131"/>
      <c r="I27" s="131">
        <v>6.3</v>
      </c>
      <c r="J27" s="101">
        <v>5</v>
      </c>
      <c r="K27" s="101"/>
      <c r="L27" s="118">
        <f>SUMIF(管道站场阀室关系!B:B,支线管道!C27,管道站场阀室关系!J:J)</f>
        <v>512</v>
      </c>
      <c r="M27" s="101">
        <v>200706</v>
      </c>
      <c r="N27" s="101" t="s">
        <v>117</v>
      </c>
      <c r="O27" s="101"/>
    </row>
    <row r="28" spans="1:15">
      <c r="A28" s="161">
        <v>27</v>
      </c>
      <c r="B28" s="122" t="s">
        <v>30</v>
      </c>
      <c r="C28" s="220" t="s">
        <v>181</v>
      </c>
      <c r="D28" s="101" t="s">
        <v>182</v>
      </c>
      <c r="E28" s="101" t="s">
        <v>162</v>
      </c>
      <c r="F28" s="86">
        <f>SUMIF(管道站场阀室关系!B:B,支线管道!C28,管道站场阀室关系!H:H)</f>
        <v>7</v>
      </c>
      <c r="G28" s="101">
        <v>1016</v>
      </c>
      <c r="H28" s="131"/>
      <c r="I28" s="131">
        <v>10</v>
      </c>
      <c r="J28" s="101">
        <v>110</v>
      </c>
      <c r="K28" s="101"/>
      <c r="L28" s="118">
        <f>SUMIF(管道站场阀室关系!B:B,支线管道!C28,管道站场阀室关系!J:J)</f>
        <v>0</v>
      </c>
      <c r="M28" s="101"/>
      <c r="N28" s="101" t="s">
        <v>117</v>
      </c>
      <c r="O28" s="101"/>
    </row>
    <row r="29" spans="1:15">
      <c r="A29" s="161">
        <v>28</v>
      </c>
      <c r="B29" s="122" t="s">
        <v>30</v>
      </c>
      <c r="C29" s="220" t="s">
        <v>183</v>
      </c>
      <c r="D29" s="101" t="s">
        <v>184</v>
      </c>
      <c r="E29" s="101" t="s">
        <v>185</v>
      </c>
      <c r="F29" s="86">
        <f>SUMIF(管道站场阀室关系!B:B,支线管道!C29,管道站场阀室关系!H:H)</f>
        <v>48</v>
      </c>
      <c r="G29" s="101">
        <v>457</v>
      </c>
      <c r="H29" s="131"/>
      <c r="I29" s="131">
        <v>10</v>
      </c>
      <c r="J29" s="101">
        <v>1</v>
      </c>
      <c r="K29" s="101"/>
      <c r="L29" s="118">
        <f>SUMIF(管道站场阀室关系!B:B,支线管道!C29,管道站场阀室关系!J:J)</f>
        <v>7513.8927672</v>
      </c>
      <c r="M29" s="101"/>
      <c r="N29" s="101" t="s">
        <v>117</v>
      </c>
      <c r="O29" s="101"/>
    </row>
    <row r="30" ht="30" spans="1:15">
      <c r="A30" s="161">
        <v>29</v>
      </c>
      <c r="B30" s="122" t="s">
        <v>31</v>
      </c>
      <c r="C30" s="166" t="s">
        <v>186</v>
      </c>
      <c r="D30" s="101" t="s">
        <v>187</v>
      </c>
      <c r="E30" s="101" t="s">
        <v>188</v>
      </c>
      <c r="F30" s="86">
        <f>SUMIF(管道站场阀室关系!B:B,支线管道!C30,管道站场阀室关系!H:H)</f>
        <v>221.4</v>
      </c>
      <c r="G30" s="101">
        <v>1016</v>
      </c>
      <c r="H30" s="131">
        <v>21</v>
      </c>
      <c r="I30" s="131">
        <v>10</v>
      </c>
      <c r="J30" s="101">
        <v>135</v>
      </c>
      <c r="K30" s="101"/>
      <c r="L30" s="118">
        <f>SUMIF(管道站场阀室关系!B:B,支线管道!C30,管道站场阀室关系!J:J)</f>
        <v>164554.121663521</v>
      </c>
      <c r="M30" s="101" t="s">
        <v>189</v>
      </c>
      <c r="N30" s="101" t="s">
        <v>117</v>
      </c>
      <c r="O30" s="101"/>
    </row>
    <row r="31" spans="1:15">
      <c r="A31" s="161">
        <v>30</v>
      </c>
      <c r="B31" s="122" t="s">
        <v>31</v>
      </c>
      <c r="C31" s="166" t="s">
        <v>190</v>
      </c>
      <c r="D31" s="101" t="s">
        <v>188</v>
      </c>
      <c r="E31" s="101" t="s">
        <v>191</v>
      </c>
      <c r="F31" s="86">
        <f>SUMIF(管道站场阀室关系!B:B,支线管道!C31,管道站场阀室关系!H:H)</f>
        <v>83.857</v>
      </c>
      <c r="G31" s="101">
        <v>610</v>
      </c>
      <c r="H31" s="131"/>
      <c r="I31" s="131" t="s">
        <v>192</v>
      </c>
      <c r="J31" s="101"/>
      <c r="K31" s="101"/>
      <c r="L31" s="118">
        <f>SUMIF(管道站场阀室关系!B:B,支线管道!C31,管道站场阀室关系!J:J)</f>
        <v>42374.0077700957</v>
      </c>
      <c r="M31" s="101">
        <v>20170908</v>
      </c>
      <c r="N31" s="101" t="s">
        <v>117</v>
      </c>
      <c r="O31" s="101"/>
    </row>
    <row r="32" spans="1:15">
      <c r="A32" s="161">
        <v>31</v>
      </c>
      <c r="B32" s="122" t="s">
        <v>31</v>
      </c>
      <c r="C32" s="166" t="s">
        <v>193</v>
      </c>
      <c r="D32" s="101" t="s">
        <v>194</v>
      </c>
      <c r="E32" s="101" t="s">
        <v>119</v>
      </c>
      <c r="F32" s="86">
        <f>SUMIF(管道站场阀室关系!B:B,支线管道!C32,管道站场阀室关系!H:H)</f>
        <v>57.9</v>
      </c>
      <c r="G32" s="101">
        <v>1016</v>
      </c>
      <c r="H32" s="131">
        <v>26.2</v>
      </c>
      <c r="I32" s="131">
        <v>10</v>
      </c>
      <c r="J32" s="101">
        <v>62.5</v>
      </c>
      <c r="K32" s="101"/>
      <c r="L32" s="118">
        <f>SUMIF(管道站场阀室关系!B:B,支线管道!C32,管道站场阀室关系!J:J)</f>
        <v>42509.3183035354</v>
      </c>
      <c r="M32" s="101">
        <v>20140915</v>
      </c>
      <c r="N32" s="101" t="s">
        <v>117</v>
      </c>
      <c r="O32" s="101"/>
    </row>
    <row r="33" s="209" customFormat="1" spans="1:15">
      <c r="A33" s="161">
        <v>32</v>
      </c>
      <c r="B33" s="122" t="s">
        <v>31</v>
      </c>
      <c r="C33" s="49" t="s">
        <v>195</v>
      </c>
      <c r="D33" s="161" t="s">
        <v>196</v>
      </c>
      <c r="E33" s="101" t="s">
        <v>197</v>
      </c>
      <c r="F33" s="86">
        <f>SUMIF(管道站场阀室关系!B:B,支线管道!C33,管道站场阀室关系!H:H)</f>
        <v>28.72</v>
      </c>
      <c r="G33" s="101">
        <v>219.1</v>
      </c>
      <c r="H33" s="131"/>
      <c r="I33" s="131">
        <v>6.3</v>
      </c>
      <c r="J33" s="101">
        <v>2</v>
      </c>
      <c r="K33" s="101">
        <v>57</v>
      </c>
      <c r="L33" s="118">
        <v>902</v>
      </c>
      <c r="M33" s="101">
        <v>20250802</v>
      </c>
      <c r="N33" s="101" t="s">
        <v>117</v>
      </c>
      <c r="O33" s="101"/>
    </row>
    <row r="34" spans="1:15">
      <c r="A34" s="161">
        <v>33</v>
      </c>
      <c r="B34" s="122" t="s">
        <v>32</v>
      </c>
      <c r="C34" s="166" t="s">
        <v>32</v>
      </c>
      <c r="D34" s="101" t="s">
        <v>198</v>
      </c>
      <c r="E34" s="101" t="s">
        <v>199</v>
      </c>
      <c r="F34" s="86">
        <f>SUMIF(管道站场阀室关系!B:B,支线管道!C34,管道站场阀室关系!H:H)</f>
        <v>436.889</v>
      </c>
      <c r="G34" s="101">
        <v>610</v>
      </c>
      <c r="H34" s="131">
        <v>7</v>
      </c>
      <c r="I34" s="131">
        <v>6.3</v>
      </c>
      <c r="J34" s="101">
        <v>22</v>
      </c>
      <c r="K34" s="101"/>
      <c r="L34" s="118">
        <f>SUMIF(管道站场阀室关系!B:B,支线管道!C34,管道站场阀室关系!J:J)</f>
        <v>116059</v>
      </c>
      <c r="M34" s="101">
        <v>20061215</v>
      </c>
      <c r="N34" s="101" t="s">
        <v>117</v>
      </c>
      <c r="O34" s="101"/>
    </row>
    <row r="35" spans="1:15">
      <c r="A35" s="161">
        <v>34</v>
      </c>
      <c r="B35" s="122" t="s">
        <v>33</v>
      </c>
      <c r="C35" s="166" t="s">
        <v>200</v>
      </c>
      <c r="D35" s="101" t="s">
        <v>201</v>
      </c>
      <c r="E35" s="101" t="s">
        <v>111</v>
      </c>
      <c r="F35" s="83">
        <f>SUMIF(管道站场阀室关系!B:B,支线管道!C35,管道站场阀室关系!H:H)</f>
        <v>1350.101</v>
      </c>
      <c r="G35" s="101">
        <v>1219</v>
      </c>
      <c r="H35" s="131">
        <v>27</v>
      </c>
      <c r="I35" s="131">
        <v>12</v>
      </c>
      <c r="J35" s="101">
        <v>300</v>
      </c>
      <c r="K35" s="101">
        <v>8571</v>
      </c>
      <c r="L35" s="118">
        <f>SUMIF(管道站场阀室关系!B:B,支线管道!C35,管道站场阀室关系!J:J)</f>
        <v>1472005</v>
      </c>
      <c r="M35" s="101">
        <v>20091215</v>
      </c>
      <c r="N35" s="101" t="s">
        <v>112</v>
      </c>
      <c r="O35" s="101"/>
    </row>
    <row r="36" spans="1:15">
      <c r="A36" s="161">
        <v>35</v>
      </c>
      <c r="B36" s="122" t="s">
        <v>33</v>
      </c>
      <c r="C36" s="166" t="s">
        <v>202</v>
      </c>
      <c r="D36" s="101" t="s">
        <v>111</v>
      </c>
      <c r="E36" s="101" t="s">
        <v>114</v>
      </c>
      <c r="F36" s="83">
        <f>SUMIF(管道站场阀室关系!B:B,支线管道!C36,管道站场阀室关系!H:H)</f>
        <v>1076.2283</v>
      </c>
      <c r="G36" s="101">
        <v>1219</v>
      </c>
      <c r="H36" s="131">
        <v>27</v>
      </c>
      <c r="I36" s="131">
        <v>12</v>
      </c>
      <c r="J36" s="101">
        <v>300</v>
      </c>
      <c r="K36" s="101">
        <v>8571</v>
      </c>
      <c r="L36" s="118">
        <f>SUMIF(管道站场阀室关系!B:B,支线管道!C36,管道站场阀室关系!J:J)</f>
        <v>1171905</v>
      </c>
      <c r="M36" s="101">
        <v>20091215</v>
      </c>
      <c r="N36" s="101" t="s">
        <v>112</v>
      </c>
      <c r="O36" s="101"/>
    </row>
    <row r="37" ht="30" spans="1:15">
      <c r="A37" s="161">
        <v>36</v>
      </c>
      <c r="B37" s="122" t="s">
        <v>33</v>
      </c>
      <c r="C37" s="166" t="s">
        <v>203</v>
      </c>
      <c r="D37" s="101" t="s">
        <v>114</v>
      </c>
      <c r="E37" s="101" t="s">
        <v>204</v>
      </c>
      <c r="F37" s="85">
        <f>SUMIF(管道站场阀室关系!B:B,支线管道!C37,管道站场阀室关系!H:H)</f>
        <v>1953.7728</v>
      </c>
      <c r="G37" s="101">
        <v>1219</v>
      </c>
      <c r="H37" s="131">
        <v>20</v>
      </c>
      <c r="I37" s="131">
        <v>10</v>
      </c>
      <c r="J37" s="101">
        <v>280</v>
      </c>
      <c r="K37" s="101">
        <v>8000</v>
      </c>
      <c r="L37" s="118">
        <f>SUMIF(管道站场阀室关系!B:B,支线管道!C37,管道站场阀室关系!J:J)</f>
        <v>2151274.88817241</v>
      </c>
      <c r="M37" s="101" t="s">
        <v>205</v>
      </c>
      <c r="N37" s="101" t="s">
        <v>206</v>
      </c>
      <c r="O37" s="101"/>
    </row>
    <row r="38" spans="1:15">
      <c r="A38" s="161">
        <v>37</v>
      </c>
      <c r="B38" s="122" t="s">
        <v>33</v>
      </c>
      <c r="C38" s="219" t="s">
        <v>207</v>
      </c>
      <c r="D38" s="101" t="s">
        <v>204</v>
      </c>
      <c r="E38" s="101" t="s">
        <v>208</v>
      </c>
      <c r="F38" s="87">
        <f>SUMIF(管道站场阀室关系!B:B,支线管道!C38,管道站场阀室关系!H:H)</f>
        <v>530.714199999999</v>
      </c>
      <c r="G38" s="101">
        <v>1219</v>
      </c>
      <c r="H38" s="131">
        <v>20</v>
      </c>
      <c r="I38" s="131">
        <v>10</v>
      </c>
      <c r="J38" s="101">
        <v>280</v>
      </c>
      <c r="K38" s="101">
        <v>8000</v>
      </c>
      <c r="L38" s="118">
        <f>SUMIF(管道站场阀室关系!B:B,支线管道!C38,管道站场阀室关系!J:J)</f>
        <v>557972.75774989</v>
      </c>
      <c r="M38" s="101">
        <v>20110620</v>
      </c>
      <c r="N38" s="101" t="s">
        <v>209</v>
      </c>
      <c r="O38" s="101"/>
    </row>
    <row r="39" spans="1:15">
      <c r="A39" s="161">
        <v>38</v>
      </c>
      <c r="B39" s="122" t="s">
        <v>33</v>
      </c>
      <c r="C39" s="166" t="s">
        <v>210</v>
      </c>
      <c r="D39" s="101" t="s">
        <v>211</v>
      </c>
      <c r="E39" s="101" t="s">
        <v>212</v>
      </c>
      <c r="F39" s="83">
        <f>SUMIF(管道站场阀室关系!B:B,支线管道!C39,管道站场阀室关系!H:H)</f>
        <v>8.1</v>
      </c>
      <c r="G39" s="101">
        <v>219</v>
      </c>
      <c r="H39" s="131">
        <v>7.1</v>
      </c>
      <c r="I39" s="131">
        <v>6.3</v>
      </c>
      <c r="J39" s="101">
        <v>6</v>
      </c>
      <c r="K39" s="101">
        <v>171</v>
      </c>
      <c r="L39" s="118">
        <f>SUMIF(管道站场阀室关系!B:B,支线管道!C39,管道站场阀室关系!J:J)</f>
        <v>267</v>
      </c>
      <c r="M39" s="101">
        <v>201012</v>
      </c>
      <c r="N39" s="101" t="s">
        <v>112</v>
      </c>
      <c r="O39" s="101"/>
    </row>
    <row r="40" spans="1:15">
      <c r="A40" s="161">
        <v>39</v>
      </c>
      <c r="B40" s="122" t="s">
        <v>33</v>
      </c>
      <c r="C40" s="166" t="s">
        <v>213</v>
      </c>
      <c r="D40" s="101" t="s">
        <v>214</v>
      </c>
      <c r="E40" s="101" t="s">
        <v>215</v>
      </c>
      <c r="F40" s="83">
        <f>SUMIF(管道站场阀室关系!B:B,支线管道!C40,管道站场阀室关系!H:H)</f>
        <v>15.14</v>
      </c>
      <c r="G40" s="101">
        <v>168</v>
      </c>
      <c r="H40" s="131">
        <v>5.6</v>
      </c>
      <c r="I40" s="131">
        <v>6.3</v>
      </c>
      <c r="J40" s="101">
        <v>2.4</v>
      </c>
      <c r="K40" s="101"/>
      <c r="L40" s="118">
        <f>SUMIF(管道站场阀室关系!B:B,支线管道!C40,管道站场阀室关系!J:J)</f>
        <v>292</v>
      </c>
      <c r="M40" s="101">
        <v>20110413</v>
      </c>
      <c r="N40" s="101" t="s">
        <v>112</v>
      </c>
      <c r="O40" s="223" t="s">
        <v>216</v>
      </c>
    </row>
    <row r="41" spans="1:15">
      <c r="A41" s="161">
        <v>40</v>
      </c>
      <c r="B41" s="122" t="s">
        <v>33</v>
      </c>
      <c r="C41" s="166" t="s">
        <v>217</v>
      </c>
      <c r="D41" s="101" t="s">
        <v>214</v>
      </c>
      <c r="E41" s="101" t="s">
        <v>218</v>
      </c>
      <c r="F41" s="83">
        <f>SUMIF(管道站场阀室关系!B:B,支线管道!C41,管道站场阀室关系!H:H)</f>
        <v>11</v>
      </c>
      <c r="G41" s="101">
        <v>168</v>
      </c>
      <c r="H41" s="131">
        <v>5.6</v>
      </c>
      <c r="I41" s="131">
        <v>6.3</v>
      </c>
      <c r="J41" s="101">
        <v>1.28</v>
      </c>
      <c r="K41" s="101"/>
      <c r="L41" s="118">
        <f>SUMIF(管道站场阀室关系!B:B,支线管道!C41,管道站场阀室关系!J:J)</f>
        <v>212</v>
      </c>
      <c r="M41" s="101">
        <v>20111207</v>
      </c>
      <c r="N41" s="101" t="s">
        <v>112</v>
      </c>
      <c r="O41" s="223" t="s">
        <v>216</v>
      </c>
    </row>
    <row r="42" spans="1:15">
      <c r="A42" s="161">
        <v>41</v>
      </c>
      <c r="B42" s="122" t="s">
        <v>33</v>
      </c>
      <c r="C42" s="166" t="s">
        <v>219</v>
      </c>
      <c r="D42" s="101" t="s">
        <v>220</v>
      </c>
      <c r="E42" s="101" t="s">
        <v>221</v>
      </c>
      <c r="F42" s="83">
        <f>SUMIF(管道站场阀室关系!B:B,支线管道!C42,管道站场阀室关系!H:H)</f>
        <v>22.93</v>
      </c>
      <c r="G42" s="101">
        <v>168</v>
      </c>
      <c r="H42" s="131">
        <v>5.6</v>
      </c>
      <c r="I42" s="131">
        <v>6.3</v>
      </c>
      <c r="J42" s="101">
        <v>2.06</v>
      </c>
      <c r="K42" s="101"/>
      <c r="L42" s="118">
        <f>SUMIF(管道站场阀室关系!B:B,支线管道!C42,管道站场阀室关系!J:J)</f>
        <v>443</v>
      </c>
      <c r="M42" s="101">
        <v>20110903</v>
      </c>
      <c r="N42" s="101" t="s">
        <v>112</v>
      </c>
      <c r="O42" s="223" t="s">
        <v>216</v>
      </c>
    </row>
    <row r="43" spans="1:15">
      <c r="A43" s="161">
        <v>42</v>
      </c>
      <c r="B43" s="122" t="s">
        <v>33</v>
      </c>
      <c r="C43" s="166" t="s">
        <v>222</v>
      </c>
      <c r="D43" s="101" t="s">
        <v>223</v>
      </c>
      <c r="E43" s="101" t="s">
        <v>224</v>
      </c>
      <c r="F43" s="83">
        <f>SUMIF(管道站场阀室关系!B:B,支线管道!C43,管道站场阀室关系!H:H)</f>
        <v>48.029</v>
      </c>
      <c r="G43" s="101">
        <v>168</v>
      </c>
      <c r="H43" s="131">
        <v>5.6</v>
      </c>
      <c r="I43" s="131">
        <v>12</v>
      </c>
      <c r="J43" s="101">
        <v>3.68</v>
      </c>
      <c r="K43" s="101"/>
      <c r="L43" s="118">
        <f>SUMIF(管道站场阀室关系!B:B,支线管道!C43,管道站场阀室关系!J:J)</f>
        <v>926.3</v>
      </c>
      <c r="M43" s="101">
        <v>20111110</v>
      </c>
      <c r="N43" s="101" t="s">
        <v>112</v>
      </c>
      <c r="O43" s="223" t="s">
        <v>216</v>
      </c>
    </row>
    <row r="44" spans="1:15">
      <c r="A44" s="161">
        <v>43</v>
      </c>
      <c r="B44" s="122" t="s">
        <v>33</v>
      </c>
      <c r="C44" s="166" t="s">
        <v>225</v>
      </c>
      <c r="D44" s="101" t="s">
        <v>226</v>
      </c>
      <c r="E44" s="101" t="s">
        <v>227</v>
      </c>
      <c r="F44" s="83">
        <f>SUMIF(管道站场阀室关系!B:B,支线管道!C44,管道站场阀室关系!H:H)</f>
        <v>9.12</v>
      </c>
      <c r="G44" s="101">
        <v>168</v>
      </c>
      <c r="H44" s="131">
        <v>5.6</v>
      </c>
      <c r="I44" s="131">
        <v>6.3</v>
      </c>
      <c r="J44" s="101">
        <v>1.47</v>
      </c>
      <c r="K44" s="101"/>
      <c r="L44" s="118">
        <f>SUMIF(管道站场阀室关系!B:B,支线管道!C44,管道站场阀室关系!J:J)</f>
        <v>176</v>
      </c>
      <c r="M44" s="101">
        <v>20110630</v>
      </c>
      <c r="N44" s="101" t="s">
        <v>112</v>
      </c>
      <c r="O44" s="223" t="s">
        <v>216</v>
      </c>
    </row>
    <row r="45" spans="1:15">
      <c r="A45" s="161">
        <v>44</v>
      </c>
      <c r="B45" s="122" t="s">
        <v>33</v>
      </c>
      <c r="C45" s="166" t="s">
        <v>228</v>
      </c>
      <c r="D45" s="101" t="s">
        <v>229</v>
      </c>
      <c r="E45" s="101" t="s">
        <v>230</v>
      </c>
      <c r="F45" s="85">
        <f>SUMIF(管道站场阀室关系!B:B,支线管道!C45,管道站场阀室关系!H:H)</f>
        <v>24.64</v>
      </c>
      <c r="G45" s="101">
        <v>508</v>
      </c>
      <c r="H45" s="131">
        <v>8</v>
      </c>
      <c r="I45" s="131">
        <v>6.3</v>
      </c>
      <c r="J45" s="101">
        <v>35.73</v>
      </c>
      <c r="K45" s="101"/>
      <c r="L45" s="118">
        <f>SUMIF(管道站场阀室关系!B:B,支线管道!C45,管道站场阀室关系!J:J)</f>
        <v>4697</v>
      </c>
      <c r="M45" s="101">
        <v>20111212</v>
      </c>
      <c r="N45" s="101" t="s">
        <v>206</v>
      </c>
      <c r="O45" s="101"/>
    </row>
    <row r="46" ht="30" spans="1:15">
      <c r="A46" s="161">
        <v>45</v>
      </c>
      <c r="B46" s="122" t="s">
        <v>33</v>
      </c>
      <c r="C46" s="166" t="s">
        <v>231</v>
      </c>
      <c r="D46" s="101" t="s">
        <v>232</v>
      </c>
      <c r="E46" s="101" t="s">
        <v>233</v>
      </c>
      <c r="F46" s="86">
        <f>SUMIF(管道站场阀室关系!B:B,支线管道!C46,管道站场阀室关系!H:H)</f>
        <v>4.051</v>
      </c>
      <c r="G46" s="101">
        <v>508</v>
      </c>
      <c r="H46" s="131">
        <v>7</v>
      </c>
      <c r="I46" s="131">
        <v>6.3</v>
      </c>
      <c r="J46" s="101">
        <v>25</v>
      </c>
      <c r="K46" s="101"/>
      <c r="L46" s="118">
        <f>SUMIF(管道站场阀室关系!B:B,支线管道!C46,管道站场阀室关系!J:J)</f>
        <v>711</v>
      </c>
      <c r="M46" s="101">
        <v>20101118</v>
      </c>
      <c r="N46" s="101" t="s">
        <v>117</v>
      </c>
      <c r="O46" s="101"/>
    </row>
    <row r="47" ht="30" spans="1:15">
      <c r="A47" s="161">
        <v>46</v>
      </c>
      <c r="B47" s="122" t="s">
        <v>33</v>
      </c>
      <c r="C47" s="166" t="s">
        <v>234</v>
      </c>
      <c r="D47" s="101" t="s">
        <v>235</v>
      </c>
      <c r="E47" s="101" t="s">
        <v>236</v>
      </c>
      <c r="F47" s="85">
        <f>SUMIF(管道站场阀室关系!B:B,支线管道!C47,管道站场阀室关系!H:H)</f>
        <v>20.796</v>
      </c>
      <c r="G47" s="101">
        <v>813</v>
      </c>
      <c r="H47" s="131">
        <v>17.5</v>
      </c>
      <c r="I47" s="131">
        <v>10</v>
      </c>
      <c r="J47" s="101" t="s">
        <v>237</v>
      </c>
      <c r="K47" s="101"/>
      <c r="L47" s="118">
        <f>SUMIF(管道站场阀室关系!B:B,支线管道!C47,管道站场阀室关系!J:J)</f>
        <v>647</v>
      </c>
      <c r="M47" s="101">
        <v>20150610</v>
      </c>
      <c r="N47" s="101" t="s">
        <v>206</v>
      </c>
      <c r="O47" s="101"/>
    </row>
    <row r="48" s="209" customFormat="1" ht="45" spans="1:15">
      <c r="A48" s="161">
        <v>47</v>
      </c>
      <c r="B48" s="122" t="s">
        <v>33</v>
      </c>
      <c r="C48" s="219" t="s">
        <v>238</v>
      </c>
      <c r="D48" s="101" t="s">
        <v>239</v>
      </c>
      <c r="E48" s="101" t="s">
        <v>240</v>
      </c>
      <c r="F48" s="85">
        <f>SUMIF(管道站场阀室关系!B:B,支线管道!C48,管道站场阀室关系!H:H)</f>
        <v>23.39</v>
      </c>
      <c r="G48" s="101" t="s">
        <v>241</v>
      </c>
      <c r="H48" s="131" t="s">
        <v>242</v>
      </c>
      <c r="I48" s="131" t="s">
        <v>192</v>
      </c>
      <c r="J48" s="101">
        <v>13.8</v>
      </c>
      <c r="K48" s="101">
        <v>378.1</v>
      </c>
      <c r="L48" s="118">
        <f>SUMIF(管道站场阀室关系!B:B,支线管道!C48,管道站场阀室关系!J:J)</f>
        <v>3579</v>
      </c>
      <c r="M48" s="101">
        <v>20250928</v>
      </c>
      <c r="N48" s="101" t="s">
        <v>206</v>
      </c>
      <c r="O48" s="101"/>
    </row>
    <row r="49" spans="1:15">
      <c r="A49" s="161">
        <v>48</v>
      </c>
      <c r="B49" s="122" t="s">
        <v>34</v>
      </c>
      <c r="C49" s="166" t="s">
        <v>34</v>
      </c>
      <c r="D49" s="101" t="s">
        <v>110</v>
      </c>
      <c r="E49" s="101" t="s">
        <v>243</v>
      </c>
      <c r="F49" s="85">
        <f>SUMIF(管道站场阀室关系!B:B,支线管道!C49,管道站场阀室关系!H:H)</f>
        <v>524</v>
      </c>
      <c r="G49" s="101">
        <v>1016</v>
      </c>
      <c r="H49" s="131">
        <v>14</v>
      </c>
      <c r="I49" s="131">
        <v>10</v>
      </c>
      <c r="J49" s="101">
        <v>170</v>
      </c>
      <c r="K49" s="101"/>
      <c r="L49" s="118">
        <f>SUMIF(管道站场阀室关系!B:B,支线管道!C49,管道站场阀室关系!J:J)</f>
        <v>424150</v>
      </c>
      <c r="M49" s="101">
        <v>20121010</v>
      </c>
      <c r="N49" s="101" t="s">
        <v>112</v>
      </c>
      <c r="O49" s="101"/>
    </row>
    <row r="50" spans="1:15">
      <c r="A50" s="161">
        <v>49</v>
      </c>
      <c r="B50" s="122" t="s">
        <v>35</v>
      </c>
      <c r="C50" s="166" t="s">
        <v>35</v>
      </c>
      <c r="D50" s="101" t="s">
        <v>114</v>
      </c>
      <c r="E50" s="101" t="s">
        <v>244</v>
      </c>
      <c r="F50" s="85">
        <f>SUMIF(管道站场阀室关系!B:B,支线管道!C50,管道站场阀室关系!H:H)</f>
        <v>335.4</v>
      </c>
      <c r="G50" s="101">
        <v>1016</v>
      </c>
      <c r="H50" s="131">
        <v>14</v>
      </c>
      <c r="I50" s="131">
        <v>10</v>
      </c>
      <c r="J50" s="101">
        <v>100</v>
      </c>
      <c r="K50" s="101"/>
      <c r="L50" s="118">
        <f>SUMIF(管道站场阀室关系!B:B,支线管道!C50,管道站场阀室关系!J:J)</f>
        <v>262751.21</v>
      </c>
      <c r="M50" s="101">
        <v>20091130</v>
      </c>
      <c r="N50" s="101" t="s">
        <v>117</v>
      </c>
      <c r="O50" s="101"/>
    </row>
    <row r="51" ht="30" spans="1:15">
      <c r="A51" s="161">
        <v>50</v>
      </c>
      <c r="B51" s="122" t="s">
        <v>36</v>
      </c>
      <c r="C51" s="166" t="s">
        <v>36</v>
      </c>
      <c r="D51" s="101" t="s">
        <v>245</v>
      </c>
      <c r="E51" s="101" t="s">
        <v>246</v>
      </c>
      <c r="F51" s="85">
        <f>SUMIF(管道站场阀室关系!B:B,支线管道!C51,管道站场阀室关系!H:H)</f>
        <v>178.0499</v>
      </c>
      <c r="G51" s="101" t="s">
        <v>247</v>
      </c>
      <c r="H51" s="131">
        <v>5.2</v>
      </c>
      <c r="I51" s="131">
        <v>6.3</v>
      </c>
      <c r="J51" s="101" t="s">
        <v>248</v>
      </c>
      <c r="K51" s="101"/>
      <c r="L51" s="118">
        <f>SUMIF(管道站场阀室关系!B:B,支线管道!C51,管道站场阀室关系!J:J)</f>
        <v>35089</v>
      </c>
      <c r="M51" s="101" t="s">
        <v>249</v>
      </c>
      <c r="N51" s="101" t="s">
        <v>206</v>
      </c>
      <c r="O51" s="101"/>
    </row>
    <row r="52" spans="1:15">
      <c r="A52" s="161">
        <v>51</v>
      </c>
      <c r="B52" s="122" t="s">
        <v>36</v>
      </c>
      <c r="C52" s="166" t="s">
        <v>250</v>
      </c>
      <c r="D52" s="101" t="s">
        <v>251</v>
      </c>
      <c r="E52" s="101" t="s">
        <v>252</v>
      </c>
      <c r="F52" s="85">
        <f>SUMIF(管道站场阀室关系!B:B,支线管道!C52,管道站场阀室关系!H:H)</f>
        <v>27.6999</v>
      </c>
      <c r="G52" s="101">
        <v>406</v>
      </c>
      <c r="H52" s="131">
        <v>5.2</v>
      </c>
      <c r="I52" s="131">
        <v>6.3</v>
      </c>
      <c r="J52" s="101">
        <v>10</v>
      </c>
      <c r="K52" s="101"/>
      <c r="L52" s="118">
        <f>SUMIF(管道站场阀室关系!B:B,支线管道!C52,管道站场阀室关系!J:J)</f>
        <v>3278</v>
      </c>
      <c r="M52" s="101">
        <v>20101118</v>
      </c>
      <c r="N52" s="101" t="s">
        <v>206</v>
      </c>
      <c r="O52" s="101"/>
    </row>
    <row r="53" spans="1:15">
      <c r="A53" s="161">
        <v>52</v>
      </c>
      <c r="B53" s="122" t="s">
        <v>36</v>
      </c>
      <c r="C53" s="219" t="s">
        <v>253</v>
      </c>
      <c r="D53" s="101" t="s">
        <v>254</v>
      </c>
      <c r="E53" s="101" t="s">
        <v>255</v>
      </c>
      <c r="F53" s="85">
        <f>SUMIF(管道站场阀室关系!B:B,支线管道!C53,管道站场阀室关系!H:H)</f>
        <v>0.43</v>
      </c>
      <c r="G53" s="101"/>
      <c r="H53" s="131"/>
      <c r="I53" s="131"/>
      <c r="J53" s="101"/>
      <c r="K53" s="101"/>
      <c r="L53" s="118">
        <f>SUMIF(管道站场阀室关系!B:B,支线管道!C53,管道站场阀室关系!J:J)</f>
        <v>53.46</v>
      </c>
      <c r="M53" s="101"/>
      <c r="N53" s="101"/>
      <c r="O53" s="101"/>
    </row>
    <row r="54" spans="1:15">
      <c r="A54" s="161">
        <v>53</v>
      </c>
      <c r="B54" s="122" t="s">
        <v>37</v>
      </c>
      <c r="C54" s="166" t="s">
        <v>37</v>
      </c>
      <c r="D54" s="101" t="s">
        <v>256</v>
      </c>
      <c r="E54" s="101" t="s">
        <v>257</v>
      </c>
      <c r="F54" s="85">
        <f>SUMIF(管道站场阀室关系!B:B,支线管道!C54,管道站场阀室关系!H:H)</f>
        <v>262.2999</v>
      </c>
      <c r="G54" s="101">
        <v>660</v>
      </c>
      <c r="H54" s="131">
        <v>8</v>
      </c>
      <c r="I54" s="131">
        <v>10</v>
      </c>
      <c r="J54" s="101">
        <v>40</v>
      </c>
      <c r="K54" s="101"/>
      <c r="L54" s="118">
        <f>SUMIF(管道站场阀室关系!B:B,支线管道!C54,管道站场阀室关系!J:J)</f>
        <v>81166.3190324826</v>
      </c>
      <c r="M54" s="101">
        <v>20110724</v>
      </c>
      <c r="N54" s="101" t="s">
        <v>206</v>
      </c>
      <c r="O54" s="101"/>
    </row>
    <row r="55" spans="1:15">
      <c r="A55" s="161">
        <v>54</v>
      </c>
      <c r="B55" s="122" t="s">
        <v>38</v>
      </c>
      <c r="C55" s="166" t="s">
        <v>38</v>
      </c>
      <c r="D55" s="101" t="s">
        <v>258</v>
      </c>
      <c r="E55" s="101" t="s">
        <v>259</v>
      </c>
      <c r="F55" s="85">
        <f>SUMIF(管道站场阀室关系!B:B,支线管道!C55,管道站场阀室关系!H:H)</f>
        <v>802.5978</v>
      </c>
      <c r="G55" s="101">
        <v>1016</v>
      </c>
      <c r="H55" s="131">
        <v>14</v>
      </c>
      <c r="I55" s="131">
        <v>10</v>
      </c>
      <c r="J55" s="101">
        <v>100</v>
      </c>
      <c r="K55" s="101"/>
      <c r="L55" s="118">
        <f>SUMIF(管道站场阀室关系!B:B,支线管道!C55,管道站场阀室关系!J:J)</f>
        <v>611724.306326</v>
      </c>
      <c r="M55" s="101">
        <v>20120519</v>
      </c>
      <c r="N55" s="101" t="s">
        <v>206</v>
      </c>
      <c r="O55" s="101"/>
    </row>
    <row r="56" ht="30" spans="1:15">
      <c r="A56" s="161">
        <v>55</v>
      </c>
      <c r="B56" s="122" t="s">
        <v>38</v>
      </c>
      <c r="C56" s="166" t="s">
        <v>260</v>
      </c>
      <c r="D56" s="101" t="s">
        <v>261</v>
      </c>
      <c r="E56" s="101" t="s">
        <v>142</v>
      </c>
      <c r="F56" s="85">
        <f>SUMIF(管道站场阀室关系!B:B,支线管道!C56,管道站场阀室关系!H:H)</f>
        <v>100.2269</v>
      </c>
      <c r="G56" s="101">
        <v>1016</v>
      </c>
      <c r="H56" s="131">
        <v>14</v>
      </c>
      <c r="I56" s="131">
        <v>10</v>
      </c>
      <c r="J56" s="101">
        <v>41</v>
      </c>
      <c r="K56" s="101"/>
      <c r="L56" s="118">
        <f>SUMIF(管道站场阀室关系!B:B,支线管道!C56,管道站场阀室关系!J:J)</f>
        <v>75786.2788242489</v>
      </c>
      <c r="M56" s="101" t="s">
        <v>262</v>
      </c>
      <c r="N56" s="101" t="s">
        <v>206</v>
      </c>
      <c r="O56" s="101"/>
    </row>
    <row r="57" ht="30" spans="1:15">
      <c r="A57" s="161">
        <v>56</v>
      </c>
      <c r="B57" s="122" t="s">
        <v>39</v>
      </c>
      <c r="C57" s="166" t="s">
        <v>263</v>
      </c>
      <c r="D57" s="101" t="s">
        <v>264</v>
      </c>
      <c r="E57" s="101" t="s">
        <v>265</v>
      </c>
      <c r="F57" s="85">
        <f>SUMIF(管道站场阀室关系!B:B,支线管道!C57,管道站场阀室关系!H:H)</f>
        <v>253.34</v>
      </c>
      <c r="G57" s="101">
        <v>1016</v>
      </c>
      <c r="H57" s="131">
        <v>14</v>
      </c>
      <c r="I57" s="131">
        <v>10</v>
      </c>
      <c r="J57" s="101">
        <v>100</v>
      </c>
      <c r="K57" s="101"/>
      <c r="L57" s="118">
        <f>SUMIF(管道站场阀室关系!B:B,支线管道!C57,管道站场阀室关系!J:J)</f>
        <v>186461.750988446</v>
      </c>
      <c r="M57" s="101" t="s">
        <v>266</v>
      </c>
      <c r="N57" s="101" t="s">
        <v>206</v>
      </c>
      <c r="O57" s="101"/>
    </row>
    <row r="58" spans="1:15">
      <c r="A58" s="161">
        <v>57</v>
      </c>
      <c r="B58" s="122" t="s">
        <v>39</v>
      </c>
      <c r="C58" s="166" t="s">
        <v>267</v>
      </c>
      <c r="D58" s="101" t="s">
        <v>265</v>
      </c>
      <c r="E58" s="101" t="s">
        <v>182</v>
      </c>
      <c r="F58" s="85">
        <f>SUMIF(管道站场阀室关系!B:B,支线管道!C58,管道站场阀室关系!H:H)</f>
        <v>291.9699</v>
      </c>
      <c r="G58" s="101">
        <v>1016</v>
      </c>
      <c r="H58" s="131">
        <v>14</v>
      </c>
      <c r="I58" s="131">
        <v>10</v>
      </c>
      <c r="J58" s="101">
        <v>100</v>
      </c>
      <c r="K58" s="101"/>
      <c r="L58" s="118">
        <f>SUMIF(管道站场阀室关系!B:B,支线管道!C58,管道站场阀室关系!J:J)</f>
        <v>211811.733684777</v>
      </c>
      <c r="M58" s="101"/>
      <c r="N58" s="101" t="s">
        <v>206</v>
      </c>
      <c r="O58" s="101"/>
    </row>
    <row r="59" spans="1:15">
      <c r="A59" s="161">
        <v>58</v>
      </c>
      <c r="B59" s="122" t="s">
        <v>39</v>
      </c>
      <c r="C59" s="221" t="s">
        <v>268</v>
      </c>
      <c r="D59" s="101" t="s">
        <v>269</v>
      </c>
      <c r="E59" s="101" t="s">
        <v>270</v>
      </c>
      <c r="F59" s="85">
        <f>SUMIF(管道站场阀室关系!B:B,支线管道!C59,管道站场阀室关系!H:H)</f>
        <v>25.6</v>
      </c>
      <c r="G59" s="101">
        <v>711</v>
      </c>
      <c r="H59" s="131"/>
      <c r="I59" s="131">
        <v>8</v>
      </c>
      <c r="J59" s="101">
        <v>30</v>
      </c>
      <c r="K59" s="101"/>
      <c r="L59" s="118"/>
      <c r="M59" s="101">
        <v>20231023</v>
      </c>
      <c r="N59" s="101" t="s">
        <v>206</v>
      </c>
      <c r="O59" s="101"/>
    </row>
    <row r="60" spans="1:15">
      <c r="A60" s="161">
        <v>59</v>
      </c>
      <c r="B60" s="122" t="s">
        <v>40</v>
      </c>
      <c r="C60" s="166" t="s">
        <v>271</v>
      </c>
      <c r="D60" s="101" t="s">
        <v>208</v>
      </c>
      <c r="E60" s="101" t="s">
        <v>272</v>
      </c>
      <c r="F60" s="182">
        <f>SUMIF(管道站场阀室关系!B:B,支线管道!C60,管道站场阀室关系!H:H)</f>
        <v>246.2541</v>
      </c>
      <c r="G60" s="101">
        <v>1016</v>
      </c>
      <c r="H60" s="131">
        <v>14</v>
      </c>
      <c r="I60" s="131">
        <v>10</v>
      </c>
      <c r="J60" s="101">
        <v>90</v>
      </c>
      <c r="K60" s="101"/>
      <c r="L60" s="118">
        <f>SUMIF(管道站场阀室关系!B:B,支线管道!C60,管道站场阀室关系!J:J)</f>
        <v>200080.8796932</v>
      </c>
      <c r="M60" s="101">
        <v>20121228</v>
      </c>
      <c r="N60" s="101" t="s">
        <v>209</v>
      </c>
      <c r="O60" s="101"/>
    </row>
    <row r="61" spans="1:15">
      <c r="A61" s="161">
        <v>60</v>
      </c>
      <c r="B61" s="122" t="s">
        <v>40</v>
      </c>
      <c r="C61" s="166" t="s">
        <v>273</v>
      </c>
      <c r="D61" s="101" t="s">
        <v>272</v>
      </c>
      <c r="E61" s="101" t="s">
        <v>274</v>
      </c>
      <c r="F61" s="182">
        <f>SUMIF(管道站场阀室关系!B:B,支线管道!C61,管道站场阀室关系!H:H)</f>
        <v>353.3858</v>
      </c>
      <c r="G61" s="101">
        <v>1016</v>
      </c>
      <c r="H61" s="131">
        <v>14</v>
      </c>
      <c r="I61" s="131">
        <v>10</v>
      </c>
      <c r="J61" s="101">
        <v>90</v>
      </c>
      <c r="K61" s="101"/>
      <c r="L61" s="118">
        <f>SUMIF(管道站场阀室关系!B:B,支线管道!C61,管道站场阀室关系!J:J)</f>
        <v>263439.126472349</v>
      </c>
      <c r="M61" s="101">
        <v>20121228</v>
      </c>
      <c r="N61" s="101" t="s">
        <v>209</v>
      </c>
      <c r="O61" s="101"/>
    </row>
    <row r="62" spans="1:15">
      <c r="A62" s="161">
        <v>61</v>
      </c>
      <c r="B62" s="122" t="s">
        <v>40</v>
      </c>
      <c r="C62" s="219" t="s">
        <v>275</v>
      </c>
      <c r="D62" s="101" t="s">
        <v>276</v>
      </c>
      <c r="E62" s="101" t="s">
        <v>277</v>
      </c>
      <c r="F62" s="182">
        <f>SUMIF(管道站场阀室关系!B:B,支线管道!C62,管道站场阀室关系!H:H)</f>
        <v>0.17</v>
      </c>
      <c r="G62" s="101"/>
      <c r="H62" s="131"/>
      <c r="I62" s="131"/>
      <c r="J62" s="101"/>
      <c r="K62" s="101"/>
      <c r="L62" s="118">
        <f>SUMIF(管道站场阀室关系!B:B,支线管道!C62,管道站场阀室关系!J:J)</f>
        <v>0</v>
      </c>
      <c r="M62" s="101"/>
      <c r="N62" s="101"/>
      <c r="O62" s="101"/>
    </row>
    <row r="63" spans="1:15">
      <c r="A63" s="161">
        <v>62</v>
      </c>
      <c r="B63" s="122" t="s">
        <v>40</v>
      </c>
      <c r="C63" s="166" t="s">
        <v>278</v>
      </c>
      <c r="D63" s="101" t="s">
        <v>272</v>
      </c>
      <c r="E63" s="101" t="s">
        <v>279</v>
      </c>
      <c r="F63" s="182">
        <f>SUMIF(管道站场阀室关系!B:B,支线管道!C63,管道站场阀室关系!H:H)</f>
        <v>205.15</v>
      </c>
      <c r="G63" s="101">
        <v>406.4</v>
      </c>
      <c r="H63" s="131">
        <v>6.3</v>
      </c>
      <c r="I63" s="131">
        <v>6.3</v>
      </c>
      <c r="J63" s="101">
        <v>8.86</v>
      </c>
      <c r="K63" s="101"/>
      <c r="L63" s="118">
        <f>SUMIF(管道站场阀室关系!B:B,支线管道!C63,管道站场阀室关系!J:J)</f>
        <v>25869.9631427002</v>
      </c>
      <c r="M63" s="101">
        <v>20141009</v>
      </c>
      <c r="N63" s="101" t="s">
        <v>209</v>
      </c>
      <c r="O63" s="101"/>
    </row>
    <row r="64" ht="30" spans="1:15">
      <c r="A64" s="161">
        <v>63</v>
      </c>
      <c r="B64" s="122" t="s">
        <v>40</v>
      </c>
      <c r="C64" s="166" t="s">
        <v>280</v>
      </c>
      <c r="D64" s="101" t="s">
        <v>274</v>
      </c>
      <c r="E64" s="101" t="s">
        <v>281</v>
      </c>
      <c r="F64" s="182">
        <f>SUMIF(管道站场阀室关系!B:B,支线管道!C64,管道站场阀室关系!H:H)</f>
        <v>300</v>
      </c>
      <c r="G64" s="101" t="s">
        <v>282</v>
      </c>
      <c r="H64" s="131" t="s">
        <v>283</v>
      </c>
      <c r="I64" s="131">
        <v>6.3</v>
      </c>
      <c r="J64" s="101">
        <v>16.91</v>
      </c>
      <c r="K64" s="101"/>
      <c r="L64" s="118">
        <f>SUMIF(管道站场阀室关系!B:B,支线管道!C64,管道站场阀室关系!J:J)</f>
        <v>56258.3463216399</v>
      </c>
      <c r="M64" s="101" t="s">
        <v>284</v>
      </c>
      <c r="N64" s="101" t="s">
        <v>209</v>
      </c>
      <c r="O64" s="101"/>
    </row>
    <row r="65" spans="1:15">
      <c r="A65" s="161">
        <v>64</v>
      </c>
      <c r="B65" s="122" t="s">
        <v>40</v>
      </c>
      <c r="C65" s="166" t="s">
        <v>285</v>
      </c>
      <c r="D65" s="101" t="s">
        <v>286</v>
      </c>
      <c r="E65" s="101" t="s">
        <v>287</v>
      </c>
      <c r="F65" s="182">
        <f>SUMIF(管道站场阀室关系!B:B,支线管道!C65,管道站场阀室关系!H:H)</f>
        <v>99.2964</v>
      </c>
      <c r="G65" s="101">
        <v>406.4</v>
      </c>
      <c r="H65" s="131">
        <v>6.3</v>
      </c>
      <c r="I65" s="131">
        <v>6.3</v>
      </c>
      <c r="J65" s="101">
        <v>7.41</v>
      </c>
      <c r="K65" s="101"/>
      <c r="L65" s="118">
        <f>SUMIF(管道站场阀室关系!B:B,支线管道!C65,管道站场阀室关系!J:J)</f>
        <v>12545.2269477313</v>
      </c>
      <c r="M65" s="101">
        <v>20151225</v>
      </c>
      <c r="N65" s="101" t="s">
        <v>209</v>
      </c>
      <c r="O65" s="101"/>
    </row>
    <row r="66" s="210" customFormat="1" spans="1:15">
      <c r="A66" s="161">
        <v>65</v>
      </c>
      <c r="B66" s="122" t="s">
        <v>40</v>
      </c>
      <c r="C66" s="219" t="s">
        <v>288</v>
      </c>
      <c r="D66" s="101" t="s">
        <v>289</v>
      </c>
      <c r="E66" s="101" t="s">
        <v>290</v>
      </c>
      <c r="F66" s="182">
        <f>SUMIF(管道站场阀室关系!B:B,支线管道!C66,管道站场阀室关系!H:H)</f>
        <v>114.755</v>
      </c>
      <c r="G66" s="101">
        <v>457</v>
      </c>
      <c r="H66" s="131" t="s">
        <v>291</v>
      </c>
      <c r="I66" s="131">
        <v>6.3</v>
      </c>
      <c r="J66" s="101">
        <v>7</v>
      </c>
      <c r="K66" s="101"/>
      <c r="L66" s="118">
        <f>SUMIF(管道站场阀室关系!B:B,支线管道!C66,管道站场阀室关系!J:J)</f>
        <v>17670.9998</v>
      </c>
      <c r="M66" s="101">
        <v>20250522</v>
      </c>
      <c r="N66" s="101" t="s">
        <v>209</v>
      </c>
      <c r="O66" s="101"/>
    </row>
    <row r="67" s="211" customFormat="1" spans="1:15">
      <c r="A67" s="161">
        <v>66</v>
      </c>
      <c r="B67" s="122" t="s">
        <v>40</v>
      </c>
      <c r="C67" s="219" t="s">
        <v>292</v>
      </c>
      <c r="D67" s="101" t="s">
        <v>293</v>
      </c>
      <c r="E67" s="101" t="s">
        <v>294</v>
      </c>
      <c r="F67" s="182">
        <f>SUMIF(管道站场阀室关系!B:B,支线管道!C67,管道站场阀室关系!H:H)</f>
        <v>8</v>
      </c>
      <c r="G67" s="224">
        <v>813</v>
      </c>
      <c r="H67" s="225"/>
      <c r="I67" s="225">
        <v>10</v>
      </c>
      <c r="J67" s="225">
        <v>45.5</v>
      </c>
      <c r="K67" s="161"/>
      <c r="L67" s="118">
        <f>SUMIF(管道站场阀室关系!B:B,支线管道!C67,管道站场阀室关系!J:J)</f>
        <v>3733</v>
      </c>
      <c r="M67" s="225">
        <v>20221202</v>
      </c>
      <c r="N67" s="101" t="s">
        <v>209</v>
      </c>
      <c r="O67" s="228"/>
    </row>
    <row r="68" ht="30" spans="1:15">
      <c r="A68" s="161">
        <v>67</v>
      </c>
      <c r="B68" s="122" t="s">
        <v>41</v>
      </c>
      <c r="C68" s="166" t="s">
        <v>41</v>
      </c>
      <c r="D68" s="101" t="s">
        <v>208</v>
      </c>
      <c r="E68" s="101" t="s">
        <v>295</v>
      </c>
      <c r="F68" s="182">
        <f>SUMIF(管道站场阀室关系!B:B,支线管道!C68,管道站场阀室关系!H:H)</f>
        <v>258.3999</v>
      </c>
      <c r="G68" s="101" t="s">
        <v>296</v>
      </c>
      <c r="H68" s="131">
        <v>14</v>
      </c>
      <c r="I68" s="131">
        <v>10</v>
      </c>
      <c r="J68" s="101">
        <v>100</v>
      </c>
      <c r="K68" s="101"/>
      <c r="L68" s="118">
        <f>SUMIF(管道站场阀室关系!B:B,支线管道!C68,管道站场阀室关系!J:J)</f>
        <v>189834</v>
      </c>
      <c r="M68" s="101" t="s">
        <v>297</v>
      </c>
      <c r="N68" s="101" t="s">
        <v>209</v>
      </c>
      <c r="O68" s="101"/>
    </row>
    <row r="69" spans="1:15">
      <c r="A69" s="161">
        <v>68</v>
      </c>
      <c r="B69" s="122" t="s">
        <v>41</v>
      </c>
      <c r="C69" s="219" t="s">
        <v>298</v>
      </c>
      <c r="D69" s="101" t="s">
        <v>299</v>
      </c>
      <c r="E69" s="101" t="s">
        <v>300</v>
      </c>
      <c r="F69" s="182">
        <f>SUMIF(管道站场阀室关系!B:B,支线管道!C69,管道站场阀室关系!H:H)</f>
        <v>0.8</v>
      </c>
      <c r="G69" s="101"/>
      <c r="H69" s="131"/>
      <c r="I69" s="131"/>
      <c r="J69" s="101"/>
      <c r="K69" s="101"/>
      <c r="L69" s="118">
        <f>SUMIF(管道站场阀室关系!B:B,支线管道!C69,管道站场阀室关系!J:J)</f>
        <v>0</v>
      </c>
      <c r="M69" s="101"/>
      <c r="N69" s="101" t="s">
        <v>209</v>
      </c>
      <c r="O69" s="101"/>
    </row>
    <row r="70" spans="1:15">
      <c r="A70" s="161">
        <v>69</v>
      </c>
      <c r="B70" s="122" t="s">
        <v>42</v>
      </c>
      <c r="C70" s="166" t="s">
        <v>42</v>
      </c>
      <c r="D70" s="101" t="s">
        <v>295</v>
      </c>
      <c r="E70" s="101" t="s">
        <v>301</v>
      </c>
      <c r="F70" s="182">
        <f>SUMIF(管道站场阀室关系!B:B,支线管道!C70,管道站场阀室关系!H:H)</f>
        <v>21.074</v>
      </c>
      <c r="G70" s="101">
        <v>813</v>
      </c>
      <c r="H70" s="131">
        <v>22.2</v>
      </c>
      <c r="I70" s="131">
        <v>7</v>
      </c>
      <c r="J70" s="101">
        <v>100</v>
      </c>
      <c r="K70" s="101"/>
      <c r="L70" s="118">
        <f>SUMIF(管道站场阀室关系!B:B,支线管道!C70,管道站场阀室关系!J:J)</f>
        <v>9738</v>
      </c>
      <c r="M70" s="101">
        <v>20121219</v>
      </c>
      <c r="N70" s="101" t="s">
        <v>209</v>
      </c>
      <c r="O70" s="101"/>
    </row>
    <row r="71" ht="45" spans="1:15">
      <c r="A71" s="161">
        <v>70</v>
      </c>
      <c r="B71" s="122" t="s">
        <v>43</v>
      </c>
      <c r="C71" s="166" t="s">
        <v>302</v>
      </c>
      <c r="D71" s="101" t="s">
        <v>201</v>
      </c>
      <c r="E71" s="101" t="s">
        <v>111</v>
      </c>
      <c r="F71" s="83">
        <f>SUMIF(管道站场阀室关系!B:B,支线管道!C71,管道站场阀室关系!H:H)</f>
        <v>1350.101</v>
      </c>
      <c r="G71" s="101">
        <v>1219</v>
      </c>
      <c r="H71" s="131">
        <v>18.4</v>
      </c>
      <c r="I71" s="131">
        <v>12</v>
      </c>
      <c r="J71" s="101">
        <v>300</v>
      </c>
      <c r="K71" s="101"/>
      <c r="L71" s="118">
        <f>SUMIF(管道站场阀室关系!B:B,支线管道!C71,管道站场阀室关系!J:J)</f>
        <v>1427226</v>
      </c>
      <c r="M71" s="101" t="s">
        <v>303</v>
      </c>
      <c r="N71" s="101" t="s">
        <v>112</v>
      </c>
      <c r="O71" s="101"/>
    </row>
    <row r="72" ht="30" spans="1:15">
      <c r="A72" s="161">
        <v>71</v>
      </c>
      <c r="B72" s="122" t="s">
        <v>43</v>
      </c>
      <c r="C72" s="166" t="s">
        <v>304</v>
      </c>
      <c r="D72" s="101" t="s">
        <v>111</v>
      </c>
      <c r="E72" s="101" t="s">
        <v>114</v>
      </c>
      <c r="F72" s="83">
        <f>SUMIF(管道站场阀室关系!B:B,支线管道!C72,管道站场阀室关系!H:H)</f>
        <v>1083.8993</v>
      </c>
      <c r="G72" s="101">
        <v>1219</v>
      </c>
      <c r="H72" s="131">
        <v>18.4</v>
      </c>
      <c r="I72" s="131">
        <v>12</v>
      </c>
      <c r="J72" s="101">
        <v>300</v>
      </c>
      <c r="K72" s="101"/>
      <c r="L72" s="118">
        <f>SUMIF(管道站场阀室关系!B:B,支线管道!C72,管道站场阀室关系!J:J)</f>
        <v>1163379</v>
      </c>
      <c r="M72" s="101" t="s">
        <v>305</v>
      </c>
      <c r="N72" s="101" t="s">
        <v>112</v>
      </c>
      <c r="O72" s="101"/>
    </row>
    <row r="73" spans="1:15">
      <c r="A73" s="161">
        <v>72</v>
      </c>
      <c r="B73" s="122" t="s">
        <v>43</v>
      </c>
      <c r="C73" s="219" t="s">
        <v>306</v>
      </c>
      <c r="D73" s="101" t="s">
        <v>245</v>
      </c>
      <c r="E73" s="101" t="s">
        <v>307</v>
      </c>
      <c r="F73" s="85">
        <f>SUMIF(管道站场阀室关系!B:B,支线管道!C73,管道站场阀室关系!H:H)</f>
        <v>1483.1</v>
      </c>
      <c r="G73" s="101">
        <v>1219</v>
      </c>
      <c r="H73" s="131">
        <v>22</v>
      </c>
      <c r="I73" s="131">
        <v>10</v>
      </c>
      <c r="J73" s="101">
        <v>250</v>
      </c>
      <c r="K73" s="101"/>
      <c r="L73" s="118">
        <f>SUMIF(管道站场阀室关系!B:B,支线管道!C73,管道站场阀室关系!J:J)</f>
        <v>1619493.5</v>
      </c>
      <c r="M73" s="101" t="s">
        <v>308</v>
      </c>
      <c r="N73" s="101" t="s">
        <v>206</v>
      </c>
      <c r="O73" s="101"/>
    </row>
    <row r="74" ht="30" spans="1:15">
      <c r="A74" s="161">
        <v>73</v>
      </c>
      <c r="B74" s="122" t="s">
        <v>43</v>
      </c>
      <c r="C74" s="166" t="s">
        <v>309</v>
      </c>
      <c r="D74" s="101" t="s">
        <v>204</v>
      </c>
      <c r="E74" s="101" t="s">
        <v>310</v>
      </c>
      <c r="F74" s="182">
        <f>SUMIF(管道站场阀室关系!B:B,支线管道!C74,管道站场阀室关系!H:H)</f>
        <v>812.4902</v>
      </c>
      <c r="G74" s="101" t="s">
        <v>311</v>
      </c>
      <c r="H74" s="131" t="s">
        <v>312</v>
      </c>
      <c r="I74" s="131">
        <v>10</v>
      </c>
      <c r="J74" s="101">
        <v>150</v>
      </c>
      <c r="K74" s="101"/>
      <c r="L74" s="118">
        <f>SUMIF(管道站场阀室关系!B:B,支线管道!C74,管道站场阀室关系!J:J)</f>
        <v>790367.590172239</v>
      </c>
      <c r="M74" s="101">
        <v>20161013</v>
      </c>
      <c r="N74" s="101" t="s">
        <v>209</v>
      </c>
      <c r="O74" s="101"/>
    </row>
    <row r="75" spans="1:15">
      <c r="A75" s="161">
        <v>74</v>
      </c>
      <c r="B75" s="122" t="s">
        <v>43</v>
      </c>
      <c r="C75" s="166" t="s">
        <v>313</v>
      </c>
      <c r="D75" s="101" t="s">
        <v>314</v>
      </c>
      <c r="E75" s="101" t="s">
        <v>201</v>
      </c>
      <c r="F75" s="83">
        <f>SUMIF(管道站场阀室关系!B:B,支线管道!C75,管道站场阀室关系!H:H)</f>
        <v>65</v>
      </c>
      <c r="G75" s="101">
        <v>1219</v>
      </c>
      <c r="H75" s="131">
        <v>18.4</v>
      </c>
      <c r="I75" s="131">
        <v>12</v>
      </c>
      <c r="J75" s="101">
        <v>300</v>
      </c>
      <c r="K75" s="101"/>
      <c r="L75" s="118">
        <f>SUMIF(管道站场阀室关系!B:B,支线管道!C75,管道站场阀室关系!J:J)</f>
        <v>75728</v>
      </c>
      <c r="M75" s="101">
        <v>20130710</v>
      </c>
      <c r="N75" s="101" t="s">
        <v>112</v>
      </c>
      <c r="O75" s="101"/>
    </row>
    <row r="76" spans="1:15">
      <c r="A76" s="161">
        <v>75</v>
      </c>
      <c r="B76" s="122" t="s">
        <v>43</v>
      </c>
      <c r="C76" s="166" t="s">
        <v>315</v>
      </c>
      <c r="D76" s="101" t="s">
        <v>316</v>
      </c>
      <c r="E76" s="101" t="s">
        <v>317</v>
      </c>
      <c r="F76" s="83">
        <f>SUMIF(管道站场阀室关系!B:B,支线管道!C76,管道站场阀室关系!H:H)</f>
        <v>1.76</v>
      </c>
      <c r="G76" s="101"/>
      <c r="H76" s="131"/>
      <c r="I76" s="131"/>
      <c r="J76" s="101"/>
      <c r="K76" s="101"/>
      <c r="L76" s="118">
        <f>SUMIF(管道站场阀室关系!B:B,支线管道!C76,管道站场阀室关系!J:J)</f>
        <v>0</v>
      </c>
      <c r="M76" s="101"/>
      <c r="N76" s="101" t="s">
        <v>112</v>
      </c>
      <c r="O76" s="101"/>
    </row>
    <row r="77" spans="1:15">
      <c r="A77" s="161">
        <v>76</v>
      </c>
      <c r="B77" s="122" t="s">
        <v>43</v>
      </c>
      <c r="C77" s="219" t="s">
        <v>318</v>
      </c>
      <c r="D77" s="101" t="s">
        <v>307</v>
      </c>
      <c r="E77" s="101" t="s">
        <v>319</v>
      </c>
      <c r="F77" s="85">
        <f>SUMIF(管道站场阀室关系!B:B,支线管道!C77,管道站场阀室关系!H:H)</f>
        <v>19.02</v>
      </c>
      <c r="G77" s="101">
        <v>1219</v>
      </c>
      <c r="H77" s="131">
        <v>22</v>
      </c>
      <c r="I77" s="131">
        <v>10</v>
      </c>
      <c r="J77" s="101">
        <v>200</v>
      </c>
      <c r="K77" s="101"/>
      <c r="L77" s="118">
        <f>SUMIF(管道站场阀室关系!B:B,支线管道!C77,管道站场阀室关系!J:J)</f>
        <v>21459.1</v>
      </c>
      <c r="M77" s="101">
        <v>20231209</v>
      </c>
      <c r="N77" s="101" t="s">
        <v>206</v>
      </c>
      <c r="O77" s="101"/>
    </row>
    <row r="78" spans="1:15">
      <c r="A78" s="161">
        <v>77</v>
      </c>
      <c r="B78" s="122" t="s">
        <v>43</v>
      </c>
      <c r="C78" s="166" t="s">
        <v>320</v>
      </c>
      <c r="D78" s="101" t="s">
        <v>321</v>
      </c>
      <c r="E78" s="101" t="s">
        <v>322</v>
      </c>
      <c r="F78" s="85">
        <f>SUMIF(管道站场阀室关系!B:B,支线管道!C78,管道站场阀室关系!H:H)</f>
        <v>44.87</v>
      </c>
      <c r="G78" s="101">
        <v>508</v>
      </c>
      <c r="H78" s="131"/>
      <c r="I78" s="131">
        <v>6.3</v>
      </c>
      <c r="J78" s="101">
        <v>30</v>
      </c>
      <c r="K78" s="101"/>
      <c r="L78" s="118">
        <f>SUMIF(管道站场阀室关系!B:B,支线管道!C78,管道站场阀室关系!J:J)</f>
        <v>8831</v>
      </c>
      <c r="M78" s="101">
        <v>20190903</v>
      </c>
      <c r="N78" s="101" t="s">
        <v>206</v>
      </c>
      <c r="O78" s="101"/>
    </row>
    <row r="79" spans="1:15">
      <c r="A79" s="161">
        <v>78</v>
      </c>
      <c r="B79" s="122" t="s">
        <v>43</v>
      </c>
      <c r="C79" s="219" t="s">
        <v>323</v>
      </c>
      <c r="D79" s="101" t="s">
        <v>324</v>
      </c>
      <c r="E79" s="101" t="s">
        <v>325</v>
      </c>
      <c r="F79" s="85">
        <f>SUMIF(管道站场阀室关系!B:B,支线管道!C79,管道站场阀室关系!H:H)</f>
        <v>9.25</v>
      </c>
      <c r="G79" s="101"/>
      <c r="H79" s="131"/>
      <c r="I79" s="131"/>
      <c r="J79" s="101"/>
      <c r="K79" s="101"/>
      <c r="L79" s="118"/>
      <c r="M79" s="101"/>
      <c r="N79" s="101"/>
      <c r="O79" s="101"/>
    </row>
    <row r="80" spans="1:15">
      <c r="A80" s="161">
        <v>79</v>
      </c>
      <c r="B80" s="122" t="s">
        <v>43</v>
      </c>
      <c r="C80" s="219" t="s">
        <v>326</v>
      </c>
      <c r="D80" s="101" t="s">
        <v>327</v>
      </c>
      <c r="E80" s="101" t="s">
        <v>328</v>
      </c>
      <c r="F80" s="182">
        <f>SUMIF(管道站场阀室关系!B:B,支线管道!C80,管道站场阀室关系!H:H)</f>
        <v>8.9</v>
      </c>
      <c r="G80" s="101">
        <v>508</v>
      </c>
      <c r="H80" s="131"/>
      <c r="I80" s="131">
        <v>10</v>
      </c>
      <c r="J80" s="101">
        <v>47.5</v>
      </c>
      <c r="K80" s="101"/>
      <c r="L80" s="118">
        <f>SUMIF(管道站场阀室关系!B:B,支线管道!C80,管道站场阀室关系!J:J)</f>
        <v>0</v>
      </c>
      <c r="M80" s="101">
        <v>20221223</v>
      </c>
      <c r="N80" s="101" t="s">
        <v>209</v>
      </c>
      <c r="O80" s="101"/>
    </row>
    <row r="81" spans="1:15">
      <c r="A81" s="161">
        <v>80</v>
      </c>
      <c r="B81" s="122" t="s">
        <v>43</v>
      </c>
      <c r="C81" s="219" t="s">
        <v>329</v>
      </c>
      <c r="D81" s="101" t="s">
        <v>310</v>
      </c>
      <c r="E81" s="101" t="s">
        <v>330</v>
      </c>
      <c r="F81" s="182">
        <f>SUMIF(管道站场阀室关系!B:B,支线管道!C81,管道站场阀室关系!H:H)</f>
        <v>21.6</v>
      </c>
      <c r="G81" s="101">
        <v>813</v>
      </c>
      <c r="H81" s="131"/>
      <c r="I81" s="131">
        <v>7.5</v>
      </c>
      <c r="J81" s="101"/>
      <c r="K81" s="101">
        <v>2000</v>
      </c>
      <c r="L81" s="118">
        <f>SUMIF(管道站场阀室关系!B:B,支线管道!C81,管道站场阀室关系!J:J)</f>
        <v>10336</v>
      </c>
      <c r="M81" s="101">
        <v>20201109</v>
      </c>
      <c r="N81" s="101" t="s">
        <v>209</v>
      </c>
      <c r="O81" s="101"/>
    </row>
    <row r="82" spans="1:15">
      <c r="A82" s="161">
        <v>81</v>
      </c>
      <c r="B82" s="122" t="s">
        <v>43</v>
      </c>
      <c r="C82" s="166" t="s">
        <v>331</v>
      </c>
      <c r="D82" s="101" t="s">
        <v>114</v>
      </c>
      <c r="E82" s="101" t="s">
        <v>244</v>
      </c>
      <c r="F82" s="85">
        <f>SUMIF(管道站场阀室关系!B:B,支线管道!C82,管道站场阀室关系!H:H)</f>
        <v>375.15</v>
      </c>
      <c r="G82" s="101">
        <v>1219</v>
      </c>
      <c r="H82" s="131">
        <v>22</v>
      </c>
      <c r="I82" s="131">
        <v>12</v>
      </c>
      <c r="J82" s="101">
        <v>300</v>
      </c>
      <c r="K82" s="101"/>
      <c r="L82" s="118">
        <f>SUMIF(管道站场阀室关系!B:B,支线管道!C82,管道站场阀室关系!J:J)</f>
        <v>408133.8735625</v>
      </c>
      <c r="M82" s="101">
        <v>20171031</v>
      </c>
      <c r="N82" s="101" t="s">
        <v>117</v>
      </c>
      <c r="O82" s="101"/>
    </row>
    <row r="83" spans="1:15">
      <c r="A83" s="161">
        <v>82</v>
      </c>
      <c r="B83" s="122" t="s">
        <v>43</v>
      </c>
      <c r="C83" s="166" t="s">
        <v>332</v>
      </c>
      <c r="D83" s="101" t="s">
        <v>333</v>
      </c>
      <c r="E83" s="101" t="s">
        <v>334</v>
      </c>
      <c r="F83" s="182">
        <f>SUMIF(管道站场阀室关系!B:B,支线管道!C83,管道站场阀室关系!H:H)</f>
        <v>379.9998</v>
      </c>
      <c r="G83" s="101">
        <v>813</v>
      </c>
      <c r="H83" s="131"/>
      <c r="I83" s="131">
        <v>10</v>
      </c>
      <c r="J83" s="101">
        <v>58.1</v>
      </c>
      <c r="K83" s="101"/>
      <c r="L83" s="118">
        <f>SUMIF(管道站场阀室关系!B:B,支线管道!C83,管道站场阀室关系!J:J)</f>
        <v>180556.2</v>
      </c>
      <c r="M83" s="101">
        <v>20200121</v>
      </c>
      <c r="N83" s="101" t="s">
        <v>209</v>
      </c>
      <c r="O83" s="101"/>
    </row>
    <row r="84" spans="1:15">
      <c r="A84" s="161">
        <v>83</v>
      </c>
      <c r="B84" s="122" t="s">
        <v>45</v>
      </c>
      <c r="C84" s="219" t="s">
        <v>335</v>
      </c>
      <c r="D84" s="101" t="s">
        <v>243</v>
      </c>
      <c r="E84" s="101" t="s">
        <v>336</v>
      </c>
      <c r="F84" s="83">
        <f>SUMIF(管道站场阀室关系!B:B,支线管道!C84,管道站场阀室关系!H:H)</f>
        <v>602.8</v>
      </c>
      <c r="G84" s="101">
        <v>1219</v>
      </c>
      <c r="H84" s="131"/>
      <c r="I84" s="131">
        <v>12</v>
      </c>
      <c r="J84" s="101">
        <v>150</v>
      </c>
      <c r="K84" s="101"/>
      <c r="L84" s="118"/>
      <c r="M84" s="101"/>
      <c r="N84" s="101"/>
      <c r="O84" s="101"/>
    </row>
    <row r="85" s="211" customFormat="1" spans="1:15">
      <c r="A85" s="161">
        <v>84</v>
      </c>
      <c r="B85" s="122" t="s">
        <v>45</v>
      </c>
      <c r="C85" s="219" t="s">
        <v>337</v>
      </c>
      <c r="D85" s="225" t="s">
        <v>111</v>
      </c>
      <c r="E85" s="225" t="s">
        <v>338</v>
      </c>
      <c r="F85" s="83">
        <f>SUMIF(管道站场阀室关系!B:B,支线管道!C85,管道站场阀室关系!H:H)</f>
        <v>1052.5</v>
      </c>
      <c r="G85" s="224">
        <v>1219</v>
      </c>
      <c r="H85" s="225" t="s">
        <v>339</v>
      </c>
      <c r="I85" s="225">
        <v>12</v>
      </c>
      <c r="J85" s="225">
        <v>150</v>
      </c>
      <c r="K85" s="161"/>
      <c r="L85" s="118">
        <f>SUMIF(管道站场阀室关系!B:B,支线管道!C85,管道站场阀室关系!J:J)</f>
        <v>0</v>
      </c>
      <c r="M85" s="225">
        <v>20250625</v>
      </c>
      <c r="N85" s="101" t="s">
        <v>112</v>
      </c>
      <c r="O85" s="228"/>
    </row>
    <row r="86" s="211" customFormat="1" spans="1:15">
      <c r="A86" s="161">
        <v>85</v>
      </c>
      <c r="B86" s="122" t="s">
        <v>45</v>
      </c>
      <c r="C86" s="219" t="s">
        <v>340</v>
      </c>
      <c r="D86" s="225" t="s">
        <v>338</v>
      </c>
      <c r="E86" s="225" t="s">
        <v>114</v>
      </c>
      <c r="F86" s="83">
        <f>SUMIF(管道站场阀室关系!B:B,支线管道!C86,管道站场阀室关系!H:H)</f>
        <v>89.7</v>
      </c>
      <c r="G86" s="224">
        <v>1219</v>
      </c>
      <c r="H86" s="225" t="s">
        <v>339</v>
      </c>
      <c r="I86" s="225">
        <v>12</v>
      </c>
      <c r="J86" s="225">
        <v>150</v>
      </c>
      <c r="K86" s="161"/>
      <c r="L86" s="118">
        <f>SUMIF(管道站场阀室关系!B:B,支线管道!C86,管道站场阀室关系!J:J)</f>
        <v>0</v>
      </c>
      <c r="M86" s="225">
        <v>20250625</v>
      </c>
      <c r="N86" s="101" t="s">
        <v>112</v>
      </c>
      <c r="O86" s="228"/>
    </row>
    <row r="87" spans="1:15">
      <c r="A87" s="161">
        <v>86</v>
      </c>
      <c r="B87" s="122" t="s">
        <v>85</v>
      </c>
      <c r="C87" s="226" t="s">
        <v>85</v>
      </c>
      <c r="D87" s="101" t="s">
        <v>341</v>
      </c>
      <c r="E87" s="101" t="s">
        <v>342</v>
      </c>
      <c r="F87" s="182">
        <f>SUMIF(管道站场阀室关系!B:B,支线管道!C87,管道站场阀室关系!H:H)</f>
        <v>123.25</v>
      </c>
      <c r="G87" s="101">
        <v>1016</v>
      </c>
      <c r="H87" s="131" t="s">
        <v>343</v>
      </c>
      <c r="I87" s="131">
        <v>10</v>
      </c>
      <c r="J87" s="101">
        <v>42</v>
      </c>
      <c r="K87" s="101">
        <v>1150.68</v>
      </c>
      <c r="L87" s="118">
        <f>SUMIF(管道站场阀室关系!B:B,支线管道!C87,管道站场阀室关系!J:J)</f>
        <v>85360.55</v>
      </c>
      <c r="M87" s="101">
        <v>20240707</v>
      </c>
      <c r="N87" s="101" t="s">
        <v>209</v>
      </c>
      <c r="O87" s="101"/>
    </row>
    <row r="88" ht="30" spans="1:15">
      <c r="A88" s="161">
        <v>87</v>
      </c>
      <c r="B88" s="122" t="s">
        <v>44</v>
      </c>
      <c r="C88" s="166" t="s">
        <v>44</v>
      </c>
      <c r="D88" s="101" t="s">
        <v>344</v>
      </c>
      <c r="E88" s="101" t="s">
        <v>345</v>
      </c>
      <c r="F88" s="182">
        <f>SUMIF(管道站场阀室关系!B:B,支线管道!C88,管道站场阀室关系!H:H)</f>
        <v>64.3</v>
      </c>
      <c r="G88" s="101">
        <v>1016</v>
      </c>
      <c r="H88" s="131"/>
      <c r="I88" s="131">
        <v>10</v>
      </c>
      <c r="J88" s="101">
        <v>161</v>
      </c>
      <c r="K88" s="101">
        <v>4600</v>
      </c>
      <c r="L88" s="118">
        <f>SUMIF(管道站场阀室关系!B:B,支线管道!C88,管道站场阀室关系!J:J)</f>
        <v>39480.98</v>
      </c>
      <c r="M88" s="101">
        <v>20200708</v>
      </c>
      <c r="N88" s="101" t="s">
        <v>209</v>
      </c>
      <c r="O88" s="101"/>
    </row>
    <row r="89" spans="1:15">
      <c r="A89" s="161">
        <v>88</v>
      </c>
      <c r="B89" s="122" t="s">
        <v>44</v>
      </c>
      <c r="C89" s="219" t="s">
        <v>346</v>
      </c>
      <c r="D89" s="101" t="s">
        <v>347</v>
      </c>
      <c r="E89" s="101" t="s">
        <v>348</v>
      </c>
      <c r="F89" s="182">
        <f>SUMIF(管道站场阀室关系!B:B,支线管道!C89,管道站场阀室关系!H:H)</f>
        <v>0.3</v>
      </c>
      <c r="G89" s="101"/>
      <c r="H89" s="131"/>
      <c r="I89" s="131"/>
      <c r="J89" s="101"/>
      <c r="K89" s="101"/>
      <c r="L89" s="118">
        <f>SUMIF(管道站场阀室关系!B:B,支线管道!C89,管道站场阀室关系!J:J)</f>
        <v>78.7711726475331</v>
      </c>
      <c r="M89" s="101"/>
      <c r="N89" s="101"/>
      <c r="O89" s="101"/>
    </row>
    <row r="90" spans="1:15">
      <c r="A90" s="161">
        <v>89</v>
      </c>
      <c r="B90" s="122" t="s">
        <v>44</v>
      </c>
      <c r="C90" s="226" t="s">
        <v>349</v>
      </c>
      <c r="D90" s="101" t="s">
        <v>347</v>
      </c>
      <c r="E90" s="101" t="s">
        <v>344</v>
      </c>
      <c r="F90" s="182">
        <f>SUMIF(管道站场阀室关系!B:B,支线管道!C90,管道站场阀室关系!H:H)</f>
        <v>1.9</v>
      </c>
      <c r="G90" s="101"/>
      <c r="H90" s="131"/>
      <c r="I90" s="131"/>
      <c r="J90" s="101"/>
      <c r="K90" s="101"/>
      <c r="L90" s="118">
        <f>SUMIF(管道站场阀室关系!B:B,支线管道!C90,管道站场阀室关系!J:J)</f>
        <v>775.305809564162</v>
      </c>
      <c r="M90" s="101"/>
      <c r="N90" s="101"/>
      <c r="O90" s="101"/>
    </row>
    <row r="91" spans="1:15">
      <c r="A91" s="161">
        <v>90</v>
      </c>
      <c r="B91" s="122" t="s">
        <v>46</v>
      </c>
      <c r="C91" s="166" t="s">
        <v>350</v>
      </c>
      <c r="D91" s="101" t="s">
        <v>351</v>
      </c>
      <c r="E91" s="101" t="s">
        <v>352</v>
      </c>
      <c r="F91" s="227">
        <f>SUMIF(管道站场阀室关系!B:B,支线管道!C91,管道站场阀室关系!H:H)</f>
        <v>855.4997</v>
      </c>
      <c r="G91" s="101">
        <v>660</v>
      </c>
      <c r="H91" s="131">
        <v>7</v>
      </c>
      <c r="I91" s="131">
        <v>6.4</v>
      </c>
      <c r="J91" s="101">
        <v>33</v>
      </c>
      <c r="K91" s="101"/>
      <c r="L91" s="118">
        <f>SUMIF(管道站场阀室关系!B:B,支线管道!C91,管道站场阀室关系!J:J)</f>
        <v>279288.969193197</v>
      </c>
      <c r="M91" s="101">
        <v>19970910</v>
      </c>
      <c r="N91" s="101" t="s">
        <v>353</v>
      </c>
      <c r="O91" s="101"/>
    </row>
    <row r="92" spans="1:15">
      <c r="A92" s="161">
        <v>91</v>
      </c>
      <c r="B92" s="122" t="s">
        <v>47</v>
      </c>
      <c r="C92" s="219" t="s">
        <v>354</v>
      </c>
      <c r="D92" s="101" t="s">
        <v>244</v>
      </c>
      <c r="E92" s="101" t="s">
        <v>351</v>
      </c>
      <c r="F92" s="227">
        <f>SUMIF(管道站场阀室关系!B:B,支线管道!C92,管道站场阀室关系!H:H)</f>
        <v>0.78</v>
      </c>
      <c r="G92" s="101">
        <v>1219</v>
      </c>
      <c r="H92" s="131"/>
      <c r="I92" s="131">
        <v>12</v>
      </c>
      <c r="J92" s="101">
        <v>250</v>
      </c>
      <c r="K92" s="101"/>
      <c r="L92" s="118">
        <f>SUMIF(管道站场阀室关系!B:B,支线管道!C92,管道站场阀室关系!J:J)</f>
        <v>0</v>
      </c>
      <c r="M92" s="101"/>
      <c r="N92" s="101" t="s">
        <v>353</v>
      </c>
      <c r="O92" s="101"/>
    </row>
    <row r="93" spans="1:15">
      <c r="A93" s="161">
        <v>92</v>
      </c>
      <c r="B93" s="122" t="s">
        <v>46</v>
      </c>
      <c r="C93" s="166" t="s">
        <v>355</v>
      </c>
      <c r="D93" s="101" t="s">
        <v>356</v>
      </c>
      <c r="E93" s="101" t="s">
        <v>357</v>
      </c>
      <c r="F93" s="227">
        <f>SUMIF(管道站场阀室关系!B:B,支线管道!C93,管道站场阀室关系!H:H)</f>
        <v>63.9999</v>
      </c>
      <c r="G93" s="101">
        <v>660</v>
      </c>
      <c r="H93" s="131">
        <v>7</v>
      </c>
      <c r="I93" s="131">
        <v>5</v>
      </c>
      <c r="J93" s="101">
        <v>33</v>
      </c>
      <c r="K93" s="101"/>
      <c r="L93" s="118">
        <f>SUMIF(管道站场阀室关系!B:B,支线管道!C93,管道站场阀室关系!J:J)</f>
        <v>21377.313536129</v>
      </c>
      <c r="M93" s="101">
        <v>199709</v>
      </c>
      <c r="N93" s="101" t="s">
        <v>353</v>
      </c>
      <c r="O93" s="101"/>
    </row>
    <row r="94" ht="30" spans="1:15">
      <c r="A94" s="161">
        <v>93</v>
      </c>
      <c r="B94" s="122" t="s">
        <v>47</v>
      </c>
      <c r="C94" s="166" t="s">
        <v>358</v>
      </c>
      <c r="D94" s="101" t="s">
        <v>244</v>
      </c>
      <c r="E94" s="101" t="s">
        <v>359</v>
      </c>
      <c r="F94" s="227">
        <f>SUMIF(管道站场阀室关系!B:B,支线管道!C94,管道站场阀室关系!H:H)</f>
        <v>974.969302</v>
      </c>
      <c r="G94" s="101">
        <v>1016</v>
      </c>
      <c r="H94" s="131">
        <v>14</v>
      </c>
      <c r="I94" s="131">
        <v>10</v>
      </c>
      <c r="J94" s="101">
        <v>170</v>
      </c>
      <c r="K94" s="101"/>
      <c r="L94" s="118">
        <f>SUMIF(管道站场阀室关系!B:B,支线管道!C94,管道站场阀室关系!J:J)</f>
        <v>731008</v>
      </c>
      <c r="M94" s="101" t="s">
        <v>360</v>
      </c>
      <c r="N94" s="101" t="s">
        <v>353</v>
      </c>
      <c r="O94" s="101"/>
    </row>
    <row r="95" spans="1:15">
      <c r="A95" s="161">
        <v>94</v>
      </c>
      <c r="B95" s="122" t="s">
        <v>47</v>
      </c>
      <c r="C95" s="166" t="s">
        <v>361</v>
      </c>
      <c r="D95" s="101" t="s">
        <v>362</v>
      </c>
      <c r="E95" s="101" t="s">
        <v>363</v>
      </c>
      <c r="F95" s="227">
        <f>SUMIF(管道站场阀室关系!B:B,支线管道!C95,管道站场阀室关系!H:H)</f>
        <v>1.5</v>
      </c>
      <c r="G95" s="101">
        <v>323.9</v>
      </c>
      <c r="H95" s="131"/>
      <c r="I95" s="131">
        <v>6.3</v>
      </c>
      <c r="J95" s="101">
        <v>19.25</v>
      </c>
      <c r="K95" s="101"/>
      <c r="L95" s="118">
        <f>SUMIF(管道站场阀室关系!B:B,支线管道!C95,管道站场阀室关系!J:J)</f>
        <v>0</v>
      </c>
      <c r="M95" s="101">
        <v>20240329</v>
      </c>
      <c r="N95" s="101" t="s">
        <v>353</v>
      </c>
      <c r="O95" s="101"/>
    </row>
    <row r="96" spans="1:15">
      <c r="A96" s="161">
        <v>95</v>
      </c>
      <c r="B96" s="122" t="s">
        <v>47</v>
      </c>
      <c r="C96" s="166" t="s">
        <v>364</v>
      </c>
      <c r="D96" s="101" t="s">
        <v>357</v>
      </c>
      <c r="E96" s="101" t="s">
        <v>365</v>
      </c>
      <c r="F96" s="227">
        <f>SUMIF(管道站场阀室关系!B:B,支线管道!C96,管道站场阀室关系!H:H)</f>
        <v>57.9999</v>
      </c>
      <c r="G96" s="101">
        <v>711</v>
      </c>
      <c r="H96" s="131">
        <v>7</v>
      </c>
      <c r="I96" s="131">
        <v>5.5</v>
      </c>
      <c r="J96" s="101">
        <v>14.5</v>
      </c>
      <c r="K96" s="101"/>
      <c r="L96" s="118">
        <f>SUMIF(管道站场阀室关系!B:B,支线管道!C96,管道站场阀室关系!J:J)</f>
        <v>22804.1272456912</v>
      </c>
      <c r="M96" s="101">
        <v>200007</v>
      </c>
      <c r="N96" s="101" t="s">
        <v>353</v>
      </c>
      <c r="O96" s="229"/>
    </row>
    <row r="97" spans="1:15">
      <c r="A97" s="161">
        <v>96</v>
      </c>
      <c r="B97" s="122" t="s">
        <v>47</v>
      </c>
      <c r="C97" s="166" t="s">
        <v>366</v>
      </c>
      <c r="D97" s="101" t="s">
        <v>357</v>
      </c>
      <c r="E97" s="101" t="s">
        <v>367</v>
      </c>
      <c r="F97" s="227">
        <f>SUMIF(管道站场阀室关系!B:B,支线管道!C97,管道站场阀室关系!H:H)</f>
        <v>108</v>
      </c>
      <c r="G97" s="101">
        <v>711</v>
      </c>
      <c r="H97" s="131">
        <v>7</v>
      </c>
      <c r="I97" s="131">
        <v>5.5</v>
      </c>
      <c r="J97" s="101">
        <v>84</v>
      </c>
      <c r="K97" s="101"/>
      <c r="L97" s="118">
        <f>SUMIF(管道站场阀室关系!B:B,支线管道!C97,管道站场阀室关系!J:J)</f>
        <v>40353.336917535</v>
      </c>
      <c r="M97" s="101">
        <v>200412</v>
      </c>
      <c r="N97" s="101" t="s">
        <v>353</v>
      </c>
      <c r="O97" s="229"/>
    </row>
    <row r="98" spans="1:15">
      <c r="A98" s="161">
        <v>97</v>
      </c>
      <c r="B98" s="122" t="s">
        <v>47</v>
      </c>
      <c r="C98" s="166" t="s">
        <v>368</v>
      </c>
      <c r="D98" s="101" t="s">
        <v>357</v>
      </c>
      <c r="E98" s="101" t="s">
        <v>367</v>
      </c>
      <c r="F98" s="227">
        <f>SUMIF(管道站场阀室关系!B:B,支线管道!C98,管道站场阀室关系!H:H)</f>
        <v>108</v>
      </c>
      <c r="G98" s="101">
        <v>711</v>
      </c>
      <c r="H98" s="131">
        <v>7</v>
      </c>
      <c r="I98" s="131">
        <v>10</v>
      </c>
      <c r="J98" s="101">
        <v>84</v>
      </c>
      <c r="K98" s="101"/>
      <c r="L98" s="118">
        <f>SUMIF(管道站场阀室关系!B:B,支线管道!C98,管道站场阀室关系!J:J)</f>
        <v>41493</v>
      </c>
      <c r="M98" s="101">
        <v>200408</v>
      </c>
      <c r="N98" s="101" t="s">
        <v>353</v>
      </c>
      <c r="O98" s="229"/>
    </row>
    <row r="99" spans="1:15">
      <c r="A99" s="161">
        <v>98</v>
      </c>
      <c r="B99" s="122" t="s">
        <v>47</v>
      </c>
      <c r="C99" s="166" t="s">
        <v>369</v>
      </c>
      <c r="D99" s="101" t="s">
        <v>370</v>
      </c>
      <c r="E99" s="101" t="s">
        <v>371</v>
      </c>
      <c r="F99" s="227">
        <f>SUMIF(管道站场阀室关系!B:B,支线管道!C99,管道站场阀室关系!H:H)</f>
        <v>164.9999</v>
      </c>
      <c r="G99" s="101">
        <v>1016</v>
      </c>
      <c r="H99" s="131">
        <v>17.5</v>
      </c>
      <c r="I99" s="131">
        <v>10</v>
      </c>
      <c r="J99" s="101">
        <v>68.1</v>
      </c>
      <c r="K99" s="101">
        <v>1946</v>
      </c>
      <c r="L99" s="118">
        <f>SUMIF(管道站场阀室关系!B:B,支线管道!C99,管道站场阀室关系!J:J)</f>
        <v>121262.978562436</v>
      </c>
      <c r="M99" s="101" t="s">
        <v>372</v>
      </c>
      <c r="N99" s="101" t="s">
        <v>353</v>
      </c>
      <c r="O99" s="229"/>
    </row>
    <row r="100" spans="1:15">
      <c r="A100" s="161">
        <v>99</v>
      </c>
      <c r="B100" s="122" t="s">
        <v>47</v>
      </c>
      <c r="C100" s="166" t="s">
        <v>373</v>
      </c>
      <c r="D100" s="101" t="s">
        <v>357</v>
      </c>
      <c r="E100" s="101" t="s">
        <v>374</v>
      </c>
      <c r="F100" s="227">
        <f>SUMIF(管道站场阀室关系!B:B,支线管道!C100,管道站场阀室关系!H:H)</f>
        <v>12.5</v>
      </c>
      <c r="G100" s="101">
        <v>559</v>
      </c>
      <c r="H100" s="131"/>
      <c r="I100" s="131">
        <v>10</v>
      </c>
      <c r="J100" s="101"/>
      <c r="K100" s="101"/>
      <c r="L100" s="118">
        <f>SUMIF(管道站场阀室关系!B:B,支线管道!C100,管道站场阀室关系!J:J)</f>
        <v>2762.5755325</v>
      </c>
      <c r="M100" s="101">
        <v>2010</v>
      </c>
      <c r="N100" s="101" t="s">
        <v>353</v>
      </c>
      <c r="O100" s="229"/>
    </row>
    <row r="101" spans="1:15">
      <c r="A101" s="161">
        <v>100</v>
      </c>
      <c r="B101" s="122" t="s">
        <v>47</v>
      </c>
      <c r="C101" s="166" t="s">
        <v>375</v>
      </c>
      <c r="D101" s="101" t="s">
        <v>376</v>
      </c>
      <c r="E101" s="101" t="s">
        <v>377</v>
      </c>
      <c r="F101" s="227">
        <f>SUMIF(管道站场阀室关系!B:B,支线管道!C101,管道站场阀室关系!H:H)</f>
        <v>11.605</v>
      </c>
      <c r="G101" s="101">
        <v>660</v>
      </c>
      <c r="H101" s="131"/>
      <c r="I101" s="131">
        <v>7</v>
      </c>
      <c r="J101" s="101"/>
      <c r="K101" s="101"/>
      <c r="L101" s="118">
        <f>SUMIF(管道站场阀室关系!B:B,支线管道!C101,管道站场阀室关系!J:J)</f>
        <v>3670.58400767265</v>
      </c>
      <c r="M101" s="101">
        <v>200308</v>
      </c>
      <c r="N101" s="101" t="s">
        <v>353</v>
      </c>
      <c r="O101" s="229"/>
    </row>
    <row r="102" spans="1:15">
      <c r="A102" s="161">
        <v>101</v>
      </c>
      <c r="B102" s="122" t="s">
        <v>47</v>
      </c>
      <c r="C102" s="219" t="s">
        <v>378</v>
      </c>
      <c r="D102" s="101" t="s">
        <v>367</v>
      </c>
      <c r="E102" s="101" t="s">
        <v>379</v>
      </c>
      <c r="F102" s="227">
        <f>SUMIF(管道站场阀室关系!B:B,支线管道!C102,管道站场阀室关系!H:H)</f>
        <v>22.886</v>
      </c>
      <c r="G102" s="101"/>
      <c r="H102" s="131"/>
      <c r="I102" s="131"/>
      <c r="J102" s="101"/>
      <c r="K102" s="101"/>
      <c r="L102" s="118">
        <f>SUMIF(管道站场阀室关系!B:B,支线管道!C102,管道站场阀室关系!J:J)</f>
        <v>0</v>
      </c>
      <c r="M102" s="101"/>
      <c r="N102" s="101"/>
      <c r="O102" s="229"/>
    </row>
    <row r="103" ht="60" spans="1:15">
      <c r="A103" s="161">
        <v>102</v>
      </c>
      <c r="B103" s="122" t="s">
        <v>48</v>
      </c>
      <c r="C103" s="166" t="s">
        <v>380</v>
      </c>
      <c r="D103" s="101" t="s">
        <v>381</v>
      </c>
      <c r="E103" s="101" t="s">
        <v>382</v>
      </c>
      <c r="F103" s="227">
        <f>SUMIF(管道站场阀室关系!B:B,支线管道!C103,管道站场阀室关系!H:H)</f>
        <v>981.0001</v>
      </c>
      <c r="G103" s="101">
        <v>1016</v>
      </c>
      <c r="H103" s="131">
        <v>17</v>
      </c>
      <c r="I103" s="131">
        <v>10</v>
      </c>
      <c r="J103" s="101">
        <v>150</v>
      </c>
      <c r="K103" s="101">
        <v>4286</v>
      </c>
      <c r="L103" s="118">
        <f>SUMIF(管道站场阀室关系!B:B,支线管道!C103,管道站场阀室关系!J:J)</f>
        <v>724461</v>
      </c>
      <c r="M103" s="101" t="s">
        <v>383</v>
      </c>
      <c r="N103" s="101" t="s">
        <v>353</v>
      </c>
      <c r="O103" s="101"/>
    </row>
    <row r="104" spans="1:15">
      <c r="A104" s="161">
        <v>103</v>
      </c>
      <c r="B104" s="122" t="s">
        <v>48</v>
      </c>
      <c r="C104" s="219" t="s">
        <v>384</v>
      </c>
      <c r="D104" s="101" t="s">
        <v>385</v>
      </c>
      <c r="E104" s="101" t="s">
        <v>386</v>
      </c>
      <c r="F104" s="227">
        <f>SUMIF(管道站场阀室关系!B:B,支线管道!C104,管道站场阀室关系!H:H)</f>
        <v>0.8</v>
      </c>
      <c r="G104" s="101"/>
      <c r="H104" s="131"/>
      <c r="I104" s="131"/>
      <c r="J104" s="101"/>
      <c r="K104" s="101"/>
      <c r="L104" s="118">
        <f>SUMIF(管道站场阀室关系!B:B,支线管道!C104,管道站场阀室关系!J:J)</f>
        <v>0</v>
      </c>
      <c r="M104" s="101"/>
      <c r="N104" s="101"/>
      <c r="O104" s="101"/>
    </row>
    <row r="105" ht="30" spans="1:15">
      <c r="A105" s="161">
        <v>104</v>
      </c>
      <c r="B105" s="122" t="s">
        <v>49</v>
      </c>
      <c r="C105" s="166" t="s">
        <v>387</v>
      </c>
      <c r="D105" s="101" t="s">
        <v>351</v>
      </c>
      <c r="E105" s="101" t="s">
        <v>388</v>
      </c>
      <c r="F105" s="227">
        <f>SUMIF(管道站场阀室关系!B:B,支线管道!C105,管道站场阀室关系!H:H)</f>
        <v>1071.2478</v>
      </c>
      <c r="G105" s="101">
        <v>1219</v>
      </c>
      <c r="H105" s="131"/>
      <c r="I105" s="131" t="s">
        <v>389</v>
      </c>
      <c r="J105" s="101">
        <v>250</v>
      </c>
      <c r="K105" s="101">
        <v>7143</v>
      </c>
      <c r="L105" s="118">
        <f>SUMIF(管道站场阀室关系!B:B,支线管道!C105,管道站场阀室关系!J:J)</f>
        <v>1163091.91536628</v>
      </c>
      <c r="M105" s="101">
        <v>20171030</v>
      </c>
      <c r="N105" s="101" t="s">
        <v>353</v>
      </c>
      <c r="O105" s="101"/>
    </row>
    <row r="106" spans="1:15">
      <c r="A106" s="161">
        <v>105</v>
      </c>
      <c r="B106" s="122" t="s">
        <v>49</v>
      </c>
      <c r="C106" s="166" t="s">
        <v>390</v>
      </c>
      <c r="D106" s="101" t="s">
        <v>388</v>
      </c>
      <c r="E106" s="101" t="s">
        <v>382</v>
      </c>
      <c r="F106" s="227">
        <f>SUMIF(管道站场阀室关系!B:B,支线管道!C106,管道站场阀室关系!H:H)</f>
        <v>29.8</v>
      </c>
      <c r="G106" s="101">
        <v>1016</v>
      </c>
      <c r="H106" s="131"/>
      <c r="I106" s="131">
        <v>10</v>
      </c>
      <c r="J106" s="101">
        <v>170</v>
      </c>
      <c r="K106" s="101">
        <v>4857</v>
      </c>
      <c r="L106" s="118">
        <f>SUMIF(管道站场阀室关系!B:B,支线管道!C106,管道站场阀室关系!J:J)</f>
        <v>22537.4555735925</v>
      </c>
      <c r="M106" s="101">
        <v>20171122</v>
      </c>
      <c r="N106" s="101" t="s">
        <v>353</v>
      </c>
      <c r="O106" s="101"/>
    </row>
    <row r="107" ht="30" spans="1:15">
      <c r="A107" s="161">
        <v>106</v>
      </c>
      <c r="B107" s="122" t="s">
        <v>49</v>
      </c>
      <c r="C107" s="166" t="s">
        <v>391</v>
      </c>
      <c r="D107" s="101" t="s">
        <v>392</v>
      </c>
      <c r="E107" s="101" t="s">
        <v>388</v>
      </c>
      <c r="F107" s="227">
        <f>SUMIF(管道站场阀室关系!B:B,支线管道!C107,管道站场阀室关系!H:H)</f>
        <v>110</v>
      </c>
      <c r="G107" s="101" t="s">
        <v>393</v>
      </c>
      <c r="H107" s="131"/>
      <c r="I107" s="131"/>
      <c r="J107" s="101"/>
      <c r="K107" s="101"/>
      <c r="L107" s="118">
        <f>SUMIF(管道站场阀室关系!B:B,支线管道!C107,管道站场阀室关系!J:J)</f>
        <v>73787.4722104513</v>
      </c>
      <c r="M107" s="101">
        <v>20131218</v>
      </c>
      <c r="N107" s="101" t="s">
        <v>353</v>
      </c>
      <c r="O107" s="101"/>
    </row>
    <row r="108" spans="1:15">
      <c r="A108" s="161">
        <v>107</v>
      </c>
      <c r="B108" s="122" t="s">
        <v>49</v>
      </c>
      <c r="C108" s="166" t="s">
        <v>394</v>
      </c>
      <c r="D108" s="101" t="s">
        <v>395</v>
      </c>
      <c r="E108" s="101" t="s">
        <v>396</v>
      </c>
      <c r="F108" s="227">
        <f>SUMIF(管道站场阀室关系!B:B,支线管道!C108,管道站场阀室关系!H:H)</f>
        <v>83.197445</v>
      </c>
      <c r="G108" s="101">
        <v>1016</v>
      </c>
      <c r="H108" s="131" t="s">
        <v>397</v>
      </c>
      <c r="I108" s="131">
        <v>10</v>
      </c>
      <c r="J108" s="101">
        <v>170</v>
      </c>
      <c r="K108" s="101">
        <v>4857</v>
      </c>
      <c r="L108" s="118">
        <f>SUMIF(管道站场阀室关系!B:B,支线管道!C108,管道站场阀室关系!J:J)</f>
        <v>58447.4277124045</v>
      </c>
      <c r="M108" s="101">
        <v>20161129</v>
      </c>
      <c r="N108" s="101" t="s">
        <v>353</v>
      </c>
      <c r="O108" s="101"/>
    </row>
    <row r="109" spans="1:15">
      <c r="A109" s="161">
        <v>108</v>
      </c>
      <c r="B109" s="122" t="s">
        <v>49</v>
      </c>
      <c r="C109" s="166" t="s">
        <v>398</v>
      </c>
      <c r="D109" s="101" t="s">
        <v>399</v>
      </c>
      <c r="E109" s="101" t="s">
        <v>400</v>
      </c>
      <c r="F109" s="227">
        <f>SUMIF(管道站场阀室关系!B:B,支线管道!C109,管道站场阀室关系!H:H)</f>
        <v>77</v>
      </c>
      <c r="G109" s="101">
        <v>1016</v>
      </c>
      <c r="H109" s="131"/>
      <c r="I109" s="131">
        <v>10</v>
      </c>
      <c r="J109" s="101">
        <v>170</v>
      </c>
      <c r="K109" s="101">
        <v>4857</v>
      </c>
      <c r="L109" s="118">
        <f>SUMIF(管道站场阀室关系!B:B,支线管道!C109,管道站场阀室关系!J:J)</f>
        <v>57005.2212946338</v>
      </c>
      <c r="M109" s="101">
        <v>20201029</v>
      </c>
      <c r="N109" s="101" t="s">
        <v>353</v>
      </c>
      <c r="O109" s="101"/>
    </row>
    <row r="110" spans="1:15">
      <c r="A110" s="161">
        <v>109</v>
      </c>
      <c r="B110" s="122" t="s">
        <v>49</v>
      </c>
      <c r="C110" s="166" t="s">
        <v>401</v>
      </c>
      <c r="D110" s="101" t="s">
        <v>402</v>
      </c>
      <c r="E110" s="101" t="s">
        <v>403</v>
      </c>
      <c r="F110" s="227">
        <f>SUMIF(管道站场阀室关系!B:B,支线管道!C110,管道站场阀室关系!H:H)</f>
        <v>11</v>
      </c>
      <c r="G110" s="101">
        <v>508</v>
      </c>
      <c r="H110" s="131"/>
      <c r="I110" s="131">
        <v>6.3</v>
      </c>
      <c r="J110" s="101">
        <v>5</v>
      </c>
      <c r="K110" s="101"/>
      <c r="L110" s="118">
        <f>SUMIF(管道站场阀室关系!B:B,支线管道!C110,管道站场阀室关系!J:J)</f>
        <v>1792.4593397621</v>
      </c>
      <c r="M110" s="101">
        <v>20211027</v>
      </c>
      <c r="N110" s="101" t="s">
        <v>353</v>
      </c>
      <c r="O110" s="101"/>
    </row>
    <row r="111" spans="1:15">
      <c r="A111" s="161">
        <v>110</v>
      </c>
      <c r="B111" s="122" t="s">
        <v>49</v>
      </c>
      <c r="C111" s="166" t="s">
        <v>404</v>
      </c>
      <c r="D111" s="101" t="s">
        <v>405</v>
      </c>
      <c r="E111" s="101" t="s">
        <v>406</v>
      </c>
      <c r="F111" s="227">
        <f>SUMIF(管道站场阀室关系!B:B,支线管道!C111,管道站场阀室关系!H:H)</f>
        <v>3</v>
      </c>
      <c r="G111" s="101">
        <v>272.1</v>
      </c>
      <c r="H111" s="131"/>
      <c r="I111" s="131">
        <v>12</v>
      </c>
      <c r="J111" s="101"/>
      <c r="K111" s="101"/>
      <c r="L111" s="118">
        <f>SUMIF(管道站场阀室关系!B:B,支线管道!C111,管道站场阀室关系!J:J)</f>
        <v>120.376791467068</v>
      </c>
      <c r="M111" s="101">
        <v>20211210</v>
      </c>
      <c r="N111" s="101" t="s">
        <v>353</v>
      </c>
      <c r="O111" s="101"/>
    </row>
    <row r="112" ht="30" spans="1:15">
      <c r="A112" s="161">
        <v>111</v>
      </c>
      <c r="B112" s="122" t="s">
        <v>49</v>
      </c>
      <c r="C112" s="166" t="s">
        <v>407</v>
      </c>
      <c r="D112" s="101" t="s">
        <v>408</v>
      </c>
      <c r="E112" s="101" t="s">
        <v>409</v>
      </c>
      <c r="F112" s="227">
        <f>SUMIF(管道站场阀室关系!B:B,支线管道!C112,管道站场阀室关系!H:H)</f>
        <v>43.7</v>
      </c>
      <c r="G112" s="101">
        <v>273.1</v>
      </c>
      <c r="H112" s="131"/>
      <c r="I112" s="131" t="s">
        <v>410</v>
      </c>
      <c r="J112" s="101"/>
      <c r="K112" s="101"/>
      <c r="L112" s="118">
        <f>SUMIF(管道站场阀室关系!B:B,支线管道!C112,管道站场阀室关系!J:J)</f>
        <v>2165.4858640955</v>
      </c>
      <c r="M112" s="101">
        <v>20211212</v>
      </c>
      <c r="N112" s="101" t="s">
        <v>353</v>
      </c>
      <c r="O112" s="101"/>
    </row>
    <row r="113" ht="45" spans="1:15">
      <c r="A113" s="161">
        <v>112</v>
      </c>
      <c r="B113" s="122" t="s">
        <v>49</v>
      </c>
      <c r="C113" s="166" t="s">
        <v>411</v>
      </c>
      <c r="D113" s="101" t="s">
        <v>412</v>
      </c>
      <c r="E113" s="101" t="s">
        <v>413</v>
      </c>
      <c r="F113" s="227">
        <f>SUMIF(管道站场阀室关系!B:B,支线管道!C113,管道站场阀室关系!H:H)</f>
        <v>28</v>
      </c>
      <c r="G113" s="101" t="s">
        <v>414</v>
      </c>
      <c r="H113" s="131"/>
      <c r="I113" s="101" t="s">
        <v>415</v>
      </c>
      <c r="J113" s="101"/>
      <c r="K113" s="101"/>
      <c r="L113" s="118">
        <f>SUMIF(管道站场阀室关系!B:B,支线管道!C113,管道站场阀室关系!J:J)</f>
        <v>1482.53404485495</v>
      </c>
      <c r="M113" s="101">
        <v>20211210</v>
      </c>
      <c r="N113" s="101" t="s">
        <v>353</v>
      </c>
      <c r="O113" s="101"/>
    </row>
    <row r="114" spans="1:15">
      <c r="A114" s="161">
        <v>113</v>
      </c>
      <c r="B114" s="122" t="s">
        <v>49</v>
      </c>
      <c r="C114" s="166" t="s">
        <v>416</v>
      </c>
      <c r="D114" s="101" t="s">
        <v>417</v>
      </c>
      <c r="E114" s="101" t="s">
        <v>418</v>
      </c>
      <c r="F114" s="227">
        <f>SUMIF(管道站场阀室关系!B:B,支线管道!C114,管道站场阀室关系!H:H)</f>
        <v>0.55</v>
      </c>
      <c r="G114" s="101">
        <v>406.4</v>
      </c>
      <c r="H114" s="131"/>
      <c r="I114" s="101">
        <v>12</v>
      </c>
      <c r="J114" s="101">
        <v>0.08</v>
      </c>
      <c r="K114" s="101"/>
      <c r="L114" s="118">
        <f>SUMIF(管道站场阀室关系!B:B,支线管道!C114,管道站场阀室关系!J:J)</f>
        <v>0</v>
      </c>
      <c r="M114" s="101">
        <v>20211212</v>
      </c>
      <c r="N114" s="101" t="s">
        <v>353</v>
      </c>
      <c r="O114" s="101"/>
    </row>
    <row r="115" s="209" customFormat="1" ht="60" spans="1:15">
      <c r="A115" s="161">
        <v>114</v>
      </c>
      <c r="B115" s="122" t="s">
        <v>49</v>
      </c>
      <c r="C115" s="219" t="s">
        <v>419</v>
      </c>
      <c r="D115" s="101" t="s">
        <v>420</v>
      </c>
      <c r="E115" s="101" t="s">
        <v>421</v>
      </c>
      <c r="F115" s="227">
        <f>SUMIF(管道站场阀室关系!B:B,支线管道!C115,管道站场阀室关系!H:H)</f>
        <v>36.9</v>
      </c>
      <c r="G115" s="101" t="s">
        <v>422</v>
      </c>
      <c r="H115" s="131"/>
      <c r="I115" s="101" t="s">
        <v>423</v>
      </c>
      <c r="J115" s="101">
        <v>1.26</v>
      </c>
      <c r="K115" s="101">
        <v>36</v>
      </c>
      <c r="L115" s="118">
        <f>SUMIF(管道站场阀室关系!B:B,支线管道!C115,管道站场阀室关系!J:J)</f>
        <v>1696</v>
      </c>
      <c r="M115" s="101">
        <v>20241015</v>
      </c>
      <c r="N115" s="101" t="s">
        <v>353</v>
      </c>
      <c r="O115" s="101"/>
    </row>
    <row r="116" spans="1:15">
      <c r="A116" s="161">
        <v>115</v>
      </c>
      <c r="B116" s="122" t="s">
        <v>50</v>
      </c>
      <c r="C116" s="166" t="s">
        <v>424</v>
      </c>
      <c r="D116" s="101" t="s">
        <v>357</v>
      </c>
      <c r="E116" s="101" t="s">
        <v>425</v>
      </c>
      <c r="F116" s="227">
        <f>SUMIF(管道站场阀室关系!B:B,支线管道!C116,管道站场阀室关系!H:H)</f>
        <v>308.5601</v>
      </c>
      <c r="G116" s="101">
        <v>1016</v>
      </c>
      <c r="H116" s="131">
        <v>21</v>
      </c>
      <c r="I116" s="131">
        <v>10</v>
      </c>
      <c r="J116" s="101">
        <v>90</v>
      </c>
      <c r="K116" s="101"/>
      <c r="L116" s="118">
        <f>SUMIF(管道站场阀室关系!B:B,支线管道!C116,管道站场阀室关系!J:J)</f>
        <v>216984.504154716</v>
      </c>
      <c r="M116" s="101">
        <v>20090606</v>
      </c>
      <c r="N116" s="101" t="s">
        <v>353</v>
      </c>
      <c r="O116" s="101"/>
    </row>
    <row r="117" spans="1:15">
      <c r="A117" s="161">
        <v>116</v>
      </c>
      <c r="B117" s="122" t="s">
        <v>50</v>
      </c>
      <c r="C117" s="166" t="s">
        <v>426</v>
      </c>
      <c r="D117" s="101" t="s">
        <v>427</v>
      </c>
      <c r="E117" s="101" t="s">
        <v>428</v>
      </c>
      <c r="F117" s="227">
        <f>SUMIF(管道站场阀室关系!B:B,支线管道!C117,管道站场阀室关系!H:H)</f>
        <v>9.3</v>
      </c>
      <c r="G117" s="101">
        <v>219.1</v>
      </c>
      <c r="H117" s="131"/>
      <c r="I117" s="131">
        <v>10</v>
      </c>
      <c r="J117" s="101">
        <v>4.2</v>
      </c>
      <c r="K117" s="101"/>
      <c r="L117" s="118">
        <f>SUMIF(管道站场阀室关系!B:B,支线管道!C117,管道站场阀室关系!J:J)</f>
        <v>350</v>
      </c>
      <c r="M117" s="101">
        <v>20111118</v>
      </c>
      <c r="N117" s="101" t="s">
        <v>353</v>
      </c>
      <c r="O117" s="101"/>
    </row>
    <row r="118" s="212" customFormat="1" spans="1:15">
      <c r="A118" s="161">
        <v>117</v>
      </c>
      <c r="B118" s="122" t="s">
        <v>51</v>
      </c>
      <c r="C118" s="166" t="s">
        <v>51</v>
      </c>
      <c r="D118" s="101" t="s">
        <v>429</v>
      </c>
      <c r="E118" s="101" t="s">
        <v>430</v>
      </c>
      <c r="F118" s="227">
        <f>SUMIF(管道站场阀室关系!B:B,支线管道!C118,管道站场阀室关系!H:H)</f>
        <v>127.3034</v>
      </c>
      <c r="G118" s="101">
        <v>1016</v>
      </c>
      <c r="H118" s="131">
        <v>14.6</v>
      </c>
      <c r="I118" s="131">
        <v>10</v>
      </c>
      <c r="J118" s="101">
        <v>120</v>
      </c>
      <c r="K118" s="101"/>
      <c r="L118" s="118">
        <f>SUMIF(管道站场阀室关系!B:B,支线管道!C118,管道站场阀室关系!J:J)</f>
        <v>92941.0157069073</v>
      </c>
      <c r="M118" s="101">
        <v>20131116</v>
      </c>
      <c r="N118" s="101" t="s">
        <v>353</v>
      </c>
      <c r="O118" s="101"/>
    </row>
    <row r="119" s="212" customFormat="1" spans="1:15">
      <c r="A119" s="161">
        <v>118</v>
      </c>
      <c r="B119" s="122" t="s">
        <v>51</v>
      </c>
      <c r="C119" s="219" t="s">
        <v>431</v>
      </c>
      <c r="D119" s="101" t="s">
        <v>432</v>
      </c>
      <c r="E119" s="101" t="s">
        <v>433</v>
      </c>
      <c r="F119" s="227">
        <f>SUMIF(管道站场阀室关系!B:B,支线管道!C119,管道站场阀室关系!H:H)</f>
        <v>7.16</v>
      </c>
      <c r="G119" s="101"/>
      <c r="H119" s="131"/>
      <c r="I119" s="131"/>
      <c r="J119" s="101"/>
      <c r="K119" s="101"/>
      <c r="L119" s="118">
        <f>SUMIF(管道站场阀室关系!B:B,支线管道!C119,管道站场阀室关系!J:J)</f>
        <v>0</v>
      </c>
      <c r="M119" s="101"/>
      <c r="N119" s="101"/>
      <c r="O119" s="101"/>
    </row>
    <row r="120" spans="1:15">
      <c r="A120" s="161">
        <v>119</v>
      </c>
      <c r="B120" s="122" t="s">
        <v>52</v>
      </c>
      <c r="C120" s="166" t="s">
        <v>434</v>
      </c>
      <c r="D120" s="101" t="s">
        <v>435</v>
      </c>
      <c r="E120" s="101" t="s">
        <v>436</v>
      </c>
      <c r="F120" s="83">
        <f>SUMIF(管道站场阀室关系!B:B,支线管道!C120,管道站场阀室关系!H:H)</f>
        <v>922.9333</v>
      </c>
      <c r="G120" s="101">
        <v>660</v>
      </c>
      <c r="H120" s="131">
        <v>7.1</v>
      </c>
      <c r="I120" s="131">
        <v>6.3</v>
      </c>
      <c r="J120" s="101">
        <v>34</v>
      </c>
      <c r="K120" s="101"/>
      <c r="L120" s="118">
        <f>SUMIF(管道站场阀室关系!B:B,支线管道!C120,管道站场阀室关系!J:J)</f>
        <v>304472.488</v>
      </c>
      <c r="M120" s="101">
        <v>20010906</v>
      </c>
      <c r="N120" s="101" t="s">
        <v>112</v>
      </c>
      <c r="O120" s="101"/>
    </row>
    <row r="121" spans="1:15">
      <c r="A121" s="161">
        <v>120</v>
      </c>
      <c r="B121" s="122" t="s">
        <v>52</v>
      </c>
      <c r="C121" s="166" t="s">
        <v>437</v>
      </c>
      <c r="D121" s="101" t="s">
        <v>438</v>
      </c>
      <c r="E121" s="101" t="s">
        <v>439</v>
      </c>
      <c r="F121" s="83">
        <f>SUMIF(管道站场阀室关系!B:B,支线管道!C121,管道站场阀室关系!H:H)</f>
        <v>29.76</v>
      </c>
      <c r="G121" s="101">
        <v>273.1</v>
      </c>
      <c r="H121" s="131"/>
      <c r="I121" s="131">
        <v>6.3</v>
      </c>
      <c r="J121" s="101">
        <v>5.1</v>
      </c>
      <c r="K121" s="101"/>
      <c r="L121" s="118">
        <f>SUMIF(管道站场阀室关系!B:B,支线管道!C121,管道站场阀室关系!J:J)</f>
        <v>1542.51</v>
      </c>
      <c r="M121" s="101">
        <v>20010921</v>
      </c>
      <c r="N121" s="101" t="s">
        <v>112</v>
      </c>
      <c r="O121" s="101"/>
    </row>
    <row r="122" spans="1:15">
      <c r="A122" s="161">
        <v>121</v>
      </c>
      <c r="B122" s="122" t="s">
        <v>52</v>
      </c>
      <c r="C122" s="166" t="s">
        <v>440</v>
      </c>
      <c r="D122" s="101" t="s">
        <v>438</v>
      </c>
      <c r="E122" s="101" t="s">
        <v>441</v>
      </c>
      <c r="F122" s="83">
        <f>SUMIF(管道站场阀室关系!B:B,支线管道!C122,管道站场阀室关系!H:H)</f>
        <v>1.613</v>
      </c>
      <c r="G122" s="101">
        <v>114.3</v>
      </c>
      <c r="H122" s="131"/>
      <c r="I122" s="131">
        <v>6.3</v>
      </c>
      <c r="J122" s="101">
        <v>0.55</v>
      </c>
      <c r="K122" s="101"/>
      <c r="L122" s="118">
        <f>SUMIF(管道站场阀室关系!B:B,支线管道!C122,管道站场阀室关系!J:J)</f>
        <v>13.979</v>
      </c>
      <c r="M122" s="101">
        <v>20020514</v>
      </c>
      <c r="N122" s="101" t="s">
        <v>112</v>
      </c>
      <c r="O122" s="101"/>
    </row>
    <row r="123" spans="1:15">
      <c r="A123" s="161">
        <v>122</v>
      </c>
      <c r="B123" s="122" t="s">
        <v>52</v>
      </c>
      <c r="C123" s="166" t="s">
        <v>442</v>
      </c>
      <c r="D123" s="101" t="s">
        <v>443</v>
      </c>
      <c r="E123" s="101" t="s">
        <v>444</v>
      </c>
      <c r="F123" s="83">
        <f>SUMIF(管道站场阀室关系!B:B,支线管道!C123,管道站场阀室关系!H:H)</f>
        <v>19.6</v>
      </c>
      <c r="G123" s="101">
        <v>355</v>
      </c>
      <c r="H123" s="131">
        <v>8.6</v>
      </c>
      <c r="I123" s="131">
        <v>6.4</v>
      </c>
      <c r="J123" s="101">
        <v>5.7</v>
      </c>
      <c r="K123" s="101"/>
      <c r="L123" s="118">
        <f>SUMIF(管道站场阀室关系!B:B,支线管道!C123,管道站场阀室关系!J:J)</f>
        <v>2133</v>
      </c>
      <c r="M123" s="101">
        <v>2001</v>
      </c>
      <c r="N123" s="101" t="s">
        <v>112</v>
      </c>
      <c r="O123" s="101"/>
    </row>
    <row r="124" ht="60" spans="1:15">
      <c r="A124" s="161">
        <v>123</v>
      </c>
      <c r="B124" s="122" t="s">
        <v>52</v>
      </c>
      <c r="C124" s="166" t="s">
        <v>445</v>
      </c>
      <c r="D124" s="101" t="s">
        <v>436</v>
      </c>
      <c r="E124" s="101" t="s">
        <v>446</v>
      </c>
      <c r="F124" s="83">
        <f>SUMIF(管道站场阀室关系!B:B,支线管道!C124,管道站场阀室关系!H:H)</f>
        <v>7.003</v>
      </c>
      <c r="G124" s="101" t="s">
        <v>447</v>
      </c>
      <c r="H124" s="131" t="s">
        <v>448</v>
      </c>
      <c r="I124" s="131">
        <v>2.5</v>
      </c>
      <c r="J124" s="101">
        <v>15</v>
      </c>
      <c r="K124" s="101"/>
      <c r="L124" s="118">
        <f>SUMIF(管道站场阀室关系!B:B,支线管道!C124,管道站场阀室关系!J:J)</f>
        <v>860</v>
      </c>
      <c r="M124" s="101">
        <v>201407</v>
      </c>
      <c r="N124" s="101" t="s">
        <v>112</v>
      </c>
      <c r="O124" s="101"/>
    </row>
    <row r="125" spans="1:15">
      <c r="A125" s="161">
        <v>124</v>
      </c>
      <c r="B125" s="122" t="s">
        <v>52</v>
      </c>
      <c r="C125" s="166" t="s">
        <v>449</v>
      </c>
      <c r="D125" s="101" t="s">
        <v>439</v>
      </c>
      <c r="E125" s="101" t="s">
        <v>450</v>
      </c>
      <c r="F125" s="83">
        <f>SUMIF(管道站场阀室关系!B:B,支线管道!C125,管道站场阀室关系!H:H)</f>
        <v>63.6</v>
      </c>
      <c r="G125" s="101">
        <v>219</v>
      </c>
      <c r="H125" s="131">
        <v>6.4</v>
      </c>
      <c r="I125" s="131">
        <v>6.3</v>
      </c>
      <c r="J125" s="101">
        <v>1.12</v>
      </c>
      <c r="K125" s="101"/>
      <c r="L125" s="118">
        <f>SUMIF(管道站场阀室关系!B:B,支线管道!C125,管道站场阀室关系!J:J)</f>
        <v>2128.692</v>
      </c>
      <c r="M125" s="101">
        <v>20111108</v>
      </c>
      <c r="N125" s="101" t="s">
        <v>112</v>
      </c>
      <c r="O125" s="101"/>
    </row>
    <row r="126" spans="1:15">
      <c r="A126" s="161">
        <v>125</v>
      </c>
      <c r="B126" s="122" t="s">
        <v>52</v>
      </c>
      <c r="C126" s="166" t="s">
        <v>451</v>
      </c>
      <c r="D126" s="101" t="s">
        <v>450</v>
      </c>
      <c r="E126" s="101" t="s">
        <v>452</v>
      </c>
      <c r="F126" s="83">
        <f>SUMIF(管道站场阀室关系!B:B,支线管道!C126,管道站场阀室关系!H:H)</f>
        <v>149</v>
      </c>
      <c r="G126" s="101">
        <v>219.1</v>
      </c>
      <c r="H126" s="131"/>
      <c r="I126" s="131">
        <v>4</v>
      </c>
      <c r="J126" s="101">
        <v>0.79</v>
      </c>
      <c r="K126" s="101"/>
      <c r="L126" s="118">
        <f>SUMIF(管道站场阀室关系!B:B,支线管道!C126,管道站场阀室关系!J:J)</f>
        <v>3671.9046</v>
      </c>
      <c r="M126" s="101">
        <v>20141128</v>
      </c>
      <c r="N126" s="101" t="s">
        <v>112</v>
      </c>
      <c r="O126" s="101"/>
    </row>
    <row r="127" spans="1:15">
      <c r="A127" s="161">
        <v>126</v>
      </c>
      <c r="B127" s="122" t="s">
        <v>52</v>
      </c>
      <c r="C127" s="166" t="s">
        <v>453</v>
      </c>
      <c r="D127" s="101" t="s">
        <v>454</v>
      </c>
      <c r="E127" s="101" t="s">
        <v>455</v>
      </c>
      <c r="F127" s="83">
        <f>SUMIF(管道站场阀室关系!B:B,支线管道!C127,管道站场阀室关系!H:H)</f>
        <v>31</v>
      </c>
      <c r="G127" s="101">
        <v>114.3</v>
      </c>
      <c r="H127" s="131"/>
      <c r="I127" s="131">
        <v>4</v>
      </c>
      <c r="J127" s="101">
        <v>0.24</v>
      </c>
      <c r="K127" s="101"/>
      <c r="L127" s="118">
        <f>SUMIF(管道站场阀室关系!B:B,支线管道!C127,管道站场阀室关系!J:J)</f>
        <v>226.31</v>
      </c>
      <c r="M127" s="101">
        <v>20141128</v>
      </c>
      <c r="N127" s="101" t="s">
        <v>112</v>
      </c>
      <c r="O127" s="101"/>
    </row>
    <row r="128" ht="30" spans="1:15">
      <c r="A128" s="161">
        <v>127</v>
      </c>
      <c r="B128" s="122" t="s">
        <v>52</v>
      </c>
      <c r="C128" s="166" t="s">
        <v>456</v>
      </c>
      <c r="D128" s="101" t="s">
        <v>436</v>
      </c>
      <c r="E128" s="101" t="s">
        <v>457</v>
      </c>
      <c r="F128" s="83">
        <f>SUMIF(管道站场阀室关系!B:B,支线管道!C128,管道站场阀室关系!H:H)</f>
        <v>142.8</v>
      </c>
      <c r="G128" s="101" t="s">
        <v>458</v>
      </c>
      <c r="H128" s="131" t="s">
        <v>459</v>
      </c>
      <c r="I128" s="131">
        <v>4</v>
      </c>
      <c r="J128" s="101" t="s">
        <v>460</v>
      </c>
      <c r="K128" s="101"/>
      <c r="L128" s="118">
        <f>SUMIF(管道站场阀室关系!B:B,支线管道!C128,管道站场阀室关系!J:J)</f>
        <v>14293.87</v>
      </c>
      <c r="M128" s="101">
        <v>20170719</v>
      </c>
      <c r="N128" s="101" t="s">
        <v>112</v>
      </c>
      <c r="O128" s="101"/>
    </row>
    <row r="129" spans="1:15">
      <c r="A129" s="161">
        <v>128</v>
      </c>
      <c r="B129" s="122" t="s">
        <v>52</v>
      </c>
      <c r="C129" s="219" t="s">
        <v>461</v>
      </c>
      <c r="D129" s="101" t="s">
        <v>462</v>
      </c>
      <c r="E129" s="101" t="s">
        <v>463</v>
      </c>
      <c r="F129" s="83">
        <f>SUMIF(管道站场阀室关系!B:B,支线管道!C129,管道站场阀室关系!H:H)</f>
        <v>188.4</v>
      </c>
      <c r="G129" s="101">
        <v>914</v>
      </c>
      <c r="H129" s="131"/>
      <c r="I129" s="131">
        <v>10</v>
      </c>
      <c r="J129" s="101">
        <v>50</v>
      </c>
      <c r="K129" s="101"/>
      <c r="L129" s="118">
        <f>SUMIF(管道站场阀室关系!B:B,支线管道!C129,管道站场阀室关系!J:J)</f>
        <v>111917</v>
      </c>
      <c r="M129" s="101">
        <v>20231027</v>
      </c>
      <c r="N129" s="101" t="s">
        <v>112</v>
      </c>
      <c r="O129" s="101"/>
    </row>
    <row r="130" spans="1:15">
      <c r="A130" s="161">
        <v>129</v>
      </c>
      <c r="B130" s="122" t="s">
        <v>53</v>
      </c>
      <c r="C130" s="166" t="s">
        <v>53</v>
      </c>
      <c r="D130" s="101" t="s">
        <v>435</v>
      </c>
      <c r="E130" s="101" t="s">
        <v>464</v>
      </c>
      <c r="F130" s="83">
        <f>SUMIF(管道站场阀室关系!B:B,支线管道!C130,管道站场阀室关系!H:H)</f>
        <v>921.415</v>
      </c>
      <c r="G130" s="101">
        <v>660</v>
      </c>
      <c r="H130" s="131">
        <v>7.1</v>
      </c>
      <c r="I130" s="131">
        <v>6.3</v>
      </c>
      <c r="J130" s="101">
        <v>34</v>
      </c>
      <c r="K130" s="101"/>
      <c r="L130" s="118">
        <f>SUMIF(管道站场阀室关系!B:B,支线管道!C130,管道站场阀室关系!J:J)</f>
        <v>301657.18</v>
      </c>
      <c r="M130" s="101" t="s">
        <v>465</v>
      </c>
      <c r="N130" s="101" t="s">
        <v>112</v>
      </c>
      <c r="O130" s="101"/>
    </row>
    <row r="131" spans="1:15">
      <c r="A131" s="161">
        <v>130</v>
      </c>
      <c r="B131" s="122" t="s">
        <v>54</v>
      </c>
      <c r="C131" s="166" t="s">
        <v>466</v>
      </c>
      <c r="D131" s="101" t="s">
        <v>467</v>
      </c>
      <c r="E131" s="101" t="s">
        <v>468</v>
      </c>
      <c r="F131" s="83">
        <f>SUMIF(管道站场阀室关系!B:B,支线管道!C131,管道站场阀室关系!H:H)</f>
        <v>173.419</v>
      </c>
      <c r="G131" s="101">
        <v>610</v>
      </c>
      <c r="H131" s="131">
        <v>7.1</v>
      </c>
      <c r="I131" s="131">
        <v>10</v>
      </c>
      <c r="J131" s="101">
        <v>19</v>
      </c>
      <c r="K131" s="101"/>
      <c r="L131" s="118">
        <f>SUMIF(管道站场阀室关系!B:B,支线管道!C131,管道站场阀室关系!J:J)</f>
        <v>46963</v>
      </c>
      <c r="M131" s="101">
        <v>20070722</v>
      </c>
      <c r="N131" s="101" t="s">
        <v>112</v>
      </c>
      <c r="O131" s="101"/>
    </row>
    <row r="132" spans="1:15">
      <c r="A132" s="161">
        <v>131</v>
      </c>
      <c r="B132" s="122" t="s">
        <v>54</v>
      </c>
      <c r="C132" s="166" t="s">
        <v>469</v>
      </c>
      <c r="D132" s="101" t="s">
        <v>468</v>
      </c>
      <c r="E132" s="101" t="s">
        <v>470</v>
      </c>
      <c r="F132" s="83">
        <f>SUMIF(管道站场阀室关系!B:B,支线管道!C132,管道站场阀室关系!H:H)</f>
        <v>239.681</v>
      </c>
      <c r="G132" s="101">
        <v>610</v>
      </c>
      <c r="H132" s="131">
        <v>7.1</v>
      </c>
      <c r="I132" s="131">
        <v>10</v>
      </c>
      <c r="J132" s="101">
        <v>19</v>
      </c>
      <c r="K132" s="101"/>
      <c r="L132" s="118">
        <f>SUMIF(管道站场阀室关系!B:B,支线管道!C132,管道站场阀室关系!J:J)</f>
        <v>65037.5120617439</v>
      </c>
      <c r="M132" s="101">
        <v>20070722</v>
      </c>
      <c r="N132" s="101" t="s">
        <v>112</v>
      </c>
      <c r="O132" s="101"/>
    </row>
    <row r="133" spans="1:15">
      <c r="A133" s="161">
        <v>132</v>
      </c>
      <c r="B133" s="122" t="s">
        <v>54</v>
      </c>
      <c r="C133" s="166" t="s">
        <v>471</v>
      </c>
      <c r="D133" s="101" t="s">
        <v>472</v>
      </c>
      <c r="E133" s="101" t="s">
        <v>473</v>
      </c>
      <c r="F133" s="83">
        <f>SUMIF(管道站场阀室关系!B:B,支线管道!C133,管道站场阀室关系!H:H)</f>
        <v>56</v>
      </c>
      <c r="G133" s="101">
        <v>273</v>
      </c>
      <c r="H133" s="131"/>
      <c r="I133" s="131">
        <v>6.3</v>
      </c>
      <c r="J133" s="101">
        <v>2</v>
      </c>
      <c r="K133" s="101"/>
      <c r="L133" s="118">
        <f>SUMIF(管道站场阀室关系!B:B,支线管道!C133,管道站场阀室关系!J:J)</f>
        <v>2675</v>
      </c>
      <c r="M133" s="101">
        <v>20080928</v>
      </c>
      <c r="N133" s="101" t="s">
        <v>112</v>
      </c>
      <c r="O133" s="101"/>
    </row>
    <row r="134" spans="1:15">
      <c r="A134" s="161">
        <v>133</v>
      </c>
      <c r="B134" s="122" t="s">
        <v>54</v>
      </c>
      <c r="C134" s="166" t="s">
        <v>474</v>
      </c>
      <c r="D134" s="101" t="s">
        <v>475</v>
      </c>
      <c r="E134" s="101" t="s">
        <v>476</v>
      </c>
      <c r="F134" s="83">
        <f>SUMIF(管道站场阀室关系!B:B,支线管道!C134,管道站场阀室关系!H:H)</f>
        <v>4</v>
      </c>
      <c r="G134" s="101">
        <v>168</v>
      </c>
      <c r="H134" s="131"/>
      <c r="I134" s="131">
        <v>4</v>
      </c>
      <c r="J134" s="101"/>
      <c r="K134" s="101">
        <v>20.75</v>
      </c>
      <c r="L134" s="118">
        <f>SUMIF(管道站场阀室关系!B:B,支线管道!C134,管道站场阀室关系!J:J)</f>
        <v>90</v>
      </c>
      <c r="M134" s="101">
        <v>20091101</v>
      </c>
      <c r="N134" s="101" t="s">
        <v>112</v>
      </c>
      <c r="O134" s="101"/>
    </row>
    <row r="135" spans="1:15">
      <c r="A135" s="161">
        <v>134</v>
      </c>
      <c r="B135" s="122" t="s">
        <v>54</v>
      </c>
      <c r="C135" s="166" t="s">
        <v>477</v>
      </c>
      <c r="D135" s="101" t="s">
        <v>478</v>
      </c>
      <c r="E135" s="101" t="s">
        <v>479</v>
      </c>
      <c r="F135" s="83">
        <f>SUMIF(管道站场阀室关系!B:B,支线管道!C135,管道站场阀室关系!H:H)</f>
        <v>0.03</v>
      </c>
      <c r="G135" s="101"/>
      <c r="H135" s="131"/>
      <c r="I135" s="131"/>
      <c r="J135" s="101"/>
      <c r="K135" s="101"/>
      <c r="L135" s="118">
        <f>SUMIF(管道站场阀室关系!B:B,支线管道!C135,管道站场阀室关系!J:J)</f>
        <v>0</v>
      </c>
      <c r="M135" s="101"/>
      <c r="N135" s="101" t="s">
        <v>112</v>
      </c>
      <c r="O135" s="101" t="s">
        <v>480</v>
      </c>
    </row>
    <row r="136" spans="1:15">
      <c r="A136" s="161">
        <v>135</v>
      </c>
      <c r="B136" s="122" t="s">
        <v>54</v>
      </c>
      <c r="C136" s="219" t="s">
        <v>481</v>
      </c>
      <c r="D136" s="101" t="s">
        <v>482</v>
      </c>
      <c r="E136" s="101" t="s">
        <v>468</v>
      </c>
      <c r="F136" s="83">
        <f>SUMIF(管道站场阀室关系!B:B,支线管道!C136,管道站场阀室关系!H:H)</f>
        <v>28.3</v>
      </c>
      <c r="G136" s="101"/>
      <c r="H136" s="131"/>
      <c r="I136" s="131"/>
      <c r="J136" s="101"/>
      <c r="K136" s="101"/>
      <c r="L136" s="118">
        <f>SUMIF(管道站场阀室关系!B:B,支线管道!C136,管道站场阀室关系!J:J)</f>
        <v>0</v>
      </c>
      <c r="M136" s="101"/>
      <c r="N136" s="101"/>
      <c r="O136" s="101"/>
    </row>
    <row r="137" spans="1:15">
      <c r="A137" s="161">
        <v>136</v>
      </c>
      <c r="B137" s="122" t="s">
        <v>54</v>
      </c>
      <c r="C137" s="219" t="s">
        <v>483</v>
      </c>
      <c r="D137" s="101" t="s">
        <v>484</v>
      </c>
      <c r="E137" s="101" t="s">
        <v>468</v>
      </c>
      <c r="F137" s="83">
        <f>SUMIF(管道站场阀室关系!B:B,支线管道!C137,管道站场阀室关系!H:H)</f>
        <v>28.373</v>
      </c>
      <c r="G137" s="101"/>
      <c r="H137" s="131"/>
      <c r="I137" s="131"/>
      <c r="J137" s="101"/>
      <c r="K137" s="101"/>
      <c r="L137" s="118">
        <f>SUMIF(管道站场阀室关系!B:B,支线管道!C137,管道站场阀室关系!J:J)</f>
        <v>0</v>
      </c>
      <c r="M137" s="101"/>
      <c r="N137" s="101"/>
      <c r="O137" s="101"/>
    </row>
    <row r="138" spans="1:15">
      <c r="A138" s="161">
        <v>137</v>
      </c>
      <c r="B138" s="122" t="s">
        <v>55</v>
      </c>
      <c r="C138" s="166" t="s">
        <v>485</v>
      </c>
      <c r="D138" s="101" t="s">
        <v>486</v>
      </c>
      <c r="E138" s="101" t="s">
        <v>470</v>
      </c>
      <c r="F138" s="83">
        <f>SUMIF(管道站场阀室关系!B:B,支线管道!C138,管道站场阀室关系!H:H)</f>
        <v>293.3999</v>
      </c>
      <c r="G138" s="101">
        <v>426</v>
      </c>
      <c r="H138" s="131">
        <v>8</v>
      </c>
      <c r="I138" s="131">
        <v>6.27</v>
      </c>
      <c r="J138" s="101">
        <v>10.8</v>
      </c>
      <c r="K138" s="101"/>
      <c r="L138" s="118">
        <f>SUMIF(管道站场阀室关系!B:B,支线管道!C138,管道站场阀室关系!J:J)</f>
        <v>39054.2107337133</v>
      </c>
      <c r="M138" s="101">
        <v>19980930</v>
      </c>
      <c r="N138" s="101" t="s">
        <v>112</v>
      </c>
      <c r="O138" s="101"/>
    </row>
    <row r="139" s="209" customFormat="1" spans="1:15">
      <c r="A139" s="161">
        <v>138</v>
      </c>
      <c r="B139" s="122" t="s">
        <v>55</v>
      </c>
      <c r="C139" s="219" t="s">
        <v>487</v>
      </c>
      <c r="D139" s="101" t="s">
        <v>488</v>
      </c>
      <c r="E139" s="101" t="s">
        <v>489</v>
      </c>
      <c r="F139" s="83">
        <f>SUMIF(管道站场阀室关系!B:B,支线管道!C139,管道站场阀室关系!H:H)</f>
        <v>5.6</v>
      </c>
      <c r="G139" s="101">
        <v>426</v>
      </c>
      <c r="H139" s="131"/>
      <c r="I139" s="131">
        <v>6.27</v>
      </c>
      <c r="J139" s="101">
        <v>6.5</v>
      </c>
      <c r="K139" s="101">
        <v>178.08</v>
      </c>
      <c r="L139" s="118"/>
      <c r="M139" s="101"/>
      <c r="N139" s="101"/>
      <c r="O139" s="101"/>
    </row>
    <row r="140" spans="1:15">
      <c r="A140" s="161">
        <v>139</v>
      </c>
      <c r="B140" s="122" t="s">
        <v>56</v>
      </c>
      <c r="C140" s="166" t="s">
        <v>490</v>
      </c>
      <c r="D140" s="101" t="s">
        <v>491</v>
      </c>
      <c r="E140" s="101" t="s">
        <v>492</v>
      </c>
      <c r="F140" s="85">
        <f>SUMIF(管道站场阀室关系!B:B,支线管道!C140,管道站场阀室关系!H:H)</f>
        <v>718.9001</v>
      </c>
      <c r="G140" s="101">
        <v>711</v>
      </c>
      <c r="H140" s="131">
        <v>9.5</v>
      </c>
      <c r="I140" s="131" t="s">
        <v>493</v>
      </c>
      <c r="J140" s="101">
        <v>73.7</v>
      </c>
      <c r="K140" s="101"/>
      <c r="L140" s="118">
        <f>SUMIF(管道站场阀室关系!B:B,支线管道!C140,管道站场阀室关系!J:J)</f>
        <v>270584</v>
      </c>
      <c r="M140" s="101">
        <v>20041116</v>
      </c>
      <c r="N140" s="101" t="s">
        <v>206</v>
      </c>
      <c r="O140" s="101"/>
    </row>
    <row r="141" spans="1:15">
      <c r="A141" s="161">
        <v>140</v>
      </c>
      <c r="B141" s="122" t="s">
        <v>56</v>
      </c>
      <c r="C141" s="166" t="s">
        <v>494</v>
      </c>
      <c r="D141" s="101" t="s">
        <v>495</v>
      </c>
      <c r="E141" s="101" t="s">
        <v>252</v>
      </c>
      <c r="F141" s="85">
        <f>SUMIF(管道站场阀室关系!B:B,支线管道!C141,管道站场阀室关系!H:H)</f>
        <v>210.5</v>
      </c>
      <c r="G141" s="101">
        <v>406</v>
      </c>
      <c r="H141" s="131"/>
      <c r="I141" s="131">
        <v>6.3</v>
      </c>
      <c r="J141" s="101">
        <v>8.86</v>
      </c>
      <c r="K141" s="101"/>
      <c r="L141" s="118">
        <f>SUMIF(管道站场阀室关系!B:B,支线管道!C141,管道站场阀室关系!J:J)</f>
        <v>25531</v>
      </c>
      <c r="M141" s="101">
        <v>20041116</v>
      </c>
      <c r="N141" s="101" t="s">
        <v>206</v>
      </c>
      <c r="O141" s="101"/>
    </row>
    <row r="142" spans="1:15">
      <c r="A142" s="161">
        <v>141</v>
      </c>
      <c r="B142" s="122" t="s">
        <v>56</v>
      </c>
      <c r="C142" s="166" t="s">
        <v>496</v>
      </c>
      <c r="D142" s="101" t="s">
        <v>492</v>
      </c>
      <c r="E142" s="101" t="s">
        <v>497</v>
      </c>
      <c r="F142" s="85">
        <f>SUMIF(管道站场阀室关系!B:B,支线管道!C142,管道站场阀室关系!H:H)</f>
        <v>77.9</v>
      </c>
      <c r="G142" s="101">
        <v>324</v>
      </c>
      <c r="H142" s="131"/>
      <c r="I142" s="131">
        <v>6.3</v>
      </c>
      <c r="J142" s="101">
        <v>32.06</v>
      </c>
      <c r="K142" s="101"/>
      <c r="L142" s="118">
        <f>SUMIF(管道站场阀室关系!B:B,支线管道!C142,管道站场阀室关系!J:J)</f>
        <v>5918</v>
      </c>
      <c r="M142" s="101">
        <v>20041116</v>
      </c>
      <c r="N142" s="101" t="s">
        <v>206</v>
      </c>
      <c r="O142" s="101"/>
    </row>
    <row r="143" spans="1:15">
      <c r="A143" s="161">
        <v>142</v>
      </c>
      <c r="B143" s="122" t="s">
        <v>56</v>
      </c>
      <c r="C143" s="166" t="s">
        <v>498</v>
      </c>
      <c r="D143" s="101" t="s">
        <v>257</v>
      </c>
      <c r="E143" s="101" t="s">
        <v>499</v>
      </c>
      <c r="F143" s="85">
        <f>SUMIF(管道站场阀室关系!B:B,支线管道!C143,管道站场阀室关系!H:H)</f>
        <v>340.5</v>
      </c>
      <c r="G143" s="101">
        <v>610</v>
      </c>
      <c r="H143" s="131"/>
      <c r="I143" s="131">
        <v>6.3</v>
      </c>
      <c r="J143" s="101">
        <v>35.89</v>
      </c>
      <c r="K143" s="101"/>
      <c r="L143" s="118">
        <f>SUMIF(管道站场阀室关系!B:B,支线管道!C143,管道站场阀室关系!J:J)</f>
        <v>94000.6</v>
      </c>
      <c r="M143" s="101">
        <v>20050526</v>
      </c>
      <c r="N143" s="101" t="s">
        <v>206</v>
      </c>
      <c r="O143" s="101"/>
    </row>
    <row r="144" s="209" customFormat="1" ht="30" spans="1:15">
      <c r="A144" s="161">
        <v>143</v>
      </c>
      <c r="B144" s="122" t="s">
        <v>56</v>
      </c>
      <c r="C144" s="219" t="s">
        <v>500</v>
      </c>
      <c r="D144" s="101" t="s">
        <v>501</v>
      </c>
      <c r="E144" s="101" t="s">
        <v>502</v>
      </c>
      <c r="F144" s="85">
        <f>SUMIF(管道站场阀室关系!B:B,支线管道!C144,管道站场阀室关系!H:H)</f>
        <v>4.97</v>
      </c>
      <c r="G144" s="101">
        <v>711</v>
      </c>
      <c r="H144" s="131">
        <v>11.1</v>
      </c>
      <c r="I144" s="131">
        <v>6.3</v>
      </c>
      <c r="J144" s="101">
        <v>50</v>
      </c>
      <c r="K144" s="101"/>
      <c r="L144" s="118">
        <f>SUMIF(管道站场阀室关系!B:B,支线管道!C144,管道站场阀室关系!J:J)</f>
        <v>613.22</v>
      </c>
      <c r="M144" s="101">
        <v>20250223</v>
      </c>
      <c r="N144" s="101" t="s">
        <v>206</v>
      </c>
      <c r="O144" s="101"/>
    </row>
    <row r="145" ht="30" spans="1:15">
      <c r="A145" s="161">
        <v>144</v>
      </c>
      <c r="B145" s="122" t="s">
        <v>57</v>
      </c>
      <c r="C145" s="166" t="s">
        <v>503</v>
      </c>
      <c r="D145" s="101" t="s">
        <v>425</v>
      </c>
      <c r="E145" s="101" t="s">
        <v>504</v>
      </c>
      <c r="F145" s="227">
        <f>SUMIF(管道站场阀室关系!B:B,支线管道!C145,管道站场阀室关系!H:H)</f>
        <v>404.43</v>
      </c>
      <c r="G145" s="101">
        <v>1016</v>
      </c>
      <c r="H145" s="131">
        <v>17.5</v>
      </c>
      <c r="I145" s="131">
        <v>10</v>
      </c>
      <c r="J145" s="101">
        <v>90</v>
      </c>
      <c r="K145" s="101">
        <v>2571</v>
      </c>
      <c r="L145" s="118">
        <f>SUMIF(管道站场阀室关系!B:B,支线管道!C145,管道站场阀室关系!J:J)</f>
        <v>312473.432114175</v>
      </c>
      <c r="M145" s="101" t="s">
        <v>505</v>
      </c>
      <c r="N145" s="101" t="s">
        <v>353</v>
      </c>
      <c r="O145" s="101"/>
    </row>
    <row r="146" spans="1:15">
      <c r="A146" s="161">
        <v>145</v>
      </c>
      <c r="B146" s="122" t="s">
        <v>57</v>
      </c>
      <c r="C146" s="166" t="s">
        <v>506</v>
      </c>
      <c r="D146" s="101" t="s">
        <v>507</v>
      </c>
      <c r="E146" s="101" t="s">
        <v>508</v>
      </c>
      <c r="F146" s="227">
        <f>SUMIF(管道站场阀室关系!B:B,支线管道!C146,管道站场阀室关系!H:H)</f>
        <v>9.95</v>
      </c>
      <c r="G146" s="101">
        <v>323.9</v>
      </c>
      <c r="H146" s="131">
        <v>5</v>
      </c>
      <c r="I146" s="131">
        <v>4</v>
      </c>
      <c r="J146" s="101">
        <v>7.5</v>
      </c>
      <c r="K146" s="101"/>
      <c r="L146" s="118">
        <f>SUMIF(管道站场阀室关系!B:B,支线管道!C146,管道站场阀室关系!J:J)</f>
        <v>756.9217396675</v>
      </c>
      <c r="M146" s="101">
        <v>20110810</v>
      </c>
      <c r="N146" s="101" t="s">
        <v>353</v>
      </c>
      <c r="O146" s="101"/>
    </row>
    <row r="147" spans="1:15">
      <c r="A147" s="161">
        <v>146</v>
      </c>
      <c r="B147" s="122" t="s">
        <v>57</v>
      </c>
      <c r="C147" s="166" t="s">
        <v>509</v>
      </c>
      <c r="D147" s="101" t="s">
        <v>510</v>
      </c>
      <c r="E147" s="101" t="s">
        <v>511</v>
      </c>
      <c r="F147" s="227">
        <f>SUMIF(管道站场阀室关系!B:B,支线管道!C147,管道站场阀室关系!H:H)</f>
        <v>26.3</v>
      </c>
      <c r="G147" s="101">
        <v>1016</v>
      </c>
      <c r="H147" s="131">
        <v>17.5</v>
      </c>
      <c r="I147" s="131">
        <v>10</v>
      </c>
      <c r="J147" s="101">
        <v>34</v>
      </c>
      <c r="K147" s="101"/>
      <c r="L147" s="118">
        <f>SUMIF(管道站场阀室关系!B:B,支线管道!C147,管道站场阀室关系!J:J)</f>
        <v>18886.334625</v>
      </c>
      <c r="M147" s="101">
        <v>20110302</v>
      </c>
      <c r="N147" s="101" t="s">
        <v>353</v>
      </c>
      <c r="O147" s="101"/>
    </row>
    <row r="148" spans="1:15">
      <c r="A148" s="161">
        <v>147</v>
      </c>
      <c r="B148" s="122" t="s">
        <v>57</v>
      </c>
      <c r="C148" s="166" t="s">
        <v>512</v>
      </c>
      <c r="D148" s="101" t="s">
        <v>504</v>
      </c>
      <c r="E148" s="118" t="s">
        <v>513</v>
      </c>
      <c r="F148" s="227">
        <f>SUMIF(管道站场阀室关系!B:B,支线管道!C148,管道站场阀室关系!H:H)</f>
        <v>20.8</v>
      </c>
      <c r="G148" s="101">
        <v>610</v>
      </c>
      <c r="H148" s="131">
        <v>10</v>
      </c>
      <c r="I148" s="131">
        <v>6.3</v>
      </c>
      <c r="J148" s="101">
        <v>20.5</v>
      </c>
      <c r="K148" s="101"/>
      <c r="L148" s="118">
        <f>SUMIF(管道站场阀室关系!B:B,支线管道!C148,管道站场阀室关系!J:J)</f>
        <v>5890.88107608</v>
      </c>
      <c r="M148" s="101">
        <v>20110618</v>
      </c>
      <c r="N148" s="101" t="s">
        <v>353</v>
      </c>
      <c r="O148" s="101"/>
    </row>
    <row r="149" spans="1:15">
      <c r="A149" s="161">
        <v>148</v>
      </c>
      <c r="B149" s="122" t="s">
        <v>57</v>
      </c>
      <c r="C149" s="166" t="s">
        <v>514</v>
      </c>
      <c r="D149" s="101" t="s">
        <v>515</v>
      </c>
      <c r="E149" s="101" t="s">
        <v>516</v>
      </c>
      <c r="F149" s="227">
        <f>SUMIF(管道站场阀室关系!B:B,支线管道!C149,管道站场阀室关系!H:H)</f>
        <v>30.15</v>
      </c>
      <c r="G149" s="101" t="s">
        <v>517</v>
      </c>
      <c r="H149" s="131"/>
      <c r="I149" s="131">
        <v>6.3</v>
      </c>
      <c r="J149" s="101"/>
      <c r="K149" s="101"/>
      <c r="L149" s="118">
        <f>SUMIF(管道站场阀室关系!B:B,支线管道!C149,管道站场阀室关系!J:J)</f>
        <v>3093.83203521</v>
      </c>
      <c r="M149" s="101"/>
      <c r="N149" s="101" t="s">
        <v>353</v>
      </c>
      <c r="O149" s="101"/>
    </row>
    <row r="150" s="209" customFormat="1" spans="1:15">
      <c r="A150" s="161">
        <v>149</v>
      </c>
      <c r="B150" s="122" t="s">
        <v>57</v>
      </c>
      <c r="C150" s="219" t="s">
        <v>518</v>
      </c>
      <c r="D150" s="101" t="s">
        <v>507</v>
      </c>
      <c r="E150" s="101" t="s">
        <v>519</v>
      </c>
      <c r="F150" s="227">
        <v>10.017</v>
      </c>
      <c r="G150" s="101">
        <v>168.3</v>
      </c>
      <c r="H150" s="131">
        <v>5</v>
      </c>
      <c r="I150" s="131">
        <v>6.3</v>
      </c>
      <c r="J150" s="101"/>
      <c r="K150" s="101"/>
      <c r="L150" s="118"/>
      <c r="M150" s="101"/>
      <c r="N150" s="101" t="s">
        <v>353</v>
      </c>
      <c r="O150" s="101"/>
    </row>
    <row r="151" spans="1:15">
      <c r="A151" s="161">
        <v>150</v>
      </c>
      <c r="B151" s="122" t="s">
        <v>58</v>
      </c>
      <c r="C151" s="166" t="s">
        <v>520</v>
      </c>
      <c r="D151" s="101" t="s">
        <v>521</v>
      </c>
      <c r="E151" s="101" t="s">
        <v>504</v>
      </c>
      <c r="F151" s="227">
        <f>SUMIF(管道站场阀室关系!B:B,支线管道!C151,管道站场阀室关系!H:H)</f>
        <v>442.679</v>
      </c>
      <c r="G151" s="101">
        <v>711</v>
      </c>
      <c r="H151" s="131">
        <v>10.3</v>
      </c>
      <c r="I151" s="131">
        <v>10</v>
      </c>
      <c r="J151" s="101">
        <v>84</v>
      </c>
      <c r="K151" s="101">
        <v>2400</v>
      </c>
      <c r="L151" s="118">
        <f>SUMIF(管道站场阀室关系!B:B,支线管道!C151,管道站场阀室关系!J:J)</f>
        <v>169912.813781203</v>
      </c>
      <c r="M151" s="101">
        <v>20111215</v>
      </c>
      <c r="N151" s="101" t="s">
        <v>353</v>
      </c>
      <c r="O151" s="101"/>
    </row>
    <row r="152" ht="30" spans="1:15">
      <c r="A152" s="161">
        <v>151</v>
      </c>
      <c r="B152" s="122" t="s">
        <v>58</v>
      </c>
      <c r="C152" s="166" t="s">
        <v>522</v>
      </c>
      <c r="D152" s="101" t="s">
        <v>523</v>
      </c>
      <c r="E152" s="101" t="s">
        <v>511</v>
      </c>
      <c r="F152" s="227">
        <f>SUMIF(管道站场阀室关系!B:B,支线管道!C152,管道站场阀室关系!H:H)</f>
        <v>100</v>
      </c>
      <c r="G152" s="101" t="s">
        <v>524</v>
      </c>
      <c r="H152" s="131">
        <v>12.5</v>
      </c>
      <c r="I152" s="131">
        <v>10</v>
      </c>
      <c r="J152" s="101">
        <v>28.7</v>
      </c>
      <c r="K152" s="101">
        <v>820</v>
      </c>
      <c r="L152" s="118">
        <f>SUMIF(管道站场阀室关系!B:B,支线管道!C152,管道站场阀室关系!J:J)</f>
        <v>36190</v>
      </c>
      <c r="M152" s="101" t="s">
        <v>525</v>
      </c>
      <c r="N152" s="101" t="s">
        <v>353</v>
      </c>
      <c r="O152" s="101"/>
    </row>
    <row r="153" spans="1:15">
      <c r="A153" s="161">
        <v>152</v>
      </c>
      <c r="B153" s="122" t="s">
        <v>58</v>
      </c>
      <c r="C153" s="166" t="s">
        <v>526</v>
      </c>
      <c r="D153" s="101" t="s">
        <v>527</v>
      </c>
      <c r="E153" s="101" t="s">
        <v>528</v>
      </c>
      <c r="F153" s="227">
        <f>SUMIF(管道站场阀室关系!B:B,支线管道!C153,管道站场阀室关系!H:H)</f>
        <v>99.121</v>
      </c>
      <c r="G153" s="101">
        <v>457</v>
      </c>
      <c r="H153" s="131">
        <v>7.1</v>
      </c>
      <c r="I153" s="131">
        <v>6.3</v>
      </c>
      <c r="J153" s="101"/>
      <c r="K153" s="101"/>
      <c r="L153" s="118">
        <f>SUMIF(管道站场阀室关系!B:B,支线管道!C153,管道站场阀室关系!J:J)</f>
        <v>14679</v>
      </c>
      <c r="M153" s="101">
        <v>20140924</v>
      </c>
      <c r="N153" s="101" t="s">
        <v>353</v>
      </c>
      <c r="O153" s="101"/>
    </row>
    <row r="154" spans="1:15">
      <c r="A154" s="161">
        <v>153</v>
      </c>
      <c r="B154" s="122" t="s">
        <v>58</v>
      </c>
      <c r="C154" s="166" t="s">
        <v>529</v>
      </c>
      <c r="D154" s="101" t="s">
        <v>530</v>
      </c>
      <c r="E154" s="101" t="s">
        <v>531</v>
      </c>
      <c r="F154" s="227">
        <f>SUMIF(管道站场阀室关系!B:B,支线管道!C154,管道站场阀室关系!H:H)</f>
        <v>22.81</v>
      </c>
      <c r="G154" s="101">
        <v>610</v>
      </c>
      <c r="H154" s="131">
        <v>11</v>
      </c>
      <c r="I154" s="131">
        <v>6.3</v>
      </c>
      <c r="J154" s="101"/>
      <c r="K154" s="101"/>
      <c r="L154" s="118">
        <f>SUMIF(管道站场阀室关系!B:B,支线管道!C154,管道站场阀室关系!J:J)</f>
        <v>8300</v>
      </c>
      <c r="M154" s="101">
        <v>20181130</v>
      </c>
      <c r="N154" s="101" t="s">
        <v>353</v>
      </c>
      <c r="O154" s="101"/>
    </row>
    <row r="155" spans="1:15">
      <c r="A155" s="161">
        <v>154</v>
      </c>
      <c r="B155" s="122" t="s">
        <v>59</v>
      </c>
      <c r="C155" s="166" t="s">
        <v>532</v>
      </c>
      <c r="D155" s="101" t="s">
        <v>504</v>
      </c>
      <c r="E155" s="101" t="s">
        <v>533</v>
      </c>
      <c r="F155" s="227">
        <f>SUMIF(管道站场阀室关系!B:B,支线管道!C155,管道站场阀室关系!H:H)</f>
        <v>367.8</v>
      </c>
      <c r="G155" s="101">
        <v>1016</v>
      </c>
      <c r="H155" s="131">
        <v>17.5</v>
      </c>
      <c r="I155" s="131">
        <v>10</v>
      </c>
      <c r="J155" s="101">
        <v>100</v>
      </c>
      <c r="K155" s="101">
        <v>2857</v>
      </c>
      <c r="L155" s="118">
        <f>SUMIF(管道站场阀室关系!B:B,支线管道!C155,管道站场阀室关系!J:J)</f>
        <v>280768.15775213</v>
      </c>
      <c r="M155" s="101">
        <v>20150921</v>
      </c>
      <c r="N155" s="101" t="s">
        <v>353</v>
      </c>
      <c r="O155" s="101"/>
    </row>
    <row r="156" ht="30" spans="1:15">
      <c r="A156" s="161">
        <v>155</v>
      </c>
      <c r="B156" s="122" t="s">
        <v>59</v>
      </c>
      <c r="C156" s="166" t="s">
        <v>534</v>
      </c>
      <c r="D156" s="101" t="s">
        <v>535</v>
      </c>
      <c r="E156" s="101" t="s">
        <v>536</v>
      </c>
      <c r="F156" s="227">
        <f>SUMIF(管道站场阀室关系!B:B,支线管道!C156,管道站场阀室关系!H:H)</f>
        <v>349.97</v>
      </c>
      <c r="G156" s="101" t="s">
        <v>537</v>
      </c>
      <c r="H156" s="131">
        <v>7.1</v>
      </c>
      <c r="I156" s="131">
        <v>6.3</v>
      </c>
      <c r="J156" s="101">
        <v>13.6</v>
      </c>
      <c r="K156" s="101">
        <v>389</v>
      </c>
      <c r="L156" s="118">
        <f>SUMIF(管道站场阀室关系!B:B,支线管道!C156,管道站场阀室关系!J:J)</f>
        <v>60911</v>
      </c>
      <c r="M156" s="101">
        <v>20160829</v>
      </c>
      <c r="N156" s="101" t="s">
        <v>353</v>
      </c>
      <c r="O156" s="101"/>
    </row>
    <row r="157" s="210" customFormat="1" spans="1:15">
      <c r="A157" s="161">
        <v>156</v>
      </c>
      <c r="B157" s="122" t="s">
        <v>59</v>
      </c>
      <c r="C157" s="219" t="s">
        <v>538</v>
      </c>
      <c r="D157" s="101" t="s">
        <v>539</v>
      </c>
      <c r="E157" s="101" t="s">
        <v>540</v>
      </c>
      <c r="F157" s="227">
        <v>113</v>
      </c>
      <c r="G157" s="101">
        <v>323.9</v>
      </c>
      <c r="H157" s="131">
        <v>6.4</v>
      </c>
      <c r="I157" s="131">
        <v>6.3</v>
      </c>
      <c r="J157" s="101">
        <v>3.41</v>
      </c>
      <c r="K157" s="101">
        <v>33.42</v>
      </c>
      <c r="L157" s="118">
        <v>8536</v>
      </c>
      <c r="M157" s="101"/>
      <c r="N157" s="101" t="s">
        <v>353</v>
      </c>
      <c r="O157" s="101"/>
    </row>
    <row r="158" s="212" customFormat="1" ht="30" spans="1:15">
      <c r="A158" s="161">
        <v>157</v>
      </c>
      <c r="B158" s="122" t="s">
        <v>60</v>
      </c>
      <c r="C158" s="166" t="s">
        <v>60</v>
      </c>
      <c r="D158" s="101" t="s">
        <v>541</v>
      </c>
      <c r="E158" s="101" t="s">
        <v>542</v>
      </c>
      <c r="F158" s="227">
        <f>SUMIF(管道站场阀室关系!B:B,支线管道!C158,管道站场阀室关系!H:H)</f>
        <v>225</v>
      </c>
      <c r="G158" s="101" t="s">
        <v>543</v>
      </c>
      <c r="H158" s="131">
        <v>8.7</v>
      </c>
      <c r="I158" s="131">
        <v>6.3</v>
      </c>
      <c r="J158" s="101" t="s">
        <v>544</v>
      </c>
      <c r="K158" s="101" t="s">
        <v>545</v>
      </c>
      <c r="L158" s="118">
        <f>SUMIF(管道站场阀室关系!B:B,支线管道!C158,管道站场阀室关系!J:J)</f>
        <v>71972</v>
      </c>
      <c r="M158" s="101">
        <v>20101104</v>
      </c>
      <c r="N158" s="101" t="s">
        <v>353</v>
      </c>
      <c r="O158" s="101" t="s">
        <v>546</v>
      </c>
    </row>
    <row r="159" s="212" customFormat="1" spans="1:15">
      <c r="A159" s="161">
        <v>158</v>
      </c>
      <c r="B159" s="122" t="s">
        <v>60</v>
      </c>
      <c r="C159" s="230" t="s">
        <v>547</v>
      </c>
      <c r="D159" s="101" t="s">
        <v>548</v>
      </c>
      <c r="E159" s="101" t="s">
        <v>549</v>
      </c>
      <c r="F159" s="227">
        <f>SUMIF(管道站场阀室关系!B:B,支线管道!C159,管道站场阀室关系!H:H)</f>
        <v>3</v>
      </c>
      <c r="G159" s="101">
        <v>508</v>
      </c>
      <c r="H159" s="131"/>
      <c r="I159" s="131">
        <v>10</v>
      </c>
      <c r="J159" s="101">
        <v>28.2</v>
      </c>
      <c r="K159" s="101"/>
      <c r="L159" s="118">
        <f>SUMIF(管道站场阀室关系!B:B,支线管道!C159,管道站场阀室关系!J:J)</f>
        <v>992</v>
      </c>
      <c r="M159" s="101"/>
      <c r="N159" s="101"/>
      <c r="O159" s="101"/>
    </row>
    <row r="160" s="212" customFormat="1" spans="1:15">
      <c r="A160" s="161">
        <v>159</v>
      </c>
      <c r="B160" s="122" t="s">
        <v>61</v>
      </c>
      <c r="C160" s="166" t="s">
        <v>550</v>
      </c>
      <c r="D160" s="101" t="s">
        <v>551</v>
      </c>
      <c r="E160" s="101" t="s">
        <v>552</v>
      </c>
      <c r="F160" s="227">
        <f>SUMIF(管道站场阀室关系!B:B,支线管道!C160,管道站场阀室关系!H:H)</f>
        <v>13</v>
      </c>
      <c r="G160" s="101" t="s">
        <v>553</v>
      </c>
      <c r="H160" s="131"/>
      <c r="I160" s="131">
        <v>12</v>
      </c>
      <c r="J160" s="101">
        <v>380</v>
      </c>
      <c r="K160" s="101">
        <v>11316</v>
      </c>
      <c r="L160" s="118">
        <f>SUMIF(管道站场阀室关系!B:B,支线管道!C160,管道站场阀室关系!J:J)</f>
        <v>11975</v>
      </c>
      <c r="M160" s="101">
        <v>20191202</v>
      </c>
      <c r="N160" s="101" t="s">
        <v>353</v>
      </c>
      <c r="O160" s="101"/>
    </row>
    <row r="161" s="212" customFormat="1" spans="1:15">
      <c r="A161" s="161">
        <v>160</v>
      </c>
      <c r="B161" s="122" t="s">
        <v>61</v>
      </c>
      <c r="C161" s="166" t="s">
        <v>554</v>
      </c>
      <c r="D161" s="101" t="s">
        <v>552</v>
      </c>
      <c r="E161" s="101" t="s">
        <v>555</v>
      </c>
      <c r="F161" s="227">
        <f>SUMIF(管道站场阀室关系!B:B,支线管道!C161,管道站场阀室关系!H:H)</f>
        <v>715.0001</v>
      </c>
      <c r="G161" s="101">
        <v>1422</v>
      </c>
      <c r="H161" s="131"/>
      <c r="I161" s="131">
        <v>12</v>
      </c>
      <c r="J161" s="101">
        <v>380</v>
      </c>
      <c r="K161" s="101">
        <v>11316</v>
      </c>
      <c r="L161" s="118">
        <f>SUMIF(管道站场阀室关系!B:B,支线管道!C161,管道站场阀室关系!J:J)</f>
        <v>1135044</v>
      </c>
      <c r="M161" s="101">
        <v>20191202</v>
      </c>
      <c r="N161" s="101" t="s">
        <v>353</v>
      </c>
      <c r="O161" s="101"/>
    </row>
    <row r="162" s="212" customFormat="1" ht="30" spans="1:15">
      <c r="A162" s="161">
        <v>161</v>
      </c>
      <c r="B162" s="122" t="s">
        <v>61</v>
      </c>
      <c r="C162" s="166" t="s">
        <v>556</v>
      </c>
      <c r="D162" s="101" t="s">
        <v>555</v>
      </c>
      <c r="E162" s="101" t="s">
        <v>557</v>
      </c>
      <c r="F162" s="227">
        <f>SUMIF(管道站场阀室关系!B:B,支线管道!C162,管道站场阀室关系!H:H)</f>
        <v>1110</v>
      </c>
      <c r="G162" s="101" t="s">
        <v>558</v>
      </c>
      <c r="H162" s="101"/>
      <c r="I162" s="131">
        <v>10</v>
      </c>
      <c r="J162" s="101" t="s">
        <v>559</v>
      </c>
      <c r="K162" s="101"/>
      <c r="L162" s="118">
        <f>SUMIF(管道站场阀室关系!B:B,支线管道!C162,管道站场阀室关系!J:J)</f>
        <v>1355200</v>
      </c>
      <c r="M162" s="101" t="s">
        <v>560</v>
      </c>
      <c r="N162" s="101" t="s">
        <v>353</v>
      </c>
      <c r="O162" s="101"/>
    </row>
    <row r="163" s="212" customFormat="1" ht="30" spans="1:15">
      <c r="A163" s="161">
        <v>162</v>
      </c>
      <c r="B163" s="122" t="s">
        <v>61</v>
      </c>
      <c r="C163" s="166" t="s">
        <v>561</v>
      </c>
      <c r="D163" s="101" t="s">
        <v>163</v>
      </c>
      <c r="E163" s="101" t="s">
        <v>194</v>
      </c>
      <c r="F163" s="85">
        <f>SUMIF(管道站场阀室关系!B:B,支线管道!C163,管道站场阀室关系!H:H)</f>
        <v>1061.104</v>
      </c>
      <c r="G163" s="101">
        <v>1219</v>
      </c>
      <c r="H163" s="101"/>
      <c r="I163" s="131">
        <v>10</v>
      </c>
      <c r="J163" s="101">
        <v>189</v>
      </c>
      <c r="K163" s="101"/>
      <c r="L163" s="118">
        <f>SUMIF(管道站场阀室关系!B:B,支线管道!C163,管道站场阀室关系!J:J)</f>
        <v>1157573</v>
      </c>
      <c r="M163" s="101" t="s">
        <v>562</v>
      </c>
      <c r="N163" s="101" t="s">
        <v>117</v>
      </c>
      <c r="O163" s="101"/>
    </row>
    <row r="164" s="212" customFormat="1" spans="1:15">
      <c r="A164" s="161">
        <v>163</v>
      </c>
      <c r="B164" s="122" t="s">
        <v>61</v>
      </c>
      <c r="C164" s="230" t="s">
        <v>563</v>
      </c>
      <c r="D164" s="101" t="s">
        <v>564</v>
      </c>
      <c r="E164" s="101" t="s">
        <v>565</v>
      </c>
      <c r="F164" s="85">
        <v>167</v>
      </c>
      <c r="G164" s="101">
        <v>1422</v>
      </c>
      <c r="H164" s="101" t="s">
        <v>566</v>
      </c>
      <c r="I164" s="131">
        <v>10</v>
      </c>
      <c r="J164" s="101"/>
      <c r="K164" s="101"/>
      <c r="L164" s="118">
        <v>238920</v>
      </c>
      <c r="M164" s="101">
        <v>20241228</v>
      </c>
      <c r="N164" s="101" t="s">
        <v>117</v>
      </c>
      <c r="O164" s="101"/>
    </row>
    <row r="165" s="212" customFormat="1" spans="1:15">
      <c r="A165" s="161">
        <v>164</v>
      </c>
      <c r="B165" s="122" t="s">
        <v>61</v>
      </c>
      <c r="C165" s="166" t="s">
        <v>567</v>
      </c>
      <c r="D165" s="101" t="s">
        <v>555</v>
      </c>
      <c r="E165" s="101" t="s">
        <v>533</v>
      </c>
      <c r="F165" s="227">
        <f>SUMIF(管道站场阀室关系!B:B,支线管道!C165,管道站场阀室关系!H:H)</f>
        <v>109</v>
      </c>
      <c r="G165" s="101">
        <v>1016</v>
      </c>
      <c r="H165" s="131"/>
      <c r="I165" s="131">
        <v>10</v>
      </c>
      <c r="J165" s="101">
        <v>114</v>
      </c>
      <c r="K165" s="101"/>
      <c r="L165" s="118">
        <f>SUMIF(管道站场阀室关系!B:B,支线管道!C165,管道站场阀室关系!J:J)</f>
        <v>88370</v>
      </c>
      <c r="M165" s="101">
        <v>20191202</v>
      </c>
      <c r="N165" s="101" t="s">
        <v>353</v>
      </c>
      <c r="O165" s="101"/>
    </row>
    <row r="166" s="212" customFormat="1" spans="1:15">
      <c r="A166" s="161">
        <v>165</v>
      </c>
      <c r="B166" s="122" t="s">
        <v>61</v>
      </c>
      <c r="C166" s="166" t="s">
        <v>568</v>
      </c>
      <c r="D166" s="101" t="s">
        <v>569</v>
      </c>
      <c r="E166" s="101" t="s">
        <v>570</v>
      </c>
      <c r="F166" s="227">
        <f>SUMIF(管道站场阀室关系!B:B,支线管道!C166,管道站场阀室关系!H:H)</f>
        <v>145.15</v>
      </c>
      <c r="G166" s="101">
        <v>559</v>
      </c>
      <c r="H166" s="131"/>
      <c r="I166" s="131">
        <v>12</v>
      </c>
      <c r="J166" s="101">
        <v>10.04</v>
      </c>
      <c r="K166" s="101"/>
      <c r="L166" s="118">
        <f>SUMIF(管道站场阀室关系!B:B,支线管道!C166,管道站场阀室关系!J:J)</f>
        <v>34036</v>
      </c>
      <c r="M166" s="101">
        <v>20201107</v>
      </c>
      <c r="N166" s="101" t="s">
        <v>353</v>
      </c>
      <c r="O166" s="101"/>
    </row>
    <row r="167" s="212" customFormat="1" spans="1:15">
      <c r="A167" s="161">
        <v>166</v>
      </c>
      <c r="B167" s="122" t="s">
        <v>61</v>
      </c>
      <c r="C167" s="166" t="s">
        <v>571</v>
      </c>
      <c r="D167" s="101" t="s">
        <v>572</v>
      </c>
      <c r="E167" s="101" t="s">
        <v>573</v>
      </c>
      <c r="F167" s="227">
        <f>SUMIF(管道站场阀室关系!B:B,支线管道!C167,管道站场阀室关系!H:H)</f>
        <v>29.79</v>
      </c>
      <c r="G167" s="101">
        <v>273.1</v>
      </c>
      <c r="H167" s="131"/>
      <c r="I167" s="131">
        <v>6.3</v>
      </c>
      <c r="J167" s="101">
        <v>0.5</v>
      </c>
      <c r="K167" s="101"/>
      <c r="L167" s="118">
        <f>SUMIF(管道站场阀室关系!B:B,支线管道!C167,管道站场阀室关系!J:J)</f>
        <v>73525.59326</v>
      </c>
      <c r="M167" s="101">
        <v>20201107</v>
      </c>
      <c r="N167" s="101" t="s">
        <v>353</v>
      </c>
      <c r="O167" s="101"/>
    </row>
    <row r="168" s="212" customFormat="1" spans="1:15">
      <c r="A168" s="161">
        <v>167</v>
      </c>
      <c r="B168" s="122" t="s">
        <v>61</v>
      </c>
      <c r="C168" s="219" t="s">
        <v>574</v>
      </c>
      <c r="D168" s="101" t="s">
        <v>575</v>
      </c>
      <c r="E168" s="101" t="s">
        <v>576</v>
      </c>
      <c r="F168" s="227">
        <f>SUMIF(管道站场阀室关系!B:B,支线管道!C168,管道站场阀室关系!H:H)</f>
        <v>51.72</v>
      </c>
      <c r="G168" s="101">
        <v>711</v>
      </c>
      <c r="H168" s="131"/>
      <c r="I168" s="131">
        <v>10</v>
      </c>
      <c r="J168" s="101">
        <v>10.04</v>
      </c>
      <c r="K168" s="101"/>
      <c r="L168" s="118">
        <f>SUMIF(管道站场阀室关系!B:B,支线管道!C168,管道站场阀室关系!J:J)</f>
        <v>221.5438</v>
      </c>
      <c r="M168" s="101">
        <v>20231112</v>
      </c>
      <c r="N168" s="101" t="s">
        <v>353</v>
      </c>
      <c r="O168" s="101"/>
    </row>
    <row r="169" s="212" customFormat="1" spans="1:15">
      <c r="A169" s="161">
        <v>168</v>
      </c>
      <c r="B169" s="122" t="s">
        <v>61</v>
      </c>
      <c r="C169" s="219" t="s">
        <v>577</v>
      </c>
      <c r="D169" s="101" t="s">
        <v>578</v>
      </c>
      <c r="E169" s="101" t="s">
        <v>579</v>
      </c>
      <c r="F169" s="227">
        <f>SUMIF(管道站场阀室关系!B:B,支线管道!C169,管道站场阀室关系!H:H)</f>
        <v>48.2</v>
      </c>
      <c r="G169" s="101">
        <v>1219</v>
      </c>
      <c r="H169" s="131"/>
      <c r="I169" s="131">
        <v>10</v>
      </c>
      <c r="J169" s="101"/>
      <c r="K169" s="101">
        <v>6810</v>
      </c>
      <c r="L169" s="118">
        <f>SUMIF(管道站场阀室关系!B:B,支线管道!C169,管道站场阀室关系!J:J)</f>
        <v>54189</v>
      </c>
      <c r="M169" s="101">
        <v>20230418</v>
      </c>
      <c r="N169" s="101"/>
      <c r="O169" s="101"/>
    </row>
    <row r="170" s="212" customFormat="1" ht="30" spans="1:15">
      <c r="A170" s="161">
        <v>169</v>
      </c>
      <c r="B170" s="122" t="s">
        <v>61</v>
      </c>
      <c r="C170" s="219" t="s">
        <v>580</v>
      </c>
      <c r="D170" s="101" t="s">
        <v>581</v>
      </c>
      <c r="E170" s="101" t="s">
        <v>582</v>
      </c>
      <c r="F170" s="227">
        <f>SUMIF(管道站场阀室关系!B:B,支线管道!C170,管道站场阀室关系!H:H)</f>
        <v>0.245</v>
      </c>
      <c r="G170" s="101">
        <v>711</v>
      </c>
      <c r="H170" s="131"/>
      <c r="I170" s="131">
        <v>10</v>
      </c>
      <c r="J170" s="101"/>
      <c r="K170" s="101">
        <v>3178</v>
      </c>
      <c r="L170" s="118">
        <f>SUMIF(管道站场阀室关系!B:B,支线管道!C170,管道站场阀室关系!J:J)</f>
        <v>94</v>
      </c>
      <c r="M170" s="101">
        <v>20230902</v>
      </c>
      <c r="N170" s="101" t="s">
        <v>353</v>
      </c>
      <c r="O170" s="101"/>
    </row>
    <row r="171" s="212" customFormat="1" ht="103" customHeight="1" spans="1:15">
      <c r="A171" s="161">
        <v>170</v>
      </c>
      <c r="B171" s="122" t="s">
        <v>61</v>
      </c>
      <c r="C171" s="166" t="s">
        <v>583</v>
      </c>
      <c r="D171" s="101" t="s">
        <v>584</v>
      </c>
      <c r="E171" s="101" t="s">
        <v>585</v>
      </c>
      <c r="F171" s="227">
        <f>SUMIF(管道站场阀室关系!B:B,支线管道!C171,管道站场阀室关系!H:H)</f>
        <v>198</v>
      </c>
      <c r="G171" s="101" t="s">
        <v>586</v>
      </c>
      <c r="H171" s="131" t="s">
        <v>587</v>
      </c>
      <c r="I171" s="131" t="s">
        <v>588</v>
      </c>
      <c r="J171" s="101">
        <v>16.34</v>
      </c>
      <c r="K171" s="101">
        <v>447.67</v>
      </c>
      <c r="L171" s="118">
        <f>SUMIF(管道站场阀室关系!B:B,支线管道!C171,管道站场阀室关系!J:J)</f>
        <v>35939</v>
      </c>
      <c r="M171" s="101">
        <v>20241104</v>
      </c>
      <c r="N171" s="101" t="s">
        <v>353</v>
      </c>
      <c r="O171" s="101"/>
    </row>
    <row r="172" s="212" customFormat="1" spans="1:15">
      <c r="A172" s="161">
        <v>171</v>
      </c>
      <c r="B172" s="122" t="s">
        <v>61</v>
      </c>
      <c r="C172" s="166" t="s">
        <v>589</v>
      </c>
      <c r="D172" s="101" t="s">
        <v>590</v>
      </c>
      <c r="E172" s="101" t="s">
        <v>591</v>
      </c>
      <c r="F172" s="86">
        <f>SUMIF(管道站场阀室关系!B:B,支线管道!C172,管道站场阀室关系!H:H)</f>
        <v>19.2</v>
      </c>
      <c r="G172" s="101">
        <v>813</v>
      </c>
      <c r="H172" s="131" t="s">
        <v>592</v>
      </c>
      <c r="I172" s="131">
        <v>10</v>
      </c>
      <c r="J172" s="101">
        <v>74.6</v>
      </c>
      <c r="K172" s="101">
        <v>2043.84</v>
      </c>
      <c r="L172" s="118">
        <f>SUMIF(管道站场阀室关系!B:B,支线管道!C172,管道站场阀室关系!J:J)</f>
        <v>9274</v>
      </c>
      <c r="M172" s="101">
        <v>20241026</v>
      </c>
      <c r="N172" s="101" t="s">
        <v>117</v>
      </c>
      <c r="O172" s="101"/>
    </row>
    <row r="173" spans="1:15">
      <c r="A173" s="161">
        <v>172</v>
      </c>
      <c r="B173" s="122" t="s">
        <v>62</v>
      </c>
      <c r="C173" s="166" t="s">
        <v>593</v>
      </c>
      <c r="D173" s="101" t="s">
        <v>182</v>
      </c>
      <c r="E173" s="101" t="s">
        <v>594</v>
      </c>
      <c r="F173" s="86">
        <f>SUMIF(管道站场阀室关系!B:B,支线管道!C173,管道站场阀室关系!H:H)</f>
        <v>556.957</v>
      </c>
      <c r="G173" s="101">
        <v>1016</v>
      </c>
      <c r="H173" s="131">
        <v>14.6</v>
      </c>
      <c r="I173" s="131">
        <v>10</v>
      </c>
      <c r="J173" s="101">
        <v>86</v>
      </c>
      <c r="K173" s="101">
        <v>2457</v>
      </c>
      <c r="L173" s="118">
        <f>SUMIF(管道站场阀室关系!B:B,支线管道!C173,管道站场阀室关系!J:J)</f>
        <v>420755.2</v>
      </c>
      <c r="M173" s="101">
        <v>20110425</v>
      </c>
      <c r="N173" s="101" t="s">
        <v>117</v>
      </c>
      <c r="O173" s="101"/>
    </row>
    <row r="174" spans="1:15">
      <c r="A174" s="161">
        <v>173</v>
      </c>
      <c r="B174" s="122" t="s">
        <v>62</v>
      </c>
      <c r="C174" s="166" t="s">
        <v>595</v>
      </c>
      <c r="D174" s="101" t="s">
        <v>596</v>
      </c>
      <c r="E174" s="101" t="s">
        <v>597</v>
      </c>
      <c r="F174" s="86">
        <f>SUMIF(管道站场阀室关系!B:B,支线管道!C174,管道站场阀室关系!H:H)</f>
        <v>38.087</v>
      </c>
      <c r="G174" s="101">
        <v>273</v>
      </c>
      <c r="H174" s="131">
        <v>5.6</v>
      </c>
      <c r="I174" s="131">
        <v>6.3</v>
      </c>
      <c r="J174" s="101">
        <v>4</v>
      </c>
      <c r="K174" s="101">
        <v>114</v>
      </c>
      <c r="L174" s="118">
        <f>SUMIF(管道站场阀室关系!B:B,支线管道!C174,管道站场阀室关系!J:J)</f>
        <v>1916</v>
      </c>
      <c r="M174" s="101">
        <v>20120824</v>
      </c>
      <c r="N174" s="101" t="s">
        <v>117</v>
      </c>
      <c r="O174" s="101"/>
    </row>
    <row r="175" spans="1:15">
      <c r="A175" s="161">
        <v>174</v>
      </c>
      <c r="B175" s="122" t="s">
        <v>62</v>
      </c>
      <c r="C175" s="166" t="s">
        <v>598</v>
      </c>
      <c r="D175" s="101" t="s">
        <v>599</v>
      </c>
      <c r="E175" s="101" t="s">
        <v>600</v>
      </c>
      <c r="F175" s="86">
        <f>SUMIF(管道站场阀室关系!B:B,支线管道!C175,管道站场阀室关系!H:H)</f>
        <v>100.7</v>
      </c>
      <c r="G175" s="101">
        <v>508</v>
      </c>
      <c r="H175" s="131">
        <v>7.1</v>
      </c>
      <c r="I175" s="131">
        <v>6.3</v>
      </c>
      <c r="J175" s="101">
        <v>25.53</v>
      </c>
      <c r="K175" s="101">
        <v>729</v>
      </c>
      <c r="L175" s="118">
        <f>SUMIF(管道站场阀室关系!B:B,支线管道!C175,管道站场阀室关系!J:J)</f>
        <v>18833.48</v>
      </c>
      <c r="M175" s="101">
        <v>20131209</v>
      </c>
      <c r="N175" s="101" t="s">
        <v>117</v>
      </c>
      <c r="O175" s="101"/>
    </row>
    <row r="176" spans="1:15">
      <c r="A176" s="161">
        <v>175</v>
      </c>
      <c r="B176" s="122" t="s">
        <v>62</v>
      </c>
      <c r="C176" s="166" t="s">
        <v>601</v>
      </c>
      <c r="D176" s="101" t="s">
        <v>594</v>
      </c>
      <c r="E176" s="101" t="s">
        <v>602</v>
      </c>
      <c r="F176" s="86">
        <f>SUMIF(管道站场阀室关系!B:B,支线管道!C176,管道站场阀室关系!H:H)</f>
        <v>171.484</v>
      </c>
      <c r="G176" s="101">
        <v>406.4</v>
      </c>
      <c r="H176" s="131">
        <v>6.3</v>
      </c>
      <c r="I176" s="131">
        <v>6.3</v>
      </c>
      <c r="J176" s="101">
        <v>5</v>
      </c>
      <c r="K176" s="101">
        <v>143</v>
      </c>
      <c r="L176" s="118">
        <f>SUMIF(管道站场阀室关系!B:B,支线管道!C176,管道站场阀室关系!J:J)</f>
        <v>20778</v>
      </c>
      <c r="M176" s="101">
        <v>20181030</v>
      </c>
      <c r="N176" s="101" t="s">
        <v>117</v>
      </c>
      <c r="O176" s="101"/>
    </row>
    <row r="177" spans="1:15">
      <c r="A177" s="161">
        <v>176</v>
      </c>
      <c r="B177" s="122" t="s">
        <v>62</v>
      </c>
      <c r="C177" s="230" t="s">
        <v>603</v>
      </c>
      <c r="D177" s="101" t="s">
        <v>604</v>
      </c>
      <c r="E177" s="101" t="s">
        <v>605</v>
      </c>
      <c r="F177" s="86">
        <f>SUMIF(管道站场阀室关系!B:B,支线管道!C177,管道站场阀室关系!H:H)</f>
        <v>37.9</v>
      </c>
      <c r="G177" s="101">
        <v>813</v>
      </c>
      <c r="H177" s="131"/>
      <c r="I177" s="131">
        <v>10</v>
      </c>
      <c r="J177" s="101">
        <v>75.9</v>
      </c>
      <c r="K177" s="101"/>
      <c r="L177" s="118"/>
      <c r="M177" s="101">
        <v>20241124</v>
      </c>
      <c r="N177" s="101" t="s">
        <v>117</v>
      </c>
      <c r="O177" s="101"/>
    </row>
    <row r="178" ht="45" spans="1:15">
      <c r="A178" s="161">
        <v>177</v>
      </c>
      <c r="B178" s="122" t="s">
        <v>63</v>
      </c>
      <c r="C178" s="166" t="s">
        <v>606</v>
      </c>
      <c r="D178" s="101" t="s">
        <v>114</v>
      </c>
      <c r="E178" s="101" t="s">
        <v>607</v>
      </c>
      <c r="F178" s="182">
        <f>SUMIF(管道站场阀室关系!B:B,支线管道!C178,管道站场阀室关系!H:H)</f>
        <v>1605.662</v>
      </c>
      <c r="G178" s="101">
        <v>1016</v>
      </c>
      <c r="H178" s="131">
        <v>14</v>
      </c>
      <c r="I178" s="131">
        <v>10</v>
      </c>
      <c r="J178" s="101">
        <v>150</v>
      </c>
      <c r="K178" s="101">
        <v>4286</v>
      </c>
      <c r="L178" s="118">
        <f>SUMIF(管道站场阀室关系!B:B,支线管道!C178,管道站场阀室关系!J:J)</f>
        <v>1212441.29365864</v>
      </c>
      <c r="M178" s="101" t="s">
        <v>608</v>
      </c>
      <c r="N178" s="101" t="s">
        <v>209</v>
      </c>
      <c r="O178" s="101"/>
    </row>
    <row r="179" spans="1:15">
      <c r="A179" s="161">
        <v>178</v>
      </c>
      <c r="B179" s="122" t="s">
        <v>63</v>
      </c>
      <c r="C179" s="166" t="s">
        <v>609</v>
      </c>
      <c r="D179" s="101" t="s">
        <v>610</v>
      </c>
      <c r="E179" s="101" t="s">
        <v>611</v>
      </c>
      <c r="F179" s="182">
        <f>SUMIF(管道站场阀室关系!B:B,支线管道!C179,管道站场阀室关系!H:H)</f>
        <v>51.55</v>
      </c>
      <c r="G179" s="101">
        <v>273.1</v>
      </c>
      <c r="H179" s="131">
        <v>5.6</v>
      </c>
      <c r="I179" s="131">
        <v>6.3</v>
      </c>
      <c r="J179" s="101">
        <v>5</v>
      </c>
      <c r="K179" s="101">
        <v>143</v>
      </c>
      <c r="L179" s="118">
        <f>SUMIF(管道站场阀室关系!B:B,支线管道!C179,管道站场阀室关系!J:J)</f>
        <v>1921.0196</v>
      </c>
      <c r="M179" s="101">
        <v>20140721</v>
      </c>
      <c r="N179" s="101" t="s">
        <v>209</v>
      </c>
      <c r="O179" s="101"/>
    </row>
    <row r="180" spans="1:15">
      <c r="A180" s="161">
        <v>179</v>
      </c>
      <c r="B180" s="122" t="s">
        <v>63</v>
      </c>
      <c r="C180" s="166" t="s">
        <v>612</v>
      </c>
      <c r="D180" s="101" t="s">
        <v>613</v>
      </c>
      <c r="E180" s="101" t="s">
        <v>614</v>
      </c>
      <c r="F180" s="182">
        <f>SUMIF(管道站场阀室关系!B:B,支线管道!C180,管道站场阀室关系!H:H)</f>
        <v>90.351</v>
      </c>
      <c r="G180" s="101">
        <v>219</v>
      </c>
      <c r="H180" s="131">
        <v>5.6</v>
      </c>
      <c r="I180" s="131">
        <v>6.3</v>
      </c>
      <c r="J180" s="101">
        <v>2</v>
      </c>
      <c r="K180" s="101">
        <v>57.14</v>
      </c>
      <c r="L180" s="118">
        <f>SUMIF(管道站场阀室关系!B:B,支线管道!C180,管道站场阀室关系!J:J)</f>
        <v>3138.2</v>
      </c>
      <c r="M180" s="101">
        <v>20221114</v>
      </c>
      <c r="N180" s="101" t="s">
        <v>209</v>
      </c>
      <c r="O180" s="101"/>
    </row>
    <row r="181" spans="1:15">
      <c r="A181" s="161">
        <v>180</v>
      </c>
      <c r="B181" s="122" t="s">
        <v>63</v>
      </c>
      <c r="C181" s="166" t="s">
        <v>615</v>
      </c>
      <c r="D181" s="101" t="s">
        <v>610</v>
      </c>
      <c r="E181" s="101" t="s">
        <v>616</v>
      </c>
      <c r="F181" s="182">
        <f>SUMIF(管道站场阀室关系!B:B,支线管道!C181,管道站场阀室关系!H:H)</f>
        <v>147.4</v>
      </c>
      <c r="G181" s="101">
        <v>219.1</v>
      </c>
      <c r="H181" s="131">
        <v>5.6</v>
      </c>
      <c r="I181" s="131">
        <v>6.3</v>
      </c>
      <c r="J181" s="101">
        <v>1.5</v>
      </c>
      <c r="K181" s="101">
        <v>42.86</v>
      </c>
      <c r="L181" s="118">
        <f>SUMIF(管道站场阀室关系!B:B,支线管道!C181,管道站场阀室关系!J:J)</f>
        <v>6382.42</v>
      </c>
      <c r="M181" s="101">
        <v>20151031</v>
      </c>
      <c r="N181" s="101" t="s">
        <v>209</v>
      </c>
      <c r="O181" s="101"/>
    </row>
    <row r="182" spans="1:15">
      <c r="A182" s="161">
        <v>181</v>
      </c>
      <c r="B182" s="122" t="s">
        <v>63</v>
      </c>
      <c r="C182" s="230" t="s">
        <v>617</v>
      </c>
      <c r="D182" s="101" t="s">
        <v>618</v>
      </c>
      <c r="E182" s="101" t="s">
        <v>619</v>
      </c>
      <c r="F182" s="182">
        <f>SUMIF(管道站场阀室关系!B:B,支线管道!C182,管道站场阀室关系!H:H)</f>
        <v>18.19</v>
      </c>
      <c r="G182" s="101">
        <v>406.4</v>
      </c>
      <c r="H182" s="131"/>
      <c r="I182" s="131">
        <v>6.3</v>
      </c>
      <c r="J182" s="101">
        <v>17.5</v>
      </c>
      <c r="K182" s="101">
        <v>500</v>
      </c>
      <c r="L182" s="118">
        <f>SUMIF(管道站场阀室关系!B:B,支线管道!C182,管道站场阀室关系!J:J)</f>
        <v>20727.7569</v>
      </c>
      <c r="M182" s="101">
        <v>20230113</v>
      </c>
      <c r="N182" s="101" t="s">
        <v>209</v>
      </c>
      <c r="O182" s="101"/>
    </row>
    <row r="183" spans="1:15">
      <c r="A183" s="161">
        <v>182</v>
      </c>
      <c r="B183" s="122" t="s">
        <v>63</v>
      </c>
      <c r="C183" s="230" t="s">
        <v>620</v>
      </c>
      <c r="D183" s="101" t="s">
        <v>621</v>
      </c>
      <c r="E183" s="101" t="s">
        <v>622</v>
      </c>
      <c r="F183" s="182">
        <f>SUMIF(管道站场阀室关系!B:B,支线管道!C183,管道站场阀室关系!H:H)</f>
        <v>14.5</v>
      </c>
      <c r="G183" s="101">
        <v>1016</v>
      </c>
      <c r="H183" s="131"/>
      <c r="I183" s="131">
        <v>10</v>
      </c>
      <c r="J183" s="101">
        <v>30</v>
      </c>
      <c r="K183" s="101"/>
      <c r="L183" s="118">
        <f>SUMIF(管道站场阀室关系!B:B,支线管道!C183,管道站场阀室关系!J:J)</f>
        <v>10954</v>
      </c>
      <c r="M183" s="101">
        <v>20230523</v>
      </c>
      <c r="N183" s="101" t="s">
        <v>209</v>
      </c>
      <c r="O183" s="101"/>
    </row>
    <row r="184" spans="1:15">
      <c r="A184" s="161">
        <v>183</v>
      </c>
      <c r="B184" s="122" t="s">
        <v>63</v>
      </c>
      <c r="C184" s="230" t="s">
        <v>623</v>
      </c>
      <c r="D184" s="101" t="s">
        <v>624</v>
      </c>
      <c r="E184" s="101" t="s">
        <v>625</v>
      </c>
      <c r="F184" s="182">
        <f>SUMIF(管道站场阀室关系!B:B,支线管道!C184,管道站场阀室关系!H:H)</f>
        <v>5.8</v>
      </c>
      <c r="G184" s="101">
        <v>508</v>
      </c>
      <c r="H184" s="131"/>
      <c r="I184" s="131">
        <v>6.3</v>
      </c>
      <c r="J184" s="101">
        <v>6.51</v>
      </c>
      <c r="K184" s="101">
        <v>178.36</v>
      </c>
      <c r="L184" s="118">
        <f>SUMIF(管道站场阀室关系!B:B,支线管道!C184,管道站场阀室关系!J:J)</f>
        <v>1168</v>
      </c>
      <c r="M184" s="101">
        <v>20240427</v>
      </c>
      <c r="N184" s="101" t="s">
        <v>209</v>
      </c>
      <c r="O184" s="101"/>
    </row>
    <row r="185" s="209" customFormat="1" ht="30" spans="1:15">
      <c r="A185" s="161">
        <v>184</v>
      </c>
      <c r="B185" s="122" t="s">
        <v>63</v>
      </c>
      <c r="C185" s="230" t="s">
        <v>626</v>
      </c>
      <c r="D185" s="101" t="s">
        <v>627</v>
      </c>
      <c r="E185" s="101" t="s">
        <v>628</v>
      </c>
      <c r="F185" s="182">
        <f>SUMIF(管道站场阀室关系!B:B,支线管道!C185,管道站场阀室关系!H:H)</f>
        <v>5.6</v>
      </c>
      <c r="G185" s="101">
        <v>1016</v>
      </c>
      <c r="H185" s="131" t="s">
        <v>629</v>
      </c>
      <c r="I185" s="131">
        <v>10</v>
      </c>
      <c r="J185" s="101">
        <v>150</v>
      </c>
      <c r="K185" s="101">
        <v>4285</v>
      </c>
      <c r="L185" s="118">
        <f>SUMIF(管道站场阀室关系!B:B,支线管道!C185,管道站场阀室关系!J:J)</f>
        <v>4722</v>
      </c>
      <c r="M185" s="101">
        <v>20250930</v>
      </c>
      <c r="N185" s="101" t="s">
        <v>209</v>
      </c>
      <c r="O185" s="101"/>
    </row>
    <row r="186" ht="30" spans="1:15">
      <c r="A186" s="161">
        <v>185</v>
      </c>
      <c r="B186" s="122" t="s">
        <v>64</v>
      </c>
      <c r="C186" s="166" t="s">
        <v>64</v>
      </c>
      <c r="D186" s="101" t="s">
        <v>630</v>
      </c>
      <c r="E186" s="101" t="s">
        <v>286</v>
      </c>
      <c r="F186" s="87">
        <f>SUMIF(管道站场阀室关系!B:B,支线管道!C186,管道站场阀室关系!H:H)</f>
        <v>1744.21</v>
      </c>
      <c r="G186" s="101">
        <v>1016</v>
      </c>
      <c r="H186" s="131">
        <v>12.8</v>
      </c>
      <c r="I186" s="131">
        <v>10</v>
      </c>
      <c r="J186" s="101" t="s">
        <v>631</v>
      </c>
      <c r="K186" s="101" t="s">
        <v>632</v>
      </c>
      <c r="L186" s="118">
        <f>SUMIF(管道站场阀室关系!B:B,支线管道!C186,管道站场阀室关系!J:J)</f>
        <v>1313725</v>
      </c>
      <c r="M186" s="101" t="s">
        <v>633</v>
      </c>
      <c r="N186" s="101" t="s">
        <v>209</v>
      </c>
      <c r="O186" s="101"/>
    </row>
    <row r="187" ht="30" spans="1:15">
      <c r="A187" s="161">
        <v>186</v>
      </c>
      <c r="B187" s="122" t="s">
        <v>64</v>
      </c>
      <c r="C187" s="166" t="s">
        <v>634</v>
      </c>
      <c r="D187" s="101" t="s">
        <v>635</v>
      </c>
      <c r="E187" s="101" t="s">
        <v>636</v>
      </c>
      <c r="F187" s="87">
        <f>SUMIF(管道站场阀室关系!B:B,支线管道!C187,管道站场阀室关系!H:H)</f>
        <v>112.39</v>
      </c>
      <c r="G187" s="101" t="s">
        <v>637</v>
      </c>
      <c r="H187" s="131">
        <v>7.9</v>
      </c>
      <c r="I187" s="131">
        <v>6.3</v>
      </c>
      <c r="J187" s="101">
        <v>15.18</v>
      </c>
      <c r="K187" s="101">
        <v>433.71</v>
      </c>
      <c r="L187" s="118">
        <f>SUMIF(管道站场阀室关系!B:B,支线管道!C187,管道站场阀室关系!J:J)</f>
        <v>25511</v>
      </c>
      <c r="M187" s="101">
        <v>20130801</v>
      </c>
      <c r="N187" s="101" t="s">
        <v>209</v>
      </c>
      <c r="O187" s="101"/>
    </row>
    <row r="188" spans="1:15">
      <c r="A188" s="161">
        <v>187</v>
      </c>
      <c r="B188" s="122" t="s">
        <v>64</v>
      </c>
      <c r="C188" s="166" t="s">
        <v>638</v>
      </c>
      <c r="D188" s="101" t="s">
        <v>639</v>
      </c>
      <c r="E188" s="101" t="s">
        <v>640</v>
      </c>
      <c r="F188" s="87">
        <f>SUMIF(管道站场阀室关系!B:B,支线管道!C188,管道站场阀室关系!H:H)</f>
        <v>33.94</v>
      </c>
      <c r="G188" s="101">
        <v>323.9</v>
      </c>
      <c r="H188" s="131">
        <v>6.4</v>
      </c>
      <c r="I188" s="131">
        <v>10</v>
      </c>
      <c r="J188" s="101">
        <v>2.48</v>
      </c>
      <c r="K188" s="101">
        <v>70.86</v>
      </c>
      <c r="L188" s="118">
        <f>SUMIF(管道站场阀室关系!B:B,支线管道!C188,管道站场阀室关系!J:J)</f>
        <v>2599</v>
      </c>
      <c r="M188" s="101">
        <v>20140513</v>
      </c>
      <c r="N188" s="101" t="s">
        <v>209</v>
      </c>
      <c r="O188" s="101"/>
    </row>
    <row r="189" spans="1:15">
      <c r="A189" s="161">
        <v>188</v>
      </c>
      <c r="B189" s="122" t="s">
        <v>64</v>
      </c>
      <c r="C189" s="166" t="s">
        <v>641</v>
      </c>
      <c r="D189" s="101" t="s">
        <v>274</v>
      </c>
      <c r="E189" s="101" t="s">
        <v>642</v>
      </c>
      <c r="F189" s="87">
        <f>SUMIF(管道站场阀室关系!B:B,支线管道!C189,管道站场阀室关系!H:H)</f>
        <v>141.25</v>
      </c>
      <c r="G189" s="101">
        <v>813</v>
      </c>
      <c r="H189" s="131">
        <v>11.9</v>
      </c>
      <c r="I189" s="131">
        <v>10</v>
      </c>
      <c r="J189" s="101">
        <v>14.43</v>
      </c>
      <c r="K189" s="101">
        <v>412.29</v>
      </c>
      <c r="L189" s="118">
        <f>SUMIF(管道站场阀室关系!B:B,支线管道!C189,管道站场阀室关系!J:J)</f>
        <v>68082</v>
      </c>
      <c r="M189" s="101">
        <v>20140706</v>
      </c>
      <c r="N189" s="101" t="s">
        <v>209</v>
      </c>
      <c r="O189" s="101" t="s">
        <v>643</v>
      </c>
    </row>
    <row r="190" spans="1:15">
      <c r="A190" s="161">
        <v>189</v>
      </c>
      <c r="B190" s="122" t="s">
        <v>64</v>
      </c>
      <c r="C190" s="166" t="s">
        <v>644</v>
      </c>
      <c r="D190" s="101" t="s">
        <v>645</v>
      </c>
      <c r="E190" s="101" t="s">
        <v>646</v>
      </c>
      <c r="F190" s="87">
        <f>SUMIF(管道站场阀室关系!B:B,支线管道!C190,管道站场阀室关系!H:H)</f>
        <v>202.45</v>
      </c>
      <c r="G190" s="101">
        <v>457</v>
      </c>
      <c r="H190" s="131">
        <v>6.4</v>
      </c>
      <c r="I190" s="131">
        <v>6.3</v>
      </c>
      <c r="J190" s="101">
        <v>7.3</v>
      </c>
      <c r="K190" s="101">
        <v>208.57</v>
      </c>
      <c r="L190" s="118">
        <f>SUMIF(管道站场阀室关系!B:B,支线管道!C190,管道站场阀室关系!J:J)</f>
        <v>31286</v>
      </c>
      <c r="M190" s="101">
        <v>20141117</v>
      </c>
      <c r="N190" s="101" t="s">
        <v>209</v>
      </c>
      <c r="O190" s="101"/>
    </row>
    <row r="191" spans="1:15">
      <c r="A191" s="161">
        <v>190</v>
      </c>
      <c r="B191" s="122" t="s">
        <v>64</v>
      </c>
      <c r="C191" s="166" t="s">
        <v>647</v>
      </c>
      <c r="D191" s="101" t="s">
        <v>648</v>
      </c>
      <c r="E191" s="101" t="s">
        <v>649</v>
      </c>
      <c r="F191" s="87">
        <f>SUMIF(管道站场阀室关系!B:B,支线管道!C191,管道站场阀室关系!H:H)</f>
        <v>62.51</v>
      </c>
      <c r="G191" s="101">
        <v>273</v>
      </c>
      <c r="H191" s="131">
        <v>5.6</v>
      </c>
      <c r="I191" s="131">
        <v>6.3</v>
      </c>
      <c r="J191" s="101">
        <v>2.41</v>
      </c>
      <c r="K191" s="101">
        <v>68.86</v>
      </c>
      <c r="L191" s="118">
        <f>SUMIF(管道站场阀室关系!B:B,支线管道!C191,管道站场阀室关系!J:J)</f>
        <v>3510</v>
      </c>
      <c r="M191" s="101">
        <v>20150627</v>
      </c>
      <c r="N191" s="101" t="s">
        <v>209</v>
      </c>
      <c r="O191" s="101"/>
    </row>
    <row r="192" spans="1:15">
      <c r="A192" s="161">
        <v>191</v>
      </c>
      <c r="B192" s="122" t="s">
        <v>64</v>
      </c>
      <c r="C192" s="166" t="s">
        <v>650</v>
      </c>
      <c r="D192" s="101" t="s">
        <v>651</v>
      </c>
      <c r="E192" s="101" t="s">
        <v>652</v>
      </c>
      <c r="F192" s="87">
        <f>SUMIF(管道站场阀室关系!B:B,支线管道!C192,管道站场阀室关系!H:H)</f>
        <v>23.2</v>
      </c>
      <c r="G192" s="101">
        <v>219.1</v>
      </c>
      <c r="H192" s="131">
        <v>5.6</v>
      </c>
      <c r="I192" s="131">
        <v>6.3</v>
      </c>
      <c r="J192" s="101">
        <v>0.8</v>
      </c>
      <c r="K192" s="101">
        <v>22.86</v>
      </c>
      <c r="L192" s="118">
        <f>SUMIF(管道站场阀室关系!B:B,支线管道!C192,管道站场阀室关系!J:J)</f>
        <v>11433</v>
      </c>
      <c r="M192" s="101">
        <v>20141016</v>
      </c>
      <c r="N192" s="101" t="s">
        <v>209</v>
      </c>
      <c r="O192" s="101"/>
    </row>
    <row r="193" ht="30" spans="1:15">
      <c r="A193" s="161">
        <v>192</v>
      </c>
      <c r="B193" s="122" t="s">
        <v>64</v>
      </c>
      <c r="C193" s="166" t="s">
        <v>653</v>
      </c>
      <c r="D193" s="101" t="s">
        <v>654</v>
      </c>
      <c r="E193" s="101" t="s">
        <v>655</v>
      </c>
      <c r="F193" s="87">
        <f>SUMIF(管道站场阀室关系!B:B,支线管道!C193,管道站场阀室关系!H:H)</f>
        <v>199.644</v>
      </c>
      <c r="G193" s="101">
        <v>219.1</v>
      </c>
      <c r="H193" s="131">
        <v>5.6</v>
      </c>
      <c r="I193" s="131">
        <v>6.3</v>
      </c>
      <c r="J193" s="101">
        <v>1.56</v>
      </c>
      <c r="K193" s="101">
        <v>45</v>
      </c>
      <c r="L193" s="118">
        <f>SUMIF(管道站场阀室关系!B:B,支线管道!C193,管道站场阀室关系!J:J)</f>
        <v>6653.28</v>
      </c>
      <c r="M193" s="101" t="s">
        <v>656</v>
      </c>
      <c r="N193" s="101" t="s">
        <v>209</v>
      </c>
      <c r="O193" s="101"/>
    </row>
    <row r="194" spans="1:15">
      <c r="A194" s="161">
        <v>193</v>
      </c>
      <c r="B194" s="122" t="s">
        <v>64</v>
      </c>
      <c r="C194" s="230" t="s">
        <v>657</v>
      </c>
      <c r="D194" s="101" t="s">
        <v>658</v>
      </c>
      <c r="E194" s="101" t="s">
        <v>659</v>
      </c>
      <c r="F194" s="87">
        <f>SUMIF(管道站场阀室关系!B:B,支线管道!C194,管道站场阀室关系!H:H)</f>
        <v>11.56</v>
      </c>
      <c r="G194" s="101">
        <v>219.1</v>
      </c>
      <c r="H194" s="131"/>
      <c r="I194" s="131">
        <v>10</v>
      </c>
      <c r="J194" s="101">
        <v>7.33</v>
      </c>
      <c r="K194" s="101"/>
      <c r="L194" s="118">
        <f>SUMIF(管道站场阀室关系!B:B,支线管道!C194,管道站场阀室关系!J:J)</f>
        <v>368</v>
      </c>
      <c r="M194" s="101">
        <v>20230327</v>
      </c>
      <c r="N194" s="101" t="s">
        <v>209</v>
      </c>
      <c r="O194" s="101"/>
    </row>
    <row r="195" spans="1:15">
      <c r="A195" s="161">
        <v>194</v>
      </c>
      <c r="B195" s="122" t="s">
        <v>64</v>
      </c>
      <c r="C195" s="230" t="s">
        <v>660</v>
      </c>
      <c r="D195" s="101" t="s">
        <v>661</v>
      </c>
      <c r="E195" s="101" t="s">
        <v>662</v>
      </c>
      <c r="F195" s="87">
        <f>SUMIF(管道站场阀室关系!B:B,支线管道!C195,管道站场阀室关系!H:H)</f>
        <v>15.2</v>
      </c>
      <c r="G195" s="101">
        <v>323.9</v>
      </c>
      <c r="H195" s="131">
        <v>6.4</v>
      </c>
      <c r="I195" s="131">
        <v>6.3</v>
      </c>
      <c r="J195" s="101">
        <v>1.432</v>
      </c>
      <c r="K195" s="101">
        <v>36.23</v>
      </c>
      <c r="L195" s="118">
        <f>SUMIF(管道站场阀室关系!B:B,支线管道!C195,管道站场阀室关系!J:J)</f>
        <v>1140.2</v>
      </c>
      <c r="M195" s="101">
        <v>20230706</v>
      </c>
      <c r="N195" s="101" t="s">
        <v>209</v>
      </c>
      <c r="O195" s="101"/>
    </row>
    <row r="196" ht="30" spans="1:15">
      <c r="A196" s="161">
        <v>195</v>
      </c>
      <c r="B196" s="122" t="s">
        <v>64</v>
      </c>
      <c r="C196" s="230" t="s">
        <v>663</v>
      </c>
      <c r="D196" s="101" t="s">
        <v>664</v>
      </c>
      <c r="E196" s="101" t="s">
        <v>665</v>
      </c>
      <c r="F196" s="87">
        <f>SUMIF(管道站场阀室关系!B:B,支线管道!C196,管道站场阀室关系!H:H)</f>
        <v>92.1</v>
      </c>
      <c r="G196" s="101">
        <v>406.4</v>
      </c>
      <c r="H196" s="131"/>
      <c r="I196" s="131" t="s">
        <v>666</v>
      </c>
      <c r="J196" s="101">
        <v>11.2</v>
      </c>
      <c r="K196" s="101"/>
      <c r="L196" s="118">
        <f>SUMIF(管道站场阀室关系!B:B,支线管道!C196,管道站场阀室关系!J:J)</f>
        <v>10934</v>
      </c>
      <c r="M196" s="101">
        <v>20230926</v>
      </c>
      <c r="N196" s="101" t="s">
        <v>209</v>
      </c>
      <c r="O196" s="101"/>
    </row>
    <row r="197" ht="45" spans="1:15">
      <c r="A197" s="161">
        <v>196</v>
      </c>
      <c r="B197" s="122" t="s">
        <v>64</v>
      </c>
      <c r="C197" s="230" t="s">
        <v>667</v>
      </c>
      <c r="D197" s="101" t="s">
        <v>668</v>
      </c>
      <c r="E197" s="101" t="s">
        <v>669</v>
      </c>
      <c r="F197" s="87">
        <f>SUMIF(管道站场阀室关系!B:B,支线管道!C197,管道站场阀室关系!H:H)</f>
        <v>18.826</v>
      </c>
      <c r="G197" s="101" t="s">
        <v>670</v>
      </c>
      <c r="H197" s="131"/>
      <c r="I197" s="131" t="s">
        <v>671</v>
      </c>
      <c r="J197" s="101">
        <v>0.84</v>
      </c>
      <c r="K197" s="101"/>
      <c r="L197" s="118">
        <f>SUMIF(管道站场阀室关系!B:B,支线管道!C197,管道站场阀室关系!J:J)</f>
        <v>1915</v>
      </c>
      <c r="M197" s="101">
        <v>20240323</v>
      </c>
      <c r="N197" s="101" t="s">
        <v>209</v>
      </c>
      <c r="O197" s="101"/>
    </row>
    <row r="198" s="209" customFormat="1" ht="60" spans="1:15">
      <c r="A198" s="161">
        <v>197</v>
      </c>
      <c r="B198" s="122" t="s">
        <v>64</v>
      </c>
      <c r="C198" s="230" t="s">
        <v>672</v>
      </c>
      <c r="D198" s="101" t="s">
        <v>673</v>
      </c>
      <c r="E198" s="101" t="s">
        <v>674</v>
      </c>
      <c r="F198" s="87">
        <f>SUMIF(管道站场阀室关系!B:B,支线管道!C198,管道站场阀室关系!H:H)</f>
        <v>59.8</v>
      </c>
      <c r="G198" s="101">
        <v>610</v>
      </c>
      <c r="H198" s="131" t="s">
        <v>675</v>
      </c>
      <c r="I198" s="131">
        <v>10</v>
      </c>
      <c r="J198" s="101">
        <v>17.67</v>
      </c>
      <c r="K198" s="101"/>
      <c r="L198" s="118">
        <v>16602</v>
      </c>
      <c r="M198" s="101">
        <v>20240928</v>
      </c>
      <c r="N198" s="101" t="s">
        <v>209</v>
      </c>
      <c r="O198" s="101"/>
    </row>
    <row r="199" s="209" customFormat="1" spans="1:15">
      <c r="A199" s="161">
        <v>198</v>
      </c>
      <c r="B199" s="122" t="s">
        <v>64</v>
      </c>
      <c r="C199" s="230" t="s">
        <v>676</v>
      </c>
      <c r="D199" s="101" t="s">
        <v>677</v>
      </c>
      <c r="E199" s="101" t="s">
        <v>678</v>
      </c>
      <c r="F199" s="87">
        <f>SUMIF(管道站场阀室关系!B:B,支线管道!C199,管道站场阀室关系!H:H)</f>
        <v>43.39</v>
      </c>
      <c r="G199" s="101">
        <v>323.9</v>
      </c>
      <c r="H199" s="131">
        <v>7.1</v>
      </c>
      <c r="I199" s="131">
        <v>6.3</v>
      </c>
      <c r="J199" s="101">
        <v>3.25</v>
      </c>
      <c r="K199" s="101">
        <v>89</v>
      </c>
      <c r="L199" s="118">
        <v>3200</v>
      </c>
      <c r="M199" s="101">
        <v>20250914</v>
      </c>
      <c r="N199" s="101" t="s">
        <v>209</v>
      </c>
      <c r="O199" s="101"/>
    </row>
    <row r="200" ht="30" spans="1:15">
      <c r="A200" s="161">
        <v>199</v>
      </c>
      <c r="B200" s="122" t="s">
        <v>65</v>
      </c>
      <c r="C200" s="166" t="s">
        <v>679</v>
      </c>
      <c r="D200" s="161" t="s">
        <v>680</v>
      </c>
      <c r="E200" s="161" t="s">
        <v>157</v>
      </c>
      <c r="F200" s="86">
        <f>SUMIF(管道站场阀室关系!B:B,支线管道!C200,管道站场阀室关系!H:H)</f>
        <v>536.232</v>
      </c>
      <c r="G200" s="161">
        <v>1016</v>
      </c>
      <c r="H200" s="231" t="s">
        <v>681</v>
      </c>
      <c r="I200" s="118">
        <v>10</v>
      </c>
      <c r="J200" s="118">
        <v>72</v>
      </c>
      <c r="K200" s="234"/>
      <c r="L200" s="118">
        <f>SUMIF(管道站场阀室关系!B:B,支线管道!C200,管道站场阀室关系!J:J)</f>
        <v>406621</v>
      </c>
      <c r="M200" s="161" t="s">
        <v>682</v>
      </c>
      <c r="N200" s="161" t="s">
        <v>117</v>
      </c>
      <c r="O200" s="161"/>
    </row>
    <row r="201" s="210" customFormat="1" spans="1:15">
      <c r="A201" s="161">
        <v>200</v>
      </c>
      <c r="B201" s="122" t="s">
        <v>65</v>
      </c>
      <c r="C201" s="232" t="s">
        <v>683</v>
      </c>
      <c r="D201" s="161" t="s">
        <v>684</v>
      </c>
      <c r="E201" s="161" t="s">
        <v>685</v>
      </c>
      <c r="F201" s="86">
        <f>SUMIF(管道站场阀室关系!B:B,支线管道!C201,管道站场阀室关系!H:H)</f>
        <v>0.685</v>
      </c>
      <c r="G201" s="161">
        <v>355</v>
      </c>
      <c r="H201" s="231"/>
      <c r="I201" s="118">
        <v>10</v>
      </c>
      <c r="J201" s="118">
        <v>5</v>
      </c>
      <c r="K201" s="234"/>
      <c r="L201" s="118"/>
      <c r="M201" s="161">
        <v>20240725</v>
      </c>
      <c r="N201" s="161" t="s">
        <v>117</v>
      </c>
      <c r="O201" s="161"/>
    </row>
    <row r="202" s="212" customFormat="1" spans="1:15">
      <c r="A202" s="161">
        <v>201</v>
      </c>
      <c r="B202" s="122" t="s">
        <v>92</v>
      </c>
      <c r="C202" s="166" t="s">
        <v>92</v>
      </c>
      <c r="D202" s="101" t="s">
        <v>686</v>
      </c>
      <c r="E202" s="101" t="s">
        <v>687</v>
      </c>
      <c r="F202" s="83">
        <f>SUMIF(管道站场阀室关系!B:B,支线管道!C202,管道站场阀室关系!H:H)</f>
        <v>301.73</v>
      </c>
      <c r="G202" s="101">
        <v>457</v>
      </c>
      <c r="H202" s="131">
        <v>7</v>
      </c>
      <c r="I202" s="131">
        <v>3.5</v>
      </c>
      <c r="J202" s="101">
        <v>6</v>
      </c>
      <c r="K202" s="101"/>
      <c r="L202" s="118">
        <f>SUMIF(管道站场阀室关系!B:B,支线管道!C202,管道站场阀室关系!J:J)</f>
        <v>47355</v>
      </c>
      <c r="M202" s="101">
        <v>19960930</v>
      </c>
      <c r="N202" s="101" t="s">
        <v>112</v>
      </c>
      <c r="O202" s="101"/>
    </row>
    <row r="203" s="211" customFormat="1" spans="1:15">
      <c r="A203" s="161">
        <v>202</v>
      </c>
      <c r="B203" s="122" t="s">
        <v>67</v>
      </c>
      <c r="C203" s="166" t="s">
        <v>688</v>
      </c>
      <c r="D203" s="101" t="s">
        <v>689</v>
      </c>
      <c r="E203" s="101" t="s">
        <v>690</v>
      </c>
      <c r="F203" s="85">
        <f>SUMIF(管道站场阀室关系!B:B,支线管道!C203,管道站场阀室关系!H:H)</f>
        <v>1647.6518</v>
      </c>
      <c r="G203" s="225">
        <v>1016</v>
      </c>
      <c r="H203" s="225">
        <v>1016</v>
      </c>
      <c r="I203" s="225">
        <v>10</v>
      </c>
      <c r="J203" s="234">
        <v>150</v>
      </c>
      <c r="K203" s="101"/>
      <c r="L203" s="118">
        <f>SUMIF(管道站场阀室关系!B:B,支线管道!C203,管道站场阀室关系!J:J)</f>
        <v>1244613.37849595</v>
      </c>
      <c r="M203" s="225" t="s">
        <v>691</v>
      </c>
      <c r="N203" s="101" t="s">
        <v>206</v>
      </c>
      <c r="O203" s="228"/>
    </row>
    <row r="204" s="211" customFormat="1" spans="1:15">
      <c r="A204" s="161">
        <v>203</v>
      </c>
      <c r="B204" s="122" t="s">
        <v>67</v>
      </c>
      <c r="C204" s="166" t="s">
        <v>692</v>
      </c>
      <c r="D204" s="101" t="s">
        <v>689</v>
      </c>
      <c r="E204" s="101" t="s">
        <v>693</v>
      </c>
      <c r="F204" s="85">
        <f>SUMIF(管道站场阀室关系!B:B,支线管道!C204,管道站场阀室关系!H:H)</f>
        <v>74.56</v>
      </c>
      <c r="G204" s="225">
        <v>508</v>
      </c>
      <c r="H204" s="225">
        <v>8</v>
      </c>
      <c r="I204" s="225">
        <v>8</v>
      </c>
      <c r="J204" s="225">
        <v>30</v>
      </c>
      <c r="K204" s="101"/>
      <c r="L204" s="118">
        <f>SUMIF(管道站场阀室关系!B:B,支线管道!C204,管道站场阀室关系!J:J)</f>
        <v>14741.8473597348</v>
      </c>
      <c r="M204" s="235">
        <v>200902</v>
      </c>
      <c r="N204" s="101" t="s">
        <v>206</v>
      </c>
      <c r="O204" s="228"/>
    </row>
    <row r="205" s="211" customFormat="1" spans="1:15">
      <c r="A205" s="161">
        <v>204</v>
      </c>
      <c r="B205" s="122" t="s">
        <v>67</v>
      </c>
      <c r="C205" s="166" t="s">
        <v>694</v>
      </c>
      <c r="D205" s="101" t="s">
        <v>695</v>
      </c>
      <c r="E205" s="101" t="s">
        <v>696</v>
      </c>
      <c r="F205" s="85">
        <f>SUMIF(管道站场阀室关系!B:B,支线管道!C205,管道站场阀室关系!H:H)</f>
        <v>150.4308</v>
      </c>
      <c r="G205" s="225">
        <v>559</v>
      </c>
      <c r="H205" s="225">
        <v>8</v>
      </c>
      <c r="I205" s="225">
        <v>8</v>
      </c>
      <c r="J205" s="225">
        <v>25</v>
      </c>
      <c r="K205" s="101"/>
      <c r="L205" s="118">
        <f>SUMIF(管道站场阀室关系!B:B,支线管道!C205,管道站场阀室关系!J:J)</f>
        <v>35507.2922138887</v>
      </c>
      <c r="M205" s="235">
        <v>200904</v>
      </c>
      <c r="N205" s="101" t="s">
        <v>206</v>
      </c>
      <c r="O205" s="228"/>
    </row>
    <row r="206" s="211" customFormat="1" spans="1:15">
      <c r="A206" s="161">
        <v>205</v>
      </c>
      <c r="B206" s="122" t="s">
        <v>67</v>
      </c>
      <c r="C206" s="166" t="s">
        <v>697</v>
      </c>
      <c r="D206" s="101" t="s">
        <v>698</v>
      </c>
      <c r="E206" s="101" t="s">
        <v>699</v>
      </c>
      <c r="F206" s="85">
        <f>SUMIF(管道站场阀室关系!B:B,支线管道!C206,管道站场阀室关系!H:H)</f>
        <v>77.67</v>
      </c>
      <c r="G206" s="225">
        <v>406</v>
      </c>
      <c r="H206" s="225">
        <v>8</v>
      </c>
      <c r="I206" s="225">
        <v>6.3</v>
      </c>
      <c r="J206" s="225">
        <v>11.5</v>
      </c>
      <c r="K206" s="101"/>
      <c r="L206" s="118">
        <f>SUMIF(管道站场阀室关系!B:B,支线管道!C206,管道站场阀室关系!J:J)</f>
        <v>9278.38524089924</v>
      </c>
      <c r="M206" s="235">
        <v>201208</v>
      </c>
      <c r="N206" s="101" t="s">
        <v>206</v>
      </c>
      <c r="O206" s="228"/>
    </row>
    <row r="207" s="211" customFormat="1" spans="1:15">
      <c r="A207" s="161">
        <v>206</v>
      </c>
      <c r="B207" s="122" t="s">
        <v>67</v>
      </c>
      <c r="C207" s="166" t="s">
        <v>700</v>
      </c>
      <c r="D207" s="101" t="s">
        <v>701</v>
      </c>
      <c r="E207" s="101" t="s">
        <v>702</v>
      </c>
      <c r="F207" s="85">
        <f>SUMIF(管道站场阀室关系!B:B,支线管道!C207,管道站场阀室关系!H:H)</f>
        <v>50.1899</v>
      </c>
      <c r="G207" s="225">
        <v>508</v>
      </c>
      <c r="H207" s="225">
        <v>7.9</v>
      </c>
      <c r="I207" s="225">
        <v>8</v>
      </c>
      <c r="J207" s="225">
        <v>30</v>
      </c>
      <c r="K207" s="101"/>
      <c r="L207" s="118">
        <f>SUMIF(管道站场阀室关系!B:B,支线管道!C207,管道站场阀室关系!J:J)</f>
        <v>10396.4193951841</v>
      </c>
      <c r="M207" s="235">
        <v>201006</v>
      </c>
      <c r="N207" s="101" t="s">
        <v>206</v>
      </c>
      <c r="O207" s="228"/>
    </row>
    <row r="208" s="211" customFormat="1" ht="45" spans="1:15">
      <c r="A208" s="161">
        <v>207</v>
      </c>
      <c r="B208" s="122" t="s">
        <v>67</v>
      </c>
      <c r="C208" s="166" t="s">
        <v>703</v>
      </c>
      <c r="D208" s="101" t="s">
        <v>704</v>
      </c>
      <c r="E208" s="101" t="s">
        <v>705</v>
      </c>
      <c r="F208" s="85">
        <f>SUMIF(管道站场阀室关系!B:B,支线管道!C208,管道站场阀室关系!H:H)</f>
        <v>226.7559</v>
      </c>
      <c r="G208" s="101" t="s">
        <v>706</v>
      </c>
      <c r="H208" s="101" t="s">
        <v>707</v>
      </c>
      <c r="I208" s="101" t="s">
        <v>708</v>
      </c>
      <c r="J208" s="101">
        <v>48</v>
      </c>
      <c r="K208" s="101"/>
      <c r="L208" s="118">
        <f>SUMIF(管道站场阀室关系!B:B,支线管道!C208,管道站场阀室关系!J:J)</f>
        <v>100796.989794799</v>
      </c>
      <c r="M208" s="118">
        <v>200912</v>
      </c>
      <c r="N208" s="101" t="s">
        <v>206</v>
      </c>
      <c r="O208" s="228"/>
    </row>
    <row r="209" s="211" customFormat="1" spans="1:15">
      <c r="A209" s="161">
        <v>208</v>
      </c>
      <c r="B209" s="122" t="s">
        <v>67</v>
      </c>
      <c r="C209" s="166" t="s">
        <v>709</v>
      </c>
      <c r="D209" s="101" t="s">
        <v>159</v>
      </c>
      <c r="E209" s="101" t="s">
        <v>710</v>
      </c>
      <c r="F209" s="85">
        <f>SUMIF(管道站场阀室关系!B:B,支线管道!C209,管道站场阀室关系!H:H)</f>
        <v>24</v>
      </c>
      <c r="G209" s="225">
        <v>406</v>
      </c>
      <c r="H209" s="225">
        <v>8</v>
      </c>
      <c r="I209" s="225">
        <v>6.3</v>
      </c>
      <c r="J209" s="225"/>
      <c r="K209" s="118"/>
      <c r="L209" s="118">
        <f>SUMIF(管道站场阀室关系!B:B,支线管道!C209,管道站场阀室关系!J:J)</f>
        <v>2837.51106768482</v>
      </c>
      <c r="M209" s="235">
        <v>201011</v>
      </c>
      <c r="N209" s="101" t="s">
        <v>206</v>
      </c>
      <c r="O209" s="228"/>
    </row>
    <row r="210" s="211" customFormat="1" spans="1:15">
      <c r="A210" s="161">
        <v>209</v>
      </c>
      <c r="B210" s="122" t="s">
        <v>67</v>
      </c>
      <c r="C210" s="166" t="s">
        <v>711</v>
      </c>
      <c r="D210" s="101" t="s">
        <v>712</v>
      </c>
      <c r="E210" s="101" t="s">
        <v>154</v>
      </c>
      <c r="F210" s="85">
        <f>SUMIF(管道站场阀室关系!B:B,支线管道!C210,管道站场阀室关系!H:H)</f>
        <v>1.424</v>
      </c>
      <c r="G210" s="225">
        <v>813</v>
      </c>
      <c r="H210" s="225">
        <v>15.9</v>
      </c>
      <c r="I210" s="225">
        <v>6.3</v>
      </c>
      <c r="J210" s="225">
        <v>35</v>
      </c>
      <c r="K210" s="118"/>
      <c r="L210" s="118">
        <f>SUMIF(管道站场阀室关系!B:B,支线管道!C210,管道站场阀室关系!J:J)</f>
        <v>683</v>
      </c>
      <c r="M210" s="235">
        <v>20190509</v>
      </c>
      <c r="N210" s="101" t="s">
        <v>206</v>
      </c>
      <c r="O210" s="228"/>
    </row>
    <row r="211" s="211" customFormat="1" spans="1:15">
      <c r="A211" s="161">
        <v>210</v>
      </c>
      <c r="B211" s="122" t="s">
        <v>67</v>
      </c>
      <c r="C211" s="219" t="s">
        <v>713</v>
      </c>
      <c r="D211" s="101" t="s">
        <v>714</v>
      </c>
      <c r="E211" s="101" t="s">
        <v>715</v>
      </c>
      <c r="F211" s="85">
        <f>SUMIF(管道站场阀室关系!B:B,支线管道!C211,管道站场阀室关系!H:H)</f>
        <v>0.7</v>
      </c>
      <c r="G211" s="225"/>
      <c r="H211" s="225"/>
      <c r="I211" s="225"/>
      <c r="J211" s="236"/>
      <c r="K211" s="118"/>
      <c r="L211" s="118">
        <f>SUMIF(管道站场阀室关系!B:B,支线管道!C211,管道站场阀室关系!J:J)</f>
        <v>529</v>
      </c>
      <c r="M211" s="235"/>
      <c r="N211" s="101"/>
      <c r="O211" s="228"/>
    </row>
    <row r="212" s="211" customFormat="1" spans="1:15">
      <c r="A212" s="161">
        <v>211</v>
      </c>
      <c r="B212" s="122" t="s">
        <v>67</v>
      </c>
      <c r="C212" s="219" t="s">
        <v>716</v>
      </c>
      <c r="D212" s="101" t="s">
        <v>717</v>
      </c>
      <c r="E212" s="101" t="s">
        <v>718</v>
      </c>
      <c r="F212" s="85">
        <f>SUMIF(管道站场阀室关系!B:B,支线管道!C212,管道站场阀室关系!H:H)</f>
        <v>0.98</v>
      </c>
      <c r="G212" s="225"/>
      <c r="H212" s="225"/>
      <c r="I212" s="225"/>
      <c r="J212" s="236"/>
      <c r="K212" s="118"/>
      <c r="L212" s="118">
        <f>SUMIF(管道站场阀室关系!B:B,支线管道!C212,管道站场阀室关系!J:J)</f>
        <v>369.45</v>
      </c>
      <c r="M212" s="235"/>
      <c r="N212" s="101"/>
      <c r="O212" s="228"/>
    </row>
    <row r="213" s="211" customFormat="1" spans="1:15">
      <c r="A213" s="161">
        <v>212</v>
      </c>
      <c r="B213" s="122" t="s">
        <v>67</v>
      </c>
      <c r="C213" s="166" t="s">
        <v>719</v>
      </c>
      <c r="D213" s="101" t="s">
        <v>720</v>
      </c>
      <c r="E213" s="101" t="s">
        <v>721</v>
      </c>
      <c r="F213" s="85">
        <f>SUMIF(管道站场阀室关系!B:B,支线管道!C213,管道站场阀室关系!H:H)</f>
        <v>34.34</v>
      </c>
      <c r="G213" s="225">
        <v>813</v>
      </c>
      <c r="H213" s="225"/>
      <c r="I213" s="225">
        <v>10</v>
      </c>
      <c r="J213" s="236"/>
      <c r="K213" s="118"/>
      <c r="L213" s="118">
        <f>SUMIF(管道站场阀室关系!B:B,支线管道!C213,管道站场阀室关系!J:J)</f>
        <v>15983</v>
      </c>
      <c r="M213" s="235">
        <v>20220605</v>
      </c>
      <c r="N213" s="101" t="s">
        <v>206</v>
      </c>
      <c r="O213" s="228"/>
    </row>
    <row r="214" s="211" customFormat="1" ht="30" spans="1:15">
      <c r="A214" s="161">
        <v>213</v>
      </c>
      <c r="B214" s="122" t="s">
        <v>67</v>
      </c>
      <c r="C214" s="219" t="s">
        <v>722</v>
      </c>
      <c r="D214" s="101" t="s">
        <v>723</v>
      </c>
      <c r="E214" s="101" t="s">
        <v>724</v>
      </c>
      <c r="F214" s="85">
        <f>SUMIF(管道站场阀室关系!B:B,支线管道!C214,管道站场阀室关系!H:H)</f>
        <v>0.8</v>
      </c>
      <c r="G214" s="225">
        <v>1000</v>
      </c>
      <c r="H214" s="225"/>
      <c r="I214" s="225">
        <v>10</v>
      </c>
      <c r="J214" s="236"/>
      <c r="K214" s="118"/>
      <c r="L214" s="118">
        <f>SUMIF(管道站场阀室关系!B:B,支线管道!C214,管道站场阀室关系!J:J)</f>
        <v>238.8</v>
      </c>
      <c r="M214" s="235">
        <v>20231101</v>
      </c>
      <c r="N214" s="101" t="s">
        <v>206</v>
      </c>
      <c r="O214" s="228"/>
    </row>
    <row r="215" s="211" customFormat="1" spans="1:15">
      <c r="A215" s="161">
        <v>214</v>
      </c>
      <c r="B215" s="122" t="s">
        <v>67</v>
      </c>
      <c r="C215" s="219" t="s">
        <v>725</v>
      </c>
      <c r="D215" s="101" t="s">
        <v>726</v>
      </c>
      <c r="E215" s="101" t="s">
        <v>727</v>
      </c>
      <c r="F215" s="85">
        <f>SUMIF(管道站场阀室关系!B:B,支线管道!C215,管道站场阀室关系!H:H)</f>
        <v>11.6</v>
      </c>
      <c r="G215" s="225">
        <v>711</v>
      </c>
      <c r="H215" s="225">
        <v>12</v>
      </c>
      <c r="I215" s="225">
        <v>6.3</v>
      </c>
      <c r="J215" s="236">
        <v>40</v>
      </c>
      <c r="K215" s="118">
        <v>1095.89</v>
      </c>
      <c r="L215" s="118">
        <f>SUMIF(管道站场阀室关系!B:B,支线管道!C215,管道站场阀室关系!J:J)</f>
        <v>4114.6</v>
      </c>
      <c r="M215" s="235">
        <v>20240901</v>
      </c>
      <c r="N215" s="101" t="s">
        <v>206</v>
      </c>
      <c r="O215" s="228"/>
    </row>
    <row r="216" s="211" customFormat="1" spans="1:15">
      <c r="A216" s="161">
        <v>215</v>
      </c>
      <c r="B216" s="122" t="s">
        <v>67</v>
      </c>
      <c r="C216" s="219" t="s">
        <v>728</v>
      </c>
      <c r="D216" s="101" t="s">
        <v>729</v>
      </c>
      <c r="E216" s="101" t="s">
        <v>730</v>
      </c>
      <c r="F216" s="85">
        <f>SUMIF(管道站场阀室关系!B:B,支线管道!C216,管道站场阀室关系!H:H)</f>
        <v>61.5</v>
      </c>
      <c r="G216" s="225">
        <v>323.9</v>
      </c>
      <c r="H216" s="225" t="s">
        <v>731</v>
      </c>
      <c r="I216" s="225">
        <v>6.3</v>
      </c>
      <c r="J216" s="236">
        <v>6</v>
      </c>
      <c r="K216" s="118">
        <v>164.38</v>
      </c>
      <c r="L216" s="118">
        <f>SUMIF(管道站场阀室关系!B:B,支线管道!C216,管道站场阀室关系!J:J)</f>
        <v>4419.6</v>
      </c>
      <c r="M216" s="235">
        <v>20241103</v>
      </c>
      <c r="N216" s="101" t="s">
        <v>206</v>
      </c>
      <c r="O216" s="228"/>
    </row>
    <row r="217" s="211" customFormat="1" spans="1:15">
      <c r="A217" s="161">
        <v>216</v>
      </c>
      <c r="B217" s="122" t="s">
        <v>67</v>
      </c>
      <c r="C217" s="219" t="s">
        <v>732</v>
      </c>
      <c r="D217" s="101" t="s">
        <v>733</v>
      </c>
      <c r="E217" s="101" t="s">
        <v>734</v>
      </c>
      <c r="F217" s="85">
        <f>SUMIF(管道站场阀室关系!B:B,支线管道!C217,管道站场阀室关系!H:H)</f>
        <v>0.6</v>
      </c>
      <c r="G217" s="225">
        <v>300</v>
      </c>
      <c r="H217" s="225">
        <v>12.5</v>
      </c>
      <c r="I217" s="225">
        <v>10</v>
      </c>
      <c r="J217" s="236">
        <v>8.7</v>
      </c>
      <c r="K217" s="118"/>
      <c r="L217" s="118">
        <f>SUMIF(管道站场阀室关系!B:B,支线管道!C217,管道站场阀室关系!J:J)</f>
        <v>40</v>
      </c>
      <c r="M217" s="235">
        <v>20250321</v>
      </c>
      <c r="N217" s="101" t="s">
        <v>206</v>
      </c>
      <c r="O217" s="228"/>
    </row>
    <row r="218" s="211" customFormat="1" ht="56" spans="1:15">
      <c r="A218" s="161">
        <v>217</v>
      </c>
      <c r="B218" s="122" t="s">
        <v>67</v>
      </c>
      <c r="C218" s="219" t="s">
        <v>735</v>
      </c>
      <c r="D218" s="101" t="s">
        <v>736</v>
      </c>
      <c r="E218" s="101" t="s">
        <v>737</v>
      </c>
      <c r="F218" s="85">
        <f>SUMIF(管道站场阀室关系!B:B,支线管道!C218,管道站场阀室关系!H:H)</f>
        <v>8</v>
      </c>
      <c r="G218" s="225">
        <v>508</v>
      </c>
      <c r="H218" s="225" t="s">
        <v>738</v>
      </c>
      <c r="I218" s="225" t="s">
        <v>739</v>
      </c>
      <c r="J218" s="236">
        <v>13.8</v>
      </c>
      <c r="K218" s="118">
        <v>378.1</v>
      </c>
      <c r="L218" s="118">
        <f>SUMIF(管道站场阀室关系!B:B,支线管道!C218,管道站场阀室关系!J:J)</f>
        <v>1500</v>
      </c>
      <c r="M218" s="235">
        <v>20250920</v>
      </c>
      <c r="N218" s="101" t="s">
        <v>206</v>
      </c>
      <c r="O218" s="228"/>
    </row>
    <row r="219" s="211" customFormat="1" ht="28" spans="1:15">
      <c r="A219" s="161">
        <v>218</v>
      </c>
      <c r="B219" s="122" t="s">
        <v>68</v>
      </c>
      <c r="C219" s="219" t="s">
        <v>740</v>
      </c>
      <c r="D219" s="101" t="s">
        <v>741</v>
      </c>
      <c r="E219" s="101" t="s">
        <v>742</v>
      </c>
      <c r="F219" s="85">
        <f>SUMIF(管道站场阀室关系!B:B,支线管道!C219,管道站场阀室关系!H:H)</f>
        <v>56.15</v>
      </c>
      <c r="G219" s="225" t="s">
        <v>743</v>
      </c>
      <c r="H219" s="225" t="s">
        <v>744</v>
      </c>
      <c r="I219" s="225">
        <v>10</v>
      </c>
      <c r="J219" s="236">
        <v>202</v>
      </c>
      <c r="K219" s="118">
        <v>5534</v>
      </c>
      <c r="L219" s="118">
        <f>SUMIF(管道站场阀室关系!B:B,支线管道!C219,管道站场阀室关系!J:J)</f>
        <v>63472</v>
      </c>
      <c r="M219" s="235">
        <v>20250913</v>
      </c>
      <c r="N219" s="101" t="s">
        <v>206</v>
      </c>
      <c r="O219" s="228"/>
    </row>
    <row r="220" s="211" customFormat="1" spans="1:15">
      <c r="A220" s="161">
        <v>219</v>
      </c>
      <c r="B220" s="122" t="s">
        <v>68</v>
      </c>
      <c r="C220" s="219" t="s">
        <v>745</v>
      </c>
      <c r="D220" s="101" t="s">
        <v>746</v>
      </c>
      <c r="E220" s="101" t="s">
        <v>747</v>
      </c>
      <c r="F220" s="85">
        <f>SUMIF(管道站场阀室关系!B:B,支线管道!C220,管道站场阀室关系!H:H)</f>
        <v>1.4</v>
      </c>
      <c r="G220" s="225">
        <v>1016</v>
      </c>
      <c r="H220" s="225"/>
      <c r="I220" s="225">
        <v>10</v>
      </c>
      <c r="J220" s="236">
        <v>60</v>
      </c>
      <c r="K220" s="118">
        <v>1714.29</v>
      </c>
      <c r="L220" s="118">
        <f>SUMIF(管道站场阀室关系!B:B,支线管道!C220,管道站场阀室关系!J:J)</f>
        <v>0</v>
      </c>
      <c r="M220" s="235">
        <v>20250913</v>
      </c>
      <c r="N220" s="101" t="s">
        <v>206</v>
      </c>
      <c r="O220" s="228"/>
    </row>
    <row r="221" s="211" customFormat="1" ht="28" spans="1:15">
      <c r="A221" s="161">
        <v>220</v>
      </c>
      <c r="B221" s="122" t="s">
        <v>69</v>
      </c>
      <c r="C221" s="166" t="s">
        <v>748</v>
      </c>
      <c r="D221" s="101" t="s">
        <v>621</v>
      </c>
      <c r="E221" s="101" t="s">
        <v>689</v>
      </c>
      <c r="F221" s="85">
        <f>SUMIF(管道站场阀室关系!B:B,支线管道!C221,管道站场阀室关系!H:H)</f>
        <v>200.6999</v>
      </c>
      <c r="G221" s="225">
        <v>1016</v>
      </c>
      <c r="H221" s="225">
        <v>17.5</v>
      </c>
      <c r="I221" s="225">
        <v>10</v>
      </c>
      <c r="J221" s="236">
        <v>110</v>
      </c>
      <c r="K221" s="118"/>
      <c r="L221" s="118">
        <f>SUMIF(管道站场阀室关系!B:B,支线管道!C221,管道站场阀室关系!J:J)</f>
        <v>151697</v>
      </c>
      <c r="M221" s="235" t="s">
        <v>749</v>
      </c>
      <c r="N221" s="101" t="s">
        <v>206</v>
      </c>
      <c r="O221" s="228"/>
    </row>
    <row r="222" s="211" customFormat="1" ht="28" spans="1:15">
      <c r="A222" s="161">
        <v>221</v>
      </c>
      <c r="B222" s="122" t="s">
        <v>70</v>
      </c>
      <c r="C222" s="166" t="s">
        <v>750</v>
      </c>
      <c r="D222" s="161" t="s">
        <v>751</v>
      </c>
      <c r="E222" s="101" t="s">
        <v>752</v>
      </c>
      <c r="F222" s="86">
        <f>SUMIF(管道站场阀室关系!B:B,支线管道!C222,管道站场阀室关系!H:H)</f>
        <v>914.36</v>
      </c>
      <c r="G222" s="225" t="s">
        <v>753</v>
      </c>
      <c r="H222" s="225" t="s">
        <v>754</v>
      </c>
      <c r="I222" s="225" t="s">
        <v>755</v>
      </c>
      <c r="J222" s="236">
        <v>40</v>
      </c>
      <c r="K222" s="118"/>
      <c r="L222" s="118">
        <f>SUMIF(管道站场阀室关系!B:B,支线管道!C222,管道站场阀室关系!J:J)</f>
        <v>311214.013348097</v>
      </c>
      <c r="M222" s="225" t="s">
        <v>756</v>
      </c>
      <c r="N222" s="101" t="s">
        <v>117</v>
      </c>
      <c r="O222" s="228"/>
    </row>
    <row r="223" s="211" customFormat="1" spans="1:15">
      <c r="A223" s="161">
        <v>222</v>
      </c>
      <c r="B223" s="122" t="s">
        <v>70</v>
      </c>
      <c r="C223" s="166" t="s">
        <v>757</v>
      </c>
      <c r="D223" s="161" t="s">
        <v>751</v>
      </c>
      <c r="E223" s="101" t="s">
        <v>758</v>
      </c>
      <c r="F223" s="86">
        <f>SUMIF(管道站场阀室关系!B:B,支线管道!C223,管道站场阀室关系!H:H)</f>
        <v>50.54</v>
      </c>
      <c r="G223" s="225">
        <v>273</v>
      </c>
      <c r="H223" s="225"/>
      <c r="I223" s="225">
        <v>4</v>
      </c>
      <c r="J223" s="225">
        <v>3.5</v>
      </c>
      <c r="K223" s="118"/>
      <c r="L223" s="118">
        <f>SUMIF(管道站场阀室关系!B:B,支线管道!C223,管道站场阀室关系!J:J)</f>
        <v>2566.96613511685</v>
      </c>
      <c r="M223" s="118">
        <v>201307</v>
      </c>
      <c r="N223" s="101" t="s">
        <v>117</v>
      </c>
      <c r="O223" s="228"/>
    </row>
    <row r="224" s="211" customFormat="1" spans="1:15">
      <c r="A224" s="161">
        <v>223</v>
      </c>
      <c r="B224" s="122" t="s">
        <v>71</v>
      </c>
      <c r="C224" s="166" t="s">
        <v>759</v>
      </c>
      <c r="D224" s="161" t="s">
        <v>760</v>
      </c>
      <c r="E224" s="101" t="s">
        <v>761</v>
      </c>
      <c r="F224" s="86">
        <f>SUMIF(管道站场阀室关系!B:B,支线管道!C224,管道站场阀室关系!H:H)</f>
        <v>286.7928</v>
      </c>
      <c r="G224" s="225">
        <v>711</v>
      </c>
      <c r="H224" s="225">
        <v>12.5</v>
      </c>
      <c r="I224" s="225">
        <v>6.3</v>
      </c>
      <c r="J224" s="225">
        <v>30</v>
      </c>
      <c r="L224" s="118">
        <f>SUMIF(管道站场阀室关系!B:B,支线管道!C224,管道站场阀室关系!J:J)</f>
        <v>82212.6112847373</v>
      </c>
      <c r="M224" s="225">
        <v>200504</v>
      </c>
      <c r="N224" s="101" t="s">
        <v>117</v>
      </c>
      <c r="O224" s="228"/>
    </row>
    <row r="225" s="211" customFormat="1" ht="28" spans="1:15">
      <c r="A225" s="161">
        <v>224</v>
      </c>
      <c r="B225" s="122" t="s">
        <v>66</v>
      </c>
      <c r="C225" s="166" t="s">
        <v>762</v>
      </c>
      <c r="D225" s="161" t="s">
        <v>763</v>
      </c>
      <c r="E225" s="101" t="s">
        <v>764</v>
      </c>
      <c r="F225" s="84">
        <f>SUMIF(管道站场阀室关系!B:B,支线管道!C225,管道站场阀室关系!H:H)</f>
        <v>272</v>
      </c>
      <c r="G225" s="225" t="s">
        <v>765</v>
      </c>
      <c r="H225" s="225">
        <v>17.5</v>
      </c>
      <c r="I225" s="225" t="s">
        <v>766</v>
      </c>
      <c r="J225" s="225">
        <v>70</v>
      </c>
      <c r="K225" s="118"/>
      <c r="L225" s="118">
        <f>SUMIF(管道站场阀室关系!B:B,支线管道!C225,管道站场阀室关系!J:J)</f>
        <v>237667.594865761</v>
      </c>
      <c r="M225" s="225">
        <v>201811</v>
      </c>
      <c r="N225" s="101" t="s">
        <v>353</v>
      </c>
      <c r="O225" s="228"/>
    </row>
    <row r="226" s="211" customFormat="1" spans="1:15">
      <c r="A226" s="161">
        <v>225</v>
      </c>
      <c r="B226" s="122" t="s">
        <v>66</v>
      </c>
      <c r="C226" s="166" t="s">
        <v>767</v>
      </c>
      <c r="D226" s="161" t="s">
        <v>768</v>
      </c>
      <c r="E226" s="101" t="s">
        <v>769</v>
      </c>
      <c r="F226" s="84">
        <f>SUMIF(管道站场阀室关系!B:B,支线管道!C226,管道站场阀室关系!H:H)</f>
        <v>67</v>
      </c>
      <c r="G226" s="225">
        <v>1016</v>
      </c>
      <c r="H226" s="225">
        <v>17.5</v>
      </c>
      <c r="I226" s="225">
        <v>10</v>
      </c>
      <c r="J226" s="101"/>
      <c r="K226" s="118"/>
      <c r="L226" s="118">
        <f>SUMIF(管道站场阀室关系!B:B,支线管道!C226,管道站场阀室关系!J:J)</f>
        <v>49560.2025200381</v>
      </c>
      <c r="M226" s="225">
        <v>201908</v>
      </c>
      <c r="N226" s="101" t="s">
        <v>353</v>
      </c>
      <c r="O226" s="228"/>
    </row>
    <row r="227" s="211" customFormat="1" spans="1:15">
      <c r="A227" s="161">
        <v>226</v>
      </c>
      <c r="B227" s="122" t="s">
        <v>66</v>
      </c>
      <c r="C227" s="166" t="s">
        <v>770</v>
      </c>
      <c r="D227" s="161" t="s">
        <v>768</v>
      </c>
      <c r="E227" s="101" t="s">
        <v>771</v>
      </c>
      <c r="F227" s="84">
        <f>SUMIF(管道站场阀室关系!B:B,支线管道!C227,管道站场阀室关系!H:H)</f>
        <v>347</v>
      </c>
      <c r="G227" s="225">
        <v>1016</v>
      </c>
      <c r="H227" s="225">
        <v>17.5</v>
      </c>
      <c r="I227" s="225">
        <v>10</v>
      </c>
      <c r="J227" s="101"/>
      <c r="K227" s="118"/>
      <c r="L227" s="118">
        <f>SUMIF(管道站场阀室关系!B:B,支线管道!C227,管道站场阀室关系!J:J)</f>
        <v>254603.54154148</v>
      </c>
      <c r="M227" s="225">
        <v>201811</v>
      </c>
      <c r="N227" s="101" t="s">
        <v>353</v>
      </c>
      <c r="O227" s="228"/>
    </row>
    <row r="228" s="211" customFormat="1" spans="1:15">
      <c r="A228" s="161">
        <v>227</v>
      </c>
      <c r="B228" s="122" t="s">
        <v>66</v>
      </c>
      <c r="C228" s="166" t="s">
        <v>772</v>
      </c>
      <c r="D228" s="161" t="s">
        <v>773</v>
      </c>
      <c r="E228" s="101" t="s">
        <v>774</v>
      </c>
      <c r="F228" s="84">
        <f>SUMIF(管道站场阀室关系!B:B,支线管道!C228,管道站场阀室关系!H:H)</f>
        <v>0.3</v>
      </c>
      <c r="G228" s="101">
        <v>1016</v>
      </c>
      <c r="H228" s="131"/>
      <c r="I228" s="131">
        <v>10</v>
      </c>
      <c r="J228" s="101"/>
      <c r="K228" s="118"/>
      <c r="L228" s="118">
        <f>SUMIF(管道站场阀室关系!B:B,支线管道!C228,管道站场阀室关系!J:J)</f>
        <v>141.566791316386</v>
      </c>
      <c r="M228" s="118"/>
      <c r="N228" s="101" t="s">
        <v>353</v>
      </c>
      <c r="O228" s="228"/>
    </row>
    <row r="229" s="211" customFormat="1" spans="1:15">
      <c r="A229" s="161">
        <v>228</v>
      </c>
      <c r="B229" s="122" t="s">
        <v>66</v>
      </c>
      <c r="C229" s="166" t="s">
        <v>775</v>
      </c>
      <c r="D229" s="161" t="s">
        <v>768</v>
      </c>
      <c r="E229" s="101" t="s">
        <v>760</v>
      </c>
      <c r="F229" s="84">
        <f>SUMIF(管道站场阀室关系!B:B,支线管道!C229,管道站场阀室关系!H:H)</f>
        <v>4.7</v>
      </c>
      <c r="G229" s="101">
        <v>711</v>
      </c>
      <c r="H229" s="131"/>
      <c r="I229" s="131">
        <v>10</v>
      </c>
      <c r="J229" s="101"/>
      <c r="K229" s="118"/>
      <c r="L229" s="118">
        <f>SUMIF(管道站场阀室关系!B:B,支线管道!C229,管道站场阀室关系!J:J)</f>
        <v>1249.26566995521</v>
      </c>
      <c r="M229" s="118"/>
      <c r="N229" s="101" t="s">
        <v>353</v>
      </c>
      <c r="O229" s="228"/>
    </row>
    <row r="230" s="211" customFormat="1" spans="1:15">
      <c r="A230" s="161">
        <v>229</v>
      </c>
      <c r="B230" s="122" t="s">
        <v>66</v>
      </c>
      <c r="C230" s="166" t="s">
        <v>776</v>
      </c>
      <c r="D230" s="161" t="s">
        <v>777</v>
      </c>
      <c r="E230" s="101" t="s">
        <v>778</v>
      </c>
      <c r="F230" s="84">
        <f>SUMIF(管道站场阀室关系!B:B,支线管道!C230,管道站场阀室关系!H:H)</f>
        <v>9</v>
      </c>
      <c r="G230" s="101">
        <v>711</v>
      </c>
      <c r="H230" s="131"/>
      <c r="I230" s="131">
        <v>10</v>
      </c>
      <c r="J230" s="101"/>
      <c r="K230" s="118"/>
      <c r="L230" s="118">
        <f>SUMIF(管道站场阀室关系!B:B,支线管道!C230,管道站场阀室关系!J:J)</f>
        <v>2964.23392693515</v>
      </c>
      <c r="M230" s="118"/>
      <c r="N230" s="101" t="s">
        <v>353</v>
      </c>
      <c r="O230" s="228"/>
    </row>
    <row r="231" s="211" customFormat="1" ht="30" spans="1:15">
      <c r="A231" s="161">
        <v>230</v>
      </c>
      <c r="B231" s="122" t="s">
        <v>73</v>
      </c>
      <c r="C231" s="166" t="s">
        <v>73</v>
      </c>
      <c r="D231" s="161" t="s">
        <v>779</v>
      </c>
      <c r="E231" s="101" t="s">
        <v>605</v>
      </c>
      <c r="F231" s="86">
        <f>SUMIF(管道站场阀室关系!B:B,支线管道!C231,管道站场阀室关系!H:H)</f>
        <v>117.09</v>
      </c>
      <c r="G231" s="101">
        <v>1016</v>
      </c>
      <c r="H231" s="131"/>
      <c r="I231" s="131">
        <v>8</v>
      </c>
      <c r="J231" s="101">
        <v>63</v>
      </c>
      <c r="K231" s="118"/>
      <c r="L231" s="118">
        <f>SUMIF(管道站场阀室关系!B:B,支线管道!C231,管道站场阀室关系!J:J)</f>
        <v>89046.58104</v>
      </c>
      <c r="M231" s="118" t="s">
        <v>780</v>
      </c>
      <c r="N231" s="101" t="s">
        <v>117</v>
      </c>
      <c r="O231" s="228"/>
    </row>
    <row r="232" s="211" customFormat="1" spans="1:15">
      <c r="A232" s="161">
        <v>231</v>
      </c>
      <c r="B232" s="122" t="s">
        <v>73</v>
      </c>
      <c r="C232" s="166" t="s">
        <v>781</v>
      </c>
      <c r="D232" s="161" t="s">
        <v>605</v>
      </c>
      <c r="E232" s="101" t="s">
        <v>782</v>
      </c>
      <c r="F232" s="86">
        <f>SUMIF(管道站场阀室关系!B:B,支线管道!C232,管道站场阀室关系!H:H)</f>
        <v>70.045</v>
      </c>
      <c r="G232" s="101">
        <v>813</v>
      </c>
      <c r="H232" s="131">
        <v>15.9</v>
      </c>
      <c r="I232" s="131">
        <v>8</v>
      </c>
      <c r="J232" s="101">
        <v>63.4</v>
      </c>
      <c r="K232" s="237"/>
      <c r="L232" s="118">
        <f>SUMIF(管道站场阀室关系!B:B,支线管道!C232,管道站场阀室关系!J:J)</f>
        <v>34159.5456</v>
      </c>
      <c r="M232" s="118">
        <v>2017.5</v>
      </c>
      <c r="N232" s="101" t="s">
        <v>117</v>
      </c>
      <c r="O232" s="228"/>
    </row>
    <row r="233" s="211" customFormat="1" spans="1:15">
      <c r="A233" s="161">
        <v>232</v>
      </c>
      <c r="B233" s="122" t="s">
        <v>72</v>
      </c>
      <c r="C233" s="166" t="s">
        <v>783</v>
      </c>
      <c r="D233" s="161" t="s">
        <v>784</v>
      </c>
      <c r="E233" s="101" t="s">
        <v>605</v>
      </c>
      <c r="F233" s="86">
        <f>SUMIF(管道站场阀室关系!B:B,支线管道!C233,管道站场阀室关系!H:H)</f>
        <v>358.341</v>
      </c>
      <c r="G233" s="225">
        <v>813</v>
      </c>
      <c r="H233" s="225">
        <v>12.5</v>
      </c>
      <c r="I233" s="225">
        <v>8</v>
      </c>
      <c r="J233" s="225">
        <v>50</v>
      </c>
      <c r="L233" s="118">
        <f>SUMIF(管道站场阀室关系!B:B,支线管道!C233,管道站场阀室关系!J:J)</f>
        <v>176804.48256</v>
      </c>
      <c r="M233" s="225">
        <v>201512</v>
      </c>
      <c r="N233" s="101" t="s">
        <v>117</v>
      </c>
      <c r="O233" s="228"/>
    </row>
    <row r="234" s="211" customFormat="1" spans="1:15">
      <c r="A234" s="161">
        <v>233</v>
      </c>
      <c r="B234" s="122" t="s">
        <v>77</v>
      </c>
      <c r="C234" s="166" t="s">
        <v>785</v>
      </c>
      <c r="D234" s="161" t="s">
        <v>786</v>
      </c>
      <c r="E234" s="101" t="s">
        <v>787</v>
      </c>
      <c r="F234" s="85">
        <f>SUMIF(管道站场阀室关系!B:B,支线管道!C234,管道站场阀室关系!H:H)</f>
        <v>65</v>
      </c>
      <c r="G234" s="101">
        <v>1016</v>
      </c>
      <c r="H234" s="131"/>
      <c r="I234" s="131">
        <v>10</v>
      </c>
      <c r="J234" s="101">
        <v>40</v>
      </c>
      <c r="K234" s="118"/>
      <c r="L234" s="118">
        <f>SUMIF(管道站场阀室关系!B:B,支线管道!C234,管道站场阀室关系!J:J)</f>
        <v>48430</v>
      </c>
      <c r="M234" s="118">
        <v>20191227</v>
      </c>
      <c r="N234" s="101" t="s">
        <v>206</v>
      </c>
      <c r="O234" s="228"/>
    </row>
    <row r="235" s="211" customFormat="1" spans="1:15">
      <c r="A235" s="161">
        <v>234</v>
      </c>
      <c r="B235" s="122" t="s">
        <v>77</v>
      </c>
      <c r="C235" s="166" t="s">
        <v>788</v>
      </c>
      <c r="D235" s="161" t="s">
        <v>789</v>
      </c>
      <c r="E235" s="101" t="s">
        <v>790</v>
      </c>
      <c r="F235" s="85">
        <f>SUMIF(管道站场阀室关系!B:B,支线管道!C235,管道站场阀室关系!H:H)</f>
        <v>130.3001</v>
      </c>
      <c r="G235" s="101">
        <v>1016</v>
      </c>
      <c r="H235" s="131" t="s">
        <v>791</v>
      </c>
      <c r="I235" s="131">
        <v>10</v>
      </c>
      <c r="J235" s="101">
        <v>100</v>
      </c>
      <c r="K235" s="118"/>
      <c r="L235" s="118">
        <f>SUMIF(管道站场阀室关系!B:B,支线管道!C235,管道站场阀室关系!J:J)</f>
        <v>97149</v>
      </c>
      <c r="M235" s="118">
        <v>20150511</v>
      </c>
      <c r="N235" s="101" t="s">
        <v>206</v>
      </c>
      <c r="O235" s="228"/>
    </row>
    <row r="236" s="211" customFormat="1" spans="1:15">
      <c r="A236" s="161">
        <v>235</v>
      </c>
      <c r="B236" s="122" t="s">
        <v>76</v>
      </c>
      <c r="C236" s="166" t="s">
        <v>792</v>
      </c>
      <c r="D236" s="161" t="s">
        <v>778</v>
      </c>
      <c r="E236" s="101" t="s">
        <v>793</v>
      </c>
      <c r="F236" s="86">
        <f>SUMIF(管道站场阀室关系!B:B,支线管道!C236,管道站场阀室关系!H:H)</f>
        <v>18.47</v>
      </c>
      <c r="G236" s="225">
        <v>508</v>
      </c>
      <c r="H236" s="225">
        <v>8.7</v>
      </c>
      <c r="I236" s="225">
        <v>6.3</v>
      </c>
      <c r="J236" s="225">
        <v>15</v>
      </c>
      <c r="K236" s="118"/>
      <c r="L236" s="118">
        <f>SUMIF(管道站场阀室关系!B:B,支线管道!C236,管道站场阀室关系!J:J)</f>
        <v>3497.16667012735</v>
      </c>
      <c r="M236" s="225">
        <v>201509</v>
      </c>
      <c r="N236" s="101" t="s">
        <v>117</v>
      </c>
      <c r="O236" s="228"/>
    </row>
    <row r="237" s="211" customFormat="1" spans="1:15">
      <c r="A237" s="161">
        <v>236</v>
      </c>
      <c r="B237" s="122" t="s">
        <v>76</v>
      </c>
      <c r="C237" s="166" t="s">
        <v>794</v>
      </c>
      <c r="D237" s="161" t="s">
        <v>778</v>
      </c>
      <c r="E237" s="101" t="s">
        <v>795</v>
      </c>
      <c r="F237" s="86">
        <f>SUMIF(管道站场阀室关系!B:B,支线管道!C237,管道站场阀室关系!H:H)</f>
        <v>191.106</v>
      </c>
      <c r="G237" s="225">
        <v>711</v>
      </c>
      <c r="H237" s="225">
        <v>11.91</v>
      </c>
      <c r="I237" s="225">
        <v>8</v>
      </c>
      <c r="J237" s="225">
        <v>30</v>
      </c>
      <c r="K237" s="118"/>
      <c r="L237" s="118">
        <f>SUMIF(管道站场阀室关系!B:B,支线管道!C237,管道站场阀室关系!J:J)</f>
        <v>70793.8793010227</v>
      </c>
      <c r="M237" s="225">
        <v>201612</v>
      </c>
      <c r="N237" s="101" t="s">
        <v>117</v>
      </c>
      <c r="O237" s="228"/>
    </row>
    <row r="238" s="211" customFormat="1" spans="1:15">
      <c r="A238" s="161">
        <v>237</v>
      </c>
      <c r="B238" s="122" t="s">
        <v>76</v>
      </c>
      <c r="C238" s="166" t="s">
        <v>796</v>
      </c>
      <c r="D238" s="161" t="s">
        <v>797</v>
      </c>
      <c r="E238" s="101" t="s">
        <v>798</v>
      </c>
      <c r="F238" s="86">
        <f>SUMIF(管道站场阀室关系!B:B,支线管道!C238,管道站场阀室关系!H:H)</f>
        <v>62.166</v>
      </c>
      <c r="G238" s="225">
        <v>508</v>
      </c>
      <c r="H238" s="225"/>
      <c r="I238" s="225">
        <v>6.3</v>
      </c>
      <c r="J238" s="236">
        <v>9</v>
      </c>
      <c r="K238" s="118"/>
      <c r="L238" s="118">
        <f>SUMIF(管道站场阀室关系!B:B,支线管道!C238,管道站场阀室关系!J:J)</f>
        <v>11912</v>
      </c>
      <c r="M238" s="225">
        <v>20201224</v>
      </c>
      <c r="N238" s="101" t="s">
        <v>117</v>
      </c>
      <c r="O238" s="228"/>
    </row>
    <row r="239" s="211" customFormat="1" ht="28" spans="1:15">
      <c r="A239" s="161">
        <v>238</v>
      </c>
      <c r="B239" s="122" t="s">
        <v>74</v>
      </c>
      <c r="C239" s="166" t="s">
        <v>799</v>
      </c>
      <c r="D239" s="161" t="s">
        <v>800</v>
      </c>
      <c r="E239" s="101" t="s">
        <v>801</v>
      </c>
      <c r="F239" s="84">
        <f>SUMIF(管道站场阀室关系!B:B,支线管道!C239,管道站场阀室关系!H:H)</f>
        <v>87.63004</v>
      </c>
      <c r="G239" s="225">
        <v>1016</v>
      </c>
      <c r="H239" s="225" t="s">
        <v>802</v>
      </c>
      <c r="I239" s="225">
        <v>10</v>
      </c>
      <c r="J239" s="101">
        <v>103</v>
      </c>
      <c r="K239" s="118"/>
      <c r="L239" s="118">
        <f>SUMIF(管道站场阀室关系!B:B,支线管道!C239,管道站场阀室关系!J:J)</f>
        <v>64956.21342157</v>
      </c>
      <c r="M239" s="225">
        <v>201612</v>
      </c>
      <c r="N239" s="101" t="s">
        <v>353</v>
      </c>
      <c r="O239" s="228"/>
    </row>
    <row r="240" s="211" customFormat="1" ht="28" spans="1:15">
      <c r="A240" s="161">
        <v>239</v>
      </c>
      <c r="B240" s="122" t="s">
        <v>74</v>
      </c>
      <c r="C240" s="166" t="s">
        <v>803</v>
      </c>
      <c r="D240" s="161" t="s">
        <v>801</v>
      </c>
      <c r="E240" s="101" t="s">
        <v>804</v>
      </c>
      <c r="F240" s="84">
        <f>SUMIF(管道站场阀室关系!B:B,支线管道!C240,管道站场阀室关系!H:H)</f>
        <v>222.66</v>
      </c>
      <c r="G240" s="225" t="s">
        <v>805</v>
      </c>
      <c r="H240" s="225" t="s">
        <v>802</v>
      </c>
      <c r="I240" s="225">
        <v>10</v>
      </c>
      <c r="J240" s="101">
        <v>103</v>
      </c>
      <c r="K240" s="118"/>
      <c r="L240" s="118">
        <f>SUMIF(管道站场阀室关系!B:B,支线管道!C240,管道站场阀室关系!J:J)</f>
        <v>119210.276817578</v>
      </c>
      <c r="M240" s="225">
        <v>201912</v>
      </c>
      <c r="N240" s="101" t="s">
        <v>353</v>
      </c>
      <c r="O240" s="228"/>
    </row>
    <row r="241" s="211" customFormat="1" spans="1:15">
      <c r="A241" s="161">
        <v>240</v>
      </c>
      <c r="B241" s="122" t="s">
        <v>74</v>
      </c>
      <c r="C241" s="166" t="s">
        <v>806</v>
      </c>
      <c r="D241" s="161" t="s">
        <v>801</v>
      </c>
      <c r="E241" s="101" t="s">
        <v>807</v>
      </c>
      <c r="F241" s="84">
        <f>SUMIF(管道站场阀室关系!B:B,支线管道!C241,管道站场阀室关系!H:H)</f>
        <v>266.336</v>
      </c>
      <c r="G241" s="225">
        <v>813</v>
      </c>
      <c r="H241" s="131" t="s">
        <v>808</v>
      </c>
      <c r="I241" s="225">
        <v>10</v>
      </c>
      <c r="J241" s="101">
        <v>103</v>
      </c>
      <c r="K241" s="118"/>
      <c r="L241" s="118">
        <f>SUMIF(管道站场阀室关系!B:B,支线管道!C241,管道站场阀室关系!J:J)</f>
        <v>128233.11462195</v>
      </c>
      <c r="M241" s="225">
        <v>201612</v>
      </c>
      <c r="N241" s="101" t="s">
        <v>353</v>
      </c>
      <c r="O241" s="228"/>
    </row>
    <row r="242" s="211" customFormat="1" ht="30" spans="1:15">
      <c r="A242" s="161">
        <v>241</v>
      </c>
      <c r="B242" s="122" t="s">
        <v>75</v>
      </c>
      <c r="C242" s="161" t="s">
        <v>809</v>
      </c>
      <c r="D242" s="161" t="s">
        <v>800</v>
      </c>
      <c r="E242" s="101" t="s">
        <v>810</v>
      </c>
      <c r="F242" s="84">
        <f>SUMIF(管道站场阀室关系!B:B,支线管道!C242,管道站场阀室关系!H:H)</f>
        <v>0</v>
      </c>
      <c r="G242" s="225" t="s">
        <v>147</v>
      </c>
      <c r="H242" s="131" t="s">
        <v>147</v>
      </c>
      <c r="I242" s="225" t="s">
        <v>147</v>
      </c>
      <c r="J242" s="101" t="s">
        <v>147</v>
      </c>
      <c r="K242" s="118"/>
      <c r="L242" s="118"/>
      <c r="M242" s="225"/>
      <c r="N242" s="101" t="s">
        <v>353</v>
      </c>
      <c r="O242" s="228"/>
    </row>
    <row r="243" s="211" customFormat="1" ht="30" spans="1:15">
      <c r="A243" s="161">
        <v>242</v>
      </c>
      <c r="B243" s="122" t="s">
        <v>75</v>
      </c>
      <c r="C243" s="161" t="s">
        <v>811</v>
      </c>
      <c r="D243" s="101" t="s">
        <v>810</v>
      </c>
      <c r="E243" s="101" t="s">
        <v>812</v>
      </c>
      <c r="F243" s="84">
        <f>SUMIF(管道站场阀室关系!B:B,支线管道!C243,管道站场阀室关系!H:H)</f>
        <v>76.129</v>
      </c>
      <c r="G243" s="225" t="s">
        <v>813</v>
      </c>
      <c r="H243" s="131" t="s">
        <v>147</v>
      </c>
      <c r="I243" s="225">
        <v>10</v>
      </c>
      <c r="J243" s="101">
        <v>110</v>
      </c>
      <c r="K243" s="118"/>
      <c r="L243" s="118">
        <f>SUMIF(管道站场阀室关系!B:B,支线管道!C243,管道站场阀室关系!J:J)</f>
        <v>64155</v>
      </c>
      <c r="M243" s="225">
        <v>20250715</v>
      </c>
      <c r="N243" s="101" t="s">
        <v>353</v>
      </c>
      <c r="O243" s="228"/>
    </row>
    <row r="244" s="211" customFormat="1" spans="1:15">
      <c r="A244" s="161">
        <v>243</v>
      </c>
      <c r="B244" s="122" t="s">
        <v>78</v>
      </c>
      <c r="C244" s="166" t="s">
        <v>814</v>
      </c>
      <c r="D244" s="161" t="s">
        <v>815</v>
      </c>
      <c r="E244" s="101" t="s">
        <v>816</v>
      </c>
      <c r="F244" s="233">
        <f>SUMIF(管道站场阀室关系!B:B,支线管道!C244,管道站场阀室关系!H:H)</f>
        <v>499.2936</v>
      </c>
      <c r="G244" s="224">
        <v>813</v>
      </c>
      <c r="H244" s="225">
        <v>14.2</v>
      </c>
      <c r="I244" s="225">
        <v>10</v>
      </c>
      <c r="J244" s="225"/>
      <c r="K244" s="161">
        <v>3029</v>
      </c>
      <c r="L244" s="118">
        <f>SUMIF(管道站场阀室关系!B:B,支线管道!C244,管道站场阀室关系!J:J)</f>
        <v>252736</v>
      </c>
      <c r="M244" s="225">
        <v>201809</v>
      </c>
      <c r="N244" s="101" t="s">
        <v>209</v>
      </c>
      <c r="O244" s="228"/>
    </row>
    <row r="245" s="211" customFormat="1" spans="1:15">
      <c r="A245" s="161">
        <v>244</v>
      </c>
      <c r="B245" s="122" t="s">
        <v>78</v>
      </c>
      <c r="C245" s="166" t="s">
        <v>817</v>
      </c>
      <c r="D245" s="161" t="s">
        <v>816</v>
      </c>
      <c r="E245" s="101" t="s">
        <v>818</v>
      </c>
      <c r="F245" s="233">
        <f>SUMIF(管道站场阀室关系!B:B,支线管道!C245,管道站场阀室关系!H:H)</f>
        <v>29.4</v>
      </c>
      <c r="G245" s="224">
        <v>610</v>
      </c>
      <c r="H245" s="225">
        <v>14.2</v>
      </c>
      <c r="I245" s="225">
        <v>10</v>
      </c>
      <c r="J245" s="225">
        <v>5</v>
      </c>
      <c r="K245" s="161"/>
      <c r="L245" s="118">
        <f>SUMIF(管道站场阀室关系!B:B,支线管道!C245,管道站场阀室关系!J:J)</f>
        <v>7807</v>
      </c>
      <c r="M245" s="225">
        <v>201811</v>
      </c>
      <c r="N245" s="101" t="s">
        <v>209</v>
      </c>
      <c r="O245" s="228"/>
    </row>
    <row r="246" s="211" customFormat="1" ht="28" spans="1:15">
      <c r="A246" s="161">
        <v>245</v>
      </c>
      <c r="B246" s="122" t="s">
        <v>78</v>
      </c>
      <c r="C246" s="166" t="s">
        <v>819</v>
      </c>
      <c r="D246" s="225" t="s">
        <v>820</v>
      </c>
      <c r="E246" s="225" t="s">
        <v>821</v>
      </c>
      <c r="F246" s="233">
        <f>SUMIF(管道站场阀室关系!B:B,支线管道!C246,管道站场阀室关系!H:H)</f>
        <v>204.6547</v>
      </c>
      <c r="G246" s="224">
        <v>559</v>
      </c>
      <c r="H246" s="225">
        <v>11</v>
      </c>
      <c r="I246" s="225">
        <v>10</v>
      </c>
      <c r="J246" s="225">
        <v>33</v>
      </c>
      <c r="K246" s="161"/>
      <c r="L246" s="118">
        <f>SUMIF(管道站场阀室关系!B:B,支线管道!C246,管道站场阀室关系!J:J)</f>
        <v>46094</v>
      </c>
      <c r="M246" s="225" t="s">
        <v>822</v>
      </c>
      <c r="N246" s="101" t="s">
        <v>209</v>
      </c>
      <c r="O246" s="228"/>
    </row>
    <row r="247" s="211" customFormat="1" spans="1:15">
      <c r="A247" s="161">
        <v>246</v>
      </c>
      <c r="B247" s="122" t="s">
        <v>78</v>
      </c>
      <c r="C247" s="219" t="s">
        <v>823</v>
      </c>
      <c r="D247" s="225" t="s">
        <v>816</v>
      </c>
      <c r="E247" s="225" t="s">
        <v>646</v>
      </c>
      <c r="F247" s="233">
        <f>SUMIF(管道站场阀室关系!B:B,支线管道!C247,管道站场阀室关系!H:H)</f>
        <v>153.7</v>
      </c>
      <c r="G247" s="224">
        <v>813</v>
      </c>
      <c r="H247" s="225"/>
      <c r="I247" s="225">
        <v>10</v>
      </c>
      <c r="J247" s="225">
        <v>25</v>
      </c>
      <c r="K247" s="161"/>
      <c r="L247" s="118">
        <f>SUMIF(管道站场阀室关系!B:B,支线管道!C247,管道站场阀室关系!J:J)</f>
        <v>74181</v>
      </c>
      <c r="M247" s="225">
        <v>20230929</v>
      </c>
      <c r="N247" s="101" t="s">
        <v>209</v>
      </c>
      <c r="O247" s="228"/>
    </row>
    <row r="248" s="211" customFormat="1" spans="1:15">
      <c r="A248" s="161">
        <v>247</v>
      </c>
      <c r="B248" s="122" t="s">
        <v>82</v>
      </c>
      <c r="C248" s="166" t="s">
        <v>824</v>
      </c>
      <c r="D248" s="225" t="s">
        <v>720</v>
      </c>
      <c r="E248" s="225" t="s">
        <v>825</v>
      </c>
      <c r="F248" s="85">
        <f>SUMIF(管道站场阀室关系!B:B,支线管道!C248,管道站场阀室关系!H:H)</f>
        <v>3.41</v>
      </c>
      <c r="G248" s="224"/>
      <c r="H248" s="225"/>
      <c r="I248" s="225"/>
      <c r="J248" s="225"/>
      <c r="K248" s="161"/>
      <c r="L248" s="118">
        <f>SUMIF(管道站场阀室关系!B:B,支线管道!C248,管道站场阀室关系!J:J)</f>
        <v>1320.16</v>
      </c>
      <c r="M248" s="225">
        <v>202010</v>
      </c>
      <c r="N248" s="101" t="s">
        <v>206</v>
      </c>
      <c r="O248" s="228"/>
    </row>
    <row r="249" s="211" customFormat="1" ht="28" spans="1:15">
      <c r="A249" s="161">
        <v>248</v>
      </c>
      <c r="B249" s="122" t="s">
        <v>82</v>
      </c>
      <c r="C249" s="166" t="s">
        <v>826</v>
      </c>
      <c r="D249" s="225" t="s">
        <v>825</v>
      </c>
      <c r="E249" s="225" t="s">
        <v>827</v>
      </c>
      <c r="F249" s="85">
        <f>SUMIF(管道站场阀室关系!B:B,支线管道!C249,管道站场阀室关系!H:H)</f>
        <v>817.928</v>
      </c>
      <c r="G249" s="224">
        <v>1016</v>
      </c>
      <c r="H249" s="225"/>
      <c r="I249" s="225">
        <v>10</v>
      </c>
      <c r="J249" s="225">
        <v>60</v>
      </c>
      <c r="K249" s="161"/>
      <c r="L249" s="118">
        <f>SUMIF(管道站场阀室关系!B:B,支线管道!C249,管道站场阀室关系!J:J)</f>
        <v>624501</v>
      </c>
      <c r="M249" s="225" t="s">
        <v>828</v>
      </c>
      <c r="N249" s="101" t="s">
        <v>206</v>
      </c>
      <c r="O249" s="228"/>
    </row>
    <row r="250" s="211" customFormat="1" spans="1:15">
      <c r="A250" s="161">
        <v>249</v>
      </c>
      <c r="B250" s="122" t="s">
        <v>82</v>
      </c>
      <c r="C250" s="166" t="s">
        <v>829</v>
      </c>
      <c r="D250" s="225" t="s">
        <v>827</v>
      </c>
      <c r="E250" s="225" t="s">
        <v>830</v>
      </c>
      <c r="F250" s="85">
        <f>SUMIF(管道站场阀室关系!B:B,支线管道!C250,管道站场阀室关系!H:H)</f>
        <v>66.758</v>
      </c>
      <c r="G250" s="224">
        <v>1016</v>
      </c>
      <c r="H250" s="225"/>
      <c r="I250" s="225">
        <v>10</v>
      </c>
      <c r="J250" s="225">
        <v>60</v>
      </c>
      <c r="K250" s="161"/>
      <c r="L250" s="118">
        <f>SUMIF(管道站场阀室关系!B:B,支线管道!C250,管道站场阀室关系!J:J)</f>
        <v>49530.085725582</v>
      </c>
      <c r="M250" s="225">
        <v>20211108</v>
      </c>
      <c r="N250" s="101" t="s">
        <v>206</v>
      </c>
      <c r="O250" s="228"/>
    </row>
    <row r="251" s="211" customFormat="1" spans="1:15">
      <c r="A251" s="161">
        <v>250</v>
      </c>
      <c r="B251" s="122" t="s">
        <v>82</v>
      </c>
      <c r="C251" s="219" t="s">
        <v>831</v>
      </c>
      <c r="D251" s="225" t="s">
        <v>832</v>
      </c>
      <c r="E251" s="225" t="s">
        <v>646</v>
      </c>
      <c r="F251" s="85">
        <f>SUMIF(管道站场阀室关系!B:B,支线管道!C251,管道站场阀室关系!H:H)</f>
        <v>440.4</v>
      </c>
      <c r="G251" s="224">
        <v>813</v>
      </c>
      <c r="H251" s="225"/>
      <c r="I251" s="225">
        <v>10</v>
      </c>
      <c r="J251" s="225">
        <v>25</v>
      </c>
      <c r="K251" s="161"/>
      <c r="L251" s="118">
        <f>SUMIF(管道站场阀室关系!B:B,支线管道!C251,管道站场阀室关系!J:J)</f>
        <v>212109.1</v>
      </c>
      <c r="M251" s="225">
        <v>20230904</v>
      </c>
      <c r="N251" s="101" t="s">
        <v>206</v>
      </c>
      <c r="O251" s="228"/>
    </row>
    <row r="252" s="211" customFormat="1" spans="1:15">
      <c r="A252" s="161">
        <v>251</v>
      </c>
      <c r="B252" s="122" t="s">
        <v>82</v>
      </c>
      <c r="C252" s="219" t="s">
        <v>833</v>
      </c>
      <c r="D252" s="225" t="s">
        <v>834</v>
      </c>
      <c r="E252" s="225" t="s">
        <v>324</v>
      </c>
      <c r="F252" s="85">
        <f>SUMIF(管道站场阀室关系!B:B,支线管道!C252,管道站场阀室关系!H:H)</f>
        <v>0.31</v>
      </c>
      <c r="G252" s="224"/>
      <c r="H252" s="225"/>
      <c r="I252" s="225"/>
      <c r="J252" s="225"/>
      <c r="K252" s="161"/>
      <c r="L252" s="118">
        <f>SUMIF(管道站场阀室关系!B:B,支线管道!C252,管道站场阀室关系!J:J)</f>
        <v>0</v>
      </c>
      <c r="M252" s="225"/>
      <c r="N252" s="101" t="s">
        <v>206</v>
      </c>
      <c r="O252" s="228"/>
    </row>
    <row r="253" s="211" customFormat="1" spans="1:15">
      <c r="A253" s="161">
        <v>252</v>
      </c>
      <c r="B253" s="122" t="s">
        <v>79</v>
      </c>
      <c r="C253" s="166" t="s">
        <v>835</v>
      </c>
      <c r="D253" s="161" t="s">
        <v>836</v>
      </c>
      <c r="E253" s="161" t="s">
        <v>837</v>
      </c>
      <c r="F253" s="87">
        <f>SUMIF(管道站场阀室关系!B:B,支线管道!C253,管道站场阀室关系!H:H)</f>
        <v>122.206</v>
      </c>
      <c r="G253" s="161">
        <v>323</v>
      </c>
      <c r="H253" s="161" t="s">
        <v>838</v>
      </c>
      <c r="I253" s="161">
        <v>6.4</v>
      </c>
      <c r="J253" s="161">
        <v>7</v>
      </c>
      <c r="K253" s="161"/>
      <c r="L253" s="118">
        <f>SUMIF(管道站场阀室关系!B:B,支线管道!C253,管道站场阀室关系!J:J)</f>
        <v>9091.65186226404</v>
      </c>
      <c r="M253" s="161">
        <v>19960401</v>
      </c>
      <c r="N253" s="101" t="s">
        <v>209</v>
      </c>
      <c r="O253" s="228"/>
    </row>
    <row r="254" s="211" customFormat="1" ht="30" spans="1:15">
      <c r="A254" s="161">
        <v>253</v>
      </c>
      <c r="B254" s="122" t="s">
        <v>79</v>
      </c>
      <c r="C254" s="166" t="s">
        <v>839</v>
      </c>
      <c r="D254" s="161" t="s">
        <v>840</v>
      </c>
      <c r="E254" s="161" t="s">
        <v>841</v>
      </c>
      <c r="F254" s="87">
        <f>SUMIF(管道站场阀室关系!B:B,支线管道!C254,管道站场阀室关系!H:H)</f>
        <v>133.893</v>
      </c>
      <c r="G254" s="161">
        <v>508</v>
      </c>
      <c r="H254" s="161" t="s">
        <v>842</v>
      </c>
      <c r="I254" s="161" t="s">
        <v>843</v>
      </c>
      <c r="J254" s="161">
        <v>12</v>
      </c>
      <c r="K254" s="161"/>
      <c r="L254" s="118">
        <f>SUMIF(管道站场阀室关系!B:B,支线管道!C254,管道站场阀室关系!J:J)</f>
        <v>25662.6589105787</v>
      </c>
      <c r="M254" s="161">
        <v>20030830</v>
      </c>
      <c r="N254" s="101" t="s">
        <v>209</v>
      </c>
      <c r="O254" s="228"/>
    </row>
    <row r="255" s="211" customFormat="1" spans="1:15">
      <c r="A255" s="161">
        <v>255</v>
      </c>
      <c r="B255" s="122" t="s">
        <v>79</v>
      </c>
      <c r="C255" s="101" t="s">
        <v>844</v>
      </c>
      <c r="D255" s="161" t="s">
        <v>837</v>
      </c>
      <c r="E255" s="161" t="s">
        <v>845</v>
      </c>
      <c r="F255" s="87">
        <f>SUMIF(管道站场阀室关系!B:B,支线管道!C255,管道站场阀室关系!H:H)</f>
        <v>0.78</v>
      </c>
      <c r="G255" s="161">
        <v>323</v>
      </c>
      <c r="H255" s="161">
        <v>8</v>
      </c>
      <c r="I255" s="161">
        <v>6.6</v>
      </c>
      <c r="J255" s="161">
        <v>5</v>
      </c>
      <c r="K255" s="161"/>
      <c r="L255" s="118">
        <f>SUMIF(管道站场阀室关系!B:B,支线管道!C255,管道站场阀室关系!J:J)</f>
        <v>0</v>
      </c>
      <c r="M255" s="161">
        <v>201401</v>
      </c>
      <c r="N255" s="101" t="s">
        <v>209</v>
      </c>
      <c r="O255" s="228"/>
    </row>
    <row r="256" s="211" customFormat="1" spans="1:15">
      <c r="A256" s="161">
        <v>254</v>
      </c>
      <c r="B256" s="122" t="s">
        <v>79</v>
      </c>
      <c r="C256" s="166" t="s">
        <v>846</v>
      </c>
      <c r="D256" s="161" t="s">
        <v>841</v>
      </c>
      <c r="E256" s="161" t="s">
        <v>847</v>
      </c>
      <c r="F256" s="87">
        <f>SUMIF(管道站场阀室关系!B:B,支线管道!C256,管道站场阀室关系!H:H)</f>
        <v>90.999</v>
      </c>
      <c r="G256" s="161">
        <v>323</v>
      </c>
      <c r="H256" s="161" t="s">
        <v>838</v>
      </c>
      <c r="I256" s="161">
        <v>5.9</v>
      </c>
      <c r="J256" s="161">
        <v>4</v>
      </c>
      <c r="K256" s="161"/>
      <c r="L256" s="118">
        <f>SUMIF(管道站场阀室关系!B:B,支线管道!C256,管道站场阀室关系!J:J)</f>
        <v>6901.29847547851</v>
      </c>
      <c r="M256" s="161">
        <v>20030830</v>
      </c>
      <c r="N256" s="101" t="s">
        <v>209</v>
      </c>
      <c r="O256" s="228"/>
    </row>
    <row r="257" s="211" customFormat="1" spans="1:15">
      <c r="A257" s="161">
        <v>256</v>
      </c>
      <c r="B257" s="122" t="s">
        <v>79</v>
      </c>
      <c r="C257" s="166" t="s">
        <v>848</v>
      </c>
      <c r="D257" s="161" t="s">
        <v>849</v>
      </c>
      <c r="E257" s="161" t="s">
        <v>850</v>
      </c>
      <c r="F257" s="87">
        <f>SUMIF(管道站场阀室关系!B:B,支线管道!C257,管道站场阀室关系!H:H)</f>
        <v>4.943</v>
      </c>
      <c r="G257" s="161">
        <v>159</v>
      </c>
      <c r="H257" s="161">
        <v>6</v>
      </c>
      <c r="I257" s="161">
        <v>6.6</v>
      </c>
      <c r="J257" s="161">
        <v>0.1918</v>
      </c>
      <c r="K257" s="161"/>
      <c r="L257" s="118">
        <f>SUMIF(管道站场阀室关系!B:B,支线管道!C257,管道站场阀室关系!J:J)</f>
        <v>82.7029426123422</v>
      </c>
      <c r="M257" s="161">
        <v>20080306</v>
      </c>
      <c r="N257" s="101" t="s">
        <v>209</v>
      </c>
      <c r="O257" s="228"/>
    </row>
    <row r="258" s="211" customFormat="1" spans="1:15">
      <c r="A258" s="161">
        <v>257</v>
      </c>
      <c r="B258" s="122" t="s">
        <v>79</v>
      </c>
      <c r="C258" s="166" t="s">
        <v>851</v>
      </c>
      <c r="D258" s="161" t="s">
        <v>847</v>
      </c>
      <c r="E258" s="161" t="s">
        <v>852</v>
      </c>
      <c r="F258" s="87">
        <f>SUMIF(管道站场阀室关系!B:B,支线管道!C258,管道站场阀室关系!H:H)</f>
        <v>90.835</v>
      </c>
      <c r="G258" s="161">
        <v>508</v>
      </c>
      <c r="H258" s="161"/>
      <c r="I258" s="161">
        <v>7</v>
      </c>
      <c r="J258" s="161">
        <v>8</v>
      </c>
      <c r="K258" s="161"/>
      <c r="L258" s="118">
        <f>SUMIF(管道站场阀室关系!B:B,支线管道!C258,管道站场阀室关系!J:J)</f>
        <v>16241.5365510037</v>
      </c>
      <c r="M258" s="161">
        <v>2010</v>
      </c>
      <c r="N258" s="101" t="s">
        <v>209</v>
      </c>
      <c r="O258" s="228"/>
    </row>
    <row r="259" s="211" customFormat="1" spans="1:15">
      <c r="A259" s="161">
        <v>260</v>
      </c>
      <c r="B259" s="122" t="s">
        <v>79</v>
      </c>
      <c r="C259" s="166" t="s">
        <v>853</v>
      </c>
      <c r="D259" s="161" t="s">
        <v>852</v>
      </c>
      <c r="E259" s="161" t="s">
        <v>854</v>
      </c>
      <c r="F259" s="87">
        <f>SUMIF(管道站场阀室关系!B:B,支线管道!C259,管道站场阀室关系!H:H)</f>
        <v>28.498</v>
      </c>
      <c r="G259" s="161">
        <v>610</v>
      </c>
      <c r="H259" s="161" t="s">
        <v>855</v>
      </c>
      <c r="I259" s="161">
        <v>7</v>
      </c>
      <c r="J259" s="161">
        <v>9.35</v>
      </c>
      <c r="K259" s="161"/>
      <c r="L259" s="118">
        <f>SUMIF(管道站场阀室关系!B:B,支线管道!C259,管道站场阀室关系!J:J)</f>
        <v>7790.72378093863</v>
      </c>
      <c r="M259" s="161">
        <v>20191210</v>
      </c>
      <c r="N259" s="101" t="s">
        <v>209</v>
      </c>
      <c r="O259" s="228"/>
    </row>
    <row r="260" s="211" customFormat="1" spans="1:15">
      <c r="A260" s="161">
        <v>258</v>
      </c>
      <c r="B260" s="122" t="s">
        <v>79</v>
      </c>
      <c r="C260" s="166" t="s">
        <v>856</v>
      </c>
      <c r="D260" s="161" t="s">
        <v>852</v>
      </c>
      <c r="E260" s="161" t="s">
        <v>857</v>
      </c>
      <c r="F260" s="87">
        <f>SUMIF(管道站场阀室关系!B:B,支线管道!C260,管道站场阀室关系!H:H)</f>
        <v>268.548</v>
      </c>
      <c r="G260" s="161">
        <v>610</v>
      </c>
      <c r="H260" s="161"/>
      <c r="I260" s="161">
        <v>7</v>
      </c>
      <c r="J260" s="161">
        <v>14.92</v>
      </c>
      <c r="K260" s="161"/>
      <c r="L260" s="118">
        <f>SUMIF(管道站场阀室关系!B:B,支线管道!C260,管道站场阀室关系!J:J)</f>
        <v>73551</v>
      </c>
      <c r="M260" s="161">
        <v>20210716</v>
      </c>
      <c r="N260" s="101" t="s">
        <v>209</v>
      </c>
      <c r="O260" s="228"/>
    </row>
    <row r="261" s="211" customFormat="1" spans="1:15">
      <c r="A261" s="161">
        <v>259</v>
      </c>
      <c r="B261" s="122" t="s">
        <v>79</v>
      </c>
      <c r="C261" s="166" t="s">
        <v>858</v>
      </c>
      <c r="D261" s="161" t="s">
        <v>859</v>
      </c>
      <c r="E261" s="161" t="s">
        <v>860</v>
      </c>
      <c r="F261" s="87">
        <f>SUMIF(管道站场阀室关系!B:B,支线管道!C261,管道站场阀室关系!H:H)</f>
        <v>18.7</v>
      </c>
      <c r="G261" s="161">
        <v>159</v>
      </c>
      <c r="H261" s="161"/>
      <c r="I261" s="161">
        <v>1.6</v>
      </c>
      <c r="J261" s="161"/>
      <c r="K261" s="161"/>
      <c r="L261" s="118">
        <f>SUMIF(管道站场阀室关系!B:B,支线管道!C261,管道站场阀室关系!J:J)</f>
        <v>300.333351709971</v>
      </c>
      <c r="M261" s="161"/>
      <c r="N261" s="101" t="s">
        <v>209</v>
      </c>
      <c r="O261" s="228"/>
    </row>
    <row r="262" s="211" customFormat="1" spans="1:15">
      <c r="A262" s="161">
        <v>261</v>
      </c>
      <c r="B262" s="122" t="s">
        <v>79</v>
      </c>
      <c r="C262" s="166" t="s">
        <v>861</v>
      </c>
      <c r="D262" s="161" t="s">
        <v>862</v>
      </c>
      <c r="E262" s="161" t="s">
        <v>863</v>
      </c>
      <c r="F262" s="87">
        <f>SUMIF(管道站场阀室关系!B:B,支线管道!C262,管道站场阀室关系!H:H)</f>
        <v>22.434</v>
      </c>
      <c r="G262" s="161">
        <v>1016</v>
      </c>
      <c r="H262" s="161">
        <v>22.2</v>
      </c>
      <c r="I262" s="161">
        <v>10</v>
      </c>
      <c r="J262" s="161">
        <v>138.3</v>
      </c>
      <c r="K262" s="161"/>
      <c r="L262" s="118">
        <f>SUMIF(管道站场阀室关系!B:B,支线管道!C262,管道站场阀室关系!J:J)</f>
        <v>16991.024748999</v>
      </c>
      <c r="M262" s="161">
        <v>201608</v>
      </c>
      <c r="N262" s="101" t="s">
        <v>209</v>
      </c>
      <c r="O262" s="228"/>
    </row>
    <row r="263" s="211" customFormat="1" spans="1:15">
      <c r="A263" s="161">
        <v>262</v>
      </c>
      <c r="B263" s="122" t="s">
        <v>79</v>
      </c>
      <c r="C263" s="166" t="s">
        <v>864</v>
      </c>
      <c r="D263" s="161" t="s">
        <v>863</v>
      </c>
      <c r="E263" s="161" t="s">
        <v>847</v>
      </c>
      <c r="F263" s="87">
        <f>SUMIF(管道站场阀室关系!B:B,支线管道!C263,管道站场阀室关系!H:H)</f>
        <v>83.436</v>
      </c>
      <c r="G263" s="161">
        <v>610</v>
      </c>
      <c r="H263" s="161">
        <v>8.8</v>
      </c>
      <c r="I263" s="161">
        <v>7</v>
      </c>
      <c r="J263" s="161">
        <v>17.27</v>
      </c>
      <c r="K263" s="161"/>
      <c r="L263" s="118"/>
      <c r="M263" s="161">
        <v>201608</v>
      </c>
      <c r="N263" s="101" t="s">
        <v>209</v>
      </c>
      <c r="O263" s="228"/>
    </row>
    <row r="264" s="211" customFormat="1" spans="1:15">
      <c r="A264" s="161">
        <v>263</v>
      </c>
      <c r="B264" s="122" t="s">
        <v>79</v>
      </c>
      <c r="C264" s="166" t="s">
        <v>865</v>
      </c>
      <c r="D264" s="161" t="s">
        <v>847</v>
      </c>
      <c r="E264" s="161" t="s">
        <v>866</v>
      </c>
      <c r="F264" s="87">
        <f>SUMIF(管道站场阀室关系!B:B,支线管道!C264,管道站场阀室关系!H:H)</f>
        <v>11.991</v>
      </c>
      <c r="G264" s="161">
        <v>610</v>
      </c>
      <c r="H264" s="161"/>
      <c r="I264" s="161">
        <v>7</v>
      </c>
      <c r="J264" s="161">
        <v>8.4</v>
      </c>
      <c r="K264" s="161"/>
      <c r="L264" s="118">
        <f>SUMIF(管道站场阀室关系!B:B,支线管道!C264,管道站场阀室关系!J:J)</f>
        <v>3322.63</v>
      </c>
      <c r="M264" s="161">
        <v>20220819</v>
      </c>
      <c r="N264" s="101" t="s">
        <v>209</v>
      </c>
      <c r="O264" s="228"/>
    </row>
    <row r="265" s="211" customFormat="1" spans="1:15">
      <c r="A265" s="161">
        <v>264</v>
      </c>
      <c r="B265" s="122" t="s">
        <v>79</v>
      </c>
      <c r="C265" s="219" t="s">
        <v>867</v>
      </c>
      <c r="D265" s="161" t="s">
        <v>841</v>
      </c>
      <c r="E265" s="161" t="s">
        <v>868</v>
      </c>
      <c r="F265" s="87">
        <f>SUMIF(管道站场阀室关系!B:B,支线管道!C265,管道站场阀室关系!H:H)</f>
        <v>7.073</v>
      </c>
      <c r="G265" s="161">
        <v>610</v>
      </c>
      <c r="H265" s="161"/>
      <c r="I265" s="161">
        <v>7</v>
      </c>
      <c r="J265" s="161">
        <v>30</v>
      </c>
      <c r="K265" s="161"/>
      <c r="L265" s="118">
        <f>SUMIF(管道站场阀室关系!B:B,支线管道!C265,管道站场阀室关系!J:J)</f>
        <v>1960.05</v>
      </c>
      <c r="M265" s="161">
        <v>20221003</v>
      </c>
      <c r="N265" s="101" t="s">
        <v>209</v>
      </c>
      <c r="O265" s="228"/>
    </row>
    <row r="266" s="211" customFormat="1" spans="1:15">
      <c r="A266" s="161">
        <v>265</v>
      </c>
      <c r="B266" s="122" t="s">
        <v>79</v>
      </c>
      <c r="C266" s="219" t="s">
        <v>869</v>
      </c>
      <c r="D266" s="161" t="s">
        <v>870</v>
      </c>
      <c r="E266" s="161" t="s">
        <v>871</v>
      </c>
      <c r="F266" s="87">
        <f>SUMIF(管道站场阀室关系!B:B,支线管道!C266,管道站场阀室关系!H:H)</f>
        <v>2.793</v>
      </c>
      <c r="G266" s="161"/>
      <c r="H266" s="161"/>
      <c r="I266" s="161"/>
      <c r="J266" s="161"/>
      <c r="K266" s="161"/>
      <c r="L266" s="118">
        <f>SUMIF(管道站场阀室关系!B:B,支线管道!C266,管道站场阀室关系!J:J)</f>
        <v>0</v>
      </c>
      <c r="M266" s="161"/>
      <c r="N266" s="101"/>
      <c r="O266" s="228"/>
    </row>
    <row r="267" s="211" customFormat="1" ht="30" spans="1:15">
      <c r="A267" s="161">
        <v>266</v>
      </c>
      <c r="B267" s="122" t="s">
        <v>81</v>
      </c>
      <c r="C267" s="101" t="s">
        <v>872</v>
      </c>
      <c r="D267" s="161" t="s">
        <v>873</v>
      </c>
      <c r="E267" s="161" t="s">
        <v>874</v>
      </c>
      <c r="F267" s="84">
        <f>SUMIF(管道站场阀室关系!B:B,支线管道!C267,管道站场阀室关系!H:H)</f>
        <v>238.6</v>
      </c>
      <c r="G267" s="161">
        <v>1016</v>
      </c>
      <c r="H267" s="161"/>
      <c r="I267" s="161">
        <v>10</v>
      </c>
      <c r="J267" s="161">
        <v>130.29</v>
      </c>
      <c r="K267" s="161"/>
      <c r="L267" s="118">
        <f>SUMIF(管道站场阀室关系!B:B,支线管道!C267,管道站场阀室关系!J:J)</f>
        <v>180263</v>
      </c>
      <c r="M267" s="161" t="s">
        <v>875</v>
      </c>
      <c r="N267" s="101" t="s">
        <v>353</v>
      </c>
      <c r="O267" s="228"/>
    </row>
    <row r="268" s="211" customFormat="1" spans="1:15">
      <c r="A268" s="161">
        <v>267</v>
      </c>
      <c r="B268" s="122" t="s">
        <v>81</v>
      </c>
      <c r="C268" s="101" t="s">
        <v>876</v>
      </c>
      <c r="D268" s="161" t="s">
        <v>877</v>
      </c>
      <c r="E268" s="161" t="s">
        <v>878</v>
      </c>
      <c r="F268" s="84">
        <f>SUMIF(管道站场阀室关系!B:B,支线管道!C268,管道站场阀室关系!H:H)</f>
        <v>87.5</v>
      </c>
      <c r="G268" s="161">
        <v>1016</v>
      </c>
      <c r="H268" s="161"/>
      <c r="I268" s="161">
        <v>10</v>
      </c>
      <c r="J268" s="240">
        <v>155.32</v>
      </c>
      <c r="K268" s="161"/>
      <c r="L268" s="118">
        <f>SUMIF(管道站场阀室关系!B:B,支线管道!C268,管道站场阀室关系!J:J)</f>
        <v>64271</v>
      </c>
      <c r="M268" s="161">
        <v>20231114</v>
      </c>
      <c r="N268" s="101" t="s">
        <v>353</v>
      </c>
      <c r="O268" s="228"/>
    </row>
    <row r="269" s="211" customFormat="1" spans="1:15">
      <c r="A269" s="161">
        <v>268</v>
      </c>
      <c r="B269" s="122" t="s">
        <v>81</v>
      </c>
      <c r="C269" s="101" t="s">
        <v>879</v>
      </c>
      <c r="D269" s="161" t="s">
        <v>880</v>
      </c>
      <c r="E269" s="161" t="s">
        <v>881</v>
      </c>
      <c r="F269" s="84">
        <f>SUMIF(管道站场阀室关系!B:B,支线管道!C269,管道站场阀室关系!H:H)</f>
        <v>30.5</v>
      </c>
      <c r="G269" s="161">
        <v>914</v>
      </c>
      <c r="H269" s="161"/>
      <c r="I269" s="161">
        <v>10</v>
      </c>
      <c r="J269" s="240">
        <v>34.97</v>
      </c>
      <c r="K269" s="161"/>
      <c r="L269" s="118">
        <f>SUMIF(管道站场阀室关系!B:B,支线管道!C269,管道站场阀室关系!J:J)</f>
        <v>44654</v>
      </c>
      <c r="M269" s="161">
        <v>20231114</v>
      </c>
      <c r="N269" s="101" t="s">
        <v>353</v>
      </c>
      <c r="O269" s="228"/>
    </row>
    <row r="270" s="211" customFormat="1" spans="1:15">
      <c r="A270" s="161">
        <v>269</v>
      </c>
      <c r="B270" s="122" t="s">
        <v>81</v>
      </c>
      <c r="C270" s="101" t="s">
        <v>882</v>
      </c>
      <c r="D270" s="161" t="s">
        <v>883</v>
      </c>
      <c r="E270" s="161" t="s">
        <v>884</v>
      </c>
      <c r="F270" s="84">
        <f>SUMIF(管道站场阀室关系!B:B,支线管道!C270,管道站场阀室关系!H:H)</f>
        <v>0.8</v>
      </c>
      <c r="G270" s="161">
        <v>914</v>
      </c>
      <c r="H270" s="161"/>
      <c r="I270" s="161">
        <v>12</v>
      </c>
      <c r="J270" s="240">
        <v>69.35</v>
      </c>
      <c r="K270" s="161"/>
      <c r="L270" s="118">
        <f>SUMIF(管道站场阀室关系!B:B,支线管道!C270,管道站场阀室关系!J:J)</f>
        <v>472</v>
      </c>
      <c r="M270" s="161">
        <v>20231114</v>
      </c>
      <c r="N270" s="101" t="s">
        <v>353</v>
      </c>
      <c r="O270" s="228"/>
    </row>
    <row r="271" s="211" customFormat="1" spans="1:15">
      <c r="A271" s="161">
        <v>270</v>
      </c>
      <c r="B271" s="122" t="s">
        <v>81</v>
      </c>
      <c r="C271" s="101" t="s">
        <v>885</v>
      </c>
      <c r="D271" s="161" t="s">
        <v>800</v>
      </c>
      <c r="E271" s="161" t="s">
        <v>886</v>
      </c>
      <c r="F271" s="84">
        <f>SUMIF(管道站场阀室关系!B:B,支线管道!C271,管道站场阀室关系!H:H)</f>
        <v>17.2</v>
      </c>
      <c r="G271" s="161">
        <v>1016</v>
      </c>
      <c r="H271" s="161"/>
      <c r="I271" s="161">
        <v>7.5</v>
      </c>
      <c r="J271" s="240">
        <v>136.6</v>
      </c>
      <c r="K271" s="161"/>
      <c r="L271" s="118">
        <f>SUMIF(管道站场阀室关系!B:B,支线管道!C271,管道站场阀室关系!J:J)</f>
        <v>13500</v>
      </c>
      <c r="M271" s="161">
        <v>20181115</v>
      </c>
      <c r="N271" s="101" t="s">
        <v>353</v>
      </c>
      <c r="O271" s="228"/>
    </row>
    <row r="272" s="211" customFormat="1" spans="1:15">
      <c r="A272" s="161">
        <v>271</v>
      </c>
      <c r="B272" s="122" t="s">
        <v>81</v>
      </c>
      <c r="C272" s="101" t="s">
        <v>887</v>
      </c>
      <c r="D272" s="161" t="s">
        <v>800</v>
      </c>
      <c r="E272" s="161" t="s">
        <v>886</v>
      </c>
      <c r="F272" s="84">
        <f>SUMIF(管道站场阀室关系!B:B,支线管道!C272,管道站场阀室关系!H:H)</f>
        <v>16.94</v>
      </c>
      <c r="G272" s="161">
        <v>1219</v>
      </c>
      <c r="H272" s="161"/>
      <c r="I272" s="161">
        <v>10</v>
      </c>
      <c r="J272" s="240">
        <v>300</v>
      </c>
      <c r="K272" s="161"/>
      <c r="L272" s="118">
        <f>SUMIF(管道站场阀室关系!B:B,支线管道!C272,管道站场阀室关系!J:J)</f>
        <v>19760</v>
      </c>
      <c r="M272" s="161">
        <v>20231114</v>
      </c>
      <c r="N272" s="101" t="s">
        <v>353</v>
      </c>
      <c r="O272" s="228"/>
    </row>
    <row r="273" s="211" customFormat="1" ht="30" spans="1:15">
      <c r="A273" s="161">
        <v>272</v>
      </c>
      <c r="B273" s="122" t="s">
        <v>83</v>
      </c>
      <c r="C273" s="101" t="s">
        <v>888</v>
      </c>
      <c r="D273" s="161" t="s">
        <v>889</v>
      </c>
      <c r="E273" s="161" t="s">
        <v>890</v>
      </c>
      <c r="F273" s="86">
        <f>SUMIF(管道站场阀室关系!B:B,支线管道!C273,管道站场阀室关系!H:H)</f>
        <v>494.88</v>
      </c>
      <c r="G273" s="161" t="s">
        <v>891</v>
      </c>
      <c r="H273" s="161"/>
      <c r="I273" s="161">
        <v>10</v>
      </c>
      <c r="J273" s="240"/>
      <c r="K273" s="161">
        <v>4940</v>
      </c>
      <c r="L273" s="118">
        <f>SUMIF(管道站场阀室关系!B:B,支线管道!C273,管道站场阀室关系!J:J)</f>
        <v>328397.513220336</v>
      </c>
      <c r="M273" s="161">
        <v>20221211</v>
      </c>
      <c r="N273" s="101" t="s">
        <v>117</v>
      </c>
      <c r="O273" s="241"/>
    </row>
    <row r="274" s="211" customFormat="1" spans="1:15">
      <c r="A274" s="161">
        <v>273</v>
      </c>
      <c r="B274" s="122" t="s">
        <v>83</v>
      </c>
      <c r="C274" s="219" t="s">
        <v>892</v>
      </c>
      <c r="D274" s="161" t="s">
        <v>893</v>
      </c>
      <c r="E274" s="161" t="s">
        <v>894</v>
      </c>
      <c r="F274" s="86">
        <f>SUMIF(管道站场阀室关系!B:B,支线管道!C274,管道站场阀室关系!H:H)</f>
        <v>19.25</v>
      </c>
      <c r="G274" s="161">
        <v>406.4</v>
      </c>
      <c r="H274" s="161"/>
      <c r="I274" s="161">
        <v>6.3</v>
      </c>
      <c r="J274" s="240"/>
      <c r="K274" s="161">
        <v>329</v>
      </c>
      <c r="L274" s="118">
        <f>SUMIF(管道站场阀室关系!B:B,支线管道!C274,管道站场阀室关系!J:J)</f>
        <v>2154.63992188032</v>
      </c>
      <c r="M274" s="161">
        <v>20221211</v>
      </c>
      <c r="N274" s="101" t="s">
        <v>117</v>
      </c>
      <c r="O274" s="241"/>
    </row>
    <row r="275" s="211" customFormat="1" spans="1:15">
      <c r="A275" s="161">
        <v>274</v>
      </c>
      <c r="B275" s="122" t="s">
        <v>83</v>
      </c>
      <c r="C275" s="219" t="s">
        <v>895</v>
      </c>
      <c r="D275" s="161" t="s">
        <v>894</v>
      </c>
      <c r="E275" s="161" t="s">
        <v>896</v>
      </c>
      <c r="F275" s="86">
        <f>SUMIF(管道站场阀室关系!B:B,支线管道!C275,管道站场阀室关系!H:H)</f>
        <v>2.6</v>
      </c>
      <c r="G275" s="161">
        <v>219.1</v>
      </c>
      <c r="H275" s="161"/>
      <c r="I275" s="161">
        <v>6.3</v>
      </c>
      <c r="J275" s="240">
        <v>3</v>
      </c>
      <c r="K275" s="161"/>
      <c r="L275" s="118">
        <f>SUMIF(管道站场阀室关系!B:B,支线管道!C275,管道站场阀室关系!J:J)</f>
        <v>0</v>
      </c>
      <c r="M275" s="161">
        <v>20221213</v>
      </c>
      <c r="N275" s="101" t="s">
        <v>117</v>
      </c>
      <c r="O275" s="241"/>
    </row>
    <row r="276" s="211" customFormat="1" spans="1:15">
      <c r="A276" s="161">
        <v>275</v>
      </c>
      <c r="B276" s="122" t="s">
        <v>84</v>
      </c>
      <c r="C276" s="219" t="s">
        <v>897</v>
      </c>
      <c r="D276" s="161" t="s">
        <v>328</v>
      </c>
      <c r="E276" s="161" t="s">
        <v>898</v>
      </c>
      <c r="F276" s="87">
        <f>SUMIF(管道站场阀室关系!B:B,支线管道!C276,管道站场阀室关系!H:H)</f>
        <v>82.55</v>
      </c>
      <c r="G276" s="161">
        <v>508</v>
      </c>
      <c r="H276" s="161"/>
      <c r="I276" s="161">
        <v>7.5</v>
      </c>
      <c r="J276" s="161">
        <v>10.7</v>
      </c>
      <c r="K276" s="228"/>
      <c r="L276" s="118">
        <f>SUMIF(管道站场阀室关系!B:B,支线管道!C276,管道站场阀室关系!J:J)</f>
        <v>18861.565</v>
      </c>
      <c r="M276" s="161">
        <v>20221223</v>
      </c>
      <c r="N276" s="101" t="s">
        <v>209</v>
      </c>
      <c r="O276" s="241"/>
    </row>
    <row r="277" s="211" customFormat="1" spans="1:15">
      <c r="A277" s="161">
        <v>276</v>
      </c>
      <c r="B277" s="122" t="s">
        <v>84</v>
      </c>
      <c r="C277" s="219" t="s">
        <v>899</v>
      </c>
      <c r="D277" s="161" t="s">
        <v>900</v>
      </c>
      <c r="E277" s="161" t="s">
        <v>901</v>
      </c>
      <c r="F277" s="87">
        <f>SUMIF(管道站场阀室关系!B:B,支线管道!C277,管道站场阀室关系!H:H)</f>
        <v>249.8</v>
      </c>
      <c r="G277" s="161">
        <v>813</v>
      </c>
      <c r="H277" s="161"/>
      <c r="I277" s="161">
        <v>7.5</v>
      </c>
      <c r="J277" s="161">
        <v>13.49</v>
      </c>
      <c r="K277" s="161"/>
      <c r="L277" s="118">
        <f>SUMIF(管道站场阀室关系!B:B,支线管道!C277,管道站场阀室关系!J:J)</f>
        <v>121697</v>
      </c>
      <c r="M277" s="161">
        <v>20240903</v>
      </c>
      <c r="N277" s="101" t="s">
        <v>209</v>
      </c>
      <c r="O277" s="241"/>
    </row>
    <row r="278" s="211" customFormat="1" spans="1:15">
      <c r="A278" s="161">
        <v>277</v>
      </c>
      <c r="B278" s="122" t="s">
        <v>84</v>
      </c>
      <c r="C278" s="219" t="s">
        <v>902</v>
      </c>
      <c r="D278" s="161" t="s">
        <v>342</v>
      </c>
      <c r="E278" s="161" t="s">
        <v>903</v>
      </c>
      <c r="F278" s="87">
        <f>SUMIF(管道站场阀室关系!B:B,支线管道!C278,管道站场阀室关系!H:H)</f>
        <v>3.32</v>
      </c>
      <c r="G278" s="161">
        <v>813</v>
      </c>
      <c r="H278" s="161"/>
      <c r="I278" s="161">
        <v>7.5</v>
      </c>
      <c r="J278" s="161"/>
      <c r="K278" s="161">
        <v>2000</v>
      </c>
      <c r="L278" s="118">
        <f>SUMIF(管道站场阀室关系!B:B,支线管道!C278,管道站场阀室关系!J:J)</f>
        <v>1616</v>
      </c>
      <c r="M278" s="161">
        <v>20250111</v>
      </c>
      <c r="N278" s="101" t="s">
        <v>209</v>
      </c>
      <c r="O278" s="241"/>
    </row>
    <row r="279" s="211" customFormat="1" spans="1:15">
      <c r="A279" s="161">
        <v>278</v>
      </c>
      <c r="B279" s="122" t="s">
        <v>84</v>
      </c>
      <c r="C279" s="219" t="s">
        <v>904</v>
      </c>
      <c r="D279" s="161" t="s">
        <v>903</v>
      </c>
      <c r="E279" s="161" t="s">
        <v>905</v>
      </c>
      <c r="F279" s="87">
        <f>SUMIF(管道站场阀室关系!B:B,支线管道!C279,管道站场阀室关系!H:H)</f>
        <v>181.73</v>
      </c>
      <c r="G279" s="161">
        <v>813</v>
      </c>
      <c r="H279" s="161"/>
      <c r="I279" s="161">
        <v>7.5</v>
      </c>
      <c r="J279" s="161"/>
      <c r="K279" s="161">
        <v>9.04</v>
      </c>
      <c r="L279" s="118">
        <f>SUMIF(管道站场阀室关系!B:B,支线管道!C279,管道站场阀室关系!J:J)</f>
        <v>86922</v>
      </c>
      <c r="M279" s="161">
        <v>20250111</v>
      </c>
      <c r="N279" s="101" t="s">
        <v>209</v>
      </c>
      <c r="O279" s="241"/>
    </row>
    <row r="280" s="211" customFormat="1" spans="1:15">
      <c r="A280" s="161">
        <v>279</v>
      </c>
      <c r="B280" s="122" t="s">
        <v>86</v>
      </c>
      <c r="C280" s="166" t="s">
        <v>906</v>
      </c>
      <c r="D280" s="161" t="s">
        <v>907</v>
      </c>
      <c r="E280" s="161" t="s">
        <v>908</v>
      </c>
      <c r="F280" s="88">
        <f>SUMIF(管道站场阀室关系!B:B,支线管道!C280,管道站场阀室关系!H:H)</f>
        <v>38.643</v>
      </c>
      <c r="G280" s="225">
        <v>914</v>
      </c>
      <c r="H280" s="225">
        <v>17.5</v>
      </c>
      <c r="I280" s="225">
        <v>9.2</v>
      </c>
      <c r="J280" s="242">
        <v>160</v>
      </c>
      <c r="K280" s="161"/>
      <c r="L280" s="118">
        <f>SUMIF(管道站场阀室关系!B:B,支线管道!C280,管道站场阀室关系!J:J)</f>
        <v>23647.789803185</v>
      </c>
      <c r="M280" s="225">
        <v>20111121</v>
      </c>
      <c r="N280" s="101" t="s">
        <v>909</v>
      </c>
      <c r="O280" s="228"/>
    </row>
    <row r="281" s="211" customFormat="1" spans="1:15">
      <c r="A281" s="161">
        <v>280</v>
      </c>
      <c r="B281" s="122" t="s">
        <v>86</v>
      </c>
      <c r="C281" s="226" t="s">
        <v>910</v>
      </c>
      <c r="D281" s="161" t="s">
        <v>208</v>
      </c>
      <c r="E281" s="161" t="s">
        <v>907</v>
      </c>
      <c r="F281" s="88">
        <f>SUMIF(管道站场阀室关系!B:B,支线管道!C281,管道站场阀室关系!H:H)</f>
        <v>0.56</v>
      </c>
      <c r="G281" s="225"/>
      <c r="H281" s="225"/>
      <c r="I281" s="225"/>
      <c r="J281" s="242">
        <v>160</v>
      </c>
      <c r="K281" s="161"/>
      <c r="L281" s="118">
        <f>SUMIF(管道站场阀室关系!B:B,支线管道!C281,管道站场阀室关系!J:J)</f>
        <v>0</v>
      </c>
      <c r="M281" s="225"/>
      <c r="N281" s="101" t="s">
        <v>909</v>
      </c>
      <c r="O281" s="228"/>
    </row>
    <row r="282" s="211" customFormat="1" ht="42" spans="1:15">
      <c r="A282" s="161">
        <v>281</v>
      </c>
      <c r="B282" s="122" t="s">
        <v>86</v>
      </c>
      <c r="C282" s="166" t="s">
        <v>911</v>
      </c>
      <c r="D282" s="161" t="s">
        <v>908</v>
      </c>
      <c r="E282" s="161" t="s">
        <v>912</v>
      </c>
      <c r="F282" s="88">
        <f>SUMIF(管道站场阀室关系!B:B,支线管道!C282,管道站场阀室关系!H:H)</f>
        <v>150.729</v>
      </c>
      <c r="G282" s="225">
        <v>914</v>
      </c>
      <c r="H282" s="225" t="s">
        <v>913</v>
      </c>
      <c r="I282" s="225">
        <v>9.2</v>
      </c>
      <c r="J282" s="242">
        <v>160</v>
      </c>
      <c r="K282" s="161"/>
      <c r="L282" s="118">
        <f>SUMIF(管道站场阀室关系!B:B,支线管道!C282,管道站场阀室关系!J:J)</f>
        <v>91922.1476366761</v>
      </c>
      <c r="M282" s="225" t="s">
        <v>914</v>
      </c>
      <c r="N282" s="101" t="s">
        <v>909</v>
      </c>
      <c r="O282" s="228"/>
    </row>
    <row r="283" s="211" customFormat="1" spans="1:15">
      <c r="A283" s="161">
        <v>282</v>
      </c>
      <c r="B283" s="122" t="s">
        <v>86</v>
      </c>
      <c r="C283" s="166" t="s">
        <v>915</v>
      </c>
      <c r="D283" s="161" t="s">
        <v>916</v>
      </c>
      <c r="E283" s="161" t="s">
        <v>917</v>
      </c>
      <c r="F283" s="88">
        <f>SUMIF(管道站场阀室关系!B:B,支线管道!C283,管道站场阀室关系!H:H)</f>
        <v>19.565</v>
      </c>
      <c r="G283" s="225">
        <v>610</v>
      </c>
      <c r="H283" s="225">
        <v>14.2</v>
      </c>
      <c r="I283" s="225">
        <v>9.2</v>
      </c>
      <c r="J283" s="242">
        <v>160</v>
      </c>
      <c r="K283" s="161"/>
      <c r="L283" s="118">
        <f>SUMIF(管道站场阀室关系!B:B,支线管道!C283,管道站场阀室关系!J:J)</f>
        <v>5197.78760702611</v>
      </c>
      <c r="M283" s="225">
        <v>20120630</v>
      </c>
      <c r="N283" s="101" t="s">
        <v>909</v>
      </c>
      <c r="O283" s="228"/>
    </row>
    <row r="284" s="213" customFormat="1" spans="1:15">
      <c r="A284" s="161">
        <v>283</v>
      </c>
      <c r="B284" s="122" t="s">
        <v>86</v>
      </c>
      <c r="C284" s="49" t="s">
        <v>918</v>
      </c>
      <c r="D284" s="101" t="s">
        <v>919</v>
      </c>
      <c r="E284" s="101" t="s">
        <v>920</v>
      </c>
      <c r="F284" s="88">
        <f>SUMIF(管道站场阀室关系!B:B,支线管道!C284,管道站场阀室关系!H:H)</f>
        <v>15.88</v>
      </c>
      <c r="G284" s="238">
        <v>914</v>
      </c>
      <c r="H284" s="238"/>
      <c r="I284" s="238">
        <v>9.2</v>
      </c>
      <c r="J284" s="238">
        <v>50</v>
      </c>
      <c r="K284" s="161"/>
      <c r="L284" s="118">
        <f>SUMIF(管道站场阀室关系!B:B,支线管道!C284,管道站场阀室关系!J:J)</f>
        <v>581149</v>
      </c>
      <c r="M284" s="101">
        <v>20240407</v>
      </c>
      <c r="N284" s="101" t="s">
        <v>909</v>
      </c>
      <c r="O284" s="101"/>
    </row>
    <row r="285" s="213" customFormat="1" ht="60" spans="1:15">
      <c r="A285" s="161">
        <v>284</v>
      </c>
      <c r="B285" s="122" t="s">
        <v>86</v>
      </c>
      <c r="C285" s="49" t="s">
        <v>921</v>
      </c>
      <c r="D285" s="101" t="s">
        <v>922</v>
      </c>
      <c r="E285" s="101" t="s">
        <v>923</v>
      </c>
      <c r="F285" s="88">
        <f>SUMIF(管道站场阀室关系!B:B,支线管道!C285,管道站场阀室关系!H:H)</f>
        <v>1.05</v>
      </c>
      <c r="G285" s="161" t="s">
        <v>924</v>
      </c>
      <c r="H285" s="161"/>
      <c r="I285" s="161" t="s">
        <v>925</v>
      </c>
      <c r="J285" s="161">
        <v>16</v>
      </c>
      <c r="K285" s="161"/>
      <c r="L285" s="118"/>
      <c r="M285" s="101">
        <v>20250430</v>
      </c>
      <c r="N285" s="101" t="s">
        <v>909</v>
      </c>
      <c r="O285" s="101"/>
    </row>
    <row r="286" s="211" customFormat="1" ht="42" spans="1:15">
      <c r="A286" s="161">
        <v>285</v>
      </c>
      <c r="B286" s="122" t="s">
        <v>86</v>
      </c>
      <c r="C286" s="166" t="s">
        <v>926</v>
      </c>
      <c r="D286" s="161" t="s">
        <v>907</v>
      </c>
      <c r="E286" s="161" t="s">
        <v>927</v>
      </c>
      <c r="F286" s="88">
        <f>SUMIF(管道站场阀室关系!B:B,支线管道!C286,管道站场阀室关系!H:H)</f>
        <v>163.619</v>
      </c>
      <c r="G286" s="225">
        <v>914</v>
      </c>
      <c r="H286" s="225" t="s">
        <v>928</v>
      </c>
      <c r="I286" s="225">
        <v>9.2</v>
      </c>
      <c r="J286" s="242">
        <v>160</v>
      </c>
      <c r="K286" s="161"/>
      <c r="L286" s="118">
        <f>SUMIF(管道站场阀室关系!B:B,支线管道!C286,管道站场阀室关系!J:J)</f>
        <v>98538.8036780595</v>
      </c>
      <c r="M286" s="225" t="s">
        <v>929</v>
      </c>
      <c r="N286" s="101" t="s">
        <v>909</v>
      </c>
      <c r="O286" s="228"/>
    </row>
    <row r="287" s="211" customFormat="1" spans="1:15">
      <c r="A287" s="161">
        <v>286</v>
      </c>
      <c r="B287" s="122" t="s">
        <v>86</v>
      </c>
      <c r="C287" s="166" t="s">
        <v>930</v>
      </c>
      <c r="D287" s="161" t="s">
        <v>931</v>
      </c>
      <c r="E287" s="161" t="s">
        <v>932</v>
      </c>
      <c r="F287" s="88">
        <f>SUMIF(管道站场阀室关系!B:B,支线管道!C287,管道站场阀室关系!H:H)</f>
        <v>7.69</v>
      </c>
      <c r="G287" s="225">
        <v>610</v>
      </c>
      <c r="H287" s="225">
        <v>14.2</v>
      </c>
      <c r="I287" s="225">
        <v>9.2</v>
      </c>
      <c r="J287" s="242">
        <v>160</v>
      </c>
      <c r="K287" s="161"/>
      <c r="L287" s="118">
        <f>SUMIF(管道站场阀室关系!B:B,支线管道!C287,管道站场阀室关系!J:J)</f>
        <v>2042.98424216871</v>
      </c>
      <c r="M287" s="225">
        <v>20130514</v>
      </c>
      <c r="N287" s="101" t="s">
        <v>909</v>
      </c>
      <c r="O287" s="228"/>
    </row>
    <row r="288" s="211" customFormat="1" spans="1:15">
      <c r="A288" s="161">
        <v>287</v>
      </c>
      <c r="B288" s="122" t="s">
        <v>86</v>
      </c>
      <c r="C288" s="166" t="s">
        <v>933</v>
      </c>
      <c r="D288" s="161" t="s">
        <v>934</v>
      </c>
      <c r="E288" s="161" t="s">
        <v>927</v>
      </c>
      <c r="F288" s="88">
        <f>SUMIF(管道站场阀室关系!B:B,支线管道!C288,管道站场阀室关系!H:H)</f>
        <v>23.692</v>
      </c>
      <c r="G288" s="225">
        <v>914</v>
      </c>
      <c r="H288" s="225">
        <v>17.5</v>
      </c>
      <c r="I288" s="225">
        <v>9.2</v>
      </c>
      <c r="J288" s="225">
        <v>125</v>
      </c>
      <c r="K288" s="161"/>
      <c r="L288" s="118">
        <f>SUMIF(管道站场阀室关系!B:B,支线管道!C288,管道站场阀室关系!J:J)</f>
        <v>14377.035843485</v>
      </c>
      <c r="M288" s="225">
        <v>20150104</v>
      </c>
      <c r="N288" s="101" t="s">
        <v>909</v>
      </c>
      <c r="O288" s="228"/>
    </row>
    <row r="289" spans="1:15">
      <c r="A289" s="161">
        <v>288</v>
      </c>
      <c r="B289" s="122" t="s">
        <v>86</v>
      </c>
      <c r="C289" s="166" t="s">
        <v>935</v>
      </c>
      <c r="D289" s="161" t="s">
        <v>936</v>
      </c>
      <c r="E289" s="161" t="s">
        <v>937</v>
      </c>
      <c r="F289" s="88">
        <f>SUMIF(管道站场阀室关系!B:B,支线管道!C289,管道站场阀室关系!H:H)</f>
        <v>42.752</v>
      </c>
      <c r="G289" s="161">
        <v>610</v>
      </c>
      <c r="H289" s="231"/>
      <c r="I289" s="231">
        <v>9.2</v>
      </c>
      <c r="J289" s="161">
        <v>14.15</v>
      </c>
      <c r="K289" s="161"/>
      <c r="L289" s="118">
        <f>SUMIF(管道站场阀室关系!B:B,支线管道!C289,管道站场阀室关系!J:J)</f>
        <v>11351</v>
      </c>
      <c r="M289" s="161">
        <v>20220926</v>
      </c>
      <c r="N289" s="101" t="s">
        <v>909</v>
      </c>
      <c r="O289" s="161"/>
    </row>
    <row r="290" s="209" customFormat="1" spans="1:15">
      <c r="A290" s="161">
        <v>289</v>
      </c>
      <c r="B290" s="122" t="s">
        <v>86</v>
      </c>
      <c r="C290" s="219" t="s">
        <v>938</v>
      </c>
      <c r="D290" s="161" t="s">
        <v>937</v>
      </c>
      <c r="E290" s="161" t="s">
        <v>939</v>
      </c>
      <c r="F290" s="88">
        <f>SUMIF(管道站场阀室关系!B:B,支线管道!C290,管道站场阀室关系!H:H)</f>
        <v>38.7</v>
      </c>
      <c r="G290" s="161">
        <v>610</v>
      </c>
      <c r="H290" s="231">
        <v>9</v>
      </c>
      <c r="I290" s="231">
        <v>6.3</v>
      </c>
      <c r="J290" s="161">
        <v>24.7</v>
      </c>
      <c r="K290" s="161"/>
      <c r="L290" s="118">
        <f>SUMIF(管道站场阀室关系!B:B,支线管道!C290,管道站场阀室关系!J:J)</f>
        <v>10687</v>
      </c>
      <c r="M290" s="161">
        <v>20240903</v>
      </c>
      <c r="N290" s="101" t="s">
        <v>909</v>
      </c>
      <c r="O290" s="161"/>
    </row>
    <row r="291" spans="1:15">
      <c r="A291" s="161">
        <v>290</v>
      </c>
      <c r="B291" s="122" t="s">
        <v>86</v>
      </c>
      <c r="C291" s="219" t="s">
        <v>940</v>
      </c>
      <c r="D291" s="161" t="s">
        <v>941</v>
      </c>
      <c r="E291" s="161" t="s">
        <v>942</v>
      </c>
      <c r="F291" s="88">
        <f>SUMIF(管道站场阀室关系!B:B,支线管道!C291,管道站场阀室关系!H:H)</f>
        <v>0.7</v>
      </c>
      <c r="G291" s="161">
        <v>610</v>
      </c>
      <c r="H291" s="231"/>
      <c r="I291" s="231">
        <v>6.3</v>
      </c>
      <c r="J291" s="161">
        <v>23</v>
      </c>
      <c r="K291" s="161"/>
      <c r="L291" s="118">
        <f>SUMIF(管道站场阀室关系!B:B,支线管道!C291,管道站场阀室关系!J:J)</f>
        <v>0</v>
      </c>
      <c r="M291" s="161">
        <v>20231123</v>
      </c>
      <c r="N291" s="101" t="s">
        <v>909</v>
      </c>
      <c r="O291" s="161"/>
    </row>
    <row r="292" s="213" customFormat="1" spans="1:15">
      <c r="A292" s="161">
        <v>291</v>
      </c>
      <c r="B292" s="122" t="s">
        <v>86</v>
      </c>
      <c r="C292" s="49" t="s">
        <v>943</v>
      </c>
      <c r="D292" s="101" t="s">
        <v>944</v>
      </c>
      <c r="E292" s="101" t="s">
        <v>945</v>
      </c>
      <c r="F292" s="88">
        <f>SUMIF(管道站场阀室关系!B:B,支线管道!C292,管道站场阀室关系!H:H)</f>
        <v>8.026</v>
      </c>
      <c r="G292" s="161">
        <v>406.4</v>
      </c>
      <c r="H292" s="161"/>
      <c r="I292" s="161">
        <v>6.3</v>
      </c>
      <c r="J292" s="161">
        <v>7.3</v>
      </c>
      <c r="K292" s="161"/>
      <c r="L292" s="118">
        <f>SUMIF(管道站场阀室关系!B:B,支线管道!C292,管道站场阀室关系!J:J)</f>
        <v>941</v>
      </c>
      <c r="M292" s="101">
        <v>20250215</v>
      </c>
      <c r="N292" s="101" t="s">
        <v>909</v>
      </c>
      <c r="O292" s="101"/>
    </row>
    <row r="293" s="213" customFormat="1" ht="60" spans="1:15">
      <c r="A293" s="161">
        <v>292</v>
      </c>
      <c r="B293" s="122" t="s">
        <v>86</v>
      </c>
      <c r="C293" s="49" t="s">
        <v>946</v>
      </c>
      <c r="D293" s="101" t="s">
        <v>947</v>
      </c>
      <c r="E293" s="101" t="s">
        <v>948</v>
      </c>
      <c r="F293" s="88">
        <f>SUMIF(管道站场阀室关系!B:B,支线管道!C293,管道站场阀室关系!H:H)</f>
        <v>9.13</v>
      </c>
      <c r="G293" s="161" t="s">
        <v>949</v>
      </c>
      <c r="H293" s="161"/>
      <c r="I293" s="161" t="s">
        <v>950</v>
      </c>
      <c r="J293" s="161">
        <v>6.24</v>
      </c>
      <c r="K293" s="161"/>
      <c r="L293" s="118">
        <f>SUMIF(管道站场阀室关系!B:B,支线管道!C293,管道站场阀室关系!J:J)</f>
        <v>1064</v>
      </c>
      <c r="M293" s="101">
        <v>20250318</v>
      </c>
      <c r="N293" s="101" t="s">
        <v>909</v>
      </c>
      <c r="O293" s="101"/>
    </row>
    <row r="294" s="211" customFormat="1" spans="1:15">
      <c r="A294" s="161">
        <v>293</v>
      </c>
      <c r="B294" s="122" t="s">
        <v>86</v>
      </c>
      <c r="C294" s="166" t="s">
        <v>951</v>
      </c>
      <c r="D294" s="161" t="s">
        <v>952</v>
      </c>
      <c r="E294" s="161" t="s">
        <v>934</v>
      </c>
      <c r="F294" s="88">
        <f>SUMIF(管道站场阀室关系!B:B,支线管道!C294,管道站场阀室关系!H:H)</f>
        <v>144.601</v>
      </c>
      <c r="G294" s="225" t="s">
        <v>953</v>
      </c>
      <c r="H294" s="225" t="s">
        <v>954</v>
      </c>
      <c r="I294" s="225">
        <v>9.2</v>
      </c>
      <c r="J294" s="225">
        <v>125</v>
      </c>
      <c r="K294" s="161"/>
      <c r="L294" s="118">
        <f>SUMIF(管道站场阀室关系!B:B,支线管道!C294,管道站场阀室关系!J:J)</f>
        <v>92180.3968988512</v>
      </c>
      <c r="M294" s="225">
        <v>20150104</v>
      </c>
      <c r="N294" s="101" t="s">
        <v>909</v>
      </c>
      <c r="O294" s="228"/>
    </row>
    <row r="295" s="211" customFormat="1" spans="1:15">
      <c r="A295" s="161">
        <v>294</v>
      </c>
      <c r="B295" s="122" t="s">
        <v>86</v>
      </c>
      <c r="C295" s="226" t="s">
        <v>955</v>
      </c>
      <c r="D295" s="161" t="s">
        <v>956</v>
      </c>
      <c r="E295" s="161" t="s">
        <v>957</v>
      </c>
      <c r="F295" s="88">
        <f>SUMIF(管道站场阀室关系!B:B,支线管道!C295,管道站场阀室关系!H:H)</f>
        <v>0.183</v>
      </c>
      <c r="G295" s="225">
        <v>508</v>
      </c>
      <c r="H295" s="225"/>
      <c r="I295" s="225">
        <v>9.2</v>
      </c>
      <c r="J295" s="225"/>
      <c r="K295" s="161"/>
      <c r="L295" s="118">
        <f>SUMIF(管道站场阀室关系!B:B,支线管道!C295,管道站场阀室关系!J:J)</f>
        <v>19</v>
      </c>
      <c r="M295" s="225">
        <v>20221220</v>
      </c>
      <c r="N295" s="101" t="s">
        <v>909</v>
      </c>
      <c r="O295" s="228"/>
    </row>
    <row r="296" spans="1:15">
      <c r="A296" s="161">
        <v>295</v>
      </c>
      <c r="B296" s="122" t="s">
        <v>86</v>
      </c>
      <c r="C296" s="166" t="s">
        <v>958</v>
      </c>
      <c r="D296" s="161" t="s">
        <v>959</v>
      </c>
      <c r="E296" s="161" t="s">
        <v>960</v>
      </c>
      <c r="F296" s="88">
        <f>SUMIF(管道站场阀室关系!B:B,支线管道!C296,管道站场阀室关系!H:H)</f>
        <v>191.78</v>
      </c>
      <c r="G296" s="161">
        <v>914</v>
      </c>
      <c r="H296" s="231"/>
      <c r="I296" s="231">
        <v>9.2</v>
      </c>
      <c r="J296" s="161">
        <v>42</v>
      </c>
      <c r="K296" s="161"/>
      <c r="L296" s="118">
        <f>SUMIF(管道站场阀室关系!B:B,支线管道!C296,管道站场阀室关系!J:J)</f>
        <v>114743.520458334</v>
      </c>
      <c r="M296" s="161">
        <v>20201214</v>
      </c>
      <c r="N296" s="101" t="s">
        <v>909</v>
      </c>
      <c r="O296" s="161"/>
    </row>
    <row r="297" spans="1:15">
      <c r="A297" s="161">
        <v>296</v>
      </c>
      <c r="B297" s="122" t="s">
        <v>86</v>
      </c>
      <c r="C297" s="166" t="s">
        <v>961</v>
      </c>
      <c r="D297" s="161" t="s">
        <v>962</v>
      </c>
      <c r="E297" s="161" t="s">
        <v>963</v>
      </c>
      <c r="F297" s="88">
        <f>SUMIF(管道站场阀室关系!B:B,支线管道!C297,管道站场阀室关系!H:H)</f>
        <v>46</v>
      </c>
      <c r="G297" s="161">
        <v>610</v>
      </c>
      <c r="H297" s="231"/>
      <c r="I297" s="231">
        <v>9.2</v>
      </c>
      <c r="J297" s="161">
        <v>15</v>
      </c>
      <c r="K297" s="161"/>
      <c r="L297" s="118">
        <f>SUMIF(管道站场阀室关系!B:B,支线管道!C297,管道站场阀室关系!J:J)</f>
        <v>12185.0145323984</v>
      </c>
      <c r="M297" s="161">
        <v>20201214</v>
      </c>
      <c r="N297" s="101" t="s">
        <v>909</v>
      </c>
      <c r="O297" s="161"/>
    </row>
    <row r="298" s="211" customFormat="1" spans="1:15">
      <c r="A298" s="161">
        <v>297</v>
      </c>
      <c r="B298" s="122" t="s">
        <v>86</v>
      </c>
      <c r="C298" s="166" t="s">
        <v>964</v>
      </c>
      <c r="D298" s="161" t="s">
        <v>965</v>
      </c>
      <c r="E298" s="161" t="s">
        <v>827</v>
      </c>
      <c r="F298" s="88">
        <f>SUMIF(管道站场阀室关系!B:B,支线管道!C298,管道站场阀室关系!H:H)</f>
        <v>64.255</v>
      </c>
      <c r="G298" s="225">
        <v>457</v>
      </c>
      <c r="H298" s="225">
        <v>8.7</v>
      </c>
      <c r="I298" s="225">
        <v>6.3</v>
      </c>
      <c r="J298" s="242">
        <v>160</v>
      </c>
      <c r="K298" s="161"/>
      <c r="L298" s="118">
        <f>SUMIF(管道站场阀室关系!B:B,支线管道!C298,管道站场阀室关系!J:J)</f>
        <v>9735.81802542773</v>
      </c>
      <c r="M298" s="225">
        <v>20160511</v>
      </c>
      <c r="N298" s="101" t="s">
        <v>909</v>
      </c>
      <c r="O298" s="228"/>
    </row>
    <row r="299" s="211" customFormat="1" spans="1:15">
      <c r="A299" s="161">
        <v>298</v>
      </c>
      <c r="B299" s="122" t="s">
        <v>86</v>
      </c>
      <c r="C299" s="226" t="s">
        <v>966</v>
      </c>
      <c r="D299" s="161" t="s">
        <v>967</v>
      </c>
      <c r="E299" s="161" t="s">
        <v>968</v>
      </c>
      <c r="F299" s="88">
        <f>SUMIF(管道站场阀室关系!B:B,支线管道!C299,管道站场阀室关系!H:H)</f>
        <v>0.2</v>
      </c>
      <c r="G299" s="225">
        <v>323.9</v>
      </c>
      <c r="H299" s="225">
        <v>8.8</v>
      </c>
      <c r="I299" s="225">
        <v>6.3</v>
      </c>
      <c r="J299" s="225">
        <v>14</v>
      </c>
      <c r="K299" s="161">
        <v>400</v>
      </c>
      <c r="L299" s="118"/>
      <c r="M299" s="225">
        <v>20240309</v>
      </c>
      <c r="N299" s="101" t="s">
        <v>909</v>
      </c>
      <c r="O299" s="228"/>
    </row>
    <row r="300" spans="1:15">
      <c r="A300" s="161">
        <v>299</v>
      </c>
      <c r="B300" s="122" t="s">
        <v>86</v>
      </c>
      <c r="C300" s="219" t="s">
        <v>969</v>
      </c>
      <c r="D300" s="161" t="s">
        <v>970</v>
      </c>
      <c r="E300" s="161" t="s">
        <v>971</v>
      </c>
      <c r="F300" s="88">
        <f>SUMIF(管道站场阀室关系!B:B,支线管道!C300,管道站场阀室关系!H:H)</f>
        <v>0.183</v>
      </c>
      <c r="G300" s="161">
        <v>813</v>
      </c>
      <c r="H300" s="231"/>
      <c r="I300" s="231">
        <v>9.2</v>
      </c>
      <c r="J300" s="161">
        <v>49</v>
      </c>
      <c r="K300" s="161"/>
      <c r="L300" s="118">
        <f>SUMIF(管道站场阀室关系!B:B,支线管道!C300,管道站场阀室关系!J:J)</f>
        <v>51</v>
      </c>
      <c r="M300" s="161">
        <v>20230725</v>
      </c>
      <c r="N300" s="101" t="s">
        <v>909</v>
      </c>
      <c r="O300" s="161"/>
    </row>
    <row r="301" ht="30" spans="1:15">
      <c r="A301" s="161">
        <v>300</v>
      </c>
      <c r="B301" s="122" t="s">
        <v>86</v>
      </c>
      <c r="C301" s="219" t="s">
        <v>972</v>
      </c>
      <c r="D301" s="161" t="s">
        <v>973</v>
      </c>
      <c r="E301" s="161" t="s">
        <v>974</v>
      </c>
      <c r="F301" s="87">
        <f>SUMIF(管道站场阀室关系!B:B,支线管道!C301,管道站场阀室关系!H:H)</f>
        <v>15.474</v>
      </c>
      <c r="G301" s="161">
        <v>323.9</v>
      </c>
      <c r="H301" s="231"/>
      <c r="I301" s="231" t="s">
        <v>975</v>
      </c>
      <c r="J301" s="161">
        <v>3</v>
      </c>
      <c r="K301" s="161"/>
      <c r="L301" s="118">
        <f>SUMIF(管道站场阀室关系!B:B,支线管道!C301,管道站场阀室关系!J:J)</f>
        <v>1173</v>
      </c>
      <c r="M301" s="161">
        <v>20240324</v>
      </c>
      <c r="N301" s="101" t="s">
        <v>209</v>
      </c>
      <c r="O301" s="161"/>
    </row>
    <row r="302" spans="1:15">
      <c r="A302" s="161">
        <v>301</v>
      </c>
      <c r="B302" s="122" t="s">
        <v>86</v>
      </c>
      <c r="C302" s="219" t="s">
        <v>976</v>
      </c>
      <c r="D302" s="161" t="s">
        <v>977</v>
      </c>
      <c r="E302" s="161" t="s">
        <v>978</v>
      </c>
      <c r="F302" s="88">
        <f>SUMIF(管道站场阀室关系!B:B,支线管道!C302,管道站场阀室关系!H:H)</f>
        <v>13.37</v>
      </c>
      <c r="G302" s="161">
        <v>323.9</v>
      </c>
      <c r="H302" s="231"/>
      <c r="I302" s="231">
        <v>6.3</v>
      </c>
      <c r="J302" s="161">
        <v>2</v>
      </c>
      <c r="K302" s="161"/>
      <c r="L302" s="118">
        <f>SUMIF(管道站场阀室关系!B:B,支线管道!C302,管道站场阀室关系!J:J)</f>
        <v>52688</v>
      </c>
      <c r="M302" s="161">
        <v>20240702</v>
      </c>
      <c r="N302" s="101" t="s">
        <v>909</v>
      </c>
      <c r="O302" s="161"/>
    </row>
    <row r="303" s="209" customFormat="1" spans="1:15">
      <c r="A303" s="161">
        <v>302</v>
      </c>
      <c r="B303" s="122" t="s">
        <v>86</v>
      </c>
      <c r="C303" s="219" t="s">
        <v>979</v>
      </c>
      <c r="D303" s="219" t="s">
        <v>977</v>
      </c>
      <c r="E303" s="161" t="s">
        <v>980</v>
      </c>
      <c r="F303" s="88">
        <f>SUMIF(管道站场阀室关系!B:B,支线管道!C303,管道站场阀室关系!H:H)</f>
        <v>34.38</v>
      </c>
      <c r="G303" s="161">
        <v>323.9</v>
      </c>
      <c r="H303" s="231"/>
      <c r="I303" s="231">
        <v>6.3</v>
      </c>
      <c r="J303" s="161">
        <v>2</v>
      </c>
      <c r="K303" s="161"/>
      <c r="L303" s="118">
        <f>SUMIF(管道站场阀室关系!B:B,支线管道!C303,管道站场阀室关系!J:J)</f>
        <v>2589</v>
      </c>
      <c r="M303" s="161">
        <v>20240712</v>
      </c>
      <c r="N303" s="101" t="s">
        <v>909</v>
      </c>
      <c r="O303" s="161"/>
    </row>
    <row r="304" spans="1:15">
      <c r="A304" s="161">
        <v>303</v>
      </c>
      <c r="B304" s="122" t="s">
        <v>86</v>
      </c>
      <c r="C304" s="219" t="s">
        <v>981</v>
      </c>
      <c r="D304" s="161" t="s">
        <v>982</v>
      </c>
      <c r="E304" s="161" t="s">
        <v>983</v>
      </c>
      <c r="F304" s="88">
        <f>SUMIF(管道站场阀室关系!B:B,支线管道!C304,管道站场阀室关系!H:H)</f>
        <v>11</v>
      </c>
      <c r="G304" s="161">
        <v>323.9</v>
      </c>
      <c r="H304" s="231"/>
      <c r="I304" s="231">
        <v>6.3</v>
      </c>
      <c r="J304" s="161">
        <v>2.4</v>
      </c>
      <c r="K304" s="161"/>
      <c r="L304" s="118">
        <f>SUMIF(管道站场阀室关系!B:B,支线管道!C304,管道站场阀室关系!J:J)</f>
        <v>0</v>
      </c>
      <c r="M304" s="161">
        <v>20231114</v>
      </c>
      <c r="N304" s="101" t="s">
        <v>909</v>
      </c>
      <c r="O304" s="161"/>
    </row>
    <row r="305" spans="1:15">
      <c r="A305" s="161">
        <v>304</v>
      </c>
      <c r="B305" s="122" t="s">
        <v>86</v>
      </c>
      <c r="C305" s="166" t="s">
        <v>984</v>
      </c>
      <c r="D305" s="161" t="s">
        <v>985</v>
      </c>
      <c r="E305" s="161" t="s">
        <v>821</v>
      </c>
      <c r="F305" s="88">
        <f>SUMIF(管道站场阀室关系!B:B,支线管道!C305,管道站场阀室关系!H:H)</f>
        <v>154.13</v>
      </c>
      <c r="G305" s="161">
        <v>813</v>
      </c>
      <c r="H305" s="231"/>
      <c r="I305" s="231">
        <v>9.2</v>
      </c>
      <c r="J305" s="161">
        <v>40</v>
      </c>
      <c r="K305" s="161"/>
      <c r="L305" s="118">
        <f>SUMIF(管道站场阀室关系!B:B,支线管道!C305,管道站场阀室关系!J:J)</f>
        <v>73839</v>
      </c>
      <c r="M305" s="161">
        <v>20211229</v>
      </c>
      <c r="N305" s="101" t="s">
        <v>909</v>
      </c>
      <c r="O305" s="161"/>
    </row>
    <row r="306" spans="1:15">
      <c r="A306" s="161">
        <v>305</v>
      </c>
      <c r="B306" s="122" t="s">
        <v>86</v>
      </c>
      <c r="C306" s="166" t="s">
        <v>986</v>
      </c>
      <c r="D306" s="161" t="s">
        <v>987</v>
      </c>
      <c r="E306" s="161" t="s">
        <v>988</v>
      </c>
      <c r="F306" s="88">
        <f>SUMIF(管道站场阀室关系!B:B,支线管道!C306,管道站场阀室关系!H:H)</f>
        <v>170.708</v>
      </c>
      <c r="G306" s="161">
        <v>813</v>
      </c>
      <c r="H306" s="231"/>
      <c r="I306" s="231">
        <v>9.2</v>
      </c>
      <c r="J306" s="161">
        <v>26.85</v>
      </c>
      <c r="K306" s="161"/>
      <c r="L306" s="118">
        <f>SUMIF(管道站场阀室关系!B:B,支线管道!C306,管道站场阀室关系!J:J)</f>
        <v>81784.9589869872</v>
      </c>
      <c r="M306" s="161">
        <v>20220112</v>
      </c>
      <c r="N306" s="101" t="s">
        <v>909</v>
      </c>
      <c r="O306" s="161"/>
    </row>
    <row r="307" spans="1:15">
      <c r="A307" s="161">
        <v>306</v>
      </c>
      <c r="B307" s="122" t="s">
        <v>86</v>
      </c>
      <c r="C307" s="219" t="s">
        <v>989</v>
      </c>
      <c r="D307" s="161" t="s">
        <v>990</v>
      </c>
      <c r="E307" s="161" t="s">
        <v>991</v>
      </c>
      <c r="F307" s="88">
        <f>SUMIF(管道站场阀室关系!B:B,支线管道!C307,管道站场阀室关系!H:H)</f>
        <v>0.1</v>
      </c>
      <c r="G307" s="161"/>
      <c r="H307" s="231"/>
      <c r="I307" s="231"/>
      <c r="J307" s="161"/>
      <c r="K307" s="161"/>
      <c r="L307" s="118">
        <f>SUMIF(管道站场阀室关系!B:B,支线管道!C307,管道站场阀室关系!J:J)</f>
        <v>0</v>
      </c>
      <c r="M307" s="161"/>
      <c r="N307" s="101" t="s">
        <v>909</v>
      </c>
      <c r="O307" s="161"/>
    </row>
    <row r="308" customFormat="1" spans="1:15">
      <c r="A308" s="161"/>
      <c r="B308" s="122" t="s">
        <v>86</v>
      </c>
      <c r="C308" s="219" t="s">
        <v>992</v>
      </c>
      <c r="D308" s="161" t="s">
        <v>993</v>
      </c>
      <c r="E308" s="161" t="s">
        <v>939</v>
      </c>
      <c r="F308" s="88">
        <f>SUMIF(管道站场阀室关系!B:B,支线管道!C308,管道站场阀室关系!H:H)</f>
        <v>91.14</v>
      </c>
      <c r="G308" s="161">
        <v>323.9</v>
      </c>
      <c r="H308" s="231">
        <v>7.1</v>
      </c>
      <c r="I308" s="231">
        <v>6.3</v>
      </c>
      <c r="J308" s="161">
        <v>4.5</v>
      </c>
      <c r="K308" s="161"/>
      <c r="L308" s="118"/>
      <c r="M308" s="161"/>
      <c r="N308" s="101"/>
      <c r="O308" s="161"/>
    </row>
    <row r="309" s="209" customFormat="1" spans="1:15">
      <c r="A309" s="161">
        <v>307</v>
      </c>
      <c r="B309" s="122" t="s">
        <v>86</v>
      </c>
      <c r="C309" s="219" t="s">
        <v>994</v>
      </c>
      <c r="D309" s="161" t="s">
        <v>995</v>
      </c>
      <c r="E309" s="161" t="s">
        <v>996</v>
      </c>
      <c r="F309" s="88">
        <f>SUMIF(管道站场阀室关系!B:B,支线管道!C309,管道站场阀室关系!H:H)</f>
        <v>150</v>
      </c>
      <c r="G309" s="161">
        <v>914</v>
      </c>
      <c r="H309" s="231"/>
      <c r="I309" s="231">
        <v>6.3</v>
      </c>
      <c r="J309" s="161">
        <v>36.5</v>
      </c>
      <c r="K309" s="161"/>
      <c r="L309" s="118">
        <f>SUMIF(管道站场阀室关系!B:B,支线管道!C309,管道站场阀室关系!J:J)</f>
        <v>18654</v>
      </c>
      <c r="M309" s="161">
        <v>20240924</v>
      </c>
      <c r="N309" s="101" t="s">
        <v>909</v>
      </c>
      <c r="O309" s="161"/>
    </row>
    <row r="310" spans="1:15">
      <c r="A310" s="161">
        <v>308</v>
      </c>
      <c r="B310" s="122" t="s">
        <v>86</v>
      </c>
      <c r="C310" s="219" t="s">
        <v>997</v>
      </c>
      <c r="D310" s="161" t="s">
        <v>996</v>
      </c>
      <c r="E310" s="161" t="s">
        <v>998</v>
      </c>
      <c r="F310" s="88">
        <f>SUMIF(管道站场阀室关系!B:B,支线管道!C310,管道站场阀室关系!H:H)</f>
        <v>154.807</v>
      </c>
      <c r="G310" s="161">
        <v>914</v>
      </c>
      <c r="H310" s="231"/>
      <c r="I310" s="231">
        <v>9.2</v>
      </c>
      <c r="J310" s="161">
        <v>57.4</v>
      </c>
      <c r="K310" s="161"/>
      <c r="L310" s="118">
        <f>SUMIF(管道站场阀室关系!B:B,支线管道!C310,管道站场阀室关系!J:J)</f>
        <v>94346</v>
      </c>
      <c r="M310" s="161"/>
      <c r="N310" s="101" t="s">
        <v>909</v>
      </c>
      <c r="O310" s="161"/>
    </row>
    <row r="311" ht="30" spans="1:15">
      <c r="A311" s="161">
        <v>309</v>
      </c>
      <c r="B311" s="122" t="s">
        <v>86</v>
      </c>
      <c r="C311" s="166" t="s">
        <v>999</v>
      </c>
      <c r="D311" s="161" t="s">
        <v>1000</v>
      </c>
      <c r="E311" s="161" t="s">
        <v>1001</v>
      </c>
      <c r="F311" s="88">
        <f>SUMIF(管道站场阀室关系!B:B,支线管道!C311,管道站场阀室关系!H:H)</f>
        <v>1.2</v>
      </c>
      <c r="G311" s="161">
        <v>610</v>
      </c>
      <c r="H311" s="231"/>
      <c r="I311" s="231">
        <v>9.2</v>
      </c>
      <c r="J311" s="161">
        <v>16</v>
      </c>
      <c r="K311" s="161"/>
      <c r="L311" s="118">
        <f>SUMIF(管道站场阀室关系!B:B,支线管道!C311,管道站场阀室关系!J:J)</f>
        <v>270</v>
      </c>
      <c r="M311" s="161" t="s">
        <v>1002</v>
      </c>
      <c r="N311" s="101" t="s">
        <v>909</v>
      </c>
      <c r="O311" s="161"/>
    </row>
    <row r="312" ht="30" spans="1:15">
      <c r="A312" s="161">
        <v>310</v>
      </c>
      <c r="B312" s="122" t="s">
        <v>86</v>
      </c>
      <c r="C312" s="166" t="s">
        <v>1003</v>
      </c>
      <c r="D312" s="161" t="s">
        <v>1004</v>
      </c>
      <c r="E312" s="161" t="s">
        <v>1005</v>
      </c>
      <c r="F312" s="88">
        <f>SUMIF(管道站场阀室关系!B:B,支线管道!C312,管道站场阀室关系!H:H)</f>
        <v>150.099</v>
      </c>
      <c r="G312" s="161" t="s">
        <v>1006</v>
      </c>
      <c r="H312" s="231"/>
      <c r="I312" s="231">
        <v>9.2</v>
      </c>
      <c r="J312" s="161">
        <v>19.4</v>
      </c>
      <c r="K312" s="161"/>
      <c r="L312" s="118">
        <f>SUMIF(管道站场阀室关系!B:B,支线管道!C312,管道站场阀室关系!J:J)</f>
        <v>59327</v>
      </c>
      <c r="M312" s="161" t="s">
        <v>1007</v>
      </c>
      <c r="N312" s="101" t="s">
        <v>909</v>
      </c>
      <c r="O312" s="161"/>
    </row>
    <row r="313" spans="1:15">
      <c r="A313" s="161">
        <v>311</v>
      </c>
      <c r="B313" s="122" t="s">
        <v>86</v>
      </c>
      <c r="C313" s="166" t="s">
        <v>1008</v>
      </c>
      <c r="D313" s="161" t="s">
        <v>1009</v>
      </c>
      <c r="E313" s="161" t="s">
        <v>1010</v>
      </c>
      <c r="F313" s="88">
        <f>SUMIF(管道站场阀室关系!B:B,支线管道!C313,管道站场阀室关系!H:H)</f>
        <v>2.17</v>
      </c>
      <c r="G313" s="161">
        <v>914</v>
      </c>
      <c r="H313" s="231"/>
      <c r="I313" s="231">
        <v>9.2</v>
      </c>
      <c r="J313" s="161"/>
      <c r="K313" s="161"/>
      <c r="L313" s="118">
        <f>SUMIF(管道站场阀室关系!B:B,支线管道!C313,管道站场阀室关系!J:J)</f>
        <v>1316</v>
      </c>
      <c r="M313" s="161">
        <v>20210301</v>
      </c>
      <c r="N313" s="101" t="s">
        <v>909</v>
      </c>
      <c r="O313" s="161"/>
    </row>
    <row r="314" s="213" customFormat="1" spans="1:15">
      <c r="A314" s="161">
        <v>312</v>
      </c>
      <c r="B314" s="122" t="s">
        <v>86</v>
      </c>
      <c r="C314" s="49" t="s">
        <v>1011</v>
      </c>
      <c r="D314" s="101" t="s">
        <v>1012</v>
      </c>
      <c r="E314" s="101" t="s">
        <v>1013</v>
      </c>
      <c r="F314" s="88">
        <f>SUMIF(管道站场阀室关系!B:B,支线管道!C314,管道站场阀室关系!H:H)</f>
        <v>29.66</v>
      </c>
      <c r="G314" s="161">
        <v>508</v>
      </c>
      <c r="H314" s="161"/>
      <c r="I314" s="161">
        <v>6.3</v>
      </c>
      <c r="J314" s="161">
        <v>12</v>
      </c>
      <c r="K314" s="161"/>
      <c r="L314" s="118">
        <f>SUMIF(管道站场阀室关系!B:B,支线管道!C314,管道站场阀室关系!J:J)</f>
        <v>5643</v>
      </c>
      <c r="M314" s="101">
        <v>20250522</v>
      </c>
      <c r="N314" s="101" t="s">
        <v>909</v>
      </c>
      <c r="O314" s="101"/>
    </row>
    <row r="315" s="209" customFormat="1" spans="1:15">
      <c r="A315" s="161">
        <v>316</v>
      </c>
      <c r="B315" s="122" t="s">
        <v>86</v>
      </c>
      <c r="C315" s="49" t="s">
        <v>1014</v>
      </c>
      <c r="D315" s="161" t="s">
        <v>1015</v>
      </c>
      <c r="E315" s="161" t="s">
        <v>1016</v>
      </c>
      <c r="F315" s="88">
        <f>SUMIF(管道站场阀室关系!B:B,支线管道!C315,管道站场阀室关系!H:H)</f>
        <v>58.3</v>
      </c>
      <c r="G315" s="239">
        <v>914</v>
      </c>
      <c r="H315" s="239"/>
      <c r="I315" s="239">
        <v>9.2</v>
      </c>
      <c r="J315" s="239">
        <v>80</v>
      </c>
      <c r="K315" s="161"/>
      <c r="L315" s="118">
        <f>SUMIF(管道站场阀室关系!B:B,支线管道!C315,管道站场阀室关系!J:J)</f>
        <v>36457</v>
      </c>
      <c r="M315" s="161">
        <v>20241019</v>
      </c>
      <c r="N315" s="101" t="s">
        <v>909</v>
      </c>
      <c r="O315" s="161"/>
    </row>
    <row r="316" s="209" customFormat="1" spans="1:15">
      <c r="A316" s="161">
        <v>317</v>
      </c>
      <c r="B316" s="122" t="s">
        <v>86</v>
      </c>
      <c r="C316" s="49" t="s">
        <v>1017</v>
      </c>
      <c r="D316" s="161" t="s">
        <v>1015</v>
      </c>
      <c r="E316" s="161" t="s">
        <v>1018</v>
      </c>
      <c r="F316" s="88">
        <f>SUMIF(管道站场阀室关系!B:B,支线管道!C316,管道站场阀室关系!H:H)</f>
        <v>0.462</v>
      </c>
      <c r="G316" s="239">
        <v>914</v>
      </c>
      <c r="H316" s="239"/>
      <c r="I316" s="239">
        <v>9.2</v>
      </c>
      <c r="J316" s="239">
        <v>80</v>
      </c>
      <c r="K316" s="161"/>
      <c r="L316" s="118">
        <f>SUMIF(管道站场阀室关系!B:B,支线管道!C316,管道站场阀室关系!J:J)</f>
        <v>0</v>
      </c>
      <c r="M316" s="161">
        <v>20241019</v>
      </c>
      <c r="N316" s="101" t="s">
        <v>909</v>
      </c>
      <c r="O316" s="161"/>
    </row>
    <row r="317" s="211" customFormat="1" ht="30" spans="1:15">
      <c r="A317" s="161">
        <v>313</v>
      </c>
      <c r="B317" s="122" t="s">
        <v>88</v>
      </c>
      <c r="C317" s="166" t="s">
        <v>1019</v>
      </c>
      <c r="D317" s="161" t="s">
        <v>1020</v>
      </c>
      <c r="E317" s="161" t="s">
        <v>1016</v>
      </c>
      <c r="F317" s="88">
        <f>SUMIF(管道站场阀室关系!B:B,支线管道!C317,管道站场阀室关系!H:H)</f>
        <v>150.18</v>
      </c>
      <c r="G317" s="161">
        <v>914</v>
      </c>
      <c r="H317" s="161"/>
      <c r="I317" s="161">
        <v>9.2</v>
      </c>
      <c r="J317" s="240">
        <v>36.39</v>
      </c>
      <c r="K317" s="161"/>
      <c r="L317" s="118">
        <f>SUMIF(管道站场阀室关系!B:B,支线管道!C317,管道站场阀室关系!J:J)</f>
        <v>90858</v>
      </c>
      <c r="M317" s="161" t="s">
        <v>1021</v>
      </c>
      <c r="N317" s="101" t="s">
        <v>909</v>
      </c>
      <c r="O317" s="228"/>
    </row>
    <row r="318" s="211" customFormat="1" spans="1:15">
      <c r="A318" s="161">
        <v>314</v>
      </c>
      <c r="B318" s="122" t="s">
        <v>88</v>
      </c>
      <c r="C318" s="166" t="s">
        <v>1022</v>
      </c>
      <c r="D318" s="161" t="s">
        <v>1023</v>
      </c>
      <c r="E318" s="161" t="s">
        <v>1024</v>
      </c>
      <c r="F318" s="88">
        <f>SUMIF(管道站场阀室关系!B:B,支线管道!C318,管道站场阀室关系!H:H)</f>
        <v>14.1</v>
      </c>
      <c r="G318" s="161">
        <v>323.9</v>
      </c>
      <c r="H318" s="161"/>
      <c r="I318" s="161">
        <v>9.2</v>
      </c>
      <c r="J318" s="240"/>
      <c r="K318" s="161"/>
      <c r="L318" s="118">
        <f>SUMIF(管道站场阀室关系!B:B,支线管道!C318,管道站场阀室关系!J:J)</f>
        <v>1054</v>
      </c>
      <c r="M318" s="161">
        <v>20230916</v>
      </c>
      <c r="N318" s="101" t="s">
        <v>909</v>
      </c>
      <c r="O318" s="241" t="s">
        <v>1025</v>
      </c>
    </row>
    <row r="319" s="211" customFormat="1" spans="1:15">
      <c r="A319" s="161">
        <v>315</v>
      </c>
      <c r="B319" s="122" t="s">
        <v>88</v>
      </c>
      <c r="C319" s="166" t="s">
        <v>1026</v>
      </c>
      <c r="D319" s="161" t="s">
        <v>1027</v>
      </c>
      <c r="E319" s="161" t="s">
        <v>1028</v>
      </c>
      <c r="F319" s="88">
        <f>SUMIF(管道站场阀室关系!B:B,支线管道!C319,管道站场阀室关系!H:H)</f>
        <v>15</v>
      </c>
      <c r="G319" s="161">
        <v>323.9</v>
      </c>
      <c r="H319" s="161"/>
      <c r="I319" s="161">
        <v>9.2</v>
      </c>
      <c r="J319" s="240"/>
      <c r="K319" s="161"/>
      <c r="L319" s="118">
        <f>SUMIF(管道站场阀室关系!B:B,支线管道!C319,管道站场阀室关系!J:J)</f>
        <v>1129</v>
      </c>
      <c r="M319" s="161">
        <v>20231112</v>
      </c>
      <c r="N319" s="101" t="s">
        <v>909</v>
      </c>
      <c r="O319" s="241" t="s">
        <v>1025</v>
      </c>
    </row>
    <row r="320" spans="1:15">
      <c r="A320" s="161">
        <v>318</v>
      </c>
      <c r="B320" s="122" t="s">
        <v>89</v>
      </c>
      <c r="C320" s="219" t="s">
        <v>1029</v>
      </c>
      <c r="D320" s="161" t="s">
        <v>1030</v>
      </c>
      <c r="E320" s="161" t="s">
        <v>1031</v>
      </c>
      <c r="F320" s="88">
        <f>SUMIF(管道站场阀室关系!B:B,支线管道!C320,管道站场阀室关系!H:H)</f>
        <v>80.65183</v>
      </c>
      <c r="G320" s="161">
        <v>813</v>
      </c>
      <c r="H320" s="231"/>
      <c r="I320" s="231">
        <v>6.3</v>
      </c>
      <c r="J320" s="161">
        <v>19.2</v>
      </c>
      <c r="K320" s="161"/>
      <c r="L320" s="118">
        <f>SUMIF(管道站场阀室关系!B:B,支线管道!C320,管道站场阀室关系!J:J)</f>
        <v>39438</v>
      </c>
      <c r="M320" s="161"/>
      <c r="N320" s="101" t="s">
        <v>909</v>
      </c>
      <c r="O320" s="161"/>
    </row>
    <row r="321" spans="1:15">
      <c r="A321" s="161">
        <v>319</v>
      </c>
      <c r="B321" s="122" t="s">
        <v>89</v>
      </c>
      <c r="C321" s="219" t="s">
        <v>1032</v>
      </c>
      <c r="D321" s="161" t="s">
        <v>1031</v>
      </c>
      <c r="E321" s="161" t="s">
        <v>1033</v>
      </c>
      <c r="F321" s="88">
        <f>SUMIF(管道站场阀室关系!B:B,支线管道!C321,管道站场阀室关系!H:H)</f>
        <v>3.567</v>
      </c>
      <c r="G321" s="161">
        <v>813</v>
      </c>
      <c r="H321" s="231"/>
      <c r="I321" s="161">
        <v>6.3</v>
      </c>
      <c r="J321" s="161"/>
      <c r="K321" s="161"/>
      <c r="L321" s="118">
        <f>SUMIF(管道站场阀室关系!B:B,支线管道!C321,管道站场阀室关系!J:J)</f>
        <v>1707</v>
      </c>
      <c r="M321" s="161"/>
      <c r="N321" s="101" t="s">
        <v>909</v>
      </c>
      <c r="O321" s="161"/>
    </row>
    <row r="322" spans="1:15">
      <c r="A322" s="161">
        <v>320</v>
      </c>
      <c r="B322" s="122" t="s">
        <v>89</v>
      </c>
      <c r="C322" s="219" t="s">
        <v>1034</v>
      </c>
      <c r="D322" s="161" t="s">
        <v>1035</v>
      </c>
      <c r="E322" s="161" t="s">
        <v>1036</v>
      </c>
      <c r="F322" s="88">
        <f>SUMIF(管道站场阀室关系!B:B,支线管道!C322,管道站场阀室关系!H:H)</f>
        <v>11.46</v>
      </c>
      <c r="G322" s="161">
        <v>273</v>
      </c>
      <c r="H322" s="231"/>
      <c r="I322" s="161">
        <v>6.3</v>
      </c>
      <c r="J322" s="161"/>
      <c r="K322" s="161"/>
      <c r="L322" s="118">
        <f>SUMIF(管道站场阀室关系!B:B,支线管道!C322,管道站场阀室关系!J:J)</f>
        <v>572</v>
      </c>
      <c r="M322" s="161"/>
      <c r="N322" s="101" t="s">
        <v>909</v>
      </c>
      <c r="O322" s="161"/>
    </row>
    <row r="323" spans="1:15">
      <c r="A323" s="161">
        <v>321</v>
      </c>
      <c r="B323" s="122" t="s">
        <v>89</v>
      </c>
      <c r="C323" s="219" t="s">
        <v>1037</v>
      </c>
      <c r="D323" s="161" t="s">
        <v>1036</v>
      </c>
      <c r="E323" s="161" t="s">
        <v>1038</v>
      </c>
      <c r="F323" s="88">
        <f>SUMIF(管道站场阀室关系!B:B,支线管道!C323,管道站场阀室关系!H:H)</f>
        <v>1</v>
      </c>
      <c r="G323" s="161">
        <v>168.3</v>
      </c>
      <c r="H323" s="231"/>
      <c r="I323" s="161">
        <v>6.3</v>
      </c>
      <c r="J323" s="161"/>
      <c r="K323" s="161"/>
      <c r="L323" s="118">
        <f>SUMIF(管道站场阀室关系!B:B,支线管道!C323,管道站场阀室关系!J:J)</f>
        <v>16</v>
      </c>
      <c r="M323" s="161"/>
      <c r="N323" s="101" t="s">
        <v>909</v>
      </c>
      <c r="O323" s="161"/>
    </row>
    <row r="324" spans="1:15">
      <c r="A324" s="161">
        <v>322</v>
      </c>
      <c r="B324" s="122" t="s">
        <v>89</v>
      </c>
      <c r="C324" s="219" t="s">
        <v>1039</v>
      </c>
      <c r="D324" s="161" t="s">
        <v>1035</v>
      </c>
      <c r="E324" s="161" t="s">
        <v>1040</v>
      </c>
      <c r="F324" s="88">
        <f>SUMIF(管道站场阀室关系!B:B,支线管道!C324,管道站场阀室关系!H:H)</f>
        <v>0.08</v>
      </c>
      <c r="G324" s="161"/>
      <c r="H324" s="231"/>
      <c r="I324" s="161"/>
      <c r="J324" s="161"/>
      <c r="K324" s="161"/>
      <c r="L324" s="118">
        <f>SUMIF(管道站场阀室关系!B:B,支线管道!C324,管道站场阀室关系!J:J)</f>
        <v>0</v>
      </c>
      <c r="M324" s="161"/>
      <c r="N324" s="101" t="s">
        <v>909</v>
      </c>
      <c r="O324" s="161"/>
    </row>
    <row r="325" spans="1:15">
      <c r="A325" s="161">
        <v>323</v>
      </c>
      <c r="B325" s="122" t="s">
        <v>89</v>
      </c>
      <c r="C325" s="219" t="s">
        <v>1041</v>
      </c>
      <c r="D325" s="161" t="s">
        <v>1030</v>
      </c>
      <c r="E325" s="161" t="s">
        <v>1042</v>
      </c>
      <c r="F325" s="88">
        <f>SUMIF(管道站场阀室关系!B:B,支线管道!C325,管道站场阀室关系!H:H)</f>
        <v>2.94</v>
      </c>
      <c r="G325" s="161">
        <v>660</v>
      </c>
      <c r="H325" s="231"/>
      <c r="I325" s="161">
        <v>6.3</v>
      </c>
      <c r="J325" s="161"/>
      <c r="K325" s="161"/>
      <c r="L325" s="118">
        <f>SUMIF(管道站场阀室关系!B:B,支线管道!C325,管道站场阀室关系!J:J)</f>
        <v>935</v>
      </c>
      <c r="M325" s="161"/>
      <c r="N325" s="101" t="s">
        <v>909</v>
      </c>
      <c r="O325" s="161"/>
    </row>
    <row r="326" spans="1:15">
      <c r="A326" s="161">
        <v>324</v>
      </c>
      <c r="B326" s="122" t="s">
        <v>89</v>
      </c>
      <c r="C326" s="219" t="s">
        <v>1043</v>
      </c>
      <c r="D326" s="161" t="s">
        <v>1044</v>
      </c>
      <c r="E326" s="161" t="s">
        <v>1030</v>
      </c>
      <c r="F326" s="88">
        <f>SUMIF(管道站场阀室关系!B:B,支线管道!C326,管道站场阀室关系!H:H)</f>
        <v>0.5</v>
      </c>
      <c r="G326" s="161">
        <v>813</v>
      </c>
      <c r="H326" s="231"/>
      <c r="I326" s="161">
        <v>6.3</v>
      </c>
      <c r="J326" s="161"/>
      <c r="K326" s="161"/>
      <c r="L326" s="118">
        <f>SUMIF(管道站场阀室关系!B:B,支线管道!C326,管道站场阀室关系!J:J)</f>
        <v>244</v>
      </c>
      <c r="M326" s="161"/>
      <c r="N326" s="101" t="s">
        <v>909</v>
      </c>
      <c r="O326" s="161"/>
    </row>
    <row r="327" spans="1:15">
      <c r="A327" s="161">
        <v>325</v>
      </c>
      <c r="B327" s="122" t="s">
        <v>89</v>
      </c>
      <c r="C327" s="219" t="s">
        <v>1045</v>
      </c>
      <c r="D327" s="161" t="s">
        <v>1046</v>
      </c>
      <c r="E327" s="161" t="s">
        <v>1047</v>
      </c>
      <c r="F327" s="88">
        <f>SUMIF(管道站场阀室关系!B:B,支线管道!C327,管道站场阀室关系!H:H)</f>
        <v>0.2</v>
      </c>
      <c r="G327" s="161">
        <v>660</v>
      </c>
      <c r="H327" s="231"/>
      <c r="I327" s="161">
        <v>6.3</v>
      </c>
      <c r="J327" s="161"/>
      <c r="K327" s="161"/>
      <c r="L327" s="118">
        <f>SUMIF(管道站场阀室关系!B:B,支线管道!C327,管道站场阀室关系!J:J)</f>
        <v>63</v>
      </c>
      <c r="M327" s="161"/>
      <c r="N327" s="101" t="s">
        <v>909</v>
      </c>
      <c r="O327" s="161"/>
    </row>
    <row r="328" spans="1:15">
      <c r="A328" s="161">
        <v>326</v>
      </c>
      <c r="B328" s="122" t="s">
        <v>89</v>
      </c>
      <c r="C328" s="219" t="s">
        <v>1048</v>
      </c>
      <c r="D328" s="161" t="s">
        <v>1047</v>
      </c>
      <c r="E328" s="161" t="s">
        <v>1049</v>
      </c>
      <c r="F328" s="88">
        <f>SUMIF(管道站场阀室关系!B:B,支线管道!C328,管道站场阀室关系!H:H)</f>
        <v>52.0309</v>
      </c>
      <c r="G328" s="161">
        <v>273</v>
      </c>
      <c r="H328" s="231"/>
      <c r="I328" s="231">
        <v>4</v>
      </c>
      <c r="J328" s="161">
        <v>27</v>
      </c>
      <c r="K328" s="161"/>
      <c r="L328" s="118">
        <f>SUMIF(管道站场阀室关系!B:B,支线管道!C328,管道站场阀室关系!J:J)</f>
        <v>2771</v>
      </c>
      <c r="M328" s="161"/>
      <c r="N328" s="101" t="s">
        <v>909</v>
      </c>
      <c r="O328" s="161"/>
    </row>
    <row r="329" spans="1:15">
      <c r="A329" s="161">
        <v>327</v>
      </c>
      <c r="B329" s="122" t="s">
        <v>89</v>
      </c>
      <c r="C329" s="219" t="s">
        <v>1050</v>
      </c>
      <c r="D329" s="161" t="s">
        <v>1051</v>
      </c>
      <c r="E329" s="161" t="s">
        <v>1052</v>
      </c>
      <c r="F329" s="88">
        <f>SUMIF(管道站场阀室关系!B:B,支线管道!C329,管道站场阀室关系!H:H)</f>
        <v>0.2</v>
      </c>
      <c r="G329" s="161">
        <v>273</v>
      </c>
      <c r="H329" s="231"/>
      <c r="I329" s="231">
        <v>4</v>
      </c>
      <c r="J329" s="161">
        <v>27</v>
      </c>
      <c r="K329" s="161"/>
      <c r="L329" s="118">
        <f>SUMIF(管道站场阀室关系!B:B,支线管道!C329,管道站场阀室关系!J:J)</f>
        <v>11</v>
      </c>
      <c r="M329" s="161"/>
      <c r="N329" s="101" t="s">
        <v>909</v>
      </c>
      <c r="O329" s="161"/>
    </row>
    <row r="330" spans="1:15">
      <c r="A330" s="161">
        <v>328</v>
      </c>
      <c r="B330" s="122" t="s">
        <v>89</v>
      </c>
      <c r="C330" s="219" t="s">
        <v>1053</v>
      </c>
      <c r="D330" s="161" t="s">
        <v>1052</v>
      </c>
      <c r="E330" s="161" t="s">
        <v>1054</v>
      </c>
      <c r="F330" s="88">
        <f>SUMIF(管道站场阀室关系!B:B,支线管道!C330,管道站场阀室关系!H:H)</f>
        <v>4.91</v>
      </c>
      <c r="G330" s="161">
        <v>273</v>
      </c>
      <c r="H330" s="231"/>
      <c r="I330" s="231">
        <v>4</v>
      </c>
      <c r="J330" s="161"/>
      <c r="K330" s="161"/>
      <c r="L330" s="118">
        <f>SUMIF(管道站场阀室关系!B:B,支线管道!C330,管道站场阀室关系!J:J)</f>
        <v>264</v>
      </c>
      <c r="M330" s="161"/>
      <c r="N330" s="101" t="s">
        <v>909</v>
      </c>
      <c r="O330" s="161"/>
    </row>
    <row r="331" spans="1:15">
      <c r="A331" s="161">
        <v>329</v>
      </c>
      <c r="B331" s="122" t="s">
        <v>89</v>
      </c>
      <c r="C331" s="219" t="s">
        <v>1055</v>
      </c>
      <c r="D331" s="161" t="s">
        <v>1047</v>
      </c>
      <c r="E331" s="161" t="s">
        <v>1056</v>
      </c>
      <c r="F331" s="88">
        <f>SUMIF(管道站场阀室关系!B:B,支线管道!C331,管道站场阀室关系!H:H)</f>
        <v>19.34</v>
      </c>
      <c r="G331" s="161">
        <v>273</v>
      </c>
      <c r="H331" s="231"/>
      <c r="I331" s="231">
        <v>4</v>
      </c>
      <c r="J331" s="161">
        <v>27</v>
      </c>
      <c r="K331" s="161"/>
      <c r="L331" s="118">
        <f>SUMIF(管道站场阀室关系!B:B,支线管道!C331,管道站场阀室关系!J:J)</f>
        <v>1041</v>
      </c>
      <c r="M331" s="161"/>
      <c r="N331" s="101" t="s">
        <v>909</v>
      </c>
      <c r="O331" s="161"/>
    </row>
    <row r="332" spans="1:15">
      <c r="A332" s="161">
        <v>330</v>
      </c>
      <c r="B332" s="122" t="s">
        <v>89</v>
      </c>
      <c r="C332" s="219" t="s">
        <v>1057</v>
      </c>
      <c r="D332" s="161" t="s">
        <v>1058</v>
      </c>
      <c r="E332" s="161" t="s">
        <v>1056</v>
      </c>
      <c r="F332" s="88">
        <f>SUMIF(管道站场阀室关系!B:B,支线管道!C332,管道站场阀室关系!H:H)</f>
        <v>0.05</v>
      </c>
      <c r="G332" s="239">
        <v>325</v>
      </c>
      <c r="H332" s="231"/>
      <c r="I332" s="239">
        <v>10</v>
      </c>
      <c r="J332" s="239">
        <v>2.03</v>
      </c>
      <c r="K332" s="161"/>
      <c r="L332" s="118">
        <f>SUMIF(管道站场阀室关系!B:B,支线管道!C332,管道站场阀室关系!J:J)</f>
        <v>3</v>
      </c>
      <c r="M332" s="161"/>
      <c r="N332" s="101" t="s">
        <v>909</v>
      </c>
      <c r="O332" s="161"/>
    </row>
    <row r="333" spans="1:15">
      <c r="A333" s="161">
        <v>331</v>
      </c>
      <c r="B333" s="122" t="s">
        <v>89</v>
      </c>
      <c r="C333" s="219" t="s">
        <v>1059</v>
      </c>
      <c r="D333" s="161" t="s">
        <v>1056</v>
      </c>
      <c r="E333" s="161" t="s">
        <v>1060</v>
      </c>
      <c r="F333" s="88">
        <f>SUMIF(管道站场阀室关系!B:B,支线管道!C333,管道站场阀室关系!H:H)</f>
        <v>20.67</v>
      </c>
      <c r="G333" s="239">
        <v>406.4</v>
      </c>
      <c r="H333" s="231"/>
      <c r="I333" s="239">
        <v>6.3</v>
      </c>
      <c r="J333" s="239">
        <v>2.03</v>
      </c>
      <c r="K333" s="161"/>
      <c r="L333" s="118">
        <f>SUMIF(管道站场阀室关系!B:B,支线管道!C333,管道站场阀室关系!J:J)</f>
        <v>2454</v>
      </c>
      <c r="M333" s="161"/>
      <c r="N333" s="101" t="s">
        <v>909</v>
      </c>
      <c r="O333" s="161"/>
    </row>
    <row r="334" spans="1:15">
      <c r="A334" s="161">
        <v>332</v>
      </c>
      <c r="B334" s="122" t="s">
        <v>89</v>
      </c>
      <c r="C334" s="219" t="s">
        <v>1061</v>
      </c>
      <c r="D334" s="161" t="s">
        <v>1062</v>
      </c>
      <c r="E334" s="161" t="s">
        <v>1063</v>
      </c>
      <c r="F334" s="88">
        <f>SUMIF(管道站场阀室关系!B:B,支线管道!C334,管道站场阀室关系!H:H)</f>
        <v>85.2288</v>
      </c>
      <c r="G334" s="161">
        <v>813</v>
      </c>
      <c r="H334" s="231"/>
      <c r="I334" s="231">
        <v>6.3</v>
      </c>
      <c r="J334" s="161">
        <v>27</v>
      </c>
      <c r="K334" s="161"/>
      <c r="L334" s="118">
        <f>SUMIF(管道站场阀室关系!B:B,支线管道!C334,管道站场阀室关系!J:J)</f>
        <v>41692</v>
      </c>
      <c r="M334" s="161"/>
      <c r="N334" s="101" t="s">
        <v>909</v>
      </c>
      <c r="O334" s="161"/>
    </row>
    <row r="335" spans="1:15">
      <c r="A335" s="161">
        <v>333</v>
      </c>
      <c r="B335" s="122" t="s">
        <v>89</v>
      </c>
      <c r="C335" s="219" t="s">
        <v>1064</v>
      </c>
      <c r="D335" s="161" t="s">
        <v>1065</v>
      </c>
      <c r="E335" s="161" t="s">
        <v>1062</v>
      </c>
      <c r="F335" s="88">
        <f>SUMIF(管道站场阀室关系!B:B,支线管道!C335,管道站场阀室关系!H:H)</f>
        <v>0.6</v>
      </c>
      <c r="G335" s="161">
        <v>660</v>
      </c>
      <c r="H335" s="231"/>
      <c r="I335" s="231">
        <v>6.3</v>
      </c>
      <c r="J335" s="161"/>
      <c r="K335" s="161"/>
      <c r="L335" s="118">
        <f>SUMIF(管道站场阀室关系!B:B,支线管道!C335,管道站场阀室关系!J:J)</f>
        <v>191</v>
      </c>
      <c r="M335" s="161"/>
      <c r="N335" s="101" t="s">
        <v>909</v>
      </c>
      <c r="O335" s="161"/>
    </row>
    <row r="336" spans="1:15">
      <c r="A336" s="161">
        <v>334</v>
      </c>
      <c r="B336" s="122" t="s">
        <v>89</v>
      </c>
      <c r="C336" s="219" t="s">
        <v>1066</v>
      </c>
      <c r="D336" s="161" t="s">
        <v>1067</v>
      </c>
      <c r="E336" s="161" t="s">
        <v>1068</v>
      </c>
      <c r="F336" s="88">
        <f>SUMIF(管道站场阀室关系!B:B,支线管道!C336,管道站场阀室关系!H:H)</f>
        <v>34</v>
      </c>
      <c r="G336" s="161">
        <v>660</v>
      </c>
      <c r="H336" s="231"/>
      <c r="I336" s="231">
        <v>6.3</v>
      </c>
      <c r="J336" s="161"/>
      <c r="K336" s="161"/>
      <c r="L336" s="118">
        <f>SUMIF(管道站场阀室关系!B:B,支线管道!C336,管道站场阀室关系!J:J)</f>
        <v>10801</v>
      </c>
      <c r="M336" s="161">
        <v>201505</v>
      </c>
      <c r="N336" s="101" t="s">
        <v>909</v>
      </c>
      <c r="O336" s="161"/>
    </row>
    <row r="337" ht="30" spans="1:15">
      <c r="A337" s="161">
        <v>335</v>
      </c>
      <c r="B337" s="122" t="s">
        <v>89</v>
      </c>
      <c r="C337" s="219" t="s">
        <v>1069</v>
      </c>
      <c r="D337" s="161" t="s">
        <v>1065</v>
      </c>
      <c r="E337" s="161" t="s">
        <v>1070</v>
      </c>
      <c r="F337" s="88">
        <f>SUMIF(管道站场阀室关系!B:B,支线管道!C337,管道站场阀室关系!H:H)</f>
        <v>78.19</v>
      </c>
      <c r="G337" s="161">
        <v>813</v>
      </c>
      <c r="H337" s="231"/>
      <c r="I337" s="231">
        <v>6.3</v>
      </c>
      <c r="J337" s="161">
        <v>6.75</v>
      </c>
      <c r="K337" s="161"/>
      <c r="L337" s="118">
        <f>SUMIF(管道站场阀室关系!B:B,支线管道!C337,管道站场阀室关系!J:J)</f>
        <v>37978</v>
      </c>
      <c r="M337" s="161" t="s">
        <v>1071</v>
      </c>
      <c r="N337" s="101" t="s">
        <v>909</v>
      </c>
      <c r="O337" s="161"/>
    </row>
    <row r="338" spans="1:15">
      <c r="A338" s="161">
        <v>336</v>
      </c>
      <c r="B338" s="122" t="s">
        <v>89</v>
      </c>
      <c r="C338" s="219" t="s">
        <v>1072</v>
      </c>
      <c r="D338" s="161" t="s">
        <v>1073</v>
      </c>
      <c r="E338" s="161" t="s">
        <v>1031</v>
      </c>
      <c r="F338" s="88">
        <f>SUMIF(管道站场阀室关系!B:B,支线管道!C338,管道站场阀室关系!H:H)</f>
        <v>247.4389</v>
      </c>
      <c r="G338" s="161">
        <v>813</v>
      </c>
      <c r="H338" s="231"/>
      <c r="I338" s="231">
        <v>6.3</v>
      </c>
      <c r="J338" s="161">
        <v>35.08</v>
      </c>
      <c r="K338" s="161"/>
      <c r="L338" s="118">
        <f>SUMIF(管道站场阀室关系!B:B,支线管道!C338,管道站场阀室关系!J:J)</f>
        <v>121476</v>
      </c>
      <c r="M338" s="161"/>
      <c r="N338" s="101" t="s">
        <v>909</v>
      </c>
      <c r="O338" s="161"/>
    </row>
    <row r="339" spans="1:15">
      <c r="A339" s="161">
        <v>337</v>
      </c>
      <c r="B339" s="122" t="s">
        <v>89</v>
      </c>
      <c r="C339" s="219" t="s">
        <v>1074</v>
      </c>
      <c r="D339" s="161" t="s">
        <v>1075</v>
      </c>
      <c r="E339" s="161" t="s">
        <v>1076</v>
      </c>
      <c r="F339" s="88">
        <f>SUMIF(管道站场阀室关系!B:B,支线管道!C339,管道站场阀室关系!H:H)</f>
        <v>2.44</v>
      </c>
      <c r="G339" s="161">
        <v>406.4</v>
      </c>
      <c r="H339" s="231"/>
      <c r="I339" s="231">
        <v>6.3</v>
      </c>
      <c r="J339" s="161"/>
      <c r="K339" s="161"/>
      <c r="L339" s="118">
        <f>SUMIF(管道站场阀室关系!B:B,支线管道!C339,管道站场阀室关系!J:J)</f>
        <v>288</v>
      </c>
      <c r="M339" s="161"/>
      <c r="N339" s="101" t="s">
        <v>909</v>
      </c>
      <c r="O339" s="161"/>
    </row>
    <row r="340" spans="1:15">
      <c r="A340" s="161">
        <v>338</v>
      </c>
      <c r="B340" s="122" t="s">
        <v>89</v>
      </c>
      <c r="C340" s="219" t="s">
        <v>1077</v>
      </c>
      <c r="D340" s="161" t="s">
        <v>1078</v>
      </c>
      <c r="E340" s="161" t="s">
        <v>1079</v>
      </c>
      <c r="F340" s="88">
        <f>SUMIF(管道站场阀室关系!B:B,支线管道!C340,管道站场阀室关系!H:H)</f>
        <v>6.4</v>
      </c>
      <c r="G340" s="161">
        <v>660</v>
      </c>
      <c r="H340" s="231"/>
      <c r="I340" s="231">
        <v>6.3</v>
      </c>
      <c r="J340" s="161"/>
      <c r="K340" s="161"/>
      <c r="L340" s="118">
        <f>SUMIF(管道站场阀室关系!B:B,支线管道!C340,管道站场阀室关系!J:J)</f>
        <v>1984</v>
      </c>
      <c r="M340" s="161"/>
      <c r="N340" s="101" t="s">
        <v>909</v>
      </c>
      <c r="O340" s="161"/>
    </row>
    <row r="341" spans="1:15">
      <c r="A341" s="161">
        <v>339</v>
      </c>
      <c r="B341" s="122" t="s">
        <v>89</v>
      </c>
      <c r="C341" s="219" t="s">
        <v>1080</v>
      </c>
      <c r="D341" s="161" t="s">
        <v>1078</v>
      </c>
      <c r="E341" s="161" t="s">
        <v>1081</v>
      </c>
      <c r="F341" s="88">
        <f>SUMIF(管道站场阀室关系!B:B,支线管道!C341,管道站场阀室关系!H:H)</f>
        <v>4.9</v>
      </c>
      <c r="G341" s="239">
        <v>323.9</v>
      </c>
      <c r="H341" s="231"/>
      <c r="I341" s="231">
        <v>6.3</v>
      </c>
      <c r="J341" s="161"/>
      <c r="K341" s="161"/>
      <c r="L341" s="118">
        <f>SUMIF(管道站场阀室关系!B:B,支线管道!C341,管道站场阀室关系!J:J)</f>
        <v>367</v>
      </c>
      <c r="M341" s="161"/>
      <c r="N341" s="101" t="s">
        <v>909</v>
      </c>
      <c r="O341" s="161"/>
    </row>
    <row r="342" spans="1:15">
      <c r="A342" s="161">
        <v>340</v>
      </c>
      <c r="B342" s="122" t="s">
        <v>89</v>
      </c>
      <c r="C342" s="219" t="s">
        <v>1082</v>
      </c>
      <c r="D342" s="161" t="s">
        <v>1083</v>
      </c>
      <c r="E342" s="161" t="s">
        <v>1084</v>
      </c>
      <c r="F342" s="88">
        <f>SUMIF(管道站场阀室关系!B:B,支线管道!C342,管道站场阀室关系!H:H)</f>
        <v>6.89</v>
      </c>
      <c r="G342" s="239">
        <v>323.9</v>
      </c>
      <c r="H342" s="231"/>
      <c r="I342" s="231">
        <v>6.3</v>
      </c>
      <c r="J342" s="161"/>
      <c r="K342" s="161"/>
      <c r="L342" s="118">
        <f>SUMIF(管道站场阀室关系!B:B,支线管道!C342,管道站场阀室关系!J:J)</f>
        <v>503</v>
      </c>
      <c r="M342" s="161"/>
      <c r="N342" s="101" t="s">
        <v>909</v>
      </c>
      <c r="O342" s="161"/>
    </row>
    <row r="343" spans="1:15">
      <c r="A343" s="161">
        <v>341</v>
      </c>
      <c r="B343" s="122" t="s">
        <v>89</v>
      </c>
      <c r="C343" s="219" t="s">
        <v>1085</v>
      </c>
      <c r="D343" s="161" t="s">
        <v>1086</v>
      </c>
      <c r="E343" s="161" t="s">
        <v>1087</v>
      </c>
      <c r="F343" s="88">
        <f>SUMIF(管道站场阀室关系!B:B,支线管道!C343,管道站场阀室关系!H:H)</f>
        <v>6.527</v>
      </c>
      <c r="G343" s="161">
        <v>406.4</v>
      </c>
      <c r="H343" s="231"/>
      <c r="I343" s="231">
        <v>6.3</v>
      </c>
      <c r="J343" s="161"/>
      <c r="K343" s="161"/>
      <c r="L343" s="118">
        <f>SUMIF(管道站场阀室关系!B:B,支线管道!C343,管道站场阀室关系!J:J)</f>
        <v>762</v>
      </c>
      <c r="M343" s="161"/>
      <c r="N343" s="101" t="s">
        <v>909</v>
      </c>
      <c r="O343" s="161"/>
    </row>
    <row r="344" ht="30" spans="1:15">
      <c r="A344" s="161">
        <v>342</v>
      </c>
      <c r="B344" s="122" t="s">
        <v>89</v>
      </c>
      <c r="C344" s="219" t="s">
        <v>1088</v>
      </c>
      <c r="D344" s="161" t="s">
        <v>1089</v>
      </c>
      <c r="E344" s="161" t="s">
        <v>1090</v>
      </c>
      <c r="F344" s="88">
        <f>SUMIF(管道站场阀室关系!B:B,支线管道!C344,管道站场阀室关系!H:H)</f>
        <v>32.13</v>
      </c>
      <c r="G344" s="161" t="s">
        <v>1091</v>
      </c>
      <c r="H344" s="231"/>
      <c r="I344" s="231">
        <v>6.3</v>
      </c>
      <c r="J344" s="161"/>
      <c r="K344" s="161"/>
      <c r="L344" s="118">
        <f>SUMIF(管道站场阀室关系!B:B,支线管道!C344,管道站场阀室关系!J:J)</f>
        <v>9108</v>
      </c>
      <c r="M344" s="161"/>
      <c r="N344" s="101" t="s">
        <v>909</v>
      </c>
      <c r="O344" s="161"/>
    </row>
    <row r="345" spans="1:15">
      <c r="A345" s="161">
        <v>343</v>
      </c>
      <c r="B345" s="122" t="s">
        <v>89</v>
      </c>
      <c r="C345" s="219" t="s">
        <v>1092</v>
      </c>
      <c r="D345" s="161" t="s">
        <v>1093</v>
      </c>
      <c r="E345" s="161" t="s">
        <v>1094</v>
      </c>
      <c r="F345" s="88">
        <f>SUMIF(管道站场阀室关系!B:B,支线管道!C345,管道站场阀室关系!H:H)</f>
        <v>0.3</v>
      </c>
      <c r="G345" s="161">
        <v>610</v>
      </c>
      <c r="H345" s="231"/>
      <c r="I345" s="231">
        <v>6.3</v>
      </c>
      <c r="J345" s="161">
        <v>33</v>
      </c>
      <c r="K345" s="161"/>
      <c r="L345" s="118">
        <f>SUMIF(管道站场阀室关系!B:B,支线管道!C345,管道站场阀室关系!J:J)</f>
        <v>81</v>
      </c>
      <c r="M345" s="161"/>
      <c r="N345" s="101" t="s">
        <v>909</v>
      </c>
      <c r="O345" s="161"/>
    </row>
    <row r="346" spans="1:15">
      <c r="A346" s="161">
        <v>344</v>
      </c>
      <c r="B346" s="122" t="s">
        <v>89</v>
      </c>
      <c r="C346" s="219" t="s">
        <v>1095</v>
      </c>
      <c r="D346" s="161" t="s">
        <v>1096</v>
      </c>
      <c r="E346" s="161" t="s">
        <v>1073</v>
      </c>
      <c r="F346" s="88">
        <f>SUMIF(管道站场阀室关系!B:B,支线管道!C346,管道站场阀室关系!H:H)</f>
        <v>7.15</v>
      </c>
      <c r="G346" s="161">
        <v>813</v>
      </c>
      <c r="H346" s="231"/>
      <c r="I346" s="231">
        <v>6.3</v>
      </c>
      <c r="J346" s="161"/>
      <c r="K346" s="161"/>
      <c r="L346" s="118">
        <f>SUMIF(管道站场阀室关系!B:B,支线管道!C346,管道站场阀室关系!J:J)</f>
        <v>3510</v>
      </c>
      <c r="M346" s="161"/>
      <c r="N346" s="101" t="s">
        <v>909</v>
      </c>
      <c r="O346" s="161"/>
    </row>
    <row r="347" spans="1:15">
      <c r="A347" s="161">
        <v>345</v>
      </c>
      <c r="B347" s="122" t="s">
        <v>89</v>
      </c>
      <c r="C347" s="219" t="s">
        <v>1097</v>
      </c>
      <c r="D347" s="161" t="s">
        <v>1098</v>
      </c>
      <c r="E347" s="161" t="s">
        <v>1073</v>
      </c>
      <c r="F347" s="88">
        <f>SUMIF(管道站场阀室关系!B:B,支线管道!C347,管道站场阀室关系!H:H)</f>
        <v>34.2</v>
      </c>
      <c r="G347" s="161">
        <v>1016</v>
      </c>
      <c r="H347" s="231"/>
      <c r="I347" s="231">
        <v>7</v>
      </c>
      <c r="J347" s="161">
        <v>84</v>
      </c>
      <c r="K347" s="161"/>
      <c r="L347" s="118">
        <f>SUMIF(管道站场阀室关系!B:B,支线管道!C347,管道站场阀室关系!J:J)</f>
        <v>26007</v>
      </c>
      <c r="M347" s="161">
        <v>20121</v>
      </c>
      <c r="N347" s="101" t="s">
        <v>909</v>
      </c>
      <c r="O347" s="161"/>
    </row>
    <row r="348" spans="1:15">
      <c r="A348" s="161">
        <v>346</v>
      </c>
      <c r="B348" s="122" t="s">
        <v>89</v>
      </c>
      <c r="C348" s="219" t="s">
        <v>1099</v>
      </c>
      <c r="D348" s="161" t="s">
        <v>1073</v>
      </c>
      <c r="E348" s="161" t="s">
        <v>1100</v>
      </c>
      <c r="F348" s="88">
        <f>SUMIF(管道站场阀室关系!B:B,支线管道!C348,管道站场阀室关系!H:H)</f>
        <v>2.88</v>
      </c>
      <c r="G348" s="239">
        <v>355.6</v>
      </c>
      <c r="H348" s="231"/>
      <c r="I348" s="231">
        <v>6.3</v>
      </c>
      <c r="J348" s="161"/>
      <c r="K348" s="161"/>
      <c r="L348" s="118">
        <f>SUMIF(管道站场阀室关系!B:B,支线管道!C348,管道站场阀室关系!J:J)</f>
        <v>266</v>
      </c>
      <c r="M348" s="161"/>
      <c r="N348" s="101" t="s">
        <v>909</v>
      </c>
      <c r="O348" s="161"/>
    </row>
    <row r="349" spans="1:15">
      <c r="A349" s="161">
        <v>347</v>
      </c>
      <c r="B349" s="122" t="s">
        <v>89</v>
      </c>
      <c r="C349" s="49" t="s">
        <v>1101</v>
      </c>
      <c r="D349" s="161" t="s">
        <v>1102</v>
      </c>
      <c r="E349" s="161" t="s">
        <v>1103</v>
      </c>
      <c r="F349" s="88">
        <f>SUMIF(管道站场阀室关系!B:B,支线管道!C349,管道站场阀室关系!H:H)</f>
        <v>7.9</v>
      </c>
      <c r="G349" s="161">
        <v>813</v>
      </c>
      <c r="H349" s="161"/>
      <c r="I349" s="161">
        <v>6.3</v>
      </c>
      <c r="J349" s="161"/>
      <c r="K349" s="161"/>
      <c r="L349" s="118">
        <f>SUMIF(管道站场阀室关系!B:B,支线管道!C349,管道站场阀室关系!J:J)</f>
        <v>3878</v>
      </c>
      <c r="M349" s="161"/>
      <c r="N349" s="101" t="s">
        <v>909</v>
      </c>
      <c r="O349" s="161"/>
    </row>
    <row r="350" spans="1:15">
      <c r="A350" s="161">
        <v>348</v>
      </c>
      <c r="B350" s="122" t="s">
        <v>89</v>
      </c>
      <c r="C350" s="49" t="s">
        <v>1104</v>
      </c>
      <c r="D350" s="161" t="s">
        <v>1105</v>
      </c>
      <c r="E350" s="161" t="s">
        <v>1106</v>
      </c>
      <c r="F350" s="88">
        <f>SUMIF(管道站场阀室关系!B:B,支线管道!C350,管道站场阀室关系!H:H)</f>
        <v>7.2</v>
      </c>
      <c r="G350" s="239">
        <v>660</v>
      </c>
      <c r="H350" s="239"/>
      <c r="I350" s="239">
        <v>6.3</v>
      </c>
      <c r="J350" s="161"/>
      <c r="K350" s="161"/>
      <c r="L350" s="118">
        <f>SUMIF(管道站场阀室关系!B:B,支线管道!C350,管道站场阀室关系!J:J)</f>
        <v>2302</v>
      </c>
      <c r="M350" s="161"/>
      <c r="N350" s="101" t="s">
        <v>909</v>
      </c>
      <c r="O350" s="161"/>
    </row>
    <row r="351" spans="1:15">
      <c r="A351" s="161">
        <v>349</v>
      </c>
      <c r="B351" s="122" t="s">
        <v>89</v>
      </c>
      <c r="C351" s="49" t="s">
        <v>1107</v>
      </c>
      <c r="D351" s="161" t="s">
        <v>1108</v>
      </c>
      <c r="E351" s="161" t="s">
        <v>1109</v>
      </c>
      <c r="F351" s="88">
        <f>SUMIF(管道站场阀室关系!B:B,支线管道!C351,管道站场阀室关系!H:H)</f>
        <v>195.809</v>
      </c>
      <c r="G351" s="239">
        <v>813</v>
      </c>
      <c r="H351" s="239"/>
      <c r="I351" s="239">
        <v>6.3</v>
      </c>
      <c r="J351" s="239">
        <v>48.65</v>
      </c>
      <c r="L351" s="118">
        <f>SUMIF(管道站场阀室关系!B:B,支线管道!C351,管道站场阀室关系!J:J)</f>
        <v>92486</v>
      </c>
      <c r="M351" s="161">
        <v>202107</v>
      </c>
      <c r="N351" s="101" t="s">
        <v>909</v>
      </c>
      <c r="O351" s="161"/>
    </row>
    <row r="352" spans="1:15">
      <c r="A352" s="161">
        <v>350</v>
      </c>
      <c r="B352" s="122" t="s">
        <v>89</v>
      </c>
      <c r="C352" s="49" t="s">
        <v>1110</v>
      </c>
      <c r="D352" s="161" t="s">
        <v>1111</v>
      </c>
      <c r="E352" s="161" t="s">
        <v>1112</v>
      </c>
      <c r="F352" s="88">
        <f>SUMIF(管道站场阀室关系!B:B,支线管道!C352,管道站场阀室关系!H:H)</f>
        <v>121.15</v>
      </c>
      <c r="G352" s="239">
        <v>813</v>
      </c>
      <c r="H352" s="239"/>
      <c r="I352" s="239">
        <v>6.3</v>
      </c>
      <c r="J352" s="239">
        <v>21.79</v>
      </c>
      <c r="L352" s="118">
        <f>SUMIF(管道站场阀室关系!B:B,支线管道!C352,管道站场阀室关系!J:J)</f>
        <v>58634</v>
      </c>
      <c r="M352" s="161">
        <v>202206</v>
      </c>
      <c r="N352" s="101" t="s">
        <v>909</v>
      </c>
      <c r="O352" s="161"/>
    </row>
    <row r="353" spans="1:15">
      <c r="A353" s="161">
        <v>351</v>
      </c>
      <c r="B353" s="122" t="s">
        <v>89</v>
      </c>
      <c r="C353" s="49" t="s">
        <v>1113</v>
      </c>
      <c r="D353" s="161" t="s">
        <v>1114</v>
      </c>
      <c r="E353" s="161" t="s">
        <v>1115</v>
      </c>
      <c r="F353" s="88">
        <f>SUMIF(管道站场阀室关系!B:B,支线管道!C353,管道站场阀室关系!H:H)</f>
        <v>5.7</v>
      </c>
      <c r="G353" s="239">
        <v>660</v>
      </c>
      <c r="H353" s="239"/>
      <c r="I353" s="239">
        <v>6.3</v>
      </c>
      <c r="J353" s="209">
        <v>33</v>
      </c>
      <c r="K353" s="161"/>
      <c r="L353" s="118">
        <f>SUMIF(管道站场阀室关系!B:B,支线管道!C353,管道站场阀室关系!J:J)</f>
        <v>1812</v>
      </c>
      <c r="M353" s="161">
        <v>201406</v>
      </c>
      <c r="N353" s="101" t="s">
        <v>909</v>
      </c>
      <c r="O353" s="161"/>
    </row>
    <row r="354" spans="1:15">
      <c r="A354" s="161">
        <v>352</v>
      </c>
      <c r="B354" s="122" t="s">
        <v>89</v>
      </c>
      <c r="C354" s="49" t="s">
        <v>1116</v>
      </c>
      <c r="D354" s="161" t="s">
        <v>1073</v>
      </c>
      <c r="E354" s="161" t="s">
        <v>1117</v>
      </c>
      <c r="F354" s="88">
        <f>SUMIF(管道站场阀室关系!B:B,支线管道!C354,管道站场阀室关系!H:H)</f>
        <v>355.464289</v>
      </c>
      <c r="G354" s="161">
        <v>813</v>
      </c>
      <c r="H354" s="231"/>
      <c r="I354" s="231">
        <v>6.3</v>
      </c>
      <c r="J354" s="161">
        <v>95</v>
      </c>
      <c r="K354" s="161"/>
      <c r="L354" s="118">
        <f>SUMIF(管道站场阀室关系!B:B,支线管道!C354,管道站场阀室关系!J:J)</f>
        <v>176762</v>
      </c>
      <c r="M354" s="161"/>
      <c r="N354" s="101" t="s">
        <v>909</v>
      </c>
      <c r="O354" s="161"/>
    </row>
    <row r="355" spans="1:15">
      <c r="A355" s="161">
        <v>353</v>
      </c>
      <c r="B355" s="122" t="s">
        <v>89</v>
      </c>
      <c r="C355" s="49" t="s">
        <v>1118</v>
      </c>
      <c r="D355" s="161" t="s">
        <v>1119</v>
      </c>
      <c r="E355" s="161" t="s">
        <v>1120</v>
      </c>
      <c r="F355" s="88">
        <f>SUMIF(管道站场阀室关系!B:B,支线管道!C355,管道站场阀室关系!H:H)</f>
        <v>60.03</v>
      </c>
      <c r="G355" s="161">
        <v>813</v>
      </c>
      <c r="H355" s="231"/>
      <c r="I355" s="231">
        <v>6.3</v>
      </c>
      <c r="J355" s="161"/>
      <c r="K355" s="161"/>
      <c r="L355" s="118">
        <f>SUMIF(管道站场阀室关系!B:B,支线管道!C355,管道站场阀室关系!J:J)</f>
        <v>22243</v>
      </c>
      <c r="M355" s="161"/>
      <c r="N355" s="101" t="s">
        <v>909</v>
      </c>
      <c r="O355" s="161"/>
    </row>
    <row r="356" spans="1:15">
      <c r="A356" s="161">
        <v>354</v>
      </c>
      <c r="B356" s="122" t="s">
        <v>89</v>
      </c>
      <c r="C356" s="49" t="s">
        <v>1121</v>
      </c>
      <c r="D356" s="161" t="s">
        <v>1120</v>
      </c>
      <c r="E356" s="161" t="s">
        <v>1122</v>
      </c>
      <c r="F356" s="88">
        <f>SUMIF(管道站场阀室关系!B:B,支线管道!C356,管道站场阀室关系!H:H)</f>
        <v>4.9</v>
      </c>
      <c r="G356" s="239">
        <v>457</v>
      </c>
      <c r="H356" s="239"/>
      <c r="I356" s="239">
        <v>6.3</v>
      </c>
      <c r="J356" s="161"/>
      <c r="K356" s="161"/>
      <c r="L356" s="118">
        <f>SUMIF(管道站场阀室关系!B:B,支线管道!C356,管道站场阀室关系!J:J)</f>
        <v>706</v>
      </c>
      <c r="M356" s="161"/>
      <c r="N356" s="101" t="s">
        <v>909</v>
      </c>
      <c r="O356" s="161"/>
    </row>
    <row r="357" spans="1:15">
      <c r="A357" s="161">
        <v>355</v>
      </c>
      <c r="B357" s="122" t="s">
        <v>89</v>
      </c>
      <c r="C357" s="49" t="s">
        <v>1123</v>
      </c>
      <c r="D357" s="161" t="s">
        <v>1120</v>
      </c>
      <c r="E357" s="161" t="s">
        <v>1124</v>
      </c>
      <c r="F357" s="88">
        <f>SUMIF(管道站场阀室关系!B:B,支线管道!C357,管道站场阀室关系!H:H)</f>
        <v>34.6</v>
      </c>
      <c r="G357" s="239">
        <v>813</v>
      </c>
      <c r="H357" s="239"/>
      <c r="I357" s="239">
        <v>6.3</v>
      </c>
      <c r="J357" s="161"/>
      <c r="K357" s="161"/>
      <c r="L357" s="118">
        <f>SUMIF(管道站场阀室关系!B:B,支线管道!C357,管道站场阀室关系!J:J)</f>
        <v>23533</v>
      </c>
      <c r="M357" s="161">
        <v>202111</v>
      </c>
      <c r="N357" s="101" t="s">
        <v>909</v>
      </c>
      <c r="O357" s="161"/>
    </row>
    <row r="358" spans="1:15">
      <c r="A358" s="161">
        <v>356</v>
      </c>
      <c r="B358" s="122" t="s">
        <v>89</v>
      </c>
      <c r="C358" s="49" t="s">
        <v>1125</v>
      </c>
      <c r="D358" s="161" t="s">
        <v>1126</v>
      </c>
      <c r="E358" s="161" t="s">
        <v>1127</v>
      </c>
      <c r="F358" s="88">
        <f>SUMIF(管道站场阀室关系!B:B,支线管道!C358,管道站场阀室关系!H:H)</f>
        <v>48.86</v>
      </c>
      <c r="G358" s="239">
        <v>406.4</v>
      </c>
      <c r="H358" s="239"/>
      <c r="I358" s="239">
        <v>6.3</v>
      </c>
      <c r="J358" s="161"/>
      <c r="K358" s="161"/>
      <c r="L358" s="118">
        <f>SUMIF(管道站场阀室关系!B:B,支线管道!C358,管道站场阀室关系!J:J)</f>
        <v>5852</v>
      </c>
      <c r="M358" s="161">
        <v>202108</v>
      </c>
      <c r="N358" s="101" t="s">
        <v>909</v>
      </c>
      <c r="O358" s="161"/>
    </row>
    <row r="359" spans="1:15">
      <c r="A359" s="161">
        <v>357</v>
      </c>
      <c r="B359" s="122" t="s">
        <v>89</v>
      </c>
      <c r="C359" s="49" t="s">
        <v>1128</v>
      </c>
      <c r="D359" s="161" t="s">
        <v>1129</v>
      </c>
      <c r="E359" s="161" t="s">
        <v>1130</v>
      </c>
      <c r="F359" s="88">
        <f>SUMIF(管道站场阀室关系!B:B,支线管道!C359,管道站场阀室关系!H:H)</f>
        <v>30.5</v>
      </c>
      <c r="G359" s="239">
        <v>406.4</v>
      </c>
      <c r="H359" s="239"/>
      <c r="I359" s="239">
        <v>6.3</v>
      </c>
      <c r="J359" s="161"/>
      <c r="K359" s="161"/>
      <c r="L359" s="118">
        <f>SUMIF(管道站场阀室关系!B:B,支线管道!C359,管道站场阀室关系!J:J)</f>
        <v>3614</v>
      </c>
      <c r="M359" s="161">
        <v>20230731</v>
      </c>
      <c r="N359" s="101" t="s">
        <v>909</v>
      </c>
      <c r="O359" s="161"/>
    </row>
    <row r="360" spans="1:15">
      <c r="A360" s="161">
        <v>358</v>
      </c>
      <c r="B360" s="122" t="s">
        <v>89</v>
      </c>
      <c r="C360" s="49" t="s">
        <v>1131</v>
      </c>
      <c r="D360" s="161" t="s">
        <v>1132</v>
      </c>
      <c r="E360" s="161" t="s">
        <v>1117</v>
      </c>
      <c r="F360" s="88">
        <f>SUMIF(管道站场阀室关系!B:B,支线管道!C360,管道站场阀室关系!H:H)</f>
        <v>221.14</v>
      </c>
      <c r="G360" s="161">
        <v>813</v>
      </c>
      <c r="H360" s="231"/>
      <c r="I360" s="239">
        <v>6.3</v>
      </c>
      <c r="J360" s="161">
        <v>45.47</v>
      </c>
      <c r="K360" s="161"/>
      <c r="L360" s="118">
        <f>SUMIF(管道站场阀室关系!B:B,支线管道!C360,管道站场阀室关系!J:J)</f>
        <v>108175</v>
      </c>
      <c r="M360" s="161"/>
      <c r="N360" s="101" t="s">
        <v>909</v>
      </c>
      <c r="O360" s="161"/>
    </row>
    <row r="361" spans="1:15">
      <c r="A361" s="161">
        <v>359</v>
      </c>
      <c r="B361" s="122" t="s">
        <v>89</v>
      </c>
      <c r="C361" s="49" t="s">
        <v>1133</v>
      </c>
      <c r="D361" s="161" t="s">
        <v>1132</v>
      </c>
      <c r="E361" s="161" t="s">
        <v>1134</v>
      </c>
      <c r="F361" s="88">
        <f>SUMIF(管道站场阀室关系!B:B,支线管道!C361,管道站场阀室关系!H:H)</f>
        <v>6.1</v>
      </c>
      <c r="G361" s="239">
        <v>355.6</v>
      </c>
      <c r="H361" s="239"/>
      <c r="I361" s="239">
        <v>4</v>
      </c>
      <c r="J361" s="244" t="s">
        <v>1135</v>
      </c>
      <c r="K361" s="161"/>
      <c r="L361" s="118">
        <f>SUMIF(管道站场阀室关系!B:B,支线管道!C361,管道站场阀室关系!J:J)</f>
        <v>564</v>
      </c>
      <c r="M361" s="101"/>
      <c r="N361" s="101" t="s">
        <v>909</v>
      </c>
      <c r="O361" s="161"/>
    </row>
    <row r="362" spans="1:15">
      <c r="A362" s="161">
        <v>360</v>
      </c>
      <c r="B362" s="122" t="s">
        <v>89</v>
      </c>
      <c r="C362" s="49" t="s">
        <v>1136</v>
      </c>
      <c r="D362" s="161" t="s">
        <v>1137</v>
      </c>
      <c r="E362" s="161" t="s">
        <v>1132</v>
      </c>
      <c r="F362" s="88">
        <f>SUMIF(管道站场阀室关系!B:B,支线管道!C362,管道站场阀室关系!H:H)</f>
        <v>0.08</v>
      </c>
      <c r="G362" s="239">
        <v>508</v>
      </c>
      <c r="H362" s="239"/>
      <c r="I362" s="239">
        <v>6.3</v>
      </c>
      <c r="J362" s="161">
        <v>33</v>
      </c>
      <c r="K362" s="161"/>
      <c r="L362" s="118">
        <f>SUMIF(管道站场阀室关系!B:B,支线管道!C362,管道站场阀室关系!J:J)</f>
        <v>81</v>
      </c>
      <c r="M362" s="101"/>
      <c r="N362" s="101" t="s">
        <v>909</v>
      </c>
      <c r="O362" s="161"/>
    </row>
    <row r="363" spans="1:15">
      <c r="A363" s="161">
        <v>361</v>
      </c>
      <c r="B363" s="122" t="s">
        <v>89</v>
      </c>
      <c r="C363" s="49" t="s">
        <v>1138</v>
      </c>
      <c r="D363" s="161" t="s">
        <v>1139</v>
      </c>
      <c r="E363" s="161" t="s">
        <v>1140</v>
      </c>
      <c r="F363" s="88">
        <f>SUMIF(管道站场阀室关系!B:B,支线管道!C363,管道站场阀室关系!H:H)</f>
        <v>0.2</v>
      </c>
      <c r="G363" s="161"/>
      <c r="H363" s="231"/>
      <c r="I363" s="231"/>
      <c r="J363" s="161"/>
      <c r="K363" s="161"/>
      <c r="L363" s="118">
        <f>SUMIF(管道站场阀室关系!B:B,支线管道!C363,管道站场阀室关系!J:J)</f>
        <v>98</v>
      </c>
      <c r="M363" s="101"/>
      <c r="N363" s="101" t="s">
        <v>909</v>
      </c>
      <c r="O363" s="161"/>
    </row>
    <row r="364" ht="30" spans="1:15">
      <c r="A364" s="161">
        <v>362</v>
      </c>
      <c r="B364" s="122" t="s">
        <v>89</v>
      </c>
      <c r="C364" s="49" t="s">
        <v>1141</v>
      </c>
      <c r="D364" s="161" t="s">
        <v>1142</v>
      </c>
      <c r="E364" s="161" t="s">
        <v>1143</v>
      </c>
      <c r="F364" s="88">
        <f>SUMIF(管道站场阀室关系!B:B,支线管道!C364,管道站场阀室关系!H:H)</f>
        <v>113.23</v>
      </c>
      <c r="G364" s="161" t="s">
        <v>1144</v>
      </c>
      <c r="H364" s="239"/>
      <c r="I364" s="239">
        <v>6.3</v>
      </c>
      <c r="J364" s="161"/>
      <c r="K364" s="161"/>
      <c r="L364" s="118">
        <f>SUMIF(管道站场阀室关系!B:B,支线管道!C364,管道站场阀室关系!J:J)</f>
        <v>32293</v>
      </c>
      <c r="M364" s="101">
        <v>202011</v>
      </c>
      <c r="N364" s="101" t="s">
        <v>909</v>
      </c>
      <c r="O364" s="161"/>
    </row>
    <row r="365" ht="30" spans="1:15">
      <c r="A365" s="161">
        <v>363</v>
      </c>
      <c r="B365" s="122" t="s">
        <v>89</v>
      </c>
      <c r="C365" s="49" t="s">
        <v>1145</v>
      </c>
      <c r="D365" s="161" t="s">
        <v>1146</v>
      </c>
      <c r="E365" s="161" t="s">
        <v>1147</v>
      </c>
      <c r="F365" s="88">
        <f>SUMIF(管道站场阀室关系!B:B,支线管道!C365,管道站场阀室关系!H:H)</f>
        <v>69.24</v>
      </c>
      <c r="G365" s="161" t="s">
        <v>1148</v>
      </c>
      <c r="H365" s="239"/>
      <c r="I365" s="239">
        <v>6.3</v>
      </c>
      <c r="J365" s="161"/>
      <c r="K365" s="161"/>
      <c r="L365" s="118">
        <f>SUMIF(管道站场阀室关系!B:B,支线管道!C365,管道站场阀室关系!J:J)</f>
        <v>19853</v>
      </c>
      <c r="M365" s="101">
        <v>202111</v>
      </c>
      <c r="N365" s="101" t="s">
        <v>909</v>
      </c>
      <c r="O365" s="161"/>
    </row>
    <row r="366" spans="1:15">
      <c r="A366" s="161">
        <v>364</v>
      </c>
      <c r="B366" s="122" t="s">
        <v>89</v>
      </c>
      <c r="C366" s="49" t="s">
        <v>1149</v>
      </c>
      <c r="D366" s="161" t="s">
        <v>1150</v>
      </c>
      <c r="E366" s="161" t="s">
        <v>1151</v>
      </c>
      <c r="F366" s="88">
        <f>SUMIF(管道站场阀室关系!B:B,支线管道!C366,管道站场阀室关系!H:H)</f>
        <v>5.1</v>
      </c>
      <c r="G366" s="239">
        <v>406.4</v>
      </c>
      <c r="H366" s="239"/>
      <c r="I366" s="239">
        <v>6.3</v>
      </c>
      <c r="K366" s="161"/>
      <c r="L366" s="118">
        <f>SUMIF(管道站场阀室关系!B:B,支线管道!C366,管道站场阀室关系!J:J)</f>
        <v>610</v>
      </c>
      <c r="M366" s="101">
        <v>202101</v>
      </c>
      <c r="N366" s="101" t="s">
        <v>909</v>
      </c>
      <c r="O366" s="161"/>
    </row>
    <row r="367" spans="1:15">
      <c r="A367" s="161">
        <v>365</v>
      </c>
      <c r="B367" s="122" t="s">
        <v>89</v>
      </c>
      <c r="C367" s="49" t="s">
        <v>1152</v>
      </c>
      <c r="D367" s="161" t="s">
        <v>1153</v>
      </c>
      <c r="E367" s="161" t="s">
        <v>1112</v>
      </c>
      <c r="F367" s="88">
        <f>SUMIF(管道站场阀室关系!B:B,支线管道!C367,管道站场阀室关系!H:H)</f>
        <v>33.2</v>
      </c>
      <c r="G367" s="161">
        <v>660</v>
      </c>
      <c r="H367" s="231"/>
      <c r="I367" s="231">
        <v>6.3</v>
      </c>
      <c r="J367" s="161">
        <v>4.8</v>
      </c>
      <c r="K367" s="161"/>
      <c r="L367" s="118">
        <f>SUMIF(管道站场阀室关系!B:B,支线管道!C367,管道站场阀室关系!J:J)</f>
        <v>10500</v>
      </c>
      <c r="M367" s="101"/>
      <c r="N367" s="101" t="s">
        <v>909</v>
      </c>
      <c r="O367" s="161"/>
    </row>
    <row r="368" spans="1:15">
      <c r="A368" s="161">
        <v>366</v>
      </c>
      <c r="B368" s="122" t="s">
        <v>89</v>
      </c>
      <c r="C368" s="49" t="s">
        <v>1154</v>
      </c>
      <c r="D368" s="161" t="s">
        <v>1155</v>
      </c>
      <c r="E368" s="161" t="s">
        <v>1156</v>
      </c>
      <c r="F368" s="88">
        <f>SUMIF(管道站场阀室关系!B:B,支线管道!C368,管道站场阀室关系!H:H)</f>
        <v>2.67</v>
      </c>
      <c r="G368" s="239">
        <v>406.4</v>
      </c>
      <c r="H368" s="239"/>
      <c r="I368" s="239">
        <v>6.3</v>
      </c>
      <c r="J368" s="161"/>
      <c r="K368" s="161"/>
      <c r="L368" s="118">
        <f>SUMIF(管道站场阀室关系!B:B,支线管道!C368,管道站场阀室关系!J:J)</f>
        <v>317</v>
      </c>
      <c r="M368" s="101"/>
      <c r="N368" s="101" t="s">
        <v>909</v>
      </c>
      <c r="O368" s="161"/>
    </row>
    <row r="369" ht="30" spans="1:15">
      <c r="A369" s="161">
        <v>367</v>
      </c>
      <c r="B369" s="122" t="s">
        <v>89</v>
      </c>
      <c r="C369" s="49" t="s">
        <v>1157</v>
      </c>
      <c r="D369" s="161" t="s">
        <v>1112</v>
      </c>
      <c r="E369" s="161" t="s">
        <v>1158</v>
      </c>
      <c r="F369" s="88">
        <f>SUMIF(管道站场阀室关系!B:B,支线管道!C369,管道站场阀室关系!H:H)</f>
        <v>89.14</v>
      </c>
      <c r="G369" s="239">
        <v>406.4</v>
      </c>
      <c r="H369" s="239"/>
      <c r="I369" s="239">
        <v>6.3</v>
      </c>
      <c r="K369" s="161"/>
      <c r="L369" s="118">
        <f>SUMIF(管道站场阀室关系!B:B,支线管道!C369,管道站场阀室关系!J:J)</f>
        <v>11117</v>
      </c>
      <c r="M369" s="101" t="s">
        <v>1159</v>
      </c>
      <c r="N369" s="101" t="s">
        <v>909</v>
      </c>
      <c r="O369" s="161"/>
    </row>
    <row r="370" spans="1:15">
      <c r="A370" s="161">
        <v>368</v>
      </c>
      <c r="B370" s="122" t="s">
        <v>89</v>
      </c>
      <c r="C370" s="49" t="s">
        <v>1160</v>
      </c>
      <c r="D370" s="161" t="s">
        <v>1112</v>
      </c>
      <c r="E370" s="161" t="s">
        <v>1161</v>
      </c>
      <c r="F370" s="88">
        <f>SUMIF(管道站场阀室关系!B:B,支线管道!C370,管道站场阀室关系!H:H)</f>
        <v>22.1</v>
      </c>
      <c r="G370" s="239">
        <v>355.6</v>
      </c>
      <c r="H370" s="239"/>
      <c r="I370" s="239">
        <v>6.3</v>
      </c>
      <c r="J370" s="161">
        <v>4.17</v>
      </c>
      <c r="K370" s="161"/>
      <c r="L370" s="118">
        <f>SUMIF(管道站场阀室关系!B:B,支线管道!C370,管道站场阀室关系!J:J)</f>
        <v>2042</v>
      </c>
      <c r="M370" s="101"/>
      <c r="N370" s="101" t="s">
        <v>909</v>
      </c>
      <c r="O370" s="161"/>
    </row>
    <row r="371" spans="1:15">
      <c r="A371" s="161">
        <v>369</v>
      </c>
      <c r="B371" s="122" t="s">
        <v>89</v>
      </c>
      <c r="C371" s="49" t="s">
        <v>1162</v>
      </c>
      <c r="D371" s="161" t="s">
        <v>1153</v>
      </c>
      <c r="E371" s="161" t="s">
        <v>1163</v>
      </c>
      <c r="F371" s="88">
        <f>SUMIF(管道站场阀室关系!B:B,支线管道!C371,管道站场阀室关系!H:H)</f>
        <v>63.4</v>
      </c>
      <c r="G371" s="239">
        <v>813</v>
      </c>
      <c r="H371" s="239"/>
      <c r="I371" s="239">
        <v>6.3</v>
      </c>
      <c r="K371" s="161"/>
      <c r="L371" s="118">
        <f>SUMIF(管道站场阀室关系!B:B,支线管道!C371,管道站场阀室关系!J:J)</f>
        <v>31096</v>
      </c>
      <c r="M371" s="101"/>
      <c r="N371" s="101" t="s">
        <v>909</v>
      </c>
      <c r="O371" s="161"/>
    </row>
    <row r="372" spans="1:15">
      <c r="A372" s="161">
        <v>370</v>
      </c>
      <c r="B372" s="122" t="s">
        <v>89</v>
      </c>
      <c r="C372" s="49" t="s">
        <v>1164</v>
      </c>
      <c r="D372" s="161" t="s">
        <v>1165</v>
      </c>
      <c r="E372" s="161" t="s">
        <v>1166</v>
      </c>
      <c r="F372" s="88">
        <f>SUMIF(管道站场阀室关系!B:B,支线管道!C372,管道站场阀室关系!H:H)</f>
        <v>4.86</v>
      </c>
      <c r="G372" s="239">
        <v>323.9</v>
      </c>
      <c r="H372" s="239"/>
      <c r="I372" s="239">
        <v>4</v>
      </c>
      <c r="J372" s="161">
        <v>4.35</v>
      </c>
      <c r="K372" s="161"/>
      <c r="L372" s="118">
        <f>SUMIF(管道站场阀室关系!B:B,支线管道!C372,管道站场阀室关系!J:J)</f>
        <v>370</v>
      </c>
      <c r="M372" s="101">
        <v>201612</v>
      </c>
      <c r="N372" s="101" t="s">
        <v>909</v>
      </c>
      <c r="O372" s="161"/>
    </row>
    <row r="373" spans="1:15">
      <c r="A373" s="161">
        <v>371</v>
      </c>
      <c r="B373" s="122" t="s">
        <v>89</v>
      </c>
      <c r="C373" s="49" t="s">
        <v>1167</v>
      </c>
      <c r="D373" s="161" t="s">
        <v>1165</v>
      </c>
      <c r="E373" s="161" t="s">
        <v>1168</v>
      </c>
      <c r="F373" s="88">
        <f>SUMIF(管道站场阀室关系!B:B,支线管道!C373,管道站场阀室关系!H:H)</f>
        <v>21.5</v>
      </c>
      <c r="G373" s="239">
        <v>813</v>
      </c>
      <c r="H373" s="239"/>
      <c r="I373" s="239">
        <v>6.3</v>
      </c>
      <c r="J373" s="161"/>
      <c r="K373" s="161"/>
      <c r="L373" s="118">
        <f>SUMIF(管道站场阀室关系!B:B,支线管道!C373,管道站场阀室关系!J:J)</f>
        <v>6290</v>
      </c>
      <c r="M373" s="101"/>
      <c r="N373" s="101" t="s">
        <v>909</v>
      </c>
      <c r="O373" s="161"/>
    </row>
    <row r="374" spans="1:15">
      <c r="A374" s="161">
        <v>372</v>
      </c>
      <c r="B374" s="122" t="s">
        <v>89</v>
      </c>
      <c r="C374" s="49" t="s">
        <v>1169</v>
      </c>
      <c r="D374" s="161" t="s">
        <v>1170</v>
      </c>
      <c r="E374" s="161" t="s">
        <v>1163</v>
      </c>
      <c r="F374" s="88">
        <f>SUMIF(管道站场阀室关系!B:B,支线管道!C374,管道站场阀室关系!H:H)</f>
        <v>32.2</v>
      </c>
      <c r="G374" s="239">
        <v>660</v>
      </c>
      <c r="H374" s="239"/>
      <c r="I374" s="239">
        <v>6.3</v>
      </c>
      <c r="J374" s="239">
        <v>2.24</v>
      </c>
      <c r="L374" s="118">
        <f>SUMIF(管道站场阀室关系!B:B,支线管道!C374,管道站场阀室关系!J:J)</f>
        <v>10600</v>
      </c>
      <c r="M374" s="101">
        <v>201504</v>
      </c>
      <c r="N374" s="101" t="s">
        <v>909</v>
      </c>
      <c r="O374" s="161"/>
    </row>
    <row r="375" spans="1:15">
      <c r="A375" s="161">
        <v>373</v>
      </c>
      <c r="B375" s="122" t="s">
        <v>89</v>
      </c>
      <c r="C375" s="49" t="s">
        <v>1171</v>
      </c>
      <c r="D375" s="161" t="s">
        <v>1163</v>
      </c>
      <c r="E375" s="161" t="s">
        <v>1172</v>
      </c>
      <c r="F375" s="88">
        <f>SUMIF(管道站场阀室关系!B:B,支线管道!C375,管道站场阀室关系!H:H)</f>
        <v>23.2</v>
      </c>
      <c r="G375" s="239">
        <v>406.4</v>
      </c>
      <c r="H375" s="239"/>
      <c r="I375" s="239">
        <v>6.3</v>
      </c>
      <c r="J375" s="239"/>
      <c r="L375" s="118">
        <f>SUMIF(管道站场阀室关系!B:B,支线管道!C375,管道站场阀室关系!J:J)</f>
        <v>2826</v>
      </c>
      <c r="M375" s="101"/>
      <c r="N375" s="101" t="s">
        <v>909</v>
      </c>
      <c r="O375" s="161"/>
    </row>
    <row r="376" spans="1:15">
      <c r="A376" s="161">
        <v>374</v>
      </c>
      <c r="B376" s="122" t="s">
        <v>89</v>
      </c>
      <c r="C376" s="49" t="s">
        <v>1173</v>
      </c>
      <c r="D376" s="161" t="s">
        <v>1170</v>
      </c>
      <c r="E376" s="161" t="s">
        <v>1174</v>
      </c>
      <c r="F376" s="88">
        <f>SUMIF(管道站场阀室关系!B:B,支线管道!C376,管道站场阀室关系!H:H)</f>
        <v>75.9</v>
      </c>
      <c r="G376" s="239">
        <v>355.6</v>
      </c>
      <c r="H376" s="239"/>
      <c r="I376" s="239">
        <v>6.3</v>
      </c>
      <c r="J376" s="239">
        <v>4.96</v>
      </c>
      <c r="L376" s="118">
        <f>SUMIF(管道站场阀室关系!B:B,支线管道!C376,管道站场阀室关系!J:J)</f>
        <v>7013</v>
      </c>
      <c r="M376" s="101">
        <v>201304</v>
      </c>
      <c r="N376" s="101" t="s">
        <v>909</v>
      </c>
      <c r="O376" s="161"/>
    </row>
    <row r="377" spans="1:15">
      <c r="A377" s="161">
        <v>375</v>
      </c>
      <c r="B377" s="122" t="s">
        <v>89</v>
      </c>
      <c r="C377" s="49" t="s">
        <v>1175</v>
      </c>
      <c r="D377" s="161" t="s">
        <v>1176</v>
      </c>
      <c r="E377" s="161" t="s">
        <v>1177</v>
      </c>
      <c r="F377" s="88">
        <f>SUMIF(管道站场阀室关系!B:B,支线管道!C377,管道站场阀室关系!H:H)</f>
        <v>0.5</v>
      </c>
      <c r="G377" s="239"/>
      <c r="H377" s="239"/>
      <c r="I377" s="239"/>
      <c r="J377" s="239"/>
      <c r="L377" s="118">
        <f>SUMIF(管道站场阀室关系!B:B,支线管道!C377,管道站场阀室关系!J:J)</f>
        <v>46</v>
      </c>
      <c r="M377" s="101"/>
      <c r="N377" s="101" t="s">
        <v>909</v>
      </c>
      <c r="O377" s="161"/>
    </row>
    <row r="378" spans="1:15">
      <c r="A378" s="161">
        <v>376</v>
      </c>
      <c r="B378" s="122" t="s">
        <v>89</v>
      </c>
      <c r="C378" s="49" t="s">
        <v>1178</v>
      </c>
      <c r="D378" s="161" t="s">
        <v>1179</v>
      </c>
      <c r="E378" s="161" t="s">
        <v>1170</v>
      </c>
      <c r="F378" s="88">
        <f>SUMIF(管道站场阀室关系!B:B,支线管道!C378,管道站场阀室关系!H:H)</f>
        <v>0.03</v>
      </c>
      <c r="G378" s="239">
        <v>508</v>
      </c>
      <c r="H378" s="239"/>
      <c r="I378" s="239">
        <v>6.3</v>
      </c>
      <c r="J378" s="239">
        <v>33</v>
      </c>
      <c r="L378" s="118">
        <f>SUMIF(管道站场阀室关系!B:B,支线管道!C378,管道站场阀室关系!J:J)</f>
        <v>6</v>
      </c>
      <c r="M378" s="101"/>
      <c r="N378" s="101" t="s">
        <v>909</v>
      </c>
      <c r="O378" s="161"/>
    </row>
    <row r="379" spans="1:15">
      <c r="A379" s="161">
        <v>377</v>
      </c>
      <c r="B379" s="122" t="s">
        <v>89</v>
      </c>
      <c r="C379" s="49" t="s">
        <v>1180</v>
      </c>
      <c r="D379" s="161" t="s">
        <v>1170</v>
      </c>
      <c r="E379" s="161" t="s">
        <v>1181</v>
      </c>
      <c r="F379" s="88">
        <f>SUMIF(管道站场阀室关系!B:B,支线管道!C379,管道站场阀室关系!H:H)</f>
        <v>41.1</v>
      </c>
      <c r="G379" s="239">
        <v>660</v>
      </c>
      <c r="H379" s="239"/>
      <c r="I379" s="239">
        <v>6.3</v>
      </c>
      <c r="J379" s="239">
        <v>5.74</v>
      </c>
      <c r="L379" s="118">
        <f>SUMIF(管道站场阀室关系!B:B,支线管道!C379,管道站场阀室关系!J:J)</f>
        <v>13065</v>
      </c>
      <c r="M379" s="101">
        <v>201405</v>
      </c>
      <c r="N379" s="101" t="s">
        <v>909</v>
      </c>
      <c r="O379" s="161"/>
    </row>
    <row r="380" spans="1:15">
      <c r="A380" s="161">
        <v>378</v>
      </c>
      <c r="B380" s="122" t="s">
        <v>89</v>
      </c>
      <c r="C380" s="49" t="s">
        <v>1182</v>
      </c>
      <c r="D380" s="161" t="s">
        <v>1181</v>
      </c>
      <c r="E380" s="161" t="s">
        <v>1183</v>
      </c>
      <c r="F380" s="88">
        <f>SUMIF(管道站场阀室关系!B:B,支线管道!C380,管道站场阀室关系!H:H)</f>
        <v>33.51</v>
      </c>
      <c r="G380" s="239">
        <v>406.4</v>
      </c>
      <c r="H380" s="239"/>
      <c r="I380" s="239">
        <v>6.3</v>
      </c>
      <c r="K380" s="239"/>
      <c r="L380" s="118">
        <f>SUMIF(管道站场阀室关系!B:B,支线管道!C380,管道站场阀室关系!J:J)</f>
        <v>4048</v>
      </c>
      <c r="M380" s="101">
        <v>202105</v>
      </c>
      <c r="N380" s="101" t="s">
        <v>909</v>
      </c>
      <c r="O380" s="161"/>
    </row>
    <row r="381" spans="1:15">
      <c r="A381" s="161">
        <v>379</v>
      </c>
      <c r="B381" s="122" t="s">
        <v>89</v>
      </c>
      <c r="C381" s="49" t="s">
        <v>1184</v>
      </c>
      <c r="D381" s="161" t="s">
        <v>1181</v>
      </c>
      <c r="E381" s="161" t="s">
        <v>1185</v>
      </c>
      <c r="F381" s="88">
        <f>SUMIF(管道站场阀室关系!B:B,支线管道!C381,管道站场阀室关系!H:H)</f>
        <v>7.2</v>
      </c>
      <c r="G381" s="239">
        <v>406.4</v>
      </c>
      <c r="H381" s="239"/>
      <c r="I381" s="239">
        <v>6.3</v>
      </c>
      <c r="K381" s="161"/>
      <c r="L381" s="118">
        <f>SUMIF(管道站场阀室关系!B:B,支线管道!C381,管道站场阀室关系!J:J)</f>
        <v>898</v>
      </c>
      <c r="M381" s="101">
        <v>201405</v>
      </c>
      <c r="N381" s="101" t="s">
        <v>909</v>
      </c>
      <c r="O381" s="161"/>
    </row>
    <row r="382" spans="1:15">
      <c r="A382" s="161">
        <v>380</v>
      </c>
      <c r="B382" s="122" t="s">
        <v>89</v>
      </c>
      <c r="C382" s="49" t="s">
        <v>1186</v>
      </c>
      <c r="D382" s="161" t="s">
        <v>1187</v>
      </c>
      <c r="E382" s="161" t="s">
        <v>1188</v>
      </c>
      <c r="F382" s="88">
        <f>SUMIF(管道站场阀室关系!B:B,支线管道!C382,管道站场阀室关系!H:H)</f>
        <v>9.3</v>
      </c>
      <c r="G382" s="166">
        <v>355.6</v>
      </c>
      <c r="H382" s="166"/>
      <c r="I382" s="166">
        <v>6.3</v>
      </c>
      <c r="J382" s="166">
        <v>2.574</v>
      </c>
      <c r="K382" s="161"/>
      <c r="L382" s="118">
        <f>SUMIF(管道站场阀室关系!B:B,支线管道!C382,管道站场阀室关系!J:J)</f>
        <v>859</v>
      </c>
      <c r="M382" s="161"/>
      <c r="N382" s="101" t="s">
        <v>909</v>
      </c>
      <c r="O382" s="161"/>
    </row>
    <row r="383" s="209" customFormat="1" spans="1:15">
      <c r="A383" s="161">
        <v>381</v>
      </c>
      <c r="B383" s="122" t="s">
        <v>90</v>
      </c>
      <c r="C383" s="49" t="s">
        <v>1189</v>
      </c>
      <c r="D383" s="243" t="s">
        <v>1190</v>
      </c>
      <c r="E383" s="243" t="s">
        <v>1191</v>
      </c>
      <c r="F383" s="85">
        <f>SUMIF(管道站场阀室关系!B:B,支线管道!C383,管道站场阀室关系!H:H)</f>
        <v>62.793</v>
      </c>
      <c r="G383" s="161">
        <v>406.4</v>
      </c>
      <c r="H383" s="231" t="s">
        <v>1192</v>
      </c>
      <c r="I383" s="231">
        <v>6.3</v>
      </c>
      <c r="J383" s="161">
        <v>6</v>
      </c>
      <c r="K383" s="161"/>
      <c r="L383" s="191"/>
      <c r="M383" s="209">
        <v>20180828</v>
      </c>
      <c r="N383" s="161"/>
      <c r="O383" s="161"/>
    </row>
    <row r="384" s="209" customFormat="1" ht="30" spans="1:15">
      <c r="A384" s="161">
        <v>382</v>
      </c>
      <c r="B384" s="122" t="s">
        <v>90</v>
      </c>
      <c r="C384" s="205" t="s">
        <v>1193</v>
      </c>
      <c r="D384" s="161" t="s">
        <v>1194</v>
      </c>
      <c r="E384" s="161" t="s">
        <v>1195</v>
      </c>
      <c r="F384" s="85">
        <f>SUMIF(管道站场阀室关系!B:B,支线管道!C384,管道站场阀室关系!H:H)</f>
        <v>73.905</v>
      </c>
      <c r="G384" s="161">
        <v>355.6</v>
      </c>
      <c r="H384" s="231" t="s">
        <v>1196</v>
      </c>
      <c r="I384" s="231">
        <v>4</v>
      </c>
      <c r="J384" s="161">
        <v>4.7</v>
      </c>
      <c r="K384" s="161"/>
      <c r="L384" s="191"/>
      <c r="M384" s="161" t="s">
        <v>1197</v>
      </c>
      <c r="N384" s="161"/>
      <c r="O384" s="161"/>
    </row>
    <row r="385" s="209" customFormat="1" spans="1:15">
      <c r="A385" s="161">
        <v>383</v>
      </c>
      <c r="B385" s="122" t="s">
        <v>90</v>
      </c>
      <c r="C385" s="205" t="s">
        <v>1198</v>
      </c>
      <c r="D385" s="161" t="s">
        <v>1195</v>
      </c>
      <c r="E385" s="161" t="s">
        <v>1199</v>
      </c>
      <c r="F385" s="85">
        <f>SUMIF(管道站场阀室关系!B:B,支线管道!C385,管道站场阀室关系!H:H)</f>
        <v>62.445</v>
      </c>
      <c r="G385" s="161">
        <v>219.1</v>
      </c>
      <c r="H385" s="231" t="s">
        <v>1200</v>
      </c>
      <c r="I385" s="231">
        <v>4</v>
      </c>
      <c r="J385" s="161">
        <v>1.52</v>
      </c>
      <c r="K385" s="161"/>
      <c r="L385" s="191"/>
      <c r="M385" s="161">
        <v>20250509</v>
      </c>
      <c r="N385" s="161"/>
      <c r="O385" s="161"/>
    </row>
    <row r="386" spans="1:15">
      <c r="A386" s="161">
        <v>384</v>
      </c>
      <c r="B386" s="122" t="s">
        <v>90</v>
      </c>
      <c r="C386" s="205" t="s">
        <v>1201</v>
      </c>
      <c r="D386" s="161" t="s">
        <v>1202</v>
      </c>
      <c r="E386" s="161" t="s">
        <v>1203</v>
      </c>
      <c r="F386" s="85">
        <f>SUMIF(管道站场阀室关系!B:B,支线管道!C386,管道站场阀室关系!H:H)</f>
        <v>112.454</v>
      </c>
      <c r="G386" s="161">
        <v>406.4</v>
      </c>
      <c r="H386" s="231">
        <v>8</v>
      </c>
      <c r="I386" s="231">
        <v>6.3</v>
      </c>
      <c r="J386" s="161">
        <v>3.72</v>
      </c>
      <c r="K386" s="161"/>
      <c r="L386" s="191"/>
      <c r="M386" s="161">
        <v>20250507</v>
      </c>
      <c r="N386" s="161"/>
      <c r="O386" s="161"/>
    </row>
    <row r="387" ht="45" spans="1:15">
      <c r="A387" s="161">
        <v>385</v>
      </c>
      <c r="B387" s="122" t="s">
        <v>90</v>
      </c>
      <c r="C387" s="205" t="s">
        <v>1204</v>
      </c>
      <c r="D387" s="161" t="s">
        <v>1205</v>
      </c>
      <c r="E387" s="161" t="s">
        <v>741</v>
      </c>
      <c r="F387" s="85">
        <f>SUMIF(管道站场阀室关系!B:B,支线管道!C387,管道站场阀室关系!H:H)</f>
        <v>29.14</v>
      </c>
      <c r="G387" s="243" t="s">
        <v>1206</v>
      </c>
      <c r="H387" s="231" t="s">
        <v>1196</v>
      </c>
      <c r="I387" s="231">
        <v>4</v>
      </c>
      <c r="J387" s="161">
        <v>4.45</v>
      </c>
      <c r="K387" s="161"/>
      <c r="L387" s="191"/>
      <c r="M387" s="161" t="s">
        <v>1207</v>
      </c>
      <c r="N387" s="161"/>
      <c r="O387" s="161" t="s">
        <v>1208</v>
      </c>
    </row>
    <row r="388" spans="1:15">
      <c r="A388" s="161">
        <v>386</v>
      </c>
      <c r="B388" s="122" t="s">
        <v>90</v>
      </c>
      <c r="C388" s="205" t="s">
        <v>1209</v>
      </c>
      <c r="D388" s="161" t="s">
        <v>1210</v>
      </c>
      <c r="E388" s="161" t="s">
        <v>1211</v>
      </c>
      <c r="F388" s="85">
        <f>SUMIF(管道站场阀室关系!B:B,支线管道!C388,管道站场阀室关系!H:H)</f>
        <v>0</v>
      </c>
      <c r="G388" s="243"/>
      <c r="H388" s="231"/>
      <c r="I388" s="231"/>
      <c r="J388" s="161"/>
      <c r="K388" s="161"/>
      <c r="L388" s="191"/>
      <c r="M388" s="161"/>
      <c r="N388" s="161"/>
      <c r="O388" s="161"/>
    </row>
    <row r="389" spans="1:15">
      <c r="A389" s="161">
        <v>387</v>
      </c>
      <c r="B389" s="122" t="s">
        <v>90</v>
      </c>
      <c r="C389" s="205" t="s">
        <v>1212</v>
      </c>
      <c r="D389" s="161" t="s">
        <v>741</v>
      </c>
      <c r="E389" s="161" t="s">
        <v>1213</v>
      </c>
      <c r="F389" s="85">
        <f>SUMIF(管道站场阀室关系!B:B,支线管道!C389,管道站场阀室关系!H:H)</f>
        <v>0</v>
      </c>
      <c r="G389" s="243"/>
      <c r="H389" s="231"/>
      <c r="I389" s="231"/>
      <c r="J389" s="161"/>
      <c r="K389" s="161"/>
      <c r="L389" s="191"/>
      <c r="M389" s="161"/>
      <c r="N389" s="161"/>
      <c r="O389" s="161"/>
    </row>
    <row r="390" spans="1:15">
      <c r="A390" s="161">
        <v>388</v>
      </c>
      <c r="B390" s="122" t="s">
        <v>90</v>
      </c>
      <c r="C390" s="205" t="s">
        <v>1214</v>
      </c>
      <c r="D390" s="243" t="s">
        <v>1215</v>
      </c>
      <c r="E390" s="243" t="s">
        <v>1216</v>
      </c>
      <c r="F390" s="85">
        <f>SUMIF(管道站场阀室关系!B:B,支线管道!C390,管道站场阀室关系!H:H)</f>
        <v>79.5449</v>
      </c>
      <c r="G390" s="161">
        <v>406.4</v>
      </c>
      <c r="H390" s="231"/>
      <c r="I390" s="231">
        <v>6.3</v>
      </c>
      <c r="J390" s="161">
        <v>8.27</v>
      </c>
      <c r="K390" s="161"/>
      <c r="L390" s="191"/>
      <c r="M390" s="161">
        <v>20201225</v>
      </c>
      <c r="N390" s="161"/>
      <c r="O390" s="161"/>
    </row>
    <row r="391" spans="1:15">
      <c r="A391" s="161">
        <v>389</v>
      </c>
      <c r="B391" s="122" t="s">
        <v>90</v>
      </c>
      <c r="C391" s="205" t="s">
        <v>1217</v>
      </c>
      <c r="D391" s="243" t="s">
        <v>1218</v>
      </c>
      <c r="E391" s="161" t="s">
        <v>1219</v>
      </c>
      <c r="F391" s="85">
        <f>SUMIF(管道站场阀室关系!B:B,支线管道!C391,管道站场阀室关系!H:H)</f>
        <v>61.718</v>
      </c>
      <c r="G391" s="161" t="s">
        <v>1220</v>
      </c>
      <c r="H391" s="231" t="s">
        <v>1221</v>
      </c>
      <c r="I391" s="231">
        <v>6.3</v>
      </c>
      <c r="J391" s="161">
        <v>4.24</v>
      </c>
      <c r="K391" s="161"/>
      <c r="L391" s="191"/>
      <c r="M391" s="161">
        <v>20231229</v>
      </c>
      <c r="N391" s="161"/>
      <c r="O391" s="161"/>
    </row>
    <row r="392" spans="1:15">
      <c r="A392" s="161">
        <v>390</v>
      </c>
      <c r="B392" s="122" t="s">
        <v>90</v>
      </c>
      <c r="C392" s="205" t="s">
        <v>1222</v>
      </c>
      <c r="D392" s="243" t="s">
        <v>1223</v>
      </c>
      <c r="E392" s="243" t="s">
        <v>1224</v>
      </c>
      <c r="F392" s="85">
        <f>SUMIF(管道站场阀室关系!B:B,支线管道!C392,管道站场阀室关系!H:H)</f>
        <v>119.38</v>
      </c>
      <c r="G392" s="161">
        <v>406.4</v>
      </c>
      <c r="H392" s="231" t="s">
        <v>1225</v>
      </c>
      <c r="I392" s="231">
        <v>6.3</v>
      </c>
      <c r="J392" s="161">
        <v>9.5</v>
      </c>
      <c r="K392" s="161"/>
      <c r="L392" s="191"/>
      <c r="M392" s="161">
        <v>20201208</v>
      </c>
      <c r="N392" s="161"/>
      <c r="O392" s="161"/>
    </row>
    <row r="393" spans="1:15">
      <c r="A393" s="161">
        <v>391</v>
      </c>
      <c r="B393" s="122" t="s">
        <v>90</v>
      </c>
      <c r="C393" s="205" t="s">
        <v>1226</v>
      </c>
      <c r="D393" s="243" t="s">
        <v>1224</v>
      </c>
      <c r="E393" s="161" t="s">
        <v>1227</v>
      </c>
      <c r="F393" s="85">
        <f>SUMIF(管道站场阀室关系!B:B,支线管道!C393,管道站场阀室关系!H:H)</f>
        <v>132.44</v>
      </c>
      <c r="G393" s="161">
        <v>323.9</v>
      </c>
      <c r="H393" s="231" t="s">
        <v>1225</v>
      </c>
      <c r="I393" s="231">
        <v>6.3</v>
      </c>
      <c r="J393" s="161">
        <v>2.15</v>
      </c>
      <c r="K393" s="161"/>
      <c r="L393" s="191"/>
      <c r="M393" s="161">
        <v>20220626</v>
      </c>
      <c r="N393" s="161"/>
      <c r="O393" s="161"/>
    </row>
    <row r="394" ht="30" spans="1:15">
      <c r="A394" s="161">
        <v>392</v>
      </c>
      <c r="B394" s="122" t="s">
        <v>90</v>
      </c>
      <c r="C394" s="205" t="s">
        <v>1228</v>
      </c>
      <c r="D394" s="243" t="s">
        <v>1224</v>
      </c>
      <c r="E394" s="243" t="s">
        <v>1229</v>
      </c>
      <c r="F394" s="85">
        <f>SUMIF(管道站场阀室关系!B:B,支线管道!C394,管道站场阀室关系!H:H)</f>
        <v>174</v>
      </c>
      <c r="G394" s="161">
        <v>406.4</v>
      </c>
      <c r="H394" s="231" t="s">
        <v>1225</v>
      </c>
      <c r="I394" s="231">
        <v>6.3</v>
      </c>
      <c r="J394" s="161">
        <v>6.95</v>
      </c>
      <c r="K394" s="161"/>
      <c r="L394" s="191"/>
      <c r="M394" s="161" t="s">
        <v>1230</v>
      </c>
      <c r="N394" s="161"/>
      <c r="O394" s="161"/>
    </row>
    <row r="395" spans="1:15">
      <c r="A395" s="161">
        <v>393</v>
      </c>
      <c r="B395" s="122" t="s">
        <v>90</v>
      </c>
      <c r="C395" s="205" t="s">
        <v>1231</v>
      </c>
      <c r="D395" s="198" t="s">
        <v>1232</v>
      </c>
      <c r="E395" s="161" t="s">
        <v>1233</v>
      </c>
      <c r="F395" s="85">
        <f>SUMIF(管道站场阀室关系!B:B,支线管道!C395,管道站场阀室关系!H:H)</f>
        <v>49.66</v>
      </c>
      <c r="G395" s="161">
        <v>323.9</v>
      </c>
      <c r="H395" s="231" t="s">
        <v>1234</v>
      </c>
      <c r="I395" s="231">
        <v>6.3</v>
      </c>
      <c r="J395" s="161">
        <v>1.3</v>
      </c>
      <c r="K395" s="161"/>
      <c r="L395" s="191"/>
      <c r="M395" s="161">
        <v>20240111</v>
      </c>
      <c r="N395" s="161"/>
      <c r="O395" s="161"/>
    </row>
    <row r="396" spans="1:15">
      <c r="A396" s="161">
        <v>394</v>
      </c>
      <c r="B396" s="122" t="s">
        <v>91</v>
      </c>
      <c r="C396" s="101" t="s">
        <v>1235</v>
      </c>
      <c r="D396" s="198" t="s">
        <v>607</v>
      </c>
      <c r="E396" s="161" t="s">
        <v>1236</v>
      </c>
      <c r="F396" s="182">
        <f>SUMIF(管道站场阀室关系!B:B,支线管道!C396,管道站场阀室关系!H:H)</f>
        <v>26.5</v>
      </c>
      <c r="G396" s="161">
        <v>273</v>
      </c>
      <c r="H396" s="231">
        <v>6.3</v>
      </c>
      <c r="I396" s="231">
        <v>6.3</v>
      </c>
      <c r="J396" s="161">
        <v>4.9</v>
      </c>
      <c r="K396" s="161"/>
      <c r="L396" s="191"/>
      <c r="M396" s="161">
        <v>20140912</v>
      </c>
      <c r="N396" s="161"/>
      <c r="O396" s="161"/>
    </row>
    <row r="397" spans="1:15">
      <c r="A397" s="161">
        <v>395</v>
      </c>
      <c r="B397" s="122" t="s">
        <v>91</v>
      </c>
      <c r="C397" s="101" t="s">
        <v>1237</v>
      </c>
      <c r="D397" s="198" t="s">
        <v>1238</v>
      </c>
      <c r="E397" s="161" t="s">
        <v>1239</v>
      </c>
      <c r="F397" s="182">
        <f>SUMIF(管道站场阀室关系!B:B,支线管道!C397,管道站场阀室关系!H:H)</f>
        <v>1.93</v>
      </c>
      <c r="G397" s="161">
        <v>273</v>
      </c>
      <c r="H397" s="231">
        <v>10</v>
      </c>
      <c r="I397" s="231">
        <v>10</v>
      </c>
      <c r="J397" s="161">
        <v>3.9</v>
      </c>
      <c r="K397" s="161"/>
      <c r="L397" s="191"/>
      <c r="M397" s="161">
        <v>20160924</v>
      </c>
      <c r="N397" s="161"/>
      <c r="O397" s="161"/>
    </row>
    <row r="398" spans="1:15">
      <c r="A398" s="161">
        <v>396</v>
      </c>
      <c r="B398" s="122" t="s">
        <v>91</v>
      </c>
      <c r="C398" s="101" t="s">
        <v>1240</v>
      </c>
      <c r="D398" s="198" t="s">
        <v>1241</v>
      </c>
      <c r="E398" s="161" t="s">
        <v>1242</v>
      </c>
      <c r="F398" s="182">
        <f>SUMIF(管道站场阀室关系!B:B,支线管道!C398,管道站场阀室关系!H:H)</f>
        <v>19.4</v>
      </c>
      <c r="G398" s="161">
        <v>323.9</v>
      </c>
      <c r="H398" s="231">
        <v>6.3</v>
      </c>
      <c r="I398" s="231">
        <v>6.3</v>
      </c>
      <c r="J398" s="161">
        <v>4.98</v>
      </c>
      <c r="K398" s="161"/>
      <c r="L398" s="191"/>
      <c r="M398" s="161">
        <v>20140509</v>
      </c>
      <c r="N398" s="161"/>
      <c r="O398" s="161"/>
    </row>
    <row r="399" spans="1:15">
      <c r="A399" s="161">
        <v>397</v>
      </c>
      <c r="B399" s="122" t="s">
        <v>91</v>
      </c>
      <c r="C399" s="101" t="s">
        <v>1243</v>
      </c>
      <c r="D399" s="198" t="s">
        <v>1244</v>
      </c>
      <c r="E399" s="161" t="s">
        <v>1245</v>
      </c>
      <c r="F399" s="182">
        <f>SUMIF(管道站场阀室关系!B:B,支线管道!C399,管道站场阀室关系!H:H)</f>
        <v>23.605</v>
      </c>
      <c r="G399" s="161">
        <v>219.1</v>
      </c>
      <c r="H399" s="231">
        <v>6.3</v>
      </c>
      <c r="I399" s="231">
        <v>6.3</v>
      </c>
      <c r="J399" s="161">
        <v>1.52</v>
      </c>
      <c r="K399" s="161"/>
      <c r="L399" s="191"/>
      <c r="M399" s="161">
        <v>20151209</v>
      </c>
      <c r="N399" s="161"/>
      <c r="O399" s="161"/>
    </row>
    <row r="400" spans="1:15">
      <c r="A400" s="161">
        <v>398</v>
      </c>
      <c r="B400" s="122" t="s">
        <v>91</v>
      </c>
      <c r="C400" s="101" t="s">
        <v>1246</v>
      </c>
      <c r="D400" s="198" t="s">
        <v>1247</v>
      </c>
      <c r="E400" s="161" t="s">
        <v>1248</v>
      </c>
      <c r="F400" s="182">
        <f>SUMIF(管道站场阀室关系!B:B,支线管道!C400,管道站场阀室关系!H:H)</f>
        <v>3.7</v>
      </c>
      <c r="G400" s="161">
        <v>508</v>
      </c>
      <c r="H400" s="231">
        <v>8.7</v>
      </c>
      <c r="I400" s="231">
        <v>10</v>
      </c>
      <c r="J400" s="161">
        <v>1.68</v>
      </c>
      <c r="K400" s="161"/>
      <c r="L400" s="191"/>
      <c r="M400" s="161">
        <v>20211025</v>
      </c>
      <c r="N400" s="161"/>
      <c r="O400" s="161"/>
    </row>
    <row r="401" spans="1:15">
      <c r="A401" s="161">
        <v>399</v>
      </c>
      <c r="B401" s="122" t="s">
        <v>91</v>
      </c>
      <c r="C401" s="101" t="s">
        <v>1249</v>
      </c>
      <c r="D401" s="198" t="s">
        <v>1250</v>
      </c>
      <c r="E401" s="161" t="s">
        <v>1251</v>
      </c>
      <c r="F401" s="182">
        <f>SUMIF(管道站场阀室关系!B:B,支线管道!C401,管道站场阀室关系!H:H)</f>
        <v>1.3</v>
      </c>
      <c r="G401" s="161">
        <v>323</v>
      </c>
      <c r="H401" s="231"/>
      <c r="I401" s="231">
        <v>10</v>
      </c>
      <c r="J401" s="161">
        <v>5.25</v>
      </c>
      <c r="K401" s="161"/>
      <c r="L401" s="191"/>
      <c r="M401" s="161"/>
      <c r="N401" s="161"/>
      <c r="O401" s="161"/>
    </row>
    <row r="402" spans="1:15">
      <c r="A402" s="161">
        <v>400</v>
      </c>
      <c r="B402" s="122" t="s">
        <v>91</v>
      </c>
      <c r="C402" s="101" t="s">
        <v>1252</v>
      </c>
      <c r="D402" s="198" t="s">
        <v>1253</v>
      </c>
      <c r="E402" s="161" t="s">
        <v>1254</v>
      </c>
      <c r="F402" s="182">
        <f>SUMIF(管道站场阀室关系!B:B,支线管道!C402,管道站场阀室关系!H:H)</f>
        <v>15.944</v>
      </c>
      <c r="G402" s="161">
        <v>323.9</v>
      </c>
      <c r="H402" s="231"/>
      <c r="I402" s="231">
        <v>6.3</v>
      </c>
      <c r="J402" s="161">
        <v>2.6</v>
      </c>
      <c r="K402" s="161"/>
      <c r="L402" s="191"/>
      <c r="M402" s="161">
        <v>20250808</v>
      </c>
      <c r="N402" s="161"/>
      <c r="O402" s="161"/>
    </row>
    <row r="403" spans="1:15">
      <c r="A403" s="161">
        <v>401</v>
      </c>
      <c r="B403" s="122" t="s">
        <v>91</v>
      </c>
      <c r="C403" s="101" t="s">
        <v>1255</v>
      </c>
      <c r="D403" s="198" t="s">
        <v>1256</v>
      </c>
      <c r="E403" s="161" t="s">
        <v>1257</v>
      </c>
      <c r="F403" s="182" t="s">
        <v>1258</v>
      </c>
      <c r="G403" s="161" t="s">
        <v>1258</v>
      </c>
      <c r="H403" s="161" t="s">
        <v>1258</v>
      </c>
      <c r="I403" s="161" t="s">
        <v>1258</v>
      </c>
      <c r="J403" s="161" t="s">
        <v>1258</v>
      </c>
      <c r="K403" s="161"/>
      <c r="L403" s="191"/>
      <c r="M403" s="161">
        <v>20150925</v>
      </c>
      <c r="N403" s="161"/>
      <c r="O403" s="161"/>
    </row>
    <row r="404" spans="1:15">
      <c r="A404" s="161">
        <v>402</v>
      </c>
      <c r="B404" s="122" t="s">
        <v>91</v>
      </c>
      <c r="C404" s="101" t="s">
        <v>1259</v>
      </c>
      <c r="D404" s="198" t="s">
        <v>1250</v>
      </c>
      <c r="E404" s="161" t="s">
        <v>1260</v>
      </c>
      <c r="F404" s="182" t="s">
        <v>1258</v>
      </c>
      <c r="G404" s="161" t="s">
        <v>1258</v>
      </c>
      <c r="H404" s="161" t="s">
        <v>1258</v>
      </c>
      <c r="I404" s="161" t="s">
        <v>1258</v>
      </c>
      <c r="J404" s="161" t="s">
        <v>1258</v>
      </c>
      <c r="K404" s="161"/>
      <c r="L404" s="191"/>
      <c r="M404" s="161">
        <v>20150428</v>
      </c>
      <c r="N404" s="161"/>
      <c r="O404" s="161"/>
    </row>
    <row r="405" spans="1:15">
      <c r="A405" s="161">
        <v>403</v>
      </c>
      <c r="B405" s="122" t="s">
        <v>91</v>
      </c>
      <c r="C405" s="101" t="s">
        <v>1261</v>
      </c>
      <c r="D405" s="161" t="s">
        <v>1262</v>
      </c>
      <c r="E405" s="161" t="s">
        <v>1263</v>
      </c>
      <c r="F405" s="182" t="s">
        <v>1258</v>
      </c>
      <c r="G405" s="161" t="s">
        <v>1258</v>
      </c>
      <c r="H405" s="161" t="s">
        <v>1258</v>
      </c>
      <c r="I405" s="161" t="s">
        <v>1258</v>
      </c>
      <c r="J405" s="161" t="s">
        <v>1258</v>
      </c>
      <c r="K405" s="161"/>
      <c r="L405" s="191"/>
      <c r="M405" s="161">
        <v>20180606</v>
      </c>
      <c r="N405" s="161"/>
      <c r="O405" s="161"/>
    </row>
    <row r="406" spans="1:15">
      <c r="A406" s="161">
        <v>404</v>
      </c>
      <c r="B406" s="122" t="s">
        <v>91</v>
      </c>
      <c r="C406" s="101" t="s">
        <v>1264</v>
      </c>
      <c r="D406" s="161" t="s">
        <v>1265</v>
      </c>
      <c r="E406" s="161" t="s">
        <v>1266</v>
      </c>
      <c r="F406" s="182" t="s">
        <v>1258</v>
      </c>
      <c r="G406" s="161" t="s">
        <v>1258</v>
      </c>
      <c r="H406" s="161" t="s">
        <v>1258</v>
      </c>
      <c r="I406" s="161" t="s">
        <v>1258</v>
      </c>
      <c r="J406" s="161" t="s">
        <v>1258</v>
      </c>
      <c r="K406" s="161"/>
      <c r="L406" s="191"/>
      <c r="M406" s="161">
        <v>20160927</v>
      </c>
      <c r="N406" s="161"/>
      <c r="O406" s="161"/>
    </row>
    <row r="407" spans="1:15">
      <c r="A407" s="161">
        <v>405</v>
      </c>
      <c r="B407" s="122" t="s">
        <v>91</v>
      </c>
      <c r="C407" s="101" t="s">
        <v>1267</v>
      </c>
      <c r="D407" s="161" t="s">
        <v>1268</v>
      </c>
      <c r="E407" s="161" t="s">
        <v>1269</v>
      </c>
      <c r="F407" s="182" t="s">
        <v>1258</v>
      </c>
      <c r="G407" s="161" t="s">
        <v>1258</v>
      </c>
      <c r="H407" s="161" t="s">
        <v>1258</v>
      </c>
      <c r="I407" s="161" t="s">
        <v>1258</v>
      </c>
      <c r="J407" s="161" t="s">
        <v>1258</v>
      </c>
      <c r="K407" s="161"/>
      <c r="L407" s="191"/>
      <c r="M407" s="161">
        <v>20131112</v>
      </c>
      <c r="N407" s="161"/>
      <c r="O407" s="161"/>
    </row>
    <row r="408" spans="1:15">
      <c r="A408" s="161">
        <v>406</v>
      </c>
      <c r="B408" s="122" t="s">
        <v>91</v>
      </c>
      <c r="C408" s="101" t="s">
        <v>1270</v>
      </c>
      <c r="D408" s="161" t="s">
        <v>1271</v>
      </c>
      <c r="E408" s="161" t="s">
        <v>1272</v>
      </c>
      <c r="F408" s="182" t="s">
        <v>1258</v>
      </c>
      <c r="G408" s="161" t="s">
        <v>1258</v>
      </c>
      <c r="H408" s="161" t="s">
        <v>1258</v>
      </c>
      <c r="I408" s="161" t="s">
        <v>1258</v>
      </c>
      <c r="J408" s="161" t="s">
        <v>1258</v>
      </c>
      <c r="K408" s="161"/>
      <c r="L408" s="191"/>
      <c r="M408" s="161">
        <v>20171229</v>
      </c>
      <c r="N408" s="161"/>
      <c r="O408" s="161"/>
    </row>
    <row r="409" spans="1:15">
      <c r="A409" s="161">
        <v>407</v>
      </c>
      <c r="B409" s="122" t="s">
        <v>91</v>
      </c>
      <c r="C409" s="101" t="s">
        <v>1273</v>
      </c>
      <c r="D409" s="161" t="s">
        <v>640</v>
      </c>
      <c r="E409" s="161" t="s">
        <v>1274</v>
      </c>
      <c r="F409" s="182" t="s">
        <v>1258</v>
      </c>
      <c r="G409" s="161" t="s">
        <v>1258</v>
      </c>
      <c r="H409" s="161" t="s">
        <v>1258</v>
      </c>
      <c r="I409" s="161" t="s">
        <v>1258</v>
      </c>
      <c r="J409" s="161" t="s">
        <v>1258</v>
      </c>
      <c r="K409" s="161"/>
      <c r="L409" s="191"/>
      <c r="M409" s="161">
        <v>20140528</v>
      </c>
      <c r="N409" s="161"/>
      <c r="O409" s="161"/>
    </row>
    <row r="410" spans="1:1">
      <c r="A410" s="209"/>
    </row>
    <row r="411" spans="1:1">
      <c r="A411" s="209"/>
    </row>
    <row r="412" spans="1:1">
      <c r="A412" s="209"/>
    </row>
    <row r="413" spans="1:1">
      <c r="A413" s="209"/>
    </row>
    <row r="414" spans="1:1">
      <c r="A414" s="209"/>
    </row>
    <row r="415" spans="1:1">
      <c r="A415" s="209"/>
    </row>
    <row r="416" spans="1:1">
      <c r="A416" s="209"/>
    </row>
    <row r="417" spans="1:1">
      <c r="A417" s="209"/>
    </row>
    <row r="418" spans="1:1">
      <c r="A418" s="209"/>
    </row>
    <row r="419" spans="1:1">
      <c r="A419" s="209"/>
    </row>
    <row r="420" spans="1:1">
      <c r="A420" s="209"/>
    </row>
    <row r="421" spans="1:1">
      <c r="A421" s="209"/>
    </row>
    <row r="422" spans="1:1">
      <c r="A422" s="209"/>
    </row>
    <row r="423" spans="1:1">
      <c r="A423" s="209"/>
    </row>
    <row r="424" spans="1:1">
      <c r="A424" s="209"/>
    </row>
    <row r="425" spans="1:1">
      <c r="A425" s="209"/>
    </row>
    <row r="426" spans="1:1">
      <c r="A426" s="209"/>
    </row>
    <row r="427" spans="1:1">
      <c r="A427" s="209"/>
    </row>
    <row r="428" spans="1:1">
      <c r="A428" s="209"/>
    </row>
    <row r="429" spans="1:1">
      <c r="A429" s="209"/>
    </row>
    <row r="430" spans="1:1">
      <c r="A430" s="209"/>
    </row>
    <row r="431" spans="1:1">
      <c r="A431" s="209"/>
    </row>
    <row r="432" spans="1:1">
      <c r="A432" s="209"/>
    </row>
    <row r="433" spans="1:1">
      <c r="A433" s="209"/>
    </row>
    <row r="434" spans="1:1">
      <c r="A434" s="209"/>
    </row>
    <row r="435" spans="1:1">
      <c r="A435" s="209"/>
    </row>
    <row r="436" spans="1:1">
      <c r="A436" s="209"/>
    </row>
    <row r="437" spans="1:1">
      <c r="A437" s="209"/>
    </row>
    <row r="438" spans="1:1">
      <c r="A438" s="209"/>
    </row>
    <row r="439" spans="1:1">
      <c r="A439" s="209"/>
    </row>
    <row r="440" spans="1:1">
      <c r="A440" s="209"/>
    </row>
    <row r="441" spans="1:1">
      <c r="A441" s="209"/>
    </row>
    <row r="442" spans="1:1">
      <c r="A442" s="209"/>
    </row>
    <row r="443" spans="1:1">
      <c r="A443" s="209"/>
    </row>
    <row r="444" spans="1:1">
      <c r="A444" s="209"/>
    </row>
    <row r="445" spans="1:1">
      <c r="A445" s="209"/>
    </row>
    <row r="446" spans="1:1">
      <c r="A446" s="209"/>
    </row>
    <row r="447" spans="1:1">
      <c r="A447" s="209"/>
    </row>
    <row r="448" spans="1:1">
      <c r="A448" s="209"/>
    </row>
    <row r="449" spans="1:1">
      <c r="A449" s="209"/>
    </row>
    <row r="450" spans="1:1">
      <c r="A450" s="209"/>
    </row>
    <row r="451" spans="1:1">
      <c r="A451" s="209"/>
    </row>
    <row r="452" spans="1:1">
      <c r="A452" s="209"/>
    </row>
    <row r="453" spans="1:1">
      <c r="A453" s="209"/>
    </row>
  </sheetData>
  <autoFilter ref="A1:O409">
    <extLst/>
  </autoFilter>
  <conditionalFormatting sqref="D303">
    <cfRule type="duplicateValues" dxfId="0" priority="41"/>
  </conditionalFormatting>
  <conditionalFormatting sqref="C385">
    <cfRule type="duplicateValues" dxfId="0" priority="40"/>
  </conditionalFormatting>
  <conditionalFormatting sqref="C396:C409">
    <cfRule type="duplicateValues" dxfId="0" priority="38"/>
  </conditionalFormatting>
  <conditionalFormatting sqref="C1:C241 C286:C291 C294:C313 C244:C283 C410:C1048576 C392:C393 C386:C390 C317:C382 C395">
    <cfRule type="duplicateValues" dxfId="0" priority="46"/>
  </conditionalFormatting>
  <conditionalFormatting sqref="C292:C293 C284:C285 C314:C316">
    <cfRule type="duplicateValues" dxfId="0" priority="42"/>
  </conditionalFormatting>
  <dataValidations count="3">
    <dataValidation type="list" allowBlank="1" showInputMessage="1" showErrorMessage="1" sqref="C252 C85:C86">
      <formula1>INDIRECT("支线管道!C2:C400")</formula1>
    </dataValidation>
    <dataValidation type="list" allowBlank="1" showInputMessage="1" showErrorMessage="1" sqref="N308 N2:N199 N202:N307 N309:N314 N315:N316 N317:N319 N320:N382">
      <formula1>INDIRECT("调度台!B2:B10")</formula1>
    </dataValidation>
    <dataValidation type="list" allowBlank="1" showInputMessage="1" showErrorMessage="1" sqref="B2:B80 B81:B83 B84:B252 B253:B266 B267:B279 B280:B294 B295:B307 B308:B314 B315:B316 B317:B319 B320:B382 B383:B422">
      <formula1>INDIRECT("干线管道!$B$2:$B$88")</formula1>
    </dataValidation>
  </dataValidations>
  <pageMargins left="0.75" right="0.75" top="1" bottom="1" header="0.5" footer="0.5"/>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4078"/>
  <sheetViews>
    <sheetView workbookViewId="0">
      <pane xSplit="4" ySplit="1" topLeftCell="K2" activePane="bottomRight" state="frozen"/>
      <selection/>
      <selection pane="topRight"/>
      <selection pane="bottomLeft"/>
      <selection pane="bottomRight" activeCell="A1" sqref="$A1:$XFD1048576"/>
    </sheetView>
  </sheetViews>
  <sheetFormatPr defaultColWidth="11.9166666666667" defaultRowHeight="15"/>
  <cols>
    <col min="1" max="1" width="17.3333333333333" style="152" customWidth="1"/>
    <col min="2" max="2" width="25.375" style="152" customWidth="1"/>
    <col min="3" max="3" width="22.75" style="152" customWidth="1"/>
    <col min="4" max="4" width="19.7083333333333" style="152" customWidth="1"/>
    <col min="5" max="5" width="15.4166666666667" style="156" hidden="1" customWidth="1"/>
    <col min="6" max="6" width="20.5833333333333" style="156" hidden="1" customWidth="1"/>
    <col min="7" max="8" width="11.9166666666667" style="157" customWidth="1"/>
    <col min="9" max="11" width="11.9166666666667" style="158" customWidth="1"/>
    <col min="12" max="12" width="12.5" style="159" customWidth="1"/>
    <col min="13" max="13" width="14.125" style="160" customWidth="1"/>
    <col min="14" max="15" width="11.9166666666667" style="160" customWidth="1"/>
    <col min="16" max="16" width="11.9166666666667" style="151" customWidth="1"/>
    <col min="17" max="17" width="64.4166666666667" style="152" customWidth="1"/>
    <col min="18" max="18" width="11.9166666666667" style="152" customWidth="1"/>
    <col min="19" max="16384" width="11.9166666666667" style="152"/>
  </cols>
  <sheetData>
    <row r="1" ht="60" spans="1:18">
      <c r="A1" s="161" t="s">
        <v>95</v>
      </c>
      <c r="B1" s="161" t="s">
        <v>1275</v>
      </c>
      <c r="C1" s="162" t="s">
        <v>1276</v>
      </c>
      <c r="D1" s="161" t="s">
        <v>1277</v>
      </c>
      <c r="E1" s="161" t="s">
        <v>1278</v>
      </c>
      <c r="F1" s="161" t="s">
        <v>1279</v>
      </c>
      <c r="G1" s="163" t="s">
        <v>1280</v>
      </c>
      <c r="H1" s="163" t="s">
        <v>1281</v>
      </c>
      <c r="I1" s="163" t="s">
        <v>1282</v>
      </c>
      <c r="J1" s="163" t="s">
        <v>1283</v>
      </c>
      <c r="K1" s="163" t="s">
        <v>1284</v>
      </c>
      <c r="L1" s="163" t="s">
        <v>108</v>
      </c>
      <c r="M1" s="161" t="s">
        <v>1285</v>
      </c>
      <c r="N1" s="161" t="s">
        <v>1286</v>
      </c>
      <c r="O1" s="101" t="s">
        <v>1287</v>
      </c>
      <c r="P1" s="101" t="s">
        <v>1288</v>
      </c>
      <c r="Q1" s="166" t="s">
        <v>1289</v>
      </c>
      <c r="R1" s="151"/>
    </row>
    <row r="2" s="148" customFormat="1" ht="30" spans="1:18">
      <c r="A2" s="101" t="s">
        <v>28</v>
      </c>
      <c r="B2" s="101" t="s">
        <v>109</v>
      </c>
      <c r="C2" s="164" t="s">
        <v>110</v>
      </c>
      <c r="D2" s="161" t="s">
        <v>1290</v>
      </c>
      <c r="E2" s="165" t="s">
        <v>1291</v>
      </c>
      <c r="F2" s="161" t="s">
        <v>1292</v>
      </c>
      <c r="G2" s="163">
        <v>0</v>
      </c>
      <c r="H2" s="163">
        <v>0</v>
      </c>
      <c r="I2" s="163">
        <v>930</v>
      </c>
      <c r="J2" s="163">
        <v>0</v>
      </c>
      <c r="K2" s="163">
        <v>0</v>
      </c>
      <c r="L2" s="163" t="s">
        <v>1293</v>
      </c>
      <c r="M2" s="161" t="s">
        <v>1294</v>
      </c>
      <c r="N2" s="161" t="s">
        <v>1295</v>
      </c>
      <c r="O2" s="161" t="s">
        <v>6</v>
      </c>
      <c r="P2" s="49" t="s">
        <v>6</v>
      </c>
      <c r="Q2" s="166" t="s">
        <v>1296</v>
      </c>
      <c r="R2" s="167"/>
    </row>
    <row r="3" s="148" customFormat="1" spans="1:18">
      <c r="A3" s="101" t="s">
        <v>28</v>
      </c>
      <c r="B3" s="101" t="s">
        <v>109</v>
      </c>
      <c r="C3" s="164" t="s">
        <v>1297</v>
      </c>
      <c r="D3" s="161" t="s">
        <v>1298</v>
      </c>
      <c r="E3" s="161" t="s">
        <v>1291</v>
      </c>
      <c r="F3" s="161" t="s">
        <v>1292</v>
      </c>
      <c r="G3" s="163">
        <v>32.5005</v>
      </c>
      <c r="H3" s="163">
        <f>G3-G2</f>
        <v>32.5005</v>
      </c>
      <c r="I3" s="163">
        <v>924</v>
      </c>
      <c r="J3" s="163">
        <v>24800</v>
      </c>
      <c r="K3" s="163">
        <v>24800</v>
      </c>
      <c r="L3" s="163"/>
      <c r="M3" s="161" t="s">
        <v>1294</v>
      </c>
      <c r="N3" s="161" t="s">
        <v>1299</v>
      </c>
      <c r="O3" s="161" t="s">
        <v>25</v>
      </c>
      <c r="P3" s="49" t="s">
        <v>25</v>
      </c>
      <c r="Q3" s="166" t="s">
        <v>1300</v>
      </c>
      <c r="R3" s="167"/>
    </row>
    <row r="4" s="148" customFormat="1" spans="1:18">
      <c r="A4" s="101" t="s">
        <v>28</v>
      </c>
      <c r="B4" s="101" t="s">
        <v>109</v>
      </c>
      <c r="C4" s="164" t="s">
        <v>1301</v>
      </c>
      <c r="D4" s="161" t="s">
        <v>1302</v>
      </c>
      <c r="E4" s="161" t="s">
        <v>1291</v>
      </c>
      <c r="F4" s="161" t="s">
        <v>1292</v>
      </c>
      <c r="G4" s="163">
        <v>62.5294</v>
      </c>
      <c r="H4" s="163">
        <f t="shared" ref="H4:H22" si="0">G4-G3</f>
        <v>30.0289</v>
      </c>
      <c r="I4" s="163">
        <v>910</v>
      </c>
      <c r="J4" s="163">
        <v>22914</v>
      </c>
      <c r="K4" s="163">
        <v>47714</v>
      </c>
      <c r="L4" s="163"/>
      <c r="M4" s="161" t="s">
        <v>1294</v>
      </c>
      <c r="N4" s="161" t="s">
        <v>1299</v>
      </c>
      <c r="O4" s="161" t="s">
        <v>25</v>
      </c>
      <c r="P4" s="49" t="s">
        <v>25</v>
      </c>
      <c r="Q4" s="166" t="s">
        <v>1303</v>
      </c>
      <c r="R4" s="167"/>
    </row>
    <row r="5" s="148" customFormat="1" spans="1:18">
      <c r="A5" s="101" t="s">
        <v>28</v>
      </c>
      <c r="B5" s="101" t="s">
        <v>109</v>
      </c>
      <c r="C5" s="164" t="s">
        <v>1304</v>
      </c>
      <c r="D5" s="161" t="s">
        <v>1305</v>
      </c>
      <c r="E5" s="161" t="s">
        <v>1291</v>
      </c>
      <c r="F5" s="161" t="s">
        <v>1292</v>
      </c>
      <c r="G5" s="163">
        <v>95.5411</v>
      </c>
      <c r="H5" s="163">
        <f t="shared" si="0"/>
        <v>33.0117</v>
      </c>
      <c r="I5" s="163">
        <v>901</v>
      </c>
      <c r="J5" s="163">
        <v>25190</v>
      </c>
      <c r="K5" s="163">
        <v>72904</v>
      </c>
      <c r="L5" s="163"/>
      <c r="M5" s="161" t="s">
        <v>1294</v>
      </c>
      <c r="N5" s="161" t="s">
        <v>1299</v>
      </c>
      <c r="O5" s="161" t="s">
        <v>25</v>
      </c>
      <c r="P5" s="49" t="s">
        <v>25</v>
      </c>
      <c r="Q5" s="166" t="s">
        <v>1303</v>
      </c>
      <c r="R5" s="167"/>
    </row>
    <row r="6" s="148" customFormat="1" spans="1:18">
      <c r="A6" s="101" t="s">
        <v>28</v>
      </c>
      <c r="B6" s="101" t="s">
        <v>109</v>
      </c>
      <c r="C6" s="164" t="s">
        <v>1306</v>
      </c>
      <c r="D6" s="161" t="s">
        <v>1307</v>
      </c>
      <c r="E6" s="161" t="s">
        <v>1291</v>
      </c>
      <c r="F6" s="161" t="s">
        <v>1308</v>
      </c>
      <c r="G6" s="163">
        <v>128.5829</v>
      </c>
      <c r="H6" s="163">
        <f t="shared" si="0"/>
        <v>33.0418</v>
      </c>
      <c r="I6" s="163">
        <v>925</v>
      </c>
      <c r="J6" s="163">
        <v>25213</v>
      </c>
      <c r="K6" s="163">
        <v>98117</v>
      </c>
      <c r="L6" s="163"/>
      <c r="M6" s="161" t="s">
        <v>1294</v>
      </c>
      <c r="N6" s="161" t="s">
        <v>1299</v>
      </c>
      <c r="O6" s="161" t="s">
        <v>25</v>
      </c>
      <c r="P6" s="49" t="s">
        <v>25</v>
      </c>
      <c r="Q6" s="166" t="s">
        <v>1309</v>
      </c>
      <c r="R6" s="167"/>
    </row>
    <row r="7" s="148" customFormat="1" spans="1:18">
      <c r="A7" s="101" t="s">
        <v>28</v>
      </c>
      <c r="B7" s="101" t="s">
        <v>109</v>
      </c>
      <c r="C7" s="164" t="s">
        <v>1310</v>
      </c>
      <c r="D7" s="161" t="s">
        <v>1311</v>
      </c>
      <c r="E7" s="161" t="s">
        <v>1291</v>
      </c>
      <c r="F7" s="161" t="s">
        <v>1308</v>
      </c>
      <c r="G7" s="163">
        <v>159.4256</v>
      </c>
      <c r="H7" s="163">
        <f t="shared" si="0"/>
        <v>30.8427</v>
      </c>
      <c r="I7" s="163">
        <v>983</v>
      </c>
      <c r="J7" s="163">
        <v>23535</v>
      </c>
      <c r="K7" s="163">
        <v>121652</v>
      </c>
      <c r="L7" s="163"/>
      <c r="M7" s="161" t="s">
        <v>1294</v>
      </c>
      <c r="N7" s="161" t="s">
        <v>1299</v>
      </c>
      <c r="O7" s="161" t="s">
        <v>25</v>
      </c>
      <c r="P7" s="49" t="s">
        <v>25</v>
      </c>
      <c r="Q7" s="166" t="s">
        <v>1312</v>
      </c>
      <c r="R7" s="167"/>
    </row>
    <row r="8" s="148" customFormat="1" ht="30" spans="1:18">
      <c r="A8" s="101" t="s">
        <v>28</v>
      </c>
      <c r="B8" s="101" t="s">
        <v>109</v>
      </c>
      <c r="C8" s="164" t="s">
        <v>1313</v>
      </c>
      <c r="D8" s="161" t="s">
        <v>1314</v>
      </c>
      <c r="E8" s="161" t="s">
        <v>1291</v>
      </c>
      <c r="F8" s="161" t="s">
        <v>1308</v>
      </c>
      <c r="G8" s="163">
        <v>178.5865</v>
      </c>
      <c r="H8" s="163">
        <f t="shared" si="0"/>
        <v>19.1609</v>
      </c>
      <c r="I8" s="163">
        <v>1078</v>
      </c>
      <c r="J8" s="163">
        <v>16070</v>
      </c>
      <c r="K8" s="163">
        <v>137722</v>
      </c>
      <c r="L8" s="163" t="s">
        <v>1315</v>
      </c>
      <c r="M8" s="161" t="s">
        <v>1294</v>
      </c>
      <c r="N8" s="161" t="s">
        <v>1295</v>
      </c>
      <c r="O8" s="161" t="s">
        <v>6</v>
      </c>
      <c r="P8" s="49" t="s">
        <v>6</v>
      </c>
      <c r="Q8" s="166" t="s">
        <v>1316</v>
      </c>
      <c r="R8" s="167"/>
    </row>
    <row r="9" s="148" customFormat="1" spans="1:18">
      <c r="A9" s="101" t="s">
        <v>28</v>
      </c>
      <c r="B9" s="101" t="s">
        <v>109</v>
      </c>
      <c r="C9" s="164" t="s">
        <v>1317</v>
      </c>
      <c r="D9" s="161" t="s">
        <v>1318</v>
      </c>
      <c r="E9" s="161" t="s">
        <v>1291</v>
      </c>
      <c r="F9" s="161" t="s">
        <v>1308</v>
      </c>
      <c r="G9" s="163">
        <v>205.8962</v>
      </c>
      <c r="H9" s="163">
        <f t="shared" si="0"/>
        <v>27.3097</v>
      </c>
      <c r="I9" s="163">
        <v>1091</v>
      </c>
      <c r="J9" s="163">
        <v>20839</v>
      </c>
      <c r="K9" s="163">
        <v>158561</v>
      </c>
      <c r="L9" s="163"/>
      <c r="M9" s="161" t="s">
        <v>1294</v>
      </c>
      <c r="N9" s="161" t="s">
        <v>1299</v>
      </c>
      <c r="O9" s="161" t="s">
        <v>25</v>
      </c>
      <c r="P9" s="49" t="s">
        <v>25</v>
      </c>
      <c r="Q9" s="166" t="s">
        <v>1319</v>
      </c>
      <c r="R9" s="167"/>
    </row>
    <row r="10" s="148" customFormat="1" spans="1:18">
      <c r="A10" s="101" t="s">
        <v>28</v>
      </c>
      <c r="B10" s="101" t="s">
        <v>109</v>
      </c>
      <c r="C10" s="164" t="s">
        <v>1320</v>
      </c>
      <c r="D10" s="161" t="s">
        <v>1321</v>
      </c>
      <c r="E10" s="161" t="s">
        <v>1291</v>
      </c>
      <c r="F10" s="161" t="s">
        <v>1308</v>
      </c>
      <c r="G10" s="163">
        <v>231.7165</v>
      </c>
      <c r="H10" s="163">
        <f t="shared" si="0"/>
        <v>25.8203</v>
      </c>
      <c r="I10" s="163">
        <v>1082</v>
      </c>
      <c r="J10" s="163">
        <v>19702</v>
      </c>
      <c r="K10" s="163">
        <v>178263</v>
      </c>
      <c r="L10" s="163"/>
      <c r="M10" s="161" t="s">
        <v>1294</v>
      </c>
      <c r="N10" s="161" t="s">
        <v>1299</v>
      </c>
      <c r="O10" s="161" t="s">
        <v>25</v>
      </c>
      <c r="P10" s="49" t="s">
        <v>25</v>
      </c>
      <c r="Q10" s="166" t="s">
        <v>1322</v>
      </c>
      <c r="R10" s="167"/>
    </row>
    <row r="11" s="148" customFormat="1" spans="1:18">
      <c r="A11" s="101" t="s">
        <v>28</v>
      </c>
      <c r="B11" s="101" t="s">
        <v>109</v>
      </c>
      <c r="C11" s="164" t="s">
        <v>1323</v>
      </c>
      <c r="D11" s="161" t="s">
        <v>1324</v>
      </c>
      <c r="E11" s="161" t="s">
        <v>1291</v>
      </c>
      <c r="F11" s="161" t="s">
        <v>1308</v>
      </c>
      <c r="G11" s="163">
        <v>258.4479</v>
      </c>
      <c r="H11" s="163">
        <f t="shared" si="0"/>
        <v>26.7314</v>
      </c>
      <c r="I11" s="163">
        <v>1099</v>
      </c>
      <c r="J11" s="163">
        <v>20398</v>
      </c>
      <c r="K11" s="163">
        <v>198661</v>
      </c>
      <c r="L11" s="163"/>
      <c r="M11" s="161" t="s">
        <v>1294</v>
      </c>
      <c r="N11" s="161" t="s">
        <v>1299</v>
      </c>
      <c r="O11" s="161" t="s">
        <v>25</v>
      </c>
      <c r="P11" s="49" t="s">
        <v>25</v>
      </c>
      <c r="Q11" s="166" t="s">
        <v>1325</v>
      </c>
      <c r="R11" s="167"/>
    </row>
    <row r="12" s="148" customFormat="1" spans="1:18">
      <c r="A12" s="101" t="s">
        <v>28</v>
      </c>
      <c r="B12" s="101" t="s">
        <v>109</v>
      </c>
      <c r="C12" s="164" t="s">
        <v>1326</v>
      </c>
      <c r="D12" s="161" t="s">
        <v>1327</v>
      </c>
      <c r="E12" s="161" t="s">
        <v>1291</v>
      </c>
      <c r="F12" s="161" t="s">
        <v>1328</v>
      </c>
      <c r="G12" s="163">
        <v>283.6799</v>
      </c>
      <c r="H12" s="163">
        <f t="shared" si="0"/>
        <v>25.232</v>
      </c>
      <c r="I12" s="163">
        <v>1051</v>
      </c>
      <c r="J12" s="163">
        <v>19253</v>
      </c>
      <c r="K12" s="163">
        <v>217914</v>
      </c>
      <c r="L12" s="163"/>
      <c r="M12" s="161" t="s">
        <v>1294</v>
      </c>
      <c r="N12" s="161" t="s">
        <v>1299</v>
      </c>
      <c r="O12" s="161" t="s">
        <v>25</v>
      </c>
      <c r="P12" s="49" t="s">
        <v>25</v>
      </c>
      <c r="Q12" s="166" t="s">
        <v>1329</v>
      </c>
      <c r="R12" s="167"/>
    </row>
    <row r="13" s="148" customFormat="1" spans="1:18">
      <c r="A13" s="101" t="s">
        <v>28</v>
      </c>
      <c r="B13" s="101" t="s">
        <v>109</v>
      </c>
      <c r="C13" s="164" t="s">
        <v>1330</v>
      </c>
      <c r="D13" s="161" t="s">
        <v>1330</v>
      </c>
      <c r="E13" s="161" t="s">
        <v>1291</v>
      </c>
      <c r="F13" s="161" t="s">
        <v>1328</v>
      </c>
      <c r="G13" s="163">
        <v>315.9608</v>
      </c>
      <c r="H13" s="163">
        <f t="shared" si="0"/>
        <v>32.2809</v>
      </c>
      <c r="I13" s="163">
        <v>1164</v>
      </c>
      <c r="J13" s="163">
        <v>23664</v>
      </c>
      <c r="K13" s="163">
        <v>241578</v>
      </c>
      <c r="L13" s="163"/>
      <c r="M13" s="161" t="s">
        <v>1294</v>
      </c>
      <c r="N13" s="161" t="s">
        <v>1331</v>
      </c>
      <c r="O13" s="161" t="s">
        <v>6</v>
      </c>
      <c r="P13" s="49" t="s">
        <v>6</v>
      </c>
      <c r="Q13" s="166" t="s">
        <v>1332</v>
      </c>
      <c r="R13" s="167"/>
    </row>
    <row r="14" s="148" customFormat="1" spans="1:18">
      <c r="A14" s="101" t="s">
        <v>28</v>
      </c>
      <c r="B14" s="101" t="s">
        <v>109</v>
      </c>
      <c r="C14" s="164" t="s">
        <v>1333</v>
      </c>
      <c r="D14" s="161" t="s">
        <v>1334</v>
      </c>
      <c r="E14" s="161" t="s">
        <v>1291</v>
      </c>
      <c r="F14" s="161" t="s">
        <v>1335</v>
      </c>
      <c r="G14" s="163">
        <v>347.4971</v>
      </c>
      <c r="H14" s="163">
        <f t="shared" si="0"/>
        <v>31.5363</v>
      </c>
      <c r="I14" s="163">
        <v>1336</v>
      </c>
      <c r="J14" s="163">
        <v>24064</v>
      </c>
      <c r="K14" s="163">
        <v>265642</v>
      </c>
      <c r="L14" s="163" t="s">
        <v>741</v>
      </c>
      <c r="M14" s="161" t="s">
        <v>1294</v>
      </c>
      <c r="N14" s="161" t="s">
        <v>1299</v>
      </c>
      <c r="O14" s="161" t="s">
        <v>25</v>
      </c>
      <c r="P14" s="49" t="s">
        <v>25</v>
      </c>
      <c r="Q14" s="166" t="s">
        <v>1336</v>
      </c>
      <c r="R14" s="167"/>
    </row>
    <row r="15" s="148" customFormat="1" spans="1:18">
      <c r="A15" s="101" t="s">
        <v>28</v>
      </c>
      <c r="B15" s="101" t="s">
        <v>109</v>
      </c>
      <c r="C15" s="164" t="s">
        <v>1337</v>
      </c>
      <c r="D15" s="161" t="s">
        <v>1338</v>
      </c>
      <c r="E15" s="161" t="s">
        <v>1291</v>
      </c>
      <c r="F15" s="161" t="s">
        <v>1335</v>
      </c>
      <c r="G15" s="163">
        <v>378.0201</v>
      </c>
      <c r="H15" s="163">
        <f t="shared" si="0"/>
        <v>30.523</v>
      </c>
      <c r="I15" s="163">
        <v>914</v>
      </c>
      <c r="J15" s="163">
        <v>23291</v>
      </c>
      <c r="K15" s="163">
        <v>288933</v>
      </c>
      <c r="L15" s="163"/>
      <c r="M15" s="161" t="s">
        <v>1294</v>
      </c>
      <c r="N15" s="161" t="s">
        <v>1299</v>
      </c>
      <c r="O15" s="161" t="s">
        <v>25</v>
      </c>
      <c r="P15" s="49" t="s">
        <v>25</v>
      </c>
      <c r="Q15" s="166" t="s">
        <v>1339</v>
      </c>
      <c r="R15" s="167"/>
    </row>
    <row r="16" s="148" customFormat="1" spans="1:18">
      <c r="A16" s="101" t="s">
        <v>28</v>
      </c>
      <c r="B16" s="101" t="s">
        <v>109</v>
      </c>
      <c r="C16" s="164" t="s">
        <v>1340</v>
      </c>
      <c r="D16" s="161" t="s">
        <v>1341</v>
      </c>
      <c r="E16" s="161" t="s">
        <v>1291</v>
      </c>
      <c r="F16" s="161" t="s">
        <v>1335</v>
      </c>
      <c r="G16" s="163">
        <v>398.0201</v>
      </c>
      <c r="H16" s="163">
        <f t="shared" si="0"/>
        <v>20</v>
      </c>
      <c r="I16" s="163" t="s">
        <v>147</v>
      </c>
      <c r="J16" s="163" t="s">
        <v>147</v>
      </c>
      <c r="K16" s="163" t="s">
        <v>147</v>
      </c>
      <c r="L16" s="163"/>
      <c r="M16" s="161" t="s">
        <v>1294</v>
      </c>
      <c r="N16" s="161" t="s">
        <v>1299</v>
      </c>
      <c r="O16" s="161" t="s">
        <v>25</v>
      </c>
      <c r="P16" s="49" t="s">
        <v>25</v>
      </c>
      <c r="Q16" s="166" t="s">
        <v>1342</v>
      </c>
      <c r="R16" s="167"/>
    </row>
    <row r="17" s="148" customFormat="1" spans="1:18">
      <c r="A17" s="101" t="s">
        <v>28</v>
      </c>
      <c r="B17" s="101" t="s">
        <v>109</v>
      </c>
      <c r="C17" s="164" t="s">
        <v>1343</v>
      </c>
      <c r="D17" s="161" t="s">
        <v>1344</v>
      </c>
      <c r="E17" s="161" t="s">
        <v>1291</v>
      </c>
      <c r="F17" s="161" t="s">
        <v>1335</v>
      </c>
      <c r="G17" s="163">
        <v>405.859</v>
      </c>
      <c r="H17" s="163">
        <f t="shared" si="0"/>
        <v>7.83889999999997</v>
      </c>
      <c r="I17" s="163">
        <v>1352</v>
      </c>
      <c r="J17" s="163">
        <v>21243</v>
      </c>
      <c r="K17" s="163">
        <v>310176</v>
      </c>
      <c r="L17" s="163"/>
      <c r="M17" s="161" t="s">
        <v>1294</v>
      </c>
      <c r="N17" s="161" t="s">
        <v>1299</v>
      </c>
      <c r="O17" s="161" t="s">
        <v>25</v>
      </c>
      <c r="P17" s="49" t="s">
        <v>25</v>
      </c>
      <c r="Q17" s="166" t="s">
        <v>1336</v>
      </c>
      <c r="R17" s="167"/>
    </row>
    <row r="18" s="148" customFormat="1" spans="1:18">
      <c r="A18" s="101" t="s">
        <v>28</v>
      </c>
      <c r="B18" s="101" t="s">
        <v>109</v>
      </c>
      <c r="C18" s="164" t="s">
        <v>1345</v>
      </c>
      <c r="D18" s="161" t="s">
        <v>1346</v>
      </c>
      <c r="E18" s="161" t="s">
        <v>1291</v>
      </c>
      <c r="F18" s="161" t="s">
        <v>1335</v>
      </c>
      <c r="G18" s="163">
        <v>435.7706</v>
      </c>
      <c r="H18" s="163">
        <f t="shared" si="0"/>
        <v>29.9116</v>
      </c>
      <c r="I18" s="163">
        <v>1363</v>
      </c>
      <c r="J18" s="163">
        <v>22824</v>
      </c>
      <c r="K18" s="163">
        <v>333000</v>
      </c>
      <c r="L18" s="163"/>
      <c r="M18" s="161" t="s">
        <v>1294</v>
      </c>
      <c r="N18" s="161" t="s">
        <v>1299</v>
      </c>
      <c r="O18" s="161" t="s">
        <v>25</v>
      </c>
      <c r="P18" s="49" t="s">
        <v>25</v>
      </c>
      <c r="Q18" s="166" t="s">
        <v>1347</v>
      </c>
      <c r="R18" s="167"/>
    </row>
    <row r="19" s="148" customFormat="1" spans="1:18">
      <c r="A19" s="101" t="s">
        <v>28</v>
      </c>
      <c r="B19" s="101" t="s">
        <v>109</v>
      </c>
      <c r="C19" s="164" t="s">
        <v>1348</v>
      </c>
      <c r="D19" s="161" t="s">
        <v>1349</v>
      </c>
      <c r="E19" s="161" t="s">
        <v>1291</v>
      </c>
      <c r="F19" s="161" t="s">
        <v>1335</v>
      </c>
      <c r="G19" s="163">
        <v>466.1453</v>
      </c>
      <c r="H19" s="163">
        <f t="shared" si="0"/>
        <v>30.3747</v>
      </c>
      <c r="I19" s="163">
        <v>960</v>
      </c>
      <c r="J19" s="163">
        <v>23178</v>
      </c>
      <c r="K19" s="163">
        <v>356178</v>
      </c>
      <c r="L19" s="163"/>
      <c r="M19" s="161" t="s">
        <v>1294</v>
      </c>
      <c r="N19" s="161" t="s">
        <v>1299</v>
      </c>
      <c r="O19" s="161" t="s">
        <v>25</v>
      </c>
      <c r="P19" s="49" t="s">
        <v>25</v>
      </c>
      <c r="Q19" s="166" t="s">
        <v>1347</v>
      </c>
      <c r="R19" s="167"/>
    </row>
    <row r="20" s="148" customFormat="1" spans="1:18">
      <c r="A20" s="101" t="s">
        <v>28</v>
      </c>
      <c r="B20" s="101" t="s">
        <v>109</v>
      </c>
      <c r="C20" s="164" t="s">
        <v>1350</v>
      </c>
      <c r="D20" s="161" t="s">
        <v>1350</v>
      </c>
      <c r="E20" s="161" t="s">
        <v>1291</v>
      </c>
      <c r="F20" s="161" t="s">
        <v>1335</v>
      </c>
      <c r="G20" s="163">
        <v>494.5473</v>
      </c>
      <c r="H20" s="163">
        <f t="shared" si="0"/>
        <v>28.402</v>
      </c>
      <c r="I20" s="163">
        <v>815</v>
      </c>
      <c r="J20" s="163">
        <v>23672</v>
      </c>
      <c r="K20" s="163">
        <v>379850</v>
      </c>
      <c r="L20" s="163"/>
      <c r="M20" s="161" t="s">
        <v>1294</v>
      </c>
      <c r="N20" s="161" t="s">
        <v>1331</v>
      </c>
      <c r="O20" s="161" t="s">
        <v>6</v>
      </c>
      <c r="P20" s="49" t="s">
        <v>6</v>
      </c>
      <c r="Q20" s="166" t="s">
        <v>1347</v>
      </c>
      <c r="R20" s="167"/>
    </row>
    <row r="21" s="148" customFormat="1" spans="1:18">
      <c r="A21" s="101" t="s">
        <v>28</v>
      </c>
      <c r="B21" s="101" t="s">
        <v>109</v>
      </c>
      <c r="C21" s="164" t="s">
        <v>1351</v>
      </c>
      <c r="D21" s="161" t="s">
        <v>1352</v>
      </c>
      <c r="E21" s="161" t="s">
        <v>1291</v>
      </c>
      <c r="F21" s="161" t="s">
        <v>1335</v>
      </c>
      <c r="G21" s="163">
        <v>525.2838</v>
      </c>
      <c r="H21" s="163">
        <f t="shared" si="0"/>
        <v>30.7365</v>
      </c>
      <c r="I21" s="163">
        <v>883</v>
      </c>
      <c r="J21" s="163">
        <v>23454</v>
      </c>
      <c r="K21" s="163">
        <v>403304</v>
      </c>
      <c r="L21" s="163"/>
      <c r="M21" s="161" t="s">
        <v>1294</v>
      </c>
      <c r="N21" s="161" t="s">
        <v>1299</v>
      </c>
      <c r="O21" s="161" t="s">
        <v>25</v>
      </c>
      <c r="P21" s="49" t="s">
        <v>25</v>
      </c>
      <c r="Q21" s="166" t="s">
        <v>1347</v>
      </c>
      <c r="R21" s="167"/>
    </row>
    <row r="22" s="148" customFormat="1" spans="1:18">
      <c r="A22" s="101" t="s">
        <v>28</v>
      </c>
      <c r="B22" s="101" t="s">
        <v>109</v>
      </c>
      <c r="C22" s="164" t="s">
        <v>1353</v>
      </c>
      <c r="D22" s="161" t="s">
        <v>1354</v>
      </c>
      <c r="E22" s="161" t="s">
        <v>1291</v>
      </c>
      <c r="F22" s="161" t="s">
        <v>1335</v>
      </c>
      <c r="G22" s="163">
        <v>552.4161</v>
      </c>
      <c r="H22" s="163">
        <f t="shared" si="0"/>
        <v>27.1323</v>
      </c>
      <c r="I22" s="163">
        <v>942</v>
      </c>
      <c r="J22" s="163">
        <v>20704</v>
      </c>
      <c r="K22" s="163">
        <v>424008</v>
      </c>
      <c r="L22" s="163"/>
      <c r="M22" s="161" t="s">
        <v>1294</v>
      </c>
      <c r="N22" s="161" t="s">
        <v>1299</v>
      </c>
      <c r="O22" s="161" t="s">
        <v>25</v>
      </c>
      <c r="P22" s="49" t="s">
        <v>25</v>
      </c>
      <c r="Q22" s="166" t="s">
        <v>1347</v>
      </c>
      <c r="R22" s="167"/>
    </row>
    <row r="23" s="148" customFormat="1" spans="1:18">
      <c r="A23" s="101" t="s">
        <v>28</v>
      </c>
      <c r="B23" s="101" t="s">
        <v>109</v>
      </c>
      <c r="C23" s="164" t="s">
        <v>1355</v>
      </c>
      <c r="D23" s="161" t="s">
        <v>1356</v>
      </c>
      <c r="E23" s="161" t="s">
        <v>1291</v>
      </c>
      <c r="F23" s="161" t="s">
        <v>1335</v>
      </c>
      <c r="G23" s="163">
        <v>583.6908</v>
      </c>
      <c r="H23" s="163">
        <f t="shared" ref="H23:H30" si="1">G23-G22</f>
        <v>31.2746999999999</v>
      </c>
      <c r="I23" s="163">
        <v>1040</v>
      </c>
      <c r="J23" s="163">
        <v>23864</v>
      </c>
      <c r="K23" s="163">
        <v>447872</v>
      </c>
      <c r="L23" s="163"/>
      <c r="M23" s="161" t="s">
        <v>1294</v>
      </c>
      <c r="N23" s="161" t="s">
        <v>1299</v>
      </c>
      <c r="O23" s="161" t="s">
        <v>25</v>
      </c>
      <c r="P23" s="49" t="s">
        <v>25</v>
      </c>
      <c r="Q23" s="166" t="s">
        <v>1347</v>
      </c>
      <c r="R23" s="167"/>
    </row>
    <row r="24" s="148" customFormat="1" spans="1:18">
      <c r="A24" s="101" t="s">
        <v>28</v>
      </c>
      <c r="B24" s="101" t="s">
        <v>109</v>
      </c>
      <c r="C24" s="164" t="s">
        <v>1357</v>
      </c>
      <c r="D24" s="161" t="s">
        <v>1358</v>
      </c>
      <c r="E24" s="161" t="s">
        <v>1291</v>
      </c>
      <c r="F24" s="161" t="s">
        <v>1359</v>
      </c>
      <c r="G24" s="163">
        <v>614.4744</v>
      </c>
      <c r="H24" s="163">
        <f t="shared" si="1"/>
        <v>30.7836</v>
      </c>
      <c r="I24" s="163">
        <v>1045</v>
      </c>
      <c r="J24" s="163">
        <v>23490</v>
      </c>
      <c r="K24" s="163">
        <v>471362</v>
      </c>
      <c r="L24" s="163"/>
      <c r="M24" s="161" t="s">
        <v>1294</v>
      </c>
      <c r="N24" s="161" t="s">
        <v>1299</v>
      </c>
      <c r="O24" s="161" t="s">
        <v>25</v>
      </c>
      <c r="P24" s="49" t="s">
        <v>25</v>
      </c>
      <c r="Q24" s="166" t="s">
        <v>1347</v>
      </c>
      <c r="R24" s="167"/>
    </row>
    <row r="25" s="148" customFormat="1" spans="1:18">
      <c r="A25" s="101" t="s">
        <v>28</v>
      </c>
      <c r="B25" s="101" t="s">
        <v>109</v>
      </c>
      <c r="C25" s="164" t="s">
        <v>1360</v>
      </c>
      <c r="D25" s="161" t="s">
        <v>1361</v>
      </c>
      <c r="E25" s="161" t="s">
        <v>1291</v>
      </c>
      <c r="F25" s="161" t="s">
        <v>1359</v>
      </c>
      <c r="G25" s="163">
        <v>645.242</v>
      </c>
      <c r="H25" s="163">
        <f t="shared" si="1"/>
        <v>30.7676</v>
      </c>
      <c r="I25" s="163">
        <v>1017</v>
      </c>
      <c r="J25" s="163">
        <v>23477</v>
      </c>
      <c r="K25" s="163">
        <v>494839</v>
      </c>
      <c r="L25" s="163"/>
      <c r="M25" s="161" t="s">
        <v>1294</v>
      </c>
      <c r="N25" s="161" t="s">
        <v>1299</v>
      </c>
      <c r="O25" s="161" t="s">
        <v>25</v>
      </c>
      <c r="P25" s="49" t="s">
        <v>25</v>
      </c>
      <c r="Q25" s="166" t="s">
        <v>1347</v>
      </c>
      <c r="R25" s="167"/>
    </row>
    <row r="26" s="148" customFormat="1" spans="1:18">
      <c r="A26" s="101" t="s">
        <v>28</v>
      </c>
      <c r="B26" s="101" t="s">
        <v>109</v>
      </c>
      <c r="C26" s="164" t="s">
        <v>1359</v>
      </c>
      <c r="D26" s="161" t="s">
        <v>1359</v>
      </c>
      <c r="E26" s="161" t="s">
        <v>1291</v>
      </c>
      <c r="F26" s="161" t="s">
        <v>1359</v>
      </c>
      <c r="G26" s="163">
        <v>659.3964</v>
      </c>
      <c r="H26" s="163">
        <f t="shared" si="1"/>
        <v>14.1544</v>
      </c>
      <c r="I26" s="163">
        <v>1070</v>
      </c>
      <c r="J26" s="163">
        <v>13235</v>
      </c>
      <c r="K26" s="163">
        <v>508074</v>
      </c>
      <c r="L26" s="163"/>
      <c r="M26" s="161" t="s">
        <v>1294</v>
      </c>
      <c r="N26" s="161" t="s">
        <v>1331</v>
      </c>
      <c r="O26" s="161" t="s">
        <v>6</v>
      </c>
      <c r="P26" s="49" t="s">
        <v>6</v>
      </c>
      <c r="Q26" s="166" t="s">
        <v>1347</v>
      </c>
      <c r="R26" s="167"/>
    </row>
    <row r="27" s="148" customFormat="1" spans="1:18">
      <c r="A27" s="101" t="s">
        <v>28</v>
      </c>
      <c r="B27" s="101" t="s">
        <v>109</v>
      </c>
      <c r="C27" s="164" t="s">
        <v>1362</v>
      </c>
      <c r="D27" s="161" t="s">
        <v>1363</v>
      </c>
      <c r="E27" s="161" t="s">
        <v>1291</v>
      </c>
      <c r="F27" s="161" t="s">
        <v>1359</v>
      </c>
      <c r="G27" s="163">
        <v>688.8259</v>
      </c>
      <c r="H27" s="163">
        <f t="shared" si="1"/>
        <v>29.4295000000001</v>
      </c>
      <c r="I27" s="163">
        <v>1083</v>
      </c>
      <c r="J27" s="163">
        <v>22456</v>
      </c>
      <c r="K27" s="163">
        <v>530530</v>
      </c>
      <c r="L27" s="163"/>
      <c r="M27" s="161" t="s">
        <v>1294</v>
      </c>
      <c r="N27" s="161" t="s">
        <v>1299</v>
      </c>
      <c r="O27" s="161" t="s">
        <v>25</v>
      </c>
      <c r="P27" s="49" t="s">
        <v>25</v>
      </c>
      <c r="Q27" s="166" t="s">
        <v>1347</v>
      </c>
      <c r="R27" s="167"/>
    </row>
    <row r="28" s="148" customFormat="1" spans="1:18">
      <c r="A28" s="101" t="s">
        <v>28</v>
      </c>
      <c r="B28" s="101" t="s">
        <v>109</v>
      </c>
      <c r="C28" s="164" t="s">
        <v>1364</v>
      </c>
      <c r="D28" s="161" t="s">
        <v>1365</v>
      </c>
      <c r="E28" s="161" t="s">
        <v>1291</v>
      </c>
      <c r="F28" s="161" t="s">
        <v>1359</v>
      </c>
      <c r="G28" s="163">
        <v>718.7445</v>
      </c>
      <c r="H28" s="163">
        <f t="shared" si="1"/>
        <v>29.9186</v>
      </c>
      <c r="I28" s="163">
        <v>951</v>
      </c>
      <c r="J28" s="163">
        <v>22830</v>
      </c>
      <c r="K28" s="163">
        <v>553360</v>
      </c>
      <c r="L28" s="163"/>
      <c r="M28" s="161" t="s">
        <v>1294</v>
      </c>
      <c r="N28" s="161" t="s">
        <v>1299</v>
      </c>
      <c r="O28" s="161" t="s">
        <v>25</v>
      </c>
      <c r="P28" s="49" t="s">
        <v>25</v>
      </c>
      <c r="Q28" s="166" t="s">
        <v>1347</v>
      </c>
      <c r="R28" s="167"/>
    </row>
    <row r="29" s="148" customFormat="1" spans="1:18">
      <c r="A29" s="101" t="s">
        <v>28</v>
      </c>
      <c r="B29" s="101" t="s">
        <v>109</v>
      </c>
      <c r="C29" s="164" t="s">
        <v>1366</v>
      </c>
      <c r="D29" s="161" t="s">
        <v>1367</v>
      </c>
      <c r="E29" s="161" t="s">
        <v>1291</v>
      </c>
      <c r="F29" s="161" t="s">
        <v>1359</v>
      </c>
      <c r="G29" s="163">
        <v>760.9221</v>
      </c>
      <c r="H29" s="163">
        <f t="shared" si="1"/>
        <v>42.1776</v>
      </c>
      <c r="I29" s="163">
        <v>979</v>
      </c>
      <c r="J29" s="163">
        <v>32184</v>
      </c>
      <c r="K29" s="163">
        <v>585544</v>
      </c>
      <c r="L29" s="163"/>
      <c r="M29" s="161" t="s">
        <v>1294</v>
      </c>
      <c r="N29" s="161" t="s">
        <v>1299</v>
      </c>
      <c r="O29" s="161" t="s">
        <v>25</v>
      </c>
      <c r="P29" s="49" t="s">
        <v>25</v>
      </c>
      <c r="Q29" s="166" t="s">
        <v>1368</v>
      </c>
      <c r="R29" s="167"/>
    </row>
    <row r="30" s="148" customFormat="1" spans="1:18">
      <c r="A30" s="101" t="s">
        <v>28</v>
      </c>
      <c r="B30" s="101" t="s">
        <v>109</v>
      </c>
      <c r="C30" s="164" t="s">
        <v>1369</v>
      </c>
      <c r="D30" s="161" t="s">
        <v>1370</v>
      </c>
      <c r="E30" s="161" t="s">
        <v>1291</v>
      </c>
      <c r="F30" s="161" t="s">
        <v>1359</v>
      </c>
      <c r="G30" s="163">
        <v>793.3765</v>
      </c>
      <c r="H30" s="163">
        <f t="shared" si="1"/>
        <v>32.4544</v>
      </c>
      <c r="I30" s="163">
        <v>1035</v>
      </c>
      <c r="J30" s="163">
        <v>24765</v>
      </c>
      <c r="K30" s="163">
        <v>610309</v>
      </c>
      <c r="L30" s="163"/>
      <c r="M30" s="161" t="s">
        <v>1294</v>
      </c>
      <c r="N30" s="161" t="s">
        <v>1299</v>
      </c>
      <c r="O30" s="161" t="s">
        <v>25</v>
      </c>
      <c r="P30" s="49" t="s">
        <v>25</v>
      </c>
      <c r="Q30" s="166" t="s">
        <v>1368</v>
      </c>
      <c r="R30" s="167"/>
    </row>
    <row r="31" s="148" customFormat="1" spans="1:18">
      <c r="A31" s="101" t="s">
        <v>28</v>
      </c>
      <c r="B31" s="101" t="s">
        <v>109</v>
      </c>
      <c r="C31" s="164" t="s">
        <v>1371</v>
      </c>
      <c r="D31" s="161" t="s">
        <v>1371</v>
      </c>
      <c r="E31" s="161" t="s">
        <v>1291</v>
      </c>
      <c r="F31" s="161" t="s">
        <v>1371</v>
      </c>
      <c r="G31" s="163">
        <v>824.2455</v>
      </c>
      <c r="H31" s="163">
        <f t="shared" ref="H31:H55" si="2">G31-G30</f>
        <v>30.869</v>
      </c>
      <c r="I31" s="163">
        <v>969</v>
      </c>
      <c r="J31" s="163">
        <v>21996</v>
      </c>
      <c r="K31" s="163">
        <v>632305</v>
      </c>
      <c r="L31" s="163"/>
      <c r="M31" s="161" t="s">
        <v>1294</v>
      </c>
      <c r="N31" s="161" t="s">
        <v>1331</v>
      </c>
      <c r="O31" s="161" t="s">
        <v>6</v>
      </c>
      <c r="P31" s="49" t="s">
        <v>6</v>
      </c>
      <c r="Q31" s="166" t="s">
        <v>1372</v>
      </c>
      <c r="R31" s="167"/>
    </row>
    <row r="32" s="148" customFormat="1" spans="1:18">
      <c r="A32" s="101" t="s">
        <v>28</v>
      </c>
      <c r="B32" s="101" t="s">
        <v>109</v>
      </c>
      <c r="C32" s="164" t="s">
        <v>1373</v>
      </c>
      <c r="D32" s="161" t="s">
        <v>1374</v>
      </c>
      <c r="E32" s="161" t="s">
        <v>1291</v>
      </c>
      <c r="F32" s="161" t="s">
        <v>1371</v>
      </c>
      <c r="G32" s="163">
        <v>860.244</v>
      </c>
      <c r="H32" s="163">
        <f t="shared" si="2"/>
        <v>35.9985</v>
      </c>
      <c r="I32" s="163">
        <v>1028</v>
      </c>
      <c r="J32" s="163">
        <v>27469</v>
      </c>
      <c r="K32" s="163">
        <v>659774</v>
      </c>
      <c r="L32" s="163"/>
      <c r="M32" s="161" t="s">
        <v>1294</v>
      </c>
      <c r="N32" s="161" t="s">
        <v>1299</v>
      </c>
      <c r="O32" s="161" t="s">
        <v>25</v>
      </c>
      <c r="P32" s="49" t="s">
        <v>25</v>
      </c>
      <c r="Q32" s="166" t="s">
        <v>1372</v>
      </c>
      <c r="R32" s="167"/>
    </row>
    <row r="33" s="148" customFormat="1" spans="1:18">
      <c r="A33" s="101" t="s">
        <v>28</v>
      </c>
      <c r="B33" s="101" t="s">
        <v>109</v>
      </c>
      <c r="C33" s="164" t="s">
        <v>1375</v>
      </c>
      <c r="D33" s="161" t="s">
        <v>1376</v>
      </c>
      <c r="E33" s="161" t="s">
        <v>1291</v>
      </c>
      <c r="F33" s="161" t="s">
        <v>1371</v>
      </c>
      <c r="G33" s="163">
        <v>892.2669</v>
      </c>
      <c r="H33" s="163">
        <f t="shared" si="2"/>
        <v>32.0228999999999</v>
      </c>
      <c r="I33" s="163">
        <v>1046</v>
      </c>
      <c r="J33" s="163">
        <v>4058</v>
      </c>
      <c r="K33" s="163">
        <v>663832</v>
      </c>
      <c r="L33" s="163"/>
      <c r="M33" s="161" t="s">
        <v>1294</v>
      </c>
      <c r="N33" s="161" t="s">
        <v>1299</v>
      </c>
      <c r="O33" s="161" t="s">
        <v>25</v>
      </c>
      <c r="P33" s="49" t="s">
        <v>25</v>
      </c>
      <c r="Q33" s="166" t="s">
        <v>1372</v>
      </c>
      <c r="R33" s="167"/>
    </row>
    <row r="34" s="148" customFormat="1" spans="1:18">
      <c r="A34" s="101" t="s">
        <v>28</v>
      </c>
      <c r="B34" s="101" t="s">
        <v>109</v>
      </c>
      <c r="C34" s="164" t="s">
        <v>1377</v>
      </c>
      <c r="D34" s="161" t="s">
        <v>1378</v>
      </c>
      <c r="E34" s="161" t="s">
        <v>1291</v>
      </c>
      <c r="F34" s="161" t="s">
        <v>1371</v>
      </c>
      <c r="G34" s="163">
        <v>923.5386</v>
      </c>
      <c r="H34" s="163">
        <f t="shared" si="2"/>
        <v>31.2717</v>
      </c>
      <c r="I34" s="163">
        <v>1297</v>
      </c>
      <c r="J34" s="163">
        <v>23862</v>
      </c>
      <c r="K34" s="163">
        <v>687694</v>
      </c>
      <c r="L34" s="163"/>
      <c r="M34" s="161" t="s">
        <v>1294</v>
      </c>
      <c r="N34" s="161" t="s">
        <v>1299</v>
      </c>
      <c r="O34" s="161" t="s">
        <v>25</v>
      </c>
      <c r="P34" s="49" t="s">
        <v>25</v>
      </c>
      <c r="Q34" s="166" t="s">
        <v>1372</v>
      </c>
      <c r="R34" s="167"/>
    </row>
    <row r="35" s="148" customFormat="1" spans="1:18">
      <c r="A35" s="101" t="s">
        <v>28</v>
      </c>
      <c r="B35" s="101" t="s">
        <v>109</v>
      </c>
      <c r="C35" s="164" t="s">
        <v>1379</v>
      </c>
      <c r="D35" s="161" t="s">
        <v>1380</v>
      </c>
      <c r="E35" s="161" t="s">
        <v>1291</v>
      </c>
      <c r="F35" s="161" t="s">
        <v>1381</v>
      </c>
      <c r="G35" s="163">
        <v>954.9577</v>
      </c>
      <c r="H35" s="163">
        <f t="shared" si="2"/>
        <v>31.4191000000001</v>
      </c>
      <c r="I35" s="163">
        <v>1530</v>
      </c>
      <c r="J35" s="163">
        <v>23975</v>
      </c>
      <c r="K35" s="163">
        <v>711669</v>
      </c>
      <c r="L35" s="163"/>
      <c r="M35" s="161" t="s">
        <v>1294</v>
      </c>
      <c r="N35" s="161" t="s">
        <v>1299</v>
      </c>
      <c r="O35" s="161" t="s">
        <v>25</v>
      </c>
      <c r="P35" s="49" t="s">
        <v>25</v>
      </c>
      <c r="Q35" s="166" t="s">
        <v>1382</v>
      </c>
      <c r="R35" s="167"/>
    </row>
    <row r="36" s="148" customFormat="1" ht="45" spans="1:18">
      <c r="A36" s="101" t="s">
        <v>28</v>
      </c>
      <c r="B36" s="101" t="s">
        <v>113</v>
      </c>
      <c r="C36" s="164" t="s">
        <v>111</v>
      </c>
      <c r="D36" s="161" t="s">
        <v>1383</v>
      </c>
      <c r="E36" s="161" t="s">
        <v>1384</v>
      </c>
      <c r="F36" s="161" t="s">
        <v>1385</v>
      </c>
      <c r="G36" s="163">
        <v>961.6198</v>
      </c>
      <c r="H36" s="163">
        <f t="shared" si="2"/>
        <v>6.66210000000001</v>
      </c>
      <c r="I36" s="163">
        <v>1627</v>
      </c>
      <c r="J36" s="163">
        <v>23779</v>
      </c>
      <c r="K36" s="163">
        <v>735448</v>
      </c>
      <c r="L36" s="163" t="s">
        <v>1386</v>
      </c>
      <c r="M36" s="161" t="s">
        <v>1294</v>
      </c>
      <c r="N36" s="161" t="s">
        <v>1295</v>
      </c>
      <c r="O36" s="161" t="s">
        <v>6</v>
      </c>
      <c r="P36" s="49" t="s">
        <v>6</v>
      </c>
      <c r="Q36" s="166" t="s">
        <v>1387</v>
      </c>
      <c r="R36" s="167"/>
    </row>
    <row r="37" s="148" customFormat="1" spans="1:18">
      <c r="A37" s="101" t="s">
        <v>28</v>
      </c>
      <c r="B37" s="101" t="s">
        <v>113</v>
      </c>
      <c r="C37" s="164" t="s">
        <v>1388</v>
      </c>
      <c r="D37" s="161" t="s">
        <v>1389</v>
      </c>
      <c r="E37" s="161" t="s">
        <v>1384</v>
      </c>
      <c r="F37" s="161" t="s">
        <v>1385</v>
      </c>
      <c r="G37" s="163">
        <v>995.5445</v>
      </c>
      <c r="H37" s="163">
        <f t="shared" si="2"/>
        <v>33.9246999999999</v>
      </c>
      <c r="I37" s="163">
        <v>1770</v>
      </c>
      <c r="J37" s="163">
        <v>25913</v>
      </c>
      <c r="K37" s="163">
        <v>761361</v>
      </c>
      <c r="L37" s="163"/>
      <c r="M37" s="161" t="s">
        <v>1294</v>
      </c>
      <c r="N37" s="161" t="s">
        <v>1299</v>
      </c>
      <c r="O37" s="161" t="s">
        <v>25</v>
      </c>
      <c r="P37" s="49" t="s">
        <v>25</v>
      </c>
      <c r="Q37" s="166" t="s">
        <v>1387</v>
      </c>
      <c r="R37" s="167"/>
    </row>
    <row r="38" s="148" customFormat="1" spans="1:18">
      <c r="A38" s="101" t="s">
        <v>28</v>
      </c>
      <c r="B38" s="101" t="s">
        <v>113</v>
      </c>
      <c r="C38" s="164" t="s">
        <v>1390</v>
      </c>
      <c r="D38" s="161" t="s">
        <v>1391</v>
      </c>
      <c r="E38" s="161" t="s">
        <v>1384</v>
      </c>
      <c r="F38" s="161" t="s">
        <v>1385</v>
      </c>
      <c r="G38" s="163">
        <v>1025.5133</v>
      </c>
      <c r="H38" s="163">
        <f t="shared" si="2"/>
        <v>29.9688000000001</v>
      </c>
      <c r="I38" s="163">
        <v>1768</v>
      </c>
      <c r="J38" s="163">
        <v>22892</v>
      </c>
      <c r="K38" s="163">
        <v>784253</v>
      </c>
      <c r="L38" s="163"/>
      <c r="M38" s="161" t="s">
        <v>1294</v>
      </c>
      <c r="N38" s="161" t="s">
        <v>1299</v>
      </c>
      <c r="O38" s="161" t="s">
        <v>25</v>
      </c>
      <c r="P38" s="49" t="s">
        <v>25</v>
      </c>
      <c r="Q38" s="166" t="s">
        <v>1392</v>
      </c>
      <c r="R38" s="167"/>
    </row>
    <row r="39" s="148" customFormat="1" spans="1:18">
      <c r="A39" s="101" t="s">
        <v>28</v>
      </c>
      <c r="B39" s="101" t="s">
        <v>113</v>
      </c>
      <c r="C39" s="164" t="s">
        <v>1393</v>
      </c>
      <c r="D39" s="161" t="s">
        <v>1394</v>
      </c>
      <c r="E39" s="161" t="s">
        <v>1384</v>
      </c>
      <c r="F39" s="161" t="s">
        <v>1385</v>
      </c>
      <c r="G39" s="163">
        <v>1057.029</v>
      </c>
      <c r="H39" s="163">
        <f t="shared" si="2"/>
        <v>31.5156999999999</v>
      </c>
      <c r="I39" s="163">
        <v>1649</v>
      </c>
      <c r="J39" s="163">
        <v>24073</v>
      </c>
      <c r="K39" s="163">
        <v>808326</v>
      </c>
      <c r="L39" s="163"/>
      <c r="M39" s="161" t="s">
        <v>1294</v>
      </c>
      <c r="N39" s="161" t="s">
        <v>1299</v>
      </c>
      <c r="O39" s="161" t="s">
        <v>25</v>
      </c>
      <c r="P39" s="49" t="s">
        <v>25</v>
      </c>
      <c r="Q39" s="166" t="s">
        <v>1392</v>
      </c>
      <c r="R39" s="167"/>
    </row>
    <row r="40" s="148" customFormat="1" spans="1:18">
      <c r="A40" s="101" t="s">
        <v>28</v>
      </c>
      <c r="B40" s="101" t="s">
        <v>113</v>
      </c>
      <c r="C40" s="164" t="s">
        <v>1395</v>
      </c>
      <c r="D40" s="161" t="s">
        <v>1396</v>
      </c>
      <c r="E40" s="161" t="s">
        <v>1384</v>
      </c>
      <c r="F40" s="161" t="s">
        <v>1397</v>
      </c>
      <c r="G40" s="163">
        <v>1087.6116</v>
      </c>
      <c r="H40" s="163">
        <f t="shared" si="2"/>
        <v>30.5826</v>
      </c>
      <c r="I40" s="163">
        <v>1539</v>
      </c>
      <c r="J40" s="163">
        <v>23360</v>
      </c>
      <c r="K40" s="163">
        <v>831686</v>
      </c>
      <c r="L40" s="163"/>
      <c r="M40" s="161" t="s">
        <v>1294</v>
      </c>
      <c r="N40" s="161" t="s">
        <v>1299</v>
      </c>
      <c r="O40" s="161" t="s">
        <v>25</v>
      </c>
      <c r="P40" s="49" t="s">
        <v>25</v>
      </c>
      <c r="Q40" s="166" t="s">
        <v>1398</v>
      </c>
      <c r="R40" s="167"/>
    </row>
    <row r="41" s="148" customFormat="1" spans="1:18">
      <c r="A41" s="101" t="s">
        <v>28</v>
      </c>
      <c r="B41" s="101" t="s">
        <v>113</v>
      </c>
      <c r="C41" s="164" t="s">
        <v>1399</v>
      </c>
      <c r="D41" s="161" t="s">
        <v>1399</v>
      </c>
      <c r="E41" s="161" t="s">
        <v>1384</v>
      </c>
      <c r="F41" s="161" t="s">
        <v>1397</v>
      </c>
      <c r="G41" s="163">
        <v>1119.4368</v>
      </c>
      <c r="H41" s="163">
        <f t="shared" si="2"/>
        <v>31.8252</v>
      </c>
      <c r="I41" s="163">
        <v>1416</v>
      </c>
      <c r="J41" s="163">
        <v>24532</v>
      </c>
      <c r="K41" s="163">
        <v>856218</v>
      </c>
      <c r="L41" s="163"/>
      <c r="M41" s="161" t="s">
        <v>1294</v>
      </c>
      <c r="N41" s="161" t="s">
        <v>1331</v>
      </c>
      <c r="O41" s="161" t="s">
        <v>6</v>
      </c>
      <c r="P41" s="49" t="s">
        <v>6</v>
      </c>
      <c r="Q41" s="166" t="s">
        <v>1400</v>
      </c>
      <c r="R41" s="167"/>
    </row>
    <row r="42" s="148" customFormat="1" spans="1:18">
      <c r="A42" s="101" t="s">
        <v>28</v>
      </c>
      <c r="B42" s="101" t="s">
        <v>113</v>
      </c>
      <c r="C42" s="164" t="s">
        <v>1401</v>
      </c>
      <c r="D42" s="161" t="s">
        <v>1402</v>
      </c>
      <c r="E42" s="161" t="s">
        <v>1384</v>
      </c>
      <c r="F42" s="161" t="s">
        <v>1397</v>
      </c>
      <c r="G42" s="163">
        <v>1144.5195</v>
      </c>
      <c r="H42" s="163">
        <f t="shared" si="2"/>
        <v>25.0827000000002</v>
      </c>
      <c r="I42" s="163">
        <v>1358</v>
      </c>
      <c r="J42" s="163">
        <v>18935</v>
      </c>
      <c r="K42" s="163">
        <v>875153</v>
      </c>
      <c r="L42" s="163"/>
      <c r="M42" s="161" t="s">
        <v>1294</v>
      </c>
      <c r="N42" s="161" t="s">
        <v>1299</v>
      </c>
      <c r="O42" s="161" t="s">
        <v>25</v>
      </c>
      <c r="P42" s="49" t="s">
        <v>25</v>
      </c>
      <c r="Q42" s="166" t="s">
        <v>1403</v>
      </c>
      <c r="R42" s="167"/>
    </row>
    <row r="43" s="148" customFormat="1" spans="1:18">
      <c r="A43" s="101" t="s">
        <v>28</v>
      </c>
      <c r="B43" s="101" t="s">
        <v>113</v>
      </c>
      <c r="C43" s="164" t="s">
        <v>1404</v>
      </c>
      <c r="D43" s="161" t="s">
        <v>1405</v>
      </c>
      <c r="E43" s="161" t="s">
        <v>1384</v>
      </c>
      <c r="F43" s="161" t="s">
        <v>1406</v>
      </c>
      <c r="G43" s="163">
        <v>1174.4132</v>
      </c>
      <c r="H43" s="163">
        <f t="shared" si="2"/>
        <v>29.8936999999999</v>
      </c>
      <c r="I43" s="163">
        <v>1474</v>
      </c>
      <c r="J43" s="163">
        <v>22834</v>
      </c>
      <c r="K43" s="163">
        <v>897987</v>
      </c>
      <c r="L43" s="163"/>
      <c r="M43" s="161" t="s">
        <v>1294</v>
      </c>
      <c r="N43" s="161" t="s">
        <v>1299</v>
      </c>
      <c r="O43" s="161" t="s">
        <v>25</v>
      </c>
      <c r="P43" s="49" t="s">
        <v>25</v>
      </c>
      <c r="Q43" s="166" t="s">
        <v>1407</v>
      </c>
      <c r="R43" s="167"/>
    </row>
    <row r="44" s="148" customFormat="1" spans="1:18">
      <c r="A44" s="101" t="s">
        <v>28</v>
      </c>
      <c r="B44" s="101" t="s">
        <v>113</v>
      </c>
      <c r="C44" s="164" t="s">
        <v>1408</v>
      </c>
      <c r="D44" s="161" t="s">
        <v>1409</v>
      </c>
      <c r="E44" s="161" t="s">
        <v>1384</v>
      </c>
      <c r="F44" s="161" t="s">
        <v>1406</v>
      </c>
      <c r="G44" s="163">
        <v>1195.3798</v>
      </c>
      <c r="H44" s="163">
        <f t="shared" si="2"/>
        <v>20.9666</v>
      </c>
      <c r="I44" s="163">
        <v>1536</v>
      </c>
      <c r="J44" s="163">
        <v>16015</v>
      </c>
      <c r="K44" s="163">
        <v>914002</v>
      </c>
      <c r="L44" s="163"/>
      <c r="M44" s="161" t="s">
        <v>1294</v>
      </c>
      <c r="N44" s="161" t="s">
        <v>1299</v>
      </c>
      <c r="O44" s="161" t="s">
        <v>25</v>
      </c>
      <c r="P44" s="49" t="s">
        <v>25</v>
      </c>
      <c r="Q44" s="166" t="s">
        <v>1410</v>
      </c>
      <c r="R44" s="167"/>
    </row>
    <row r="45" s="148" customFormat="1" spans="1:18">
      <c r="A45" s="101" t="s">
        <v>28</v>
      </c>
      <c r="B45" s="101" t="s">
        <v>113</v>
      </c>
      <c r="C45" s="164" t="s">
        <v>1411</v>
      </c>
      <c r="D45" s="161" t="s">
        <v>1412</v>
      </c>
      <c r="E45" s="161" t="s">
        <v>1384</v>
      </c>
      <c r="F45" s="161" t="s">
        <v>1406</v>
      </c>
      <c r="G45" s="163">
        <v>1223.312</v>
      </c>
      <c r="H45" s="163">
        <f t="shared" si="2"/>
        <v>27.9322</v>
      </c>
      <c r="I45" s="163">
        <v>1583</v>
      </c>
      <c r="J45" s="163">
        <v>21510</v>
      </c>
      <c r="K45" s="163">
        <v>935512</v>
      </c>
      <c r="L45" s="163"/>
      <c r="M45" s="161" t="s">
        <v>1294</v>
      </c>
      <c r="N45" s="161" t="s">
        <v>1299</v>
      </c>
      <c r="O45" s="161" t="s">
        <v>25</v>
      </c>
      <c r="P45" s="49" t="s">
        <v>25</v>
      </c>
      <c r="Q45" s="166" t="s">
        <v>1413</v>
      </c>
      <c r="R45" s="167"/>
    </row>
    <row r="46" s="148" customFormat="1" spans="1:18">
      <c r="A46" s="101" t="s">
        <v>28</v>
      </c>
      <c r="B46" s="101" t="s">
        <v>113</v>
      </c>
      <c r="C46" s="164" t="s">
        <v>1414</v>
      </c>
      <c r="D46" s="161" t="s">
        <v>1415</v>
      </c>
      <c r="E46" s="161" t="s">
        <v>1384</v>
      </c>
      <c r="F46" s="161" t="s">
        <v>1406</v>
      </c>
      <c r="G46" s="163">
        <v>1247.3234</v>
      </c>
      <c r="H46" s="163">
        <f t="shared" si="2"/>
        <v>24.0114000000001</v>
      </c>
      <c r="I46" s="163">
        <v>1736</v>
      </c>
      <c r="J46" s="163">
        <v>18274</v>
      </c>
      <c r="K46" s="163">
        <v>953786</v>
      </c>
      <c r="L46" s="163"/>
      <c r="M46" s="161" t="s">
        <v>1294</v>
      </c>
      <c r="N46" s="161" t="s">
        <v>1299</v>
      </c>
      <c r="O46" s="161" t="s">
        <v>25</v>
      </c>
      <c r="P46" s="49" t="s">
        <v>25</v>
      </c>
      <c r="Q46" s="166" t="s">
        <v>1416</v>
      </c>
      <c r="R46" s="167"/>
    </row>
    <row r="47" s="148" customFormat="1" spans="1:18">
      <c r="A47" s="101" t="s">
        <v>28</v>
      </c>
      <c r="B47" s="101" t="s">
        <v>113</v>
      </c>
      <c r="C47" s="164" t="s">
        <v>1417</v>
      </c>
      <c r="D47" s="161" t="s">
        <v>1417</v>
      </c>
      <c r="E47" s="161" t="s">
        <v>1384</v>
      </c>
      <c r="F47" s="161" t="s">
        <v>1418</v>
      </c>
      <c r="G47" s="163">
        <v>1276.59</v>
      </c>
      <c r="H47" s="163">
        <f t="shared" si="2"/>
        <v>29.2665999999999</v>
      </c>
      <c r="I47" s="163">
        <v>1867</v>
      </c>
      <c r="J47" s="163">
        <v>20738</v>
      </c>
      <c r="K47" s="163">
        <v>974524</v>
      </c>
      <c r="L47" s="163"/>
      <c r="M47" s="161" t="s">
        <v>1294</v>
      </c>
      <c r="N47" s="161" t="s">
        <v>1331</v>
      </c>
      <c r="O47" s="161" t="s">
        <v>6</v>
      </c>
      <c r="P47" s="49" t="s">
        <v>6</v>
      </c>
      <c r="Q47" s="166" t="s">
        <v>1419</v>
      </c>
      <c r="R47" s="167"/>
    </row>
    <row r="48" s="148" customFormat="1" spans="1:18">
      <c r="A48" s="101" t="s">
        <v>28</v>
      </c>
      <c r="B48" s="101" t="s">
        <v>113</v>
      </c>
      <c r="C48" s="164" t="s">
        <v>1420</v>
      </c>
      <c r="D48" s="161" t="s">
        <v>1421</v>
      </c>
      <c r="E48" s="161" t="s">
        <v>1384</v>
      </c>
      <c r="F48" s="161" t="s">
        <v>1418</v>
      </c>
      <c r="G48" s="163">
        <v>1300.6421</v>
      </c>
      <c r="H48" s="163">
        <f t="shared" si="2"/>
        <v>24.0521000000001</v>
      </c>
      <c r="I48" s="163">
        <v>1770</v>
      </c>
      <c r="J48" s="163">
        <v>18305</v>
      </c>
      <c r="K48" s="163">
        <v>992829</v>
      </c>
      <c r="L48" s="163"/>
      <c r="M48" s="161" t="s">
        <v>1294</v>
      </c>
      <c r="N48" s="161" t="s">
        <v>1299</v>
      </c>
      <c r="O48" s="161" t="s">
        <v>25</v>
      </c>
      <c r="P48" s="49" t="s">
        <v>25</v>
      </c>
      <c r="Q48" s="166" t="s">
        <v>1422</v>
      </c>
      <c r="R48" s="167"/>
    </row>
    <row r="49" s="148" customFormat="1" spans="1:18">
      <c r="A49" s="101" t="s">
        <v>28</v>
      </c>
      <c r="B49" s="101" t="s">
        <v>113</v>
      </c>
      <c r="C49" s="164" t="s">
        <v>1423</v>
      </c>
      <c r="D49" s="161" t="s">
        <v>1424</v>
      </c>
      <c r="E49" s="161" t="s">
        <v>1384</v>
      </c>
      <c r="F49" s="161" t="s">
        <v>1418</v>
      </c>
      <c r="G49" s="163">
        <v>1325.8184</v>
      </c>
      <c r="H49" s="163">
        <f t="shared" si="2"/>
        <v>25.1763000000001</v>
      </c>
      <c r="I49" s="163">
        <v>1585</v>
      </c>
      <c r="J49" s="163">
        <v>19161</v>
      </c>
      <c r="K49" s="163">
        <v>1011990</v>
      </c>
      <c r="L49" s="163"/>
      <c r="M49" s="161" t="s">
        <v>1294</v>
      </c>
      <c r="N49" s="161" t="s">
        <v>1299</v>
      </c>
      <c r="O49" s="161" t="s">
        <v>25</v>
      </c>
      <c r="P49" s="49" t="s">
        <v>25</v>
      </c>
      <c r="Q49" s="166" t="s">
        <v>1425</v>
      </c>
      <c r="R49" s="167"/>
    </row>
    <row r="50" s="148" customFormat="1" spans="1:18">
      <c r="A50" s="101" t="s">
        <v>28</v>
      </c>
      <c r="B50" s="101" t="s">
        <v>113</v>
      </c>
      <c r="C50" s="164" t="s">
        <v>1426</v>
      </c>
      <c r="D50" s="161" t="s">
        <v>1427</v>
      </c>
      <c r="E50" s="161" t="s">
        <v>1384</v>
      </c>
      <c r="F50" s="161" t="s">
        <v>1418</v>
      </c>
      <c r="G50" s="163">
        <v>1352.5837</v>
      </c>
      <c r="H50" s="163">
        <f t="shared" si="2"/>
        <v>26.7652999999998</v>
      </c>
      <c r="I50" s="163">
        <v>1501</v>
      </c>
      <c r="J50" s="163">
        <v>20612</v>
      </c>
      <c r="K50" s="163">
        <v>1032602</v>
      </c>
      <c r="L50" s="163"/>
      <c r="M50" s="161" t="s">
        <v>1294</v>
      </c>
      <c r="N50" s="161" t="s">
        <v>1299</v>
      </c>
      <c r="O50" s="161" t="s">
        <v>25</v>
      </c>
      <c r="P50" s="49" t="s">
        <v>25</v>
      </c>
      <c r="Q50" s="166" t="s">
        <v>1428</v>
      </c>
      <c r="R50" s="167"/>
    </row>
    <row r="51" s="148" customFormat="1" spans="1:18">
      <c r="A51" s="101" t="s">
        <v>28</v>
      </c>
      <c r="B51" s="101" t="s">
        <v>113</v>
      </c>
      <c r="C51" s="164" t="s">
        <v>1429</v>
      </c>
      <c r="D51" s="161" t="s">
        <v>1430</v>
      </c>
      <c r="E51" s="161" t="s">
        <v>1384</v>
      </c>
      <c r="F51" s="161" t="s">
        <v>1418</v>
      </c>
      <c r="G51" s="163">
        <v>1382.9014</v>
      </c>
      <c r="H51" s="163">
        <f t="shared" si="2"/>
        <v>30.3177000000001</v>
      </c>
      <c r="I51" s="163">
        <v>1644</v>
      </c>
      <c r="J51" s="163">
        <v>23347</v>
      </c>
      <c r="K51" s="163">
        <v>1055949</v>
      </c>
      <c r="L51" s="163"/>
      <c r="M51" s="161" t="s">
        <v>1294</v>
      </c>
      <c r="N51" s="161" t="s">
        <v>1299</v>
      </c>
      <c r="O51" s="161" t="s">
        <v>25</v>
      </c>
      <c r="P51" s="49" t="s">
        <v>25</v>
      </c>
      <c r="Q51" s="166" t="s">
        <v>1431</v>
      </c>
      <c r="R51" s="167"/>
    </row>
    <row r="52" s="148" customFormat="1" spans="1:18">
      <c r="A52" s="101" t="s">
        <v>28</v>
      </c>
      <c r="B52" s="101" t="s">
        <v>113</v>
      </c>
      <c r="C52" s="164" t="s">
        <v>1432</v>
      </c>
      <c r="D52" s="161" t="s">
        <v>1433</v>
      </c>
      <c r="E52" s="161" t="s">
        <v>1384</v>
      </c>
      <c r="F52" s="161" t="s">
        <v>1418</v>
      </c>
      <c r="G52" s="163">
        <v>1407.5662</v>
      </c>
      <c r="H52" s="163">
        <f t="shared" si="2"/>
        <v>24.6648</v>
      </c>
      <c r="I52" s="163">
        <v>1653</v>
      </c>
      <c r="J52" s="163">
        <v>18994</v>
      </c>
      <c r="K52" s="163">
        <v>1074943</v>
      </c>
      <c r="L52" s="163"/>
      <c r="M52" s="161" t="s">
        <v>1294</v>
      </c>
      <c r="N52" s="161" t="s">
        <v>1299</v>
      </c>
      <c r="O52" s="161" t="s">
        <v>25</v>
      </c>
      <c r="P52" s="49" t="s">
        <v>25</v>
      </c>
      <c r="Q52" s="166" t="s">
        <v>1434</v>
      </c>
      <c r="R52" s="167"/>
    </row>
    <row r="53" s="148" customFormat="1" spans="1:18">
      <c r="A53" s="101" t="s">
        <v>28</v>
      </c>
      <c r="B53" s="101" t="s">
        <v>113</v>
      </c>
      <c r="C53" s="164" t="s">
        <v>1435</v>
      </c>
      <c r="D53" s="161" t="s">
        <v>1436</v>
      </c>
      <c r="E53" s="161" t="s">
        <v>1384</v>
      </c>
      <c r="F53" s="161" t="s">
        <v>1437</v>
      </c>
      <c r="G53" s="163">
        <v>1438.1382</v>
      </c>
      <c r="H53" s="163">
        <f t="shared" si="2"/>
        <v>30.5720000000001</v>
      </c>
      <c r="I53" s="163">
        <v>1513</v>
      </c>
      <c r="J53" s="163">
        <v>23543</v>
      </c>
      <c r="K53" s="163">
        <v>1098486</v>
      </c>
      <c r="L53" s="163"/>
      <c r="M53" s="161" t="s">
        <v>1294</v>
      </c>
      <c r="N53" s="161" t="s">
        <v>1299</v>
      </c>
      <c r="O53" s="161" t="s">
        <v>25</v>
      </c>
      <c r="P53" s="49" t="s">
        <v>25</v>
      </c>
      <c r="Q53" s="166" t="s">
        <v>1438</v>
      </c>
      <c r="R53" s="167"/>
    </row>
    <row r="54" s="148" customFormat="1" spans="1:18">
      <c r="A54" s="101" t="s">
        <v>28</v>
      </c>
      <c r="B54" s="101" t="s">
        <v>113</v>
      </c>
      <c r="C54" s="164" t="s">
        <v>1439</v>
      </c>
      <c r="D54" s="161" t="s">
        <v>1439</v>
      </c>
      <c r="E54" s="161" t="s">
        <v>1384</v>
      </c>
      <c r="F54" s="161" t="s">
        <v>1437</v>
      </c>
      <c r="G54" s="163">
        <v>1467.1574</v>
      </c>
      <c r="H54" s="163">
        <f t="shared" si="2"/>
        <v>29.0192</v>
      </c>
      <c r="I54" s="163">
        <v>1437</v>
      </c>
      <c r="J54" s="163">
        <v>21806</v>
      </c>
      <c r="K54" s="163">
        <v>1120292</v>
      </c>
      <c r="L54" s="163"/>
      <c r="M54" s="161" t="s">
        <v>1294</v>
      </c>
      <c r="N54" s="161" t="s">
        <v>1331</v>
      </c>
      <c r="O54" s="161" t="s">
        <v>6</v>
      </c>
      <c r="P54" s="49" t="s">
        <v>6</v>
      </c>
      <c r="Q54" s="166" t="s">
        <v>1440</v>
      </c>
      <c r="R54" s="167"/>
    </row>
    <row r="55" s="148" customFormat="1" spans="1:18">
      <c r="A55" s="101" t="s">
        <v>28</v>
      </c>
      <c r="B55" s="101" t="s">
        <v>113</v>
      </c>
      <c r="C55" s="164" t="s">
        <v>1441</v>
      </c>
      <c r="D55" s="161" t="s">
        <v>1442</v>
      </c>
      <c r="E55" s="161" t="s">
        <v>1384</v>
      </c>
      <c r="F55" s="161" t="s">
        <v>1437</v>
      </c>
      <c r="G55" s="163">
        <v>1490.8222</v>
      </c>
      <c r="H55" s="163">
        <f t="shared" si="2"/>
        <v>23.6648</v>
      </c>
      <c r="I55" s="163">
        <v>1434</v>
      </c>
      <c r="J55" s="163">
        <v>18010</v>
      </c>
      <c r="K55" s="163">
        <v>1138302</v>
      </c>
      <c r="L55" s="163"/>
      <c r="M55" s="161" t="s">
        <v>1294</v>
      </c>
      <c r="N55" s="161" t="s">
        <v>1299</v>
      </c>
      <c r="O55" s="161" t="s">
        <v>25</v>
      </c>
      <c r="P55" s="49" t="s">
        <v>25</v>
      </c>
      <c r="Q55" s="166" t="s">
        <v>1443</v>
      </c>
      <c r="R55" s="167"/>
    </row>
    <row r="56" s="148" customFormat="1" spans="1:18">
      <c r="A56" s="101" t="s">
        <v>28</v>
      </c>
      <c r="B56" s="101" t="s">
        <v>113</v>
      </c>
      <c r="C56" s="164" t="s">
        <v>1444</v>
      </c>
      <c r="D56" s="161" t="s">
        <v>1445</v>
      </c>
      <c r="E56" s="161" t="s">
        <v>1384</v>
      </c>
      <c r="F56" s="161" t="s">
        <v>1437</v>
      </c>
      <c r="G56" s="163">
        <v>1513.7232</v>
      </c>
      <c r="H56" s="163">
        <f t="shared" ref="H56:H82" si="3">G56-G55</f>
        <v>22.9009999999998</v>
      </c>
      <c r="I56" s="163">
        <v>1457</v>
      </c>
      <c r="J56" s="163">
        <v>17429</v>
      </c>
      <c r="K56" s="163">
        <v>1155731</v>
      </c>
      <c r="L56" s="163"/>
      <c r="M56" s="161" t="s">
        <v>1294</v>
      </c>
      <c r="N56" s="161" t="s">
        <v>1299</v>
      </c>
      <c r="O56" s="161" t="s">
        <v>25</v>
      </c>
      <c r="P56" s="49" t="s">
        <v>25</v>
      </c>
      <c r="Q56" s="166" t="s">
        <v>1446</v>
      </c>
      <c r="R56" s="167"/>
    </row>
    <row r="57" s="148" customFormat="1" spans="1:18">
      <c r="A57" s="101" t="s">
        <v>28</v>
      </c>
      <c r="B57" s="101" t="s">
        <v>113</v>
      </c>
      <c r="C57" s="164" t="s">
        <v>1447</v>
      </c>
      <c r="D57" s="161" t="s">
        <v>1448</v>
      </c>
      <c r="E57" s="161" t="s">
        <v>1384</v>
      </c>
      <c r="F57" s="161" t="s">
        <v>1437</v>
      </c>
      <c r="G57" s="163">
        <v>1536.8368</v>
      </c>
      <c r="H57" s="163">
        <f t="shared" si="3"/>
        <v>23.1136000000001</v>
      </c>
      <c r="I57" s="163">
        <v>1471</v>
      </c>
      <c r="J57" s="163">
        <v>17591</v>
      </c>
      <c r="K57" s="163">
        <v>1173322</v>
      </c>
      <c r="L57" s="163"/>
      <c r="M57" s="161" t="s">
        <v>1294</v>
      </c>
      <c r="N57" s="161" t="s">
        <v>1299</v>
      </c>
      <c r="O57" s="161" t="s">
        <v>25</v>
      </c>
      <c r="P57" s="49" t="s">
        <v>25</v>
      </c>
      <c r="Q57" s="166" t="s">
        <v>1449</v>
      </c>
      <c r="R57" s="167"/>
    </row>
    <row r="58" s="148" customFormat="1" spans="1:18">
      <c r="A58" s="101" t="s">
        <v>28</v>
      </c>
      <c r="B58" s="101" t="s">
        <v>113</v>
      </c>
      <c r="C58" s="164" t="s">
        <v>1450</v>
      </c>
      <c r="D58" s="161" t="s">
        <v>1451</v>
      </c>
      <c r="E58" s="161" t="s">
        <v>1384</v>
      </c>
      <c r="F58" s="161" t="s">
        <v>1452</v>
      </c>
      <c r="G58" s="163">
        <v>1559.856</v>
      </c>
      <c r="H58" s="163">
        <f t="shared" si="3"/>
        <v>23.0192</v>
      </c>
      <c r="I58" s="163">
        <v>1627</v>
      </c>
      <c r="J58" s="163">
        <v>17519</v>
      </c>
      <c r="K58" s="163">
        <v>1190841</v>
      </c>
      <c r="L58" s="163"/>
      <c r="M58" s="161" t="s">
        <v>1294</v>
      </c>
      <c r="N58" s="161" t="s">
        <v>1299</v>
      </c>
      <c r="O58" s="161" t="s">
        <v>25</v>
      </c>
      <c r="P58" s="49" t="s">
        <v>25</v>
      </c>
      <c r="Q58" s="166" t="s">
        <v>1453</v>
      </c>
      <c r="R58" s="167"/>
    </row>
    <row r="59" s="148" customFormat="1" spans="1:18">
      <c r="A59" s="101" t="s">
        <v>28</v>
      </c>
      <c r="B59" s="101" t="s">
        <v>113</v>
      </c>
      <c r="C59" s="164" t="s">
        <v>1454</v>
      </c>
      <c r="D59" s="161" t="s">
        <v>1455</v>
      </c>
      <c r="E59" s="161" t="s">
        <v>1384</v>
      </c>
      <c r="F59" s="161" t="s">
        <v>1452</v>
      </c>
      <c r="G59" s="163">
        <v>1588.311</v>
      </c>
      <c r="H59" s="163">
        <f t="shared" si="3"/>
        <v>28.4549999999999</v>
      </c>
      <c r="I59" s="163">
        <v>1772</v>
      </c>
      <c r="J59" s="163">
        <v>21656</v>
      </c>
      <c r="K59" s="163">
        <v>1212497</v>
      </c>
      <c r="L59" s="163"/>
      <c r="M59" s="161" t="s">
        <v>1294</v>
      </c>
      <c r="N59" s="161" t="s">
        <v>1299</v>
      </c>
      <c r="O59" s="161" t="s">
        <v>25</v>
      </c>
      <c r="P59" s="49" t="s">
        <v>25</v>
      </c>
      <c r="Q59" s="166" t="s">
        <v>1456</v>
      </c>
      <c r="R59" s="167"/>
    </row>
    <row r="60" s="148" customFormat="1" spans="1:18">
      <c r="A60" s="101" t="s">
        <v>28</v>
      </c>
      <c r="B60" s="101" t="s">
        <v>113</v>
      </c>
      <c r="C60" s="164" t="s">
        <v>1457</v>
      </c>
      <c r="D60" s="161" t="s">
        <v>1457</v>
      </c>
      <c r="E60" s="161" t="s">
        <v>1384</v>
      </c>
      <c r="F60" s="161" t="s">
        <v>1452</v>
      </c>
      <c r="G60" s="163">
        <v>1610.083</v>
      </c>
      <c r="H60" s="163">
        <f t="shared" si="3"/>
        <v>21.7720000000002</v>
      </c>
      <c r="I60" s="163">
        <v>1920</v>
      </c>
      <c r="J60" s="163">
        <v>17282</v>
      </c>
      <c r="K60" s="163">
        <v>1229779</v>
      </c>
      <c r="L60" s="163"/>
      <c r="M60" s="161" t="s">
        <v>1294</v>
      </c>
      <c r="N60" s="161" t="s">
        <v>1331</v>
      </c>
      <c r="O60" s="161" t="s">
        <v>6</v>
      </c>
      <c r="P60" s="49" t="s">
        <v>6</v>
      </c>
      <c r="Q60" s="166" t="s">
        <v>1458</v>
      </c>
      <c r="R60" s="167"/>
    </row>
    <row r="61" s="148" customFormat="1" spans="1:18">
      <c r="A61" s="101" t="s">
        <v>28</v>
      </c>
      <c r="B61" s="101" t="s">
        <v>113</v>
      </c>
      <c r="C61" s="164" t="s">
        <v>1459</v>
      </c>
      <c r="D61" s="161" t="s">
        <v>1460</v>
      </c>
      <c r="E61" s="161" t="s">
        <v>1384</v>
      </c>
      <c r="F61" s="161" t="s">
        <v>1452</v>
      </c>
      <c r="G61" s="163">
        <v>1642.0544</v>
      </c>
      <c r="H61" s="163">
        <f t="shared" si="3"/>
        <v>31.9713999999999</v>
      </c>
      <c r="I61" s="163">
        <v>2593</v>
      </c>
      <c r="J61" s="163">
        <v>24621</v>
      </c>
      <c r="K61" s="163">
        <v>1254400</v>
      </c>
      <c r="L61" s="163"/>
      <c r="M61" s="161" t="s">
        <v>1294</v>
      </c>
      <c r="N61" s="161" t="s">
        <v>1299</v>
      </c>
      <c r="O61" s="161" t="s">
        <v>25</v>
      </c>
      <c r="P61" s="49" t="s">
        <v>25</v>
      </c>
      <c r="Q61" s="166" t="s">
        <v>1461</v>
      </c>
      <c r="R61" s="167"/>
    </row>
    <row r="62" s="148" customFormat="1" spans="1:18">
      <c r="A62" s="101" t="s">
        <v>28</v>
      </c>
      <c r="B62" s="101" t="s">
        <v>113</v>
      </c>
      <c r="C62" s="164" t="s">
        <v>1462</v>
      </c>
      <c r="D62" s="161" t="s">
        <v>1463</v>
      </c>
      <c r="E62" s="161" t="s">
        <v>1384</v>
      </c>
      <c r="F62" s="161" t="s">
        <v>1464</v>
      </c>
      <c r="G62" s="163">
        <v>1667.1571</v>
      </c>
      <c r="H62" s="163">
        <f t="shared" si="3"/>
        <v>25.1026999999999</v>
      </c>
      <c r="I62" s="163">
        <v>2177</v>
      </c>
      <c r="J62" s="163">
        <v>19331</v>
      </c>
      <c r="K62" s="163">
        <v>1273731</v>
      </c>
      <c r="L62" s="163"/>
      <c r="M62" s="161" t="s">
        <v>1294</v>
      </c>
      <c r="N62" s="161" t="s">
        <v>1299</v>
      </c>
      <c r="O62" s="161" t="s">
        <v>25</v>
      </c>
      <c r="P62" s="49" t="s">
        <v>25</v>
      </c>
      <c r="Q62" s="166" t="s">
        <v>1465</v>
      </c>
      <c r="R62" s="167"/>
    </row>
    <row r="63" s="148" customFormat="1" spans="1:18">
      <c r="A63" s="101" t="s">
        <v>28</v>
      </c>
      <c r="B63" s="101" t="s">
        <v>113</v>
      </c>
      <c r="C63" s="164" t="s">
        <v>1466</v>
      </c>
      <c r="D63" s="161" t="s">
        <v>1467</v>
      </c>
      <c r="E63" s="161" t="s">
        <v>1384</v>
      </c>
      <c r="F63" s="161" t="s">
        <v>1464</v>
      </c>
      <c r="G63" s="163">
        <v>1689.1253</v>
      </c>
      <c r="H63" s="163">
        <f t="shared" si="3"/>
        <v>21.9682</v>
      </c>
      <c r="I63" s="163">
        <v>2027</v>
      </c>
      <c r="J63" s="163">
        <v>16651</v>
      </c>
      <c r="K63" s="163">
        <v>1290382</v>
      </c>
      <c r="L63" s="163"/>
      <c r="M63" s="161" t="s">
        <v>1294</v>
      </c>
      <c r="N63" s="161" t="s">
        <v>1299</v>
      </c>
      <c r="O63" s="161" t="s">
        <v>25</v>
      </c>
      <c r="P63" s="49" t="s">
        <v>25</v>
      </c>
      <c r="Q63" s="166" t="s">
        <v>1468</v>
      </c>
      <c r="R63" s="167"/>
    </row>
    <row r="64" s="148" customFormat="1" spans="1:18">
      <c r="A64" s="101" t="s">
        <v>28</v>
      </c>
      <c r="B64" s="101" t="s">
        <v>113</v>
      </c>
      <c r="C64" s="164" t="s">
        <v>1469</v>
      </c>
      <c r="D64" s="161" t="s">
        <v>1469</v>
      </c>
      <c r="E64" s="161" t="s">
        <v>1384</v>
      </c>
      <c r="F64" s="161" t="s">
        <v>1464</v>
      </c>
      <c r="G64" s="163">
        <v>1719.0686</v>
      </c>
      <c r="H64" s="163">
        <f t="shared" si="3"/>
        <v>29.9433000000001</v>
      </c>
      <c r="I64" s="163">
        <v>1842</v>
      </c>
      <c r="J64" s="163">
        <v>21222</v>
      </c>
      <c r="K64" s="163">
        <v>1311604</v>
      </c>
      <c r="L64" s="163"/>
      <c r="M64" s="161" t="s">
        <v>1294</v>
      </c>
      <c r="N64" s="161" t="s">
        <v>1331</v>
      </c>
      <c r="O64" s="161" t="s">
        <v>6</v>
      </c>
      <c r="P64" s="49" t="s">
        <v>6</v>
      </c>
      <c r="Q64" s="166" t="s">
        <v>1470</v>
      </c>
      <c r="R64" s="167"/>
    </row>
    <row r="65" s="148" customFormat="1" spans="1:18">
      <c r="A65" s="101" t="s">
        <v>28</v>
      </c>
      <c r="B65" s="101" t="s">
        <v>113</v>
      </c>
      <c r="C65" s="164" t="s">
        <v>1471</v>
      </c>
      <c r="D65" s="161" t="s">
        <v>1472</v>
      </c>
      <c r="E65" s="161" t="s">
        <v>1384</v>
      </c>
      <c r="F65" s="161" t="s">
        <v>1464</v>
      </c>
      <c r="G65" s="163">
        <v>1751.9426</v>
      </c>
      <c r="H65" s="163">
        <f t="shared" si="3"/>
        <v>32.874</v>
      </c>
      <c r="I65" s="163">
        <v>1643</v>
      </c>
      <c r="J65" s="163">
        <v>22258</v>
      </c>
      <c r="K65" s="163">
        <v>1333862</v>
      </c>
      <c r="L65" s="163"/>
      <c r="M65" s="161" t="s">
        <v>1294</v>
      </c>
      <c r="N65" s="161" t="s">
        <v>1299</v>
      </c>
      <c r="O65" s="161" t="s">
        <v>25</v>
      </c>
      <c r="P65" s="49" t="s">
        <v>25</v>
      </c>
      <c r="Q65" s="166" t="s">
        <v>1473</v>
      </c>
      <c r="R65" s="167"/>
    </row>
    <row r="66" s="148" customFormat="1" spans="1:18">
      <c r="A66" s="101" t="s">
        <v>28</v>
      </c>
      <c r="B66" s="101" t="s">
        <v>113</v>
      </c>
      <c r="C66" s="164" t="s">
        <v>1474</v>
      </c>
      <c r="D66" s="161" t="s">
        <v>1475</v>
      </c>
      <c r="E66" s="161" t="s">
        <v>1384</v>
      </c>
      <c r="F66" s="161" t="s">
        <v>1464</v>
      </c>
      <c r="G66" s="163">
        <v>1781.189</v>
      </c>
      <c r="H66" s="163">
        <f t="shared" si="3"/>
        <v>29.2464</v>
      </c>
      <c r="I66" s="163">
        <v>1651</v>
      </c>
      <c r="J66" s="163">
        <v>25316</v>
      </c>
      <c r="K66" s="163">
        <v>1359178</v>
      </c>
      <c r="L66" s="163"/>
      <c r="M66" s="161" t="s">
        <v>1294</v>
      </c>
      <c r="N66" s="161" t="s">
        <v>1299</v>
      </c>
      <c r="O66" s="161" t="s">
        <v>25</v>
      </c>
      <c r="P66" s="49" t="s">
        <v>25</v>
      </c>
      <c r="Q66" s="166" t="s">
        <v>1476</v>
      </c>
      <c r="R66" s="167"/>
    </row>
    <row r="67" s="148" customFormat="1" spans="1:18">
      <c r="A67" s="101" t="s">
        <v>28</v>
      </c>
      <c r="B67" s="101" t="s">
        <v>113</v>
      </c>
      <c r="C67" s="164" t="s">
        <v>1477</v>
      </c>
      <c r="D67" s="161" t="s">
        <v>1477</v>
      </c>
      <c r="E67" s="161" t="s">
        <v>1384</v>
      </c>
      <c r="F67" s="161" t="s">
        <v>1478</v>
      </c>
      <c r="G67" s="163">
        <v>1812.911</v>
      </c>
      <c r="H67" s="163">
        <f t="shared" si="3"/>
        <v>31.722</v>
      </c>
      <c r="I67" s="163">
        <v>1715</v>
      </c>
      <c r="J67" s="163">
        <v>24143</v>
      </c>
      <c r="K67" s="163">
        <v>1383321</v>
      </c>
      <c r="L67" s="163"/>
      <c r="M67" s="161" t="s">
        <v>1294</v>
      </c>
      <c r="N67" s="161"/>
      <c r="O67" s="161" t="s">
        <v>25</v>
      </c>
      <c r="P67" s="49" t="s">
        <v>14</v>
      </c>
      <c r="Q67" s="166" t="s">
        <v>1479</v>
      </c>
      <c r="R67" s="167"/>
    </row>
    <row r="68" s="148" customFormat="1" spans="1:18">
      <c r="A68" s="101" t="s">
        <v>28</v>
      </c>
      <c r="B68" s="101" t="s">
        <v>113</v>
      </c>
      <c r="C68" s="164" t="s">
        <v>462</v>
      </c>
      <c r="D68" s="161" t="s">
        <v>462</v>
      </c>
      <c r="E68" s="161" t="s">
        <v>1384</v>
      </c>
      <c r="F68" s="161" t="s">
        <v>1478</v>
      </c>
      <c r="G68" s="163">
        <v>1841.5762</v>
      </c>
      <c r="H68" s="163">
        <f t="shared" si="3"/>
        <v>28.6651999999999</v>
      </c>
      <c r="I68" s="163">
        <v>1856</v>
      </c>
      <c r="J68" s="163">
        <v>23966</v>
      </c>
      <c r="K68" s="163">
        <v>1407287</v>
      </c>
      <c r="L68" s="163"/>
      <c r="M68" s="161" t="s">
        <v>1294</v>
      </c>
      <c r="N68" s="161" t="s">
        <v>1331</v>
      </c>
      <c r="O68" s="161" t="s">
        <v>6</v>
      </c>
      <c r="P68" s="49" t="s">
        <v>6</v>
      </c>
      <c r="Q68" s="166" t="s">
        <v>1480</v>
      </c>
      <c r="R68" s="167"/>
    </row>
    <row r="69" s="148" customFormat="1" spans="1:18">
      <c r="A69" s="101" t="s">
        <v>28</v>
      </c>
      <c r="B69" s="101" t="s">
        <v>113</v>
      </c>
      <c r="C69" s="164" t="s">
        <v>1481</v>
      </c>
      <c r="D69" s="161" t="s">
        <v>1482</v>
      </c>
      <c r="E69" s="161" t="s">
        <v>1384</v>
      </c>
      <c r="F69" s="161" t="s">
        <v>1478</v>
      </c>
      <c r="G69" s="163">
        <v>1873.1322</v>
      </c>
      <c r="H69" s="163">
        <f t="shared" si="3"/>
        <v>31.556</v>
      </c>
      <c r="I69" s="163">
        <v>2135</v>
      </c>
      <c r="J69" s="163">
        <v>24614</v>
      </c>
      <c r="K69" s="163">
        <v>1431901</v>
      </c>
      <c r="L69" s="163"/>
      <c r="M69" s="161" t="s">
        <v>1294</v>
      </c>
      <c r="N69" s="161" t="s">
        <v>1299</v>
      </c>
      <c r="O69" s="161" t="s">
        <v>25</v>
      </c>
      <c r="P69" s="49" t="s">
        <v>25</v>
      </c>
      <c r="Q69" s="166" t="s">
        <v>1483</v>
      </c>
      <c r="R69" s="167"/>
    </row>
    <row r="70" s="148" customFormat="1" spans="1:18">
      <c r="A70" s="101" t="s">
        <v>28</v>
      </c>
      <c r="B70" s="101" t="s">
        <v>113</v>
      </c>
      <c r="C70" s="164" t="s">
        <v>1484</v>
      </c>
      <c r="D70" s="161" t="s">
        <v>1485</v>
      </c>
      <c r="E70" s="161" t="s">
        <v>1384</v>
      </c>
      <c r="F70" s="161" t="s">
        <v>1478</v>
      </c>
      <c r="G70" s="163">
        <v>1902.4369</v>
      </c>
      <c r="H70" s="163">
        <f t="shared" si="3"/>
        <v>29.3046999999999</v>
      </c>
      <c r="I70" s="163">
        <v>1558</v>
      </c>
      <c r="J70" s="163">
        <v>22567</v>
      </c>
      <c r="K70" s="163">
        <v>1454468</v>
      </c>
      <c r="L70" s="163"/>
      <c r="M70" s="161" t="s">
        <v>1294</v>
      </c>
      <c r="N70" s="161" t="s">
        <v>1299</v>
      </c>
      <c r="O70" s="161" t="s">
        <v>25</v>
      </c>
      <c r="P70" s="49" t="s">
        <v>25</v>
      </c>
      <c r="Q70" s="166" t="s">
        <v>1486</v>
      </c>
      <c r="R70" s="167"/>
    </row>
    <row r="71" s="148" customFormat="1" spans="1:18">
      <c r="A71" s="101" t="s">
        <v>28</v>
      </c>
      <c r="B71" s="101" t="s">
        <v>113</v>
      </c>
      <c r="C71" s="164" t="s">
        <v>1487</v>
      </c>
      <c r="D71" s="161" t="s">
        <v>1488</v>
      </c>
      <c r="E71" s="161" t="s">
        <v>1384</v>
      </c>
      <c r="F71" s="161" t="s">
        <v>1478</v>
      </c>
      <c r="G71" s="163">
        <v>1921.0039</v>
      </c>
      <c r="H71" s="163">
        <f t="shared" si="3"/>
        <v>18.567</v>
      </c>
      <c r="I71" s="163">
        <v>1681</v>
      </c>
      <c r="J71" s="163">
        <v>14298</v>
      </c>
      <c r="K71" s="163">
        <v>1468766</v>
      </c>
      <c r="L71" s="163"/>
      <c r="M71" s="161" t="s">
        <v>1294</v>
      </c>
      <c r="N71" s="161" t="s">
        <v>1299</v>
      </c>
      <c r="O71" s="161" t="s">
        <v>25</v>
      </c>
      <c r="P71" s="49" t="s">
        <v>25</v>
      </c>
      <c r="Q71" s="166" t="s">
        <v>1486</v>
      </c>
      <c r="R71" s="167"/>
    </row>
    <row r="72" s="148" customFormat="1" spans="1:18">
      <c r="A72" s="101" t="s">
        <v>28</v>
      </c>
      <c r="B72" s="101" t="s">
        <v>113</v>
      </c>
      <c r="C72" s="164" t="s">
        <v>1489</v>
      </c>
      <c r="D72" s="161" t="s">
        <v>1490</v>
      </c>
      <c r="E72" s="161" t="s">
        <v>1491</v>
      </c>
      <c r="F72" s="161" t="s">
        <v>1492</v>
      </c>
      <c r="G72" s="163">
        <v>1932.3321</v>
      </c>
      <c r="H72" s="163">
        <f t="shared" si="3"/>
        <v>11.3282000000002</v>
      </c>
      <c r="I72" s="163">
        <v>1682</v>
      </c>
      <c r="J72" s="163">
        <v>9238</v>
      </c>
      <c r="K72" s="163">
        <v>1478004</v>
      </c>
      <c r="L72" s="163"/>
      <c r="M72" s="161" t="s">
        <v>1294</v>
      </c>
      <c r="N72" s="161" t="s">
        <v>1299</v>
      </c>
      <c r="O72" s="161" t="s">
        <v>25</v>
      </c>
      <c r="P72" s="49" t="s">
        <v>25</v>
      </c>
      <c r="Q72" s="166" t="s">
        <v>1493</v>
      </c>
      <c r="R72" s="167"/>
    </row>
    <row r="73" s="148" customFormat="1" spans="1:18">
      <c r="A73" s="101" t="s">
        <v>28</v>
      </c>
      <c r="B73" s="101" t="s">
        <v>113</v>
      </c>
      <c r="C73" s="164" t="s">
        <v>1494</v>
      </c>
      <c r="D73" s="161" t="s">
        <v>1495</v>
      </c>
      <c r="E73" s="161" t="s">
        <v>1491</v>
      </c>
      <c r="F73" s="161" t="s">
        <v>1492</v>
      </c>
      <c r="G73" s="163">
        <v>1957.3368</v>
      </c>
      <c r="H73" s="163">
        <f t="shared" si="3"/>
        <v>25.0047</v>
      </c>
      <c r="I73" s="163">
        <v>1699</v>
      </c>
      <c r="J73" s="163">
        <v>19789.5472492801</v>
      </c>
      <c r="K73" s="163">
        <f t="shared" ref="K73:K97" si="4">K72+J73</f>
        <v>1497793.54724928</v>
      </c>
      <c r="L73" s="163"/>
      <c r="M73" s="161" t="s">
        <v>1294</v>
      </c>
      <c r="N73" s="161" t="s">
        <v>1299</v>
      </c>
      <c r="O73" s="161" t="s">
        <v>25</v>
      </c>
      <c r="P73" s="49" t="s">
        <v>25</v>
      </c>
      <c r="Q73" s="166" t="s">
        <v>1493</v>
      </c>
      <c r="R73" s="167"/>
    </row>
    <row r="74" s="148" customFormat="1" spans="1:18">
      <c r="A74" s="101" t="s">
        <v>28</v>
      </c>
      <c r="B74" s="101" t="s">
        <v>113</v>
      </c>
      <c r="C74" s="164" t="s">
        <v>1496</v>
      </c>
      <c r="D74" s="161" t="s">
        <v>1497</v>
      </c>
      <c r="E74" s="161" t="s">
        <v>1491</v>
      </c>
      <c r="F74" s="161" t="s">
        <v>1492</v>
      </c>
      <c r="G74" s="163">
        <v>1967.0717</v>
      </c>
      <c r="H74" s="163">
        <f t="shared" si="3"/>
        <v>9.73489999999993</v>
      </c>
      <c r="I74" s="163">
        <v>1599</v>
      </c>
      <c r="J74" s="163">
        <v>9403.01529690943</v>
      </c>
      <c r="K74" s="163">
        <f t="shared" si="4"/>
        <v>1507196.56254619</v>
      </c>
      <c r="L74" s="163"/>
      <c r="M74" s="161" t="s">
        <v>1294</v>
      </c>
      <c r="N74" s="161" t="s">
        <v>1299</v>
      </c>
      <c r="O74" s="161" t="s">
        <v>25</v>
      </c>
      <c r="P74" s="49" t="s">
        <v>25</v>
      </c>
      <c r="Q74" s="166" t="s">
        <v>1498</v>
      </c>
      <c r="R74" s="167"/>
    </row>
    <row r="75" s="148" customFormat="1" spans="1:18">
      <c r="A75" s="101" t="s">
        <v>28</v>
      </c>
      <c r="B75" s="101" t="s">
        <v>113</v>
      </c>
      <c r="C75" s="164" t="s">
        <v>1499</v>
      </c>
      <c r="D75" s="161" t="s">
        <v>1500</v>
      </c>
      <c r="E75" s="161" t="s">
        <v>1491</v>
      </c>
      <c r="F75" s="161" t="s">
        <v>1492</v>
      </c>
      <c r="G75" s="163">
        <v>1981.9018</v>
      </c>
      <c r="H75" s="163">
        <f t="shared" si="3"/>
        <v>14.8301000000001</v>
      </c>
      <c r="I75" s="163">
        <v>1248</v>
      </c>
      <c r="J75" s="163">
        <v>13240.2204299588</v>
      </c>
      <c r="K75" s="163">
        <f t="shared" si="4"/>
        <v>1520436.78297615</v>
      </c>
      <c r="L75" s="163"/>
      <c r="M75" s="161" t="s">
        <v>1294</v>
      </c>
      <c r="N75" s="161" t="s">
        <v>1299</v>
      </c>
      <c r="O75" s="161" t="s">
        <v>25</v>
      </c>
      <c r="P75" s="49" t="s">
        <v>25</v>
      </c>
      <c r="Q75" s="166" t="s">
        <v>1498</v>
      </c>
      <c r="R75" s="167"/>
    </row>
    <row r="76" s="148" customFormat="1" spans="1:18">
      <c r="A76" s="101" t="s">
        <v>28</v>
      </c>
      <c r="B76" s="101" t="s">
        <v>113</v>
      </c>
      <c r="C76" s="164" t="s">
        <v>1501</v>
      </c>
      <c r="D76" s="161" t="s">
        <v>1502</v>
      </c>
      <c r="E76" s="161" t="s">
        <v>1491</v>
      </c>
      <c r="F76" s="161" t="s">
        <v>114</v>
      </c>
      <c r="G76" s="163">
        <v>1983.9016</v>
      </c>
      <c r="H76" s="163">
        <f t="shared" si="3"/>
        <v>1.99979999999982</v>
      </c>
      <c r="I76" s="163">
        <v>1341</v>
      </c>
      <c r="J76" s="163">
        <v>1874.2698081914</v>
      </c>
      <c r="K76" s="163">
        <f t="shared" si="4"/>
        <v>1522311.05278434</v>
      </c>
      <c r="L76" s="163"/>
      <c r="M76" s="161" t="s">
        <v>1294</v>
      </c>
      <c r="N76" s="161" t="s">
        <v>1299</v>
      </c>
      <c r="O76" s="161" t="s">
        <v>25</v>
      </c>
      <c r="P76" s="49" t="s">
        <v>25</v>
      </c>
      <c r="Q76" s="166" t="s">
        <v>1503</v>
      </c>
      <c r="R76" s="167"/>
    </row>
    <row r="77" s="148" customFormat="1" ht="60" spans="1:18">
      <c r="A77" s="101" t="s">
        <v>28</v>
      </c>
      <c r="B77" s="101" t="s">
        <v>115</v>
      </c>
      <c r="C77" s="168" t="s">
        <v>114</v>
      </c>
      <c r="D77" s="161" t="s">
        <v>1504</v>
      </c>
      <c r="E77" s="161" t="s">
        <v>1491</v>
      </c>
      <c r="F77" s="161" t="s">
        <v>114</v>
      </c>
      <c r="G77" s="163">
        <v>2008.2399</v>
      </c>
      <c r="H77" s="163">
        <f t="shared" si="3"/>
        <v>24.3383000000001</v>
      </c>
      <c r="I77" s="163">
        <v>1247</v>
      </c>
      <c r="J77" s="163">
        <v>8948.88393213404</v>
      </c>
      <c r="K77" s="163">
        <f t="shared" si="4"/>
        <v>1531259.93671647</v>
      </c>
      <c r="L77" s="163" t="s">
        <v>1505</v>
      </c>
      <c r="M77" s="161" t="s">
        <v>1294</v>
      </c>
      <c r="N77" s="161" t="s">
        <v>1295</v>
      </c>
      <c r="O77" s="161" t="s">
        <v>6</v>
      </c>
      <c r="P77" s="49" t="s">
        <v>6</v>
      </c>
      <c r="Q77" s="166" t="s">
        <v>1503</v>
      </c>
      <c r="R77" s="167"/>
    </row>
    <row r="78" s="148" customFormat="1" spans="1:18">
      <c r="A78" s="101" t="s">
        <v>28</v>
      </c>
      <c r="B78" s="101" t="s">
        <v>115</v>
      </c>
      <c r="C78" s="168" t="s">
        <v>1506</v>
      </c>
      <c r="D78" s="161" t="s">
        <v>1507</v>
      </c>
      <c r="E78" s="161" t="s">
        <v>1491</v>
      </c>
      <c r="F78" s="161" t="s">
        <v>114</v>
      </c>
      <c r="G78" s="163">
        <v>2020.991</v>
      </c>
      <c r="H78" s="163">
        <f t="shared" si="3"/>
        <v>12.7511</v>
      </c>
      <c r="I78" s="163">
        <v>1215</v>
      </c>
      <c r="J78" s="163">
        <v>9459.26946924834</v>
      </c>
      <c r="K78" s="163">
        <f t="shared" si="4"/>
        <v>1540719.20618572</v>
      </c>
      <c r="L78" s="163"/>
      <c r="M78" s="161" t="s">
        <v>1294</v>
      </c>
      <c r="N78" s="161" t="s">
        <v>1299</v>
      </c>
      <c r="O78" s="161" t="s">
        <v>25</v>
      </c>
      <c r="P78" s="49" t="s">
        <v>25</v>
      </c>
      <c r="Q78" s="166" t="s">
        <v>1508</v>
      </c>
      <c r="R78" s="167"/>
    </row>
    <row r="79" s="148" customFormat="1" spans="1:18">
      <c r="A79" s="101" t="s">
        <v>28</v>
      </c>
      <c r="B79" s="101" t="s">
        <v>115</v>
      </c>
      <c r="C79" s="168" t="s">
        <v>1509</v>
      </c>
      <c r="D79" s="161" t="s">
        <v>1510</v>
      </c>
      <c r="E79" s="161" t="s">
        <v>1491</v>
      </c>
      <c r="F79" s="161" t="s">
        <v>114</v>
      </c>
      <c r="G79" s="163">
        <v>2036.4441</v>
      </c>
      <c r="H79" s="163">
        <f t="shared" si="3"/>
        <v>15.4530999999999</v>
      </c>
      <c r="I79" s="163">
        <v>1199</v>
      </c>
      <c r="J79" s="163">
        <v>12722.7565532786</v>
      </c>
      <c r="K79" s="163">
        <f t="shared" si="4"/>
        <v>1553441.962739</v>
      </c>
      <c r="L79" s="163"/>
      <c r="M79" s="161" t="s">
        <v>1294</v>
      </c>
      <c r="N79" s="161" t="s">
        <v>1299</v>
      </c>
      <c r="O79" s="161" t="s">
        <v>25</v>
      </c>
      <c r="P79" s="49" t="s">
        <v>25</v>
      </c>
      <c r="Q79" s="166" t="s">
        <v>1511</v>
      </c>
      <c r="R79" s="167"/>
    </row>
    <row r="80" s="148" customFormat="1" spans="1:18">
      <c r="A80" s="101" t="s">
        <v>28</v>
      </c>
      <c r="B80" s="101" t="s">
        <v>115</v>
      </c>
      <c r="C80" s="168" t="s">
        <v>1512</v>
      </c>
      <c r="D80" s="161" t="s">
        <v>1513</v>
      </c>
      <c r="E80" s="161" t="s">
        <v>1491</v>
      </c>
      <c r="F80" s="161" t="s">
        <v>114</v>
      </c>
      <c r="G80" s="163">
        <v>2054.4698</v>
      </c>
      <c r="H80" s="163">
        <f t="shared" si="3"/>
        <v>18.0256999999999</v>
      </c>
      <c r="I80" s="163">
        <v>1189</v>
      </c>
      <c r="J80" s="163">
        <v>11845.0424471171</v>
      </c>
      <c r="K80" s="163">
        <f t="shared" si="4"/>
        <v>1565287.00518612</v>
      </c>
      <c r="L80" s="163"/>
      <c r="M80" s="161" t="s">
        <v>1294</v>
      </c>
      <c r="N80" s="161" t="s">
        <v>1299</v>
      </c>
      <c r="O80" s="161" t="s">
        <v>25</v>
      </c>
      <c r="P80" s="49" t="s">
        <v>25</v>
      </c>
      <c r="Q80" s="166" t="s">
        <v>1514</v>
      </c>
      <c r="R80" s="167"/>
    </row>
    <row r="81" s="148" customFormat="1" spans="1:18">
      <c r="A81" s="101" t="s">
        <v>28</v>
      </c>
      <c r="B81" s="101" t="s">
        <v>115</v>
      </c>
      <c r="C81" s="168" t="s">
        <v>1515</v>
      </c>
      <c r="D81" s="161" t="s">
        <v>1516</v>
      </c>
      <c r="E81" s="161" t="s">
        <v>1491</v>
      </c>
      <c r="F81" s="161" t="s">
        <v>114</v>
      </c>
      <c r="G81" s="163">
        <v>2071.0733</v>
      </c>
      <c r="H81" s="163">
        <f t="shared" si="3"/>
        <v>16.6035000000002</v>
      </c>
      <c r="I81" s="163">
        <v>1266</v>
      </c>
      <c r="J81" s="163">
        <v>12667.2772195688</v>
      </c>
      <c r="K81" s="163">
        <f t="shared" si="4"/>
        <v>1577954.28240569</v>
      </c>
      <c r="L81" s="163"/>
      <c r="M81" s="161" t="s">
        <v>1294</v>
      </c>
      <c r="N81" s="161" t="s">
        <v>1299</v>
      </c>
      <c r="O81" s="161" t="s">
        <v>25</v>
      </c>
      <c r="P81" s="49" t="s">
        <v>25</v>
      </c>
      <c r="Q81" s="166" t="s">
        <v>1517</v>
      </c>
      <c r="R81" s="167"/>
    </row>
    <row r="82" s="148" customFormat="1" spans="1:18">
      <c r="A82" s="101" t="s">
        <v>28</v>
      </c>
      <c r="B82" s="101" t="s">
        <v>115</v>
      </c>
      <c r="C82" s="168" t="s">
        <v>1518</v>
      </c>
      <c r="D82" s="161" t="s">
        <v>1519</v>
      </c>
      <c r="E82" s="161" t="s">
        <v>1491</v>
      </c>
      <c r="F82" s="161" t="s">
        <v>1520</v>
      </c>
      <c r="G82" s="163">
        <v>2091.0727</v>
      </c>
      <c r="H82" s="163">
        <f t="shared" si="3"/>
        <v>19.9994000000002</v>
      </c>
      <c r="I82" s="163">
        <v>1340</v>
      </c>
      <c r="J82" s="163">
        <v>14235.1900590663</v>
      </c>
      <c r="K82" s="163">
        <f t="shared" si="4"/>
        <v>1592189.47246475</v>
      </c>
      <c r="L82" s="163"/>
      <c r="M82" s="161" t="s">
        <v>1294</v>
      </c>
      <c r="N82" s="161" t="s">
        <v>1299</v>
      </c>
      <c r="O82" s="161" t="s">
        <v>25</v>
      </c>
      <c r="P82" s="49" t="s">
        <v>25</v>
      </c>
      <c r="Q82" s="166" t="s">
        <v>1521</v>
      </c>
      <c r="R82" s="167"/>
    </row>
    <row r="83" s="148" customFormat="1" spans="1:18">
      <c r="A83" s="101" t="s">
        <v>28</v>
      </c>
      <c r="B83" s="101" t="s">
        <v>115</v>
      </c>
      <c r="C83" s="168" t="s">
        <v>1522</v>
      </c>
      <c r="D83" s="161" t="s">
        <v>1523</v>
      </c>
      <c r="E83" s="161" t="s">
        <v>1491</v>
      </c>
      <c r="F83" s="161" t="s">
        <v>1520</v>
      </c>
      <c r="G83" s="163">
        <v>2111.965</v>
      </c>
      <c r="H83" s="163">
        <f t="shared" ref="H83:H97" si="5">G83-G82</f>
        <v>20.8923</v>
      </c>
      <c r="I83" s="163">
        <v>1337</v>
      </c>
      <c r="J83" s="163">
        <v>14825.8921055747</v>
      </c>
      <c r="K83" s="163">
        <f t="shared" si="4"/>
        <v>1607015.36457033</v>
      </c>
      <c r="L83" s="163"/>
      <c r="M83" s="161" t="s">
        <v>1294</v>
      </c>
      <c r="N83" s="161" t="s">
        <v>1299</v>
      </c>
      <c r="O83" s="161" t="s">
        <v>25</v>
      </c>
      <c r="P83" s="49" t="s">
        <v>25</v>
      </c>
      <c r="Q83" s="166" t="s">
        <v>1524</v>
      </c>
      <c r="R83" s="167"/>
    </row>
    <row r="84" s="148" customFormat="1" spans="1:18">
      <c r="A84" s="101" t="s">
        <v>28</v>
      </c>
      <c r="B84" s="101" t="s">
        <v>115</v>
      </c>
      <c r="C84" s="168" t="s">
        <v>1525</v>
      </c>
      <c r="D84" s="161" t="s">
        <v>1526</v>
      </c>
      <c r="E84" s="161" t="s">
        <v>1491</v>
      </c>
      <c r="F84" s="161" t="s">
        <v>1520</v>
      </c>
      <c r="G84" s="163">
        <v>2113.8639</v>
      </c>
      <c r="H84" s="163">
        <f t="shared" si="5"/>
        <v>1.89889999999968</v>
      </c>
      <c r="I84" s="163">
        <v>1342</v>
      </c>
      <c r="J84" s="163">
        <v>2144.0296502897</v>
      </c>
      <c r="K84" s="163">
        <f t="shared" si="4"/>
        <v>1609159.39422062</v>
      </c>
      <c r="L84" s="163"/>
      <c r="M84" s="161" t="s">
        <v>1294</v>
      </c>
      <c r="N84" s="161" t="s">
        <v>1299</v>
      </c>
      <c r="O84" s="161" t="s">
        <v>25</v>
      </c>
      <c r="P84" s="49" t="s">
        <v>25</v>
      </c>
      <c r="Q84" s="166" t="s">
        <v>1524</v>
      </c>
      <c r="R84" s="167"/>
    </row>
    <row r="85" s="148" customFormat="1" spans="1:18">
      <c r="A85" s="101" t="s">
        <v>28</v>
      </c>
      <c r="B85" s="101" t="s">
        <v>115</v>
      </c>
      <c r="C85" s="168" t="s">
        <v>1527</v>
      </c>
      <c r="D85" s="161" t="s">
        <v>1528</v>
      </c>
      <c r="E85" s="161" t="s">
        <v>1491</v>
      </c>
      <c r="F85" s="161" t="s">
        <v>1520</v>
      </c>
      <c r="G85" s="163">
        <v>2143.5286</v>
      </c>
      <c r="H85" s="163">
        <f t="shared" si="5"/>
        <v>29.6647000000003</v>
      </c>
      <c r="I85" s="163">
        <v>1339</v>
      </c>
      <c r="J85" s="163">
        <v>20258.8924098803</v>
      </c>
      <c r="K85" s="163">
        <f t="shared" si="4"/>
        <v>1629418.2866305</v>
      </c>
      <c r="L85" s="163"/>
      <c r="M85" s="161" t="s">
        <v>1294</v>
      </c>
      <c r="N85" s="161" t="s">
        <v>1299</v>
      </c>
      <c r="O85" s="161" t="s">
        <v>25</v>
      </c>
      <c r="P85" s="49" t="s">
        <v>25</v>
      </c>
      <c r="Q85" s="166" t="s">
        <v>1529</v>
      </c>
      <c r="R85" s="167"/>
    </row>
    <row r="86" s="148" customFormat="1" spans="1:18">
      <c r="A86" s="101" t="s">
        <v>28</v>
      </c>
      <c r="B86" s="101" t="s">
        <v>115</v>
      </c>
      <c r="C86" s="168" t="s">
        <v>1530</v>
      </c>
      <c r="D86" s="161" t="s">
        <v>1531</v>
      </c>
      <c r="E86" s="161" t="s">
        <v>1491</v>
      </c>
      <c r="F86" s="161" t="s">
        <v>1520</v>
      </c>
      <c r="G86" s="163">
        <v>2175.7044</v>
      </c>
      <c r="H86" s="163">
        <f t="shared" si="5"/>
        <v>32.1758</v>
      </c>
      <c r="I86" s="163">
        <v>1555</v>
      </c>
      <c r="J86" s="163">
        <v>23803.6772328722</v>
      </c>
      <c r="K86" s="163">
        <f t="shared" si="4"/>
        <v>1653221.96386337</v>
      </c>
      <c r="L86" s="163"/>
      <c r="M86" s="161" t="s">
        <v>1294</v>
      </c>
      <c r="N86" s="161" t="s">
        <v>1299</v>
      </c>
      <c r="O86" s="161" t="s">
        <v>25</v>
      </c>
      <c r="P86" s="49" t="s">
        <v>25</v>
      </c>
      <c r="Q86" s="166" t="s">
        <v>1532</v>
      </c>
      <c r="R86" s="167"/>
    </row>
    <row r="87" s="148" customFormat="1" spans="1:18">
      <c r="A87" s="101" t="s">
        <v>28</v>
      </c>
      <c r="B87" s="101" t="s">
        <v>115</v>
      </c>
      <c r="C87" s="168" t="s">
        <v>1533</v>
      </c>
      <c r="D87" s="161" t="s">
        <v>1534</v>
      </c>
      <c r="E87" s="161" t="s">
        <v>1491</v>
      </c>
      <c r="F87" s="161" t="s">
        <v>1520</v>
      </c>
      <c r="G87" s="163">
        <v>2190.506</v>
      </c>
      <c r="H87" s="163">
        <f t="shared" si="5"/>
        <v>14.8015999999998</v>
      </c>
      <c r="I87" s="163">
        <v>1536</v>
      </c>
      <c r="J87" s="163">
        <v>11232.3601942616</v>
      </c>
      <c r="K87" s="163">
        <f t="shared" si="4"/>
        <v>1664454.32405763</v>
      </c>
      <c r="L87" s="163"/>
      <c r="M87" s="161" t="s">
        <v>1294</v>
      </c>
      <c r="N87" s="161" t="s">
        <v>1295</v>
      </c>
      <c r="O87" s="161" t="s">
        <v>6</v>
      </c>
      <c r="P87" s="49" t="s">
        <v>6</v>
      </c>
      <c r="Q87" s="166" t="s">
        <v>1535</v>
      </c>
      <c r="R87" s="167"/>
    </row>
    <row r="88" s="148" customFormat="1" spans="1:18">
      <c r="A88" s="101" t="s">
        <v>28</v>
      </c>
      <c r="B88" s="101" t="s">
        <v>115</v>
      </c>
      <c r="C88" s="168" t="s">
        <v>1536</v>
      </c>
      <c r="D88" s="161" t="s">
        <v>1537</v>
      </c>
      <c r="E88" s="161" t="s">
        <v>1491</v>
      </c>
      <c r="F88" s="161" t="s">
        <v>1538</v>
      </c>
      <c r="G88" s="163">
        <v>2219.906</v>
      </c>
      <c r="H88" s="163">
        <f t="shared" si="5"/>
        <v>29.4000000000001</v>
      </c>
      <c r="I88" s="163">
        <v>1416</v>
      </c>
      <c r="J88" s="163">
        <v>22366.8828794269</v>
      </c>
      <c r="K88" s="163">
        <f t="shared" si="4"/>
        <v>1686821.20693706</v>
      </c>
      <c r="L88" s="163"/>
      <c r="M88" s="161" t="s">
        <v>1294</v>
      </c>
      <c r="N88" s="161" t="s">
        <v>1299</v>
      </c>
      <c r="O88" s="161" t="s">
        <v>25</v>
      </c>
      <c r="P88" s="49" t="s">
        <v>25</v>
      </c>
      <c r="Q88" s="166" t="s">
        <v>1539</v>
      </c>
      <c r="R88" s="167"/>
    </row>
    <row r="89" s="148" customFormat="1" spans="1:18">
      <c r="A89" s="101" t="s">
        <v>28</v>
      </c>
      <c r="B89" s="101" t="s">
        <v>115</v>
      </c>
      <c r="C89" s="168" t="s">
        <v>1540</v>
      </c>
      <c r="D89" s="161" t="s">
        <v>1541</v>
      </c>
      <c r="E89" s="161" t="s">
        <v>1491</v>
      </c>
      <c r="F89" s="161" t="s">
        <v>1538</v>
      </c>
      <c r="G89" s="163">
        <v>2244.0381</v>
      </c>
      <c r="H89" s="163">
        <f t="shared" si="5"/>
        <v>24.1321000000003</v>
      </c>
      <c r="I89" s="163">
        <v>1418</v>
      </c>
      <c r="J89" s="163">
        <v>18133.2662063364</v>
      </c>
      <c r="K89" s="163">
        <f t="shared" si="4"/>
        <v>1704954.4731434</v>
      </c>
      <c r="L89" s="163"/>
      <c r="M89" s="161" t="s">
        <v>1294</v>
      </c>
      <c r="N89" s="161" t="s">
        <v>1299</v>
      </c>
      <c r="O89" s="161" t="s">
        <v>25</v>
      </c>
      <c r="P89" s="49" t="s">
        <v>25</v>
      </c>
      <c r="Q89" s="166" t="s">
        <v>1542</v>
      </c>
      <c r="R89" s="167"/>
    </row>
    <row r="90" s="148" customFormat="1" spans="1:18">
      <c r="A90" s="101" t="s">
        <v>28</v>
      </c>
      <c r="B90" s="101" t="s">
        <v>115</v>
      </c>
      <c r="C90" s="168" t="s">
        <v>1543</v>
      </c>
      <c r="D90" s="161" t="s">
        <v>1544</v>
      </c>
      <c r="E90" s="161" t="s">
        <v>1491</v>
      </c>
      <c r="F90" s="161" t="s">
        <v>1538</v>
      </c>
      <c r="G90" s="163">
        <v>2273.1779</v>
      </c>
      <c r="H90" s="163">
        <f t="shared" si="5"/>
        <v>29.1397999999999</v>
      </c>
      <c r="I90" s="163">
        <v>1409</v>
      </c>
      <c r="J90" s="163">
        <v>21919.5230266179</v>
      </c>
      <c r="K90" s="163">
        <f t="shared" si="4"/>
        <v>1726873.99617001</v>
      </c>
      <c r="L90" s="163"/>
      <c r="M90" s="161" t="s">
        <v>1294</v>
      </c>
      <c r="N90" s="161" t="s">
        <v>1299</v>
      </c>
      <c r="O90" s="161" t="s">
        <v>25</v>
      </c>
      <c r="P90" s="49" t="s">
        <v>25</v>
      </c>
      <c r="Q90" s="166" t="s">
        <v>1545</v>
      </c>
      <c r="R90" s="167"/>
    </row>
    <row r="91" s="148" customFormat="1" spans="1:18">
      <c r="A91" s="101" t="s">
        <v>28</v>
      </c>
      <c r="B91" s="101" t="s">
        <v>115</v>
      </c>
      <c r="C91" s="168" t="s">
        <v>1546</v>
      </c>
      <c r="D91" s="161" t="s">
        <v>1547</v>
      </c>
      <c r="E91" s="161" t="s">
        <v>1491</v>
      </c>
      <c r="F91" s="161" t="s">
        <v>1538</v>
      </c>
      <c r="G91" s="163">
        <v>2298.2235</v>
      </c>
      <c r="H91" s="163">
        <f t="shared" si="5"/>
        <v>25.0455999999999</v>
      </c>
      <c r="I91" s="163">
        <v>1419</v>
      </c>
      <c r="J91" s="163">
        <v>18899.9025677946</v>
      </c>
      <c r="K91" s="163">
        <f t="shared" si="4"/>
        <v>1745773.89873781</v>
      </c>
      <c r="L91" s="163"/>
      <c r="M91" s="161" t="s">
        <v>1294</v>
      </c>
      <c r="N91" s="161" t="s">
        <v>1299</v>
      </c>
      <c r="O91" s="161" t="s">
        <v>25</v>
      </c>
      <c r="P91" s="49" t="s">
        <v>25</v>
      </c>
      <c r="Q91" s="166" t="s">
        <v>1548</v>
      </c>
      <c r="R91" s="167"/>
    </row>
    <row r="92" s="148" customFormat="1" spans="1:18">
      <c r="A92" s="101" t="s">
        <v>28</v>
      </c>
      <c r="B92" s="101" t="s">
        <v>115</v>
      </c>
      <c r="C92" s="168" t="s">
        <v>1549</v>
      </c>
      <c r="D92" s="161" t="s">
        <v>1550</v>
      </c>
      <c r="E92" s="161" t="s">
        <v>1491</v>
      </c>
      <c r="F92" s="161" t="s">
        <v>1538</v>
      </c>
      <c r="G92" s="163">
        <v>2318.586</v>
      </c>
      <c r="H92" s="163">
        <f t="shared" si="5"/>
        <v>20.3624999999997</v>
      </c>
      <c r="I92" s="163">
        <v>1350</v>
      </c>
      <c r="J92" s="163">
        <v>15324.0024980197</v>
      </c>
      <c r="K92" s="163">
        <f t="shared" si="4"/>
        <v>1761097.90123583</v>
      </c>
      <c r="L92" s="163"/>
      <c r="M92" s="161" t="s">
        <v>1294</v>
      </c>
      <c r="N92" s="161" t="s">
        <v>1299</v>
      </c>
      <c r="O92" s="161" t="s">
        <v>25</v>
      </c>
      <c r="P92" s="49" t="s">
        <v>25</v>
      </c>
      <c r="Q92" s="166" t="s">
        <v>1551</v>
      </c>
      <c r="R92" s="167"/>
    </row>
    <row r="93" s="148" customFormat="1" ht="60" spans="1:18">
      <c r="A93" s="101" t="s">
        <v>28</v>
      </c>
      <c r="B93" s="101" t="s">
        <v>115</v>
      </c>
      <c r="C93" s="168" t="s">
        <v>244</v>
      </c>
      <c r="D93" s="161" t="s">
        <v>1552</v>
      </c>
      <c r="E93" s="161" t="s">
        <v>1491</v>
      </c>
      <c r="F93" s="161" t="s">
        <v>1538</v>
      </c>
      <c r="G93" s="163">
        <v>2343.806</v>
      </c>
      <c r="H93" s="163">
        <f t="shared" si="5"/>
        <v>25.2200000000003</v>
      </c>
      <c r="I93" s="163">
        <v>1327</v>
      </c>
      <c r="J93" s="163">
        <v>18992.5589254649</v>
      </c>
      <c r="K93" s="163">
        <f t="shared" si="4"/>
        <v>1780090.46016129</v>
      </c>
      <c r="L93" s="163" t="s">
        <v>1553</v>
      </c>
      <c r="M93" s="161" t="s">
        <v>1294</v>
      </c>
      <c r="N93" s="161" t="s">
        <v>1295</v>
      </c>
      <c r="O93" s="161" t="s">
        <v>6</v>
      </c>
      <c r="P93" s="49" t="s">
        <v>6</v>
      </c>
      <c r="Q93" s="166" t="s">
        <v>1554</v>
      </c>
      <c r="R93" s="167"/>
    </row>
    <row r="94" s="148" customFormat="1" spans="1:18">
      <c r="A94" s="101" t="s">
        <v>28</v>
      </c>
      <c r="B94" s="101" t="s">
        <v>115</v>
      </c>
      <c r="C94" s="168" t="s">
        <v>1555</v>
      </c>
      <c r="D94" s="161" t="s">
        <v>1556</v>
      </c>
      <c r="E94" s="161" t="s">
        <v>1491</v>
      </c>
      <c r="F94" s="161" t="s">
        <v>1538</v>
      </c>
      <c r="G94" s="163">
        <v>2349.6473</v>
      </c>
      <c r="H94" s="163">
        <f t="shared" si="5"/>
        <v>5.84130000000005</v>
      </c>
      <c r="I94" s="163">
        <v>1331</v>
      </c>
      <c r="J94" s="163">
        <v>4464.1500726037</v>
      </c>
      <c r="K94" s="163">
        <f t="shared" si="4"/>
        <v>1784554.6102339</v>
      </c>
      <c r="L94" s="163"/>
      <c r="M94" s="161" t="s">
        <v>1294</v>
      </c>
      <c r="N94" s="161" t="s">
        <v>1299</v>
      </c>
      <c r="O94" s="161" t="s">
        <v>25</v>
      </c>
      <c r="P94" s="49" t="s">
        <v>25</v>
      </c>
      <c r="Q94" s="166" t="s">
        <v>1557</v>
      </c>
      <c r="R94" s="167"/>
    </row>
    <row r="95" s="148" customFormat="1" spans="1:18">
      <c r="A95" s="101" t="s">
        <v>28</v>
      </c>
      <c r="B95" s="101" t="s">
        <v>115</v>
      </c>
      <c r="C95" s="168" t="s">
        <v>1558</v>
      </c>
      <c r="D95" s="161" t="s">
        <v>1559</v>
      </c>
      <c r="E95" s="161" t="s">
        <v>1491</v>
      </c>
      <c r="F95" s="161" t="s">
        <v>1538</v>
      </c>
      <c r="G95" s="163">
        <v>2373.0528</v>
      </c>
      <c r="H95" s="163">
        <f t="shared" si="5"/>
        <v>23.4054999999998</v>
      </c>
      <c r="I95" s="163">
        <v>1519</v>
      </c>
      <c r="J95" s="163">
        <v>17870.2981711916</v>
      </c>
      <c r="K95" s="163">
        <f t="shared" si="4"/>
        <v>1802424.90840509</v>
      </c>
      <c r="L95" s="163"/>
      <c r="M95" s="161" t="s">
        <v>1294</v>
      </c>
      <c r="N95" s="161" t="s">
        <v>1299</v>
      </c>
      <c r="O95" s="161" t="s">
        <v>25</v>
      </c>
      <c r="P95" s="49" t="s">
        <v>25</v>
      </c>
      <c r="Q95" s="166" t="s">
        <v>1560</v>
      </c>
      <c r="R95" s="167"/>
    </row>
    <row r="96" s="148" customFormat="1" spans="1:18">
      <c r="A96" s="101" t="s">
        <v>28</v>
      </c>
      <c r="B96" s="101" t="s">
        <v>115</v>
      </c>
      <c r="C96" s="168" t="s">
        <v>1561</v>
      </c>
      <c r="D96" s="161" t="s">
        <v>1562</v>
      </c>
      <c r="E96" s="161" t="s">
        <v>1491</v>
      </c>
      <c r="F96" s="161" t="s">
        <v>1538</v>
      </c>
      <c r="G96" s="163">
        <v>2402.869</v>
      </c>
      <c r="H96" s="163">
        <f t="shared" si="5"/>
        <v>29.8162000000002</v>
      </c>
      <c r="I96" s="163">
        <v>1171</v>
      </c>
      <c r="J96" s="163">
        <v>22772.689018794</v>
      </c>
      <c r="K96" s="163">
        <f t="shared" si="4"/>
        <v>1825197.59742388</v>
      </c>
      <c r="L96" s="163"/>
      <c r="M96" s="161" t="s">
        <v>1294</v>
      </c>
      <c r="N96" s="161" t="s">
        <v>1299</v>
      </c>
      <c r="O96" s="161" t="s">
        <v>25</v>
      </c>
      <c r="P96" s="49" t="s">
        <v>25</v>
      </c>
      <c r="Q96" s="166" t="s">
        <v>1563</v>
      </c>
      <c r="R96" s="167"/>
    </row>
    <row r="97" s="148" customFormat="1" spans="1:18">
      <c r="A97" s="101" t="s">
        <v>28</v>
      </c>
      <c r="B97" s="101" t="s">
        <v>115</v>
      </c>
      <c r="C97" s="168" t="s">
        <v>1564</v>
      </c>
      <c r="D97" s="161" t="s">
        <v>1565</v>
      </c>
      <c r="E97" s="161" t="s">
        <v>1491</v>
      </c>
      <c r="F97" s="161" t="s">
        <v>1566</v>
      </c>
      <c r="G97" s="163">
        <v>2430.8451</v>
      </c>
      <c r="H97" s="163">
        <f t="shared" si="5"/>
        <v>27.9760999999999</v>
      </c>
      <c r="I97" s="163">
        <v>1205</v>
      </c>
      <c r="J97" s="163">
        <v>21391.3402379613</v>
      </c>
      <c r="K97" s="163">
        <f t="shared" si="4"/>
        <v>1846588.93766184</v>
      </c>
      <c r="L97" s="163"/>
      <c r="M97" s="161" t="s">
        <v>1294</v>
      </c>
      <c r="N97" s="161" t="s">
        <v>1299</v>
      </c>
      <c r="O97" s="161" t="s">
        <v>25</v>
      </c>
      <c r="P97" s="49" t="s">
        <v>25</v>
      </c>
      <c r="Q97" s="166" t="s">
        <v>1567</v>
      </c>
      <c r="R97" s="167"/>
    </row>
    <row r="98" s="148" customFormat="1" spans="1:18">
      <c r="A98" s="101" t="s">
        <v>28</v>
      </c>
      <c r="B98" s="101" t="s">
        <v>115</v>
      </c>
      <c r="C98" s="168" t="s">
        <v>1568</v>
      </c>
      <c r="D98" s="161" t="s">
        <v>1569</v>
      </c>
      <c r="E98" s="161" t="s">
        <v>1491</v>
      </c>
      <c r="F98" s="161" t="s">
        <v>1566</v>
      </c>
      <c r="G98" s="163">
        <v>2454.488</v>
      </c>
      <c r="H98" s="163"/>
      <c r="I98" s="163"/>
      <c r="J98" s="163"/>
      <c r="K98" s="163"/>
      <c r="L98" s="163"/>
      <c r="M98" s="161" t="s">
        <v>1294</v>
      </c>
      <c r="N98" s="161" t="s">
        <v>1299</v>
      </c>
      <c r="O98" s="161" t="s">
        <v>25</v>
      </c>
      <c r="P98" s="49" t="s">
        <v>25</v>
      </c>
      <c r="Q98" s="166" t="s">
        <v>1570</v>
      </c>
      <c r="R98" s="167"/>
    </row>
    <row r="99" s="148" customFormat="1" spans="1:18">
      <c r="A99" s="101" t="s">
        <v>28</v>
      </c>
      <c r="B99" s="101" t="s">
        <v>115</v>
      </c>
      <c r="C99" s="168" t="s">
        <v>1571</v>
      </c>
      <c r="D99" s="161" t="s">
        <v>1571</v>
      </c>
      <c r="E99" s="161" t="s">
        <v>1491</v>
      </c>
      <c r="F99" s="161" t="s">
        <v>1566</v>
      </c>
      <c r="G99" s="163">
        <v>2454.488</v>
      </c>
      <c r="H99" s="163">
        <f>G99-G97</f>
        <v>23.6428999999998</v>
      </c>
      <c r="I99" s="163">
        <v>1063</v>
      </c>
      <c r="J99" s="163">
        <v>18037.9355436833</v>
      </c>
      <c r="K99" s="163">
        <f>K97+J99</f>
        <v>1864626.87320553</v>
      </c>
      <c r="L99" s="163" t="s">
        <v>1572</v>
      </c>
      <c r="M99" s="161" t="s">
        <v>1294</v>
      </c>
      <c r="N99" s="161" t="s">
        <v>1331</v>
      </c>
      <c r="O99" s="161" t="s">
        <v>14</v>
      </c>
      <c r="P99" s="49" t="s">
        <v>14</v>
      </c>
      <c r="Q99" s="166" t="s">
        <v>1570</v>
      </c>
      <c r="R99" s="167"/>
    </row>
    <row r="100" s="148" customFormat="1" spans="1:18">
      <c r="A100" s="101" t="s">
        <v>28</v>
      </c>
      <c r="B100" s="101" t="s">
        <v>115</v>
      </c>
      <c r="C100" s="168" t="s">
        <v>1573</v>
      </c>
      <c r="D100" s="161" t="s">
        <v>1574</v>
      </c>
      <c r="E100" s="161" t="s">
        <v>1491</v>
      </c>
      <c r="F100" s="161" t="s">
        <v>1566</v>
      </c>
      <c r="G100" s="163">
        <v>2478.2994</v>
      </c>
      <c r="H100" s="163">
        <f>G100-G99</f>
        <v>23.8114</v>
      </c>
      <c r="I100" s="163">
        <v>971</v>
      </c>
      <c r="J100" s="163">
        <v>18114.65183493</v>
      </c>
      <c r="K100" s="163">
        <f>K99+J100</f>
        <v>1882741.52504046</v>
      </c>
      <c r="L100" s="163"/>
      <c r="M100" s="161" t="s">
        <v>1294</v>
      </c>
      <c r="N100" s="161" t="s">
        <v>1299</v>
      </c>
      <c r="O100" s="161" t="s">
        <v>25</v>
      </c>
      <c r="P100" s="49" t="s">
        <v>25</v>
      </c>
      <c r="Q100" s="166" t="s">
        <v>1575</v>
      </c>
      <c r="R100" s="167"/>
    </row>
    <row r="101" s="148" customFormat="1" spans="1:18">
      <c r="A101" s="101" t="s">
        <v>28</v>
      </c>
      <c r="B101" s="101" t="s">
        <v>115</v>
      </c>
      <c r="C101" s="168" t="s">
        <v>1576</v>
      </c>
      <c r="D101" s="161" t="s">
        <v>1576</v>
      </c>
      <c r="E101" s="161" t="s">
        <v>1491</v>
      </c>
      <c r="F101" s="161" t="s">
        <v>1566</v>
      </c>
      <c r="G101" s="163">
        <v>2494.007</v>
      </c>
      <c r="H101" s="163">
        <f>G101-G100</f>
        <v>15.7076000000002</v>
      </c>
      <c r="I101" s="163">
        <v>896</v>
      </c>
      <c r="J101" s="163">
        <v>11944.0481499792</v>
      </c>
      <c r="K101" s="163">
        <f>K100+J101</f>
        <v>1894685.57319044</v>
      </c>
      <c r="L101" s="163"/>
      <c r="M101" s="161" t="s">
        <v>1294</v>
      </c>
      <c r="N101" s="161" t="s">
        <v>1331</v>
      </c>
      <c r="O101" s="161" t="s">
        <v>6</v>
      </c>
      <c r="P101" s="49" t="s">
        <v>6</v>
      </c>
      <c r="Q101" s="166" t="s">
        <v>1577</v>
      </c>
      <c r="R101" s="167"/>
    </row>
    <row r="102" s="148" customFormat="1" spans="1:18">
      <c r="A102" s="101" t="s">
        <v>28</v>
      </c>
      <c r="B102" s="101" t="s">
        <v>115</v>
      </c>
      <c r="C102" s="168" t="s">
        <v>1578</v>
      </c>
      <c r="D102" s="161" t="s">
        <v>1579</v>
      </c>
      <c r="E102" s="161" t="s">
        <v>1491</v>
      </c>
      <c r="F102" s="161" t="s">
        <v>1566</v>
      </c>
      <c r="G102" s="163">
        <v>2513.3548</v>
      </c>
      <c r="H102" s="163">
        <f>G102-G101</f>
        <v>19.3478</v>
      </c>
      <c r="I102" s="163">
        <v>798</v>
      </c>
      <c r="J102" s="163">
        <v>14869.588976955</v>
      </c>
      <c r="K102" s="163">
        <f>K101+J102</f>
        <v>1909555.16216739</v>
      </c>
      <c r="L102" s="163"/>
      <c r="M102" s="161" t="s">
        <v>1294</v>
      </c>
      <c r="N102" s="161" t="s">
        <v>1299</v>
      </c>
      <c r="O102" s="161" t="s">
        <v>25</v>
      </c>
      <c r="P102" s="49" t="s">
        <v>25</v>
      </c>
      <c r="Q102" s="166" t="s">
        <v>1580</v>
      </c>
      <c r="R102" s="167"/>
    </row>
    <row r="103" s="148" customFormat="1" spans="1:18">
      <c r="A103" s="101" t="s">
        <v>28</v>
      </c>
      <c r="B103" s="101" t="s">
        <v>115</v>
      </c>
      <c r="C103" s="168" t="s">
        <v>1581</v>
      </c>
      <c r="D103" s="161" t="s">
        <v>1581</v>
      </c>
      <c r="E103" s="161" t="s">
        <v>1491</v>
      </c>
      <c r="F103" s="161" t="s">
        <v>1566</v>
      </c>
      <c r="G103" s="163">
        <v>2513.3548</v>
      </c>
      <c r="H103" s="163">
        <f>G103-G102</f>
        <v>0</v>
      </c>
      <c r="I103" s="163" t="s">
        <v>147</v>
      </c>
      <c r="J103" s="163" t="s">
        <v>147</v>
      </c>
      <c r="K103" s="163" t="s">
        <v>147</v>
      </c>
      <c r="L103" s="163" t="s">
        <v>1582</v>
      </c>
      <c r="M103" s="161" t="s">
        <v>1294</v>
      </c>
      <c r="N103" s="161"/>
      <c r="O103" s="161"/>
      <c r="P103" s="49" t="s">
        <v>14</v>
      </c>
      <c r="Q103" s="166"/>
      <c r="R103" s="167"/>
    </row>
    <row r="104" s="148" customFormat="1" spans="1:18">
      <c r="A104" s="101" t="s">
        <v>28</v>
      </c>
      <c r="B104" s="101" t="s">
        <v>115</v>
      </c>
      <c r="C104" s="168" t="s">
        <v>1583</v>
      </c>
      <c r="D104" s="161" t="s">
        <v>1584</v>
      </c>
      <c r="E104" s="161" t="s">
        <v>1491</v>
      </c>
      <c r="F104" s="161" t="s">
        <v>1566</v>
      </c>
      <c r="G104" s="163">
        <v>2540.2008</v>
      </c>
      <c r="H104" s="163">
        <f>G104-G103</f>
        <v>26.846</v>
      </c>
      <c r="I104" s="163">
        <v>916</v>
      </c>
      <c r="J104" s="163">
        <v>20635.96466466</v>
      </c>
      <c r="K104" s="163">
        <f>K102+J104</f>
        <v>1930191.12683205</v>
      </c>
      <c r="L104" s="163"/>
      <c r="M104" s="161" t="s">
        <v>1294</v>
      </c>
      <c r="N104" s="161" t="s">
        <v>1299</v>
      </c>
      <c r="O104" s="161" t="s">
        <v>25</v>
      </c>
      <c r="P104" s="49" t="s">
        <v>25</v>
      </c>
      <c r="Q104" s="166" t="s">
        <v>1585</v>
      </c>
      <c r="R104" s="167"/>
    </row>
    <row r="105" s="148" customFormat="1" spans="1:18">
      <c r="A105" s="101" t="s">
        <v>28</v>
      </c>
      <c r="B105" s="101" t="s">
        <v>115</v>
      </c>
      <c r="C105" s="168" t="s">
        <v>1586</v>
      </c>
      <c r="D105" s="161" t="s">
        <v>1587</v>
      </c>
      <c r="E105" s="161" t="s">
        <v>1491</v>
      </c>
      <c r="F105" s="161" t="s">
        <v>1588</v>
      </c>
      <c r="G105" s="163">
        <v>2549.907</v>
      </c>
      <c r="H105" s="163">
        <f t="shared" ref="H105:H138" si="6">G105-G104</f>
        <v>9.70620000000008</v>
      </c>
      <c r="I105" s="163">
        <v>747</v>
      </c>
      <c r="J105" s="163">
        <v>7338</v>
      </c>
      <c r="K105" s="163">
        <f t="shared" ref="K105:K139" si="7">K104+J105</f>
        <v>1937529.12683205</v>
      </c>
      <c r="L105" s="163"/>
      <c r="M105" s="161" t="s">
        <v>1294</v>
      </c>
      <c r="N105" s="161" t="s">
        <v>1299</v>
      </c>
      <c r="O105" s="161" t="s">
        <v>25</v>
      </c>
      <c r="P105" s="49" t="s">
        <v>25</v>
      </c>
      <c r="Q105" s="166" t="s">
        <v>1589</v>
      </c>
      <c r="R105" s="167"/>
    </row>
    <row r="106" s="148" customFormat="1" spans="1:18">
      <c r="A106" s="101" t="s">
        <v>28</v>
      </c>
      <c r="B106" s="101" t="s">
        <v>115</v>
      </c>
      <c r="C106" s="168" t="s">
        <v>1590</v>
      </c>
      <c r="D106" s="161" t="s">
        <v>1591</v>
      </c>
      <c r="E106" s="161" t="s">
        <v>1491</v>
      </c>
      <c r="F106" s="161" t="s">
        <v>1588</v>
      </c>
      <c r="G106" s="163">
        <v>2572.107</v>
      </c>
      <c r="H106" s="163">
        <f t="shared" si="6"/>
        <v>22.1999999999998</v>
      </c>
      <c r="I106" s="163">
        <v>930</v>
      </c>
      <c r="J106" s="163">
        <v>16532</v>
      </c>
      <c r="K106" s="163">
        <f t="shared" si="7"/>
        <v>1954061.12683205</v>
      </c>
      <c r="L106" s="163"/>
      <c r="M106" s="161" t="s">
        <v>1294</v>
      </c>
      <c r="N106" s="161" t="s">
        <v>1299</v>
      </c>
      <c r="O106" s="161" t="s">
        <v>25</v>
      </c>
      <c r="P106" s="49" t="s">
        <v>25</v>
      </c>
      <c r="Q106" s="166" t="s">
        <v>1592</v>
      </c>
      <c r="R106" s="167"/>
    </row>
    <row r="107" s="148" customFormat="1" spans="1:18">
      <c r="A107" s="101" t="s">
        <v>28</v>
      </c>
      <c r="B107" s="101" t="s">
        <v>115</v>
      </c>
      <c r="C107" s="168" t="s">
        <v>1593</v>
      </c>
      <c r="D107" s="161" t="s">
        <v>1594</v>
      </c>
      <c r="E107" s="161" t="s">
        <v>1491</v>
      </c>
      <c r="F107" s="161" t="s">
        <v>1588</v>
      </c>
      <c r="G107" s="163">
        <v>2592.4311</v>
      </c>
      <c r="H107" s="163">
        <f t="shared" si="6"/>
        <v>20.3240999999998</v>
      </c>
      <c r="I107" s="163">
        <v>1162</v>
      </c>
      <c r="J107" s="163">
        <v>14447</v>
      </c>
      <c r="K107" s="163">
        <f t="shared" si="7"/>
        <v>1968508.12683205</v>
      </c>
      <c r="L107" s="163"/>
      <c r="M107" s="161" t="s">
        <v>1294</v>
      </c>
      <c r="N107" s="161" t="s">
        <v>1299</v>
      </c>
      <c r="O107" s="161" t="s">
        <v>25</v>
      </c>
      <c r="P107" s="49" t="s">
        <v>25</v>
      </c>
      <c r="Q107" s="166" t="s">
        <v>1595</v>
      </c>
      <c r="R107" s="167"/>
    </row>
    <row r="108" s="148" customFormat="1" spans="1:18">
      <c r="A108" s="101" t="s">
        <v>28</v>
      </c>
      <c r="B108" s="101" t="s">
        <v>115</v>
      </c>
      <c r="C108" s="168" t="s">
        <v>1596</v>
      </c>
      <c r="D108" s="161" t="s">
        <v>1597</v>
      </c>
      <c r="E108" s="161" t="s">
        <v>1491</v>
      </c>
      <c r="F108" s="161" t="s">
        <v>1588</v>
      </c>
      <c r="G108" s="163">
        <v>2612.2766</v>
      </c>
      <c r="H108" s="163">
        <f t="shared" si="6"/>
        <v>19.8455000000004</v>
      </c>
      <c r="I108" s="163">
        <v>1029</v>
      </c>
      <c r="J108" s="163">
        <v>15411</v>
      </c>
      <c r="K108" s="163">
        <f t="shared" si="7"/>
        <v>1983919.12683205</v>
      </c>
      <c r="L108" s="163"/>
      <c r="M108" s="161" t="s">
        <v>1294</v>
      </c>
      <c r="N108" s="161" t="s">
        <v>1299</v>
      </c>
      <c r="O108" s="161" t="s">
        <v>25</v>
      </c>
      <c r="P108" s="49" t="s">
        <v>25</v>
      </c>
      <c r="Q108" s="166" t="s">
        <v>1598</v>
      </c>
      <c r="R108" s="167"/>
    </row>
    <row r="109" s="148" customFormat="1" spans="1:18">
      <c r="A109" s="101" t="s">
        <v>28</v>
      </c>
      <c r="B109" s="101" t="s">
        <v>115</v>
      </c>
      <c r="C109" s="168" t="s">
        <v>1599</v>
      </c>
      <c r="D109" s="161" t="s">
        <v>1599</v>
      </c>
      <c r="E109" s="161" t="s">
        <v>1491</v>
      </c>
      <c r="F109" s="161" t="s">
        <v>1588</v>
      </c>
      <c r="G109" s="163">
        <v>2635.207</v>
      </c>
      <c r="H109" s="163">
        <f t="shared" si="6"/>
        <v>22.9303999999997</v>
      </c>
      <c r="I109" s="163">
        <v>907</v>
      </c>
      <c r="J109" s="163">
        <v>17724</v>
      </c>
      <c r="K109" s="163">
        <f t="shared" si="7"/>
        <v>2001643.12683205</v>
      </c>
      <c r="L109" s="163"/>
      <c r="M109" s="161" t="s">
        <v>1294</v>
      </c>
      <c r="N109" s="161" t="s">
        <v>1331</v>
      </c>
      <c r="O109" s="161" t="s">
        <v>6</v>
      </c>
      <c r="P109" s="49" t="s">
        <v>6</v>
      </c>
      <c r="Q109" s="166" t="s">
        <v>1600</v>
      </c>
      <c r="R109" s="167"/>
    </row>
    <row r="110" s="148" customFormat="1" spans="1:18">
      <c r="A110" s="101" t="s">
        <v>28</v>
      </c>
      <c r="B110" s="101" t="s">
        <v>115</v>
      </c>
      <c r="C110" s="168" t="s">
        <v>1601</v>
      </c>
      <c r="D110" s="161" t="s">
        <v>1602</v>
      </c>
      <c r="E110" s="161" t="s">
        <v>1491</v>
      </c>
      <c r="F110" s="161" t="s">
        <v>1588</v>
      </c>
      <c r="G110" s="163">
        <v>2657.8794</v>
      </c>
      <c r="H110" s="163">
        <f t="shared" si="6"/>
        <v>22.6723999999999</v>
      </c>
      <c r="I110" s="163">
        <v>1080</v>
      </c>
      <c r="J110" s="163">
        <v>15940</v>
      </c>
      <c r="K110" s="163">
        <f t="shared" si="7"/>
        <v>2017583.12683205</v>
      </c>
      <c r="L110" s="163"/>
      <c r="M110" s="161" t="s">
        <v>1294</v>
      </c>
      <c r="N110" s="161" t="s">
        <v>1299</v>
      </c>
      <c r="O110" s="161" t="s">
        <v>25</v>
      </c>
      <c r="P110" s="49" t="s">
        <v>25</v>
      </c>
      <c r="Q110" s="166" t="s">
        <v>1603</v>
      </c>
      <c r="R110" s="167"/>
    </row>
    <row r="111" s="148" customFormat="1" spans="1:18">
      <c r="A111" s="101" t="s">
        <v>28</v>
      </c>
      <c r="B111" s="101" t="s">
        <v>115</v>
      </c>
      <c r="C111" s="168" t="s">
        <v>1604</v>
      </c>
      <c r="D111" s="161" t="s">
        <v>1605</v>
      </c>
      <c r="E111" s="161" t="s">
        <v>1491</v>
      </c>
      <c r="F111" s="161" t="s">
        <v>1588</v>
      </c>
      <c r="G111" s="163">
        <v>2687.5686</v>
      </c>
      <c r="H111" s="163">
        <f t="shared" si="6"/>
        <v>29.6892000000003</v>
      </c>
      <c r="I111" s="163">
        <v>611</v>
      </c>
      <c r="J111" s="163">
        <v>23872</v>
      </c>
      <c r="K111" s="163">
        <f t="shared" si="7"/>
        <v>2041455.12683205</v>
      </c>
      <c r="L111" s="163"/>
      <c r="M111" s="161" t="s">
        <v>1294</v>
      </c>
      <c r="N111" s="161" t="s">
        <v>1299</v>
      </c>
      <c r="O111" s="161" t="s">
        <v>25</v>
      </c>
      <c r="P111" s="49" t="s">
        <v>25</v>
      </c>
      <c r="Q111" s="166" t="s">
        <v>1606</v>
      </c>
      <c r="R111" s="167"/>
    </row>
    <row r="112" s="148" customFormat="1" spans="1:18">
      <c r="A112" s="101" t="s">
        <v>28</v>
      </c>
      <c r="B112" s="101" t="s">
        <v>115</v>
      </c>
      <c r="C112" s="168" t="s">
        <v>1607</v>
      </c>
      <c r="D112" s="161" t="s">
        <v>1607</v>
      </c>
      <c r="E112" s="161" t="s">
        <v>1491</v>
      </c>
      <c r="F112" s="161" t="s">
        <v>1588</v>
      </c>
      <c r="G112" s="163">
        <v>2697.907</v>
      </c>
      <c r="H112" s="163">
        <f t="shared" si="6"/>
        <v>10.3384000000001</v>
      </c>
      <c r="I112" s="163">
        <v>432</v>
      </c>
      <c r="J112" s="163">
        <v>7447</v>
      </c>
      <c r="K112" s="163">
        <f t="shared" si="7"/>
        <v>2048902.12683205</v>
      </c>
      <c r="L112" s="163" t="s">
        <v>1608</v>
      </c>
      <c r="M112" s="161" t="s">
        <v>1294</v>
      </c>
      <c r="N112" s="161" t="s">
        <v>1331</v>
      </c>
      <c r="O112" s="161" t="s">
        <v>14</v>
      </c>
      <c r="P112" s="49" t="s">
        <v>14</v>
      </c>
      <c r="Q112" s="166" t="s">
        <v>1609</v>
      </c>
      <c r="R112" s="167"/>
    </row>
    <row r="113" s="148" customFormat="1" spans="1:18">
      <c r="A113" s="101" t="s">
        <v>28</v>
      </c>
      <c r="B113" s="101" t="s">
        <v>115</v>
      </c>
      <c r="C113" s="168" t="s">
        <v>1610</v>
      </c>
      <c r="D113" s="161" t="s">
        <v>1611</v>
      </c>
      <c r="E113" s="161" t="s">
        <v>1491</v>
      </c>
      <c r="F113" s="161" t="s">
        <v>1588</v>
      </c>
      <c r="G113" s="163">
        <v>2711.1122</v>
      </c>
      <c r="H113" s="163">
        <f t="shared" si="6"/>
        <v>13.2051999999999</v>
      </c>
      <c r="I113" s="163">
        <v>537</v>
      </c>
      <c r="J113" s="163">
        <v>11709</v>
      </c>
      <c r="K113" s="163">
        <f t="shared" si="7"/>
        <v>2060611.12683205</v>
      </c>
      <c r="L113" s="163"/>
      <c r="M113" s="161" t="s">
        <v>1294</v>
      </c>
      <c r="N113" s="161" t="s">
        <v>1299</v>
      </c>
      <c r="O113" s="161" t="s">
        <v>25</v>
      </c>
      <c r="P113" s="49" t="s">
        <v>25</v>
      </c>
      <c r="Q113" s="166" t="s">
        <v>1612</v>
      </c>
      <c r="R113" s="167"/>
    </row>
    <row r="114" s="148" customFormat="1" spans="1:18">
      <c r="A114" s="101" t="s">
        <v>28</v>
      </c>
      <c r="B114" s="101" t="s">
        <v>115</v>
      </c>
      <c r="C114" s="168" t="s">
        <v>1613</v>
      </c>
      <c r="D114" s="161" t="s">
        <v>1614</v>
      </c>
      <c r="E114" s="161" t="s">
        <v>1491</v>
      </c>
      <c r="F114" s="161" t="s">
        <v>1588</v>
      </c>
      <c r="G114" s="163">
        <v>2721.9636</v>
      </c>
      <c r="H114" s="163">
        <f t="shared" si="6"/>
        <v>10.8514</v>
      </c>
      <c r="I114" s="163">
        <v>808</v>
      </c>
      <c r="J114" s="163">
        <v>8461</v>
      </c>
      <c r="K114" s="163">
        <f t="shared" si="7"/>
        <v>2069072.12683205</v>
      </c>
      <c r="L114" s="163"/>
      <c r="M114" s="161" t="s">
        <v>1294</v>
      </c>
      <c r="N114" s="161" t="s">
        <v>1299</v>
      </c>
      <c r="O114" s="161" t="s">
        <v>25</v>
      </c>
      <c r="P114" s="49" t="s">
        <v>25</v>
      </c>
      <c r="Q114" s="166" t="s">
        <v>1615</v>
      </c>
      <c r="R114" s="167"/>
    </row>
    <row r="115" s="148" customFormat="1" spans="1:18">
      <c r="A115" s="101" t="s">
        <v>28</v>
      </c>
      <c r="B115" s="101" t="s">
        <v>115</v>
      </c>
      <c r="C115" s="168" t="s">
        <v>1616</v>
      </c>
      <c r="D115" s="161" t="s">
        <v>1617</v>
      </c>
      <c r="E115" s="161" t="s">
        <v>1491</v>
      </c>
      <c r="F115" s="161" t="s">
        <v>1588</v>
      </c>
      <c r="G115" s="163">
        <v>2735.1823</v>
      </c>
      <c r="H115" s="163">
        <f t="shared" si="6"/>
        <v>13.2186999999999</v>
      </c>
      <c r="I115" s="163">
        <v>987</v>
      </c>
      <c r="J115" s="163">
        <v>8537</v>
      </c>
      <c r="K115" s="163">
        <f t="shared" si="7"/>
        <v>2077609.12683205</v>
      </c>
      <c r="L115" s="163"/>
      <c r="M115" s="161" t="s">
        <v>1294</v>
      </c>
      <c r="N115" s="161" t="s">
        <v>1299</v>
      </c>
      <c r="O115" s="161" t="s">
        <v>25</v>
      </c>
      <c r="P115" s="49" t="s">
        <v>25</v>
      </c>
      <c r="Q115" s="166" t="s">
        <v>1618</v>
      </c>
      <c r="R115" s="167"/>
    </row>
    <row r="116" s="148" customFormat="1" spans="1:18">
      <c r="A116" s="101" t="s">
        <v>28</v>
      </c>
      <c r="B116" s="101" t="s">
        <v>115</v>
      </c>
      <c r="C116" s="168" t="s">
        <v>1619</v>
      </c>
      <c r="D116" s="161" t="s">
        <v>1620</v>
      </c>
      <c r="E116" s="161" t="s">
        <v>1491</v>
      </c>
      <c r="F116" s="161" t="s">
        <v>1588</v>
      </c>
      <c r="G116" s="163">
        <v>2751.9154</v>
      </c>
      <c r="H116" s="163">
        <f t="shared" si="6"/>
        <v>16.7330999999999</v>
      </c>
      <c r="I116" s="163">
        <v>1157</v>
      </c>
      <c r="J116" s="163">
        <v>11925</v>
      </c>
      <c r="K116" s="163">
        <f t="shared" si="7"/>
        <v>2089534.12683205</v>
      </c>
      <c r="L116" s="163"/>
      <c r="M116" s="161" t="s">
        <v>1294</v>
      </c>
      <c r="N116" s="161" t="s">
        <v>1299</v>
      </c>
      <c r="O116" s="161" t="s">
        <v>25</v>
      </c>
      <c r="P116" s="49" t="s">
        <v>25</v>
      </c>
      <c r="Q116" s="166" t="s">
        <v>1621</v>
      </c>
      <c r="R116" s="167"/>
    </row>
    <row r="117" s="148" customFormat="1" spans="1:18">
      <c r="A117" s="101" t="s">
        <v>28</v>
      </c>
      <c r="B117" s="101" t="s">
        <v>115</v>
      </c>
      <c r="C117" s="168" t="s">
        <v>1622</v>
      </c>
      <c r="D117" s="161" t="s">
        <v>1623</v>
      </c>
      <c r="E117" s="161" t="s">
        <v>1491</v>
      </c>
      <c r="F117" s="161" t="s">
        <v>1624</v>
      </c>
      <c r="G117" s="163">
        <v>2775.2222</v>
      </c>
      <c r="H117" s="163">
        <f t="shared" si="6"/>
        <v>23.3068000000003</v>
      </c>
      <c r="I117" s="163">
        <v>1090</v>
      </c>
      <c r="J117" s="163">
        <v>17904</v>
      </c>
      <c r="K117" s="163">
        <f t="shared" si="7"/>
        <v>2107438.12683205</v>
      </c>
      <c r="L117" s="163"/>
      <c r="M117" s="161" t="s">
        <v>1294</v>
      </c>
      <c r="N117" s="161" t="s">
        <v>1299</v>
      </c>
      <c r="O117" s="161" t="s">
        <v>25</v>
      </c>
      <c r="P117" s="49" t="s">
        <v>25</v>
      </c>
      <c r="Q117" s="166" t="s">
        <v>1625</v>
      </c>
      <c r="R117" s="167"/>
    </row>
    <row r="118" s="148" customFormat="1" spans="1:18">
      <c r="A118" s="101" t="s">
        <v>28</v>
      </c>
      <c r="B118" s="101" t="s">
        <v>115</v>
      </c>
      <c r="C118" s="168" t="s">
        <v>152</v>
      </c>
      <c r="D118" s="161" t="s">
        <v>152</v>
      </c>
      <c r="E118" s="161" t="s">
        <v>1491</v>
      </c>
      <c r="F118" s="161" t="s">
        <v>1624</v>
      </c>
      <c r="G118" s="163">
        <v>2787.5069</v>
      </c>
      <c r="H118" s="163">
        <f t="shared" si="6"/>
        <v>12.2846999999997</v>
      </c>
      <c r="I118" s="163">
        <v>900</v>
      </c>
      <c r="J118" s="163">
        <v>9260</v>
      </c>
      <c r="K118" s="163">
        <f t="shared" si="7"/>
        <v>2116698.12683205</v>
      </c>
      <c r="L118" s="163"/>
      <c r="M118" s="161" t="s">
        <v>1294</v>
      </c>
      <c r="N118" s="161" t="s">
        <v>1331</v>
      </c>
      <c r="O118" s="161" t="s">
        <v>6</v>
      </c>
      <c r="P118" s="49" t="s">
        <v>6</v>
      </c>
      <c r="Q118" s="166" t="s">
        <v>1626</v>
      </c>
      <c r="R118" s="167"/>
    </row>
    <row r="119" s="148" customFormat="1" spans="1:18">
      <c r="A119" s="101" t="s">
        <v>28</v>
      </c>
      <c r="B119" s="101" t="s">
        <v>115</v>
      </c>
      <c r="C119" s="168" t="s">
        <v>1627</v>
      </c>
      <c r="D119" s="161" t="s">
        <v>1628</v>
      </c>
      <c r="E119" s="161" t="s">
        <v>1491</v>
      </c>
      <c r="F119" s="161" t="s">
        <v>1624</v>
      </c>
      <c r="G119" s="163">
        <v>2799.4481</v>
      </c>
      <c r="H119" s="163">
        <f t="shared" si="6"/>
        <v>11.9412000000002</v>
      </c>
      <c r="I119" s="163">
        <v>721</v>
      </c>
      <c r="J119" s="163">
        <v>9489</v>
      </c>
      <c r="K119" s="163">
        <f t="shared" si="7"/>
        <v>2126187.12683205</v>
      </c>
      <c r="L119" s="163"/>
      <c r="M119" s="161" t="s">
        <v>1294</v>
      </c>
      <c r="N119" s="161" t="s">
        <v>1299</v>
      </c>
      <c r="O119" s="161" t="s">
        <v>25</v>
      </c>
      <c r="P119" s="49" t="s">
        <v>25</v>
      </c>
      <c r="Q119" s="166" t="s">
        <v>1629</v>
      </c>
      <c r="R119" s="167"/>
    </row>
    <row r="120" s="148" customFormat="1" spans="1:18">
      <c r="A120" s="101" t="s">
        <v>28</v>
      </c>
      <c r="B120" s="101" t="s">
        <v>115</v>
      </c>
      <c r="C120" s="168" t="s">
        <v>1630</v>
      </c>
      <c r="D120" s="161" t="s">
        <v>1631</v>
      </c>
      <c r="E120" s="161" t="s">
        <v>1491</v>
      </c>
      <c r="F120" s="161" t="s">
        <v>1624</v>
      </c>
      <c r="G120" s="163">
        <v>2813.8063</v>
      </c>
      <c r="H120" s="163">
        <f t="shared" si="6"/>
        <v>14.3582000000001</v>
      </c>
      <c r="I120" s="163">
        <v>666</v>
      </c>
      <c r="J120" s="163">
        <v>11692</v>
      </c>
      <c r="K120" s="163">
        <f t="shared" si="7"/>
        <v>2137879.12683205</v>
      </c>
      <c r="L120" s="163"/>
      <c r="M120" s="161" t="s">
        <v>1294</v>
      </c>
      <c r="N120" s="161" t="s">
        <v>1299</v>
      </c>
      <c r="O120" s="161" t="s">
        <v>25</v>
      </c>
      <c r="P120" s="49" t="s">
        <v>25</v>
      </c>
      <c r="Q120" s="166" t="s">
        <v>1632</v>
      </c>
      <c r="R120" s="167"/>
    </row>
    <row r="121" s="148" customFormat="1" spans="1:18">
      <c r="A121" s="101" t="s">
        <v>28</v>
      </c>
      <c r="B121" s="101" t="s">
        <v>115</v>
      </c>
      <c r="C121" s="168" t="s">
        <v>1633</v>
      </c>
      <c r="D121" s="161" t="s">
        <v>1633</v>
      </c>
      <c r="E121" s="161" t="s">
        <v>1491</v>
      </c>
      <c r="F121" s="161" t="s">
        <v>1624</v>
      </c>
      <c r="G121" s="163">
        <v>2837.1069</v>
      </c>
      <c r="H121" s="163">
        <f t="shared" si="6"/>
        <v>23.3006</v>
      </c>
      <c r="I121" s="163">
        <v>723</v>
      </c>
      <c r="J121" s="163">
        <v>16015</v>
      </c>
      <c r="K121" s="163">
        <f t="shared" si="7"/>
        <v>2153894.12683205</v>
      </c>
      <c r="L121" s="163"/>
      <c r="M121" s="161" t="s">
        <v>1294</v>
      </c>
      <c r="N121" s="161" t="s">
        <v>1331</v>
      </c>
      <c r="O121" s="161" t="s">
        <v>15</v>
      </c>
      <c r="P121" s="49" t="s">
        <v>15</v>
      </c>
      <c r="Q121" s="166" t="s">
        <v>1634</v>
      </c>
      <c r="R121" s="167"/>
    </row>
    <row r="122" s="148" customFormat="1" spans="1:18">
      <c r="A122" s="101" t="s">
        <v>28</v>
      </c>
      <c r="B122" s="101" t="s">
        <v>115</v>
      </c>
      <c r="C122" s="168" t="s">
        <v>1635</v>
      </c>
      <c r="D122" s="161" t="s">
        <v>1636</v>
      </c>
      <c r="E122" s="161" t="s">
        <v>1491</v>
      </c>
      <c r="F122" s="161" t="s">
        <v>1624</v>
      </c>
      <c r="G122" s="163">
        <v>2861.1069</v>
      </c>
      <c r="H122" s="163">
        <f t="shared" si="6"/>
        <v>24</v>
      </c>
      <c r="I122" s="163">
        <v>926</v>
      </c>
      <c r="J122" s="163">
        <v>17873</v>
      </c>
      <c r="K122" s="163">
        <f t="shared" si="7"/>
        <v>2171767.12683205</v>
      </c>
      <c r="L122" s="163"/>
      <c r="M122" s="161" t="s">
        <v>1294</v>
      </c>
      <c r="N122" s="161" t="s">
        <v>1299</v>
      </c>
      <c r="O122" s="161" t="s">
        <v>25</v>
      </c>
      <c r="P122" s="49" t="s">
        <v>25</v>
      </c>
      <c r="Q122" s="166" t="s">
        <v>1637</v>
      </c>
      <c r="R122" s="167"/>
    </row>
    <row r="123" s="148" customFormat="1" spans="1:18">
      <c r="A123" s="101" t="s">
        <v>28</v>
      </c>
      <c r="B123" s="101" t="s">
        <v>115</v>
      </c>
      <c r="C123" s="168" t="s">
        <v>1638</v>
      </c>
      <c r="D123" s="161" t="s">
        <v>1639</v>
      </c>
      <c r="E123" s="161" t="s">
        <v>1640</v>
      </c>
      <c r="F123" s="161" t="s">
        <v>1641</v>
      </c>
      <c r="G123" s="163">
        <v>2876.723</v>
      </c>
      <c r="H123" s="163">
        <f t="shared" si="6"/>
        <v>15.6160999999997</v>
      </c>
      <c r="I123" s="163">
        <v>583</v>
      </c>
      <c r="J123" s="163">
        <v>12170</v>
      </c>
      <c r="K123" s="163">
        <f t="shared" si="7"/>
        <v>2183937.12683205</v>
      </c>
      <c r="L123" s="163"/>
      <c r="M123" s="161" t="s">
        <v>1294</v>
      </c>
      <c r="N123" s="161" t="s">
        <v>1299</v>
      </c>
      <c r="O123" s="161" t="s">
        <v>25</v>
      </c>
      <c r="P123" s="49" t="s">
        <v>25</v>
      </c>
      <c r="Q123" s="166" t="s">
        <v>1642</v>
      </c>
      <c r="R123" s="167"/>
    </row>
    <row r="124" s="148" customFormat="1" spans="1:18">
      <c r="A124" s="101" t="s">
        <v>28</v>
      </c>
      <c r="B124" s="101" t="s">
        <v>115</v>
      </c>
      <c r="C124" s="168" t="s">
        <v>1643</v>
      </c>
      <c r="D124" s="161" t="s">
        <v>1643</v>
      </c>
      <c r="E124" s="161" t="s">
        <v>1640</v>
      </c>
      <c r="F124" s="161" t="s">
        <v>1641</v>
      </c>
      <c r="G124" s="163">
        <v>2891.4069</v>
      </c>
      <c r="H124" s="163">
        <f t="shared" si="6"/>
        <v>14.6839</v>
      </c>
      <c r="I124" s="163">
        <v>124</v>
      </c>
      <c r="J124" s="163">
        <v>11310</v>
      </c>
      <c r="K124" s="163">
        <f t="shared" si="7"/>
        <v>2195247.12683205</v>
      </c>
      <c r="L124" s="163"/>
      <c r="M124" s="161" t="s">
        <v>1294</v>
      </c>
      <c r="N124" s="161" t="s">
        <v>1331</v>
      </c>
      <c r="O124" s="161" t="s">
        <v>14</v>
      </c>
      <c r="P124" s="49" t="s">
        <v>14</v>
      </c>
      <c r="Q124" s="166" t="s">
        <v>1644</v>
      </c>
      <c r="R124" s="167"/>
    </row>
    <row r="125" s="148" customFormat="1" spans="1:18">
      <c r="A125" s="101" t="s">
        <v>28</v>
      </c>
      <c r="B125" s="101" t="s">
        <v>115</v>
      </c>
      <c r="C125" s="168" t="s">
        <v>1645</v>
      </c>
      <c r="D125" s="161" t="s">
        <v>1646</v>
      </c>
      <c r="E125" s="161" t="s">
        <v>1640</v>
      </c>
      <c r="F125" s="161" t="s">
        <v>1641</v>
      </c>
      <c r="G125" s="163">
        <v>2905.9145</v>
      </c>
      <c r="H125" s="163">
        <f t="shared" si="6"/>
        <v>14.5075999999999</v>
      </c>
      <c r="I125" s="163">
        <v>108</v>
      </c>
      <c r="J125" s="163">
        <v>10985</v>
      </c>
      <c r="K125" s="163">
        <f t="shared" si="7"/>
        <v>2206232.12683205</v>
      </c>
      <c r="L125" s="163"/>
      <c r="M125" s="161" t="s">
        <v>1294</v>
      </c>
      <c r="N125" s="161" t="s">
        <v>1299</v>
      </c>
      <c r="O125" s="161" t="s">
        <v>25</v>
      </c>
      <c r="P125" s="49" t="s">
        <v>25</v>
      </c>
      <c r="Q125" s="166" t="s">
        <v>1647</v>
      </c>
      <c r="R125" s="167"/>
    </row>
    <row r="126" s="148" customFormat="1" spans="1:18">
      <c r="A126" s="101" t="s">
        <v>28</v>
      </c>
      <c r="B126" s="101" t="s">
        <v>115</v>
      </c>
      <c r="C126" s="168" t="s">
        <v>1648</v>
      </c>
      <c r="D126" s="161" t="s">
        <v>1649</v>
      </c>
      <c r="E126" s="161" t="s">
        <v>1640</v>
      </c>
      <c r="F126" s="161" t="s">
        <v>1641</v>
      </c>
      <c r="G126" s="163">
        <v>2918.068</v>
      </c>
      <c r="H126" s="163">
        <f t="shared" si="6"/>
        <v>12.1535000000003</v>
      </c>
      <c r="I126" s="163">
        <v>103</v>
      </c>
      <c r="J126" s="163">
        <v>9185</v>
      </c>
      <c r="K126" s="163">
        <f t="shared" si="7"/>
        <v>2215417.12683205</v>
      </c>
      <c r="L126" s="163"/>
      <c r="M126" s="161" t="s">
        <v>1294</v>
      </c>
      <c r="N126" s="161" t="s">
        <v>1299</v>
      </c>
      <c r="O126" s="161" t="s">
        <v>25</v>
      </c>
      <c r="P126" s="49" t="s">
        <v>25</v>
      </c>
      <c r="Q126" s="166" t="s">
        <v>1650</v>
      </c>
      <c r="R126" s="167"/>
    </row>
    <row r="127" s="148" customFormat="1" spans="1:18">
      <c r="A127" s="101" t="s">
        <v>28</v>
      </c>
      <c r="B127" s="101" t="s">
        <v>115</v>
      </c>
      <c r="C127" s="168" t="s">
        <v>1651</v>
      </c>
      <c r="D127" s="161" t="s">
        <v>1652</v>
      </c>
      <c r="E127" s="161" t="s">
        <v>1640</v>
      </c>
      <c r="F127" s="161" t="s">
        <v>1641</v>
      </c>
      <c r="G127" s="163">
        <v>2928.3452</v>
      </c>
      <c r="H127" s="163">
        <f t="shared" si="6"/>
        <v>10.2772</v>
      </c>
      <c r="I127" s="163">
        <v>177</v>
      </c>
      <c r="J127" s="163">
        <v>7597</v>
      </c>
      <c r="K127" s="163">
        <f t="shared" si="7"/>
        <v>2223014.12683205</v>
      </c>
      <c r="L127" s="163"/>
      <c r="M127" s="161" t="s">
        <v>1294</v>
      </c>
      <c r="N127" s="161" t="s">
        <v>1299</v>
      </c>
      <c r="O127" s="161" t="s">
        <v>25</v>
      </c>
      <c r="P127" s="49" t="s">
        <v>25</v>
      </c>
      <c r="Q127" s="166" t="s">
        <v>1653</v>
      </c>
      <c r="R127" s="167"/>
    </row>
    <row r="128" s="148" customFormat="1" spans="1:18">
      <c r="A128" s="101" t="s">
        <v>28</v>
      </c>
      <c r="B128" s="101" t="s">
        <v>115</v>
      </c>
      <c r="C128" s="168" t="s">
        <v>136</v>
      </c>
      <c r="D128" s="161" t="s">
        <v>136</v>
      </c>
      <c r="E128" s="161" t="s">
        <v>1640</v>
      </c>
      <c r="F128" s="161" t="s">
        <v>1641</v>
      </c>
      <c r="G128" s="163">
        <v>2953.6399</v>
      </c>
      <c r="H128" s="163">
        <f t="shared" si="6"/>
        <v>25.2946999999999</v>
      </c>
      <c r="I128" s="163">
        <v>159</v>
      </c>
      <c r="J128" s="163">
        <v>18759</v>
      </c>
      <c r="K128" s="163">
        <f t="shared" si="7"/>
        <v>2241773.12683205</v>
      </c>
      <c r="L128" s="163"/>
      <c r="M128" s="161" t="s">
        <v>1294</v>
      </c>
      <c r="N128" s="161" t="s">
        <v>1331</v>
      </c>
      <c r="O128" s="161" t="s">
        <v>6</v>
      </c>
      <c r="P128" s="49" t="s">
        <v>6</v>
      </c>
      <c r="Q128" s="166" t="s">
        <v>1654</v>
      </c>
      <c r="R128" s="167"/>
    </row>
    <row r="129" s="148" customFormat="1" spans="1:18">
      <c r="A129" s="101" t="s">
        <v>28</v>
      </c>
      <c r="B129" s="101" t="s">
        <v>115</v>
      </c>
      <c r="C129" s="168" t="s">
        <v>1655</v>
      </c>
      <c r="D129" s="161" t="s">
        <v>1656</v>
      </c>
      <c r="E129" s="161" t="s">
        <v>1640</v>
      </c>
      <c r="F129" s="161" t="s">
        <v>1641</v>
      </c>
      <c r="G129" s="163">
        <v>2976.3987</v>
      </c>
      <c r="H129" s="163">
        <f t="shared" si="6"/>
        <v>22.7588000000001</v>
      </c>
      <c r="I129" s="163">
        <v>238</v>
      </c>
      <c r="J129" s="163">
        <v>16630</v>
      </c>
      <c r="K129" s="163">
        <f t="shared" si="7"/>
        <v>2258403.12683205</v>
      </c>
      <c r="L129" s="163"/>
      <c r="M129" s="161" t="s">
        <v>1294</v>
      </c>
      <c r="N129" s="161" t="s">
        <v>1299</v>
      </c>
      <c r="O129" s="161" t="s">
        <v>25</v>
      </c>
      <c r="P129" s="49" t="s">
        <v>25</v>
      </c>
      <c r="Q129" s="166" t="s">
        <v>1657</v>
      </c>
      <c r="R129" s="167"/>
    </row>
    <row r="130" s="148" customFormat="1" ht="30" spans="1:18">
      <c r="A130" s="101" t="s">
        <v>28</v>
      </c>
      <c r="B130" s="101" t="s">
        <v>115</v>
      </c>
      <c r="C130" s="168" t="s">
        <v>1658</v>
      </c>
      <c r="D130" s="161" t="s">
        <v>1658</v>
      </c>
      <c r="E130" s="161" t="s">
        <v>1640</v>
      </c>
      <c r="F130" s="161" t="s">
        <v>1659</v>
      </c>
      <c r="G130" s="163">
        <v>2997.3459</v>
      </c>
      <c r="H130" s="163">
        <f t="shared" si="6"/>
        <v>20.9471999999996</v>
      </c>
      <c r="I130" s="163">
        <v>159</v>
      </c>
      <c r="J130" s="163">
        <v>15871.169074788</v>
      </c>
      <c r="K130" s="163">
        <f t="shared" si="7"/>
        <v>2274274.29590684</v>
      </c>
      <c r="L130" s="163" t="s">
        <v>1660</v>
      </c>
      <c r="M130" s="161" t="s">
        <v>1294</v>
      </c>
      <c r="N130" s="161" t="s">
        <v>1331</v>
      </c>
      <c r="O130" s="161" t="s">
        <v>14</v>
      </c>
      <c r="P130" s="49" t="s">
        <v>14</v>
      </c>
      <c r="Q130" s="166" t="s">
        <v>1661</v>
      </c>
      <c r="R130" s="167"/>
    </row>
    <row r="131" s="148" customFormat="1" spans="1:18">
      <c r="A131" s="101" t="s">
        <v>28</v>
      </c>
      <c r="B131" s="101" t="s">
        <v>115</v>
      </c>
      <c r="C131" s="168" t="s">
        <v>1662</v>
      </c>
      <c r="D131" s="161" t="s">
        <v>1663</v>
      </c>
      <c r="E131" s="161" t="s">
        <v>1640</v>
      </c>
      <c r="F131" s="161" t="s">
        <v>1659</v>
      </c>
      <c r="G131" s="163">
        <v>3019.4089</v>
      </c>
      <c r="H131" s="163">
        <f t="shared" si="6"/>
        <v>22.0630000000001</v>
      </c>
      <c r="I131" s="163">
        <v>100</v>
      </c>
      <c r="J131" s="163">
        <v>16387.0914864</v>
      </c>
      <c r="K131" s="163">
        <f t="shared" si="7"/>
        <v>2290661.38739324</v>
      </c>
      <c r="L131" s="163"/>
      <c r="M131" s="161" t="s">
        <v>1294</v>
      </c>
      <c r="N131" s="161" t="s">
        <v>1299</v>
      </c>
      <c r="O131" s="161"/>
      <c r="P131" s="49" t="s">
        <v>25</v>
      </c>
      <c r="Q131" s="166" t="s">
        <v>1664</v>
      </c>
      <c r="R131" s="167"/>
    </row>
    <row r="132" s="148" customFormat="1" spans="1:18">
      <c r="A132" s="101" t="s">
        <v>28</v>
      </c>
      <c r="B132" s="101" t="s">
        <v>115</v>
      </c>
      <c r="C132" s="168" t="s">
        <v>1665</v>
      </c>
      <c r="D132" s="161" t="s">
        <v>1666</v>
      </c>
      <c r="E132" s="161" t="s">
        <v>1640</v>
      </c>
      <c r="F132" s="161"/>
      <c r="G132" s="163">
        <v>3033.2899</v>
      </c>
      <c r="H132" s="163">
        <f t="shared" si="6"/>
        <v>13.8810000000003</v>
      </c>
      <c r="I132" s="163">
        <v>84</v>
      </c>
      <c r="J132" s="163">
        <v>10428.1491277</v>
      </c>
      <c r="K132" s="163">
        <f t="shared" si="7"/>
        <v>2301089.53652094</v>
      </c>
      <c r="L132" s="163"/>
      <c r="M132" s="161" t="s">
        <v>1294</v>
      </c>
      <c r="N132" s="161"/>
      <c r="O132" s="161"/>
      <c r="P132" s="49" t="s">
        <v>25</v>
      </c>
      <c r="Q132" s="166"/>
      <c r="R132" s="167"/>
    </row>
    <row r="133" s="148" customFormat="1" spans="1:18">
      <c r="A133" s="101" t="s">
        <v>28</v>
      </c>
      <c r="B133" s="101" t="s">
        <v>115</v>
      </c>
      <c r="C133" s="168" t="s">
        <v>1667</v>
      </c>
      <c r="D133" s="161" t="s">
        <v>1668</v>
      </c>
      <c r="E133" s="161" t="s">
        <v>1640</v>
      </c>
      <c r="F133" s="161" t="s">
        <v>1659</v>
      </c>
      <c r="G133" s="169">
        <f>G132+H133</f>
        <v>3056.5209</v>
      </c>
      <c r="H133" s="169">
        <v>23.231</v>
      </c>
      <c r="I133" s="163">
        <v>62</v>
      </c>
      <c r="J133" s="169">
        <v>17131.959281</v>
      </c>
      <c r="K133" s="169">
        <f t="shared" si="7"/>
        <v>2318221.49580194</v>
      </c>
      <c r="L133" s="163"/>
      <c r="M133" s="161" t="s">
        <v>1294</v>
      </c>
      <c r="N133" s="161" t="s">
        <v>1299</v>
      </c>
      <c r="O133" s="161" t="s">
        <v>25</v>
      </c>
      <c r="P133" s="49" t="s">
        <v>25</v>
      </c>
      <c r="Q133" s="166" t="s">
        <v>1669</v>
      </c>
      <c r="R133" s="167"/>
    </row>
    <row r="134" s="148" customFormat="1" spans="1:18">
      <c r="A134" s="101" t="s">
        <v>28</v>
      </c>
      <c r="B134" s="101" t="s">
        <v>115</v>
      </c>
      <c r="C134" s="168" t="s">
        <v>1670</v>
      </c>
      <c r="D134" s="161" t="s">
        <v>1671</v>
      </c>
      <c r="E134" s="161" t="s">
        <v>1640</v>
      </c>
      <c r="F134" s="161" t="s">
        <v>1659</v>
      </c>
      <c r="G134" s="169">
        <f>G133+H134</f>
        <v>3081.2717</v>
      </c>
      <c r="H134" s="169">
        <v>24.7508000000003</v>
      </c>
      <c r="I134" s="163">
        <v>59</v>
      </c>
      <c r="J134" s="163">
        <v>18640.812274875</v>
      </c>
      <c r="K134" s="169">
        <f t="shared" ref="K134:K165" si="8">K133+J134</f>
        <v>2336862.30807681</v>
      </c>
      <c r="L134" s="163"/>
      <c r="M134" s="161" t="s">
        <v>1294</v>
      </c>
      <c r="N134" s="161" t="s">
        <v>1299</v>
      </c>
      <c r="O134" s="161" t="s">
        <v>25</v>
      </c>
      <c r="P134" s="49" t="s">
        <v>25</v>
      </c>
      <c r="Q134" s="166" t="s">
        <v>1672</v>
      </c>
      <c r="R134" s="167"/>
    </row>
    <row r="135" s="148" customFormat="1" spans="1:18">
      <c r="A135" s="101" t="s">
        <v>28</v>
      </c>
      <c r="B135" s="101" t="s">
        <v>115</v>
      </c>
      <c r="C135" s="168" t="s">
        <v>1673</v>
      </c>
      <c r="D135" s="161" t="s">
        <v>1674</v>
      </c>
      <c r="E135" s="161" t="s">
        <v>1640</v>
      </c>
      <c r="F135" s="161" t="s">
        <v>1675</v>
      </c>
      <c r="G135" s="169">
        <f t="shared" ref="G135:G182" si="9">G134+H135</f>
        <v>3105.0971</v>
      </c>
      <c r="H135" s="169">
        <v>23.8253999999997</v>
      </c>
      <c r="I135" s="163">
        <v>53</v>
      </c>
      <c r="J135" s="163">
        <v>17943</v>
      </c>
      <c r="K135" s="169">
        <f t="shared" si="8"/>
        <v>2354805.30807681</v>
      </c>
      <c r="L135" s="163"/>
      <c r="M135" s="161" t="s">
        <v>1294</v>
      </c>
      <c r="N135" s="161" t="s">
        <v>1299</v>
      </c>
      <c r="O135" s="161" t="s">
        <v>25</v>
      </c>
      <c r="P135" s="49" t="s">
        <v>25</v>
      </c>
      <c r="Q135" s="166" t="s">
        <v>1676</v>
      </c>
      <c r="R135" s="167"/>
    </row>
    <row r="136" s="148" customFormat="1" spans="1:18">
      <c r="A136" s="101" t="s">
        <v>28</v>
      </c>
      <c r="B136" s="101" t="s">
        <v>115</v>
      </c>
      <c r="C136" s="168" t="s">
        <v>1677</v>
      </c>
      <c r="D136" s="161" t="s">
        <v>1678</v>
      </c>
      <c r="E136" s="161" t="s">
        <v>1640</v>
      </c>
      <c r="F136" s="161" t="s">
        <v>1675</v>
      </c>
      <c r="G136" s="169">
        <f t="shared" si="9"/>
        <v>3127.6914</v>
      </c>
      <c r="H136" s="169">
        <v>22.5943000000002</v>
      </c>
      <c r="I136" s="163">
        <v>48</v>
      </c>
      <c r="J136" s="163">
        <v>16969</v>
      </c>
      <c r="K136" s="169">
        <f t="shared" si="8"/>
        <v>2371774.30807681</v>
      </c>
      <c r="L136" s="163"/>
      <c r="M136" s="161" t="s">
        <v>1294</v>
      </c>
      <c r="N136" s="161" t="s">
        <v>1299</v>
      </c>
      <c r="O136" s="161" t="s">
        <v>25</v>
      </c>
      <c r="P136" s="49" t="s">
        <v>25</v>
      </c>
      <c r="Q136" s="166" t="s">
        <v>1679</v>
      </c>
      <c r="R136" s="167"/>
    </row>
    <row r="137" s="148" customFormat="1" spans="1:18">
      <c r="A137" s="101" t="s">
        <v>28</v>
      </c>
      <c r="B137" s="101" t="s">
        <v>115</v>
      </c>
      <c r="C137" s="168" t="s">
        <v>198</v>
      </c>
      <c r="D137" s="161" t="s">
        <v>198</v>
      </c>
      <c r="E137" s="161" t="s">
        <v>1640</v>
      </c>
      <c r="F137" s="161" t="s">
        <v>1675</v>
      </c>
      <c r="G137" s="169">
        <f t="shared" si="9"/>
        <v>3141.3191</v>
      </c>
      <c r="H137" s="169">
        <v>13.6277</v>
      </c>
      <c r="I137" s="163">
        <v>47</v>
      </c>
      <c r="J137" s="163">
        <v>10251</v>
      </c>
      <c r="K137" s="169">
        <f t="shared" si="8"/>
        <v>2382025.30807681</v>
      </c>
      <c r="L137" s="163"/>
      <c r="M137" s="161" t="s">
        <v>1294</v>
      </c>
      <c r="N137" s="161" t="s">
        <v>1331</v>
      </c>
      <c r="O137" s="161" t="s">
        <v>6</v>
      </c>
      <c r="P137" s="49" t="s">
        <v>6</v>
      </c>
      <c r="Q137" s="166" t="s">
        <v>1680</v>
      </c>
      <c r="R137" s="167"/>
    </row>
    <row r="138" s="148" customFormat="1" spans="1:18">
      <c r="A138" s="101" t="s">
        <v>28</v>
      </c>
      <c r="B138" s="101" t="s">
        <v>115</v>
      </c>
      <c r="C138" s="168" t="s">
        <v>1681</v>
      </c>
      <c r="D138" s="161" t="s">
        <v>1682</v>
      </c>
      <c r="E138" s="161" t="s">
        <v>1640</v>
      </c>
      <c r="F138" s="161" t="s">
        <v>1675</v>
      </c>
      <c r="G138" s="169">
        <f t="shared" si="9"/>
        <v>3165.2475</v>
      </c>
      <c r="H138" s="169">
        <v>23.9283999999998</v>
      </c>
      <c r="I138" s="163">
        <v>41</v>
      </c>
      <c r="J138" s="163">
        <v>18030</v>
      </c>
      <c r="K138" s="169">
        <f t="shared" si="8"/>
        <v>2400055.30807681</v>
      </c>
      <c r="L138" s="163"/>
      <c r="M138" s="161" t="s">
        <v>1294</v>
      </c>
      <c r="N138" s="161" t="s">
        <v>1299</v>
      </c>
      <c r="O138" s="161" t="s">
        <v>25</v>
      </c>
      <c r="P138" s="49" t="s">
        <v>25</v>
      </c>
      <c r="Q138" s="166" t="s">
        <v>1683</v>
      </c>
      <c r="R138" s="167"/>
    </row>
    <row r="139" s="148" customFormat="1" spans="1:18">
      <c r="A139" s="101" t="s">
        <v>28</v>
      </c>
      <c r="B139" s="101" t="s">
        <v>115</v>
      </c>
      <c r="C139" s="168" t="s">
        <v>1684</v>
      </c>
      <c r="D139" s="161" t="s">
        <v>1685</v>
      </c>
      <c r="E139" s="161" t="s">
        <v>1640</v>
      </c>
      <c r="F139" s="161" t="s">
        <v>1675</v>
      </c>
      <c r="G139" s="169">
        <f t="shared" si="9"/>
        <v>3191.0929</v>
      </c>
      <c r="H139" s="169">
        <v>25.8454000000002</v>
      </c>
      <c r="I139" s="163">
        <v>37</v>
      </c>
      <c r="J139" s="163">
        <v>19446</v>
      </c>
      <c r="K139" s="169">
        <f t="shared" si="8"/>
        <v>2419501.30807681</v>
      </c>
      <c r="L139" s="163"/>
      <c r="M139" s="161" t="s">
        <v>1294</v>
      </c>
      <c r="N139" s="161" t="s">
        <v>1299</v>
      </c>
      <c r="O139" s="161" t="s">
        <v>25</v>
      </c>
      <c r="P139" s="49" t="s">
        <v>25</v>
      </c>
      <c r="Q139" s="166" t="s">
        <v>1686</v>
      </c>
      <c r="R139" s="167"/>
    </row>
    <row r="140" s="148" customFormat="1" spans="1:18">
      <c r="A140" s="101" t="s">
        <v>28</v>
      </c>
      <c r="B140" s="101" t="s">
        <v>115</v>
      </c>
      <c r="C140" s="168" t="s">
        <v>1687</v>
      </c>
      <c r="D140" s="161" t="s">
        <v>1688</v>
      </c>
      <c r="E140" s="161" t="s">
        <v>1689</v>
      </c>
      <c r="F140" s="161" t="s">
        <v>1690</v>
      </c>
      <c r="G140" s="169">
        <f t="shared" si="9"/>
        <v>3218.119</v>
      </c>
      <c r="H140" s="169">
        <v>27.0261</v>
      </c>
      <c r="I140" s="163">
        <v>34</v>
      </c>
      <c r="J140" s="163">
        <v>21162.71475</v>
      </c>
      <c r="K140" s="169">
        <f t="shared" si="8"/>
        <v>2440664.02282681</v>
      </c>
      <c r="L140" s="163"/>
      <c r="M140" s="161" t="s">
        <v>1294</v>
      </c>
      <c r="N140" s="161" t="s">
        <v>1299</v>
      </c>
      <c r="O140" s="161" t="s">
        <v>25</v>
      </c>
      <c r="P140" s="49" t="s">
        <v>25</v>
      </c>
      <c r="Q140" s="166" t="s">
        <v>1691</v>
      </c>
      <c r="R140" s="167"/>
    </row>
    <row r="141" s="148" customFormat="1" ht="30" spans="1:18">
      <c r="A141" s="101" t="s">
        <v>28</v>
      </c>
      <c r="B141" s="101" t="s">
        <v>115</v>
      </c>
      <c r="C141" s="168" t="s">
        <v>1692</v>
      </c>
      <c r="D141" s="161" t="s">
        <v>1692</v>
      </c>
      <c r="E141" s="161" t="s">
        <v>1689</v>
      </c>
      <c r="F141" s="161" t="s">
        <v>1690</v>
      </c>
      <c r="G141" s="169">
        <f>G140</f>
        <v>3218.119</v>
      </c>
      <c r="H141" s="170" t="s">
        <v>147</v>
      </c>
      <c r="I141" s="171" t="s">
        <v>147</v>
      </c>
      <c r="J141" s="171" t="s">
        <v>147</v>
      </c>
      <c r="K141" s="169" t="s">
        <v>147</v>
      </c>
      <c r="L141" s="163" t="s">
        <v>1693</v>
      </c>
      <c r="M141" s="161" t="s">
        <v>1294</v>
      </c>
      <c r="N141" s="161" t="s">
        <v>1331</v>
      </c>
      <c r="O141" s="161" t="s">
        <v>14</v>
      </c>
      <c r="P141" s="49" t="s">
        <v>14</v>
      </c>
      <c r="Q141" s="166" t="s">
        <v>1691</v>
      </c>
      <c r="R141" s="167"/>
    </row>
    <row r="142" s="148" customFormat="1" spans="1:18">
      <c r="A142" s="101" t="s">
        <v>28</v>
      </c>
      <c r="B142" s="101" t="s">
        <v>115</v>
      </c>
      <c r="C142" s="168" t="s">
        <v>1694</v>
      </c>
      <c r="D142" s="161" t="s">
        <v>1695</v>
      </c>
      <c r="E142" s="161" t="s">
        <v>1689</v>
      </c>
      <c r="F142" s="161" t="s">
        <v>1690</v>
      </c>
      <c r="G142" s="169">
        <f>G140+H142</f>
        <v>3242.1875</v>
      </c>
      <c r="H142" s="169">
        <v>24.0684999999999</v>
      </c>
      <c r="I142" s="163">
        <v>32</v>
      </c>
      <c r="J142" s="163">
        <v>18724.125375</v>
      </c>
      <c r="K142" s="169">
        <f>K140+J142</f>
        <v>2459388.14820181</v>
      </c>
      <c r="L142" s="163"/>
      <c r="M142" s="161" t="s">
        <v>1294</v>
      </c>
      <c r="N142" s="161" t="s">
        <v>1299</v>
      </c>
      <c r="O142" s="161" t="s">
        <v>25</v>
      </c>
      <c r="P142" s="49" t="s">
        <v>25</v>
      </c>
      <c r="Q142" s="166" t="s">
        <v>1696</v>
      </c>
      <c r="R142" s="167"/>
    </row>
    <row r="143" s="148" customFormat="1" spans="1:18">
      <c r="A143" s="101" t="s">
        <v>28</v>
      </c>
      <c r="B143" s="101" t="s">
        <v>115</v>
      </c>
      <c r="C143" s="168" t="s">
        <v>1697</v>
      </c>
      <c r="D143" s="161" t="s">
        <v>1698</v>
      </c>
      <c r="E143" s="161" t="s">
        <v>1689</v>
      </c>
      <c r="F143" s="161" t="s">
        <v>1690</v>
      </c>
      <c r="G143" s="169">
        <f t="shared" si="9"/>
        <v>3268.6503</v>
      </c>
      <c r="H143" s="169">
        <v>26.4628000000002</v>
      </c>
      <c r="I143" s="163">
        <v>29</v>
      </c>
      <c r="J143" s="163">
        <v>20598.030125</v>
      </c>
      <c r="K143" s="169">
        <f t="shared" si="8"/>
        <v>2479986.17832681</v>
      </c>
      <c r="L143" s="163"/>
      <c r="M143" s="161" t="s">
        <v>1294</v>
      </c>
      <c r="N143" s="161" t="s">
        <v>1299</v>
      </c>
      <c r="O143" s="161" t="s">
        <v>25</v>
      </c>
      <c r="P143" s="49" t="s">
        <v>25</v>
      </c>
      <c r="Q143" s="166" t="s">
        <v>1699</v>
      </c>
      <c r="R143" s="167"/>
    </row>
    <row r="144" s="148" customFormat="1" spans="1:18">
      <c r="A144" s="101" t="s">
        <v>28</v>
      </c>
      <c r="B144" s="101" t="s">
        <v>115</v>
      </c>
      <c r="C144" s="168" t="s">
        <v>1700</v>
      </c>
      <c r="D144" s="161" t="s">
        <v>1700</v>
      </c>
      <c r="E144" s="161" t="s">
        <v>1689</v>
      </c>
      <c r="F144" s="161" t="s">
        <v>1690</v>
      </c>
      <c r="G144" s="169">
        <f t="shared" si="9"/>
        <v>3293.097</v>
      </c>
      <c r="H144" s="169">
        <v>24.4467</v>
      </c>
      <c r="I144" s="163">
        <v>28</v>
      </c>
      <c r="J144" s="163">
        <v>18626.738875</v>
      </c>
      <c r="K144" s="169">
        <f t="shared" si="8"/>
        <v>2498612.91720181</v>
      </c>
      <c r="L144" s="163"/>
      <c r="M144" s="161" t="s">
        <v>1294</v>
      </c>
      <c r="N144" s="161" t="s">
        <v>1331</v>
      </c>
      <c r="O144" s="161" t="s">
        <v>14</v>
      </c>
      <c r="P144" s="49" t="s">
        <v>14</v>
      </c>
      <c r="Q144" s="166" t="s">
        <v>1701</v>
      </c>
      <c r="R144" s="167"/>
    </row>
    <row r="145" s="148" customFormat="1" spans="1:18">
      <c r="A145" s="101" t="s">
        <v>28</v>
      </c>
      <c r="B145" s="101" t="s">
        <v>115</v>
      </c>
      <c r="C145" s="168" t="s">
        <v>1702</v>
      </c>
      <c r="D145" s="161" t="s">
        <v>1703</v>
      </c>
      <c r="E145" s="161" t="s">
        <v>1689</v>
      </c>
      <c r="F145" s="161" t="s">
        <v>1690</v>
      </c>
      <c r="G145" s="169">
        <f t="shared" si="9"/>
        <v>3312.707</v>
      </c>
      <c r="H145" s="169">
        <v>19.6099999999997</v>
      </c>
      <c r="I145" s="163">
        <v>26</v>
      </c>
      <c r="J145" s="163">
        <v>15276.329125</v>
      </c>
      <c r="K145" s="169">
        <f t="shared" si="8"/>
        <v>2513889.24632681</v>
      </c>
      <c r="L145" s="163"/>
      <c r="M145" s="161" t="s">
        <v>1294</v>
      </c>
      <c r="N145" s="161" t="s">
        <v>1299</v>
      </c>
      <c r="O145" s="161" t="s">
        <v>25</v>
      </c>
      <c r="P145" s="49" t="s">
        <v>25</v>
      </c>
      <c r="Q145" s="166" t="s">
        <v>1704</v>
      </c>
      <c r="R145" s="167"/>
    </row>
    <row r="146" s="148" customFormat="1" spans="1:18">
      <c r="A146" s="101" t="s">
        <v>28</v>
      </c>
      <c r="B146" s="101" t="s">
        <v>115</v>
      </c>
      <c r="C146" s="168" t="s">
        <v>1705</v>
      </c>
      <c r="D146" s="161" t="s">
        <v>1706</v>
      </c>
      <c r="E146" s="161" t="s">
        <v>1689</v>
      </c>
      <c r="F146" s="161" t="s">
        <v>1690</v>
      </c>
      <c r="G146" s="169">
        <f t="shared" si="9"/>
        <v>3337.1078</v>
      </c>
      <c r="H146" s="169">
        <v>24.4008000000003</v>
      </c>
      <c r="I146" s="163">
        <v>23</v>
      </c>
      <c r="J146" s="163">
        <v>19089.32475</v>
      </c>
      <c r="K146" s="169">
        <f t="shared" si="8"/>
        <v>2532978.57107681</v>
      </c>
      <c r="L146" s="163"/>
      <c r="M146" s="161" t="s">
        <v>1294</v>
      </c>
      <c r="N146" s="161" t="s">
        <v>1299</v>
      </c>
      <c r="O146" s="161" t="s">
        <v>25</v>
      </c>
      <c r="P146" s="49" t="s">
        <v>25</v>
      </c>
      <c r="Q146" s="166" t="s">
        <v>1707</v>
      </c>
      <c r="R146" s="167"/>
    </row>
    <row r="147" s="148" customFormat="1" spans="1:18">
      <c r="A147" s="101" t="s">
        <v>28</v>
      </c>
      <c r="B147" s="101" t="s">
        <v>115</v>
      </c>
      <c r="C147" s="168" t="s">
        <v>1708</v>
      </c>
      <c r="D147" s="161" t="s">
        <v>1709</v>
      </c>
      <c r="E147" s="161" t="s">
        <v>1689</v>
      </c>
      <c r="F147" s="161" t="s">
        <v>1690</v>
      </c>
      <c r="G147" s="169">
        <f t="shared" si="9"/>
        <v>3349.8608</v>
      </c>
      <c r="H147" s="169">
        <v>12.7529999999997</v>
      </c>
      <c r="I147" s="163">
        <v>24</v>
      </c>
      <c r="J147" s="163">
        <v>10004.10675</v>
      </c>
      <c r="K147" s="169">
        <f t="shared" si="8"/>
        <v>2542982.67782681</v>
      </c>
      <c r="L147" s="163"/>
      <c r="M147" s="161" t="s">
        <v>1294</v>
      </c>
      <c r="N147" s="161" t="s">
        <v>1299</v>
      </c>
      <c r="O147" s="161" t="s">
        <v>25</v>
      </c>
      <c r="P147" s="49" t="s">
        <v>25</v>
      </c>
      <c r="Q147" s="166" t="s">
        <v>1710</v>
      </c>
      <c r="R147" s="167"/>
    </row>
    <row r="148" s="148" customFormat="1" spans="1:18">
      <c r="A148" s="101" t="s">
        <v>28</v>
      </c>
      <c r="B148" s="101" t="s">
        <v>115</v>
      </c>
      <c r="C148" s="168" t="s">
        <v>1711</v>
      </c>
      <c r="D148" s="161" t="s">
        <v>1712</v>
      </c>
      <c r="E148" s="161" t="s">
        <v>1689</v>
      </c>
      <c r="F148" s="161" t="s">
        <v>1690</v>
      </c>
      <c r="G148" s="169">
        <f t="shared" si="9"/>
        <v>3356.0254</v>
      </c>
      <c r="H148" s="169">
        <v>6.16460000000006</v>
      </c>
      <c r="I148" s="163">
        <v>24</v>
      </c>
      <c r="J148" s="163">
        <v>4844.193</v>
      </c>
      <c r="K148" s="169">
        <f t="shared" si="8"/>
        <v>2547826.87082681</v>
      </c>
      <c r="L148" s="163"/>
      <c r="M148" s="161" t="s">
        <v>1294</v>
      </c>
      <c r="N148" s="161" t="s">
        <v>1299</v>
      </c>
      <c r="O148" s="161" t="s">
        <v>25</v>
      </c>
      <c r="P148" s="49" t="s">
        <v>25</v>
      </c>
      <c r="Q148" s="166" t="s">
        <v>1713</v>
      </c>
      <c r="R148" s="167"/>
    </row>
    <row r="149" s="148" customFormat="1" spans="1:18">
      <c r="A149" s="101" t="s">
        <v>28</v>
      </c>
      <c r="B149" s="101" t="s">
        <v>115</v>
      </c>
      <c r="C149" s="168" t="s">
        <v>1714</v>
      </c>
      <c r="D149" s="161" t="s">
        <v>1715</v>
      </c>
      <c r="E149" s="161" t="s">
        <v>1689</v>
      </c>
      <c r="F149" s="161" t="s">
        <v>1690</v>
      </c>
      <c r="G149" s="169">
        <f t="shared" si="9"/>
        <v>3376.4366</v>
      </c>
      <c r="H149" s="169">
        <v>20.4112</v>
      </c>
      <c r="I149" s="163">
        <v>21</v>
      </c>
      <c r="J149" s="163">
        <v>15968.2445</v>
      </c>
      <c r="K149" s="169">
        <f t="shared" si="8"/>
        <v>2563795.11532681</v>
      </c>
      <c r="L149" s="163"/>
      <c r="M149" s="161" t="s">
        <v>1294</v>
      </c>
      <c r="N149" s="161" t="s">
        <v>1299</v>
      </c>
      <c r="O149" s="161" t="s">
        <v>25</v>
      </c>
      <c r="P149" s="49" t="s">
        <v>25</v>
      </c>
      <c r="Q149" s="166" t="s">
        <v>1716</v>
      </c>
      <c r="R149" s="167"/>
    </row>
    <row r="150" s="148" customFormat="1" spans="1:18">
      <c r="A150" s="101" t="s">
        <v>28</v>
      </c>
      <c r="B150" s="101" t="s">
        <v>115</v>
      </c>
      <c r="C150" s="168" t="s">
        <v>1717</v>
      </c>
      <c r="D150" s="161" t="s">
        <v>1718</v>
      </c>
      <c r="E150" s="161" t="s">
        <v>1689</v>
      </c>
      <c r="F150" s="161" t="s">
        <v>1690</v>
      </c>
      <c r="G150" s="169">
        <f t="shared" si="9"/>
        <v>3383.3752</v>
      </c>
      <c r="H150" s="169">
        <v>6.93859999999995</v>
      </c>
      <c r="I150" s="163">
        <v>25</v>
      </c>
      <c r="J150" s="163">
        <v>5305.9935</v>
      </c>
      <c r="K150" s="169">
        <f t="shared" si="8"/>
        <v>2569101.10882681</v>
      </c>
      <c r="L150" s="163"/>
      <c r="M150" s="161" t="s">
        <v>1294</v>
      </c>
      <c r="N150" s="161" t="s">
        <v>1299</v>
      </c>
      <c r="O150" s="161" t="s">
        <v>25</v>
      </c>
      <c r="P150" s="49" t="s">
        <v>25</v>
      </c>
      <c r="Q150" s="166" t="s">
        <v>1719</v>
      </c>
      <c r="R150" s="167"/>
    </row>
    <row r="151" s="148" customFormat="1" spans="1:18">
      <c r="A151" s="101" t="s">
        <v>28</v>
      </c>
      <c r="B151" s="101" t="s">
        <v>115</v>
      </c>
      <c r="C151" s="168" t="s">
        <v>1720</v>
      </c>
      <c r="D151" s="161" t="s">
        <v>1720</v>
      </c>
      <c r="E151" s="161" t="s">
        <v>1689</v>
      </c>
      <c r="F151" s="161" t="s">
        <v>1690</v>
      </c>
      <c r="G151" s="169">
        <f t="shared" si="9"/>
        <v>3391.285</v>
      </c>
      <c r="H151" s="169">
        <v>7.90980000000036</v>
      </c>
      <c r="I151" s="163">
        <v>46</v>
      </c>
      <c r="J151" s="163">
        <v>6181.686625</v>
      </c>
      <c r="K151" s="169">
        <f t="shared" si="8"/>
        <v>2575282.79545181</v>
      </c>
      <c r="L151" s="163"/>
      <c r="M151" s="161" t="s">
        <v>1294</v>
      </c>
      <c r="N151" s="161" t="s">
        <v>1331</v>
      </c>
      <c r="O151" s="161" t="s">
        <v>14</v>
      </c>
      <c r="P151" s="49" t="s">
        <v>14</v>
      </c>
      <c r="Q151" s="166" t="s">
        <v>1721</v>
      </c>
      <c r="R151" s="167"/>
    </row>
    <row r="152" s="148" customFormat="1" spans="1:18">
      <c r="A152" s="101" t="s">
        <v>28</v>
      </c>
      <c r="B152" s="101" t="s">
        <v>115</v>
      </c>
      <c r="C152" s="168" t="s">
        <v>1722</v>
      </c>
      <c r="D152" s="161" t="s">
        <v>1723</v>
      </c>
      <c r="E152" s="161" t="s">
        <v>1689</v>
      </c>
      <c r="F152" s="161" t="s">
        <v>1724</v>
      </c>
      <c r="G152" s="169">
        <f t="shared" si="9"/>
        <v>3417.6773</v>
      </c>
      <c r="H152" s="169">
        <v>26.3923</v>
      </c>
      <c r="I152" s="163">
        <v>63</v>
      </c>
      <c r="J152" s="163">
        <v>20680.4945</v>
      </c>
      <c r="K152" s="169">
        <f t="shared" si="8"/>
        <v>2595963.28995181</v>
      </c>
      <c r="L152" s="163"/>
      <c r="M152" s="161" t="s">
        <v>1294</v>
      </c>
      <c r="N152" s="161" t="s">
        <v>1299</v>
      </c>
      <c r="O152" s="161" t="s">
        <v>25</v>
      </c>
      <c r="P152" s="49" t="s">
        <v>25</v>
      </c>
      <c r="Q152" s="166" t="s">
        <v>1725</v>
      </c>
      <c r="R152" s="167"/>
    </row>
    <row r="153" s="148" customFormat="1" spans="1:18">
      <c r="A153" s="101" t="s">
        <v>28</v>
      </c>
      <c r="B153" s="101" t="s">
        <v>115</v>
      </c>
      <c r="C153" s="168" t="s">
        <v>127</v>
      </c>
      <c r="D153" s="161" t="s">
        <v>127</v>
      </c>
      <c r="E153" s="161" t="s">
        <v>1689</v>
      </c>
      <c r="F153" s="161" t="s">
        <v>1724</v>
      </c>
      <c r="G153" s="169">
        <f t="shared" si="9"/>
        <v>3446.211</v>
      </c>
      <c r="H153" s="169">
        <v>28.5337</v>
      </c>
      <c r="I153" s="163">
        <v>61</v>
      </c>
      <c r="J153" s="163">
        <v>22361.197</v>
      </c>
      <c r="K153" s="169">
        <f t="shared" si="8"/>
        <v>2618324.48695181</v>
      </c>
      <c r="L153" s="163"/>
      <c r="M153" s="161" t="s">
        <v>1294</v>
      </c>
      <c r="N153" s="161" t="s">
        <v>1331</v>
      </c>
      <c r="O153" s="161" t="s">
        <v>6</v>
      </c>
      <c r="P153" s="49" t="s">
        <v>6</v>
      </c>
      <c r="Q153" s="166" t="s">
        <v>1726</v>
      </c>
      <c r="R153" s="167"/>
    </row>
    <row r="154" s="148" customFormat="1" spans="1:18">
      <c r="A154" s="101" t="s">
        <v>28</v>
      </c>
      <c r="B154" s="101" t="s">
        <v>115</v>
      </c>
      <c r="C154" s="168" t="s">
        <v>1727</v>
      </c>
      <c r="D154" s="161" t="s">
        <v>1728</v>
      </c>
      <c r="E154" s="161" t="s">
        <v>1689</v>
      </c>
      <c r="F154" s="161" t="s">
        <v>1724</v>
      </c>
      <c r="G154" s="169">
        <f t="shared" si="9"/>
        <v>3471.6537</v>
      </c>
      <c r="H154" s="169">
        <v>25.4427000000001</v>
      </c>
      <c r="I154" s="163">
        <v>40</v>
      </c>
      <c r="J154" s="163">
        <v>20079.682625</v>
      </c>
      <c r="K154" s="169">
        <f t="shared" si="8"/>
        <v>2638404.16957681</v>
      </c>
      <c r="L154" s="163"/>
      <c r="M154" s="161" t="s">
        <v>1294</v>
      </c>
      <c r="N154" s="161" t="s">
        <v>1299</v>
      </c>
      <c r="O154" s="161" t="s">
        <v>25</v>
      </c>
      <c r="P154" s="49" t="s">
        <v>25</v>
      </c>
      <c r="Q154" s="166" t="s">
        <v>1729</v>
      </c>
      <c r="R154" s="167"/>
    </row>
    <row r="155" s="148" customFormat="1" spans="1:18">
      <c r="A155" s="101" t="s">
        <v>28</v>
      </c>
      <c r="B155" s="101" t="s">
        <v>115</v>
      </c>
      <c r="C155" s="168" t="s">
        <v>1730</v>
      </c>
      <c r="D155" s="161" t="s">
        <v>1731</v>
      </c>
      <c r="E155" s="161" t="s">
        <v>1689</v>
      </c>
      <c r="F155" s="161" t="s">
        <v>1732</v>
      </c>
      <c r="G155" s="169">
        <f t="shared" si="9"/>
        <v>3496.7446</v>
      </c>
      <c r="H155" s="169">
        <v>25.0908999999997</v>
      </c>
      <c r="I155" s="163">
        <v>61</v>
      </c>
      <c r="J155" s="163">
        <v>19767.88875</v>
      </c>
      <c r="K155" s="169">
        <f t="shared" si="8"/>
        <v>2658172.05832681</v>
      </c>
      <c r="L155" s="163"/>
      <c r="M155" s="161" t="s">
        <v>1294</v>
      </c>
      <c r="N155" s="161" t="s">
        <v>1299</v>
      </c>
      <c r="O155" s="161" t="s">
        <v>25</v>
      </c>
      <c r="P155" s="49" t="s">
        <v>25</v>
      </c>
      <c r="Q155" s="166" t="s">
        <v>1733</v>
      </c>
      <c r="R155" s="167"/>
    </row>
    <row r="156" s="148" customFormat="1" spans="1:18">
      <c r="A156" s="101" t="s">
        <v>28</v>
      </c>
      <c r="B156" s="101" t="s">
        <v>115</v>
      </c>
      <c r="C156" s="168" t="s">
        <v>1734</v>
      </c>
      <c r="D156" s="161" t="s">
        <v>1734</v>
      </c>
      <c r="E156" s="161" t="s">
        <v>1689</v>
      </c>
      <c r="F156" s="161" t="s">
        <v>1732</v>
      </c>
      <c r="G156" s="169">
        <f t="shared" si="9"/>
        <v>3512.141</v>
      </c>
      <c r="H156" s="169">
        <v>15.3964000000001</v>
      </c>
      <c r="I156" s="163">
        <v>22</v>
      </c>
      <c r="J156" s="163">
        <v>12075.140625</v>
      </c>
      <c r="K156" s="169">
        <f t="shared" si="8"/>
        <v>2670247.19895181</v>
      </c>
      <c r="L156" s="163"/>
      <c r="M156" s="161" t="s">
        <v>1294</v>
      </c>
      <c r="N156" s="161" t="s">
        <v>1331</v>
      </c>
      <c r="O156" s="161" t="s">
        <v>14</v>
      </c>
      <c r="P156" s="49" t="s">
        <v>14</v>
      </c>
      <c r="Q156" s="166" t="s">
        <v>1735</v>
      </c>
      <c r="R156" s="167"/>
    </row>
    <row r="157" s="148" customFormat="1" spans="1:18">
      <c r="A157" s="101" t="s">
        <v>28</v>
      </c>
      <c r="B157" s="101" t="s">
        <v>115</v>
      </c>
      <c r="C157" s="168" t="s">
        <v>1736</v>
      </c>
      <c r="D157" s="161" t="s">
        <v>1737</v>
      </c>
      <c r="E157" s="161" t="s">
        <v>1689</v>
      </c>
      <c r="F157" s="161" t="s">
        <v>1732</v>
      </c>
      <c r="G157" s="169">
        <f t="shared" si="9"/>
        <v>3538.741</v>
      </c>
      <c r="H157" s="169">
        <v>26.5999999999999</v>
      </c>
      <c r="I157" s="163">
        <v>6</v>
      </c>
      <c r="J157" s="163">
        <v>17568.053375</v>
      </c>
      <c r="K157" s="169">
        <f t="shared" si="8"/>
        <v>2687815.25232681</v>
      </c>
      <c r="L157" s="163"/>
      <c r="M157" s="161" t="s">
        <v>1294</v>
      </c>
      <c r="N157" s="161" t="s">
        <v>1299</v>
      </c>
      <c r="O157" s="161" t="s">
        <v>25</v>
      </c>
      <c r="P157" s="49" t="s">
        <v>25</v>
      </c>
      <c r="Q157" s="166" t="s">
        <v>1738</v>
      </c>
      <c r="R157" s="167"/>
    </row>
    <row r="158" s="148" customFormat="1" spans="1:18">
      <c r="A158" s="101" t="s">
        <v>28</v>
      </c>
      <c r="B158" s="101" t="s">
        <v>115</v>
      </c>
      <c r="C158" s="168" t="s">
        <v>133</v>
      </c>
      <c r="D158" s="161" t="s">
        <v>133</v>
      </c>
      <c r="E158" s="161" t="s">
        <v>1689</v>
      </c>
      <c r="F158" s="161" t="s">
        <v>1739</v>
      </c>
      <c r="G158" s="169">
        <f t="shared" si="9"/>
        <v>3559.341</v>
      </c>
      <c r="H158" s="169">
        <v>20.5999999999999</v>
      </c>
      <c r="I158" s="163">
        <v>6</v>
      </c>
      <c r="J158" s="163">
        <v>15601.902727606</v>
      </c>
      <c r="K158" s="169">
        <f t="shared" si="8"/>
        <v>2703417.15505442</v>
      </c>
      <c r="L158" s="163"/>
      <c r="M158" s="161" t="s">
        <v>1294</v>
      </c>
      <c r="N158" s="161" t="s">
        <v>1331</v>
      </c>
      <c r="O158" s="161" t="s">
        <v>14</v>
      </c>
      <c r="P158" s="49" t="s">
        <v>14</v>
      </c>
      <c r="Q158" s="166" t="s">
        <v>1740</v>
      </c>
      <c r="R158" s="167"/>
    </row>
    <row r="159" s="148" customFormat="1" spans="1:18">
      <c r="A159" s="101" t="s">
        <v>28</v>
      </c>
      <c r="B159" s="101" t="s">
        <v>115</v>
      </c>
      <c r="C159" s="168" t="s">
        <v>1741</v>
      </c>
      <c r="D159" s="161" t="s">
        <v>1742</v>
      </c>
      <c r="E159" s="161" t="s">
        <v>1689</v>
      </c>
      <c r="F159" s="161" t="s">
        <v>1739</v>
      </c>
      <c r="G159" s="169">
        <f t="shared" si="9"/>
        <v>3570.5128</v>
      </c>
      <c r="H159" s="169">
        <v>11.1718000000001</v>
      </c>
      <c r="I159" s="163">
        <v>20</v>
      </c>
      <c r="J159" s="163">
        <v>7748.91923581584</v>
      </c>
      <c r="K159" s="169">
        <f t="shared" si="8"/>
        <v>2711166.07429024</v>
      </c>
      <c r="L159" s="163"/>
      <c r="M159" s="161" t="s">
        <v>1294</v>
      </c>
      <c r="N159" s="161" t="s">
        <v>1299</v>
      </c>
      <c r="O159" s="161" t="s">
        <v>25</v>
      </c>
      <c r="P159" s="49" t="s">
        <v>25</v>
      </c>
      <c r="Q159" s="166" t="s">
        <v>1743</v>
      </c>
      <c r="R159" s="167"/>
    </row>
    <row r="160" s="148" customFormat="1" spans="1:18">
      <c r="A160" s="101" t="s">
        <v>28</v>
      </c>
      <c r="B160" s="101" t="s">
        <v>115</v>
      </c>
      <c r="C160" s="168" t="s">
        <v>154</v>
      </c>
      <c r="D160" s="161" t="s">
        <v>154</v>
      </c>
      <c r="E160" s="161" t="s">
        <v>1689</v>
      </c>
      <c r="F160" s="161" t="s">
        <v>1739</v>
      </c>
      <c r="G160" s="169">
        <f t="shared" si="9"/>
        <v>3586.664</v>
      </c>
      <c r="H160" s="169">
        <v>16.1512000000002</v>
      </c>
      <c r="I160" s="163">
        <v>9</v>
      </c>
      <c r="J160" s="163">
        <v>11143.5419318136</v>
      </c>
      <c r="K160" s="169">
        <f t="shared" si="8"/>
        <v>2722309.61622205</v>
      </c>
      <c r="L160" s="163"/>
      <c r="M160" s="161" t="s">
        <v>1294</v>
      </c>
      <c r="N160" s="161" t="s">
        <v>1331</v>
      </c>
      <c r="O160" s="161" t="s">
        <v>14</v>
      </c>
      <c r="P160" s="49" t="s">
        <v>14</v>
      </c>
      <c r="Q160" s="166" t="s">
        <v>1744</v>
      </c>
      <c r="R160" s="167"/>
    </row>
    <row r="161" s="148" customFormat="1" spans="1:18">
      <c r="A161" s="101" t="s">
        <v>28</v>
      </c>
      <c r="B161" s="101" t="s">
        <v>115</v>
      </c>
      <c r="C161" s="168" t="s">
        <v>159</v>
      </c>
      <c r="D161" s="161" t="s">
        <v>159</v>
      </c>
      <c r="E161" s="161" t="s">
        <v>1689</v>
      </c>
      <c r="F161" s="161" t="s">
        <v>1745</v>
      </c>
      <c r="G161" s="169">
        <f t="shared" si="9"/>
        <v>3593.95</v>
      </c>
      <c r="H161" s="169">
        <v>7.28600000000006</v>
      </c>
      <c r="I161" s="163">
        <v>4</v>
      </c>
      <c r="J161" s="163">
        <v>5313.40146206894</v>
      </c>
      <c r="K161" s="169">
        <f t="shared" si="8"/>
        <v>2727623.01768412</v>
      </c>
      <c r="L161" s="163"/>
      <c r="M161" s="161" t="s">
        <v>1294</v>
      </c>
      <c r="N161" s="161" t="s">
        <v>1331</v>
      </c>
      <c r="O161" s="161" t="s">
        <v>14</v>
      </c>
      <c r="P161" s="49" t="s">
        <v>14</v>
      </c>
      <c r="Q161" s="166" t="s">
        <v>1746</v>
      </c>
      <c r="R161" s="167"/>
    </row>
    <row r="162" s="148" customFormat="1" spans="1:18">
      <c r="A162" s="101" t="s">
        <v>28</v>
      </c>
      <c r="B162" s="101" t="s">
        <v>115</v>
      </c>
      <c r="C162" s="168" t="s">
        <v>1747</v>
      </c>
      <c r="D162" s="161" t="s">
        <v>1748</v>
      </c>
      <c r="E162" s="161" t="s">
        <v>1689</v>
      </c>
      <c r="F162" s="161" t="s">
        <v>1745</v>
      </c>
      <c r="G162" s="169">
        <f t="shared" si="9"/>
        <v>3609.9476</v>
      </c>
      <c r="H162" s="169">
        <v>15.9975999999997</v>
      </c>
      <c r="I162" s="163">
        <v>14</v>
      </c>
      <c r="J162" s="163">
        <v>11370.7938901717</v>
      </c>
      <c r="K162" s="169">
        <f t="shared" si="8"/>
        <v>2738993.81157429</v>
      </c>
      <c r="L162" s="163"/>
      <c r="M162" s="161" t="s">
        <v>1294</v>
      </c>
      <c r="N162" s="161" t="s">
        <v>1299</v>
      </c>
      <c r="O162" s="161" t="s">
        <v>25</v>
      </c>
      <c r="P162" s="49" t="s">
        <v>25</v>
      </c>
      <c r="Q162" s="166" t="s">
        <v>1749</v>
      </c>
      <c r="R162" s="167"/>
    </row>
    <row r="163" s="148" customFormat="1" spans="1:18">
      <c r="A163" s="101" t="s">
        <v>28</v>
      </c>
      <c r="B163" s="101" t="s">
        <v>115</v>
      </c>
      <c r="C163" s="168" t="s">
        <v>1750</v>
      </c>
      <c r="D163" s="161" t="s">
        <v>1751</v>
      </c>
      <c r="E163" s="161" t="s">
        <v>1689</v>
      </c>
      <c r="F163" s="161" t="s">
        <v>1745</v>
      </c>
      <c r="G163" s="169">
        <f t="shared" si="9"/>
        <v>3621.853</v>
      </c>
      <c r="H163" s="169">
        <v>11.9054000000001</v>
      </c>
      <c r="I163" s="163"/>
      <c r="J163" s="163">
        <v>8799.49386297934</v>
      </c>
      <c r="K163" s="169">
        <f t="shared" si="8"/>
        <v>2747793.30543727</v>
      </c>
      <c r="L163" s="163"/>
      <c r="M163" s="161" t="s">
        <v>1294</v>
      </c>
      <c r="N163" s="161" t="s">
        <v>1299</v>
      </c>
      <c r="O163" s="161" t="s">
        <v>25</v>
      </c>
      <c r="P163" s="49" t="s">
        <v>25</v>
      </c>
      <c r="Q163" s="166" t="s">
        <v>1752</v>
      </c>
      <c r="R163" s="167"/>
    </row>
    <row r="164" s="148" customFormat="1" spans="1:18">
      <c r="A164" s="101" t="s">
        <v>28</v>
      </c>
      <c r="B164" s="101" t="s">
        <v>115</v>
      </c>
      <c r="C164" s="168" t="s">
        <v>1753</v>
      </c>
      <c r="D164" s="161" t="s">
        <v>1754</v>
      </c>
      <c r="E164" s="161" t="s">
        <v>1689</v>
      </c>
      <c r="F164" s="161" t="s">
        <v>1745</v>
      </c>
      <c r="G164" s="169">
        <f t="shared" si="9"/>
        <v>3628.9856</v>
      </c>
      <c r="H164" s="169">
        <v>7.13259999999991</v>
      </c>
      <c r="I164" s="163"/>
      <c r="J164" s="163">
        <v>5395.07878347323</v>
      </c>
      <c r="K164" s="169">
        <f t="shared" si="8"/>
        <v>2753188.38422074</v>
      </c>
      <c r="L164" s="163"/>
      <c r="M164" s="161" t="s">
        <v>1294</v>
      </c>
      <c r="N164" s="161" t="s">
        <v>1299</v>
      </c>
      <c r="O164" s="161" t="s">
        <v>25</v>
      </c>
      <c r="P164" s="49" t="s">
        <v>25</v>
      </c>
      <c r="Q164" s="166" t="s">
        <v>1755</v>
      </c>
      <c r="R164" s="167"/>
    </row>
    <row r="165" s="148" customFormat="1" spans="1:18">
      <c r="A165" s="101" t="s">
        <v>28</v>
      </c>
      <c r="B165" s="101" t="s">
        <v>115</v>
      </c>
      <c r="C165" s="168" t="s">
        <v>145</v>
      </c>
      <c r="D165" s="161" t="s">
        <v>145</v>
      </c>
      <c r="E165" s="161" t="s">
        <v>1689</v>
      </c>
      <c r="F165" s="161" t="s">
        <v>1745</v>
      </c>
      <c r="G165" s="169">
        <f t="shared" si="9"/>
        <v>3633.125</v>
      </c>
      <c r="H165" s="169">
        <v>4.13940000000002</v>
      </c>
      <c r="I165" s="163">
        <v>36</v>
      </c>
      <c r="J165" s="163">
        <v>2844.1210131854</v>
      </c>
      <c r="K165" s="169">
        <f t="shared" si="8"/>
        <v>2756032.50523393</v>
      </c>
      <c r="L165" s="163"/>
      <c r="M165" s="161" t="s">
        <v>1294</v>
      </c>
      <c r="N165" s="161" t="s">
        <v>1331</v>
      </c>
      <c r="O165" s="161" t="s">
        <v>14</v>
      </c>
      <c r="P165" s="49" t="s">
        <v>14</v>
      </c>
      <c r="Q165" s="166" t="s">
        <v>1756</v>
      </c>
      <c r="R165" s="167"/>
    </row>
    <row r="166" s="148" customFormat="1" spans="1:18">
      <c r="A166" s="101" t="s">
        <v>28</v>
      </c>
      <c r="B166" s="101" t="s">
        <v>115</v>
      </c>
      <c r="C166" s="168" t="s">
        <v>1757</v>
      </c>
      <c r="D166" s="161" t="s">
        <v>1758</v>
      </c>
      <c r="E166" s="161" t="s">
        <v>1689</v>
      </c>
      <c r="F166" s="161" t="s">
        <v>1745</v>
      </c>
      <c r="G166" s="169">
        <f t="shared" si="9"/>
        <v>3655.288</v>
      </c>
      <c r="H166" s="169">
        <v>22.163</v>
      </c>
      <c r="I166" s="163">
        <v>14</v>
      </c>
      <c r="J166" s="163">
        <v>16506.3367576057</v>
      </c>
      <c r="K166" s="169">
        <f t="shared" ref="K166:K182" si="10">K165+J166</f>
        <v>2772538.84199153</v>
      </c>
      <c r="L166" s="163"/>
      <c r="M166" s="161" t="s">
        <v>1294</v>
      </c>
      <c r="N166" s="161" t="s">
        <v>1299</v>
      </c>
      <c r="O166" s="161" t="s">
        <v>14</v>
      </c>
      <c r="P166" s="49" t="s">
        <v>14</v>
      </c>
      <c r="Q166" s="166" t="s">
        <v>1759</v>
      </c>
      <c r="R166" s="167"/>
    </row>
    <row r="167" s="148" customFormat="1" spans="1:18">
      <c r="A167" s="101" t="s">
        <v>28</v>
      </c>
      <c r="B167" s="101" t="s">
        <v>115</v>
      </c>
      <c r="C167" s="168" t="s">
        <v>1760</v>
      </c>
      <c r="D167" s="161" t="s">
        <v>1761</v>
      </c>
      <c r="E167" s="161" t="s">
        <v>1689</v>
      </c>
      <c r="F167" s="161" t="s">
        <v>1745</v>
      </c>
      <c r="G167" s="169">
        <f t="shared" si="9"/>
        <v>3675.5392</v>
      </c>
      <c r="H167" s="169">
        <v>20.2512000000002</v>
      </c>
      <c r="I167" s="163">
        <v>6</v>
      </c>
      <c r="J167" s="163">
        <v>15795.0945528342</v>
      </c>
      <c r="K167" s="169">
        <f t="shared" si="10"/>
        <v>2788333.93654437</v>
      </c>
      <c r="L167" s="163"/>
      <c r="M167" s="161" t="s">
        <v>1294</v>
      </c>
      <c r="N167" s="161" t="s">
        <v>1299</v>
      </c>
      <c r="O167" s="161" t="s">
        <v>25</v>
      </c>
      <c r="P167" s="49" t="s">
        <v>25</v>
      </c>
      <c r="Q167" s="166" t="s">
        <v>1762</v>
      </c>
      <c r="R167" s="167"/>
    </row>
    <row r="168" s="148" customFormat="1" spans="1:18">
      <c r="A168" s="101" t="s">
        <v>28</v>
      </c>
      <c r="B168" s="101" t="s">
        <v>115</v>
      </c>
      <c r="C168" s="168" t="s">
        <v>1763</v>
      </c>
      <c r="D168" s="161" t="s">
        <v>1764</v>
      </c>
      <c r="E168" s="161" t="s">
        <v>1689</v>
      </c>
      <c r="F168" s="161" t="s">
        <v>1745</v>
      </c>
      <c r="G168" s="169">
        <f t="shared" si="9"/>
        <v>3688.7304</v>
      </c>
      <c r="H168" s="169">
        <v>13.1911999999998</v>
      </c>
      <c r="I168" s="163">
        <v>5</v>
      </c>
      <c r="J168" s="163">
        <v>10124.6335611429</v>
      </c>
      <c r="K168" s="169">
        <f t="shared" si="10"/>
        <v>2798458.57010551</v>
      </c>
      <c r="L168" s="163"/>
      <c r="M168" s="161" t="s">
        <v>1294</v>
      </c>
      <c r="N168" s="161" t="s">
        <v>1299</v>
      </c>
      <c r="O168" s="161" t="s">
        <v>25</v>
      </c>
      <c r="P168" s="49" t="s">
        <v>25</v>
      </c>
      <c r="Q168" s="166" t="s">
        <v>1765</v>
      </c>
      <c r="R168" s="167"/>
    </row>
    <row r="169" s="148" customFormat="1" spans="1:18">
      <c r="A169" s="101" t="s">
        <v>28</v>
      </c>
      <c r="B169" s="101" t="s">
        <v>115</v>
      </c>
      <c r="C169" s="168" t="s">
        <v>1766</v>
      </c>
      <c r="D169" s="161" t="s">
        <v>1766</v>
      </c>
      <c r="E169" s="161" t="s">
        <v>1689</v>
      </c>
      <c r="F169" s="161" t="s">
        <v>1745</v>
      </c>
      <c r="G169" s="169">
        <f t="shared" si="9"/>
        <v>3700.402</v>
      </c>
      <c r="H169" s="169">
        <v>11.6716000000001</v>
      </c>
      <c r="I169" s="163">
        <v>4</v>
      </c>
      <c r="J169" s="163">
        <v>8160.58057021846</v>
      </c>
      <c r="K169" s="169">
        <f t="shared" si="10"/>
        <v>2806619.15067573</v>
      </c>
      <c r="L169" s="163"/>
      <c r="M169" s="161" t="s">
        <v>1294</v>
      </c>
      <c r="N169" s="161" t="s">
        <v>1331</v>
      </c>
      <c r="O169" s="161" t="s">
        <v>14</v>
      </c>
      <c r="P169" s="49" t="s">
        <v>14</v>
      </c>
      <c r="Q169" s="166" t="s">
        <v>1767</v>
      </c>
      <c r="R169" s="167"/>
    </row>
    <row r="170" s="148" customFormat="1" spans="1:18">
      <c r="A170" s="101" t="s">
        <v>28</v>
      </c>
      <c r="B170" s="101" t="s">
        <v>115</v>
      </c>
      <c r="C170" s="168" t="s">
        <v>119</v>
      </c>
      <c r="D170" s="161" t="s">
        <v>119</v>
      </c>
      <c r="E170" s="161" t="s">
        <v>1689</v>
      </c>
      <c r="F170" s="161" t="s">
        <v>1768</v>
      </c>
      <c r="G170" s="169">
        <f t="shared" si="9"/>
        <v>3717.33</v>
      </c>
      <c r="H170" s="169">
        <v>16.9279999999999</v>
      </c>
      <c r="I170" s="163">
        <v>0</v>
      </c>
      <c r="J170" s="163">
        <v>12612.4836888722</v>
      </c>
      <c r="K170" s="169">
        <f t="shared" si="10"/>
        <v>2819231.6343646</v>
      </c>
      <c r="L170" s="163"/>
      <c r="M170" s="161" t="s">
        <v>1294</v>
      </c>
      <c r="N170" s="161" t="s">
        <v>1331</v>
      </c>
      <c r="O170" s="161" t="s">
        <v>14</v>
      </c>
      <c r="P170" s="49" t="s">
        <v>14</v>
      </c>
      <c r="Q170" s="166" t="s">
        <v>1769</v>
      </c>
      <c r="R170" s="167"/>
    </row>
    <row r="171" s="148" customFormat="1" spans="1:18">
      <c r="A171" s="101" t="s">
        <v>28</v>
      </c>
      <c r="B171" s="101" t="s">
        <v>115</v>
      </c>
      <c r="C171" s="168" t="s">
        <v>1770</v>
      </c>
      <c r="D171" s="161" t="s">
        <v>1771</v>
      </c>
      <c r="E171" s="161" t="s">
        <v>1689</v>
      </c>
      <c r="F171" s="161" t="s">
        <v>1768</v>
      </c>
      <c r="G171" s="169">
        <f t="shared" si="9"/>
        <v>3731.7248</v>
      </c>
      <c r="H171" s="169">
        <v>14.3948</v>
      </c>
      <c r="I171" s="163">
        <v>2</v>
      </c>
      <c r="J171" s="163">
        <v>10294.5137136204</v>
      </c>
      <c r="K171" s="169">
        <f t="shared" si="10"/>
        <v>2829526.14807822</v>
      </c>
      <c r="L171" s="163"/>
      <c r="M171" s="161" t="s">
        <v>1294</v>
      </c>
      <c r="N171" s="161" t="s">
        <v>1299</v>
      </c>
      <c r="O171" s="161" t="s">
        <v>25</v>
      </c>
      <c r="P171" s="49" t="s">
        <v>25</v>
      </c>
      <c r="Q171" s="166" t="s">
        <v>1772</v>
      </c>
      <c r="R171" s="167"/>
    </row>
    <row r="172" s="148" customFormat="1" spans="1:18">
      <c r="A172" s="101" t="s">
        <v>28</v>
      </c>
      <c r="B172" s="101" t="s">
        <v>115</v>
      </c>
      <c r="C172" s="168" t="s">
        <v>1773</v>
      </c>
      <c r="D172" s="161" t="s">
        <v>1774</v>
      </c>
      <c r="E172" s="161" t="s">
        <v>1689</v>
      </c>
      <c r="F172" s="161" t="s">
        <v>1768</v>
      </c>
      <c r="G172" s="169">
        <f t="shared" si="9"/>
        <v>3743.6326</v>
      </c>
      <c r="H172" s="169">
        <v>11.9078</v>
      </c>
      <c r="I172" s="163">
        <v>5</v>
      </c>
      <c r="J172" s="163">
        <v>9446.60312800875</v>
      </c>
      <c r="K172" s="169">
        <f t="shared" si="10"/>
        <v>2838972.75120623</v>
      </c>
      <c r="L172" s="163"/>
      <c r="M172" s="161" t="s">
        <v>1294</v>
      </c>
      <c r="N172" s="161" t="s">
        <v>1299</v>
      </c>
      <c r="O172" s="161" t="s">
        <v>25</v>
      </c>
      <c r="P172" s="49" t="s">
        <v>25</v>
      </c>
      <c r="Q172" s="166" t="s">
        <v>1775</v>
      </c>
      <c r="R172" s="167"/>
    </row>
    <row r="173" s="148" customFormat="1" spans="1:18">
      <c r="A173" s="101" t="s">
        <v>28</v>
      </c>
      <c r="B173" s="101" t="s">
        <v>115</v>
      </c>
      <c r="C173" s="168" t="s">
        <v>1776</v>
      </c>
      <c r="D173" s="161" t="s">
        <v>1776</v>
      </c>
      <c r="E173" s="161" t="s">
        <v>1689</v>
      </c>
      <c r="F173" s="161" t="s">
        <v>1768</v>
      </c>
      <c r="G173" s="169">
        <f t="shared" si="9"/>
        <v>3754.483</v>
      </c>
      <c r="H173" s="169">
        <v>10.8504000000003</v>
      </c>
      <c r="I173" s="163">
        <v>4</v>
      </c>
      <c r="J173" s="163">
        <v>7940.77949574094</v>
      </c>
      <c r="K173" s="169">
        <f t="shared" si="10"/>
        <v>2846913.53070197</v>
      </c>
      <c r="L173" s="163"/>
      <c r="M173" s="161" t="s">
        <v>1294</v>
      </c>
      <c r="N173" s="161" t="s">
        <v>1331</v>
      </c>
      <c r="O173" s="161" t="s">
        <v>14</v>
      </c>
      <c r="P173" s="49" t="s">
        <v>14</v>
      </c>
      <c r="Q173" s="166" t="s">
        <v>1777</v>
      </c>
      <c r="R173" s="167"/>
    </row>
    <row r="174" s="148" customFormat="1" spans="1:18">
      <c r="A174" s="101" t="s">
        <v>28</v>
      </c>
      <c r="B174" s="101" t="s">
        <v>115</v>
      </c>
      <c r="C174" s="168" t="s">
        <v>139</v>
      </c>
      <c r="D174" s="161" t="s">
        <v>139</v>
      </c>
      <c r="E174" s="161" t="s">
        <v>1689</v>
      </c>
      <c r="F174" s="161" t="s">
        <v>1768</v>
      </c>
      <c r="G174" s="169">
        <f t="shared" si="9"/>
        <v>3773.533</v>
      </c>
      <c r="H174" s="169">
        <v>19.0499999999997</v>
      </c>
      <c r="I174" s="163">
        <v>3</v>
      </c>
      <c r="J174" s="163">
        <v>14193.5612483341</v>
      </c>
      <c r="K174" s="169">
        <f t="shared" si="10"/>
        <v>2861107.0919503</v>
      </c>
      <c r="L174" s="163"/>
      <c r="M174" s="161" t="s">
        <v>1294</v>
      </c>
      <c r="N174" s="161" t="s">
        <v>1331</v>
      </c>
      <c r="O174" s="161" t="s">
        <v>14</v>
      </c>
      <c r="P174" s="49" t="s">
        <v>14</v>
      </c>
      <c r="Q174" s="166" t="s">
        <v>1778</v>
      </c>
      <c r="R174" s="167"/>
    </row>
    <row r="175" s="148" customFormat="1" spans="1:18">
      <c r="A175" s="101" t="s">
        <v>28</v>
      </c>
      <c r="B175" s="101" t="s">
        <v>115</v>
      </c>
      <c r="C175" s="168" t="s">
        <v>1779</v>
      </c>
      <c r="D175" s="161" t="s">
        <v>1780</v>
      </c>
      <c r="E175" s="161" t="s">
        <v>1689</v>
      </c>
      <c r="F175" s="161" t="s">
        <v>1768</v>
      </c>
      <c r="G175" s="169">
        <f t="shared" si="9"/>
        <v>3783.2276</v>
      </c>
      <c r="H175" s="169">
        <v>9.69460000000026</v>
      </c>
      <c r="I175" s="163">
        <v>2</v>
      </c>
      <c r="J175" s="163">
        <v>7165.14248377151</v>
      </c>
      <c r="K175" s="169">
        <f t="shared" si="10"/>
        <v>2868272.23443408</v>
      </c>
      <c r="L175" s="172"/>
      <c r="M175" s="161" t="s">
        <v>1294</v>
      </c>
      <c r="N175" s="161" t="s">
        <v>1299</v>
      </c>
      <c r="O175" s="161" t="s">
        <v>25</v>
      </c>
      <c r="P175" s="49" t="s">
        <v>25</v>
      </c>
      <c r="Q175" s="166" t="s">
        <v>1781</v>
      </c>
      <c r="R175" s="167"/>
    </row>
    <row r="176" s="148" customFormat="1" spans="1:18">
      <c r="A176" s="101" t="s">
        <v>28</v>
      </c>
      <c r="B176" s="101" t="s">
        <v>115</v>
      </c>
      <c r="C176" s="168" t="s">
        <v>1782</v>
      </c>
      <c r="D176" s="161" t="s">
        <v>1783</v>
      </c>
      <c r="E176" s="161" t="s">
        <v>1689</v>
      </c>
      <c r="F176" s="161" t="s">
        <v>1768</v>
      </c>
      <c r="G176" s="169">
        <f t="shared" si="9"/>
        <v>3792.117</v>
      </c>
      <c r="H176" s="169">
        <v>8.88940000000002</v>
      </c>
      <c r="I176" s="163">
        <v>2</v>
      </c>
      <c r="J176" s="163">
        <v>5984.68694736035</v>
      </c>
      <c r="K176" s="169">
        <f t="shared" si="10"/>
        <v>2874256.92138144</v>
      </c>
      <c r="L176" s="172"/>
      <c r="M176" s="161" t="s">
        <v>1294</v>
      </c>
      <c r="N176" s="161" t="s">
        <v>1299</v>
      </c>
      <c r="O176" s="161" t="s">
        <v>25</v>
      </c>
      <c r="P176" s="49" t="s">
        <v>25</v>
      </c>
      <c r="Q176" s="166" t="s">
        <v>1784</v>
      </c>
      <c r="R176" s="167"/>
    </row>
    <row r="177" s="148" customFormat="1" spans="1:18">
      <c r="A177" s="101" t="s">
        <v>28</v>
      </c>
      <c r="B177" s="101" t="s">
        <v>115</v>
      </c>
      <c r="C177" s="168" t="s">
        <v>1785</v>
      </c>
      <c r="D177" s="161" t="s">
        <v>1785</v>
      </c>
      <c r="E177" s="161" t="s">
        <v>1689</v>
      </c>
      <c r="F177" s="161" t="s">
        <v>1786</v>
      </c>
      <c r="G177" s="169">
        <f t="shared" si="9"/>
        <v>3797.6201</v>
      </c>
      <c r="H177" s="169">
        <v>5.5030999999999</v>
      </c>
      <c r="I177" s="163">
        <v>2</v>
      </c>
      <c r="J177" s="163">
        <v>4567.7312733556</v>
      </c>
      <c r="K177" s="169">
        <f t="shared" si="10"/>
        <v>2878824.65265479</v>
      </c>
      <c r="L177" s="163" t="s">
        <v>1787</v>
      </c>
      <c r="M177" s="161" t="s">
        <v>1294</v>
      </c>
      <c r="N177" s="161" t="s">
        <v>1331</v>
      </c>
      <c r="O177" s="161" t="s">
        <v>14</v>
      </c>
      <c r="P177" s="49" t="s">
        <v>14</v>
      </c>
      <c r="Q177" s="166" t="s">
        <v>1788</v>
      </c>
      <c r="R177" s="167"/>
    </row>
    <row r="178" s="148" customFormat="1" spans="1:18">
      <c r="A178" s="101" t="s">
        <v>28</v>
      </c>
      <c r="B178" s="101" t="s">
        <v>115</v>
      </c>
      <c r="C178" s="168" t="s">
        <v>1789</v>
      </c>
      <c r="D178" s="161" t="s">
        <v>1790</v>
      </c>
      <c r="E178" s="161" t="s">
        <v>1689</v>
      </c>
      <c r="F178" s="161" t="s">
        <v>1786</v>
      </c>
      <c r="G178" s="169">
        <f t="shared" si="9"/>
        <v>3805.0804</v>
      </c>
      <c r="H178" s="169">
        <v>7.46030000000019</v>
      </c>
      <c r="I178" s="163">
        <v>4</v>
      </c>
      <c r="J178" s="163">
        <v>5153.32849735241</v>
      </c>
      <c r="K178" s="169">
        <f t="shared" si="10"/>
        <v>2883977.98115214</v>
      </c>
      <c r="L178" s="163"/>
      <c r="M178" s="161" t="s">
        <v>1294</v>
      </c>
      <c r="N178" s="161" t="s">
        <v>1299</v>
      </c>
      <c r="O178" s="161" t="s">
        <v>25</v>
      </c>
      <c r="P178" s="49" t="s">
        <v>25</v>
      </c>
      <c r="Q178" s="166" t="s">
        <v>1791</v>
      </c>
      <c r="R178" s="167"/>
    </row>
    <row r="179" s="148" customFormat="1" spans="1:18">
      <c r="A179" s="101" t="s">
        <v>28</v>
      </c>
      <c r="B179" s="101" t="s">
        <v>115</v>
      </c>
      <c r="C179" s="168" t="s">
        <v>1792</v>
      </c>
      <c r="D179" s="161" t="s">
        <v>1793</v>
      </c>
      <c r="E179" s="161" t="s">
        <v>1689</v>
      </c>
      <c r="F179" s="161" t="s">
        <v>1786</v>
      </c>
      <c r="G179" s="169">
        <f t="shared" si="9"/>
        <v>3812.1079</v>
      </c>
      <c r="H179" s="169">
        <v>7.02749999999969</v>
      </c>
      <c r="I179" s="163">
        <v>2</v>
      </c>
      <c r="J179" s="163">
        <v>5421.69683910968</v>
      </c>
      <c r="K179" s="169">
        <f t="shared" si="10"/>
        <v>2889399.67799125</v>
      </c>
      <c r="L179" s="163"/>
      <c r="M179" s="161" t="s">
        <v>1294</v>
      </c>
      <c r="N179" s="161" t="s">
        <v>1299</v>
      </c>
      <c r="O179" s="161" t="s">
        <v>25</v>
      </c>
      <c r="P179" s="49" t="s">
        <v>25</v>
      </c>
      <c r="Q179" s="166" t="s">
        <v>1794</v>
      </c>
      <c r="R179" s="167"/>
    </row>
    <row r="180" s="148" customFormat="1" ht="30" spans="1:18">
      <c r="A180" s="101" t="s">
        <v>28</v>
      </c>
      <c r="B180" s="101" t="s">
        <v>115</v>
      </c>
      <c r="C180" s="168" t="s">
        <v>142</v>
      </c>
      <c r="D180" s="161" t="s">
        <v>142</v>
      </c>
      <c r="E180" s="161" t="s">
        <v>1689</v>
      </c>
      <c r="F180" s="161" t="s">
        <v>1786</v>
      </c>
      <c r="G180" s="169">
        <f t="shared" si="9"/>
        <v>3819.2541</v>
      </c>
      <c r="H180" s="169">
        <v>7.14620000000014</v>
      </c>
      <c r="I180" s="163">
        <v>2</v>
      </c>
      <c r="J180" s="163">
        <v>5202.91829963374</v>
      </c>
      <c r="K180" s="169">
        <f t="shared" si="10"/>
        <v>2894602.59629089</v>
      </c>
      <c r="L180" s="163" t="s">
        <v>1795</v>
      </c>
      <c r="M180" s="161" t="s">
        <v>1294</v>
      </c>
      <c r="N180" s="161" t="s">
        <v>1331</v>
      </c>
      <c r="O180" s="161" t="s">
        <v>14</v>
      </c>
      <c r="P180" s="49" t="s">
        <v>14</v>
      </c>
      <c r="Q180" s="166" t="s">
        <v>1796</v>
      </c>
      <c r="R180" s="167"/>
    </row>
    <row r="181" s="148" customFormat="1" spans="1:18">
      <c r="A181" s="101" t="s">
        <v>28</v>
      </c>
      <c r="B181" s="101" t="s">
        <v>115</v>
      </c>
      <c r="C181" s="168" t="s">
        <v>1797</v>
      </c>
      <c r="D181" s="161" t="s">
        <v>1797</v>
      </c>
      <c r="E181" s="161" t="s">
        <v>1689</v>
      </c>
      <c r="F181" s="161" t="s">
        <v>1798</v>
      </c>
      <c r="G181" s="169">
        <f t="shared" si="9"/>
        <v>3832.3461</v>
      </c>
      <c r="H181" s="169">
        <v>13.0920000000001</v>
      </c>
      <c r="I181" s="163">
        <v>2</v>
      </c>
      <c r="J181" s="163">
        <v>9754.32463227722</v>
      </c>
      <c r="K181" s="169">
        <f t="shared" si="10"/>
        <v>2904356.92092316</v>
      </c>
      <c r="L181" s="163" t="s">
        <v>1799</v>
      </c>
      <c r="M181" s="161" t="s">
        <v>1294</v>
      </c>
      <c r="N181" s="161" t="s">
        <v>1331</v>
      </c>
      <c r="O181" s="161" t="s">
        <v>14</v>
      </c>
      <c r="P181" s="49" t="s">
        <v>14</v>
      </c>
      <c r="Q181" s="166" t="s">
        <v>1800</v>
      </c>
      <c r="R181" s="167"/>
    </row>
    <row r="182" s="148" customFormat="1" spans="1:18">
      <c r="A182" s="101" t="s">
        <v>28</v>
      </c>
      <c r="B182" s="101" t="s">
        <v>115</v>
      </c>
      <c r="C182" s="168" t="s">
        <v>116</v>
      </c>
      <c r="D182" s="161" t="s">
        <v>116</v>
      </c>
      <c r="E182" s="161" t="s">
        <v>1689</v>
      </c>
      <c r="F182" s="161" t="s">
        <v>1798</v>
      </c>
      <c r="G182" s="169">
        <f t="shared" si="9"/>
        <v>3846.1981</v>
      </c>
      <c r="H182" s="169">
        <v>13.8519999999999</v>
      </c>
      <c r="I182" s="163">
        <v>4</v>
      </c>
      <c r="J182" s="163">
        <v>10320.591807202</v>
      </c>
      <c r="K182" s="169">
        <f t="shared" si="10"/>
        <v>2914677.51273037</v>
      </c>
      <c r="L182" s="163"/>
      <c r="M182" s="161" t="s">
        <v>1294</v>
      </c>
      <c r="N182" s="161" t="s">
        <v>1331</v>
      </c>
      <c r="O182" s="161" t="s">
        <v>14</v>
      </c>
      <c r="P182" s="49" t="s">
        <v>14</v>
      </c>
      <c r="Q182" s="166" t="s">
        <v>1801</v>
      </c>
      <c r="R182" s="167"/>
    </row>
    <row r="183" spans="1:18">
      <c r="A183" s="101" t="s">
        <v>28</v>
      </c>
      <c r="B183" s="101" t="s">
        <v>150</v>
      </c>
      <c r="C183" s="168" t="s">
        <v>1802</v>
      </c>
      <c r="D183" s="161" t="s">
        <v>1802</v>
      </c>
      <c r="E183" s="161" t="s">
        <v>1491</v>
      </c>
      <c r="F183" s="161" t="s">
        <v>1624</v>
      </c>
      <c r="G183" s="163">
        <v>0</v>
      </c>
      <c r="H183" s="163">
        <v>0</v>
      </c>
      <c r="I183" s="163">
        <v>672</v>
      </c>
      <c r="J183" s="163">
        <v>0</v>
      </c>
      <c r="K183" s="163">
        <v>0</v>
      </c>
      <c r="L183" s="163"/>
      <c r="M183" s="161" t="s">
        <v>1803</v>
      </c>
      <c r="N183" s="161" t="s">
        <v>1331</v>
      </c>
      <c r="O183" s="161" t="s">
        <v>15</v>
      </c>
      <c r="P183" s="49" t="s">
        <v>15</v>
      </c>
      <c r="Q183" s="166" t="s">
        <v>1804</v>
      </c>
      <c r="R183" s="151"/>
    </row>
    <row r="184" spans="1:18">
      <c r="A184" s="101" t="s">
        <v>28</v>
      </c>
      <c r="B184" s="101" t="s">
        <v>150</v>
      </c>
      <c r="C184" s="168" t="s">
        <v>1805</v>
      </c>
      <c r="D184" s="161" t="s">
        <v>1806</v>
      </c>
      <c r="E184" s="161" t="s">
        <v>1491</v>
      </c>
      <c r="F184" s="161" t="s">
        <v>1624</v>
      </c>
      <c r="G184" s="163">
        <v>15.7578</v>
      </c>
      <c r="H184" s="163">
        <f>G184-G183</f>
        <v>15.7578</v>
      </c>
      <c r="I184" s="163">
        <v>625</v>
      </c>
      <c r="J184" s="163" t="s">
        <v>147</v>
      </c>
      <c r="K184" s="163" t="s">
        <v>147</v>
      </c>
      <c r="L184" s="163"/>
      <c r="M184" s="161" t="s">
        <v>1803</v>
      </c>
      <c r="N184" s="161" t="s">
        <v>1299</v>
      </c>
      <c r="O184" s="161" t="s">
        <v>25</v>
      </c>
      <c r="P184" s="49" t="s">
        <v>25</v>
      </c>
      <c r="Q184" s="166" t="s">
        <v>1807</v>
      </c>
      <c r="R184" s="151"/>
    </row>
    <row r="185" spans="1:18">
      <c r="A185" s="101" t="s">
        <v>28</v>
      </c>
      <c r="B185" s="101" t="s">
        <v>150</v>
      </c>
      <c r="C185" s="135" t="s">
        <v>152</v>
      </c>
      <c r="D185" s="161" t="s">
        <v>152</v>
      </c>
      <c r="E185" s="161" t="s">
        <v>1491</v>
      </c>
      <c r="F185" s="161" t="s">
        <v>1624</v>
      </c>
      <c r="G185" s="163">
        <v>35</v>
      </c>
      <c r="H185" s="163">
        <f>G185-G184</f>
        <v>19.2422</v>
      </c>
      <c r="I185" s="163">
        <v>870</v>
      </c>
      <c r="J185" s="173">
        <v>9668</v>
      </c>
      <c r="K185" s="173">
        <v>9668</v>
      </c>
      <c r="L185" s="163"/>
      <c r="M185" s="161" t="s">
        <v>1294</v>
      </c>
      <c r="N185" s="161" t="s">
        <v>1331</v>
      </c>
      <c r="O185" s="161"/>
      <c r="P185" s="49"/>
      <c r="Q185" s="166" t="s">
        <v>1626</v>
      </c>
      <c r="R185" s="151"/>
    </row>
    <row r="186" spans="1:18">
      <c r="A186" s="101" t="s">
        <v>28</v>
      </c>
      <c r="B186" s="101" t="s">
        <v>153</v>
      </c>
      <c r="C186" s="161"/>
      <c r="D186" s="161"/>
      <c r="E186" s="161" t="s">
        <v>1689</v>
      </c>
      <c r="F186" s="161"/>
      <c r="G186" s="163">
        <v>0</v>
      </c>
      <c r="H186" s="163">
        <v>0</v>
      </c>
      <c r="I186" s="163"/>
      <c r="J186" s="173"/>
      <c r="K186" s="173"/>
      <c r="L186" s="163"/>
      <c r="M186" s="161" t="e">
        <v>#N/A</v>
      </c>
      <c r="N186" s="161" t="e">
        <v>#N/A</v>
      </c>
      <c r="O186" s="161" t="e">
        <v>#N/A</v>
      </c>
      <c r="P186" s="49" t="e">
        <v>#N/A</v>
      </c>
      <c r="Q186" s="166" t="e">
        <v>#N/A</v>
      </c>
      <c r="R186" s="151"/>
    </row>
    <row r="187" spans="1:18">
      <c r="A187" s="101" t="s">
        <v>28</v>
      </c>
      <c r="B187" s="101" t="s">
        <v>153</v>
      </c>
      <c r="C187" s="161"/>
      <c r="D187" s="161"/>
      <c r="E187" s="161" t="s">
        <v>1689</v>
      </c>
      <c r="F187" s="161"/>
      <c r="G187" s="163">
        <v>5.8</v>
      </c>
      <c r="H187" s="163">
        <v>5.8</v>
      </c>
      <c r="I187" s="163"/>
      <c r="J187" s="173"/>
      <c r="K187" s="173"/>
      <c r="L187" s="163"/>
      <c r="M187" s="161" t="e">
        <v>#N/A</v>
      </c>
      <c r="N187" s="161" t="e">
        <v>#N/A</v>
      </c>
      <c r="O187" s="161" t="e">
        <v>#N/A</v>
      </c>
      <c r="P187" s="49" t="e">
        <v>#N/A</v>
      </c>
      <c r="Q187" s="166" t="e">
        <v>#N/A</v>
      </c>
      <c r="R187" s="151"/>
    </row>
    <row r="188" spans="1:18">
      <c r="A188" s="101" t="s">
        <v>28</v>
      </c>
      <c r="B188" s="101" t="s">
        <v>135</v>
      </c>
      <c r="C188" s="135" t="s">
        <v>136</v>
      </c>
      <c r="D188" s="161" t="s">
        <v>136</v>
      </c>
      <c r="E188" s="161" t="s">
        <v>1640</v>
      </c>
      <c r="F188" s="161" t="s">
        <v>1641</v>
      </c>
      <c r="G188" s="163">
        <v>0</v>
      </c>
      <c r="H188" s="163">
        <v>0</v>
      </c>
      <c r="I188" s="163" t="s">
        <v>147</v>
      </c>
      <c r="J188" s="163">
        <v>0</v>
      </c>
      <c r="K188" s="163">
        <v>0</v>
      </c>
      <c r="L188" s="163"/>
      <c r="M188" s="161" t="s">
        <v>1294</v>
      </c>
      <c r="N188" s="161" t="s">
        <v>1331</v>
      </c>
      <c r="O188" s="161"/>
      <c r="P188" s="49"/>
      <c r="Q188" s="166" t="s">
        <v>1654</v>
      </c>
      <c r="R188" s="151"/>
    </row>
    <row r="189" spans="1:18">
      <c r="A189" s="101" t="s">
        <v>28</v>
      </c>
      <c r="B189" s="101" t="s">
        <v>135</v>
      </c>
      <c r="C189" s="86" t="s">
        <v>137</v>
      </c>
      <c r="D189" s="161" t="s">
        <v>137</v>
      </c>
      <c r="E189" s="161" t="s">
        <v>1640</v>
      </c>
      <c r="F189" s="161" t="s">
        <v>1641</v>
      </c>
      <c r="G189" s="163">
        <v>24</v>
      </c>
      <c r="H189" s="163">
        <v>24</v>
      </c>
      <c r="I189" s="163" t="s">
        <v>147</v>
      </c>
      <c r="J189" s="163">
        <v>934</v>
      </c>
      <c r="K189" s="163">
        <v>934</v>
      </c>
      <c r="L189" s="163"/>
      <c r="M189" s="161" t="s">
        <v>1808</v>
      </c>
      <c r="N189" s="161" t="s">
        <v>1331</v>
      </c>
      <c r="O189" s="161" t="s">
        <v>14</v>
      </c>
      <c r="P189" s="49" t="s">
        <v>14</v>
      </c>
      <c r="Q189" s="166" t="s">
        <v>1809</v>
      </c>
      <c r="R189" s="151"/>
    </row>
    <row r="190" spans="1:18">
      <c r="A190" s="101" t="s">
        <v>28</v>
      </c>
      <c r="B190" s="101" t="s">
        <v>126</v>
      </c>
      <c r="C190" s="135" t="s">
        <v>127</v>
      </c>
      <c r="D190" s="161" t="s">
        <v>127</v>
      </c>
      <c r="E190" s="161" t="s">
        <v>1689</v>
      </c>
      <c r="F190" s="161" t="s">
        <v>1724</v>
      </c>
      <c r="G190" s="163">
        <v>0</v>
      </c>
      <c r="H190" s="163">
        <v>0</v>
      </c>
      <c r="I190" s="163">
        <v>60</v>
      </c>
      <c r="J190" s="163">
        <v>0</v>
      </c>
      <c r="K190" s="163">
        <v>0</v>
      </c>
      <c r="L190" s="163"/>
      <c r="M190" s="161" t="s">
        <v>1294</v>
      </c>
      <c r="N190" s="161" t="s">
        <v>1331</v>
      </c>
      <c r="O190" s="161"/>
      <c r="P190" s="49"/>
      <c r="Q190" s="166" t="s">
        <v>1726</v>
      </c>
      <c r="R190" s="151"/>
    </row>
    <row r="191" spans="1:18">
      <c r="A191" s="101" t="s">
        <v>28</v>
      </c>
      <c r="B191" s="101" t="s">
        <v>126</v>
      </c>
      <c r="C191" s="86" t="s">
        <v>1810</v>
      </c>
      <c r="D191" s="161" t="s">
        <v>1811</v>
      </c>
      <c r="E191" s="161" t="s">
        <v>1689</v>
      </c>
      <c r="F191" s="161" t="s">
        <v>1724</v>
      </c>
      <c r="G191" s="163">
        <v>12.2497</v>
      </c>
      <c r="H191" s="163">
        <f t="shared" ref="H191:H196" si="11">G191-G190</f>
        <v>12.2497</v>
      </c>
      <c r="I191" s="163" t="s">
        <v>147</v>
      </c>
      <c r="J191" s="163">
        <v>1534.3086</v>
      </c>
      <c r="K191" s="163">
        <f t="shared" ref="K191:K196" si="12">J191+K190</f>
        <v>1534.3086</v>
      </c>
      <c r="L191" s="163"/>
      <c r="M191" s="161" t="s">
        <v>1812</v>
      </c>
      <c r="N191" s="161" t="s">
        <v>1331</v>
      </c>
      <c r="O191" s="161" t="s">
        <v>27</v>
      </c>
      <c r="P191" s="49" t="s">
        <v>27</v>
      </c>
      <c r="Q191" s="166" t="s">
        <v>1813</v>
      </c>
      <c r="R191" s="151"/>
    </row>
    <row r="192" spans="1:18">
      <c r="A192" s="101" t="s">
        <v>28</v>
      </c>
      <c r="B192" s="101" t="s">
        <v>126</v>
      </c>
      <c r="C192" s="86" t="s">
        <v>1814</v>
      </c>
      <c r="D192" s="161" t="s">
        <v>1815</v>
      </c>
      <c r="E192" s="161" t="s">
        <v>1689</v>
      </c>
      <c r="F192" s="161" t="s">
        <v>1724</v>
      </c>
      <c r="G192" s="163">
        <v>24.21</v>
      </c>
      <c r="H192" s="163">
        <f t="shared" si="11"/>
        <v>11.9603</v>
      </c>
      <c r="I192" s="163" t="s">
        <v>147</v>
      </c>
      <c r="J192" s="163">
        <v>1501.13436</v>
      </c>
      <c r="K192" s="163">
        <f t="shared" si="12"/>
        <v>3035.44296</v>
      </c>
      <c r="L192" s="163"/>
      <c r="M192" s="161" t="s">
        <v>1812</v>
      </c>
      <c r="N192" s="161" t="s">
        <v>1331</v>
      </c>
      <c r="O192" s="161" t="s">
        <v>27</v>
      </c>
      <c r="P192" s="49" t="s">
        <v>27</v>
      </c>
      <c r="Q192" s="166" t="s">
        <v>1816</v>
      </c>
      <c r="R192" s="151"/>
    </row>
    <row r="193" spans="1:18">
      <c r="A193" s="101" t="s">
        <v>28</v>
      </c>
      <c r="B193" s="101" t="s">
        <v>126</v>
      </c>
      <c r="C193" s="86" t="s">
        <v>1817</v>
      </c>
      <c r="D193" s="161" t="s">
        <v>1210</v>
      </c>
      <c r="E193" s="161" t="s">
        <v>1689</v>
      </c>
      <c r="F193" s="161" t="s">
        <v>1724</v>
      </c>
      <c r="G193" s="163">
        <v>37.8017</v>
      </c>
      <c r="H193" s="163">
        <f t="shared" si="11"/>
        <v>13.5917</v>
      </c>
      <c r="I193" s="163" t="s">
        <v>147</v>
      </c>
      <c r="J193" s="163">
        <v>1705.70884</v>
      </c>
      <c r="K193" s="163">
        <f t="shared" si="12"/>
        <v>4741.1518</v>
      </c>
      <c r="L193" s="163"/>
      <c r="M193" s="161" t="s">
        <v>1812</v>
      </c>
      <c r="N193" s="161" t="s">
        <v>1331</v>
      </c>
      <c r="O193" s="161" t="s">
        <v>27</v>
      </c>
      <c r="P193" s="49" t="s">
        <v>27</v>
      </c>
      <c r="Q193" s="166" t="s">
        <v>1818</v>
      </c>
      <c r="R193" s="151"/>
    </row>
    <row r="194" spans="1:18">
      <c r="A194" s="101" t="s">
        <v>28</v>
      </c>
      <c r="B194" s="101" t="s">
        <v>126</v>
      </c>
      <c r="C194" s="86" t="s">
        <v>1819</v>
      </c>
      <c r="D194" s="161" t="s">
        <v>1820</v>
      </c>
      <c r="E194" s="161" t="s">
        <v>1689</v>
      </c>
      <c r="F194" s="161" t="s">
        <v>1724</v>
      </c>
      <c r="G194" s="163">
        <v>55.0499</v>
      </c>
      <c r="H194" s="163">
        <f t="shared" si="11"/>
        <v>17.2482</v>
      </c>
      <c r="I194" s="163" t="s">
        <v>147</v>
      </c>
      <c r="J194" s="163">
        <v>2164.87048</v>
      </c>
      <c r="K194" s="163">
        <f t="shared" si="12"/>
        <v>6906.02228</v>
      </c>
      <c r="L194" s="163"/>
      <c r="M194" s="161" t="s">
        <v>1812</v>
      </c>
      <c r="N194" s="161" t="s">
        <v>1331</v>
      </c>
      <c r="O194" s="161" t="s">
        <v>27</v>
      </c>
      <c r="P194" s="49" t="s">
        <v>27</v>
      </c>
      <c r="Q194" s="166" t="s">
        <v>1821</v>
      </c>
      <c r="R194" s="151"/>
    </row>
    <row r="195" spans="1:18">
      <c r="A195" s="101" t="s">
        <v>28</v>
      </c>
      <c r="B195" s="101" t="s">
        <v>126</v>
      </c>
      <c r="C195" s="86" t="s">
        <v>1822</v>
      </c>
      <c r="D195" s="161" t="s">
        <v>741</v>
      </c>
      <c r="E195" s="161" t="s">
        <v>1689</v>
      </c>
      <c r="F195" s="161" t="s">
        <v>1724</v>
      </c>
      <c r="G195" s="163">
        <v>69.3429</v>
      </c>
      <c r="H195" s="163">
        <f t="shared" si="11"/>
        <v>14.293</v>
      </c>
      <c r="I195" s="163" t="s">
        <v>147</v>
      </c>
      <c r="J195" s="163">
        <v>1795.43008</v>
      </c>
      <c r="K195" s="163">
        <f t="shared" si="12"/>
        <v>8701.45236</v>
      </c>
      <c r="L195" s="163"/>
      <c r="M195" s="161" t="s">
        <v>1812</v>
      </c>
      <c r="N195" s="161" t="s">
        <v>1331</v>
      </c>
      <c r="O195" s="161" t="s">
        <v>27</v>
      </c>
      <c r="P195" s="49" t="s">
        <v>27</v>
      </c>
      <c r="Q195" s="166" t="s">
        <v>1823</v>
      </c>
      <c r="R195" s="151"/>
    </row>
    <row r="196" spans="1:18">
      <c r="A196" s="101" t="s">
        <v>28</v>
      </c>
      <c r="B196" s="101" t="s">
        <v>126</v>
      </c>
      <c r="C196" s="86" t="s">
        <v>128</v>
      </c>
      <c r="D196" s="161" t="s">
        <v>128</v>
      </c>
      <c r="E196" s="161" t="s">
        <v>1689</v>
      </c>
      <c r="F196" s="161" t="s">
        <v>1724</v>
      </c>
      <c r="G196" s="163">
        <v>79.5999</v>
      </c>
      <c r="H196" s="163">
        <f t="shared" si="11"/>
        <v>10.257</v>
      </c>
      <c r="I196" s="163" t="s">
        <v>147</v>
      </c>
      <c r="J196" s="163">
        <v>1287.63802</v>
      </c>
      <c r="K196" s="163">
        <f t="shared" si="12"/>
        <v>9989.09038</v>
      </c>
      <c r="L196" s="163"/>
      <c r="M196" s="161" t="s">
        <v>1812</v>
      </c>
      <c r="N196" s="161" t="s">
        <v>1331</v>
      </c>
      <c r="O196" s="161" t="s">
        <v>14</v>
      </c>
      <c r="P196" s="49" t="s">
        <v>14</v>
      </c>
      <c r="Q196" s="166" t="s">
        <v>1824</v>
      </c>
      <c r="R196" s="151"/>
    </row>
    <row r="197" spans="1:18">
      <c r="A197" s="101" t="s">
        <v>28</v>
      </c>
      <c r="B197" s="101" t="s">
        <v>129</v>
      </c>
      <c r="C197" s="135" t="s">
        <v>127</v>
      </c>
      <c r="D197" s="161" t="s">
        <v>127</v>
      </c>
      <c r="E197" s="161" t="s">
        <v>1689</v>
      </c>
      <c r="F197" s="161" t="s">
        <v>1724</v>
      </c>
      <c r="G197" s="163">
        <v>0</v>
      </c>
      <c r="H197" s="163">
        <v>0</v>
      </c>
      <c r="I197" s="163">
        <v>60</v>
      </c>
      <c r="J197" s="163">
        <v>0</v>
      </c>
      <c r="K197" s="163">
        <v>0</v>
      </c>
      <c r="L197" s="163"/>
      <c r="M197" s="161" t="s">
        <v>1294</v>
      </c>
      <c r="N197" s="161" t="s">
        <v>1331</v>
      </c>
      <c r="O197" s="161"/>
      <c r="P197" s="49"/>
      <c r="Q197" s="166" t="s">
        <v>1726</v>
      </c>
      <c r="R197" s="151"/>
    </row>
    <row r="198" spans="1:18">
      <c r="A198" s="101" t="s">
        <v>28</v>
      </c>
      <c r="B198" s="101" t="s">
        <v>129</v>
      </c>
      <c r="C198" s="86" t="s">
        <v>1825</v>
      </c>
      <c r="D198" s="161" t="s">
        <v>1298</v>
      </c>
      <c r="E198" s="161" t="s">
        <v>1689</v>
      </c>
      <c r="F198" s="161" t="s">
        <v>1724</v>
      </c>
      <c r="G198" s="163">
        <v>11.9793</v>
      </c>
      <c r="H198" s="163">
        <f>G198-G197</f>
        <v>11.9793</v>
      </c>
      <c r="I198" s="163">
        <v>71</v>
      </c>
      <c r="J198" s="163">
        <f>K198-K197</f>
        <v>4758.03948015</v>
      </c>
      <c r="K198" s="163">
        <v>4758.03948015</v>
      </c>
      <c r="L198" s="163"/>
      <c r="M198" s="161" t="s">
        <v>1826</v>
      </c>
      <c r="N198" s="161" t="s">
        <v>1299</v>
      </c>
      <c r="O198" s="161" t="s">
        <v>25</v>
      </c>
      <c r="P198" s="49" t="s">
        <v>25</v>
      </c>
      <c r="Q198" s="166" t="s">
        <v>1827</v>
      </c>
      <c r="R198" s="151"/>
    </row>
    <row r="199" spans="1:18">
      <c r="A199" s="101" t="s">
        <v>28</v>
      </c>
      <c r="B199" s="101" t="s">
        <v>129</v>
      </c>
      <c r="C199" s="86" t="s">
        <v>1828</v>
      </c>
      <c r="D199" s="161" t="s">
        <v>1302</v>
      </c>
      <c r="E199" s="161" t="s">
        <v>1689</v>
      </c>
      <c r="F199" s="161" t="s">
        <v>1724</v>
      </c>
      <c r="G199" s="163">
        <v>32.9006</v>
      </c>
      <c r="H199" s="163">
        <f>G199-G198</f>
        <v>20.9213</v>
      </c>
      <c r="I199" s="163">
        <v>57</v>
      </c>
      <c r="J199" s="163">
        <f>K199-K198</f>
        <v>8309.7036459</v>
      </c>
      <c r="K199" s="163">
        <v>13067.74312605</v>
      </c>
      <c r="L199" s="163"/>
      <c r="M199" s="161" t="s">
        <v>1826</v>
      </c>
      <c r="N199" s="161" t="s">
        <v>1299</v>
      </c>
      <c r="O199" s="161" t="s">
        <v>25</v>
      </c>
      <c r="P199" s="49" t="s">
        <v>25</v>
      </c>
      <c r="Q199" s="166" t="s">
        <v>1829</v>
      </c>
      <c r="R199" s="151"/>
    </row>
    <row r="200" spans="1:18">
      <c r="A200" s="101" t="s">
        <v>28</v>
      </c>
      <c r="B200" s="101" t="s">
        <v>129</v>
      </c>
      <c r="C200" s="86" t="s">
        <v>1830</v>
      </c>
      <c r="D200" s="161" t="s">
        <v>1305</v>
      </c>
      <c r="E200" s="161" t="s">
        <v>1689</v>
      </c>
      <c r="F200" s="161" t="s">
        <v>1724</v>
      </c>
      <c r="G200" s="163">
        <v>55.8901</v>
      </c>
      <c r="H200" s="163">
        <f>G200-G199</f>
        <v>22.9895</v>
      </c>
      <c r="I200" s="163">
        <v>73</v>
      </c>
      <c r="J200" s="163">
        <f>K200-K199</f>
        <v>9131.14999485</v>
      </c>
      <c r="K200" s="163">
        <v>22198.8931209</v>
      </c>
      <c r="L200" s="163"/>
      <c r="M200" s="161" t="s">
        <v>1826</v>
      </c>
      <c r="N200" s="161" t="s">
        <v>1299</v>
      </c>
      <c r="O200" s="161" t="s">
        <v>25</v>
      </c>
      <c r="P200" s="49" t="s">
        <v>25</v>
      </c>
      <c r="Q200" s="166" t="s">
        <v>1831</v>
      </c>
      <c r="R200" s="151"/>
    </row>
    <row r="201" spans="1:18">
      <c r="A201" s="101" t="s">
        <v>28</v>
      </c>
      <c r="B201" s="101" t="s">
        <v>129</v>
      </c>
      <c r="C201" s="86" t="s">
        <v>130</v>
      </c>
      <c r="D201" s="161" t="s">
        <v>130</v>
      </c>
      <c r="E201" s="161" t="s">
        <v>1689</v>
      </c>
      <c r="F201" s="161" t="s">
        <v>1724</v>
      </c>
      <c r="G201" s="163">
        <v>67.2999</v>
      </c>
      <c r="H201" s="163">
        <f>G201-G200</f>
        <v>11.4098</v>
      </c>
      <c r="I201" s="163">
        <v>57</v>
      </c>
      <c r="J201" s="163">
        <f>K201-K200</f>
        <v>4531.8441087</v>
      </c>
      <c r="K201" s="163">
        <v>26730.7372296</v>
      </c>
      <c r="L201" s="163"/>
      <c r="M201" s="161" t="s">
        <v>1826</v>
      </c>
      <c r="N201" s="161" t="s">
        <v>1331</v>
      </c>
      <c r="O201" s="161" t="s">
        <v>14</v>
      </c>
      <c r="P201" s="49" t="s">
        <v>14</v>
      </c>
      <c r="Q201" s="166" t="s">
        <v>1824</v>
      </c>
      <c r="R201" s="151"/>
    </row>
    <row r="202" spans="1:18">
      <c r="A202" s="101" t="s">
        <v>28</v>
      </c>
      <c r="B202" s="101" t="s">
        <v>121</v>
      </c>
      <c r="C202" s="135" t="s">
        <v>159</v>
      </c>
      <c r="D202" s="161" t="s">
        <v>159</v>
      </c>
      <c r="E202" s="161" t="s">
        <v>1689</v>
      </c>
      <c r="F202" s="161" t="s">
        <v>1745</v>
      </c>
      <c r="G202" s="163">
        <v>0</v>
      </c>
      <c r="H202" s="163">
        <v>0</v>
      </c>
      <c r="I202" s="163" t="s">
        <v>147</v>
      </c>
      <c r="J202" s="163">
        <v>0</v>
      </c>
      <c r="K202" s="163">
        <v>0</v>
      </c>
      <c r="L202" s="163"/>
      <c r="M202" s="161" t="s">
        <v>1294</v>
      </c>
      <c r="N202" s="161" t="s">
        <v>1331</v>
      </c>
      <c r="O202" s="161"/>
      <c r="P202" s="49"/>
      <c r="Q202" s="166" t="s">
        <v>1746</v>
      </c>
      <c r="R202" s="151"/>
    </row>
    <row r="203" spans="1:18">
      <c r="A203" s="101" t="s">
        <v>28</v>
      </c>
      <c r="B203" s="101" t="s">
        <v>121</v>
      </c>
      <c r="C203" s="86" t="s">
        <v>1832</v>
      </c>
      <c r="D203" s="161" t="s">
        <v>1811</v>
      </c>
      <c r="E203" s="161" t="s">
        <v>1689</v>
      </c>
      <c r="F203" s="161" t="s">
        <v>1739</v>
      </c>
      <c r="G203" s="163">
        <v>8.3765</v>
      </c>
      <c r="H203" s="163">
        <f>G203-G202</f>
        <v>8.3765</v>
      </c>
      <c r="I203" s="163" t="s">
        <v>147</v>
      </c>
      <c r="J203" s="163">
        <v>1402.78395168087</v>
      </c>
      <c r="K203" s="163">
        <f>J203+K202</f>
        <v>1402.78395168087</v>
      </c>
      <c r="L203" s="163"/>
      <c r="M203" s="161" t="s">
        <v>1833</v>
      </c>
      <c r="N203" s="161" t="s">
        <v>1331</v>
      </c>
      <c r="O203" s="161" t="s">
        <v>27</v>
      </c>
      <c r="P203" s="49" t="s">
        <v>27</v>
      </c>
      <c r="Q203" s="166" t="s">
        <v>1834</v>
      </c>
      <c r="R203" s="151"/>
    </row>
    <row r="204" spans="1:18">
      <c r="A204" s="101" t="s">
        <v>28</v>
      </c>
      <c r="B204" s="101" t="s">
        <v>121</v>
      </c>
      <c r="C204" s="86" t="s">
        <v>1835</v>
      </c>
      <c r="D204" s="161" t="s">
        <v>1835</v>
      </c>
      <c r="E204" s="161" t="s">
        <v>1689</v>
      </c>
      <c r="F204" s="161" t="s">
        <v>1739</v>
      </c>
      <c r="G204" s="163">
        <v>15.2</v>
      </c>
      <c r="H204" s="163">
        <f t="shared" ref="H204:H212" si="13">G204-G203</f>
        <v>6.8235</v>
      </c>
      <c r="I204" s="163" t="s">
        <v>147</v>
      </c>
      <c r="J204" s="163">
        <v>1099.7826181178</v>
      </c>
      <c r="K204" s="163">
        <f t="shared" ref="K204:K212" si="14">J204+K203</f>
        <v>2502.56656979867</v>
      </c>
      <c r="L204" s="163"/>
      <c r="M204" s="161" t="s">
        <v>1833</v>
      </c>
      <c r="N204" s="161" t="s">
        <v>1331</v>
      </c>
      <c r="O204" s="161" t="s">
        <v>14</v>
      </c>
      <c r="P204" s="49" t="s">
        <v>14</v>
      </c>
      <c r="Q204" s="166" t="s">
        <v>1836</v>
      </c>
      <c r="R204" s="151"/>
    </row>
    <row r="205" spans="1:18">
      <c r="A205" s="101" t="s">
        <v>28</v>
      </c>
      <c r="B205" s="101" t="s">
        <v>121</v>
      </c>
      <c r="C205" s="86" t="s">
        <v>1837</v>
      </c>
      <c r="D205" s="161" t="s">
        <v>1815</v>
      </c>
      <c r="E205" s="161" t="s">
        <v>1689</v>
      </c>
      <c r="F205" s="161" t="s">
        <v>1739</v>
      </c>
      <c r="G205" s="163">
        <v>26.6784</v>
      </c>
      <c r="H205" s="163">
        <f t="shared" si="13"/>
        <v>11.4784</v>
      </c>
      <c r="I205" s="163" t="s">
        <v>147</v>
      </c>
      <c r="J205" s="163">
        <v>2107.91668472579</v>
      </c>
      <c r="K205" s="163">
        <f t="shared" si="14"/>
        <v>4610.48325452446</v>
      </c>
      <c r="L205" s="163"/>
      <c r="M205" s="161" t="s">
        <v>1833</v>
      </c>
      <c r="N205" s="161" t="s">
        <v>1331</v>
      </c>
      <c r="O205" s="161" t="s">
        <v>27</v>
      </c>
      <c r="P205" s="49" t="s">
        <v>27</v>
      </c>
      <c r="Q205" s="166" t="s">
        <v>1838</v>
      </c>
      <c r="R205" s="151"/>
    </row>
    <row r="206" spans="1:18">
      <c r="A206" s="101" t="s">
        <v>28</v>
      </c>
      <c r="B206" s="101" t="s">
        <v>121</v>
      </c>
      <c r="C206" s="86" t="s">
        <v>1839</v>
      </c>
      <c r="D206" s="161" t="s">
        <v>1210</v>
      </c>
      <c r="E206" s="161" t="s">
        <v>1689</v>
      </c>
      <c r="F206" s="161" t="s">
        <v>1739</v>
      </c>
      <c r="G206" s="163">
        <v>40.0958</v>
      </c>
      <c r="H206" s="163">
        <f t="shared" si="13"/>
        <v>13.4174</v>
      </c>
      <c r="I206" s="163" t="s">
        <v>147</v>
      </c>
      <c r="J206" s="163">
        <v>2379.12158205076</v>
      </c>
      <c r="K206" s="163">
        <f t="shared" si="14"/>
        <v>6989.60483657522</v>
      </c>
      <c r="L206" s="163"/>
      <c r="M206" s="161" t="s">
        <v>1833</v>
      </c>
      <c r="N206" s="161" t="s">
        <v>1331</v>
      </c>
      <c r="O206" s="161" t="s">
        <v>27</v>
      </c>
      <c r="P206" s="49" t="s">
        <v>27</v>
      </c>
      <c r="Q206" s="166" t="s">
        <v>1840</v>
      </c>
      <c r="R206" s="151"/>
    </row>
    <row r="207" spans="1:18">
      <c r="A207" s="101" t="s">
        <v>28</v>
      </c>
      <c r="B207" s="101" t="s">
        <v>121</v>
      </c>
      <c r="C207" s="86" t="s">
        <v>1841</v>
      </c>
      <c r="D207" s="161" t="s">
        <v>1841</v>
      </c>
      <c r="E207" s="161" t="s">
        <v>1689</v>
      </c>
      <c r="F207" s="161" t="s">
        <v>1739</v>
      </c>
      <c r="G207" s="163">
        <v>58.2</v>
      </c>
      <c r="H207" s="163">
        <f t="shared" si="13"/>
        <v>18.1042</v>
      </c>
      <c r="I207" s="163" t="s">
        <v>147</v>
      </c>
      <c r="J207" s="163">
        <v>3516.31177221339</v>
      </c>
      <c r="K207" s="163">
        <f t="shared" si="14"/>
        <v>10505.9166087886</v>
      </c>
      <c r="L207" s="163"/>
      <c r="M207" s="161" t="s">
        <v>1833</v>
      </c>
      <c r="N207" s="161" t="s">
        <v>1331</v>
      </c>
      <c r="O207" s="161" t="s">
        <v>14</v>
      </c>
      <c r="P207" s="49" t="s">
        <v>14</v>
      </c>
      <c r="Q207" s="166" t="s">
        <v>1842</v>
      </c>
      <c r="R207" s="151"/>
    </row>
    <row r="208" spans="1:18">
      <c r="A208" s="101" t="s">
        <v>28</v>
      </c>
      <c r="B208" s="101" t="s">
        <v>121</v>
      </c>
      <c r="C208" s="86" t="s">
        <v>1843</v>
      </c>
      <c r="D208" s="161" t="s">
        <v>741</v>
      </c>
      <c r="E208" s="161" t="s">
        <v>1689</v>
      </c>
      <c r="F208" s="161" t="s">
        <v>1739</v>
      </c>
      <c r="G208" s="163">
        <v>69.7</v>
      </c>
      <c r="H208" s="163">
        <f t="shared" si="13"/>
        <v>11.5</v>
      </c>
      <c r="I208" s="163" t="s">
        <v>147</v>
      </c>
      <c r="J208" s="163">
        <v>2450.19596893592</v>
      </c>
      <c r="K208" s="163">
        <f t="shared" si="14"/>
        <v>12956.1125777245</v>
      </c>
      <c r="L208" s="163"/>
      <c r="M208" s="161" t="s">
        <v>1833</v>
      </c>
      <c r="N208" s="161" t="s">
        <v>1331</v>
      </c>
      <c r="O208" s="161" t="s">
        <v>27</v>
      </c>
      <c r="P208" s="49" t="s">
        <v>27</v>
      </c>
      <c r="Q208" s="166" t="s">
        <v>1844</v>
      </c>
      <c r="R208" s="151"/>
    </row>
    <row r="209" spans="1:18">
      <c r="A209" s="101" t="s">
        <v>28</v>
      </c>
      <c r="B209" s="101" t="s">
        <v>121</v>
      </c>
      <c r="C209" s="86" t="s">
        <v>1845</v>
      </c>
      <c r="D209" s="161" t="s">
        <v>1845</v>
      </c>
      <c r="E209" s="161" t="s">
        <v>1689</v>
      </c>
      <c r="F209" s="161" t="s">
        <v>1732</v>
      </c>
      <c r="G209" s="163">
        <v>92.7</v>
      </c>
      <c r="H209" s="163">
        <f t="shared" si="13"/>
        <v>23</v>
      </c>
      <c r="I209" s="163" t="s">
        <v>147</v>
      </c>
      <c r="J209" s="163">
        <v>4417.14534375</v>
      </c>
      <c r="K209" s="163">
        <f t="shared" si="14"/>
        <v>17373.2579214745</v>
      </c>
      <c r="L209" s="163"/>
      <c r="M209" s="161" t="s">
        <v>1833</v>
      </c>
      <c r="N209" s="161" t="s">
        <v>1331</v>
      </c>
      <c r="O209" s="161" t="s">
        <v>14</v>
      </c>
      <c r="P209" s="49" t="s">
        <v>14</v>
      </c>
      <c r="Q209" s="166" t="s">
        <v>1846</v>
      </c>
      <c r="R209" s="151"/>
    </row>
    <row r="210" spans="1:18">
      <c r="A210" s="101" t="s">
        <v>28</v>
      </c>
      <c r="B210" s="101" t="s">
        <v>121</v>
      </c>
      <c r="C210" s="86" t="s">
        <v>1847</v>
      </c>
      <c r="D210" s="161" t="s">
        <v>1848</v>
      </c>
      <c r="E210" s="161" t="s">
        <v>1689</v>
      </c>
      <c r="F210" s="161" t="s">
        <v>1732</v>
      </c>
      <c r="G210" s="163">
        <v>114.198</v>
      </c>
      <c r="H210" s="163">
        <f t="shared" si="13"/>
        <v>21.498</v>
      </c>
      <c r="I210" s="163" t="s">
        <v>147</v>
      </c>
      <c r="J210" s="163">
        <v>4279.508375</v>
      </c>
      <c r="K210" s="163">
        <f t="shared" si="14"/>
        <v>21652.7662964745</v>
      </c>
      <c r="L210" s="163"/>
      <c r="M210" s="161" t="s">
        <v>1833</v>
      </c>
      <c r="N210" s="161" t="s">
        <v>1331</v>
      </c>
      <c r="O210" s="161" t="s">
        <v>27</v>
      </c>
      <c r="P210" s="49" t="s">
        <v>27</v>
      </c>
      <c r="Q210" s="166" t="s">
        <v>1849</v>
      </c>
      <c r="R210" s="151"/>
    </row>
    <row r="211" spans="1:18">
      <c r="A211" s="101" t="s">
        <v>28</v>
      </c>
      <c r="B211" s="101" t="s">
        <v>121</v>
      </c>
      <c r="C211" s="86" t="s">
        <v>1850</v>
      </c>
      <c r="D211" s="161" t="s">
        <v>1851</v>
      </c>
      <c r="E211" s="161" t="s">
        <v>1689</v>
      </c>
      <c r="F211" s="161" t="s">
        <v>1732</v>
      </c>
      <c r="G211" s="163">
        <v>116.366</v>
      </c>
      <c r="H211" s="163">
        <f t="shared" si="13"/>
        <v>2.16800000000001</v>
      </c>
      <c r="I211" s="163" t="s">
        <v>147</v>
      </c>
      <c r="J211" s="163">
        <v>429.2074375</v>
      </c>
      <c r="K211" s="163">
        <f t="shared" si="14"/>
        <v>22081.9737339745</v>
      </c>
      <c r="L211" s="163"/>
      <c r="M211" s="161" t="s">
        <v>1833</v>
      </c>
      <c r="N211" s="161" t="s">
        <v>1331</v>
      </c>
      <c r="O211" s="161" t="s">
        <v>27</v>
      </c>
      <c r="P211" s="49" t="s">
        <v>27</v>
      </c>
      <c r="Q211" s="166" t="s">
        <v>1852</v>
      </c>
      <c r="R211" s="151"/>
    </row>
    <row r="212" spans="1:18">
      <c r="A212" s="101" t="s">
        <v>28</v>
      </c>
      <c r="B212" s="101" t="s">
        <v>121</v>
      </c>
      <c r="C212" s="86" t="s">
        <v>123</v>
      </c>
      <c r="D212" s="161" t="s">
        <v>123</v>
      </c>
      <c r="E212" s="161" t="s">
        <v>1689</v>
      </c>
      <c r="F212" s="161" t="s">
        <v>1732</v>
      </c>
      <c r="G212" s="163">
        <v>130</v>
      </c>
      <c r="H212" s="163">
        <f t="shared" si="13"/>
        <v>13.634</v>
      </c>
      <c r="I212" s="163" t="s">
        <v>147</v>
      </c>
      <c r="J212" s="163">
        <v>2698.74484375</v>
      </c>
      <c r="K212" s="163">
        <f t="shared" si="14"/>
        <v>24780.7185777245</v>
      </c>
      <c r="L212" s="163"/>
      <c r="M212" s="161" t="s">
        <v>1833</v>
      </c>
      <c r="N212" s="161" t="s">
        <v>1331</v>
      </c>
      <c r="O212" s="161" t="s">
        <v>14</v>
      </c>
      <c r="P212" s="49" t="s">
        <v>14</v>
      </c>
      <c r="Q212" s="166" t="s">
        <v>1853</v>
      </c>
      <c r="R212" s="151"/>
    </row>
    <row r="213" spans="1:18">
      <c r="A213" s="101" t="s">
        <v>28</v>
      </c>
      <c r="B213" s="101" t="s">
        <v>118</v>
      </c>
      <c r="C213" s="135" t="s">
        <v>119</v>
      </c>
      <c r="D213" s="161" t="s">
        <v>119</v>
      </c>
      <c r="E213" s="161" t="s">
        <v>1689</v>
      </c>
      <c r="F213" s="161" t="s">
        <v>1768</v>
      </c>
      <c r="G213" s="163">
        <v>0</v>
      </c>
      <c r="H213" s="163">
        <v>0</v>
      </c>
      <c r="I213" s="163" t="s">
        <v>147</v>
      </c>
      <c r="J213" s="163">
        <v>0</v>
      </c>
      <c r="K213" s="163">
        <v>0</v>
      </c>
      <c r="L213" s="163"/>
      <c r="M213" s="161" t="s">
        <v>1294</v>
      </c>
      <c r="N213" s="161" t="s">
        <v>1331</v>
      </c>
      <c r="O213" s="161"/>
      <c r="P213" s="49"/>
      <c r="Q213" s="166" t="s">
        <v>1769</v>
      </c>
      <c r="R213" s="151"/>
    </row>
    <row r="214" spans="1:18">
      <c r="A214" s="101" t="s">
        <v>28</v>
      </c>
      <c r="B214" s="101" t="s">
        <v>118</v>
      </c>
      <c r="C214" s="86" t="s">
        <v>1854</v>
      </c>
      <c r="D214" s="161" t="s">
        <v>1811</v>
      </c>
      <c r="E214" s="161" t="s">
        <v>1689</v>
      </c>
      <c r="F214" s="161" t="s">
        <v>1768</v>
      </c>
      <c r="G214" s="163">
        <v>11.6734</v>
      </c>
      <c r="H214" s="163">
        <f>G214-G213</f>
        <v>11.6734</v>
      </c>
      <c r="I214" s="163" t="s">
        <v>147</v>
      </c>
      <c r="J214" s="163">
        <v>5218.26456574736</v>
      </c>
      <c r="K214" s="163">
        <f>J214+K213</f>
        <v>5218.26456574736</v>
      </c>
      <c r="L214" s="163"/>
      <c r="M214" s="161" t="s">
        <v>1855</v>
      </c>
      <c r="N214" s="161" t="s">
        <v>1331</v>
      </c>
      <c r="O214" s="161" t="s">
        <v>27</v>
      </c>
      <c r="P214" s="49" t="s">
        <v>27</v>
      </c>
      <c r="Q214" s="166" t="s">
        <v>1856</v>
      </c>
      <c r="R214" s="151"/>
    </row>
    <row r="215" spans="1:18">
      <c r="A215" s="101" t="s">
        <v>28</v>
      </c>
      <c r="B215" s="101" t="s">
        <v>118</v>
      </c>
      <c r="C215" s="86" t="s">
        <v>1857</v>
      </c>
      <c r="D215" s="161" t="s">
        <v>1857</v>
      </c>
      <c r="E215" s="161" t="s">
        <v>1689</v>
      </c>
      <c r="F215" s="161" t="s">
        <v>1768</v>
      </c>
      <c r="G215" s="163">
        <v>19.5</v>
      </c>
      <c r="H215" s="163">
        <f t="shared" ref="H215:H220" si="15">G215-G214</f>
        <v>7.8266</v>
      </c>
      <c r="I215" s="163" t="s">
        <v>147</v>
      </c>
      <c r="J215" s="163">
        <v>3462.58676792582</v>
      </c>
      <c r="K215" s="163">
        <f t="shared" ref="K215:K220" si="16">J215+K214</f>
        <v>8680.85133367318</v>
      </c>
      <c r="L215" s="163"/>
      <c r="M215" s="161" t="s">
        <v>1855</v>
      </c>
      <c r="N215" s="161" t="s">
        <v>1331</v>
      </c>
      <c r="O215" s="161" t="s">
        <v>14</v>
      </c>
      <c r="P215" s="49" t="s">
        <v>14</v>
      </c>
      <c r="Q215" s="166" t="s">
        <v>1858</v>
      </c>
      <c r="R215" s="151"/>
    </row>
    <row r="216" spans="1:18">
      <c r="A216" s="101" t="s">
        <v>28</v>
      </c>
      <c r="B216" s="101" t="s">
        <v>118</v>
      </c>
      <c r="C216" s="86" t="s">
        <v>1859</v>
      </c>
      <c r="D216" s="161" t="s">
        <v>1815</v>
      </c>
      <c r="E216" s="161" t="s">
        <v>1689</v>
      </c>
      <c r="F216" s="161" t="s">
        <v>1768</v>
      </c>
      <c r="G216" s="163">
        <v>40.0669</v>
      </c>
      <c r="H216" s="163">
        <f t="shared" si="15"/>
        <v>20.5669</v>
      </c>
      <c r="I216" s="163" t="s">
        <v>147</v>
      </c>
      <c r="J216" s="163">
        <v>10885.2023464936</v>
      </c>
      <c r="K216" s="163">
        <f t="shared" si="16"/>
        <v>19566.0536801668</v>
      </c>
      <c r="L216" s="163"/>
      <c r="M216" s="161" t="s">
        <v>1855</v>
      </c>
      <c r="N216" s="161" t="s">
        <v>1331</v>
      </c>
      <c r="O216" s="161" t="s">
        <v>27</v>
      </c>
      <c r="P216" s="49" t="s">
        <v>27</v>
      </c>
      <c r="Q216" s="166" t="s">
        <v>1860</v>
      </c>
      <c r="R216" s="151"/>
    </row>
    <row r="217" spans="1:18">
      <c r="A217" s="101" t="s">
        <v>28</v>
      </c>
      <c r="B217" s="101" t="s">
        <v>118</v>
      </c>
      <c r="C217" s="86" t="s">
        <v>1861</v>
      </c>
      <c r="D217" s="161" t="s">
        <v>1861</v>
      </c>
      <c r="E217" s="161" t="s">
        <v>1689</v>
      </c>
      <c r="F217" s="161" t="s">
        <v>1768</v>
      </c>
      <c r="G217" s="163">
        <v>59.3003</v>
      </c>
      <c r="H217" s="163">
        <f t="shared" si="15"/>
        <v>19.2334</v>
      </c>
      <c r="I217" s="163" t="s">
        <v>147</v>
      </c>
      <c r="J217" s="163">
        <v>10065.8860408435</v>
      </c>
      <c r="K217" s="163">
        <f t="shared" si="16"/>
        <v>29631.9397210103</v>
      </c>
      <c r="L217" s="163"/>
      <c r="M217" s="161" t="s">
        <v>1855</v>
      </c>
      <c r="N217" s="161" t="s">
        <v>1331</v>
      </c>
      <c r="O217" s="161" t="s">
        <v>14</v>
      </c>
      <c r="P217" s="49" t="s">
        <v>14</v>
      </c>
      <c r="Q217" s="166" t="s">
        <v>1862</v>
      </c>
      <c r="R217" s="151"/>
    </row>
    <row r="218" spans="1:18">
      <c r="A218" s="101" t="s">
        <v>28</v>
      </c>
      <c r="B218" s="101" t="s">
        <v>118</v>
      </c>
      <c r="C218" s="86" t="s">
        <v>1863</v>
      </c>
      <c r="D218" s="161" t="s">
        <v>1210</v>
      </c>
      <c r="E218" s="161" t="s">
        <v>1689</v>
      </c>
      <c r="F218" s="161" t="s">
        <v>1768</v>
      </c>
      <c r="G218" s="163">
        <v>72.6217</v>
      </c>
      <c r="H218" s="163">
        <f t="shared" si="15"/>
        <v>13.3214</v>
      </c>
      <c r="I218" s="163" t="s">
        <v>147</v>
      </c>
      <c r="J218" s="163">
        <v>6413.10084482036</v>
      </c>
      <c r="K218" s="163">
        <f t="shared" si="16"/>
        <v>36045.0405658306</v>
      </c>
      <c r="L218" s="163"/>
      <c r="M218" s="161" t="s">
        <v>1855</v>
      </c>
      <c r="N218" s="161" t="s">
        <v>1331</v>
      </c>
      <c r="O218" s="161" t="s">
        <v>27</v>
      </c>
      <c r="P218" s="49" t="s">
        <v>27</v>
      </c>
      <c r="Q218" s="166" t="s">
        <v>1864</v>
      </c>
      <c r="R218" s="151"/>
    </row>
    <row r="219" spans="1:18">
      <c r="A219" s="101" t="s">
        <v>28</v>
      </c>
      <c r="B219" s="101" t="s">
        <v>118</v>
      </c>
      <c r="C219" s="86" t="s">
        <v>1865</v>
      </c>
      <c r="D219" s="161" t="s">
        <v>1820</v>
      </c>
      <c r="E219" s="161" t="s">
        <v>1689</v>
      </c>
      <c r="F219" s="161" t="s">
        <v>1866</v>
      </c>
      <c r="G219" s="163">
        <v>86.0003</v>
      </c>
      <c r="H219" s="163">
        <f t="shared" si="15"/>
        <v>13.3786</v>
      </c>
      <c r="I219" s="163" t="s">
        <v>147</v>
      </c>
      <c r="J219" s="163">
        <v>6785.1792768</v>
      </c>
      <c r="K219" s="163">
        <f t="shared" si="16"/>
        <v>42830.2198426306</v>
      </c>
      <c r="L219" s="163"/>
      <c r="M219" s="161" t="s">
        <v>1855</v>
      </c>
      <c r="N219" s="161" t="s">
        <v>1331</v>
      </c>
      <c r="O219" s="161" t="s">
        <v>27</v>
      </c>
      <c r="P219" s="49" t="s">
        <v>27</v>
      </c>
      <c r="Q219" s="166" t="s">
        <v>1867</v>
      </c>
      <c r="R219" s="151"/>
    </row>
    <row r="220" spans="1:18">
      <c r="A220" s="101" t="s">
        <v>28</v>
      </c>
      <c r="B220" s="101" t="s">
        <v>118</v>
      </c>
      <c r="C220" s="86" t="s">
        <v>120</v>
      </c>
      <c r="D220" s="161" t="s">
        <v>120</v>
      </c>
      <c r="E220" s="161" t="s">
        <v>1689</v>
      </c>
      <c r="F220" s="161" t="s">
        <v>1866</v>
      </c>
      <c r="G220" s="163">
        <v>99.6003</v>
      </c>
      <c r="H220" s="163">
        <f t="shared" si="15"/>
        <v>13.6</v>
      </c>
      <c r="I220" s="163" t="s">
        <v>147</v>
      </c>
      <c r="J220" s="163">
        <v>5732.3066304</v>
      </c>
      <c r="K220" s="163">
        <f t="shared" si="16"/>
        <v>48562.5264730306</v>
      </c>
      <c r="L220" s="163"/>
      <c r="M220" s="161" t="s">
        <v>1855</v>
      </c>
      <c r="N220" s="161" t="s">
        <v>1331</v>
      </c>
      <c r="O220" s="161" t="s">
        <v>14</v>
      </c>
      <c r="P220" s="49" t="s">
        <v>14</v>
      </c>
      <c r="Q220" s="166" t="s">
        <v>1868</v>
      </c>
      <c r="R220" s="151"/>
    </row>
    <row r="221" spans="1:18">
      <c r="A221" s="101" t="s">
        <v>28</v>
      </c>
      <c r="B221" s="101" t="s">
        <v>138</v>
      </c>
      <c r="C221" s="135" t="s">
        <v>139</v>
      </c>
      <c r="D221" s="161" t="s">
        <v>139</v>
      </c>
      <c r="E221" s="161" t="s">
        <v>1689</v>
      </c>
      <c r="F221" s="161" t="s">
        <v>1768</v>
      </c>
      <c r="G221" s="163">
        <v>0</v>
      </c>
      <c r="H221" s="163">
        <v>0</v>
      </c>
      <c r="I221" s="163" t="s">
        <v>147</v>
      </c>
      <c r="J221" s="163">
        <v>0</v>
      </c>
      <c r="K221" s="163">
        <v>0</v>
      </c>
      <c r="L221" s="163"/>
      <c r="M221" s="161" t="s">
        <v>1294</v>
      </c>
      <c r="N221" s="161" t="s">
        <v>1331</v>
      </c>
      <c r="O221" s="161"/>
      <c r="P221" s="49"/>
      <c r="Q221" s="166" t="s">
        <v>1778</v>
      </c>
      <c r="R221" s="151"/>
    </row>
    <row r="222" spans="1:18">
      <c r="A222" s="101" t="s">
        <v>28</v>
      </c>
      <c r="B222" s="101" t="s">
        <v>138</v>
      </c>
      <c r="C222" s="86" t="s">
        <v>140</v>
      </c>
      <c r="D222" s="161" t="s">
        <v>140</v>
      </c>
      <c r="E222" s="161" t="s">
        <v>1689</v>
      </c>
      <c r="F222" s="161" t="s">
        <v>1768</v>
      </c>
      <c r="G222" s="163">
        <v>8.2</v>
      </c>
      <c r="H222" s="163">
        <v>8.2</v>
      </c>
      <c r="I222" s="163" t="s">
        <v>147</v>
      </c>
      <c r="J222" s="163">
        <v>1481.93480433599</v>
      </c>
      <c r="K222" s="163">
        <v>1481.93480433599</v>
      </c>
      <c r="L222" s="163"/>
      <c r="M222" s="161" t="s">
        <v>1869</v>
      </c>
      <c r="N222" s="161" t="s">
        <v>1331</v>
      </c>
      <c r="O222" s="161" t="s">
        <v>14</v>
      </c>
      <c r="P222" s="49" t="s">
        <v>14</v>
      </c>
      <c r="Q222" s="166" t="s">
        <v>1870</v>
      </c>
      <c r="R222" s="151"/>
    </row>
    <row r="223" spans="1:18">
      <c r="A223" s="101" t="s">
        <v>28</v>
      </c>
      <c r="B223" s="101" t="s">
        <v>132</v>
      </c>
      <c r="C223" s="135" t="s">
        <v>133</v>
      </c>
      <c r="D223" s="161" t="s">
        <v>133</v>
      </c>
      <c r="E223" s="161" t="s">
        <v>1689</v>
      </c>
      <c r="F223" s="161" t="s">
        <v>1739</v>
      </c>
      <c r="G223" s="163">
        <v>0</v>
      </c>
      <c r="H223" s="163">
        <v>0</v>
      </c>
      <c r="I223" s="163" t="s">
        <v>147</v>
      </c>
      <c r="J223" s="163">
        <v>0</v>
      </c>
      <c r="K223" s="163">
        <v>0</v>
      </c>
      <c r="L223" s="163"/>
      <c r="M223" s="161" t="s">
        <v>1294</v>
      </c>
      <c r="N223" s="161" t="s">
        <v>1331</v>
      </c>
      <c r="O223" s="161"/>
      <c r="P223" s="49"/>
      <c r="Q223" s="166" t="s">
        <v>1740</v>
      </c>
      <c r="R223" s="151"/>
    </row>
    <row r="224" spans="1:18">
      <c r="A224" s="101" t="s">
        <v>28</v>
      </c>
      <c r="B224" s="101" t="s">
        <v>132</v>
      </c>
      <c r="C224" s="86" t="s">
        <v>134</v>
      </c>
      <c r="D224" s="161" t="s">
        <v>1871</v>
      </c>
      <c r="E224" s="161" t="s">
        <v>1689</v>
      </c>
      <c r="F224" s="161" t="s">
        <v>1739</v>
      </c>
      <c r="G224" s="163">
        <v>6.2</v>
      </c>
      <c r="H224" s="163">
        <f>G224-G223</f>
        <v>6.2</v>
      </c>
      <c r="I224" s="163" t="s">
        <v>147</v>
      </c>
      <c r="J224" s="163">
        <v>718.225383260607</v>
      </c>
      <c r="K224" s="163">
        <v>718.225383260607</v>
      </c>
      <c r="L224" s="163"/>
      <c r="M224" s="161" t="s">
        <v>1872</v>
      </c>
      <c r="N224" s="161" t="s">
        <v>1331</v>
      </c>
      <c r="O224" s="161" t="s">
        <v>14</v>
      </c>
      <c r="P224" s="49" t="s">
        <v>14</v>
      </c>
      <c r="Q224" s="166" t="s">
        <v>1873</v>
      </c>
      <c r="R224" s="151"/>
    </row>
    <row r="225" spans="1:18">
      <c r="A225" s="101" t="s">
        <v>28</v>
      </c>
      <c r="B225" s="101" t="s">
        <v>124</v>
      </c>
      <c r="C225" s="135" t="s">
        <v>1835</v>
      </c>
      <c r="D225" s="161" t="s">
        <v>1835</v>
      </c>
      <c r="E225" s="161" t="s">
        <v>1689</v>
      </c>
      <c r="F225" s="161" t="s">
        <v>1739</v>
      </c>
      <c r="G225" s="163">
        <v>0</v>
      </c>
      <c r="H225" s="163">
        <v>0</v>
      </c>
      <c r="I225" s="163" t="s">
        <v>147</v>
      </c>
      <c r="J225" s="163" t="s">
        <v>147</v>
      </c>
      <c r="K225" s="163" t="s">
        <v>147</v>
      </c>
      <c r="L225" s="163"/>
      <c r="M225" s="161" t="s">
        <v>1833</v>
      </c>
      <c r="N225" s="161" t="s">
        <v>1331</v>
      </c>
      <c r="O225" s="161"/>
      <c r="P225" s="49"/>
      <c r="Q225" s="166" t="s">
        <v>1836</v>
      </c>
      <c r="R225" s="151"/>
    </row>
    <row r="226" spans="1:18">
      <c r="A226" s="101" t="s">
        <v>28</v>
      </c>
      <c r="B226" s="101" t="s">
        <v>124</v>
      </c>
      <c r="C226" s="135" t="s">
        <v>125</v>
      </c>
      <c r="D226" s="161" t="s">
        <v>1331</v>
      </c>
      <c r="E226" s="161" t="s">
        <v>1689</v>
      </c>
      <c r="F226" s="161" t="s">
        <v>1739</v>
      </c>
      <c r="G226" s="163">
        <v>3.696</v>
      </c>
      <c r="H226" s="163">
        <v>3.696</v>
      </c>
      <c r="I226" s="163" t="s">
        <v>147</v>
      </c>
      <c r="J226" s="163">
        <v>320.656</v>
      </c>
      <c r="K226" s="163">
        <v>320.656</v>
      </c>
      <c r="L226" s="163" t="s">
        <v>1874</v>
      </c>
      <c r="M226" s="161" t="s">
        <v>125</v>
      </c>
      <c r="N226" s="161" t="s">
        <v>1331</v>
      </c>
      <c r="O226" s="161"/>
      <c r="P226" s="49"/>
      <c r="Q226" s="166" t="s">
        <v>1875</v>
      </c>
      <c r="R226" s="151"/>
    </row>
    <row r="227" spans="1:18">
      <c r="A227" s="101" t="s">
        <v>28</v>
      </c>
      <c r="B227" s="101" t="s">
        <v>144</v>
      </c>
      <c r="C227" s="135" t="s">
        <v>145</v>
      </c>
      <c r="D227" s="161" t="s">
        <v>145</v>
      </c>
      <c r="E227" s="161" t="s">
        <v>1689</v>
      </c>
      <c r="F227" s="161" t="s">
        <v>1745</v>
      </c>
      <c r="G227" s="163">
        <v>0</v>
      </c>
      <c r="H227" s="163">
        <v>0</v>
      </c>
      <c r="I227" s="163" t="s">
        <v>147</v>
      </c>
      <c r="J227" s="163">
        <v>0</v>
      </c>
      <c r="K227" s="163">
        <v>0</v>
      </c>
      <c r="L227" s="163"/>
      <c r="M227" s="161" t="s">
        <v>1294</v>
      </c>
      <c r="N227" s="161" t="s">
        <v>1331</v>
      </c>
      <c r="O227" s="161"/>
      <c r="P227" s="49"/>
      <c r="Q227" s="166" t="s">
        <v>1756</v>
      </c>
      <c r="R227" s="151"/>
    </row>
    <row r="228" spans="1:18">
      <c r="A228" s="101" t="s">
        <v>28</v>
      </c>
      <c r="B228" s="101" t="s">
        <v>144</v>
      </c>
      <c r="C228" s="86" t="s">
        <v>1876</v>
      </c>
      <c r="D228" s="161" t="s">
        <v>1811</v>
      </c>
      <c r="E228" s="161" t="s">
        <v>1689</v>
      </c>
      <c r="F228" s="161" t="s">
        <v>1745</v>
      </c>
      <c r="G228" s="163">
        <v>17.1532</v>
      </c>
      <c r="H228" s="163">
        <f>G228-G227</f>
        <v>17.1532</v>
      </c>
      <c r="I228" s="163" t="s">
        <v>147</v>
      </c>
      <c r="J228" s="163">
        <v>12964.5379522304</v>
      </c>
      <c r="K228" s="163" t="s">
        <v>147</v>
      </c>
      <c r="L228" s="163"/>
      <c r="M228" s="161" t="s">
        <v>1877</v>
      </c>
      <c r="N228" s="161" t="s">
        <v>1331</v>
      </c>
      <c r="O228" s="161" t="s">
        <v>27</v>
      </c>
      <c r="P228" s="49" t="s">
        <v>27</v>
      </c>
      <c r="Q228" s="166" t="s">
        <v>1878</v>
      </c>
      <c r="R228" s="151"/>
    </row>
    <row r="229" spans="1:18">
      <c r="A229" s="101" t="s">
        <v>28</v>
      </c>
      <c r="B229" s="101" t="s">
        <v>144</v>
      </c>
      <c r="C229" s="86" t="s">
        <v>146</v>
      </c>
      <c r="D229" s="161" t="s">
        <v>146</v>
      </c>
      <c r="E229" s="161" t="s">
        <v>1879</v>
      </c>
      <c r="F229" s="161" t="s">
        <v>1880</v>
      </c>
      <c r="G229" s="163">
        <v>34.81</v>
      </c>
      <c r="H229" s="163">
        <f>G229-G228</f>
        <v>17.6568</v>
      </c>
      <c r="I229" s="163" t="s">
        <v>147</v>
      </c>
      <c r="J229" s="163">
        <v>12762.0814694217</v>
      </c>
      <c r="K229" s="163">
        <f>J228+J229</f>
        <v>25726.6194216521</v>
      </c>
      <c r="L229" s="163"/>
      <c r="M229" s="161" t="s">
        <v>1881</v>
      </c>
      <c r="N229" s="161" t="s">
        <v>1331</v>
      </c>
      <c r="O229" s="161" t="s">
        <v>14</v>
      </c>
      <c r="P229" s="49" t="s">
        <v>14</v>
      </c>
      <c r="Q229" s="166" t="s">
        <v>1882</v>
      </c>
      <c r="R229" s="151"/>
    </row>
    <row r="230" spans="1:18">
      <c r="A230" s="101" t="s">
        <v>28</v>
      </c>
      <c r="B230" s="101" t="s">
        <v>141</v>
      </c>
      <c r="C230" s="135" t="s">
        <v>142</v>
      </c>
      <c r="D230" s="161" t="s">
        <v>142</v>
      </c>
      <c r="E230" s="161" t="s">
        <v>1689</v>
      </c>
      <c r="F230" s="161" t="s">
        <v>1786</v>
      </c>
      <c r="G230" s="163">
        <v>0</v>
      </c>
      <c r="H230" s="163">
        <v>0</v>
      </c>
      <c r="I230" s="163">
        <v>1.9</v>
      </c>
      <c r="J230" s="163">
        <v>0</v>
      </c>
      <c r="K230" s="163">
        <v>0</v>
      </c>
      <c r="L230" s="163"/>
      <c r="M230" s="161" t="s">
        <v>1294</v>
      </c>
      <c r="N230" s="161" t="s">
        <v>1331</v>
      </c>
      <c r="O230" s="161"/>
      <c r="P230" s="49"/>
      <c r="Q230" s="166" t="s">
        <v>1796</v>
      </c>
      <c r="R230" s="151"/>
    </row>
    <row r="231" spans="1:18">
      <c r="A231" s="101" t="s">
        <v>28</v>
      </c>
      <c r="B231" s="101" t="s">
        <v>141</v>
      </c>
      <c r="C231" s="86" t="s">
        <v>1883</v>
      </c>
      <c r="D231" s="161" t="s">
        <v>1883</v>
      </c>
      <c r="E231" s="161" t="s">
        <v>1689</v>
      </c>
      <c r="F231" s="161" t="s">
        <v>1786</v>
      </c>
      <c r="G231" s="163">
        <v>16</v>
      </c>
      <c r="H231" s="163">
        <f t="shared" ref="H231:H236" si="17">G231-G230</f>
        <v>16</v>
      </c>
      <c r="I231" s="163">
        <v>2.1</v>
      </c>
      <c r="J231" s="163">
        <v>4410.0139547329</v>
      </c>
      <c r="K231" s="163">
        <f t="shared" ref="K231:K236" si="18">K230+J231</f>
        <v>4410.0139547329</v>
      </c>
      <c r="L231" s="163" t="s">
        <v>1884</v>
      </c>
      <c r="M231" s="161" t="s">
        <v>1885</v>
      </c>
      <c r="N231" s="161" t="s">
        <v>1331</v>
      </c>
      <c r="O231" s="161" t="s">
        <v>14</v>
      </c>
      <c r="P231" s="49" t="s">
        <v>14</v>
      </c>
      <c r="Q231" s="166" t="s">
        <v>1886</v>
      </c>
      <c r="R231" s="151"/>
    </row>
    <row r="232" spans="1:18">
      <c r="A232" s="101" t="s">
        <v>28</v>
      </c>
      <c r="B232" s="101" t="s">
        <v>141</v>
      </c>
      <c r="C232" s="86" t="s">
        <v>1887</v>
      </c>
      <c r="D232" s="161" t="s">
        <v>1887</v>
      </c>
      <c r="E232" s="161" t="s">
        <v>1689</v>
      </c>
      <c r="F232" s="161" t="s">
        <v>1786</v>
      </c>
      <c r="G232" s="163">
        <v>32</v>
      </c>
      <c r="H232" s="163">
        <f t="shared" si="17"/>
        <v>16</v>
      </c>
      <c r="I232" s="163">
        <v>1</v>
      </c>
      <c r="J232" s="163">
        <v>4520.26430360122</v>
      </c>
      <c r="K232" s="163">
        <f t="shared" si="18"/>
        <v>8930.27825833412</v>
      </c>
      <c r="L232" s="163" t="s">
        <v>1888</v>
      </c>
      <c r="M232" s="161" t="s">
        <v>1885</v>
      </c>
      <c r="N232" s="161" t="s">
        <v>1331</v>
      </c>
      <c r="O232" s="161" t="s">
        <v>14</v>
      </c>
      <c r="P232" s="49" t="s">
        <v>14</v>
      </c>
      <c r="Q232" s="166" t="s">
        <v>1889</v>
      </c>
      <c r="R232" s="151"/>
    </row>
    <row r="233" spans="1:18">
      <c r="A233" s="101" t="s">
        <v>28</v>
      </c>
      <c r="B233" s="101" t="s">
        <v>141</v>
      </c>
      <c r="C233" s="86" t="s">
        <v>1890</v>
      </c>
      <c r="D233" s="161" t="s">
        <v>1890</v>
      </c>
      <c r="E233" s="161" t="s">
        <v>1689</v>
      </c>
      <c r="F233" s="161" t="s">
        <v>1786</v>
      </c>
      <c r="G233" s="163">
        <v>45.9</v>
      </c>
      <c r="H233" s="163">
        <f t="shared" si="17"/>
        <v>13.9</v>
      </c>
      <c r="I233" s="163">
        <v>2</v>
      </c>
      <c r="J233" s="163">
        <v>3971.49319210915</v>
      </c>
      <c r="K233" s="163">
        <f t="shared" si="18"/>
        <v>12901.7714504433</v>
      </c>
      <c r="L233" s="163" t="s">
        <v>1891</v>
      </c>
      <c r="M233" s="161" t="s">
        <v>1885</v>
      </c>
      <c r="N233" s="161" t="s">
        <v>1331</v>
      </c>
      <c r="O233" s="161" t="s">
        <v>14</v>
      </c>
      <c r="P233" s="49" t="s">
        <v>14</v>
      </c>
      <c r="Q233" s="166" t="s">
        <v>1892</v>
      </c>
      <c r="R233" s="151"/>
    </row>
    <row r="234" spans="1:18">
      <c r="A234" s="101" t="s">
        <v>28</v>
      </c>
      <c r="B234" s="101" t="s">
        <v>141</v>
      </c>
      <c r="C234" s="86" t="s">
        <v>1893</v>
      </c>
      <c r="D234" s="161" t="s">
        <v>1820</v>
      </c>
      <c r="E234" s="161" t="s">
        <v>1689</v>
      </c>
      <c r="F234" s="161" t="s">
        <v>1786</v>
      </c>
      <c r="G234" s="163">
        <v>57.3362</v>
      </c>
      <c r="H234" s="163">
        <f t="shared" si="17"/>
        <v>11.4362</v>
      </c>
      <c r="I234" s="163">
        <v>2.1</v>
      </c>
      <c r="J234" s="163">
        <v>4410.0139547329</v>
      </c>
      <c r="K234" s="163">
        <f t="shared" si="18"/>
        <v>17311.7854051762</v>
      </c>
      <c r="L234" s="163"/>
      <c r="M234" s="161" t="s">
        <v>1885</v>
      </c>
      <c r="N234" s="161" t="s">
        <v>1331</v>
      </c>
      <c r="O234" s="161" t="s">
        <v>27</v>
      </c>
      <c r="P234" s="49" t="s">
        <v>27</v>
      </c>
      <c r="Q234" s="166" t="s">
        <v>1894</v>
      </c>
      <c r="R234" s="151"/>
    </row>
    <row r="235" spans="1:18">
      <c r="A235" s="101" t="s">
        <v>28</v>
      </c>
      <c r="B235" s="101" t="s">
        <v>141</v>
      </c>
      <c r="C235" s="86" t="s">
        <v>143</v>
      </c>
      <c r="D235" s="161" t="s">
        <v>143</v>
      </c>
      <c r="E235" s="161" t="s">
        <v>1689</v>
      </c>
      <c r="F235" s="161" t="s">
        <v>1786</v>
      </c>
      <c r="G235" s="163">
        <v>70.219</v>
      </c>
      <c r="H235" s="163">
        <f t="shared" si="17"/>
        <v>12.8828</v>
      </c>
      <c r="I235" s="163">
        <v>2.4</v>
      </c>
      <c r="J235" s="163">
        <v>2232.56956458353</v>
      </c>
      <c r="K235" s="163">
        <f t="shared" si="18"/>
        <v>19544.3549697597</v>
      </c>
      <c r="L235" s="163"/>
      <c r="M235" s="161" t="s">
        <v>1885</v>
      </c>
      <c r="N235" s="161" t="s">
        <v>1331</v>
      </c>
      <c r="O235" s="161" t="s">
        <v>14</v>
      </c>
      <c r="P235" s="49" t="s">
        <v>14</v>
      </c>
      <c r="Q235" s="166" t="s">
        <v>1895</v>
      </c>
      <c r="R235" s="151"/>
    </row>
    <row r="236" spans="1:18">
      <c r="A236" s="101" t="s">
        <v>28</v>
      </c>
      <c r="B236" s="101" t="s">
        <v>141</v>
      </c>
      <c r="C236" s="135" t="s">
        <v>1896</v>
      </c>
      <c r="D236" s="161" t="s">
        <v>1896</v>
      </c>
      <c r="E236" s="161" t="s">
        <v>1689</v>
      </c>
      <c r="F236" s="161" t="s">
        <v>1786</v>
      </c>
      <c r="G236" s="163">
        <v>80.219</v>
      </c>
      <c r="H236" s="163">
        <f t="shared" si="17"/>
        <v>10</v>
      </c>
      <c r="I236" s="163">
        <v>2.4</v>
      </c>
      <c r="J236" s="163">
        <v>4365.195</v>
      </c>
      <c r="K236" s="163">
        <f t="shared" si="18"/>
        <v>23909.5499697597</v>
      </c>
      <c r="L236" s="163"/>
      <c r="M236" s="161" t="s">
        <v>1885</v>
      </c>
      <c r="N236" s="161" t="s">
        <v>1331</v>
      </c>
      <c r="O236" s="161"/>
      <c r="P236" s="49"/>
      <c r="Q236" s="166" t="s">
        <v>1897</v>
      </c>
      <c r="R236" s="151"/>
    </row>
    <row r="237" spans="1:18">
      <c r="A237" s="101" t="s">
        <v>28</v>
      </c>
      <c r="B237" s="101" t="s">
        <v>148</v>
      </c>
      <c r="C237" s="135" t="s">
        <v>146</v>
      </c>
      <c r="D237" s="161" t="s">
        <v>146</v>
      </c>
      <c r="E237" s="161" t="s">
        <v>1879</v>
      </c>
      <c r="F237" s="161" t="s">
        <v>1880</v>
      </c>
      <c r="G237" s="163">
        <v>0</v>
      </c>
      <c r="H237" s="163">
        <v>0</v>
      </c>
      <c r="I237" s="173"/>
      <c r="J237" s="163">
        <v>0</v>
      </c>
      <c r="K237" s="163">
        <f>G237*190.27</f>
        <v>0</v>
      </c>
      <c r="L237" s="174"/>
      <c r="M237" s="161" t="s">
        <v>1881</v>
      </c>
      <c r="N237" s="161" t="s">
        <v>1331</v>
      </c>
      <c r="O237" s="161"/>
      <c r="P237" s="49"/>
      <c r="Q237" s="166" t="s">
        <v>1882</v>
      </c>
      <c r="R237" s="151"/>
    </row>
    <row r="238" spans="1:18">
      <c r="A238" s="101" t="s">
        <v>28</v>
      </c>
      <c r="B238" s="101" t="s">
        <v>148</v>
      </c>
      <c r="C238" s="86" t="s">
        <v>1898</v>
      </c>
      <c r="D238" s="161" t="s">
        <v>1899</v>
      </c>
      <c r="E238" s="161" t="s">
        <v>1689</v>
      </c>
      <c r="F238" s="161" t="s">
        <v>1745</v>
      </c>
      <c r="G238" s="163">
        <v>21.6662</v>
      </c>
      <c r="H238" s="163">
        <f>G238-G237</f>
        <v>21.6662</v>
      </c>
      <c r="I238" s="173"/>
      <c r="J238" s="163">
        <v>3805.42437598235</v>
      </c>
      <c r="K238" s="163">
        <f>K237+J238</f>
        <v>3805.42437598235</v>
      </c>
      <c r="L238" s="174"/>
      <c r="M238" s="161" t="s">
        <v>1900</v>
      </c>
      <c r="N238" s="161" t="s">
        <v>1901</v>
      </c>
      <c r="O238" s="161" t="s">
        <v>26</v>
      </c>
      <c r="P238" s="49" t="s">
        <v>26</v>
      </c>
      <c r="Q238" s="166" t="s">
        <v>1902</v>
      </c>
      <c r="R238" s="151"/>
    </row>
    <row r="239" spans="1:18">
      <c r="A239" s="101" t="s">
        <v>28</v>
      </c>
      <c r="B239" s="101" t="s">
        <v>148</v>
      </c>
      <c r="C239" s="86" t="s">
        <v>1903</v>
      </c>
      <c r="D239" s="161" t="s">
        <v>1904</v>
      </c>
      <c r="E239" s="161" t="s">
        <v>1689</v>
      </c>
      <c r="F239" s="161" t="s">
        <v>1745</v>
      </c>
      <c r="G239" s="163">
        <v>37.6025</v>
      </c>
      <c r="H239" s="163">
        <f>G239-G238</f>
        <v>15.9363</v>
      </c>
      <c r="I239" s="173"/>
      <c r="J239" s="163">
        <v>2854.06828198676</v>
      </c>
      <c r="K239" s="163">
        <f>K238+J239</f>
        <v>6659.49265796911</v>
      </c>
      <c r="L239" s="174"/>
      <c r="M239" s="161" t="s">
        <v>1900</v>
      </c>
      <c r="N239" s="161" t="s">
        <v>1901</v>
      </c>
      <c r="O239" s="161" t="s">
        <v>26</v>
      </c>
      <c r="P239" s="49" t="s">
        <v>26</v>
      </c>
      <c r="Q239" s="166" t="s">
        <v>1905</v>
      </c>
      <c r="R239" s="151"/>
    </row>
    <row r="240" spans="1:18">
      <c r="A240" s="101" t="s">
        <v>28</v>
      </c>
      <c r="B240" s="101" t="s">
        <v>148</v>
      </c>
      <c r="C240" s="86" t="s">
        <v>149</v>
      </c>
      <c r="D240" s="161" t="s">
        <v>149</v>
      </c>
      <c r="E240" s="161" t="s">
        <v>1689</v>
      </c>
      <c r="F240" s="161" t="s">
        <v>1745</v>
      </c>
      <c r="G240" s="163">
        <v>52.3467</v>
      </c>
      <c r="H240" s="163">
        <f>G240-G239</f>
        <v>14.7442</v>
      </c>
      <c r="I240" s="173"/>
      <c r="J240" s="163">
        <v>3424.88193838411</v>
      </c>
      <c r="K240" s="163">
        <f>K239+J240</f>
        <v>10084.3745963532</v>
      </c>
      <c r="L240" s="174"/>
      <c r="M240" s="161" t="s">
        <v>1900</v>
      </c>
      <c r="N240" s="161" t="s">
        <v>1331</v>
      </c>
      <c r="O240" s="161" t="s">
        <v>14</v>
      </c>
      <c r="P240" s="49" t="s">
        <v>14</v>
      </c>
      <c r="Q240" s="166" t="s">
        <v>1906</v>
      </c>
      <c r="R240" s="151"/>
    </row>
    <row r="241" s="148" customFormat="1" ht="30" spans="1:18">
      <c r="A241" s="101" t="s">
        <v>28</v>
      </c>
      <c r="B241" s="101" t="s">
        <v>156</v>
      </c>
      <c r="C241" s="135" t="s">
        <v>154</v>
      </c>
      <c r="D241" s="161" t="s">
        <v>154</v>
      </c>
      <c r="E241" s="161" t="s">
        <v>1689</v>
      </c>
      <c r="F241" s="161" t="s">
        <v>1739</v>
      </c>
      <c r="G241" s="163">
        <v>0</v>
      </c>
      <c r="H241" s="163">
        <v>0</v>
      </c>
      <c r="I241" s="173"/>
      <c r="J241" s="173">
        <v>0</v>
      </c>
      <c r="K241" s="173">
        <v>0</v>
      </c>
      <c r="L241" s="174"/>
      <c r="M241" s="161" t="s">
        <v>1294</v>
      </c>
      <c r="N241" s="161" t="s">
        <v>1331</v>
      </c>
      <c r="O241" s="161"/>
      <c r="P241" s="49"/>
      <c r="Q241" s="166" t="s">
        <v>1744</v>
      </c>
      <c r="R241" s="167"/>
    </row>
    <row r="242" s="148" customFormat="1" ht="30" spans="1:18">
      <c r="A242" s="101" t="s">
        <v>28</v>
      </c>
      <c r="B242" s="101" t="s">
        <v>156</v>
      </c>
      <c r="C242" s="135" t="s">
        <v>157</v>
      </c>
      <c r="D242" s="161" t="s">
        <v>157</v>
      </c>
      <c r="E242" s="161" t="s">
        <v>1689</v>
      </c>
      <c r="F242" s="161" t="s">
        <v>1907</v>
      </c>
      <c r="G242" s="163">
        <v>1.25</v>
      </c>
      <c r="H242" s="163">
        <v>1.25</v>
      </c>
      <c r="I242" s="173"/>
      <c r="J242" s="173">
        <v>680.64</v>
      </c>
      <c r="K242" s="173">
        <v>680.64</v>
      </c>
      <c r="L242" s="174"/>
      <c r="M242" s="161" t="s">
        <v>1908</v>
      </c>
      <c r="N242" s="161"/>
      <c r="O242" s="161"/>
      <c r="P242" s="49"/>
      <c r="Q242" s="166" t="s">
        <v>1909</v>
      </c>
      <c r="R242" s="167"/>
    </row>
    <row r="243" s="148" customFormat="1" spans="1:18">
      <c r="A243" s="101" t="s">
        <v>28</v>
      </c>
      <c r="B243" s="101" t="s">
        <v>158</v>
      </c>
      <c r="C243" s="135" t="s">
        <v>159</v>
      </c>
      <c r="D243" s="161" t="s">
        <v>159</v>
      </c>
      <c r="E243" s="161" t="s">
        <v>1689</v>
      </c>
      <c r="F243" s="161" t="s">
        <v>1745</v>
      </c>
      <c r="G243" s="163">
        <v>0</v>
      </c>
      <c r="H243" s="163">
        <v>0</v>
      </c>
      <c r="I243" s="173"/>
      <c r="J243" s="163"/>
      <c r="K243" s="163"/>
      <c r="L243" s="174"/>
      <c r="M243" s="161" t="s">
        <v>1294</v>
      </c>
      <c r="N243" s="161" t="s">
        <v>1331</v>
      </c>
      <c r="O243" s="161"/>
      <c r="P243" s="49"/>
      <c r="Q243" s="166" t="s">
        <v>1746</v>
      </c>
      <c r="R243" s="167"/>
    </row>
    <row r="244" s="148" customFormat="1" spans="1:18">
      <c r="A244" s="101" t="s">
        <v>28</v>
      </c>
      <c r="B244" s="101" t="s">
        <v>158</v>
      </c>
      <c r="C244" s="135" t="s">
        <v>160</v>
      </c>
      <c r="D244" s="161"/>
      <c r="E244" s="161" t="s">
        <v>160</v>
      </c>
      <c r="F244" s="161" t="s">
        <v>1910</v>
      </c>
      <c r="G244" s="163">
        <v>0.5</v>
      </c>
      <c r="H244" s="163">
        <v>0.5</v>
      </c>
      <c r="I244" s="173"/>
      <c r="J244" s="163"/>
      <c r="K244" s="163"/>
      <c r="L244" s="174"/>
      <c r="M244" s="161" t="s">
        <v>160</v>
      </c>
      <c r="N244" s="161"/>
      <c r="O244" s="161"/>
      <c r="P244" s="49"/>
      <c r="Q244" s="166" t="s">
        <v>1911</v>
      </c>
      <c r="R244" s="167"/>
    </row>
    <row r="245" s="148" customFormat="1" spans="1:18">
      <c r="A245" s="101" t="s">
        <v>30</v>
      </c>
      <c r="B245" s="101" t="s">
        <v>164</v>
      </c>
      <c r="C245" s="135" t="s">
        <v>154</v>
      </c>
      <c r="D245" s="161" t="s">
        <v>154</v>
      </c>
      <c r="E245" s="161" t="s">
        <v>1689</v>
      </c>
      <c r="F245" s="161" t="s">
        <v>1739</v>
      </c>
      <c r="G245" s="163">
        <v>0</v>
      </c>
      <c r="H245" s="163">
        <v>0</v>
      </c>
      <c r="I245" s="163">
        <v>20</v>
      </c>
      <c r="J245" s="163">
        <v>0</v>
      </c>
      <c r="K245" s="163">
        <v>0</v>
      </c>
      <c r="L245" s="163"/>
      <c r="M245" s="161" t="s">
        <v>1294</v>
      </c>
      <c r="N245" s="161" t="s">
        <v>1331</v>
      </c>
      <c r="O245" s="161"/>
      <c r="P245" s="49"/>
      <c r="Q245" s="166" t="s">
        <v>1744</v>
      </c>
      <c r="R245" s="167"/>
    </row>
    <row r="246" s="148" customFormat="1" spans="1:18">
      <c r="A246" s="101" t="s">
        <v>30</v>
      </c>
      <c r="B246" s="101" t="s">
        <v>164</v>
      </c>
      <c r="C246" s="86" t="s">
        <v>1912</v>
      </c>
      <c r="D246" s="161" t="s">
        <v>1811</v>
      </c>
      <c r="E246" s="161" t="s">
        <v>1689</v>
      </c>
      <c r="F246" s="161" t="s">
        <v>1907</v>
      </c>
      <c r="G246" s="163">
        <v>17.5634</v>
      </c>
      <c r="H246" s="163">
        <v>17.5634</v>
      </c>
      <c r="I246" s="163">
        <v>17</v>
      </c>
      <c r="J246" s="163">
        <v>3009.50423480905</v>
      </c>
      <c r="K246" s="163">
        <f>K245+J246</f>
        <v>3009.50423480905</v>
      </c>
      <c r="L246" s="163"/>
      <c r="M246" s="161" t="s">
        <v>1913</v>
      </c>
      <c r="N246" s="161" t="s">
        <v>1331</v>
      </c>
      <c r="O246" s="161" t="s">
        <v>27</v>
      </c>
      <c r="P246" s="49" t="s">
        <v>27</v>
      </c>
      <c r="Q246" s="166" t="s">
        <v>1914</v>
      </c>
      <c r="R246" s="167"/>
    </row>
    <row r="247" s="148" customFormat="1" spans="1:18">
      <c r="A247" s="101" t="s">
        <v>30</v>
      </c>
      <c r="B247" s="101" t="s">
        <v>164</v>
      </c>
      <c r="C247" s="86" t="s">
        <v>1915</v>
      </c>
      <c r="D247" s="161" t="s">
        <v>1915</v>
      </c>
      <c r="E247" s="161" t="s">
        <v>1689</v>
      </c>
      <c r="F247" s="161" t="s">
        <v>1907</v>
      </c>
      <c r="G247" s="163">
        <v>32.31</v>
      </c>
      <c r="H247" s="171">
        <v>14.7466</v>
      </c>
      <c r="I247" s="163">
        <v>27</v>
      </c>
      <c r="J247" s="163">
        <v>2509.70519225476</v>
      </c>
      <c r="K247" s="163">
        <f>K246+J247</f>
        <v>5519.20942706381</v>
      </c>
      <c r="L247" s="163" t="s">
        <v>1916</v>
      </c>
      <c r="M247" s="161" t="s">
        <v>1913</v>
      </c>
      <c r="N247" s="161"/>
      <c r="O247" s="161" t="s">
        <v>14</v>
      </c>
      <c r="P247" s="49" t="s">
        <v>14</v>
      </c>
      <c r="Q247" s="166" t="s">
        <v>1917</v>
      </c>
      <c r="R247" s="167"/>
    </row>
    <row r="248" s="148" customFormat="1" spans="1:18">
      <c r="A248" s="101" t="s">
        <v>30</v>
      </c>
      <c r="B248" s="101" t="s">
        <v>164</v>
      </c>
      <c r="C248" s="86" t="s">
        <v>1918</v>
      </c>
      <c r="D248" s="161" t="s">
        <v>1918</v>
      </c>
      <c r="E248" s="161" t="s">
        <v>1689</v>
      </c>
      <c r="F248" s="161" t="s">
        <v>1907</v>
      </c>
      <c r="G248" s="163">
        <v>50.75</v>
      </c>
      <c r="H248" s="171">
        <v>18.44</v>
      </c>
      <c r="I248" s="163">
        <v>26</v>
      </c>
      <c r="J248" s="163">
        <v>6732.32073860346</v>
      </c>
      <c r="K248" s="163">
        <f t="shared" ref="K248:K267" si="19">K247+J248</f>
        <v>12251.5301656673</v>
      </c>
      <c r="L248" s="163"/>
      <c r="M248" s="161" t="s">
        <v>1913</v>
      </c>
      <c r="N248" s="161" t="s">
        <v>1331</v>
      </c>
      <c r="O248" s="161" t="s">
        <v>14</v>
      </c>
      <c r="P248" s="49" t="s">
        <v>14</v>
      </c>
      <c r="Q248" s="166" t="s">
        <v>1917</v>
      </c>
      <c r="R248" s="167"/>
    </row>
    <row r="249" s="148" customFormat="1" spans="1:18">
      <c r="A249" s="101" t="s">
        <v>30</v>
      </c>
      <c r="B249" s="101" t="s">
        <v>164</v>
      </c>
      <c r="C249" s="86" t="s">
        <v>1919</v>
      </c>
      <c r="D249" s="161" t="s">
        <v>1210</v>
      </c>
      <c r="E249" s="161" t="s">
        <v>1689</v>
      </c>
      <c r="F249" s="161" t="s">
        <v>1907</v>
      </c>
      <c r="G249" s="163">
        <v>67.0474</v>
      </c>
      <c r="H249" s="171">
        <v>16.2974</v>
      </c>
      <c r="I249" s="163">
        <v>10</v>
      </c>
      <c r="J249" s="163">
        <v>6151.82236689091</v>
      </c>
      <c r="K249" s="163">
        <f t="shared" si="19"/>
        <v>18403.3525325582</v>
      </c>
      <c r="L249" s="163"/>
      <c r="M249" s="161" t="s">
        <v>1913</v>
      </c>
      <c r="N249" s="161" t="s">
        <v>1331</v>
      </c>
      <c r="O249" s="161" t="s">
        <v>27</v>
      </c>
      <c r="P249" s="49" t="s">
        <v>27</v>
      </c>
      <c r="Q249" s="166" t="s">
        <v>1920</v>
      </c>
      <c r="R249" s="167"/>
    </row>
    <row r="250" s="148" customFormat="1" spans="1:18">
      <c r="A250" s="101" t="s">
        <v>30</v>
      </c>
      <c r="B250" s="101" t="s">
        <v>164</v>
      </c>
      <c r="C250" s="86" t="s">
        <v>187</v>
      </c>
      <c r="D250" s="161" t="s">
        <v>187</v>
      </c>
      <c r="E250" s="161" t="s">
        <v>1689</v>
      </c>
      <c r="F250" s="161" t="s">
        <v>1907</v>
      </c>
      <c r="G250" s="163">
        <v>72.87</v>
      </c>
      <c r="H250" s="171">
        <v>5.8226</v>
      </c>
      <c r="I250" s="163">
        <v>6</v>
      </c>
      <c r="J250" s="163">
        <v>2152.70587614455</v>
      </c>
      <c r="K250" s="163">
        <f t="shared" si="19"/>
        <v>20556.0584087027</v>
      </c>
      <c r="L250" s="163"/>
      <c r="M250" s="161" t="s">
        <v>1913</v>
      </c>
      <c r="N250" s="161" t="s">
        <v>1331</v>
      </c>
      <c r="O250" s="161" t="s">
        <v>14</v>
      </c>
      <c r="P250" s="49" t="s">
        <v>14</v>
      </c>
      <c r="Q250" s="166" t="s">
        <v>1921</v>
      </c>
      <c r="R250" s="167"/>
    </row>
    <row r="251" s="148" customFormat="1" spans="1:18">
      <c r="A251" s="101" t="s">
        <v>30</v>
      </c>
      <c r="B251" s="101" t="s">
        <v>164</v>
      </c>
      <c r="C251" s="86" t="s">
        <v>1922</v>
      </c>
      <c r="D251" s="161" t="s">
        <v>1820</v>
      </c>
      <c r="E251" s="161" t="s">
        <v>1689</v>
      </c>
      <c r="F251" s="161" t="s">
        <v>1923</v>
      </c>
      <c r="G251" s="163">
        <v>89.1289</v>
      </c>
      <c r="H251" s="171">
        <v>16.2589</v>
      </c>
      <c r="I251" s="163">
        <v>3</v>
      </c>
      <c r="J251" s="163">
        <v>5878.00238023404</v>
      </c>
      <c r="K251" s="163">
        <f t="shared" si="19"/>
        <v>26434.0607889368</v>
      </c>
      <c r="L251" s="163"/>
      <c r="M251" s="161" t="s">
        <v>1913</v>
      </c>
      <c r="N251" s="161" t="s">
        <v>1331</v>
      </c>
      <c r="O251" s="161" t="s">
        <v>27</v>
      </c>
      <c r="P251" s="49" t="s">
        <v>27</v>
      </c>
      <c r="Q251" s="166" t="s">
        <v>1924</v>
      </c>
      <c r="R251" s="167"/>
    </row>
    <row r="252" s="148" customFormat="1" spans="1:18">
      <c r="A252" s="101" t="s">
        <v>30</v>
      </c>
      <c r="B252" s="101" t="s">
        <v>164</v>
      </c>
      <c r="C252" s="86" t="s">
        <v>1925</v>
      </c>
      <c r="D252" s="161" t="s">
        <v>741</v>
      </c>
      <c r="E252" s="161" t="s">
        <v>1689</v>
      </c>
      <c r="F252" s="161" t="s">
        <v>1923</v>
      </c>
      <c r="G252" s="163">
        <v>100.8612</v>
      </c>
      <c r="H252" s="171">
        <v>11.7323</v>
      </c>
      <c r="I252" s="163">
        <v>2</v>
      </c>
      <c r="J252" s="163">
        <v>4260.63899238082</v>
      </c>
      <c r="K252" s="163">
        <f t="shared" si="19"/>
        <v>30694.6997813176</v>
      </c>
      <c r="L252" s="163"/>
      <c r="M252" s="161" t="s">
        <v>1913</v>
      </c>
      <c r="N252" s="161" t="s">
        <v>1331</v>
      </c>
      <c r="O252" s="161" t="s">
        <v>27</v>
      </c>
      <c r="P252" s="49" t="s">
        <v>27</v>
      </c>
      <c r="Q252" s="166" t="s">
        <v>1926</v>
      </c>
      <c r="R252" s="167"/>
    </row>
    <row r="253" s="148" customFormat="1" spans="1:18">
      <c r="A253" s="101" t="s">
        <v>30</v>
      </c>
      <c r="B253" s="101" t="s">
        <v>164</v>
      </c>
      <c r="C253" s="86" t="s">
        <v>1927</v>
      </c>
      <c r="D253" s="161" t="s">
        <v>1927</v>
      </c>
      <c r="E253" s="161" t="s">
        <v>1689</v>
      </c>
      <c r="F253" s="161" t="s">
        <v>1923</v>
      </c>
      <c r="G253" s="163">
        <v>109.89</v>
      </c>
      <c r="H253" s="171">
        <v>9.0288</v>
      </c>
      <c r="I253" s="163">
        <v>3</v>
      </c>
      <c r="J253" s="163">
        <v>3117.89691473284</v>
      </c>
      <c r="K253" s="163">
        <f t="shared" si="19"/>
        <v>33812.5966960504</v>
      </c>
      <c r="L253" s="163" t="s">
        <v>1928</v>
      </c>
      <c r="M253" s="161" t="s">
        <v>1913</v>
      </c>
      <c r="N253" s="161" t="s">
        <v>1331</v>
      </c>
      <c r="O253" s="161" t="s">
        <v>14</v>
      </c>
      <c r="P253" s="49" t="s">
        <v>14</v>
      </c>
      <c r="Q253" s="166" t="s">
        <v>1929</v>
      </c>
      <c r="R253" s="167"/>
    </row>
    <row r="254" s="148" customFormat="1" spans="1:18">
      <c r="A254" s="101" t="s">
        <v>30</v>
      </c>
      <c r="B254" s="101" t="s">
        <v>164</v>
      </c>
      <c r="C254" s="86" t="s">
        <v>1930</v>
      </c>
      <c r="D254" s="161" t="s">
        <v>1321</v>
      </c>
      <c r="E254" s="161" t="s">
        <v>1689</v>
      </c>
      <c r="F254" s="161" t="s">
        <v>1923</v>
      </c>
      <c r="G254" s="163">
        <v>124.9623</v>
      </c>
      <c r="H254" s="171">
        <v>15.0723</v>
      </c>
      <c r="I254" s="163">
        <v>2</v>
      </c>
      <c r="J254" s="163">
        <v>6133.56770111378</v>
      </c>
      <c r="K254" s="163">
        <f t="shared" si="19"/>
        <v>39946.1643971642</v>
      </c>
      <c r="L254" s="163"/>
      <c r="M254" s="161" t="s">
        <v>1913</v>
      </c>
      <c r="N254" s="161" t="s">
        <v>1299</v>
      </c>
      <c r="O254" s="161" t="s">
        <v>25</v>
      </c>
      <c r="P254" s="49" t="s">
        <v>25</v>
      </c>
      <c r="Q254" s="166" t="s">
        <v>1931</v>
      </c>
      <c r="R254" s="167"/>
    </row>
    <row r="255" s="148" customFormat="1" spans="1:18">
      <c r="A255" s="101" t="s">
        <v>30</v>
      </c>
      <c r="B255" s="101" t="s">
        <v>164</v>
      </c>
      <c r="C255" s="86" t="s">
        <v>1932</v>
      </c>
      <c r="D255" s="161" t="s">
        <v>1933</v>
      </c>
      <c r="E255" s="161" t="s">
        <v>1689</v>
      </c>
      <c r="F255" s="161" t="s">
        <v>1923</v>
      </c>
      <c r="G255" s="163">
        <v>140.4722</v>
      </c>
      <c r="H255" s="171">
        <v>15.5099</v>
      </c>
      <c r="I255" s="163">
        <v>2</v>
      </c>
      <c r="J255" s="163">
        <v>5352.26800585286</v>
      </c>
      <c r="K255" s="163">
        <f t="shared" si="19"/>
        <v>45298.4324030171</v>
      </c>
      <c r="L255" s="163"/>
      <c r="M255" s="161" t="s">
        <v>1913</v>
      </c>
      <c r="N255" s="161" t="s">
        <v>1331</v>
      </c>
      <c r="O255" s="161" t="s">
        <v>27</v>
      </c>
      <c r="P255" s="49" t="s">
        <v>27</v>
      </c>
      <c r="Q255" s="166" t="s">
        <v>1934</v>
      </c>
      <c r="R255" s="167"/>
    </row>
    <row r="256" s="148" customFormat="1" spans="1:18">
      <c r="A256" s="101" t="s">
        <v>30</v>
      </c>
      <c r="B256" s="101" t="s">
        <v>164</v>
      </c>
      <c r="C256" s="86" t="s">
        <v>1935</v>
      </c>
      <c r="D256" s="161" t="s">
        <v>1936</v>
      </c>
      <c r="E256" s="161" t="s">
        <v>1689</v>
      </c>
      <c r="F256" s="161" t="s">
        <v>1923</v>
      </c>
      <c r="G256" s="163">
        <v>151.3064</v>
      </c>
      <c r="H256" s="171">
        <v>10.8342</v>
      </c>
      <c r="I256" s="163">
        <v>3</v>
      </c>
      <c r="J256" s="163">
        <v>4227.780593982</v>
      </c>
      <c r="K256" s="163">
        <f t="shared" si="19"/>
        <v>49526.2129969991</v>
      </c>
      <c r="L256" s="163"/>
      <c r="M256" s="161" t="s">
        <v>1913</v>
      </c>
      <c r="N256" s="161" t="s">
        <v>1331</v>
      </c>
      <c r="O256" s="161" t="s">
        <v>27</v>
      </c>
      <c r="P256" s="49" t="s">
        <v>27</v>
      </c>
      <c r="Q256" s="166" t="s">
        <v>1937</v>
      </c>
      <c r="R256" s="167"/>
    </row>
    <row r="257" s="148" customFormat="1" spans="1:18">
      <c r="A257" s="101" t="s">
        <v>30</v>
      </c>
      <c r="B257" s="101" t="s">
        <v>164</v>
      </c>
      <c r="C257" s="86" t="s">
        <v>1938</v>
      </c>
      <c r="D257" s="161" t="s">
        <v>1938</v>
      </c>
      <c r="E257" s="161" t="s">
        <v>1689</v>
      </c>
      <c r="F257" s="161" t="s">
        <v>1923</v>
      </c>
      <c r="G257" s="163">
        <v>165.0199</v>
      </c>
      <c r="H257" s="171">
        <v>13.7135</v>
      </c>
      <c r="I257" s="163">
        <v>2</v>
      </c>
      <c r="J257" s="163">
        <v>5220.83441225756</v>
      </c>
      <c r="K257" s="163">
        <f t="shared" si="19"/>
        <v>54747.0474092566</v>
      </c>
      <c r="L257" s="163" t="s">
        <v>1939</v>
      </c>
      <c r="M257" s="161" t="s">
        <v>1913</v>
      </c>
      <c r="N257" s="161" t="s">
        <v>1331</v>
      </c>
      <c r="O257" s="161" t="s">
        <v>14</v>
      </c>
      <c r="P257" s="49" t="s">
        <v>14</v>
      </c>
      <c r="Q257" s="166" t="s">
        <v>1940</v>
      </c>
      <c r="R257" s="167"/>
    </row>
    <row r="258" s="148" customFormat="1" spans="1:18">
      <c r="A258" s="101" t="s">
        <v>30</v>
      </c>
      <c r="B258" s="101" t="s">
        <v>164</v>
      </c>
      <c r="C258" s="86" t="s">
        <v>1941</v>
      </c>
      <c r="D258" s="161" t="s">
        <v>1942</v>
      </c>
      <c r="E258" s="161" t="s">
        <v>1689</v>
      </c>
      <c r="F258" s="161" t="s">
        <v>1923</v>
      </c>
      <c r="G258" s="163">
        <v>179.3982</v>
      </c>
      <c r="H258" s="171">
        <v>14.3783</v>
      </c>
      <c r="I258" s="163">
        <v>4</v>
      </c>
      <c r="J258" s="163">
        <v>5323.06054060946</v>
      </c>
      <c r="K258" s="163">
        <f t="shared" si="19"/>
        <v>60070.1079498661</v>
      </c>
      <c r="L258" s="163"/>
      <c r="M258" s="161" t="s">
        <v>1913</v>
      </c>
      <c r="N258" s="161" t="s">
        <v>1331</v>
      </c>
      <c r="O258" s="161" t="s">
        <v>27</v>
      </c>
      <c r="P258" s="49" t="s">
        <v>27</v>
      </c>
      <c r="Q258" s="166" t="s">
        <v>1943</v>
      </c>
      <c r="R258" s="167"/>
    </row>
    <row r="259" s="148" customFormat="1" spans="1:18">
      <c r="A259" s="101" t="s">
        <v>30</v>
      </c>
      <c r="B259" s="101" t="s">
        <v>164</v>
      </c>
      <c r="C259" s="86" t="s">
        <v>1944</v>
      </c>
      <c r="D259" s="161" t="s">
        <v>1944</v>
      </c>
      <c r="E259" s="161" t="s">
        <v>1689</v>
      </c>
      <c r="F259" s="161" t="s">
        <v>1945</v>
      </c>
      <c r="G259" s="163">
        <v>194.3199</v>
      </c>
      <c r="H259" s="171">
        <v>14.9217</v>
      </c>
      <c r="I259" s="163">
        <v>5</v>
      </c>
      <c r="J259" s="163">
        <v>5764.82345241587</v>
      </c>
      <c r="K259" s="163">
        <f t="shared" si="19"/>
        <v>65834.931402282</v>
      </c>
      <c r="L259" s="163" t="s">
        <v>1946</v>
      </c>
      <c r="M259" s="161" t="s">
        <v>1913</v>
      </c>
      <c r="N259" s="161" t="s">
        <v>1331</v>
      </c>
      <c r="O259" s="161" t="s">
        <v>14</v>
      </c>
      <c r="P259" s="49" t="s">
        <v>14</v>
      </c>
      <c r="Q259" s="166" t="s">
        <v>1947</v>
      </c>
      <c r="R259" s="167"/>
    </row>
    <row r="260" s="148" customFormat="1" spans="1:18">
      <c r="A260" s="101" t="s">
        <v>30</v>
      </c>
      <c r="B260" s="101" t="s">
        <v>164</v>
      </c>
      <c r="C260" s="86" t="s">
        <v>1948</v>
      </c>
      <c r="D260" s="161" t="s">
        <v>1949</v>
      </c>
      <c r="E260" s="161" t="s">
        <v>1689</v>
      </c>
      <c r="F260" s="161" t="s">
        <v>1945</v>
      </c>
      <c r="G260" s="163">
        <v>208.9592</v>
      </c>
      <c r="H260" s="171">
        <v>14.6393</v>
      </c>
      <c r="I260" s="163">
        <v>6</v>
      </c>
      <c r="J260" s="163">
        <v>4932.410692979</v>
      </c>
      <c r="K260" s="163">
        <f t="shared" si="19"/>
        <v>70767.342095261</v>
      </c>
      <c r="L260" s="163"/>
      <c r="M260" s="161" t="s">
        <v>1913</v>
      </c>
      <c r="N260" s="161" t="s">
        <v>1331</v>
      </c>
      <c r="O260" s="161" t="s">
        <v>27</v>
      </c>
      <c r="P260" s="49" t="s">
        <v>27</v>
      </c>
      <c r="Q260" s="166" t="s">
        <v>1950</v>
      </c>
      <c r="R260" s="167"/>
    </row>
    <row r="261" s="148" customFormat="1" spans="1:18">
      <c r="A261" s="101" t="s">
        <v>30</v>
      </c>
      <c r="B261" s="101" t="s">
        <v>164</v>
      </c>
      <c r="C261" s="86" t="s">
        <v>184</v>
      </c>
      <c r="D261" s="161" t="s">
        <v>184</v>
      </c>
      <c r="E261" s="161" t="s">
        <v>1689</v>
      </c>
      <c r="F261" s="161" t="s">
        <v>1945</v>
      </c>
      <c r="G261" s="163">
        <v>220.5799</v>
      </c>
      <c r="H261" s="171">
        <v>11.6207</v>
      </c>
      <c r="I261" s="163">
        <v>13</v>
      </c>
      <c r="J261" s="163">
        <v>3574.26355916095</v>
      </c>
      <c r="K261" s="163">
        <f t="shared" si="19"/>
        <v>74341.6056544219</v>
      </c>
      <c r="L261" s="163"/>
      <c r="M261" s="161" t="s">
        <v>1913</v>
      </c>
      <c r="N261" s="161" t="s">
        <v>1331</v>
      </c>
      <c r="O261" s="161" t="s">
        <v>14</v>
      </c>
      <c r="P261" s="49" t="s">
        <v>14</v>
      </c>
      <c r="Q261" s="166" t="s">
        <v>1951</v>
      </c>
      <c r="R261" s="167"/>
    </row>
    <row r="262" s="148" customFormat="1" spans="1:18">
      <c r="A262" s="101" t="s">
        <v>30</v>
      </c>
      <c r="B262" s="101" t="s">
        <v>164</v>
      </c>
      <c r="C262" s="86" t="s">
        <v>1952</v>
      </c>
      <c r="D262" s="161" t="s">
        <v>1953</v>
      </c>
      <c r="E262" s="161" t="s">
        <v>1689</v>
      </c>
      <c r="F262" s="161" t="s">
        <v>1945</v>
      </c>
      <c r="G262" s="163">
        <v>236.9709</v>
      </c>
      <c r="H262" s="171">
        <v>16.391</v>
      </c>
      <c r="I262" s="163">
        <v>14</v>
      </c>
      <c r="J262" s="163">
        <v>6013.08690698476</v>
      </c>
      <c r="K262" s="163">
        <f t="shared" si="19"/>
        <v>80354.6925614067</v>
      </c>
      <c r="L262" s="163"/>
      <c r="M262" s="161" t="s">
        <v>1913</v>
      </c>
      <c r="N262" s="161" t="s">
        <v>1331</v>
      </c>
      <c r="O262" s="161" t="s">
        <v>27</v>
      </c>
      <c r="P262" s="49" t="s">
        <v>27</v>
      </c>
      <c r="Q262" s="166" t="s">
        <v>1954</v>
      </c>
      <c r="R262" s="167"/>
    </row>
    <row r="263" s="148" customFormat="1" spans="1:18">
      <c r="A263" s="101" t="s">
        <v>30</v>
      </c>
      <c r="B263" s="101" t="s">
        <v>164</v>
      </c>
      <c r="C263" s="86" t="s">
        <v>1955</v>
      </c>
      <c r="D263" s="161" t="s">
        <v>1955</v>
      </c>
      <c r="E263" s="161" t="s">
        <v>1689</v>
      </c>
      <c r="F263" s="161" t="s">
        <v>1956</v>
      </c>
      <c r="G263" s="163">
        <v>262.0099</v>
      </c>
      <c r="H263" s="171">
        <v>25.039</v>
      </c>
      <c r="I263" s="163">
        <v>15</v>
      </c>
      <c r="J263" s="163">
        <v>7907.67769157886</v>
      </c>
      <c r="K263" s="163">
        <f t="shared" si="19"/>
        <v>88262.3702529855</v>
      </c>
      <c r="L263" s="163" t="s">
        <v>1957</v>
      </c>
      <c r="M263" s="161" t="s">
        <v>1913</v>
      </c>
      <c r="N263" s="161" t="s">
        <v>1331</v>
      </c>
      <c r="O263" s="161" t="s">
        <v>14</v>
      </c>
      <c r="P263" s="49" t="s">
        <v>14</v>
      </c>
      <c r="Q263" s="166" t="s">
        <v>1958</v>
      </c>
      <c r="R263" s="167"/>
    </row>
    <row r="264" s="148" customFormat="1" spans="1:18">
      <c r="A264" s="101" t="s">
        <v>30</v>
      </c>
      <c r="B264" s="101" t="s">
        <v>164</v>
      </c>
      <c r="C264" s="86" t="s">
        <v>1959</v>
      </c>
      <c r="D264" s="161" t="s">
        <v>1960</v>
      </c>
      <c r="E264" s="161" t="s">
        <v>1689</v>
      </c>
      <c r="F264" s="161" t="s">
        <v>1961</v>
      </c>
      <c r="G264" s="163">
        <v>277.3693</v>
      </c>
      <c r="H264" s="171">
        <v>15.3594</v>
      </c>
      <c r="I264" s="163">
        <v>17</v>
      </c>
      <c r="J264" s="163">
        <v>7419.22965447618</v>
      </c>
      <c r="K264" s="163">
        <f t="shared" si="19"/>
        <v>95681.5999074617</v>
      </c>
      <c r="L264" s="163"/>
      <c r="M264" s="161" t="s">
        <v>1913</v>
      </c>
      <c r="N264" s="161" t="s">
        <v>1331</v>
      </c>
      <c r="O264" s="161" t="s">
        <v>27</v>
      </c>
      <c r="P264" s="49" t="s">
        <v>27</v>
      </c>
      <c r="Q264" s="166" t="s">
        <v>1962</v>
      </c>
      <c r="R264" s="167"/>
    </row>
    <row r="265" s="148" customFormat="1" spans="1:18">
      <c r="A265" s="101" t="s">
        <v>30</v>
      </c>
      <c r="B265" s="101" t="s">
        <v>164</v>
      </c>
      <c r="C265" s="86" t="s">
        <v>1961</v>
      </c>
      <c r="D265" s="161" t="s">
        <v>1961</v>
      </c>
      <c r="E265" s="161" t="s">
        <v>1689</v>
      </c>
      <c r="F265" s="161" t="s">
        <v>1961</v>
      </c>
      <c r="G265" s="163">
        <v>293.4199</v>
      </c>
      <c r="H265" s="171">
        <v>16.0506</v>
      </c>
      <c r="I265" s="163">
        <v>20</v>
      </c>
      <c r="J265" s="163">
        <v>7822.56932147763</v>
      </c>
      <c r="K265" s="163">
        <f t="shared" si="19"/>
        <v>103504.169228939</v>
      </c>
      <c r="L265" s="163"/>
      <c r="M265" s="161" t="s">
        <v>1913</v>
      </c>
      <c r="N265" s="161" t="s">
        <v>1331</v>
      </c>
      <c r="O265" s="161" t="s">
        <v>14</v>
      </c>
      <c r="P265" s="49" t="s">
        <v>14</v>
      </c>
      <c r="Q265" s="166" t="s">
        <v>1963</v>
      </c>
      <c r="R265" s="167"/>
    </row>
    <row r="266" s="148" customFormat="1" spans="1:18">
      <c r="A266" s="101" t="s">
        <v>30</v>
      </c>
      <c r="B266" s="101" t="s">
        <v>164</v>
      </c>
      <c r="C266" s="86" t="s">
        <v>1964</v>
      </c>
      <c r="D266" s="161" t="s">
        <v>1965</v>
      </c>
      <c r="E266" s="161" t="s">
        <v>1689</v>
      </c>
      <c r="F266" s="161" t="s">
        <v>1961</v>
      </c>
      <c r="G266" s="163">
        <v>303.6899</v>
      </c>
      <c r="H266" s="171">
        <v>10.27</v>
      </c>
      <c r="I266" s="163">
        <v>23</v>
      </c>
      <c r="J266" s="163">
        <v>3800.27374321548</v>
      </c>
      <c r="K266" s="163">
        <f t="shared" si="19"/>
        <v>107304.442972155</v>
      </c>
      <c r="L266" s="163"/>
      <c r="M266" s="161" t="s">
        <v>1913</v>
      </c>
      <c r="N266" s="161" t="s">
        <v>1331</v>
      </c>
      <c r="O266" s="161" t="s">
        <v>27</v>
      </c>
      <c r="P266" s="49" t="s">
        <v>27</v>
      </c>
      <c r="Q266" s="166" t="s">
        <v>1966</v>
      </c>
      <c r="R266" s="167"/>
    </row>
    <row r="267" s="148" customFormat="1" spans="1:18">
      <c r="A267" s="101" t="s">
        <v>30</v>
      </c>
      <c r="B267" s="101" t="s">
        <v>164</v>
      </c>
      <c r="C267" s="86" t="s">
        <v>1967</v>
      </c>
      <c r="D267" s="161" t="s">
        <v>1358</v>
      </c>
      <c r="E267" s="161" t="s">
        <v>1689</v>
      </c>
      <c r="F267" s="161" t="s">
        <v>1961</v>
      </c>
      <c r="G267" s="163">
        <v>322.7399</v>
      </c>
      <c r="H267" s="171">
        <v>19.05</v>
      </c>
      <c r="I267" s="163">
        <v>20</v>
      </c>
      <c r="J267" s="163">
        <v>7049.19326273174</v>
      </c>
      <c r="K267" s="163">
        <f t="shared" si="19"/>
        <v>114353.636234887</v>
      </c>
      <c r="L267" s="163"/>
      <c r="M267" s="161" t="s">
        <v>1913</v>
      </c>
      <c r="N267" s="161" t="s">
        <v>1299</v>
      </c>
      <c r="O267" s="161" t="s">
        <v>25</v>
      </c>
      <c r="P267" s="49" t="s">
        <v>25</v>
      </c>
      <c r="Q267" s="166" t="s">
        <v>1968</v>
      </c>
      <c r="R267" s="167"/>
    </row>
    <row r="268" s="148" customFormat="1" spans="1:18">
      <c r="A268" s="101" t="s">
        <v>30</v>
      </c>
      <c r="B268" s="101" t="s">
        <v>164</v>
      </c>
      <c r="C268" s="86" t="s">
        <v>1969</v>
      </c>
      <c r="D268" s="161" t="s">
        <v>1969</v>
      </c>
      <c r="E268" s="161" t="s">
        <v>1689</v>
      </c>
      <c r="F268" s="161" t="s">
        <v>1961</v>
      </c>
      <c r="G268" s="163"/>
      <c r="H268" s="171"/>
      <c r="I268" s="163"/>
      <c r="J268" s="163"/>
      <c r="K268" s="163"/>
      <c r="L268" s="163" t="s">
        <v>1970</v>
      </c>
      <c r="M268" s="161" t="s">
        <v>1913</v>
      </c>
      <c r="N268" s="161"/>
      <c r="O268" s="161"/>
      <c r="P268" s="49" t="s">
        <v>14</v>
      </c>
      <c r="Q268" s="166"/>
      <c r="R268" s="167"/>
    </row>
    <row r="269" s="148" customFormat="1" spans="1:18">
      <c r="A269" s="101" t="s">
        <v>30</v>
      </c>
      <c r="B269" s="101" t="s">
        <v>164</v>
      </c>
      <c r="C269" s="86" t="s">
        <v>1971</v>
      </c>
      <c r="D269" s="161" t="s">
        <v>1972</v>
      </c>
      <c r="E269" s="161" t="s">
        <v>1689</v>
      </c>
      <c r="F269" s="161" t="s">
        <v>1973</v>
      </c>
      <c r="G269" s="163">
        <v>356.8699</v>
      </c>
      <c r="H269" s="171">
        <v>34.13</v>
      </c>
      <c r="I269" s="163">
        <v>22</v>
      </c>
      <c r="J269" s="163">
        <v>12633.0424141555</v>
      </c>
      <c r="K269" s="163">
        <f>K267+J269</f>
        <v>126986.678649042</v>
      </c>
      <c r="L269" s="163"/>
      <c r="M269" s="161" t="s">
        <v>1913</v>
      </c>
      <c r="N269" s="161" t="s">
        <v>1331</v>
      </c>
      <c r="O269" s="161" t="s">
        <v>27</v>
      </c>
      <c r="P269" s="49" t="s">
        <v>27</v>
      </c>
      <c r="Q269" s="166" t="s">
        <v>1974</v>
      </c>
      <c r="R269" s="167"/>
    </row>
    <row r="270" s="148" customFormat="1" spans="1:18">
      <c r="A270" s="101" t="s">
        <v>30</v>
      </c>
      <c r="B270" s="101" t="s">
        <v>164</v>
      </c>
      <c r="C270" s="86" t="s">
        <v>172</v>
      </c>
      <c r="D270" s="161" t="s">
        <v>172</v>
      </c>
      <c r="E270" s="161" t="s">
        <v>1689</v>
      </c>
      <c r="F270" s="161" t="s">
        <v>1973</v>
      </c>
      <c r="G270" s="163">
        <v>365.2799</v>
      </c>
      <c r="H270" s="171">
        <v>8.41000000000008</v>
      </c>
      <c r="I270" s="163">
        <v>24</v>
      </c>
      <c r="J270" s="163">
        <v>3112.00605457081</v>
      </c>
      <c r="K270" s="163">
        <f>K269+J270</f>
        <v>130098.684703613</v>
      </c>
      <c r="L270" s="163"/>
      <c r="M270" s="161" t="s">
        <v>1913</v>
      </c>
      <c r="N270" s="161" t="s">
        <v>1331</v>
      </c>
      <c r="O270" s="161" t="s">
        <v>6</v>
      </c>
      <c r="P270" s="49" t="s">
        <v>6</v>
      </c>
      <c r="Q270" s="166" t="s">
        <v>1975</v>
      </c>
      <c r="R270" s="167"/>
    </row>
    <row r="271" s="148" customFormat="1" spans="1:18">
      <c r="A271" s="101" t="s">
        <v>30</v>
      </c>
      <c r="B271" s="101" t="s">
        <v>164</v>
      </c>
      <c r="C271" s="86" t="s">
        <v>1976</v>
      </c>
      <c r="D271" s="161" t="s">
        <v>1977</v>
      </c>
      <c r="E271" s="161" t="s">
        <v>1689</v>
      </c>
      <c r="F271" s="161" t="s">
        <v>1973</v>
      </c>
      <c r="G271" s="163">
        <v>386.5989</v>
      </c>
      <c r="H271" s="171">
        <v>21.319</v>
      </c>
      <c r="I271" s="163">
        <v>28</v>
      </c>
      <c r="J271" s="163">
        <v>8340.62026991986</v>
      </c>
      <c r="K271" s="163">
        <f>K270+J271</f>
        <v>138439.304973533</v>
      </c>
      <c r="L271" s="163"/>
      <c r="M271" s="161" t="s">
        <v>1913</v>
      </c>
      <c r="N271" s="161" t="s">
        <v>1331</v>
      </c>
      <c r="O271" s="161" t="s">
        <v>27</v>
      </c>
      <c r="P271" s="49" t="s">
        <v>27</v>
      </c>
      <c r="Q271" s="166" t="s">
        <v>1978</v>
      </c>
      <c r="R271" s="167"/>
    </row>
    <row r="272" s="148" customFormat="1" spans="1:18">
      <c r="A272" s="101" t="s">
        <v>30</v>
      </c>
      <c r="B272" s="101" t="s">
        <v>161</v>
      </c>
      <c r="C272" s="86" t="s">
        <v>1979</v>
      </c>
      <c r="D272" s="161" t="s">
        <v>1365</v>
      </c>
      <c r="E272" s="161" t="s">
        <v>1980</v>
      </c>
      <c r="F272" s="161" t="s">
        <v>1981</v>
      </c>
      <c r="G272" s="163">
        <v>409.2799</v>
      </c>
      <c r="H272" s="171">
        <v>22.681</v>
      </c>
      <c r="I272" s="163">
        <v>32</v>
      </c>
      <c r="J272" s="163">
        <v>8750</v>
      </c>
      <c r="K272" s="163">
        <f>K271+J272</f>
        <v>147189.304973533</v>
      </c>
      <c r="L272" s="163"/>
      <c r="M272" s="161" t="s">
        <v>1913</v>
      </c>
      <c r="N272" s="161" t="s">
        <v>1299</v>
      </c>
      <c r="O272" s="161" t="s">
        <v>25</v>
      </c>
      <c r="P272" s="49" t="s">
        <v>25</v>
      </c>
      <c r="Q272" s="166" t="s">
        <v>1982</v>
      </c>
      <c r="R272" s="167"/>
    </row>
    <row r="273" s="148" customFormat="1" spans="1:18">
      <c r="A273" s="101" t="s">
        <v>30</v>
      </c>
      <c r="B273" s="101" t="s">
        <v>161</v>
      </c>
      <c r="C273" s="86" t="s">
        <v>1983</v>
      </c>
      <c r="D273" s="161" t="s">
        <v>1984</v>
      </c>
      <c r="E273" s="161" t="s">
        <v>1980</v>
      </c>
      <c r="F273" s="161" t="s">
        <v>1981</v>
      </c>
      <c r="G273" s="163">
        <v>424.8873</v>
      </c>
      <c r="H273" s="171">
        <v>15.6074</v>
      </c>
      <c r="I273" s="163">
        <v>55</v>
      </c>
      <c r="J273" s="163">
        <v>5823</v>
      </c>
      <c r="K273" s="163">
        <f>K272+J273</f>
        <v>153012.304973533</v>
      </c>
      <c r="L273" s="163"/>
      <c r="M273" s="161" t="s">
        <v>1913</v>
      </c>
      <c r="N273" s="161" t="s">
        <v>1331</v>
      </c>
      <c r="O273" s="161" t="s">
        <v>27</v>
      </c>
      <c r="P273" s="49" t="s">
        <v>27</v>
      </c>
      <c r="Q273" s="166" t="s">
        <v>1985</v>
      </c>
      <c r="R273" s="167"/>
    </row>
    <row r="274" s="148" customFormat="1" spans="1:18">
      <c r="A274" s="101" t="s">
        <v>30</v>
      </c>
      <c r="B274" s="101" t="s">
        <v>161</v>
      </c>
      <c r="C274" s="86" t="s">
        <v>1986</v>
      </c>
      <c r="D274" s="161" t="s">
        <v>1986</v>
      </c>
      <c r="E274" s="161" t="s">
        <v>1980</v>
      </c>
      <c r="F274" s="161" t="s">
        <v>1981</v>
      </c>
      <c r="G274" s="163"/>
      <c r="H274" s="171"/>
      <c r="I274" s="163"/>
      <c r="J274" s="163"/>
      <c r="K274" s="163"/>
      <c r="L274" s="163" t="s">
        <v>1987</v>
      </c>
      <c r="M274" s="161" t="s">
        <v>1913</v>
      </c>
      <c r="N274" s="161"/>
      <c r="O274" s="161"/>
      <c r="P274" s="49" t="s">
        <v>14</v>
      </c>
      <c r="Q274" s="166"/>
      <c r="R274" s="167"/>
    </row>
    <row r="275" s="148" customFormat="1" spans="1:18">
      <c r="A275" s="101" t="s">
        <v>30</v>
      </c>
      <c r="B275" s="101" t="s">
        <v>161</v>
      </c>
      <c r="C275" s="86" t="s">
        <v>1988</v>
      </c>
      <c r="D275" s="161" t="s">
        <v>1988</v>
      </c>
      <c r="E275" s="161" t="s">
        <v>1980</v>
      </c>
      <c r="F275" s="161" t="s">
        <v>1981</v>
      </c>
      <c r="G275" s="163">
        <v>436.2799</v>
      </c>
      <c r="H275" s="171">
        <v>11.3926</v>
      </c>
      <c r="I275" s="163">
        <v>66</v>
      </c>
      <c r="J275" s="163">
        <v>4251</v>
      </c>
      <c r="K275" s="163">
        <f>K273+J275</f>
        <v>157263.304973533</v>
      </c>
      <c r="L275" s="163"/>
      <c r="M275" s="161" t="s">
        <v>1913</v>
      </c>
      <c r="N275" s="161" t="s">
        <v>1331</v>
      </c>
      <c r="O275" s="161" t="s">
        <v>14</v>
      </c>
      <c r="P275" s="49" t="s">
        <v>14</v>
      </c>
      <c r="Q275" s="166" t="s">
        <v>1989</v>
      </c>
      <c r="R275" s="167"/>
    </row>
    <row r="276" s="148" customFormat="1" spans="1:18">
      <c r="A276" s="101" t="s">
        <v>30</v>
      </c>
      <c r="B276" s="101" t="s">
        <v>161</v>
      </c>
      <c r="C276" s="86" t="s">
        <v>1990</v>
      </c>
      <c r="D276" s="161" t="s">
        <v>1991</v>
      </c>
      <c r="E276" s="161" t="s">
        <v>1980</v>
      </c>
      <c r="F276" s="161" t="s">
        <v>1981</v>
      </c>
      <c r="G276" s="163">
        <v>442.8399</v>
      </c>
      <c r="H276" s="171">
        <v>6.56</v>
      </c>
      <c r="I276" s="163">
        <v>90</v>
      </c>
      <c r="J276" s="163">
        <v>2350</v>
      </c>
      <c r="K276" s="163">
        <f t="shared" ref="K276:K284" si="20">K275+J276</f>
        <v>159613.304973533</v>
      </c>
      <c r="L276" s="163"/>
      <c r="M276" s="161" t="s">
        <v>1913</v>
      </c>
      <c r="N276" s="161" t="s">
        <v>1331</v>
      </c>
      <c r="O276" s="161" t="s">
        <v>27</v>
      </c>
      <c r="P276" s="49" t="s">
        <v>27</v>
      </c>
      <c r="Q276" s="166" t="s">
        <v>1992</v>
      </c>
      <c r="R276" s="167"/>
    </row>
    <row r="277" s="148" customFormat="1" spans="1:18">
      <c r="A277" s="101" t="s">
        <v>30</v>
      </c>
      <c r="B277" s="101" t="s">
        <v>161</v>
      </c>
      <c r="C277" s="86" t="s">
        <v>166</v>
      </c>
      <c r="D277" s="161" t="s">
        <v>166</v>
      </c>
      <c r="E277" s="161" t="s">
        <v>1980</v>
      </c>
      <c r="F277" s="161" t="s">
        <v>1981</v>
      </c>
      <c r="G277" s="163">
        <v>469.2799</v>
      </c>
      <c r="H277" s="171">
        <v>26.44</v>
      </c>
      <c r="I277" s="163">
        <v>160</v>
      </c>
      <c r="J277" s="163">
        <v>9870</v>
      </c>
      <c r="K277" s="163">
        <f t="shared" si="20"/>
        <v>169483.304973533</v>
      </c>
      <c r="L277" s="163"/>
      <c r="M277" s="161" t="s">
        <v>1913</v>
      </c>
      <c r="N277" s="161" t="s">
        <v>1331</v>
      </c>
      <c r="O277" s="161" t="s">
        <v>14</v>
      </c>
      <c r="P277" s="49" t="s">
        <v>14</v>
      </c>
      <c r="Q277" s="166" t="s">
        <v>1993</v>
      </c>
      <c r="R277" s="167"/>
    </row>
    <row r="278" s="148" customFormat="1" spans="1:18">
      <c r="A278" s="101" t="s">
        <v>30</v>
      </c>
      <c r="B278" s="101" t="s">
        <v>161</v>
      </c>
      <c r="C278" s="86" t="s">
        <v>1994</v>
      </c>
      <c r="D278" s="161" t="s">
        <v>1995</v>
      </c>
      <c r="E278" s="161" t="s">
        <v>1980</v>
      </c>
      <c r="F278" s="161" t="s">
        <v>1981</v>
      </c>
      <c r="G278" s="163">
        <v>480.0569</v>
      </c>
      <c r="H278" s="171">
        <v>10.777</v>
      </c>
      <c r="I278" s="163">
        <v>138</v>
      </c>
      <c r="J278" s="163">
        <v>3744</v>
      </c>
      <c r="K278" s="163">
        <f t="shared" si="20"/>
        <v>173227.304973533</v>
      </c>
      <c r="L278" s="163"/>
      <c r="M278" s="161" t="s">
        <v>1913</v>
      </c>
      <c r="N278" s="161" t="s">
        <v>1331</v>
      </c>
      <c r="O278" s="161" t="s">
        <v>27</v>
      </c>
      <c r="P278" s="49" t="s">
        <v>27</v>
      </c>
      <c r="Q278" s="166" t="s">
        <v>1996</v>
      </c>
      <c r="R278" s="167"/>
    </row>
    <row r="279" s="148" customFormat="1" spans="1:18">
      <c r="A279" s="101" t="s">
        <v>30</v>
      </c>
      <c r="B279" s="101" t="s">
        <v>161</v>
      </c>
      <c r="C279" s="86" t="s">
        <v>1997</v>
      </c>
      <c r="D279" s="161" t="s">
        <v>1998</v>
      </c>
      <c r="E279" s="161" t="s">
        <v>1980</v>
      </c>
      <c r="F279" s="161" t="s">
        <v>1981</v>
      </c>
      <c r="G279" s="163">
        <v>504.2299</v>
      </c>
      <c r="H279" s="171">
        <v>24.173</v>
      </c>
      <c r="I279" s="163">
        <v>175</v>
      </c>
      <c r="J279" s="163">
        <v>8757</v>
      </c>
      <c r="K279" s="163">
        <f t="shared" si="20"/>
        <v>181984.304973533</v>
      </c>
      <c r="L279" s="163"/>
      <c r="M279" s="161" t="s">
        <v>1913</v>
      </c>
      <c r="N279" s="161" t="s">
        <v>1331</v>
      </c>
      <c r="O279" s="161" t="s">
        <v>27</v>
      </c>
      <c r="P279" s="49" t="s">
        <v>27</v>
      </c>
      <c r="Q279" s="166" t="s">
        <v>1999</v>
      </c>
      <c r="R279" s="167"/>
    </row>
    <row r="280" s="148" customFormat="1" spans="1:18">
      <c r="A280" s="101" t="s">
        <v>30</v>
      </c>
      <c r="B280" s="101" t="s">
        <v>161</v>
      </c>
      <c r="C280" s="86" t="s">
        <v>169</v>
      </c>
      <c r="D280" s="161" t="s">
        <v>169</v>
      </c>
      <c r="E280" s="161" t="s">
        <v>1980</v>
      </c>
      <c r="F280" s="161" t="s">
        <v>1981</v>
      </c>
      <c r="G280" s="163">
        <v>525.2799</v>
      </c>
      <c r="H280" s="171">
        <v>21.05</v>
      </c>
      <c r="I280" s="163">
        <v>96</v>
      </c>
      <c r="J280" s="163">
        <v>7677</v>
      </c>
      <c r="K280" s="163">
        <f t="shared" si="20"/>
        <v>189661.304973533</v>
      </c>
      <c r="L280" s="163"/>
      <c r="M280" s="161" t="s">
        <v>1913</v>
      </c>
      <c r="N280" s="161" t="s">
        <v>1331</v>
      </c>
      <c r="O280" s="161" t="s">
        <v>14</v>
      </c>
      <c r="P280" s="49" t="s">
        <v>14</v>
      </c>
      <c r="Q280" s="166" t="s">
        <v>2000</v>
      </c>
      <c r="R280" s="167"/>
    </row>
    <row r="281" s="148" customFormat="1" spans="1:18">
      <c r="A281" s="101" t="s">
        <v>30</v>
      </c>
      <c r="B281" s="101" t="s">
        <v>161</v>
      </c>
      <c r="C281" s="86" t="s">
        <v>2001</v>
      </c>
      <c r="D281" s="161" t="s">
        <v>1376</v>
      </c>
      <c r="E281" s="161" t="s">
        <v>1980</v>
      </c>
      <c r="F281" s="161" t="s">
        <v>1981</v>
      </c>
      <c r="G281" s="163">
        <v>537.3249</v>
      </c>
      <c r="H281" s="171">
        <v>12.045</v>
      </c>
      <c r="I281" s="163">
        <v>88</v>
      </c>
      <c r="J281" s="163">
        <v>4273</v>
      </c>
      <c r="K281" s="163">
        <f t="shared" si="20"/>
        <v>193934.304973533</v>
      </c>
      <c r="L281" s="163"/>
      <c r="M281" s="161" t="s">
        <v>1913</v>
      </c>
      <c r="N281" s="161" t="s">
        <v>1299</v>
      </c>
      <c r="O281" s="161" t="s">
        <v>25</v>
      </c>
      <c r="P281" s="49" t="s">
        <v>25</v>
      </c>
      <c r="Q281" s="166" t="s">
        <v>2002</v>
      </c>
      <c r="R281" s="167"/>
    </row>
    <row r="282" s="148" customFormat="1" spans="1:18">
      <c r="A282" s="101" t="s">
        <v>30</v>
      </c>
      <c r="B282" s="101" t="s">
        <v>161</v>
      </c>
      <c r="C282" s="86" t="s">
        <v>2003</v>
      </c>
      <c r="D282" s="161" t="s">
        <v>2004</v>
      </c>
      <c r="E282" s="161" t="s">
        <v>1980</v>
      </c>
      <c r="F282" s="161" t="s">
        <v>2005</v>
      </c>
      <c r="G282" s="163">
        <v>563.0199</v>
      </c>
      <c r="H282" s="171">
        <v>25.695</v>
      </c>
      <c r="I282" s="163">
        <v>119</v>
      </c>
      <c r="J282" s="163">
        <v>9527</v>
      </c>
      <c r="K282" s="163">
        <f t="shared" si="20"/>
        <v>203461.304973533</v>
      </c>
      <c r="L282" s="163"/>
      <c r="M282" s="161" t="s">
        <v>1913</v>
      </c>
      <c r="N282" s="161" t="s">
        <v>1331</v>
      </c>
      <c r="O282" s="161" t="s">
        <v>27</v>
      </c>
      <c r="P282" s="49" t="s">
        <v>27</v>
      </c>
      <c r="Q282" s="166" t="s">
        <v>2006</v>
      </c>
      <c r="R282" s="167"/>
    </row>
    <row r="283" s="148" customFormat="1" spans="1:18">
      <c r="A283" s="101" t="s">
        <v>30</v>
      </c>
      <c r="B283" s="101" t="s">
        <v>161</v>
      </c>
      <c r="C283" s="86" t="s">
        <v>2007</v>
      </c>
      <c r="D283" s="161" t="s">
        <v>2007</v>
      </c>
      <c r="E283" s="161" t="s">
        <v>1980</v>
      </c>
      <c r="F283" s="161" t="s">
        <v>2005</v>
      </c>
      <c r="G283" s="163">
        <v>582.0899</v>
      </c>
      <c r="H283" s="171">
        <v>19.07</v>
      </c>
      <c r="I283" s="163">
        <v>81</v>
      </c>
      <c r="J283" s="163">
        <v>7009</v>
      </c>
      <c r="K283" s="163">
        <f t="shared" si="20"/>
        <v>210470.304973533</v>
      </c>
      <c r="L283" s="163"/>
      <c r="M283" s="161" t="s">
        <v>1913</v>
      </c>
      <c r="N283" s="161" t="s">
        <v>1331</v>
      </c>
      <c r="O283" s="161" t="s">
        <v>14</v>
      </c>
      <c r="P283" s="49" t="s">
        <v>14</v>
      </c>
      <c r="Q283" s="166" t="s">
        <v>2008</v>
      </c>
      <c r="R283" s="167"/>
    </row>
    <row r="284" s="148" customFormat="1" spans="1:18">
      <c r="A284" s="101" t="s">
        <v>30</v>
      </c>
      <c r="B284" s="101" t="s">
        <v>161</v>
      </c>
      <c r="C284" s="86" t="s">
        <v>162</v>
      </c>
      <c r="D284" s="161" t="s">
        <v>162</v>
      </c>
      <c r="E284" s="161" t="s">
        <v>1980</v>
      </c>
      <c r="F284" s="161" t="s">
        <v>2005</v>
      </c>
      <c r="G284" s="163">
        <v>610.6699</v>
      </c>
      <c r="H284" s="171">
        <v>28.58</v>
      </c>
      <c r="I284" s="163">
        <v>150</v>
      </c>
      <c r="J284" s="163">
        <v>10428</v>
      </c>
      <c r="K284" s="163">
        <f t="shared" si="20"/>
        <v>220898.304973533</v>
      </c>
      <c r="L284" s="163"/>
      <c r="M284" s="161" t="s">
        <v>1913</v>
      </c>
      <c r="N284" s="161" t="s">
        <v>1331</v>
      </c>
      <c r="O284" s="161" t="s">
        <v>14</v>
      </c>
      <c r="P284" s="49" t="s">
        <v>14</v>
      </c>
      <c r="Q284" s="166" t="s">
        <v>2009</v>
      </c>
      <c r="R284" s="167"/>
    </row>
    <row r="285" s="148" customFormat="1" spans="1:18">
      <c r="A285" s="101" t="s">
        <v>30</v>
      </c>
      <c r="B285" s="101" t="s">
        <v>161</v>
      </c>
      <c r="C285" s="86" t="s">
        <v>2010</v>
      </c>
      <c r="D285" s="161" t="s">
        <v>2011</v>
      </c>
      <c r="E285" s="161" t="s">
        <v>1980</v>
      </c>
      <c r="F285" s="161" t="s">
        <v>2005</v>
      </c>
      <c r="G285" s="163">
        <v>637.1549</v>
      </c>
      <c r="H285" s="171">
        <v>26.485</v>
      </c>
      <c r="I285" s="163"/>
      <c r="J285" s="163"/>
      <c r="K285" s="163"/>
      <c r="L285" s="163"/>
      <c r="M285" s="161" t="s">
        <v>1913</v>
      </c>
      <c r="N285" s="161" t="s">
        <v>1331</v>
      </c>
      <c r="O285" s="161" t="s">
        <v>27</v>
      </c>
      <c r="P285" s="49" t="s">
        <v>27</v>
      </c>
      <c r="Q285" s="166" t="s">
        <v>2012</v>
      </c>
      <c r="R285" s="167"/>
    </row>
    <row r="286" s="148" customFormat="1" spans="1:18">
      <c r="A286" s="101" t="s">
        <v>30</v>
      </c>
      <c r="B286" s="101" t="s">
        <v>161</v>
      </c>
      <c r="C286" s="86" t="s">
        <v>761</v>
      </c>
      <c r="D286" s="161" t="s">
        <v>761</v>
      </c>
      <c r="E286" s="161" t="s">
        <v>1980</v>
      </c>
      <c r="F286" s="161" t="s">
        <v>2005</v>
      </c>
      <c r="G286" s="163">
        <v>652.7399</v>
      </c>
      <c r="H286" s="171">
        <v>15.585</v>
      </c>
      <c r="I286" s="163">
        <v>42</v>
      </c>
      <c r="J286" s="163">
        <v>12219</v>
      </c>
      <c r="K286" s="163">
        <f>K284+J286</f>
        <v>233117.304973533</v>
      </c>
      <c r="L286" s="163"/>
      <c r="M286" s="161" t="s">
        <v>1913</v>
      </c>
      <c r="N286" s="161" t="s">
        <v>1331</v>
      </c>
      <c r="O286" s="161" t="s">
        <v>14</v>
      </c>
      <c r="P286" s="49" t="s">
        <v>14</v>
      </c>
      <c r="Q286" s="166" t="s">
        <v>2013</v>
      </c>
      <c r="R286" s="167"/>
    </row>
    <row r="287" s="148" customFormat="1" spans="1:18">
      <c r="A287" s="101" t="s">
        <v>30</v>
      </c>
      <c r="B287" s="101" t="s">
        <v>161</v>
      </c>
      <c r="C287" s="86" t="s">
        <v>2014</v>
      </c>
      <c r="D287" s="161" t="s">
        <v>2015</v>
      </c>
      <c r="E287" s="161" t="s">
        <v>1980</v>
      </c>
      <c r="F287" s="161" t="s">
        <v>2016</v>
      </c>
      <c r="G287" s="163">
        <v>660.8369</v>
      </c>
      <c r="H287" s="171">
        <v>8.097</v>
      </c>
      <c r="I287" s="163">
        <v>34</v>
      </c>
      <c r="J287" s="163">
        <v>5797</v>
      </c>
      <c r="K287" s="163">
        <f>K286+J287</f>
        <v>238914.304973533</v>
      </c>
      <c r="L287" s="163"/>
      <c r="M287" s="161" t="s">
        <v>1913</v>
      </c>
      <c r="N287" s="161" t="s">
        <v>1331</v>
      </c>
      <c r="O287" s="161" t="s">
        <v>27</v>
      </c>
      <c r="P287" s="49" t="s">
        <v>27</v>
      </c>
      <c r="Q287" s="166" t="s">
        <v>2017</v>
      </c>
      <c r="R287" s="167"/>
    </row>
    <row r="288" s="148" customFormat="1" spans="1:18">
      <c r="A288" s="101" t="s">
        <v>30</v>
      </c>
      <c r="B288" s="101" t="s">
        <v>161</v>
      </c>
      <c r="C288" s="86" t="s">
        <v>2018</v>
      </c>
      <c r="D288" s="161" t="s">
        <v>2019</v>
      </c>
      <c r="E288" s="161" t="s">
        <v>1980</v>
      </c>
      <c r="F288" s="161" t="s">
        <v>2016</v>
      </c>
      <c r="G288" s="163">
        <v>682.7569</v>
      </c>
      <c r="H288" s="171">
        <v>21.92</v>
      </c>
      <c r="I288" s="163">
        <v>31</v>
      </c>
      <c r="J288" s="163">
        <v>16556</v>
      </c>
      <c r="K288" s="163">
        <f>K287+J288</f>
        <v>255470.304973533</v>
      </c>
      <c r="L288" s="163"/>
      <c r="M288" s="161" t="s">
        <v>1913</v>
      </c>
      <c r="N288" s="161"/>
      <c r="O288" s="161" t="s">
        <v>27</v>
      </c>
      <c r="P288" s="49" t="s">
        <v>27</v>
      </c>
      <c r="Q288" s="166" t="s">
        <v>2017</v>
      </c>
      <c r="R288" s="167"/>
    </row>
    <row r="289" s="148" customFormat="1" spans="1:18">
      <c r="A289" s="101" t="s">
        <v>30</v>
      </c>
      <c r="B289" s="101" t="s">
        <v>161</v>
      </c>
      <c r="C289" s="86" t="s">
        <v>784</v>
      </c>
      <c r="D289" s="161" t="s">
        <v>784</v>
      </c>
      <c r="E289" s="161" t="s">
        <v>1980</v>
      </c>
      <c r="F289" s="161" t="s">
        <v>2016</v>
      </c>
      <c r="G289" s="163">
        <v>682.7569</v>
      </c>
      <c r="H289" s="171">
        <v>0</v>
      </c>
      <c r="I289" s="171" t="s">
        <v>147</v>
      </c>
      <c r="J289" s="171" t="s">
        <v>147</v>
      </c>
      <c r="K289" s="171" t="s">
        <v>147</v>
      </c>
      <c r="L289" s="163" t="s">
        <v>2020</v>
      </c>
      <c r="M289" s="161" t="s">
        <v>1913</v>
      </c>
      <c r="N289" s="161" t="s">
        <v>1331</v>
      </c>
      <c r="O289" s="161" t="s">
        <v>16</v>
      </c>
      <c r="P289" s="49" t="s">
        <v>16</v>
      </c>
      <c r="Q289" s="166" t="s">
        <v>2021</v>
      </c>
      <c r="R289" s="167"/>
    </row>
    <row r="290" s="148" customFormat="1" spans="1:18">
      <c r="A290" s="101" t="s">
        <v>30</v>
      </c>
      <c r="B290" s="101" t="s">
        <v>161</v>
      </c>
      <c r="C290" s="86" t="s">
        <v>2022</v>
      </c>
      <c r="D290" s="161" t="s">
        <v>1396</v>
      </c>
      <c r="E290" s="161" t="s">
        <v>1980</v>
      </c>
      <c r="F290" s="161" t="s">
        <v>2016</v>
      </c>
      <c r="G290" s="163">
        <v>702.8999</v>
      </c>
      <c r="H290" s="171">
        <v>20.143</v>
      </c>
      <c r="I290" s="163">
        <v>22</v>
      </c>
      <c r="J290" s="163">
        <v>15021</v>
      </c>
      <c r="K290" s="163">
        <f>K288+J290</f>
        <v>270491.304973533</v>
      </c>
      <c r="L290" s="163"/>
      <c r="M290" s="161" t="s">
        <v>1913</v>
      </c>
      <c r="N290" s="161" t="s">
        <v>1299</v>
      </c>
      <c r="O290" s="161" t="s">
        <v>25</v>
      </c>
      <c r="P290" s="49" t="s">
        <v>25</v>
      </c>
      <c r="Q290" s="166" t="s">
        <v>2023</v>
      </c>
      <c r="R290" s="167"/>
    </row>
    <row r="291" s="148" customFormat="1" spans="1:18">
      <c r="A291" s="101" t="s">
        <v>30</v>
      </c>
      <c r="B291" s="101" t="s">
        <v>161</v>
      </c>
      <c r="C291" s="86" t="s">
        <v>2024</v>
      </c>
      <c r="D291" s="161" t="s">
        <v>2025</v>
      </c>
      <c r="E291" s="161" t="s">
        <v>1980</v>
      </c>
      <c r="F291" s="161" t="s">
        <v>2016</v>
      </c>
      <c r="G291" s="163">
        <v>723.1699</v>
      </c>
      <c r="H291" s="171">
        <v>20.27</v>
      </c>
      <c r="I291" s="163">
        <v>23</v>
      </c>
      <c r="J291" s="163">
        <v>15103</v>
      </c>
      <c r="K291" s="163">
        <f>K290+J291</f>
        <v>285594.304973533</v>
      </c>
      <c r="L291" s="163"/>
      <c r="M291" s="161" t="s">
        <v>1913</v>
      </c>
      <c r="N291" s="161" t="s">
        <v>1331</v>
      </c>
      <c r="O291" s="161" t="s">
        <v>27</v>
      </c>
      <c r="P291" s="49" t="s">
        <v>27</v>
      </c>
      <c r="Q291" s="166" t="s">
        <v>2026</v>
      </c>
      <c r="R291" s="167"/>
    </row>
    <row r="292" s="148" customFormat="1" spans="1:18">
      <c r="A292" s="101" t="s">
        <v>30</v>
      </c>
      <c r="B292" s="101" t="s">
        <v>161</v>
      </c>
      <c r="C292" s="86" t="s">
        <v>2027</v>
      </c>
      <c r="D292" s="161" t="s">
        <v>2028</v>
      </c>
      <c r="E292" s="161" t="s">
        <v>1980</v>
      </c>
      <c r="F292" s="161" t="s">
        <v>2016</v>
      </c>
      <c r="G292" s="163">
        <v>744.5819</v>
      </c>
      <c r="H292" s="171">
        <v>21.412</v>
      </c>
      <c r="I292" s="163">
        <v>23</v>
      </c>
      <c r="J292" s="163">
        <v>15908</v>
      </c>
      <c r="K292" s="163">
        <f>K291+J292</f>
        <v>301502.304973533</v>
      </c>
      <c r="L292" s="163"/>
      <c r="M292" s="161" t="s">
        <v>1913</v>
      </c>
      <c r="N292" s="161" t="s">
        <v>1331</v>
      </c>
      <c r="O292" s="161" t="s">
        <v>27</v>
      </c>
      <c r="P292" s="49" t="s">
        <v>27</v>
      </c>
      <c r="Q292" s="166" t="s">
        <v>2029</v>
      </c>
      <c r="R292" s="167"/>
    </row>
    <row r="293" s="148" customFormat="1" spans="1:18">
      <c r="A293" s="101" t="s">
        <v>30</v>
      </c>
      <c r="B293" s="101" t="s">
        <v>161</v>
      </c>
      <c r="C293" s="86" t="s">
        <v>177</v>
      </c>
      <c r="D293" s="161" t="s">
        <v>177</v>
      </c>
      <c r="E293" s="161" t="s">
        <v>1980</v>
      </c>
      <c r="F293" s="161" t="s">
        <v>2016</v>
      </c>
      <c r="G293" s="163">
        <v>757.1299</v>
      </c>
      <c r="H293" s="171">
        <v>12.548</v>
      </c>
      <c r="I293" s="163">
        <v>23</v>
      </c>
      <c r="J293" s="163">
        <v>9396</v>
      </c>
      <c r="K293" s="163">
        <f>K292+J293</f>
        <v>310898.304973533</v>
      </c>
      <c r="L293" s="163"/>
      <c r="M293" s="161" t="s">
        <v>1913</v>
      </c>
      <c r="N293" s="161" t="s">
        <v>1331</v>
      </c>
      <c r="O293" s="161" t="s">
        <v>14</v>
      </c>
      <c r="P293" s="49" t="s">
        <v>14</v>
      </c>
      <c r="Q293" s="166" t="s">
        <v>2030</v>
      </c>
      <c r="R293" s="167"/>
    </row>
    <row r="294" s="148" customFormat="1" spans="1:18">
      <c r="A294" s="101" t="s">
        <v>30</v>
      </c>
      <c r="B294" s="101" t="s">
        <v>161</v>
      </c>
      <c r="C294" s="86" t="s">
        <v>2031</v>
      </c>
      <c r="D294" s="161" t="s">
        <v>2032</v>
      </c>
      <c r="E294" s="161" t="s">
        <v>1640</v>
      </c>
      <c r="F294" s="161" t="s">
        <v>2016</v>
      </c>
      <c r="G294" s="163">
        <v>778.5799</v>
      </c>
      <c r="H294" s="171">
        <v>21.45</v>
      </c>
      <c r="I294" s="163">
        <v>22</v>
      </c>
      <c r="J294" s="163">
        <v>15952</v>
      </c>
      <c r="K294" s="163">
        <f>K293+J294</f>
        <v>326850.304973533</v>
      </c>
      <c r="L294" s="163"/>
      <c r="M294" s="161" t="s">
        <v>1913</v>
      </c>
      <c r="N294" s="161"/>
      <c r="O294" s="161" t="s">
        <v>26</v>
      </c>
      <c r="P294" s="49" t="s">
        <v>26</v>
      </c>
      <c r="Q294" s="166"/>
      <c r="R294" s="167"/>
    </row>
    <row r="295" s="148" customFormat="1" spans="1:18">
      <c r="A295" s="101" t="s">
        <v>30</v>
      </c>
      <c r="B295" s="101" t="s">
        <v>161</v>
      </c>
      <c r="C295" s="86" t="s">
        <v>2033</v>
      </c>
      <c r="D295" s="161" t="s">
        <v>2033</v>
      </c>
      <c r="E295" s="161" t="s">
        <v>1640</v>
      </c>
      <c r="F295" s="161" t="s">
        <v>2016</v>
      </c>
      <c r="G295" s="163">
        <v>778.5799</v>
      </c>
      <c r="H295" s="171">
        <v>22.45</v>
      </c>
      <c r="I295" s="171" t="s">
        <v>147</v>
      </c>
      <c r="J295" s="171" t="s">
        <v>147</v>
      </c>
      <c r="K295" s="171" t="s">
        <v>147</v>
      </c>
      <c r="L295" s="172"/>
      <c r="M295" s="161" t="s">
        <v>1913</v>
      </c>
      <c r="N295" s="161" t="s">
        <v>1331</v>
      </c>
      <c r="O295" s="161" t="s">
        <v>16</v>
      </c>
      <c r="P295" s="49" t="s">
        <v>16</v>
      </c>
      <c r="Q295" s="166" t="s">
        <v>2034</v>
      </c>
      <c r="R295" s="167"/>
    </row>
    <row r="296" s="148" customFormat="1" spans="1:18">
      <c r="A296" s="101" t="s">
        <v>30</v>
      </c>
      <c r="B296" s="101" t="s">
        <v>161</v>
      </c>
      <c r="C296" s="86" t="s">
        <v>2035</v>
      </c>
      <c r="D296" s="161" t="s">
        <v>2036</v>
      </c>
      <c r="E296" s="161" t="s">
        <v>1640</v>
      </c>
      <c r="F296" s="161" t="s">
        <v>2016</v>
      </c>
      <c r="G296" s="163">
        <v>799.6849</v>
      </c>
      <c r="H296" s="171">
        <v>23.45</v>
      </c>
      <c r="I296" s="163">
        <v>22</v>
      </c>
      <c r="J296" s="163">
        <v>15774</v>
      </c>
      <c r="K296" s="163">
        <f>K294+J296</f>
        <v>342624.304973533</v>
      </c>
      <c r="L296" s="163"/>
      <c r="M296" s="161" t="s">
        <v>1913</v>
      </c>
      <c r="N296" s="161" t="s">
        <v>1331</v>
      </c>
      <c r="O296" s="161" t="s">
        <v>27</v>
      </c>
      <c r="P296" s="49" t="s">
        <v>27</v>
      </c>
      <c r="Q296" s="166" t="s">
        <v>2037</v>
      </c>
      <c r="R296" s="167"/>
    </row>
    <row r="297" s="148" customFormat="1" spans="1:18">
      <c r="A297" s="101" t="s">
        <v>30</v>
      </c>
      <c r="B297" s="101" t="s">
        <v>161</v>
      </c>
      <c r="C297" s="86" t="s">
        <v>2038</v>
      </c>
      <c r="D297" s="161" t="s">
        <v>2038</v>
      </c>
      <c r="E297" s="161" t="s">
        <v>1640</v>
      </c>
      <c r="F297" s="161" t="s">
        <v>2016</v>
      </c>
      <c r="G297" s="163">
        <v>821.1899</v>
      </c>
      <c r="H297" s="171">
        <v>21.505</v>
      </c>
      <c r="I297" s="163">
        <v>20</v>
      </c>
      <c r="J297" s="163">
        <v>16004</v>
      </c>
      <c r="K297" s="163">
        <f>K296+J297</f>
        <v>358628.304973533</v>
      </c>
      <c r="L297" s="163"/>
      <c r="M297" s="161" t="s">
        <v>1913</v>
      </c>
      <c r="N297" s="161" t="s">
        <v>1331</v>
      </c>
      <c r="O297" s="161" t="s">
        <v>14</v>
      </c>
      <c r="P297" s="49" t="s">
        <v>14</v>
      </c>
      <c r="Q297" s="166" t="s">
        <v>2039</v>
      </c>
      <c r="R297" s="167"/>
    </row>
    <row r="298" s="148" customFormat="1" spans="1:18">
      <c r="A298" s="101" t="s">
        <v>30</v>
      </c>
      <c r="B298" s="101" t="s">
        <v>161</v>
      </c>
      <c r="C298" s="86" t="s">
        <v>2040</v>
      </c>
      <c r="D298" s="161" t="s">
        <v>2041</v>
      </c>
      <c r="E298" s="161" t="s">
        <v>1640</v>
      </c>
      <c r="F298" s="161" t="s">
        <v>2016</v>
      </c>
      <c r="G298" s="163">
        <v>840.9391</v>
      </c>
      <c r="H298" s="171">
        <v>19.7492</v>
      </c>
      <c r="I298" s="163">
        <v>19</v>
      </c>
      <c r="J298" s="163">
        <v>15014</v>
      </c>
      <c r="K298" s="163">
        <f>K297+J298</f>
        <v>373642.304973533</v>
      </c>
      <c r="L298" s="163"/>
      <c r="M298" s="161" t="s">
        <v>1913</v>
      </c>
      <c r="N298" s="161" t="s">
        <v>1331</v>
      </c>
      <c r="O298" s="161" t="s">
        <v>27</v>
      </c>
      <c r="P298" s="49" t="s">
        <v>27</v>
      </c>
      <c r="Q298" s="166" t="s">
        <v>2042</v>
      </c>
      <c r="R298" s="167"/>
    </row>
    <row r="299" s="148" customFormat="1" spans="1:18">
      <c r="A299" s="101" t="s">
        <v>30</v>
      </c>
      <c r="B299" s="101" t="s">
        <v>161</v>
      </c>
      <c r="C299" s="86" t="s">
        <v>2043</v>
      </c>
      <c r="D299" s="161" t="s">
        <v>1421</v>
      </c>
      <c r="E299" s="161" t="s">
        <v>1640</v>
      </c>
      <c r="F299" s="161" t="s">
        <v>2016</v>
      </c>
      <c r="G299" s="163">
        <v>853.4799</v>
      </c>
      <c r="H299" s="171">
        <v>12.5408</v>
      </c>
      <c r="I299" s="163">
        <v>21</v>
      </c>
      <c r="J299" s="163">
        <v>9306</v>
      </c>
      <c r="K299" s="163">
        <f>K298+J299</f>
        <v>382948.304973533</v>
      </c>
      <c r="L299" s="163"/>
      <c r="M299" s="161" t="s">
        <v>1913</v>
      </c>
      <c r="N299" s="161" t="s">
        <v>1299</v>
      </c>
      <c r="O299" s="161" t="s">
        <v>25</v>
      </c>
      <c r="P299" s="49" t="s">
        <v>25</v>
      </c>
      <c r="Q299" s="166" t="s">
        <v>2044</v>
      </c>
      <c r="R299" s="167"/>
    </row>
    <row r="300" s="148" customFormat="1" spans="1:18">
      <c r="A300" s="101" t="s">
        <v>30</v>
      </c>
      <c r="B300" s="101" t="s">
        <v>161</v>
      </c>
      <c r="C300" s="86" t="s">
        <v>2045</v>
      </c>
      <c r="D300" s="161" t="s">
        <v>2046</v>
      </c>
      <c r="E300" s="161" t="s">
        <v>1640</v>
      </c>
      <c r="F300" s="161" t="s">
        <v>2016</v>
      </c>
      <c r="G300" s="163">
        <v>875.3236</v>
      </c>
      <c r="H300" s="171">
        <v>21.8437</v>
      </c>
      <c r="I300" s="163">
        <v>23</v>
      </c>
      <c r="J300" s="163">
        <v>16183</v>
      </c>
      <c r="K300" s="163">
        <f>K299+J300</f>
        <v>399131.304973533</v>
      </c>
      <c r="L300" s="163"/>
      <c r="M300" s="161" t="s">
        <v>1913</v>
      </c>
      <c r="N300" s="161" t="s">
        <v>1331</v>
      </c>
      <c r="O300" s="161" t="s">
        <v>27</v>
      </c>
      <c r="P300" s="49" t="s">
        <v>27</v>
      </c>
      <c r="Q300" s="166" t="s">
        <v>2047</v>
      </c>
      <c r="R300" s="167"/>
    </row>
    <row r="301" s="148" customFormat="1" spans="1:18">
      <c r="A301" s="101" t="s">
        <v>30</v>
      </c>
      <c r="B301" s="101" t="s">
        <v>161</v>
      </c>
      <c r="C301" s="135" t="s">
        <v>163</v>
      </c>
      <c r="D301" s="161" t="s">
        <v>163</v>
      </c>
      <c r="E301" s="161" t="s">
        <v>2048</v>
      </c>
      <c r="F301" s="161" t="s">
        <v>2049</v>
      </c>
      <c r="G301" s="163">
        <v>892.2799</v>
      </c>
      <c r="H301" s="171">
        <v>16.9563</v>
      </c>
      <c r="I301" s="163">
        <v>25</v>
      </c>
      <c r="J301" s="163">
        <v>12398</v>
      </c>
      <c r="K301" s="163">
        <f>K300+J301</f>
        <v>411529.304973533</v>
      </c>
      <c r="L301" s="163" t="s">
        <v>2050</v>
      </c>
      <c r="M301" s="161" t="s">
        <v>1913</v>
      </c>
      <c r="N301" s="161" t="s">
        <v>1295</v>
      </c>
      <c r="O301" s="161"/>
      <c r="P301" s="49"/>
      <c r="Q301" s="166" t="s">
        <v>2051</v>
      </c>
      <c r="R301" s="167"/>
    </row>
    <row r="302" spans="1:18">
      <c r="A302" s="101" t="s">
        <v>30</v>
      </c>
      <c r="B302" s="101" t="s">
        <v>174</v>
      </c>
      <c r="C302" s="135" t="s">
        <v>172</v>
      </c>
      <c r="D302" s="161" t="s">
        <v>172</v>
      </c>
      <c r="E302" s="161" t="s">
        <v>1689</v>
      </c>
      <c r="F302" s="161" t="s">
        <v>1973</v>
      </c>
      <c r="G302" s="163">
        <v>0</v>
      </c>
      <c r="H302" s="163">
        <v>0</v>
      </c>
      <c r="I302" s="163" t="s">
        <v>147</v>
      </c>
      <c r="J302" s="163">
        <v>0</v>
      </c>
      <c r="K302" s="163">
        <v>0</v>
      </c>
      <c r="L302" s="163"/>
      <c r="M302" s="161" t="s">
        <v>1913</v>
      </c>
      <c r="N302" s="161" t="s">
        <v>1331</v>
      </c>
      <c r="O302" s="161"/>
      <c r="P302" s="49"/>
      <c r="Q302" s="166" t="s">
        <v>1975</v>
      </c>
      <c r="R302" s="151"/>
    </row>
    <row r="303" spans="1:18">
      <c r="A303" s="101" t="s">
        <v>30</v>
      </c>
      <c r="B303" s="101" t="s">
        <v>174</v>
      </c>
      <c r="C303" s="86" t="s">
        <v>2052</v>
      </c>
      <c r="D303" s="161" t="s">
        <v>1811</v>
      </c>
      <c r="E303" s="161" t="s">
        <v>1689</v>
      </c>
      <c r="F303" s="161" t="s">
        <v>1973</v>
      </c>
      <c r="G303" s="163">
        <v>19.023</v>
      </c>
      <c r="H303" s="163">
        <f>G303-G302</f>
        <v>19.023</v>
      </c>
      <c r="I303" s="163" t="s">
        <v>147</v>
      </c>
      <c r="J303" s="163">
        <v>5721.89352565267</v>
      </c>
      <c r="K303" s="163">
        <f>J303+K302</f>
        <v>5721.89352565267</v>
      </c>
      <c r="L303" s="163"/>
      <c r="M303" s="161" t="s">
        <v>2053</v>
      </c>
      <c r="N303" s="161" t="s">
        <v>1331</v>
      </c>
      <c r="O303" s="161" t="s">
        <v>27</v>
      </c>
      <c r="P303" s="49" t="s">
        <v>27</v>
      </c>
      <c r="Q303" s="166" t="s">
        <v>2054</v>
      </c>
      <c r="R303" s="151"/>
    </row>
    <row r="304" spans="1:18">
      <c r="A304" s="101" t="s">
        <v>30</v>
      </c>
      <c r="B304" s="101" t="s">
        <v>174</v>
      </c>
      <c r="C304" s="86" t="s">
        <v>2055</v>
      </c>
      <c r="D304" s="161" t="s">
        <v>1815</v>
      </c>
      <c r="E304" s="161" t="s">
        <v>1689</v>
      </c>
      <c r="F304" s="161" t="s">
        <v>1973</v>
      </c>
      <c r="G304" s="163">
        <v>36.809</v>
      </c>
      <c r="H304" s="163">
        <f t="shared" ref="H304:H309" si="21">G304-G303</f>
        <v>17.786</v>
      </c>
      <c r="I304" s="163" t="s">
        <v>147</v>
      </c>
      <c r="J304" s="163">
        <v>6130.60020605644</v>
      </c>
      <c r="K304" s="163">
        <f t="shared" ref="K304:K309" si="22">J304+K303</f>
        <v>11852.4937317091</v>
      </c>
      <c r="L304" s="163"/>
      <c r="M304" s="161" t="s">
        <v>2053</v>
      </c>
      <c r="N304" s="161" t="s">
        <v>1331</v>
      </c>
      <c r="O304" s="161" t="s">
        <v>27</v>
      </c>
      <c r="P304" s="49" t="s">
        <v>27</v>
      </c>
      <c r="Q304" s="166" t="s">
        <v>2056</v>
      </c>
      <c r="R304" s="151"/>
    </row>
    <row r="305" spans="1:18">
      <c r="A305" s="101" t="s">
        <v>30</v>
      </c>
      <c r="B305" s="101" t="s">
        <v>174</v>
      </c>
      <c r="C305" s="86" t="s">
        <v>2057</v>
      </c>
      <c r="D305" s="161" t="s">
        <v>2057</v>
      </c>
      <c r="E305" s="161" t="s">
        <v>1689</v>
      </c>
      <c r="F305" s="161" t="s">
        <v>1973</v>
      </c>
      <c r="G305" s="163">
        <v>52.694</v>
      </c>
      <c r="H305" s="163">
        <f t="shared" si="21"/>
        <v>15.885</v>
      </c>
      <c r="I305" s="163" t="s">
        <v>147</v>
      </c>
      <c r="J305" s="163">
        <v>4495.77348444139</v>
      </c>
      <c r="K305" s="163">
        <f t="shared" si="22"/>
        <v>16348.2672161505</v>
      </c>
      <c r="L305" s="163" t="s">
        <v>1891</v>
      </c>
      <c r="M305" s="161" t="s">
        <v>2053</v>
      </c>
      <c r="N305" s="161" t="s">
        <v>1331</v>
      </c>
      <c r="O305" s="161" t="s">
        <v>14</v>
      </c>
      <c r="P305" s="49" t="s">
        <v>14</v>
      </c>
      <c r="Q305" s="166" t="s">
        <v>2058</v>
      </c>
      <c r="R305" s="151"/>
    </row>
    <row r="306" spans="1:18">
      <c r="A306" s="101" t="s">
        <v>30</v>
      </c>
      <c r="B306" s="101" t="s">
        <v>174</v>
      </c>
      <c r="C306" s="86" t="s">
        <v>2059</v>
      </c>
      <c r="D306" s="161" t="s">
        <v>1820</v>
      </c>
      <c r="E306" s="161" t="s">
        <v>1689</v>
      </c>
      <c r="F306" s="161" t="s">
        <v>1973</v>
      </c>
      <c r="G306" s="163">
        <v>73.699</v>
      </c>
      <c r="H306" s="163">
        <f t="shared" si="21"/>
        <v>21.005</v>
      </c>
      <c r="I306" s="163" t="s">
        <v>147</v>
      </c>
      <c r="J306" s="163">
        <v>5721.89352565267</v>
      </c>
      <c r="K306" s="163">
        <f t="shared" si="22"/>
        <v>22070.1607418032</v>
      </c>
      <c r="L306" s="163"/>
      <c r="M306" s="161" t="s">
        <v>2053</v>
      </c>
      <c r="N306" s="161" t="s">
        <v>1331</v>
      </c>
      <c r="O306" s="161" t="s">
        <v>27</v>
      </c>
      <c r="P306" s="49" t="s">
        <v>27</v>
      </c>
      <c r="Q306" s="166" t="s">
        <v>2060</v>
      </c>
      <c r="R306" s="151"/>
    </row>
    <row r="307" spans="1:18">
      <c r="A307" s="101" t="s">
        <v>30</v>
      </c>
      <c r="B307" s="101" t="s">
        <v>174</v>
      </c>
      <c r="C307" s="86" t="s">
        <v>2061</v>
      </c>
      <c r="D307" s="161" t="s">
        <v>741</v>
      </c>
      <c r="E307" s="161" t="s">
        <v>1689</v>
      </c>
      <c r="F307" s="161" t="s">
        <v>175</v>
      </c>
      <c r="G307" s="163">
        <v>102.24</v>
      </c>
      <c r="H307" s="163">
        <f t="shared" si="21"/>
        <v>28.541</v>
      </c>
      <c r="I307" s="163" t="s">
        <v>147</v>
      </c>
      <c r="J307" s="163">
        <v>5313.18684524891</v>
      </c>
      <c r="K307" s="163">
        <f t="shared" si="22"/>
        <v>27383.3475870521</v>
      </c>
      <c r="L307" s="163"/>
      <c r="M307" s="161" t="s">
        <v>2053</v>
      </c>
      <c r="N307" s="161" t="s">
        <v>1331</v>
      </c>
      <c r="O307" s="161" t="s">
        <v>27</v>
      </c>
      <c r="P307" s="49" t="s">
        <v>27</v>
      </c>
      <c r="Q307" s="166" t="s">
        <v>2062</v>
      </c>
      <c r="R307" s="151"/>
    </row>
    <row r="308" spans="1:18">
      <c r="A308" s="101" t="s">
        <v>30</v>
      </c>
      <c r="B308" s="101" t="s">
        <v>174</v>
      </c>
      <c r="C308" s="86" t="s">
        <v>2063</v>
      </c>
      <c r="D308" s="161" t="s">
        <v>1848</v>
      </c>
      <c r="E308" s="161" t="s">
        <v>1689</v>
      </c>
      <c r="F308" s="161" t="s">
        <v>175</v>
      </c>
      <c r="G308" s="163">
        <v>120.626</v>
      </c>
      <c r="H308" s="163">
        <f t="shared" si="21"/>
        <v>18.386</v>
      </c>
      <c r="I308" s="163" t="s">
        <v>147</v>
      </c>
      <c r="J308" s="163">
        <v>6130.60020605644</v>
      </c>
      <c r="K308" s="163">
        <f t="shared" si="22"/>
        <v>33513.9477931085</v>
      </c>
      <c r="L308" s="163"/>
      <c r="M308" s="161" t="s">
        <v>2053</v>
      </c>
      <c r="N308" s="161" t="s">
        <v>1331</v>
      </c>
      <c r="O308" s="161" t="s">
        <v>27</v>
      </c>
      <c r="P308" s="49" t="s">
        <v>27</v>
      </c>
      <c r="Q308" s="166" t="s">
        <v>2064</v>
      </c>
      <c r="R308" s="151"/>
    </row>
    <row r="309" spans="1:18">
      <c r="A309" s="101" t="s">
        <v>30</v>
      </c>
      <c r="B309" s="101" t="s">
        <v>174</v>
      </c>
      <c r="C309" s="86" t="s">
        <v>175</v>
      </c>
      <c r="D309" s="161" t="s">
        <v>175</v>
      </c>
      <c r="E309" s="161" t="s">
        <v>1689</v>
      </c>
      <c r="F309" s="161" t="s">
        <v>175</v>
      </c>
      <c r="G309" s="163">
        <v>139.869</v>
      </c>
      <c r="H309" s="163">
        <f t="shared" si="21"/>
        <v>19.243</v>
      </c>
      <c r="I309" s="163" t="s">
        <v>147</v>
      </c>
      <c r="J309" s="163">
        <v>5640.15218957192</v>
      </c>
      <c r="K309" s="163">
        <f t="shared" si="22"/>
        <v>39154.0999826804</v>
      </c>
      <c r="L309" s="163"/>
      <c r="M309" s="161" t="s">
        <v>2053</v>
      </c>
      <c r="N309" s="161" t="s">
        <v>1331</v>
      </c>
      <c r="O309" s="161" t="s">
        <v>14</v>
      </c>
      <c r="P309" s="49" t="s">
        <v>14</v>
      </c>
      <c r="Q309" s="166" t="s">
        <v>2065</v>
      </c>
      <c r="R309" s="151"/>
    </row>
    <row r="310" spans="1:18">
      <c r="A310" s="101" t="s">
        <v>30</v>
      </c>
      <c r="B310" s="101" t="s">
        <v>165</v>
      </c>
      <c r="C310" s="135" t="s">
        <v>166</v>
      </c>
      <c r="D310" s="161" t="s">
        <v>166</v>
      </c>
      <c r="E310" s="161" t="s">
        <v>1980</v>
      </c>
      <c r="F310" s="161" t="s">
        <v>1981</v>
      </c>
      <c r="G310" s="163">
        <v>0</v>
      </c>
      <c r="H310" s="163">
        <v>0</v>
      </c>
      <c r="I310" s="163" t="s">
        <v>147</v>
      </c>
      <c r="J310" s="163">
        <v>0</v>
      </c>
      <c r="K310" s="163">
        <v>0</v>
      </c>
      <c r="L310" s="163"/>
      <c r="M310" s="161" t="s">
        <v>1913</v>
      </c>
      <c r="N310" s="161" t="s">
        <v>1331</v>
      </c>
      <c r="O310" s="161"/>
      <c r="P310" s="49"/>
      <c r="Q310" s="166" t="s">
        <v>1993</v>
      </c>
      <c r="R310" s="151"/>
    </row>
    <row r="311" spans="1:18">
      <c r="A311" s="101" t="s">
        <v>30</v>
      </c>
      <c r="B311" s="101" t="s">
        <v>165</v>
      </c>
      <c r="C311" s="86" t="s">
        <v>2066</v>
      </c>
      <c r="D311" s="161" t="s">
        <v>1811</v>
      </c>
      <c r="E311" s="161" t="s">
        <v>1980</v>
      </c>
      <c r="F311" s="161" t="s">
        <v>1981</v>
      </c>
      <c r="G311" s="163">
        <v>21.3148</v>
      </c>
      <c r="H311" s="163">
        <f>G311-G310</f>
        <v>21.3148</v>
      </c>
      <c r="I311" s="163" t="s">
        <v>147</v>
      </c>
      <c r="J311" s="163">
        <v>2521.71577279809</v>
      </c>
      <c r="K311" s="163">
        <v>2521.71577279809</v>
      </c>
      <c r="L311" s="163"/>
      <c r="M311" s="161" t="s">
        <v>2067</v>
      </c>
      <c r="N311" s="161" t="s">
        <v>1331</v>
      </c>
      <c r="O311" s="161" t="s">
        <v>27</v>
      </c>
      <c r="P311" s="49" t="s">
        <v>27</v>
      </c>
      <c r="Q311" s="166" t="s">
        <v>2068</v>
      </c>
      <c r="R311" s="151"/>
    </row>
    <row r="312" spans="1:18">
      <c r="A312" s="101" t="s">
        <v>30</v>
      </c>
      <c r="B312" s="101" t="s">
        <v>165</v>
      </c>
      <c r="C312" s="86" t="s">
        <v>2069</v>
      </c>
      <c r="D312" s="161" t="s">
        <v>1815</v>
      </c>
      <c r="E312" s="161" t="s">
        <v>1980</v>
      </c>
      <c r="F312" s="161" t="s">
        <v>2070</v>
      </c>
      <c r="G312" s="163">
        <v>43.9695</v>
      </c>
      <c r="H312" s="163">
        <f>G312-G311</f>
        <v>22.6547</v>
      </c>
      <c r="I312" s="163" t="s">
        <v>147</v>
      </c>
      <c r="J312" s="163">
        <v>2680.23795896178</v>
      </c>
      <c r="K312" s="163">
        <v>5201.95373175987</v>
      </c>
      <c r="L312" s="163"/>
      <c r="M312" s="161" t="s">
        <v>2067</v>
      </c>
      <c r="N312" s="161" t="s">
        <v>1331</v>
      </c>
      <c r="O312" s="161" t="s">
        <v>27</v>
      </c>
      <c r="P312" s="49" t="s">
        <v>27</v>
      </c>
      <c r="Q312" s="166" t="s">
        <v>2071</v>
      </c>
      <c r="R312" s="151"/>
    </row>
    <row r="313" spans="1:18">
      <c r="A313" s="101" t="s">
        <v>30</v>
      </c>
      <c r="B313" s="101" t="s">
        <v>165</v>
      </c>
      <c r="C313" s="86" t="s">
        <v>2072</v>
      </c>
      <c r="D313" s="161" t="s">
        <v>1210</v>
      </c>
      <c r="E313" s="161" t="s">
        <v>1980</v>
      </c>
      <c r="F313" s="161" t="s">
        <v>2070</v>
      </c>
      <c r="G313" s="163">
        <v>65.5894</v>
      </c>
      <c r="H313" s="163">
        <f>G313-G312</f>
        <v>21.6199</v>
      </c>
      <c r="I313" s="163" t="s">
        <v>147</v>
      </c>
      <c r="J313" s="163">
        <v>2557.81369907515</v>
      </c>
      <c r="K313" s="163">
        <v>7759.76743083502</v>
      </c>
      <c r="L313" s="163"/>
      <c r="M313" s="161" t="s">
        <v>2067</v>
      </c>
      <c r="N313" s="161" t="s">
        <v>1331</v>
      </c>
      <c r="O313" s="161" t="s">
        <v>27</v>
      </c>
      <c r="P313" s="49" t="s">
        <v>27</v>
      </c>
      <c r="Q313" s="166" t="s">
        <v>2073</v>
      </c>
      <c r="R313" s="151"/>
    </row>
    <row r="314" spans="1:18">
      <c r="A314" s="101" t="s">
        <v>30</v>
      </c>
      <c r="B314" s="101" t="s">
        <v>165</v>
      </c>
      <c r="C314" s="86" t="s">
        <v>167</v>
      </c>
      <c r="D314" s="161" t="s">
        <v>167</v>
      </c>
      <c r="E314" s="161" t="s">
        <v>1980</v>
      </c>
      <c r="F314" s="161" t="s">
        <v>2070</v>
      </c>
      <c r="G314" s="163">
        <v>90.5009</v>
      </c>
      <c r="H314" s="163">
        <f>G314-G313</f>
        <v>24.9115</v>
      </c>
      <c r="I314" s="163" t="s">
        <v>147</v>
      </c>
      <c r="J314" s="163">
        <v>2947.23256916498</v>
      </c>
      <c r="K314" s="163">
        <v>10707</v>
      </c>
      <c r="L314" s="163"/>
      <c r="M314" s="161" t="s">
        <v>2067</v>
      </c>
      <c r="N314" s="161" t="s">
        <v>1331</v>
      </c>
      <c r="O314" s="161" t="s">
        <v>14</v>
      </c>
      <c r="P314" s="49" t="s">
        <v>14</v>
      </c>
      <c r="Q314" s="166" t="s">
        <v>2074</v>
      </c>
      <c r="R314" s="151"/>
    </row>
    <row r="315" spans="1:18">
      <c r="A315" s="101" t="s">
        <v>30</v>
      </c>
      <c r="B315" s="101" t="s">
        <v>171</v>
      </c>
      <c r="C315" s="135" t="s">
        <v>172</v>
      </c>
      <c r="D315" s="161" t="s">
        <v>172</v>
      </c>
      <c r="E315" s="161" t="s">
        <v>1689</v>
      </c>
      <c r="F315" s="161" t="s">
        <v>1973</v>
      </c>
      <c r="G315" s="163">
        <v>0</v>
      </c>
      <c r="H315" s="163">
        <v>0</v>
      </c>
      <c r="I315" s="163" t="s">
        <v>147</v>
      </c>
      <c r="J315" s="163">
        <v>0</v>
      </c>
      <c r="K315" s="163">
        <v>0</v>
      </c>
      <c r="L315" s="163"/>
      <c r="M315" s="161" t="s">
        <v>1913</v>
      </c>
      <c r="N315" s="161" t="s">
        <v>1331</v>
      </c>
      <c r="O315" s="161"/>
      <c r="P315" s="49"/>
      <c r="Q315" s="166" t="s">
        <v>1975</v>
      </c>
      <c r="R315" s="151"/>
    </row>
    <row r="316" spans="1:18">
      <c r="A316" s="101" t="s">
        <v>30</v>
      </c>
      <c r="B316" s="101" t="s">
        <v>171</v>
      </c>
      <c r="C316" s="86" t="s">
        <v>2075</v>
      </c>
      <c r="D316" s="161" t="s">
        <v>1811</v>
      </c>
      <c r="E316" s="161" t="s">
        <v>1689</v>
      </c>
      <c r="F316" s="161" t="s">
        <v>1973</v>
      </c>
      <c r="G316" s="163">
        <v>21.8293</v>
      </c>
      <c r="H316" s="163">
        <f>G316-G315</f>
        <v>21.8293</v>
      </c>
      <c r="I316" s="163" t="s">
        <v>147</v>
      </c>
      <c r="J316" s="163">
        <v>5939.87042186802</v>
      </c>
      <c r="K316" s="163">
        <f>K315+J316</f>
        <v>5939.87042186802</v>
      </c>
      <c r="L316" s="163"/>
      <c r="M316" s="161" t="s">
        <v>2076</v>
      </c>
      <c r="N316" s="161" t="s">
        <v>1331</v>
      </c>
      <c r="O316" s="161" t="s">
        <v>27</v>
      </c>
      <c r="P316" s="49" t="s">
        <v>27</v>
      </c>
      <c r="Q316" s="166" t="s">
        <v>2077</v>
      </c>
      <c r="R316" s="151"/>
    </row>
    <row r="317" spans="1:18">
      <c r="A317" s="101" t="s">
        <v>30</v>
      </c>
      <c r="B317" s="101" t="s">
        <v>171</v>
      </c>
      <c r="C317" s="86" t="s">
        <v>2078</v>
      </c>
      <c r="D317" s="161" t="s">
        <v>1815</v>
      </c>
      <c r="E317" s="161" t="s">
        <v>1689</v>
      </c>
      <c r="F317" s="161" t="s">
        <v>1973</v>
      </c>
      <c r="G317" s="163">
        <v>42.4271</v>
      </c>
      <c r="H317" s="163">
        <f>G317-G316</f>
        <v>20.5978</v>
      </c>
      <c r="I317" s="163" t="s">
        <v>147</v>
      </c>
      <c r="J317" s="163">
        <v>5640.15218957192</v>
      </c>
      <c r="K317" s="163">
        <f>K316+J317</f>
        <v>11580.0226114399</v>
      </c>
      <c r="L317" s="163"/>
      <c r="M317" s="161" t="s">
        <v>2076</v>
      </c>
      <c r="N317" s="161" t="s">
        <v>1331</v>
      </c>
      <c r="O317" s="161" t="s">
        <v>27</v>
      </c>
      <c r="P317" s="49" t="s">
        <v>27</v>
      </c>
      <c r="Q317" s="166" t="s">
        <v>2079</v>
      </c>
      <c r="R317" s="151"/>
    </row>
    <row r="318" spans="1:18">
      <c r="A318" s="101" t="s">
        <v>30</v>
      </c>
      <c r="B318" s="101" t="s">
        <v>171</v>
      </c>
      <c r="C318" s="86" t="s">
        <v>2080</v>
      </c>
      <c r="D318" s="161" t="s">
        <v>2080</v>
      </c>
      <c r="E318" s="161" t="s">
        <v>1689</v>
      </c>
      <c r="F318" s="161" t="s">
        <v>1973</v>
      </c>
      <c r="G318" s="163"/>
      <c r="H318" s="163"/>
      <c r="I318" s="163"/>
      <c r="J318" s="163"/>
      <c r="K318" s="163"/>
      <c r="L318" s="163"/>
      <c r="M318" s="161" t="s">
        <v>2076</v>
      </c>
      <c r="N318" s="161"/>
      <c r="O318" s="161"/>
      <c r="P318" s="49" t="s">
        <v>14</v>
      </c>
      <c r="Q318" s="166"/>
      <c r="R318" s="151"/>
    </row>
    <row r="319" spans="1:18">
      <c r="A319" s="101" t="s">
        <v>30</v>
      </c>
      <c r="B319" s="101" t="s">
        <v>171</v>
      </c>
      <c r="C319" s="86" t="s">
        <v>173</v>
      </c>
      <c r="D319" s="161" t="s">
        <v>173</v>
      </c>
      <c r="E319" s="161" t="s">
        <v>1689</v>
      </c>
      <c r="F319" s="161" t="s">
        <v>1973</v>
      </c>
      <c r="G319" s="163">
        <v>55.1159</v>
      </c>
      <c r="H319" s="163">
        <f>G319-G317</f>
        <v>12.6888</v>
      </c>
      <c r="I319" s="163" t="s">
        <v>147</v>
      </c>
      <c r="J319" s="163">
        <v>3384.34914739763</v>
      </c>
      <c r="K319" s="163">
        <f>K317+J319</f>
        <v>14964.3717588376</v>
      </c>
      <c r="L319" s="163"/>
      <c r="M319" s="161" t="s">
        <v>2076</v>
      </c>
      <c r="N319" s="161" t="s">
        <v>1331</v>
      </c>
      <c r="O319" s="161" t="s">
        <v>14</v>
      </c>
      <c r="P319" s="49" t="s">
        <v>14</v>
      </c>
      <c r="Q319" s="166" t="s">
        <v>2081</v>
      </c>
      <c r="R319" s="151"/>
    </row>
    <row r="320" spans="1:18">
      <c r="A320" s="101" t="s">
        <v>30</v>
      </c>
      <c r="B320" s="101" t="s">
        <v>168</v>
      </c>
      <c r="C320" s="135" t="s">
        <v>169</v>
      </c>
      <c r="D320" s="161" t="s">
        <v>169</v>
      </c>
      <c r="E320" s="161" t="s">
        <v>1689</v>
      </c>
      <c r="F320" s="161" t="s">
        <v>1981</v>
      </c>
      <c r="G320" s="163">
        <v>0</v>
      </c>
      <c r="H320" s="163">
        <v>0</v>
      </c>
      <c r="I320" s="163" t="s">
        <v>147</v>
      </c>
      <c r="J320" s="163">
        <v>0</v>
      </c>
      <c r="K320" s="163">
        <v>0</v>
      </c>
      <c r="L320" s="163"/>
      <c r="M320" s="161" t="s">
        <v>1913</v>
      </c>
      <c r="N320" s="161" t="s">
        <v>1331</v>
      </c>
      <c r="O320" s="161"/>
      <c r="P320" s="49"/>
      <c r="Q320" s="166" t="s">
        <v>2000</v>
      </c>
      <c r="R320" s="151"/>
    </row>
    <row r="321" spans="1:18">
      <c r="A321" s="101" t="s">
        <v>30</v>
      </c>
      <c r="B321" s="101" t="s">
        <v>168</v>
      </c>
      <c r="C321" s="86" t="s">
        <v>2082</v>
      </c>
      <c r="D321" s="161" t="s">
        <v>2082</v>
      </c>
      <c r="E321" s="161" t="s">
        <v>1689</v>
      </c>
      <c r="F321" s="161" t="s">
        <v>1981</v>
      </c>
      <c r="G321" s="163">
        <v>17.5</v>
      </c>
      <c r="H321" s="163">
        <f>G321-G320</f>
        <v>17.5</v>
      </c>
      <c r="I321" s="163" t="s">
        <v>147</v>
      </c>
      <c r="J321" s="163">
        <v>1349.60614536246</v>
      </c>
      <c r="K321" s="163">
        <v>1349.60614536246</v>
      </c>
      <c r="L321" s="163"/>
      <c r="M321" s="161" t="s">
        <v>2083</v>
      </c>
      <c r="N321" s="161" t="s">
        <v>1331</v>
      </c>
      <c r="O321" s="161" t="s">
        <v>14</v>
      </c>
      <c r="P321" s="49" t="s">
        <v>14</v>
      </c>
      <c r="Q321" s="166" t="s">
        <v>2084</v>
      </c>
      <c r="R321" s="151"/>
    </row>
    <row r="322" spans="1:18">
      <c r="A322" s="101" t="s">
        <v>30</v>
      </c>
      <c r="B322" s="101" t="s">
        <v>168</v>
      </c>
      <c r="C322" s="86" t="s">
        <v>170</v>
      </c>
      <c r="D322" s="161" t="s">
        <v>170</v>
      </c>
      <c r="E322" s="161" t="s">
        <v>1689</v>
      </c>
      <c r="F322" s="161" t="s">
        <v>1981</v>
      </c>
      <c r="G322" s="163">
        <v>40.21</v>
      </c>
      <c r="H322" s="163">
        <f>G322-G321</f>
        <v>22.71</v>
      </c>
      <c r="I322" s="163" t="s">
        <v>147</v>
      </c>
      <c r="J322" s="163">
        <v>1710.39385463754</v>
      </c>
      <c r="K322" s="163">
        <v>3060</v>
      </c>
      <c r="L322" s="163"/>
      <c r="M322" s="161" t="s">
        <v>2083</v>
      </c>
      <c r="N322" s="161" t="s">
        <v>1331</v>
      </c>
      <c r="O322" s="161" t="s">
        <v>14</v>
      </c>
      <c r="P322" s="49" t="s">
        <v>14</v>
      </c>
      <c r="Q322" s="166" t="s">
        <v>2085</v>
      </c>
      <c r="R322" s="151"/>
    </row>
    <row r="323" spans="1:18">
      <c r="A323" s="101" t="s">
        <v>30</v>
      </c>
      <c r="B323" s="101" t="s">
        <v>176</v>
      </c>
      <c r="C323" s="135" t="s">
        <v>177</v>
      </c>
      <c r="D323" s="161" t="s">
        <v>177</v>
      </c>
      <c r="E323" s="161" t="s">
        <v>1980</v>
      </c>
      <c r="F323" s="161" t="s">
        <v>2016</v>
      </c>
      <c r="G323" s="163">
        <v>0</v>
      </c>
      <c r="H323" s="163">
        <v>0</v>
      </c>
      <c r="I323" s="163" t="s">
        <v>147</v>
      </c>
      <c r="J323" s="163">
        <v>0</v>
      </c>
      <c r="K323" s="163">
        <v>0</v>
      </c>
      <c r="L323" s="163"/>
      <c r="M323" s="161" t="s">
        <v>1913</v>
      </c>
      <c r="N323" s="161" t="s">
        <v>1331</v>
      </c>
      <c r="O323" s="161"/>
      <c r="P323" s="49"/>
      <c r="Q323" s="166" t="s">
        <v>2030</v>
      </c>
      <c r="R323" s="151"/>
    </row>
    <row r="324" spans="1:18">
      <c r="A324" s="101" t="s">
        <v>30</v>
      </c>
      <c r="B324" s="101" t="s">
        <v>176</v>
      </c>
      <c r="C324" s="86" t="s">
        <v>178</v>
      </c>
      <c r="D324" s="161" t="s">
        <v>178</v>
      </c>
      <c r="E324" s="161" t="s">
        <v>1980</v>
      </c>
      <c r="F324" s="161" t="s">
        <v>2016</v>
      </c>
      <c r="G324" s="163">
        <v>18.39</v>
      </c>
      <c r="H324" s="163">
        <v>18.39</v>
      </c>
      <c r="I324" s="163" t="s">
        <v>147</v>
      </c>
      <c r="J324" s="163">
        <v>338</v>
      </c>
      <c r="K324" s="163">
        <v>337.6544</v>
      </c>
      <c r="L324" s="163"/>
      <c r="M324" s="161">
        <v>0</v>
      </c>
      <c r="N324" s="161" t="s">
        <v>1331</v>
      </c>
      <c r="O324" s="161" t="s">
        <v>14</v>
      </c>
      <c r="P324" s="49" t="s">
        <v>14</v>
      </c>
      <c r="Q324" s="166" t="s">
        <v>2086</v>
      </c>
      <c r="R324" s="151"/>
    </row>
    <row r="325" spans="1:18">
      <c r="A325" s="101" t="s">
        <v>30</v>
      </c>
      <c r="B325" s="101" t="s">
        <v>179</v>
      </c>
      <c r="C325" s="135" t="s">
        <v>177</v>
      </c>
      <c r="D325" s="161" t="s">
        <v>177</v>
      </c>
      <c r="E325" s="161" t="s">
        <v>1980</v>
      </c>
      <c r="F325" s="161" t="s">
        <v>2016</v>
      </c>
      <c r="G325" s="163">
        <v>0</v>
      </c>
      <c r="H325" s="163">
        <v>0</v>
      </c>
      <c r="I325" s="163" t="s">
        <v>147</v>
      </c>
      <c r="J325" s="163">
        <v>0</v>
      </c>
      <c r="K325" s="163">
        <v>0</v>
      </c>
      <c r="L325" s="163"/>
      <c r="M325" s="161" t="s">
        <v>1913</v>
      </c>
      <c r="N325" s="161" t="s">
        <v>1331</v>
      </c>
      <c r="O325" s="161"/>
      <c r="P325" s="49"/>
      <c r="Q325" s="166" t="s">
        <v>2030</v>
      </c>
      <c r="R325" s="151"/>
    </row>
    <row r="326" spans="1:18">
      <c r="A326" s="101" t="s">
        <v>30</v>
      </c>
      <c r="B326" s="101" t="s">
        <v>179</v>
      </c>
      <c r="C326" s="86" t="s">
        <v>180</v>
      </c>
      <c r="D326" s="161" t="s">
        <v>180</v>
      </c>
      <c r="E326" s="161" t="s">
        <v>1980</v>
      </c>
      <c r="F326" s="161" t="s">
        <v>2016</v>
      </c>
      <c r="G326" s="163">
        <v>15.11</v>
      </c>
      <c r="H326" s="163">
        <v>15.11</v>
      </c>
      <c r="I326" s="163" t="s">
        <v>147</v>
      </c>
      <c r="J326" s="163">
        <v>512</v>
      </c>
      <c r="K326" s="163">
        <v>512.4428</v>
      </c>
      <c r="L326" s="163"/>
      <c r="M326" s="161">
        <v>0</v>
      </c>
      <c r="N326" s="161" t="s">
        <v>1331</v>
      </c>
      <c r="O326" s="161" t="s">
        <v>14</v>
      </c>
      <c r="P326" s="49" t="s">
        <v>14</v>
      </c>
      <c r="Q326" s="166" t="s">
        <v>2087</v>
      </c>
      <c r="R326" s="151"/>
    </row>
    <row r="327" spans="1:18">
      <c r="A327" s="101" t="s">
        <v>30</v>
      </c>
      <c r="B327" s="101" t="s">
        <v>181</v>
      </c>
      <c r="C327" s="135" t="s">
        <v>182</v>
      </c>
      <c r="D327" s="161" t="s">
        <v>182</v>
      </c>
      <c r="E327" s="161" t="s">
        <v>1980</v>
      </c>
      <c r="F327" s="161" t="s">
        <v>2005</v>
      </c>
      <c r="G327" s="163">
        <v>0</v>
      </c>
      <c r="H327" s="163">
        <v>0</v>
      </c>
      <c r="I327" s="163"/>
      <c r="J327" s="163"/>
      <c r="K327" s="163"/>
      <c r="L327" s="163"/>
      <c r="M327" s="161" t="e">
        <v>#N/A</v>
      </c>
      <c r="N327" s="161"/>
      <c r="O327" s="161"/>
      <c r="P327" s="49"/>
      <c r="Q327" s="166"/>
      <c r="R327" s="151"/>
    </row>
    <row r="328" spans="1:18">
      <c r="A328" s="101" t="s">
        <v>30</v>
      </c>
      <c r="B328" s="101" t="s">
        <v>181</v>
      </c>
      <c r="C328" s="135" t="s">
        <v>162</v>
      </c>
      <c r="D328" s="161" t="s">
        <v>162</v>
      </c>
      <c r="E328" s="161" t="s">
        <v>1980</v>
      </c>
      <c r="F328" s="161" t="s">
        <v>2005</v>
      </c>
      <c r="G328" s="163">
        <v>7</v>
      </c>
      <c r="H328" s="163">
        <v>7</v>
      </c>
      <c r="I328" s="163"/>
      <c r="J328" s="163"/>
      <c r="K328" s="163"/>
      <c r="L328" s="163"/>
      <c r="M328" s="161" t="e">
        <v>#N/A</v>
      </c>
      <c r="N328" s="161"/>
      <c r="O328" s="161"/>
      <c r="P328" s="49"/>
      <c r="Q328" s="166"/>
      <c r="R328" s="151"/>
    </row>
    <row r="329" spans="1:18">
      <c r="A329" s="101" t="s">
        <v>30</v>
      </c>
      <c r="B329" s="101" t="s">
        <v>183</v>
      </c>
      <c r="C329" s="135" t="s">
        <v>184</v>
      </c>
      <c r="D329" s="161" t="s">
        <v>184</v>
      </c>
      <c r="E329" s="161" t="s">
        <v>1689</v>
      </c>
      <c r="F329" s="161" t="s">
        <v>1945</v>
      </c>
      <c r="G329" s="171">
        <v>0</v>
      </c>
      <c r="H329" s="163">
        <v>0</v>
      </c>
      <c r="I329" s="163"/>
      <c r="J329" s="173">
        <v>0</v>
      </c>
      <c r="K329" s="173">
        <v>0</v>
      </c>
      <c r="L329" s="163"/>
      <c r="M329" s="161" t="s">
        <v>1913</v>
      </c>
      <c r="N329" s="161" t="s">
        <v>1331</v>
      </c>
      <c r="O329" s="161"/>
      <c r="P329" s="49"/>
      <c r="Q329" s="166" t="s">
        <v>1951</v>
      </c>
      <c r="R329" s="151"/>
    </row>
    <row r="330" spans="1:18">
      <c r="A330" s="101" t="s">
        <v>30</v>
      </c>
      <c r="B330" s="101" t="s">
        <v>183</v>
      </c>
      <c r="C330" s="175" t="s">
        <v>2088</v>
      </c>
      <c r="D330" s="161" t="s">
        <v>2089</v>
      </c>
      <c r="E330" s="161" t="s">
        <v>1689</v>
      </c>
      <c r="F330" s="161" t="s">
        <v>1945</v>
      </c>
      <c r="G330" s="171">
        <v>15</v>
      </c>
      <c r="H330" s="163">
        <f>G330-G329</f>
        <v>15</v>
      </c>
      <c r="I330" s="163"/>
      <c r="J330" s="163">
        <v>2123.627216</v>
      </c>
      <c r="K330" s="163">
        <v>2123.627216</v>
      </c>
      <c r="L330" s="163"/>
      <c r="M330" s="161" t="s">
        <v>2090</v>
      </c>
      <c r="N330" s="161"/>
      <c r="O330" s="161" t="s">
        <v>27</v>
      </c>
      <c r="P330" s="49" t="s">
        <v>27</v>
      </c>
      <c r="Q330" s="166" t="s">
        <v>2091</v>
      </c>
      <c r="R330" s="151"/>
    </row>
    <row r="331" spans="1:18">
      <c r="A331" s="101" t="s">
        <v>30</v>
      </c>
      <c r="B331" s="101" t="s">
        <v>183</v>
      </c>
      <c r="C331" s="175" t="s">
        <v>2092</v>
      </c>
      <c r="D331" s="161" t="s">
        <v>2093</v>
      </c>
      <c r="E331" s="161" t="s">
        <v>1689</v>
      </c>
      <c r="F331" s="161" t="s">
        <v>1945</v>
      </c>
      <c r="G331" s="171">
        <v>32</v>
      </c>
      <c r="H331" s="163">
        <f>G331-G330</f>
        <v>17</v>
      </c>
      <c r="I331" s="163"/>
      <c r="J331" s="163">
        <v>2108.01231</v>
      </c>
      <c r="K331" s="163">
        <v>4231.639526</v>
      </c>
      <c r="L331" s="163"/>
      <c r="M331" s="161" t="s">
        <v>2090</v>
      </c>
      <c r="N331" s="161"/>
      <c r="O331" s="161" t="s">
        <v>27</v>
      </c>
      <c r="P331" s="49" t="s">
        <v>27</v>
      </c>
      <c r="Q331" s="166" t="s">
        <v>2094</v>
      </c>
      <c r="R331" s="151"/>
    </row>
    <row r="332" spans="1:18">
      <c r="A332" s="101" t="s">
        <v>30</v>
      </c>
      <c r="B332" s="101" t="s">
        <v>183</v>
      </c>
      <c r="C332" s="175" t="s">
        <v>185</v>
      </c>
      <c r="D332" s="161" t="s">
        <v>185</v>
      </c>
      <c r="E332" s="161" t="s">
        <v>1689</v>
      </c>
      <c r="F332" s="161" t="s">
        <v>1945</v>
      </c>
      <c r="G332" s="171">
        <v>48</v>
      </c>
      <c r="H332" s="163">
        <f>G332-G331</f>
        <v>16</v>
      </c>
      <c r="I332" s="163"/>
      <c r="J332" s="163">
        <v>3282.2532412</v>
      </c>
      <c r="K332" s="163">
        <v>7513.8927672</v>
      </c>
      <c r="L332" s="163"/>
      <c r="M332" s="161" t="s">
        <v>2090</v>
      </c>
      <c r="N332" s="161"/>
      <c r="O332" s="161" t="s">
        <v>14</v>
      </c>
      <c r="P332" s="49" t="s">
        <v>14</v>
      </c>
      <c r="Q332" s="166" t="s">
        <v>2095</v>
      </c>
      <c r="R332" s="151"/>
    </row>
    <row r="333" spans="1:18">
      <c r="A333" s="163" t="s">
        <v>31</v>
      </c>
      <c r="B333" s="101" t="s">
        <v>186</v>
      </c>
      <c r="C333" s="135" t="s">
        <v>187</v>
      </c>
      <c r="D333" s="161" t="s">
        <v>187</v>
      </c>
      <c r="E333" s="161" t="s">
        <v>1689</v>
      </c>
      <c r="F333" s="161" t="s">
        <v>1907</v>
      </c>
      <c r="G333" s="163">
        <v>0</v>
      </c>
      <c r="H333" s="163">
        <v>0</v>
      </c>
      <c r="I333" s="163">
        <v>4.7</v>
      </c>
      <c r="J333" s="163">
        <v>0</v>
      </c>
      <c r="K333" s="163">
        <v>0</v>
      </c>
      <c r="L333" s="163"/>
      <c r="M333" s="161" t="s">
        <v>1913</v>
      </c>
      <c r="N333" s="161" t="s">
        <v>1331</v>
      </c>
      <c r="O333" s="161"/>
      <c r="P333" s="49"/>
      <c r="Q333" s="166" t="s">
        <v>1921</v>
      </c>
      <c r="R333" s="151"/>
    </row>
    <row r="334" spans="1:18">
      <c r="A334" s="163" t="s">
        <v>31</v>
      </c>
      <c r="B334" s="101" t="s">
        <v>186</v>
      </c>
      <c r="C334" s="86" t="s">
        <v>2096</v>
      </c>
      <c r="D334" s="161" t="s">
        <v>2097</v>
      </c>
      <c r="E334" s="161" t="s">
        <v>1689</v>
      </c>
      <c r="F334" s="161" t="s">
        <v>1907</v>
      </c>
      <c r="G334" s="163">
        <v>14.3699</v>
      </c>
      <c r="H334" s="163">
        <f>G334-G333</f>
        <v>14.3699</v>
      </c>
      <c r="I334" s="163">
        <v>4.9</v>
      </c>
      <c r="J334" s="163">
        <v>10501.3700499736</v>
      </c>
      <c r="K334" s="163">
        <f>J334+K333</f>
        <v>10501.3700499736</v>
      </c>
      <c r="L334" s="163"/>
      <c r="M334" s="161">
        <v>0</v>
      </c>
      <c r="N334" s="161" t="s">
        <v>1901</v>
      </c>
      <c r="O334" s="161" t="s">
        <v>25</v>
      </c>
      <c r="P334" s="49" t="s">
        <v>25</v>
      </c>
      <c r="Q334" s="166" t="s">
        <v>2098</v>
      </c>
      <c r="R334" s="151"/>
    </row>
    <row r="335" spans="1:18">
      <c r="A335" s="163" t="s">
        <v>31</v>
      </c>
      <c r="B335" s="101" t="s">
        <v>186</v>
      </c>
      <c r="C335" s="86" t="s">
        <v>2099</v>
      </c>
      <c r="D335" s="161" t="s">
        <v>2100</v>
      </c>
      <c r="E335" s="161" t="s">
        <v>1689</v>
      </c>
      <c r="F335" s="161" t="s">
        <v>1907</v>
      </c>
      <c r="G335" s="163">
        <v>29.0104</v>
      </c>
      <c r="H335" s="163">
        <f t="shared" ref="H335:H349" si="23">G335-G334</f>
        <v>14.6405</v>
      </c>
      <c r="I335" s="163">
        <v>6.5</v>
      </c>
      <c r="J335" s="163">
        <v>10803.7817864613</v>
      </c>
      <c r="K335" s="163">
        <f t="shared" ref="K335:K349" si="24">J335+K334</f>
        <v>21305.1518364349</v>
      </c>
      <c r="L335" s="163"/>
      <c r="M335" s="161">
        <v>0</v>
      </c>
      <c r="N335" s="161" t="s">
        <v>1901</v>
      </c>
      <c r="O335" s="161" t="s">
        <v>25</v>
      </c>
      <c r="P335" s="49" t="s">
        <v>25</v>
      </c>
      <c r="Q335" s="166" t="s">
        <v>2101</v>
      </c>
      <c r="R335" s="151"/>
    </row>
    <row r="336" spans="1:18">
      <c r="A336" s="163" t="s">
        <v>31</v>
      </c>
      <c r="B336" s="101" t="s">
        <v>186</v>
      </c>
      <c r="C336" s="86" t="s">
        <v>2102</v>
      </c>
      <c r="D336" s="161" t="s">
        <v>2102</v>
      </c>
      <c r="E336" s="161" t="s">
        <v>1689</v>
      </c>
      <c r="F336" s="161" t="s">
        <v>2103</v>
      </c>
      <c r="G336" s="163">
        <v>43.1999</v>
      </c>
      <c r="H336" s="163">
        <f t="shared" si="23"/>
        <v>14.1895</v>
      </c>
      <c r="I336" s="163">
        <v>5</v>
      </c>
      <c r="J336" s="163">
        <v>10654.7641066481</v>
      </c>
      <c r="K336" s="163">
        <f t="shared" si="24"/>
        <v>31959.915943083</v>
      </c>
      <c r="L336" s="163"/>
      <c r="M336" s="161">
        <v>0</v>
      </c>
      <c r="N336" s="161" t="s">
        <v>1331</v>
      </c>
      <c r="O336" s="161" t="s">
        <v>14</v>
      </c>
      <c r="P336" s="49" t="s">
        <v>14</v>
      </c>
      <c r="Q336" s="166" t="s">
        <v>2104</v>
      </c>
      <c r="R336" s="151"/>
    </row>
    <row r="337" spans="1:18">
      <c r="A337" s="163" t="s">
        <v>31</v>
      </c>
      <c r="B337" s="101" t="s">
        <v>186</v>
      </c>
      <c r="C337" s="86" t="s">
        <v>2105</v>
      </c>
      <c r="D337" s="161" t="s">
        <v>2105</v>
      </c>
      <c r="E337" s="161" t="s">
        <v>1689</v>
      </c>
      <c r="F337" s="161" t="s">
        <v>2103</v>
      </c>
      <c r="G337" s="163">
        <v>49.8999</v>
      </c>
      <c r="H337" s="163">
        <f t="shared" si="23"/>
        <v>6.7</v>
      </c>
      <c r="I337" s="163">
        <v>4.5</v>
      </c>
      <c r="J337" s="163">
        <v>4886.05412047385</v>
      </c>
      <c r="K337" s="163">
        <f t="shared" si="24"/>
        <v>36845.9700635569</v>
      </c>
      <c r="L337" s="163"/>
      <c r="M337" s="161">
        <v>0</v>
      </c>
      <c r="N337" s="161" t="s">
        <v>1331</v>
      </c>
      <c r="O337" s="161" t="s">
        <v>14</v>
      </c>
      <c r="P337" s="49" t="s">
        <v>14</v>
      </c>
      <c r="Q337" s="166" t="s">
        <v>2106</v>
      </c>
      <c r="R337" s="151"/>
    </row>
    <row r="338" spans="1:18">
      <c r="A338" s="163" t="s">
        <v>31</v>
      </c>
      <c r="B338" s="101" t="s">
        <v>186</v>
      </c>
      <c r="C338" s="86" t="s">
        <v>2107</v>
      </c>
      <c r="D338" s="161" t="s">
        <v>2108</v>
      </c>
      <c r="E338" s="161" t="s">
        <v>1689</v>
      </c>
      <c r="F338" s="161" t="s">
        <v>2103</v>
      </c>
      <c r="G338" s="163">
        <v>61.1046</v>
      </c>
      <c r="H338" s="163">
        <f t="shared" si="23"/>
        <v>11.2047</v>
      </c>
      <c r="I338" s="163">
        <v>4.7</v>
      </c>
      <c r="J338" s="163">
        <v>11399.8525057144</v>
      </c>
      <c r="K338" s="163">
        <f t="shared" si="24"/>
        <v>48245.8225692713</v>
      </c>
      <c r="L338" s="163"/>
      <c r="M338" s="161">
        <v>0</v>
      </c>
      <c r="N338" s="161" t="s">
        <v>1901</v>
      </c>
      <c r="O338" s="161" t="s">
        <v>25</v>
      </c>
      <c r="P338" s="49" t="s">
        <v>25</v>
      </c>
      <c r="Q338" s="166" t="s">
        <v>2109</v>
      </c>
      <c r="R338" s="151"/>
    </row>
    <row r="339" spans="1:18">
      <c r="A339" s="163" t="s">
        <v>31</v>
      </c>
      <c r="B339" s="101" t="s">
        <v>186</v>
      </c>
      <c r="C339" s="86" t="s">
        <v>2110</v>
      </c>
      <c r="D339" s="161" t="s">
        <v>2111</v>
      </c>
      <c r="E339" s="161" t="s">
        <v>1689</v>
      </c>
      <c r="F339" s="161" t="s">
        <v>2103</v>
      </c>
      <c r="G339" s="163">
        <v>78.1688</v>
      </c>
      <c r="H339" s="163">
        <f t="shared" si="23"/>
        <v>17.0642</v>
      </c>
      <c r="I339" s="163">
        <v>4.5</v>
      </c>
      <c r="J339" s="163">
        <v>11921.4143850608</v>
      </c>
      <c r="K339" s="163">
        <f t="shared" si="24"/>
        <v>60167.2369543321</v>
      </c>
      <c r="L339" s="163"/>
      <c r="M339" s="161">
        <v>0</v>
      </c>
      <c r="N339" s="161" t="s">
        <v>1901</v>
      </c>
      <c r="O339" s="161" t="s">
        <v>25</v>
      </c>
      <c r="P339" s="49" t="s">
        <v>25</v>
      </c>
      <c r="Q339" s="166" t="s">
        <v>2112</v>
      </c>
      <c r="R339" s="151"/>
    </row>
    <row r="340" spans="1:18">
      <c r="A340" s="163" t="s">
        <v>31</v>
      </c>
      <c r="B340" s="101" t="s">
        <v>186</v>
      </c>
      <c r="C340" s="86" t="s">
        <v>194</v>
      </c>
      <c r="D340" s="161" t="s">
        <v>194</v>
      </c>
      <c r="E340" s="161" t="s">
        <v>1689</v>
      </c>
      <c r="F340" s="161" t="s">
        <v>2103</v>
      </c>
      <c r="G340" s="163">
        <v>95.3998</v>
      </c>
      <c r="H340" s="163">
        <f t="shared" si="23"/>
        <v>17.231</v>
      </c>
      <c r="I340" s="163">
        <v>4.9</v>
      </c>
      <c r="J340" s="163">
        <v>10580.2552667415</v>
      </c>
      <c r="K340" s="163">
        <f t="shared" si="24"/>
        <v>70747.4922210736</v>
      </c>
      <c r="L340" s="163"/>
      <c r="M340" s="161">
        <v>0</v>
      </c>
      <c r="N340" s="161" t="s">
        <v>1331</v>
      </c>
      <c r="O340" s="161" t="s">
        <v>14</v>
      </c>
      <c r="P340" s="49" t="s">
        <v>14</v>
      </c>
      <c r="Q340" s="166" t="s">
        <v>2113</v>
      </c>
      <c r="R340" s="151"/>
    </row>
    <row r="341" spans="1:18">
      <c r="A341" s="163" t="s">
        <v>31</v>
      </c>
      <c r="B341" s="101" t="s">
        <v>186</v>
      </c>
      <c r="C341" s="86" t="s">
        <v>2114</v>
      </c>
      <c r="D341" s="161" t="s">
        <v>2115</v>
      </c>
      <c r="E341" s="161" t="s">
        <v>1689</v>
      </c>
      <c r="F341" s="161" t="s">
        <v>2103</v>
      </c>
      <c r="G341" s="163">
        <v>106.479</v>
      </c>
      <c r="H341" s="163">
        <f t="shared" si="23"/>
        <v>11.0792</v>
      </c>
      <c r="I341" s="163">
        <v>5</v>
      </c>
      <c r="J341" s="163">
        <v>9015.56962870223</v>
      </c>
      <c r="K341" s="163">
        <f t="shared" si="24"/>
        <v>79763.0618497758</v>
      </c>
      <c r="L341" s="163"/>
      <c r="M341" s="161">
        <v>0</v>
      </c>
      <c r="N341" s="161" t="s">
        <v>1901</v>
      </c>
      <c r="O341" s="161" t="s">
        <v>25</v>
      </c>
      <c r="P341" s="49" t="s">
        <v>25</v>
      </c>
      <c r="Q341" s="166" t="s">
        <v>2116</v>
      </c>
      <c r="R341" s="151"/>
    </row>
    <row r="342" spans="1:18">
      <c r="A342" s="163" t="s">
        <v>31</v>
      </c>
      <c r="B342" s="101" t="s">
        <v>186</v>
      </c>
      <c r="C342" s="86" t="s">
        <v>2117</v>
      </c>
      <c r="D342" s="161" t="s">
        <v>2118</v>
      </c>
      <c r="E342" s="161" t="s">
        <v>1689</v>
      </c>
      <c r="F342" s="161" t="s">
        <v>2119</v>
      </c>
      <c r="G342" s="163">
        <v>122.0551</v>
      </c>
      <c r="H342" s="163">
        <f t="shared" si="23"/>
        <v>15.5761</v>
      </c>
      <c r="I342" s="163">
        <v>4.7</v>
      </c>
      <c r="J342" s="163">
        <v>9611.64034795527</v>
      </c>
      <c r="K342" s="163">
        <f t="shared" si="24"/>
        <v>89374.7021977311</v>
      </c>
      <c r="L342" s="163"/>
      <c r="M342" s="161">
        <v>0</v>
      </c>
      <c r="N342" s="161" t="s">
        <v>1901</v>
      </c>
      <c r="O342" s="161" t="s">
        <v>25</v>
      </c>
      <c r="P342" s="49" t="s">
        <v>25</v>
      </c>
      <c r="Q342" s="166" t="s">
        <v>2120</v>
      </c>
      <c r="R342" s="151"/>
    </row>
    <row r="343" spans="1:18">
      <c r="A343" s="163" t="s">
        <v>31</v>
      </c>
      <c r="B343" s="101" t="s">
        <v>186</v>
      </c>
      <c r="C343" s="86" t="s">
        <v>196</v>
      </c>
      <c r="D343" s="161" t="s">
        <v>196</v>
      </c>
      <c r="E343" s="161" t="s">
        <v>1689</v>
      </c>
      <c r="F343" s="161" t="s">
        <v>2119</v>
      </c>
      <c r="G343" s="163">
        <v>134.5999</v>
      </c>
      <c r="H343" s="163">
        <f t="shared" si="23"/>
        <v>12.5448</v>
      </c>
      <c r="I343" s="163">
        <v>4.9</v>
      </c>
      <c r="J343" s="163">
        <v>9388.11382823538</v>
      </c>
      <c r="K343" s="163">
        <f t="shared" si="24"/>
        <v>98762.8160259664</v>
      </c>
      <c r="L343" s="163"/>
      <c r="M343" s="161">
        <v>0</v>
      </c>
      <c r="N343" s="161" t="s">
        <v>1331</v>
      </c>
      <c r="O343" s="161" t="s">
        <v>14</v>
      </c>
      <c r="P343" s="49" t="s">
        <v>14</v>
      </c>
      <c r="Q343" s="166" t="s">
        <v>2121</v>
      </c>
      <c r="R343" s="151"/>
    </row>
    <row r="344" spans="1:18">
      <c r="A344" s="163" t="s">
        <v>31</v>
      </c>
      <c r="B344" s="101" t="s">
        <v>186</v>
      </c>
      <c r="C344" s="86" t="s">
        <v>2122</v>
      </c>
      <c r="D344" s="161" t="s">
        <v>2123</v>
      </c>
      <c r="E344" s="161" t="s">
        <v>1689</v>
      </c>
      <c r="F344" s="161" t="s">
        <v>2119</v>
      </c>
      <c r="G344" s="163">
        <v>148.4957</v>
      </c>
      <c r="H344" s="163">
        <f t="shared" si="23"/>
        <v>13.8958</v>
      </c>
      <c r="I344" s="163">
        <v>4.7</v>
      </c>
      <c r="J344" s="163">
        <v>10952.7994662746</v>
      </c>
      <c r="K344" s="163">
        <f t="shared" si="24"/>
        <v>109715.615492241</v>
      </c>
      <c r="L344" s="163"/>
      <c r="M344" s="161">
        <v>0</v>
      </c>
      <c r="N344" s="161" t="s">
        <v>1901</v>
      </c>
      <c r="O344" s="161" t="s">
        <v>25</v>
      </c>
      <c r="P344" s="49" t="s">
        <v>25</v>
      </c>
      <c r="Q344" s="166" t="s">
        <v>2124</v>
      </c>
      <c r="R344" s="151"/>
    </row>
    <row r="345" spans="1:18">
      <c r="A345" s="163" t="s">
        <v>31</v>
      </c>
      <c r="B345" s="101" t="s">
        <v>186</v>
      </c>
      <c r="C345" s="86" t="s">
        <v>2125</v>
      </c>
      <c r="D345" s="161" t="s">
        <v>2125</v>
      </c>
      <c r="E345" s="161" t="s">
        <v>1689</v>
      </c>
      <c r="F345" s="161" t="s">
        <v>2119</v>
      </c>
      <c r="G345" s="163">
        <v>161.8999</v>
      </c>
      <c r="H345" s="163">
        <f t="shared" si="23"/>
        <v>13.4042</v>
      </c>
      <c r="I345" s="163">
        <v>3.5</v>
      </c>
      <c r="J345" s="163">
        <v>10505.7464268348</v>
      </c>
      <c r="K345" s="163">
        <f t="shared" si="24"/>
        <v>120221.361919076</v>
      </c>
      <c r="L345" s="163"/>
      <c r="M345" s="161">
        <v>0</v>
      </c>
      <c r="N345" s="161" t="s">
        <v>1331</v>
      </c>
      <c r="O345" s="161" t="s">
        <v>14</v>
      </c>
      <c r="P345" s="49" t="s">
        <v>14</v>
      </c>
      <c r="Q345" s="166" t="s">
        <v>2126</v>
      </c>
      <c r="R345" s="151"/>
    </row>
    <row r="346" spans="1:18">
      <c r="A346" s="163" t="s">
        <v>31</v>
      </c>
      <c r="B346" s="101" t="s">
        <v>186</v>
      </c>
      <c r="C346" s="86" t="s">
        <v>2127</v>
      </c>
      <c r="D346" s="161" t="s">
        <v>2128</v>
      </c>
      <c r="E346" s="161" t="s">
        <v>1689</v>
      </c>
      <c r="F346" s="161" t="s">
        <v>2119</v>
      </c>
      <c r="G346" s="163">
        <v>176.3</v>
      </c>
      <c r="H346" s="163">
        <f t="shared" si="23"/>
        <v>14.4001</v>
      </c>
      <c r="I346" s="163">
        <v>3.3</v>
      </c>
      <c r="J346" s="163">
        <v>11027.3083061812</v>
      </c>
      <c r="K346" s="163">
        <f t="shared" si="24"/>
        <v>131248.670225257</v>
      </c>
      <c r="L346" s="163"/>
      <c r="M346" s="161">
        <v>0</v>
      </c>
      <c r="N346" s="161" t="s">
        <v>1901</v>
      </c>
      <c r="O346" s="161" t="s">
        <v>25</v>
      </c>
      <c r="P346" s="49" t="s">
        <v>25</v>
      </c>
      <c r="Q346" s="166" t="s">
        <v>2129</v>
      </c>
      <c r="R346" s="151"/>
    </row>
    <row r="347" spans="1:18">
      <c r="A347" s="163" t="s">
        <v>31</v>
      </c>
      <c r="B347" s="101" t="s">
        <v>186</v>
      </c>
      <c r="C347" s="86" t="s">
        <v>2130</v>
      </c>
      <c r="D347" s="161" t="s">
        <v>2097</v>
      </c>
      <c r="E347" s="161" t="s">
        <v>1689</v>
      </c>
      <c r="F347" s="161" t="s">
        <v>2119</v>
      </c>
      <c r="G347" s="163">
        <v>190.4085</v>
      </c>
      <c r="H347" s="163">
        <f t="shared" si="23"/>
        <v>14.1085</v>
      </c>
      <c r="I347" s="163">
        <v>3.9</v>
      </c>
      <c r="J347" s="163">
        <v>11176.3259859945</v>
      </c>
      <c r="K347" s="163">
        <f t="shared" si="24"/>
        <v>142424.996211252</v>
      </c>
      <c r="L347" s="163"/>
      <c r="M347" s="161">
        <v>0</v>
      </c>
      <c r="N347" s="161" t="s">
        <v>1901</v>
      </c>
      <c r="O347" s="161" t="s">
        <v>25</v>
      </c>
      <c r="P347" s="49" t="s">
        <v>25</v>
      </c>
      <c r="Q347" s="166" t="s">
        <v>2131</v>
      </c>
      <c r="R347" s="151"/>
    </row>
    <row r="348" spans="1:18">
      <c r="A348" s="163" t="s">
        <v>31</v>
      </c>
      <c r="B348" s="101" t="s">
        <v>186</v>
      </c>
      <c r="C348" s="86" t="s">
        <v>2132</v>
      </c>
      <c r="D348" s="161" t="s">
        <v>2133</v>
      </c>
      <c r="E348" s="161" t="s">
        <v>1689</v>
      </c>
      <c r="F348" s="161" t="s">
        <v>2119</v>
      </c>
      <c r="G348" s="163">
        <v>206.898</v>
      </c>
      <c r="H348" s="163">
        <f t="shared" si="23"/>
        <v>16.4895</v>
      </c>
      <c r="I348" s="163">
        <v>2.9</v>
      </c>
      <c r="J348" s="163">
        <v>11697.8878653409</v>
      </c>
      <c r="K348" s="163">
        <f t="shared" si="24"/>
        <v>154122.884076592</v>
      </c>
      <c r="L348" s="163"/>
      <c r="M348" s="161">
        <v>0</v>
      </c>
      <c r="N348" s="161" t="s">
        <v>1901</v>
      </c>
      <c r="O348" s="161" t="s">
        <v>25</v>
      </c>
      <c r="P348" s="49" t="s">
        <v>25</v>
      </c>
      <c r="Q348" s="166" t="s">
        <v>2134</v>
      </c>
      <c r="R348" s="151"/>
    </row>
    <row r="349" spans="1:18">
      <c r="A349" s="163" t="s">
        <v>31</v>
      </c>
      <c r="B349" s="101" t="s">
        <v>186</v>
      </c>
      <c r="C349" s="86" t="s">
        <v>188</v>
      </c>
      <c r="D349" s="161" t="s">
        <v>188</v>
      </c>
      <c r="E349" s="161" t="s">
        <v>1689</v>
      </c>
      <c r="F349" s="161" t="s">
        <v>2119</v>
      </c>
      <c r="G349" s="163">
        <v>221.4</v>
      </c>
      <c r="H349" s="163">
        <f t="shared" si="23"/>
        <v>14.502</v>
      </c>
      <c r="I349" s="163">
        <v>5.3</v>
      </c>
      <c r="J349" s="163">
        <v>10431.2375869282</v>
      </c>
      <c r="K349" s="163">
        <f t="shared" si="24"/>
        <v>164554.121663521</v>
      </c>
      <c r="L349" s="163"/>
      <c r="M349" s="161">
        <v>0</v>
      </c>
      <c r="N349" s="161" t="s">
        <v>1331</v>
      </c>
      <c r="O349" s="161" t="s">
        <v>14</v>
      </c>
      <c r="P349" s="49" t="s">
        <v>14</v>
      </c>
      <c r="Q349" s="166" t="s">
        <v>2135</v>
      </c>
      <c r="R349" s="151"/>
    </row>
    <row r="350" s="149" customFormat="1" spans="1:18">
      <c r="A350" s="163" t="s">
        <v>31</v>
      </c>
      <c r="B350" s="101" t="s">
        <v>195</v>
      </c>
      <c r="C350" s="135" t="s">
        <v>196</v>
      </c>
      <c r="D350" s="161" t="s">
        <v>196</v>
      </c>
      <c r="E350" s="164"/>
      <c r="F350" s="164"/>
      <c r="G350" s="163">
        <v>0</v>
      </c>
      <c r="H350" s="163">
        <v>0</v>
      </c>
      <c r="I350" s="163">
        <v>5.3</v>
      </c>
      <c r="J350" s="163">
        <v>0</v>
      </c>
      <c r="K350" s="163">
        <v>0</v>
      </c>
      <c r="L350" s="163"/>
      <c r="M350" s="161"/>
      <c r="N350" s="161"/>
      <c r="O350" s="161"/>
      <c r="P350" s="49"/>
      <c r="Q350" s="166"/>
      <c r="R350" s="151"/>
    </row>
    <row r="351" s="150" customFormat="1" spans="1:18">
      <c r="A351" s="163" t="s">
        <v>31</v>
      </c>
      <c r="B351" s="101" t="s">
        <v>195</v>
      </c>
      <c r="C351" s="86" t="s">
        <v>2136</v>
      </c>
      <c r="D351" s="161" t="s">
        <v>1899</v>
      </c>
      <c r="E351" s="164"/>
      <c r="F351" s="164"/>
      <c r="G351" s="163">
        <v>13.46</v>
      </c>
      <c r="H351" s="163">
        <v>13.46</v>
      </c>
      <c r="I351" s="163">
        <v>4</v>
      </c>
      <c r="J351" s="163">
        <v>410.71</v>
      </c>
      <c r="K351" s="163">
        <v>410.71</v>
      </c>
      <c r="L351" s="163"/>
      <c r="M351" s="161"/>
      <c r="N351" s="161" t="s">
        <v>1299</v>
      </c>
      <c r="O351" s="161"/>
      <c r="P351" s="49" t="s">
        <v>25</v>
      </c>
      <c r="Q351" s="166"/>
      <c r="R351" s="22"/>
    </row>
    <row r="352" s="150" customFormat="1" spans="1:18">
      <c r="A352" s="163" t="s">
        <v>31</v>
      </c>
      <c r="B352" s="101" t="s">
        <v>195</v>
      </c>
      <c r="C352" s="86" t="s">
        <v>197</v>
      </c>
      <c r="D352" s="161" t="s">
        <v>197</v>
      </c>
      <c r="E352" s="164"/>
      <c r="F352" s="164"/>
      <c r="G352" s="163">
        <v>28.72</v>
      </c>
      <c r="H352" s="163">
        <v>15.26</v>
      </c>
      <c r="I352" s="163">
        <v>5</v>
      </c>
      <c r="J352" s="163">
        <v>491.29</v>
      </c>
      <c r="K352" s="163">
        <v>902</v>
      </c>
      <c r="L352" s="163"/>
      <c r="M352" s="161"/>
      <c r="N352" s="161"/>
      <c r="O352" s="161"/>
      <c r="P352" s="49" t="s">
        <v>14</v>
      </c>
      <c r="Q352" s="166"/>
      <c r="R352" s="22"/>
    </row>
    <row r="353" spans="1:18">
      <c r="A353" s="163" t="s">
        <v>31</v>
      </c>
      <c r="B353" s="101" t="s">
        <v>190</v>
      </c>
      <c r="C353" s="135" t="s">
        <v>188</v>
      </c>
      <c r="D353" s="161" t="s">
        <v>188</v>
      </c>
      <c r="E353" s="161" t="s">
        <v>1689</v>
      </c>
      <c r="F353" s="161" t="s">
        <v>2119</v>
      </c>
      <c r="G353" s="163">
        <v>0</v>
      </c>
      <c r="H353" s="163">
        <v>0</v>
      </c>
      <c r="I353" s="163">
        <v>3.3</v>
      </c>
      <c r="J353" s="173">
        <v>0</v>
      </c>
      <c r="K353" s="173">
        <v>0</v>
      </c>
      <c r="L353" s="163"/>
      <c r="M353" s="161">
        <v>0</v>
      </c>
      <c r="N353" s="161" t="s">
        <v>1331</v>
      </c>
      <c r="O353" s="161"/>
      <c r="P353" s="49"/>
      <c r="Q353" s="166" t="s">
        <v>2135</v>
      </c>
      <c r="R353" s="151"/>
    </row>
    <row r="354" spans="1:18">
      <c r="A354" s="163" t="s">
        <v>31</v>
      </c>
      <c r="B354" s="101" t="s">
        <v>190</v>
      </c>
      <c r="C354" s="86" t="s">
        <v>2137</v>
      </c>
      <c r="D354" s="161" t="s">
        <v>2138</v>
      </c>
      <c r="E354" s="161" t="s">
        <v>1689</v>
      </c>
      <c r="F354" s="161" t="s">
        <v>2139</v>
      </c>
      <c r="G354" s="163">
        <v>12.915</v>
      </c>
      <c r="H354" s="163">
        <f>G354-G353</f>
        <v>12.915</v>
      </c>
      <c r="I354" s="163">
        <v>4.4</v>
      </c>
      <c r="J354" s="173">
        <v>3388.75341802822</v>
      </c>
      <c r="K354" s="173">
        <v>3388.75341802822</v>
      </c>
      <c r="L354" s="163"/>
      <c r="M354" s="161">
        <v>0</v>
      </c>
      <c r="N354" s="161" t="s">
        <v>1901</v>
      </c>
      <c r="O354" s="161" t="s">
        <v>25</v>
      </c>
      <c r="P354" s="49" t="s">
        <v>25</v>
      </c>
      <c r="Q354" s="166" t="s">
        <v>2140</v>
      </c>
      <c r="R354" s="151"/>
    </row>
    <row r="355" spans="1:18">
      <c r="A355" s="163" t="s">
        <v>31</v>
      </c>
      <c r="B355" s="101" t="s">
        <v>190</v>
      </c>
      <c r="C355" s="86" t="s">
        <v>2141</v>
      </c>
      <c r="D355" s="161" t="s">
        <v>2142</v>
      </c>
      <c r="E355" s="161" t="s">
        <v>1689</v>
      </c>
      <c r="F355" s="161" t="s">
        <v>2139</v>
      </c>
      <c r="G355" s="163">
        <v>25.114</v>
      </c>
      <c r="H355" s="163">
        <f t="shared" ref="H355:H361" si="25">G355-G354</f>
        <v>12.199</v>
      </c>
      <c r="I355" s="163">
        <v>3.9</v>
      </c>
      <c r="J355" s="173">
        <v>3200.88292268883</v>
      </c>
      <c r="K355" s="173">
        <v>6589.63634071705</v>
      </c>
      <c r="L355" s="163"/>
      <c r="M355" s="161">
        <v>0</v>
      </c>
      <c r="N355" s="161" t="s">
        <v>1299</v>
      </c>
      <c r="O355" s="161" t="s">
        <v>25</v>
      </c>
      <c r="P355" s="49" t="s">
        <v>25</v>
      </c>
      <c r="Q355" s="166" t="s">
        <v>2143</v>
      </c>
      <c r="R355" s="151"/>
    </row>
    <row r="356" spans="1:18">
      <c r="A356" s="163" t="s">
        <v>31</v>
      </c>
      <c r="B356" s="101" t="s">
        <v>190</v>
      </c>
      <c r="C356" s="86" t="s">
        <v>2144</v>
      </c>
      <c r="D356" s="161" t="s">
        <v>2145</v>
      </c>
      <c r="E356" s="161" t="s">
        <v>1689</v>
      </c>
      <c r="F356" s="161" t="s">
        <v>2139</v>
      </c>
      <c r="G356" s="163">
        <v>32.386</v>
      </c>
      <c r="H356" s="163">
        <f t="shared" si="25"/>
        <v>7.272</v>
      </c>
      <c r="I356" s="163">
        <v>3.1</v>
      </c>
      <c r="J356" s="173">
        <v>1908.09251691066</v>
      </c>
      <c r="K356" s="173">
        <v>8497.72885762771</v>
      </c>
      <c r="L356" s="163"/>
      <c r="M356" s="161">
        <v>0</v>
      </c>
      <c r="N356" s="161" t="s">
        <v>1299</v>
      </c>
      <c r="O356" s="161" t="s">
        <v>25</v>
      </c>
      <c r="P356" s="49" t="s">
        <v>25</v>
      </c>
      <c r="Q356" s="166" t="s">
        <v>2146</v>
      </c>
      <c r="R356" s="151"/>
    </row>
    <row r="357" spans="1:18">
      <c r="A357" s="163" t="s">
        <v>31</v>
      </c>
      <c r="B357" s="101" t="s">
        <v>190</v>
      </c>
      <c r="C357" s="86" t="s">
        <v>2147</v>
      </c>
      <c r="D357" s="161" t="s">
        <v>2148</v>
      </c>
      <c r="E357" s="161" t="s">
        <v>1689</v>
      </c>
      <c r="F357" s="161" t="s">
        <v>2139</v>
      </c>
      <c r="G357" s="163">
        <v>39.126</v>
      </c>
      <c r="H357" s="163">
        <f t="shared" si="25"/>
        <v>6.73999999999999</v>
      </c>
      <c r="I357" s="163">
        <v>3.2</v>
      </c>
      <c r="J357" s="173">
        <v>1768.50159020598</v>
      </c>
      <c r="K357" s="173">
        <v>10266.2304478337</v>
      </c>
      <c r="L357" s="163"/>
      <c r="M357" s="161">
        <v>0</v>
      </c>
      <c r="N357" s="161" t="s">
        <v>1299</v>
      </c>
      <c r="O357" s="161" t="s">
        <v>25</v>
      </c>
      <c r="P357" s="49" t="s">
        <v>25</v>
      </c>
      <c r="Q357" s="166" t="s">
        <v>2149</v>
      </c>
      <c r="R357" s="151"/>
    </row>
    <row r="358" spans="1:18">
      <c r="A358" s="163" t="s">
        <v>31</v>
      </c>
      <c r="B358" s="101" t="s">
        <v>190</v>
      </c>
      <c r="C358" s="86" t="s">
        <v>2150</v>
      </c>
      <c r="D358" s="161" t="s">
        <v>2151</v>
      </c>
      <c r="E358" s="161" t="s">
        <v>1689</v>
      </c>
      <c r="F358" s="161" t="s">
        <v>2139</v>
      </c>
      <c r="G358" s="163">
        <v>47.305</v>
      </c>
      <c r="H358" s="163">
        <f t="shared" si="25"/>
        <v>8.179</v>
      </c>
      <c r="I358" s="163">
        <v>4.1</v>
      </c>
      <c r="J358" s="173">
        <v>2125.35057576682</v>
      </c>
      <c r="K358" s="173">
        <v>12391.5810236005</v>
      </c>
      <c r="L358" s="163"/>
      <c r="M358" s="161">
        <v>0</v>
      </c>
      <c r="N358" s="161" t="s">
        <v>1299</v>
      </c>
      <c r="O358" s="161" t="s">
        <v>25</v>
      </c>
      <c r="P358" s="49" t="s">
        <v>25</v>
      </c>
      <c r="Q358" s="166" t="s">
        <v>2152</v>
      </c>
      <c r="R358" s="151"/>
    </row>
    <row r="359" spans="1:18">
      <c r="A359" s="163" t="s">
        <v>31</v>
      </c>
      <c r="B359" s="101" t="s">
        <v>190</v>
      </c>
      <c r="C359" s="86" t="s">
        <v>2153</v>
      </c>
      <c r="D359" s="161" t="s">
        <v>2154</v>
      </c>
      <c r="E359" s="161" t="s">
        <v>1689</v>
      </c>
      <c r="F359" s="161" t="s">
        <v>2139</v>
      </c>
      <c r="G359" s="163">
        <v>62.347</v>
      </c>
      <c r="H359" s="163">
        <f t="shared" si="25"/>
        <v>15.042</v>
      </c>
      <c r="I359" s="163">
        <v>3.9</v>
      </c>
      <c r="J359" s="173">
        <v>3946.85473588699</v>
      </c>
      <c r="K359" s="173">
        <v>16338.4357594875</v>
      </c>
      <c r="L359" s="163"/>
      <c r="M359" s="161">
        <v>0</v>
      </c>
      <c r="N359" s="161" t="s">
        <v>1901</v>
      </c>
      <c r="O359" s="161" t="s">
        <v>25</v>
      </c>
      <c r="P359" s="49" t="s">
        <v>25</v>
      </c>
      <c r="Q359" s="166" t="s">
        <v>2155</v>
      </c>
      <c r="R359" s="151"/>
    </row>
    <row r="360" spans="1:18">
      <c r="A360" s="163" t="s">
        <v>31</v>
      </c>
      <c r="B360" s="101" t="s">
        <v>190</v>
      </c>
      <c r="C360" s="86" t="s">
        <v>2156</v>
      </c>
      <c r="D360" s="161" t="s">
        <v>2156</v>
      </c>
      <c r="E360" s="161" t="s">
        <v>1689</v>
      </c>
      <c r="F360" s="161" t="s">
        <v>2139</v>
      </c>
      <c r="G360" s="163">
        <v>77.346</v>
      </c>
      <c r="H360" s="163">
        <f t="shared" si="25"/>
        <v>14.999</v>
      </c>
      <c r="I360" s="163">
        <v>3.2</v>
      </c>
      <c r="J360" s="173">
        <v>3935.57201060822</v>
      </c>
      <c r="K360" s="173">
        <v>20274.0077700957</v>
      </c>
      <c r="L360" s="163"/>
      <c r="M360" s="161">
        <v>0</v>
      </c>
      <c r="N360" s="161" t="s">
        <v>1331</v>
      </c>
      <c r="O360" s="161" t="s">
        <v>14</v>
      </c>
      <c r="P360" s="49" t="s">
        <v>14</v>
      </c>
      <c r="Q360" s="166" t="s">
        <v>2157</v>
      </c>
      <c r="R360" s="151"/>
    </row>
    <row r="361" ht="30" spans="1:18">
      <c r="A361" s="163" t="s">
        <v>31</v>
      </c>
      <c r="B361" s="101" t="s">
        <v>190</v>
      </c>
      <c r="C361" s="135" t="s">
        <v>191</v>
      </c>
      <c r="D361" s="161" t="s">
        <v>191</v>
      </c>
      <c r="E361" s="161" t="s">
        <v>1689</v>
      </c>
      <c r="F361" s="161"/>
      <c r="G361" s="163">
        <v>83.857</v>
      </c>
      <c r="H361" s="163">
        <f t="shared" si="25"/>
        <v>6.511</v>
      </c>
      <c r="I361" s="163">
        <v>3.3</v>
      </c>
      <c r="J361" s="163">
        <v>22100</v>
      </c>
      <c r="K361" s="163">
        <v>22100</v>
      </c>
      <c r="L361" s="163" t="s">
        <v>2158</v>
      </c>
      <c r="M361" s="161">
        <v>0</v>
      </c>
      <c r="N361" s="161" t="s">
        <v>1331</v>
      </c>
      <c r="O361" s="161"/>
      <c r="P361" s="49"/>
      <c r="Q361" s="166" t="s">
        <v>2159</v>
      </c>
      <c r="R361" s="151"/>
    </row>
    <row r="362" spans="1:18">
      <c r="A362" s="163" t="s">
        <v>31</v>
      </c>
      <c r="B362" s="101" t="s">
        <v>193</v>
      </c>
      <c r="C362" s="135" t="s">
        <v>194</v>
      </c>
      <c r="D362" s="161" t="s">
        <v>194</v>
      </c>
      <c r="E362" s="161" t="s">
        <v>1689</v>
      </c>
      <c r="F362" s="161" t="s">
        <v>2103</v>
      </c>
      <c r="G362" s="171">
        <v>0</v>
      </c>
      <c r="H362" s="163">
        <v>0</v>
      </c>
      <c r="I362" s="176">
        <v>4.9</v>
      </c>
      <c r="J362" s="163">
        <v>0</v>
      </c>
      <c r="K362" s="176">
        <v>0</v>
      </c>
      <c r="L362" s="163"/>
      <c r="M362" s="161">
        <v>0</v>
      </c>
      <c r="N362" s="161" t="s">
        <v>1331</v>
      </c>
      <c r="O362" s="161"/>
      <c r="P362" s="49"/>
      <c r="Q362" s="166" t="s">
        <v>2113</v>
      </c>
      <c r="R362" s="151"/>
    </row>
    <row r="363" spans="1:18">
      <c r="A363" s="163" t="s">
        <v>31</v>
      </c>
      <c r="B363" s="101" t="s">
        <v>193</v>
      </c>
      <c r="C363" s="86" t="s">
        <v>2160</v>
      </c>
      <c r="D363" s="161" t="s">
        <v>2161</v>
      </c>
      <c r="E363" s="161" t="s">
        <v>1689</v>
      </c>
      <c r="F363" s="161" t="s">
        <v>2103</v>
      </c>
      <c r="G363" s="171">
        <v>15.1556</v>
      </c>
      <c r="H363" s="163">
        <f t="shared" ref="H363:H368" si="26">G363-G362</f>
        <v>15.1556</v>
      </c>
      <c r="I363" s="176">
        <v>4.15</v>
      </c>
      <c r="J363" s="163">
        <v>10878.290626368</v>
      </c>
      <c r="K363" s="176">
        <f t="shared" ref="K363:K368" si="27">J363+K362</f>
        <v>10878.290626368</v>
      </c>
      <c r="L363" s="163"/>
      <c r="M363" s="161">
        <v>0</v>
      </c>
      <c r="N363" s="161" t="s">
        <v>1901</v>
      </c>
      <c r="O363" s="161" t="s">
        <v>25</v>
      </c>
      <c r="P363" s="49" t="s">
        <v>25</v>
      </c>
      <c r="Q363" s="166" t="s">
        <v>2162</v>
      </c>
      <c r="R363" s="151"/>
    </row>
    <row r="364" spans="1:18">
      <c r="A364" s="163" t="s">
        <v>31</v>
      </c>
      <c r="B364" s="101" t="s">
        <v>193</v>
      </c>
      <c r="C364" s="86" t="s">
        <v>2163</v>
      </c>
      <c r="D364" s="161" t="s">
        <v>2163</v>
      </c>
      <c r="E364" s="161" t="s">
        <v>1689</v>
      </c>
      <c r="F364" s="161" t="s">
        <v>2103</v>
      </c>
      <c r="G364" s="171">
        <v>27.1</v>
      </c>
      <c r="H364" s="163">
        <f t="shared" si="26"/>
        <v>11.9444</v>
      </c>
      <c r="I364" s="176">
        <v>3.6</v>
      </c>
      <c r="J364" s="163">
        <v>9313.60498832875</v>
      </c>
      <c r="K364" s="176">
        <f t="shared" si="27"/>
        <v>20191.8956146968</v>
      </c>
      <c r="L364" s="163"/>
      <c r="M364" s="161">
        <v>0</v>
      </c>
      <c r="N364" s="161" t="s">
        <v>1331</v>
      </c>
      <c r="O364" s="161" t="s">
        <v>15</v>
      </c>
      <c r="P364" s="49" t="s">
        <v>15</v>
      </c>
      <c r="Q364" s="166" t="s">
        <v>2164</v>
      </c>
      <c r="R364" s="151"/>
    </row>
    <row r="365" spans="1:18">
      <c r="A365" s="163" t="s">
        <v>31</v>
      </c>
      <c r="B365" s="101" t="s">
        <v>193</v>
      </c>
      <c r="C365" s="86" t="s">
        <v>2165</v>
      </c>
      <c r="D365" s="161" t="s">
        <v>2165</v>
      </c>
      <c r="E365" s="161" t="s">
        <v>1689</v>
      </c>
      <c r="F365" s="161" t="s">
        <v>1745</v>
      </c>
      <c r="G365" s="171">
        <v>31.7</v>
      </c>
      <c r="H365" s="163">
        <f t="shared" si="26"/>
        <v>4.6</v>
      </c>
      <c r="I365" s="176">
        <v>3.3</v>
      </c>
      <c r="J365" s="163">
        <v>3210.76357461879</v>
      </c>
      <c r="K365" s="176">
        <f t="shared" si="27"/>
        <v>23402.6591893155</v>
      </c>
      <c r="L365" s="163"/>
      <c r="M365" s="161">
        <v>0</v>
      </c>
      <c r="N365" s="161" t="s">
        <v>1331</v>
      </c>
      <c r="O365" s="161" t="s">
        <v>14</v>
      </c>
      <c r="P365" s="49" t="s">
        <v>14</v>
      </c>
      <c r="Q365" s="166" t="s">
        <v>2166</v>
      </c>
      <c r="R365" s="151"/>
    </row>
    <row r="366" spans="1:18">
      <c r="A366" s="163" t="s">
        <v>31</v>
      </c>
      <c r="B366" s="101" t="s">
        <v>193</v>
      </c>
      <c r="C366" s="86" t="s">
        <v>2167</v>
      </c>
      <c r="D366" s="161" t="s">
        <v>2168</v>
      </c>
      <c r="E366" s="161" t="s">
        <v>1689</v>
      </c>
      <c r="F366" s="161" t="s">
        <v>1745</v>
      </c>
      <c r="G366" s="171">
        <v>41.996</v>
      </c>
      <c r="H366" s="163">
        <f t="shared" si="26"/>
        <v>10.296</v>
      </c>
      <c r="I366" s="176">
        <v>4.3</v>
      </c>
      <c r="J366" s="163">
        <v>7438.47034217721</v>
      </c>
      <c r="K366" s="176">
        <f t="shared" si="27"/>
        <v>30841.1295314928</v>
      </c>
      <c r="L366" s="163"/>
      <c r="M366" s="161">
        <v>0</v>
      </c>
      <c r="N366" s="161" t="s">
        <v>1901</v>
      </c>
      <c r="O366" s="161" t="s">
        <v>26</v>
      </c>
      <c r="P366" s="49" t="s">
        <v>26</v>
      </c>
      <c r="Q366" s="166" t="s">
        <v>2169</v>
      </c>
      <c r="R366" s="151"/>
    </row>
    <row r="367" spans="1:18">
      <c r="A367" s="163" t="s">
        <v>31</v>
      </c>
      <c r="B367" s="101" t="s">
        <v>193</v>
      </c>
      <c r="C367" s="86" t="s">
        <v>2170</v>
      </c>
      <c r="D367" s="161" t="s">
        <v>2171</v>
      </c>
      <c r="E367" s="161" t="s">
        <v>1689</v>
      </c>
      <c r="F367" s="161" t="s">
        <v>1768</v>
      </c>
      <c r="G367" s="171">
        <v>48.3599</v>
      </c>
      <c r="H367" s="163">
        <f t="shared" si="26"/>
        <v>6.3639</v>
      </c>
      <c r="I367" s="176">
        <v>3.2</v>
      </c>
      <c r="J367" s="163">
        <v>4667.27550881707</v>
      </c>
      <c r="K367" s="176">
        <f t="shared" si="27"/>
        <v>35508.4050403098</v>
      </c>
      <c r="L367" s="163"/>
      <c r="M367" s="161">
        <v>0</v>
      </c>
      <c r="N367" s="161" t="s">
        <v>1901</v>
      </c>
      <c r="O367" s="161" t="s">
        <v>26</v>
      </c>
      <c r="P367" s="49" t="s">
        <v>26</v>
      </c>
      <c r="Q367" s="166" t="s">
        <v>2172</v>
      </c>
      <c r="R367" s="151"/>
    </row>
    <row r="368" spans="1:18">
      <c r="A368" s="163" t="s">
        <v>31</v>
      </c>
      <c r="B368" s="101" t="s">
        <v>193</v>
      </c>
      <c r="C368" s="135" t="s">
        <v>119</v>
      </c>
      <c r="D368" s="161" t="s">
        <v>119</v>
      </c>
      <c r="E368" s="161" t="s">
        <v>1689</v>
      </c>
      <c r="F368" s="161" t="s">
        <v>1768</v>
      </c>
      <c r="G368" s="171">
        <v>57.9</v>
      </c>
      <c r="H368" s="163">
        <f t="shared" si="26"/>
        <v>9.5401</v>
      </c>
      <c r="I368" s="176">
        <v>0.4</v>
      </c>
      <c r="J368" s="163">
        <v>7000.91326322561</v>
      </c>
      <c r="K368" s="176">
        <f t="shared" si="27"/>
        <v>42509.3183035354</v>
      </c>
      <c r="L368" s="163"/>
      <c r="M368" s="161" t="s">
        <v>1294</v>
      </c>
      <c r="N368" s="161" t="s">
        <v>1331</v>
      </c>
      <c r="O368" s="161"/>
      <c r="P368" s="49"/>
      <c r="Q368" s="166" t="s">
        <v>1769</v>
      </c>
      <c r="R368" s="151"/>
    </row>
    <row r="369" spans="1:18">
      <c r="A369" s="101" t="s">
        <v>32</v>
      </c>
      <c r="B369" s="101" t="s">
        <v>32</v>
      </c>
      <c r="C369" s="135" t="s">
        <v>198</v>
      </c>
      <c r="D369" s="161" t="s">
        <v>198</v>
      </c>
      <c r="E369" s="161" t="s">
        <v>1640</v>
      </c>
      <c r="F369" s="161" t="s">
        <v>1675</v>
      </c>
      <c r="G369" s="163">
        <v>0</v>
      </c>
      <c r="H369" s="163">
        <v>0</v>
      </c>
      <c r="I369" s="163">
        <v>48</v>
      </c>
      <c r="J369" s="163">
        <v>0</v>
      </c>
      <c r="K369" s="163">
        <v>0</v>
      </c>
      <c r="L369" s="163"/>
      <c r="M369" s="161" t="s">
        <v>1294</v>
      </c>
      <c r="N369" s="161" t="s">
        <v>1331</v>
      </c>
      <c r="O369" s="161"/>
      <c r="P369" s="49"/>
      <c r="Q369" s="166" t="s">
        <v>1680</v>
      </c>
      <c r="R369" s="151"/>
    </row>
    <row r="370" spans="1:18">
      <c r="A370" s="101" t="s">
        <v>32</v>
      </c>
      <c r="B370" s="101" t="s">
        <v>32</v>
      </c>
      <c r="C370" s="168" t="s">
        <v>2173</v>
      </c>
      <c r="D370" s="161" t="s">
        <v>1811</v>
      </c>
      <c r="E370" s="161" t="s">
        <v>1640</v>
      </c>
      <c r="F370" s="161" t="s">
        <v>1675</v>
      </c>
      <c r="G370" s="163">
        <v>28.0337</v>
      </c>
      <c r="H370" s="163">
        <f t="shared" ref="H370:H386" si="28">G370-G369</f>
        <v>28.0337</v>
      </c>
      <c r="I370" s="163">
        <v>42</v>
      </c>
      <c r="J370" s="163">
        <v>7257</v>
      </c>
      <c r="K370" s="163">
        <f>K369+J370</f>
        <v>7257</v>
      </c>
      <c r="L370" s="163"/>
      <c r="M370" s="161" t="s">
        <v>2174</v>
      </c>
      <c r="N370" s="161" t="s">
        <v>1331</v>
      </c>
      <c r="O370" s="161" t="s">
        <v>27</v>
      </c>
      <c r="P370" s="49" t="s">
        <v>27</v>
      </c>
      <c r="Q370" s="166" t="s">
        <v>2175</v>
      </c>
      <c r="R370" s="151"/>
    </row>
    <row r="371" spans="1:18">
      <c r="A371" s="101" t="s">
        <v>32</v>
      </c>
      <c r="B371" s="101" t="s">
        <v>32</v>
      </c>
      <c r="C371" s="168" t="s">
        <v>2176</v>
      </c>
      <c r="D371" s="161" t="s">
        <v>1815</v>
      </c>
      <c r="E371" s="161" t="s">
        <v>1640</v>
      </c>
      <c r="F371" s="161" t="s">
        <v>2177</v>
      </c>
      <c r="G371" s="163">
        <v>55.031</v>
      </c>
      <c r="H371" s="163">
        <f t="shared" si="28"/>
        <v>26.9973</v>
      </c>
      <c r="I371" s="163">
        <v>43</v>
      </c>
      <c r="J371" s="163">
        <v>6719</v>
      </c>
      <c r="K371" s="163">
        <f>K370+J371</f>
        <v>13976</v>
      </c>
      <c r="L371" s="163"/>
      <c r="M371" s="161" t="s">
        <v>2174</v>
      </c>
      <c r="N371" s="161" t="s">
        <v>1331</v>
      </c>
      <c r="O371" s="161" t="s">
        <v>27</v>
      </c>
      <c r="P371" s="49" t="s">
        <v>27</v>
      </c>
      <c r="Q371" s="166" t="s">
        <v>2178</v>
      </c>
      <c r="R371" s="151"/>
    </row>
    <row r="372" spans="1:18">
      <c r="A372" s="101" t="s">
        <v>32</v>
      </c>
      <c r="B372" s="101" t="s">
        <v>32</v>
      </c>
      <c r="C372" s="168" t="s">
        <v>2179</v>
      </c>
      <c r="D372" s="161" t="s">
        <v>1305</v>
      </c>
      <c r="E372" s="161" t="s">
        <v>1640</v>
      </c>
      <c r="F372" s="161" t="s">
        <v>2177</v>
      </c>
      <c r="G372" s="163">
        <v>77.8295</v>
      </c>
      <c r="H372" s="163">
        <f t="shared" si="28"/>
        <v>22.7985</v>
      </c>
      <c r="I372" s="163">
        <v>40</v>
      </c>
      <c r="J372" s="163">
        <v>6182</v>
      </c>
      <c r="K372" s="163">
        <f>K371+J372</f>
        <v>20158</v>
      </c>
      <c r="L372" s="163"/>
      <c r="M372" s="161" t="s">
        <v>2174</v>
      </c>
      <c r="N372" s="161" t="s">
        <v>1299</v>
      </c>
      <c r="O372" s="161" t="s">
        <v>25</v>
      </c>
      <c r="P372" s="49" t="s">
        <v>25</v>
      </c>
      <c r="Q372" s="166" t="s">
        <v>2180</v>
      </c>
      <c r="R372" s="151"/>
    </row>
    <row r="373" spans="1:18">
      <c r="A373" s="101" t="s">
        <v>32</v>
      </c>
      <c r="B373" s="101" t="s">
        <v>32</v>
      </c>
      <c r="C373" s="168" t="s">
        <v>2181</v>
      </c>
      <c r="D373" s="161" t="s">
        <v>2181</v>
      </c>
      <c r="E373" s="161" t="s">
        <v>1640</v>
      </c>
      <c r="F373" s="161" t="s">
        <v>2177</v>
      </c>
      <c r="G373" s="163">
        <v>77.8295</v>
      </c>
      <c r="H373" s="163">
        <f t="shared" si="28"/>
        <v>0</v>
      </c>
      <c r="I373" s="163" t="s">
        <v>147</v>
      </c>
      <c r="J373" s="163" t="s">
        <v>147</v>
      </c>
      <c r="K373" s="163" t="s">
        <v>147</v>
      </c>
      <c r="L373" s="163"/>
      <c r="M373" s="161" t="s">
        <v>2174</v>
      </c>
      <c r="N373" s="161"/>
      <c r="O373" s="161" t="s">
        <v>14</v>
      </c>
      <c r="P373" s="49" t="s">
        <v>14</v>
      </c>
      <c r="Q373" s="166"/>
      <c r="R373" s="151"/>
    </row>
    <row r="374" spans="1:18">
      <c r="A374" s="101" t="s">
        <v>32</v>
      </c>
      <c r="B374" s="101" t="s">
        <v>32</v>
      </c>
      <c r="C374" s="168" t="s">
        <v>2182</v>
      </c>
      <c r="D374" s="161" t="s">
        <v>1820</v>
      </c>
      <c r="E374" s="161" t="s">
        <v>1640</v>
      </c>
      <c r="F374" s="161" t="s">
        <v>2177</v>
      </c>
      <c r="G374" s="163">
        <v>101.9051</v>
      </c>
      <c r="H374" s="163">
        <f t="shared" si="28"/>
        <v>24.0756</v>
      </c>
      <c r="I374" s="163">
        <v>38</v>
      </c>
      <c r="J374" s="163">
        <v>5375</v>
      </c>
      <c r="K374" s="163">
        <f>K372+J374</f>
        <v>25533</v>
      </c>
      <c r="L374" s="163" t="s">
        <v>2183</v>
      </c>
      <c r="M374" s="161" t="s">
        <v>2174</v>
      </c>
      <c r="N374" s="161" t="s">
        <v>1331</v>
      </c>
      <c r="O374" s="161" t="s">
        <v>27</v>
      </c>
      <c r="P374" s="49" t="s">
        <v>27</v>
      </c>
      <c r="Q374" s="166" t="s">
        <v>2184</v>
      </c>
      <c r="R374" s="151"/>
    </row>
    <row r="375" spans="1:18">
      <c r="A375" s="101" t="s">
        <v>32</v>
      </c>
      <c r="B375" s="101" t="s">
        <v>32</v>
      </c>
      <c r="C375" s="168" t="s">
        <v>2185</v>
      </c>
      <c r="D375" s="161" t="s">
        <v>741</v>
      </c>
      <c r="E375" s="161" t="s">
        <v>1640</v>
      </c>
      <c r="F375" s="161" t="s">
        <v>2177</v>
      </c>
      <c r="G375" s="163">
        <v>123.2877</v>
      </c>
      <c r="H375" s="163">
        <f t="shared" si="28"/>
        <v>21.3826</v>
      </c>
      <c r="I375" s="163">
        <v>39</v>
      </c>
      <c r="J375" s="163">
        <v>6450</v>
      </c>
      <c r="K375" s="163">
        <f>K374+J375</f>
        <v>31983</v>
      </c>
      <c r="L375" s="163"/>
      <c r="M375" s="161" t="s">
        <v>2174</v>
      </c>
      <c r="N375" s="161" t="s">
        <v>1331</v>
      </c>
      <c r="O375" s="161" t="s">
        <v>27</v>
      </c>
      <c r="P375" s="49" t="s">
        <v>27</v>
      </c>
      <c r="Q375" s="166" t="s">
        <v>2186</v>
      </c>
      <c r="R375" s="151"/>
    </row>
    <row r="376" spans="1:18">
      <c r="A376" s="101" t="s">
        <v>32</v>
      </c>
      <c r="B376" s="101" t="s">
        <v>32</v>
      </c>
      <c r="C376" s="168" t="s">
        <v>2187</v>
      </c>
      <c r="D376" s="161" t="s">
        <v>1848</v>
      </c>
      <c r="E376" s="161" t="s">
        <v>1640</v>
      </c>
      <c r="F376" s="161" t="s">
        <v>2177</v>
      </c>
      <c r="G376" s="163">
        <v>143.5757</v>
      </c>
      <c r="H376" s="163">
        <f t="shared" si="28"/>
        <v>20.288</v>
      </c>
      <c r="I376" s="163">
        <v>38</v>
      </c>
      <c r="J376" s="163">
        <v>5375</v>
      </c>
      <c r="K376" s="163">
        <f>K375+J376</f>
        <v>37358</v>
      </c>
      <c r="L376" s="163"/>
      <c r="M376" s="161" t="s">
        <v>2174</v>
      </c>
      <c r="N376" s="161" t="s">
        <v>1331</v>
      </c>
      <c r="O376" s="161" t="s">
        <v>27</v>
      </c>
      <c r="P376" s="49" t="s">
        <v>27</v>
      </c>
      <c r="Q376" s="166" t="s">
        <v>2188</v>
      </c>
      <c r="R376" s="151"/>
    </row>
    <row r="377" spans="1:18">
      <c r="A377" s="101" t="s">
        <v>32</v>
      </c>
      <c r="B377" s="101" t="s">
        <v>32</v>
      </c>
      <c r="C377" s="168" t="s">
        <v>2189</v>
      </c>
      <c r="D377" s="161" t="s">
        <v>1321</v>
      </c>
      <c r="E377" s="161" t="s">
        <v>1640</v>
      </c>
      <c r="F377" s="161" t="s">
        <v>2177</v>
      </c>
      <c r="G377" s="163">
        <v>168.3593</v>
      </c>
      <c r="H377" s="163">
        <f t="shared" si="28"/>
        <v>24.7836</v>
      </c>
      <c r="I377" s="163">
        <v>36</v>
      </c>
      <c r="J377" s="163">
        <v>6450</v>
      </c>
      <c r="K377" s="163">
        <f>K376+J377</f>
        <v>43808</v>
      </c>
      <c r="L377" s="163"/>
      <c r="M377" s="161" t="s">
        <v>2174</v>
      </c>
      <c r="N377" s="161" t="s">
        <v>1299</v>
      </c>
      <c r="O377" s="161" t="s">
        <v>25</v>
      </c>
      <c r="P377" s="49" t="s">
        <v>25</v>
      </c>
      <c r="Q377" s="166" t="s">
        <v>2190</v>
      </c>
      <c r="R377" s="151"/>
    </row>
    <row r="378" spans="1:18">
      <c r="A378" s="101" t="s">
        <v>32</v>
      </c>
      <c r="B378" s="101" t="s">
        <v>32</v>
      </c>
      <c r="C378" s="168" t="s">
        <v>2191</v>
      </c>
      <c r="D378" s="161" t="s">
        <v>2191</v>
      </c>
      <c r="E378" s="161" t="s">
        <v>1640</v>
      </c>
      <c r="F378" s="161" t="s">
        <v>2177</v>
      </c>
      <c r="G378" s="163">
        <v>183.513</v>
      </c>
      <c r="H378" s="163">
        <f t="shared" si="28"/>
        <v>15.1537</v>
      </c>
      <c r="I378" s="163">
        <v>42</v>
      </c>
      <c r="J378" s="163">
        <v>4569</v>
      </c>
      <c r="K378" s="163">
        <f>K377+J378</f>
        <v>48377</v>
      </c>
      <c r="L378" s="163"/>
      <c r="M378" s="161" t="s">
        <v>2174</v>
      </c>
      <c r="N378" s="161" t="s">
        <v>1331</v>
      </c>
      <c r="O378" s="161" t="s">
        <v>14</v>
      </c>
      <c r="P378" s="49" t="s">
        <v>14</v>
      </c>
      <c r="Q378" s="166" t="s">
        <v>2192</v>
      </c>
      <c r="R378" s="151"/>
    </row>
    <row r="379" spans="1:18">
      <c r="A379" s="101" t="s">
        <v>32</v>
      </c>
      <c r="B379" s="101" t="s">
        <v>32</v>
      </c>
      <c r="C379" s="168" t="s">
        <v>2193</v>
      </c>
      <c r="D379" s="161" t="s">
        <v>2194</v>
      </c>
      <c r="E379" s="161" t="s">
        <v>1640</v>
      </c>
      <c r="F379" s="161" t="s">
        <v>2177</v>
      </c>
      <c r="G379" s="163">
        <v>196.3954</v>
      </c>
      <c r="H379" s="163">
        <f t="shared" si="28"/>
        <v>12.8824</v>
      </c>
      <c r="I379" s="163">
        <v>68</v>
      </c>
      <c r="J379" s="163">
        <v>5106</v>
      </c>
      <c r="K379" s="163">
        <f>K378+J379</f>
        <v>53483</v>
      </c>
      <c r="L379" s="163"/>
      <c r="M379" s="161" t="s">
        <v>2174</v>
      </c>
      <c r="N379" s="161" t="s">
        <v>1299</v>
      </c>
      <c r="O379" s="161" t="s">
        <v>25</v>
      </c>
      <c r="P379" s="49" t="s">
        <v>25</v>
      </c>
      <c r="Q379" s="166" t="s">
        <v>2195</v>
      </c>
      <c r="R379" s="151"/>
    </row>
    <row r="380" spans="1:18">
      <c r="A380" s="101" t="s">
        <v>32</v>
      </c>
      <c r="B380" s="101" t="s">
        <v>32</v>
      </c>
      <c r="C380" s="168" t="s">
        <v>2196</v>
      </c>
      <c r="D380" s="161" t="s">
        <v>2197</v>
      </c>
      <c r="E380" s="161" t="s">
        <v>1640</v>
      </c>
      <c r="F380" s="161" t="s">
        <v>2177</v>
      </c>
      <c r="G380" s="163">
        <v>208.8006</v>
      </c>
      <c r="H380" s="163">
        <f t="shared" si="28"/>
        <v>12.4052</v>
      </c>
      <c r="I380" s="163"/>
      <c r="J380" s="163"/>
      <c r="K380" s="163"/>
      <c r="L380" s="163"/>
      <c r="M380" s="161" t="s">
        <v>2174</v>
      </c>
      <c r="N380" s="161" t="s">
        <v>1299</v>
      </c>
      <c r="O380" s="161" t="s">
        <v>25</v>
      </c>
      <c r="P380" s="49" t="s">
        <v>25</v>
      </c>
      <c r="Q380" s="166"/>
      <c r="R380" s="151"/>
    </row>
    <row r="381" spans="1:18">
      <c r="A381" s="101" t="s">
        <v>32</v>
      </c>
      <c r="B381" s="101" t="s">
        <v>32</v>
      </c>
      <c r="C381" s="168" t="s">
        <v>2198</v>
      </c>
      <c r="D381" s="161" t="s">
        <v>1936</v>
      </c>
      <c r="E381" s="161" t="s">
        <v>1640</v>
      </c>
      <c r="F381" s="161" t="s">
        <v>2177</v>
      </c>
      <c r="G381" s="163">
        <v>230.7483</v>
      </c>
      <c r="H381" s="163">
        <f t="shared" si="28"/>
        <v>21.9477</v>
      </c>
      <c r="I381" s="163">
        <v>63</v>
      </c>
      <c r="J381" s="163">
        <v>5913</v>
      </c>
      <c r="K381" s="163">
        <f>K379+J381</f>
        <v>59396</v>
      </c>
      <c r="L381" s="163"/>
      <c r="M381" s="161" t="s">
        <v>2174</v>
      </c>
      <c r="N381" s="161" t="s">
        <v>1331</v>
      </c>
      <c r="O381" s="161" t="s">
        <v>27</v>
      </c>
      <c r="P381" s="49" t="s">
        <v>27</v>
      </c>
      <c r="Q381" s="166" t="s">
        <v>2199</v>
      </c>
      <c r="R381" s="151"/>
    </row>
    <row r="382" spans="1:18">
      <c r="A382" s="101" t="s">
        <v>32</v>
      </c>
      <c r="B382" s="101" t="s">
        <v>32</v>
      </c>
      <c r="C382" s="168" t="s">
        <v>2200</v>
      </c>
      <c r="D382" s="161" t="s">
        <v>2201</v>
      </c>
      <c r="E382" s="161" t="s">
        <v>1640</v>
      </c>
      <c r="F382" s="161" t="s">
        <v>2177</v>
      </c>
      <c r="G382" s="163">
        <v>256.513</v>
      </c>
      <c r="H382" s="163">
        <f t="shared" si="28"/>
        <v>25.7647</v>
      </c>
      <c r="I382" s="163">
        <v>122</v>
      </c>
      <c r="J382" s="163">
        <v>5913</v>
      </c>
      <c r="K382" s="163">
        <f>K381+J382</f>
        <v>65309</v>
      </c>
      <c r="L382" s="163"/>
      <c r="M382" s="161" t="s">
        <v>2174</v>
      </c>
      <c r="N382" s="161" t="s">
        <v>1331</v>
      </c>
      <c r="O382" s="161" t="s">
        <v>27</v>
      </c>
      <c r="P382" s="49" t="s">
        <v>27</v>
      </c>
      <c r="Q382" s="166" t="s">
        <v>2202</v>
      </c>
      <c r="R382" s="151"/>
    </row>
    <row r="383" spans="1:18">
      <c r="A383" s="101" t="s">
        <v>32</v>
      </c>
      <c r="B383" s="101" t="s">
        <v>32</v>
      </c>
      <c r="C383" s="168" t="s">
        <v>2203</v>
      </c>
      <c r="D383" s="161" t="s">
        <v>1338</v>
      </c>
      <c r="E383" s="161" t="s">
        <v>2204</v>
      </c>
      <c r="F383" s="161" t="s">
        <v>2205</v>
      </c>
      <c r="G383" s="163">
        <v>284.5528</v>
      </c>
      <c r="H383" s="163">
        <f t="shared" si="28"/>
        <v>28.0398</v>
      </c>
      <c r="I383" s="163">
        <v>96</v>
      </c>
      <c r="J383" s="163">
        <v>8504</v>
      </c>
      <c r="K383" s="163">
        <f>K382+J383</f>
        <v>73813</v>
      </c>
      <c r="L383" s="163"/>
      <c r="M383" s="161" t="s">
        <v>2174</v>
      </c>
      <c r="N383" s="161" t="s">
        <v>1299</v>
      </c>
      <c r="O383" s="161" t="s">
        <v>25</v>
      </c>
      <c r="P383" s="49" t="s">
        <v>25</v>
      </c>
      <c r="Q383" s="166" t="s">
        <v>2206</v>
      </c>
      <c r="R383" s="151"/>
    </row>
    <row r="384" spans="1:18">
      <c r="A384" s="101" t="s">
        <v>32</v>
      </c>
      <c r="B384" s="101" t="s">
        <v>32</v>
      </c>
      <c r="C384" s="168" t="s">
        <v>2207</v>
      </c>
      <c r="D384" s="161" t="s">
        <v>1344</v>
      </c>
      <c r="E384" s="161" t="s">
        <v>2204</v>
      </c>
      <c r="F384" s="161" t="s">
        <v>2205</v>
      </c>
      <c r="G384" s="163">
        <v>304.6602</v>
      </c>
      <c r="H384" s="163">
        <f t="shared" si="28"/>
        <v>20.1074</v>
      </c>
      <c r="I384" s="163"/>
      <c r="J384" s="163"/>
      <c r="K384" s="163"/>
      <c r="L384" s="163"/>
      <c r="M384" s="161" t="s">
        <v>2174</v>
      </c>
      <c r="N384" s="161" t="s">
        <v>1299</v>
      </c>
      <c r="O384" s="161" t="s">
        <v>25</v>
      </c>
      <c r="P384" s="49" t="s">
        <v>25</v>
      </c>
      <c r="Q384" s="166" t="s">
        <v>2208</v>
      </c>
      <c r="R384" s="151"/>
    </row>
    <row r="385" spans="1:18">
      <c r="A385" s="101" t="s">
        <v>32</v>
      </c>
      <c r="B385" s="101" t="s">
        <v>32</v>
      </c>
      <c r="C385" s="168" t="s">
        <v>2205</v>
      </c>
      <c r="D385" s="161" t="s">
        <v>2205</v>
      </c>
      <c r="E385" s="161" t="s">
        <v>2204</v>
      </c>
      <c r="F385" s="161" t="s">
        <v>2205</v>
      </c>
      <c r="G385" s="163">
        <v>304.6602</v>
      </c>
      <c r="H385" s="163">
        <f t="shared" si="28"/>
        <v>0</v>
      </c>
      <c r="I385" s="163" t="s">
        <v>147</v>
      </c>
      <c r="J385" s="163" t="s">
        <v>147</v>
      </c>
      <c r="K385" s="163" t="s">
        <v>147</v>
      </c>
      <c r="L385" s="163" t="s">
        <v>2209</v>
      </c>
      <c r="M385" s="161" t="s">
        <v>2174</v>
      </c>
      <c r="N385" s="161"/>
      <c r="O385" s="161" t="s">
        <v>14</v>
      </c>
      <c r="P385" s="49" t="s">
        <v>14</v>
      </c>
      <c r="Q385" s="166" t="s">
        <v>2208</v>
      </c>
      <c r="R385" s="151"/>
    </row>
    <row r="386" spans="1:18">
      <c r="A386" s="101" t="s">
        <v>32</v>
      </c>
      <c r="B386" s="101" t="s">
        <v>32</v>
      </c>
      <c r="C386" s="168" t="s">
        <v>2210</v>
      </c>
      <c r="D386" s="161" t="s">
        <v>1949</v>
      </c>
      <c r="E386" s="161" t="s">
        <v>2204</v>
      </c>
      <c r="F386" s="161" t="s">
        <v>2205</v>
      </c>
      <c r="G386" s="163">
        <v>321.3934</v>
      </c>
      <c r="H386" s="163">
        <f t="shared" si="28"/>
        <v>16.7332</v>
      </c>
      <c r="I386" s="163">
        <v>47</v>
      </c>
      <c r="J386" s="163">
        <v>5212</v>
      </c>
      <c r="K386" s="163">
        <f>K383+J386</f>
        <v>79025</v>
      </c>
      <c r="L386" s="163"/>
      <c r="M386" s="161" t="s">
        <v>2174</v>
      </c>
      <c r="N386" s="161" t="s">
        <v>1331</v>
      </c>
      <c r="O386" s="161" t="s">
        <v>27</v>
      </c>
      <c r="P386" s="49" t="s">
        <v>27</v>
      </c>
      <c r="Q386" s="166" t="s">
        <v>2211</v>
      </c>
      <c r="R386" s="151"/>
    </row>
    <row r="387" spans="1:18">
      <c r="A387" s="101" t="s">
        <v>32</v>
      </c>
      <c r="B387" s="101" t="s">
        <v>32</v>
      </c>
      <c r="C387" s="168" t="s">
        <v>2212</v>
      </c>
      <c r="D387" s="161" t="s">
        <v>1953</v>
      </c>
      <c r="E387" s="161" t="s">
        <v>2204</v>
      </c>
      <c r="F387" s="161" t="s">
        <v>2213</v>
      </c>
      <c r="G387" s="163">
        <v>343.5751</v>
      </c>
      <c r="H387" s="163">
        <f t="shared" ref="H387:H394" si="29">G387-G386</f>
        <v>22.1817</v>
      </c>
      <c r="I387" s="163">
        <v>70</v>
      </c>
      <c r="J387" s="163">
        <v>6309</v>
      </c>
      <c r="K387" s="163">
        <f>K386+J387</f>
        <v>85334</v>
      </c>
      <c r="L387" s="163"/>
      <c r="M387" s="161" t="s">
        <v>2174</v>
      </c>
      <c r="N387" s="161" t="s">
        <v>1331</v>
      </c>
      <c r="O387" s="161" t="s">
        <v>27</v>
      </c>
      <c r="P387" s="49" t="s">
        <v>27</v>
      </c>
      <c r="Q387" s="166" t="s">
        <v>2214</v>
      </c>
      <c r="R387" s="151"/>
    </row>
    <row r="388" spans="1:18">
      <c r="A388" s="101" t="s">
        <v>32</v>
      </c>
      <c r="B388" s="101" t="s">
        <v>32</v>
      </c>
      <c r="C388" s="168" t="s">
        <v>2215</v>
      </c>
      <c r="D388" s="161" t="s">
        <v>1352</v>
      </c>
      <c r="E388" s="161" t="s">
        <v>2204</v>
      </c>
      <c r="F388" s="161" t="s">
        <v>2213</v>
      </c>
      <c r="G388" s="163">
        <v>361.6595</v>
      </c>
      <c r="H388" s="163">
        <f t="shared" si="29"/>
        <v>18.0844</v>
      </c>
      <c r="I388" s="163">
        <v>33</v>
      </c>
      <c r="J388" s="163">
        <v>5486</v>
      </c>
      <c r="K388" s="163">
        <f t="shared" ref="K388:K394" si="30">K387+J388</f>
        <v>90820</v>
      </c>
      <c r="L388" s="163"/>
      <c r="M388" s="161" t="s">
        <v>2174</v>
      </c>
      <c r="N388" s="161" t="s">
        <v>1299</v>
      </c>
      <c r="O388" s="161" t="s">
        <v>25</v>
      </c>
      <c r="P388" s="49" t="s">
        <v>25</v>
      </c>
      <c r="Q388" s="166" t="s">
        <v>2216</v>
      </c>
      <c r="R388" s="151"/>
    </row>
    <row r="389" spans="1:18">
      <c r="A389" s="101" t="s">
        <v>32</v>
      </c>
      <c r="B389" s="101" t="s">
        <v>32</v>
      </c>
      <c r="C389" s="168" t="s">
        <v>2217</v>
      </c>
      <c r="D389" s="161" t="s">
        <v>1960</v>
      </c>
      <c r="E389" s="161" t="s">
        <v>2204</v>
      </c>
      <c r="F389" s="161" t="s">
        <v>2213</v>
      </c>
      <c r="G389" s="163">
        <v>376.2663</v>
      </c>
      <c r="H389" s="163">
        <f t="shared" si="29"/>
        <v>14.6068</v>
      </c>
      <c r="I389" s="163">
        <v>26</v>
      </c>
      <c r="J389" s="163">
        <v>5761</v>
      </c>
      <c r="K389" s="163">
        <f t="shared" si="30"/>
        <v>96581</v>
      </c>
      <c r="L389" s="163"/>
      <c r="M389" s="161" t="s">
        <v>2174</v>
      </c>
      <c r="N389" s="161" t="s">
        <v>1331</v>
      </c>
      <c r="O389" s="161" t="s">
        <v>27</v>
      </c>
      <c r="P389" s="49" t="s">
        <v>27</v>
      </c>
      <c r="Q389" s="166" t="s">
        <v>2218</v>
      </c>
      <c r="R389" s="151"/>
    </row>
    <row r="390" spans="1:18">
      <c r="A390" s="101" t="s">
        <v>32</v>
      </c>
      <c r="B390" s="101" t="s">
        <v>32</v>
      </c>
      <c r="C390" s="168" t="s">
        <v>2219</v>
      </c>
      <c r="D390" s="161" t="s">
        <v>1965</v>
      </c>
      <c r="E390" s="161" t="s">
        <v>2204</v>
      </c>
      <c r="F390" s="161" t="s">
        <v>2213</v>
      </c>
      <c r="G390" s="163">
        <v>387.7365</v>
      </c>
      <c r="H390" s="163">
        <f t="shared" si="29"/>
        <v>11.4702</v>
      </c>
      <c r="I390" s="163">
        <v>29</v>
      </c>
      <c r="J390" s="163">
        <v>4938</v>
      </c>
      <c r="K390" s="163">
        <f t="shared" si="30"/>
        <v>101519</v>
      </c>
      <c r="L390" s="163"/>
      <c r="M390" s="161" t="s">
        <v>2174</v>
      </c>
      <c r="N390" s="161" t="s">
        <v>1331</v>
      </c>
      <c r="O390" s="161" t="s">
        <v>27</v>
      </c>
      <c r="P390" s="49" t="s">
        <v>27</v>
      </c>
      <c r="Q390" s="166" t="s">
        <v>2220</v>
      </c>
      <c r="R390" s="151"/>
    </row>
    <row r="391" spans="1:18">
      <c r="A391" s="101" t="s">
        <v>32</v>
      </c>
      <c r="B391" s="101" t="s">
        <v>32</v>
      </c>
      <c r="C391" s="168" t="s">
        <v>2221</v>
      </c>
      <c r="D391" s="161" t="s">
        <v>1358</v>
      </c>
      <c r="E391" s="161" t="s">
        <v>2204</v>
      </c>
      <c r="F391" s="161" t="s">
        <v>2213</v>
      </c>
      <c r="G391" s="163">
        <v>404.7874</v>
      </c>
      <c r="H391" s="163">
        <f t="shared" si="29"/>
        <v>17.0509</v>
      </c>
      <c r="I391" s="163">
        <v>25</v>
      </c>
      <c r="J391" s="163">
        <v>4664</v>
      </c>
      <c r="K391" s="163">
        <f t="shared" si="30"/>
        <v>106183</v>
      </c>
      <c r="L391" s="163"/>
      <c r="M391" s="161" t="s">
        <v>2174</v>
      </c>
      <c r="N391" s="161" t="s">
        <v>1299</v>
      </c>
      <c r="O391" s="161" t="s">
        <v>25</v>
      </c>
      <c r="P391" s="49" t="s">
        <v>25</v>
      </c>
      <c r="Q391" s="166" t="s">
        <v>2222</v>
      </c>
      <c r="R391" s="151"/>
    </row>
    <row r="392" spans="1:18">
      <c r="A392" s="101" t="s">
        <v>32</v>
      </c>
      <c r="B392" s="101" t="s">
        <v>32</v>
      </c>
      <c r="C392" s="168" t="s">
        <v>2223</v>
      </c>
      <c r="D392" s="161" t="s">
        <v>1972</v>
      </c>
      <c r="E392" s="161" t="s">
        <v>2204</v>
      </c>
      <c r="F392" s="161" t="s">
        <v>2224</v>
      </c>
      <c r="G392" s="163">
        <v>407.4018</v>
      </c>
      <c r="H392" s="163">
        <f t="shared" si="29"/>
        <v>2.61439999999999</v>
      </c>
      <c r="I392" s="163">
        <v>24</v>
      </c>
      <c r="J392" s="163">
        <v>823</v>
      </c>
      <c r="K392" s="163">
        <f t="shared" si="30"/>
        <v>107006</v>
      </c>
      <c r="L392" s="163"/>
      <c r="M392" s="161" t="s">
        <v>2174</v>
      </c>
      <c r="N392" s="161" t="s">
        <v>1331</v>
      </c>
      <c r="O392" s="161" t="s">
        <v>27</v>
      </c>
      <c r="P392" s="49" t="s">
        <v>27</v>
      </c>
      <c r="Q392" s="166" t="s">
        <v>2225</v>
      </c>
      <c r="R392" s="151"/>
    </row>
    <row r="393" spans="1:18">
      <c r="A393" s="101" t="s">
        <v>32</v>
      </c>
      <c r="B393" s="101" t="s">
        <v>32</v>
      </c>
      <c r="C393" s="168" t="s">
        <v>2226</v>
      </c>
      <c r="D393" s="161" t="s">
        <v>1977</v>
      </c>
      <c r="E393" s="161" t="s">
        <v>2204</v>
      </c>
      <c r="F393" s="161" t="s">
        <v>2224</v>
      </c>
      <c r="G393" s="163">
        <v>420.4266</v>
      </c>
      <c r="H393" s="163">
        <f t="shared" si="29"/>
        <v>13.0248</v>
      </c>
      <c r="I393" s="163">
        <v>35</v>
      </c>
      <c r="J393" s="163">
        <v>4389</v>
      </c>
      <c r="K393" s="163">
        <f t="shared" si="30"/>
        <v>111395</v>
      </c>
      <c r="L393" s="163"/>
      <c r="M393" s="161" t="s">
        <v>2174</v>
      </c>
      <c r="N393" s="161" t="s">
        <v>1331</v>
      </c>
      <c r="O393" s="161" t="s">
        <v>27</v>
      </c>
      <c r="P393" s="49" t="s">
        <v>27</v>
      </c>
      <c r="Q393" s="166" t="s">
        <v>2227</v>
      </c>
      <c r="R393" s="151"/>
    </row>
    <row r="394" spans="1:18">
      <c r="A394" s="101" t="s">
        <v>32</v>
      </c>
      <c r="B394" s="101" t="s">
        <v>32</v>
      </c>
      <c r="C394" s="135" t="s">
        <v>199</v>
      </c>
      <c r="D394" s="161" t="s">
        <v>199</v>
      </c>
      <c r="E394" s="161" t="s">
        <v>2204</v>
      </c>
      <c r="F394" s="161" t="s">
        <v>2224</v>
      </c>
      <c r="G394" s="163">
        <v>436.889</v>
      </c>
      <c r="H394" s="163">
        <f t="shared" si="29"/>
        <v>16.4624</v>
      </c>
      <c r="I394" s="163">
        <v>30</v>
      </c>
      <c r="J394" s="163">
        <v>4664</v>
      </c>
      <c r="K394" s="163">
        <f t="shared" si="30"/>
        <v>116059</v>
      </c>
      <c r="L394" s="163"/>
      <c r="M394" s="161" t="s">
        <v>2174</v>
      </c>
      <c r="N394" s="161" t="s">
        <v>1331</v>
      </c>
      <c r="O394" s="161"/>
      <c r="P394" s="49"/>
      <c r="Q394" s="166" t="s">
        <v>2228</v>
      </c>
      <c r="R394" s="151"/>
    </row>
    <row r="395" ht="45" spans="1:18">
      <c r="A395" s="101" t="s">
        <v>33</v>
      </c>
      <c r="B395" s="101" t="s">
        <v>200</v>
      </c>
      <c r="C395" s="164" t="s">
        <v>201</v>
      </c>
      <c r="D395" s="161" t="s">
        <v>2229</v>
      </c>
      <c r="E395" s="161" t="s">
        <v>1291</v>
      </c>
      <c r="F395" s="161" t="s">
        <v>2230</v>
      </c>
      <c r="G395" s="163">
        <v>0</v>
      </c>
      <c r="H395" s="163">
        <v>0</v>
      </c>
      <c r="I395" s="163">
        <v>635</v>
      </c>
      <c r="J395" s="163">
        <v>0</v>
      </c>
      <c r="K395" s="163">
        <v>0</v>
      </c>
      <c r="L395" s="174" t="s">
        <v>2231</v>
      </c>
      <c r="M395" s="161" t="s">
        <v>2232</v>
      </c>
      <c r="N395" s="161" t="s">
        <v>1295</v>
      </c>
      <c r="O395" s="161" t="s">
        <v>6</v>
      </c>
      <c r="P395" s="49" t="s">
        <v>6</v>
      </c>
      <c r="Q395" s="166" t="s">
        <v>2233</v>
      </c>
      <c r="R395" s="151"/>
    </row>
    <row r="396" spans="1:18">
      <c r="A396" s="101" t="s">
        <v>33</v>
      </c>
      <c r="B396" s="101" t="s">
        <v>200</v>
      </c>
      <c r="C396" s="164" t="s">
        <v>2234</v>
      </c>
      <c r="D396" s="161" t="s">
        <v>1899</v>
      </c>
      <c r="E396" s="161" t="s">
        <v>1291</v>
      </c>
      <c r="F396" s="161" t="s">
        <v>2230</v>
      </c>
      <c r="G396" s="163">
        <v>31.321</v>
      </c>
      <c r="H396" s="163">
        <f>G396-G395</f>
        <v>31.321</v>
      </c>
      <c r="I396" s="163">
        <v>819</v>
      </c>
      <c r="J396" s="163">
        <v>33827</v>
      </c>
      <c r="K396" s="163">
        <f t="shared" ref="K396:K416" si="31">J396+K395</f>
        <v>33827</v>
      </c>
      <c r="L396" s="174"/>
      <c r="M396" s="161" t="s">
        <v>2232</v>
      </c>
      <c r="N396" s="161" t="s">
        <v>1901</v>
      </c>
      <c r="O396" s="161" t="s">
        <v>26</v>
      </c>
      <c r="P396" s="49" t="s">
        <v>26</v>
      </c>
      <c r="Q396" s="166" t="s">
        <v>2235</v>
      </c>
      <c r="R396" s="151"/>
    </row>
    <row r="397" ht="30" spans="1:18">
      <c r="A397" s="101" t="s">
        <v>33</v>
      </c>
      <c r="B397" s="101" t="s">
        <v>200</v>
      </c>
      <c r="C397" s="164" t="s">
        <v>2236</v>
      </c>
      <c r="D397" s="161" t="s">
        <v>2237</v>
      </c>
      <c r="E397" s="161" t="s">
        <v>1291</v>
      </c>
      <c r="F397" s="161" t="s">
        <v>2230</v>
      </c>
      <c r="G397" s="163">
        <v>47.487</v>
      </c>
      <c r="H397" s="163">
        <f t="shared" ref="H397:H417" si="32">G397-G396</f>
        <v>16.166</v>
      </c>
      <c r="I397" s="163">
        <v>1210</v>
      </c>
      <c r="J397" s="163">
        <v>17459</v>
      </c>
      <c r="K397" s="163">
        <f t="shared" si="31"/>
        <v>51286</v>
      </c>
      <c r="L397" s="174" t="s">
        <v>2238</v>
      </c>
      <c r="M397" s="161" t="s">
        <v>2232</v>
      </c>
      <c r="N397" s="161" t="s">
        <v>2239</v>
      </c>
      <c r="O397" s="161" t="s">
        <v>25</v>
      </c>
      <c r="P397" s="49" t="s">
        <v>25</v>
      </c>
      <c r="Q397" s="166" t="s">
        <v>2240</v>
      </c>
      <c r="R397" s="151"/>
    </row>
    <row r="398" ht="30" spans="1:18">
      <c r="A398" s="101" t="s">
        <v>33</v>
      </c>
      <c r="B398" s="101" t="s">
        <v>200</v>
      </c>
      <c r="C398" s="164" t="s">
        <v>2241</v>
      </c>
      <c r="D398" s="161" t="s">
        <v>2242</v>
      </c>
      <c r="E398" s="161" t="s">
        <v>1291</v>
      </c>
      <c r="F398" s="161" t="s">
        <v>2243</v>
      </c>
      <c r="G398" s="163">
        <v>76.787</v>
      </c>
      <c r="H398" s="163">
        <f t="shared" si="32"/>
        <v>29.3</v>
      </c>
      <c r="I398" s="163">
        <v>2129</v>
      </c>
      <c r="J398" s="163">
        <v>31644</v>
      </c>
      <c r="K398" s="163">
        <f t="shared" si="31"/>
        <v>82930</v>
      </c>
      <c r="L398" s="174" t="s">
        <v>2244</v>
      </c>
      <c r="M398" s="161" t="s">
        <v>2232</v>
      </c>
      <c r="N398" s="161" t="s">
        <v>2239</v>
      </c>
      <c r="O398" s="161" t="s">
        <v>25</v>
      </c>
      <c r="P398" s="49" t="s">
        <v>25</v>
      </c>
      <c r="Q398" s="166" t="s">
        <v>2245</v>
      </c>
      <c r="R398" s="151"/>
    </row>
    <row r="399" ht="30" spans="1:18">
      <c r="A399" s="101" t="s">
        <v>33</v>
      </c>
      <c r="B399" s="101" t="s">
        <v>200</v>
      </c>
      <c r="C399" s="164" t="s">
        <v>2246</v>
      </c>
      <c r="D399" s="161" t="s">
        <v>2247</v>
      </c>
      <c r="E399" s="161" t="s">
        <v>1291</v>
      </c>
      <c r="F399" s="161" t="s">
        <v>2243</v>
      </c>
      <c r="G399" s="163">
        <v>107.098</v>
      </c>
      <c r="H399" s="163">
        <f t="shared" si="32"/>
        <v>30.311</v>
      </c>
      <c r="I399" s="163">
        <v>2140</v>
      </c>
      <c r="J399" s="163">
        <v>32735</v>
      </c>
      <c r="K399" s="163">
        <f t="shared" si="31"/>
        <v>115665</v>
      </c>
      <c r="L399" s="174" t="s">
        <v>2248</v>
      </c>
      <c r="M399" s="161" t="s">
        <v>2232</v>
      </c>
      <c r="N399" s="161" t="s">
        <v>2249</v>
      </c>
      <c r="O399" s="161" t="s">
        <v>26</v>
      </c>
      <c r="P399" s="49" t="s">
        <v>26</v>
      </c>
      <c r="Q399" s="166" t="s">
        <v>2250</v>
      </c>
      <c r="R399" s="151"/>
    </row>
    <row r="400" spans="1:18">
      <c r="A400" s="101" t="s">
        <v>33</v>
      </c>
      <c r="B400" s="101" t="s">
        <v>200</v>
      </c>
      <c r="C400" s="164" t="s">
        <v>2251</v>
      </c>
      <c r="D400" s="161" t="s">
        <v>2252</v>
      </c>
      <c r="E400" s="161" t="s">
        <v>1291</v>
      </c>
      <c r="F400" s="161" t="s">
        <v>2243</v>
      </c>
      <c r="G400" s="163">
        <v>143.471</v>
      </c>
      <c r="H400" s="163">
        <f t="shared" si="32"/>
        <v>36.373</v>
      </c>
      <c r="I400" s="163">
        <v>780</v>
      </c>
      <c r="J400" s="163">
        <v>39283</v>
      </c>
      <c r="K400" s="163">
        <f t="shared" si="31"/>
        <v>154948</v>
      </c>
      <c r="L400" s="174"/>
      <c r="M400" s="161" t="s">
        <v>2232</v>
      </c>
      <c r="N400" s="161" t="s">
        <v>1901</v>
      </c>
      <c r="O400" s="161" t="s">
        <v>26</v>
      </c>
      <c r="P400" s="49" t="s">
        <v>26</v>
      </c>
      <c r="Q400" s="166" t="s">
        <v>2253</v>
      </c>
      <c r="R400" s="151"/>
    </row>
    <row r="401" ht="30" spans="1:18">
      <c r="A401" s="101" t="s">
        <v>33</v>
      </c>
      <c r="B401" s="101" t="s">
        <v>200</v>
      </c>
      <c r="C401" s="164" t="s">
        <v>2243</v>
      </c>
      <c r="D401" s="161" t="s">
        <v>2254</v>
      </c>
      <c r="E401" s="161" t="s">
        <v>1291</v>
      </c>
      <c r="F401" s="161" t="s">
        <v>2243</v>
      </c>
      <c r="G401" s="163">
        <v>173.101</v>
      </c>
      <c r="H401" s="163">
        <f t="shared" si="32"/>
        <v>29.63</v>
      </c>
      <c r="I401" s="163">
        <v>390</v>
      </c>
      <c r="J401" s="163">
        <v>33827</v>
      </c>
      <c r="K401" s="163">
        <f t="shared" si="31"/>
        <v>188775</v>
      </c>
      <c r="L401" s="174" t="s">
        <v>2255</v>
      </c>
      <c r="M401" s="161" t="s">
        <v>2232</v>
      </c>
      <c r="N401" s="161" t="s">
        <v>1295</v>
      </c>
      <c r="O401" s="161" t="s">
        <v>6</v>
      </c>
      <c r="P401" s="49" t="s">
        <v>6</v>
      </c>
      <c r="Q401" s="166" t="s">
        <v>2256</v>
      </c>
      <c r="R401" s="151"/>
    </row>
    <row r="402" spans="1:18">
      <c r="A402" s="101" t="s">
        <v>33</v>
      </c>
      <c r="B402" s="101" t="s">
        <v>200</v>
      </c>
      <c r="C402" s="164" t="s">
        <v>2257</v>
      </c>
      <c r="D402" s="161" t="s">
        <v>2258</v>
      </c>
      <c r="E402" s="161" t="s">
        <v>1291</v>
      </c>
      <c r="F402" s="161" t="s">
        <v>2243</v>
      </c>
      <c r="G402" s="163">
        <v>205.101</v>
      </c>
      <c r="H402" s="163">
        <f t="shared" si="32"/>
        <v>32</v>
      </c>
      <c r="I402" s="163">
        <v>369</v>
      </c>
      <c r="J402" s="163">
        <v>34917</v>
      </c>
      <c r="K402" s="163">
        <f t="shared" si="31"/>
        <v>223692</v>
      </c>
      <c r="L402" s="174"/>
      <c r="M402" s="161" t="s">
        <v>2232</v>
      </c>
      <c r="N402" s="161" t="s">
        <v>1901</v>
      </c>
      <c r="O402" s="161" t="s">
        <v>26</v>
      </c>
      <c r="P402" s="49" t="s">
        <v>26</v>
      </c>
      <c r="Q402" s="166" t="s">
        <v>2259</v>
      </c>
      <c r="R402" s="151"/>
    </row>
    <row r="403" spans="1:18">
      <c r="A403" s="101" t="s">
        <v>33</v>
      </c>
      <c r="B403" s="101" t="s">
        <v>200</v>
      </c>
      <c r="C403" s="164" t="s">
        <v>2260</v>
      </c>
      <c r="D403" s="161" t="s">
        <v>2261</v>
      </c>
      <c r="E403" s="161" t="s">
        <v>1291</v>
      </c>
      <c r="F403" s="161" t="s">
        <v>2243</v>
      </c>
      <c r="G403" s="163">
        <v>230.101</v>
      </c>
      <c r="H403" s="163">
        <f t="shared" si="32"/>
        <v>25</v>
      </c>
      <c r="I403" s="163">
        <v>331</v>
      </c>
      <c r="J403" s="163">
        <v>27280</v>
      </c>
      <c r="K403" s="163">
        <f t="shared" si="31"/>
        <v>250972</v>
      </c>
      <c r="L403" s="174"/>
      <c r="M403" s="161" t="s">
        <v>2232</v>
      </c>
      <c r="N403" s="161" t="s">
        <v>1901</v>
      </c>
      <c r="O403" s="161" t="s">
        <v>26</v>
      </c>
      <c r="P403" s="49" t="s">
        <v>26</v>
      </c>
      <c r="Q403" s="166" t="s">
        <v>2262</v>
      </c>
      <c r="R403" s="151"/>
    </row>
    <row r="404" spans="1:18">
      <c r="A404" s="101" t="s">
        <v>33</v>
      </c>
      <c r="B404" s="101" t="s">
        <v>200</v>
      </c>
      <c r="C404" s="164" t="s">
        <v>2263</v>
      </c>
      <c r="D404" s="161" t="s">
        <v>1324</v>
      </c>
      <c r="E404" s="161" t="s">
        <v>1291</v>
      </c>
      <c r="F404" s="161" t="s">
        <v>2243</v>
      </c>
      <c r="G404" s="163">
        <v>259.101</v>
      </c>
      <c r="H404" s="163">
        <f t="shared" si="32"/>
        <v>29</v>
      </c>
      <c r="I404" s="163">
        <v>327</v>
      </c>
      <c r="J404" s="163">
        <v>31644</v>
      </c>
      <c r="K404" s="163">
        <f t="shared" si="31"/>
        <v>282616</v>
      </c>
      <c r="L404" s="174"/>
      <c r="M404" s="161" t="s">
        <v>2232</v>
      </c>
      <c r="N404" s="161" t="s">
        <v>1299</v>
      </c>
      <c r="O404" s="161" t="s">
        <v>25</v>
      </c>
      <c r="P404" s="49" t="s">
        <v>25</v>
      </c>
      <c r="Q404" s="166" t="s">
        <v>2264</v>
      </c>
      <c r="R404" s="151"/>
    </row>
    <row r="405" spans="1:18">
      <c r="A405" s="101" t="s">
        <v>33</v>
      </c>
      <c r="B405" s="101" t="s">
        <v>200</v>
      </c>
      <c r="C405" s="164" t="s">
        <v>2265</v>
      </c>
      <c r="D405" s="161" t="s">
        <v>2266</v>
      </c>
      <c r="E405" s="161" t="s">
        <v>1291</v>
      </c>
      <c r="F405" s="161" t="s">
        <v>2267</v>
      </c>
      <c r="G405" s="163">
        <v>287.101</v>
      </c>
      <c r="H405" s="163">
        <f t="shared" si="32"/>
        <v>28</v>
      </c>
      <c r="I405" s="163">
        <v>513</v>
      </c>
      <c r="J405" s="163">
        <v>30553</v>
      </c>
      <c r="K405" s="163">
        <f t="shared" si="31"/>
        <v>313169</v>
      </c>
      <c r="L405" s="174"/>
      <c r="M405" s="161" t="s">
        <v>2232</v>
      </c>
      <c r="N405" s="161" t="s">
        <v>1901</v>
      </c>
      <c r="O405" s="161" t="s">
        <v>26</v>
      </c>
      <c r="P405" s="49" t="s">
        <v>26</v>
      </c>
      <c r="Q405" s="166" t="s">
        <v>2268</v>
      </c>
      <c r="R405" s="151"/>
    </row>
    <row r="406" spans="1:18">
      <c r="A406" s="101" t="s">
        <v>33</v>
      </c>
      <c r="B406" s="101" t="s">
        <v>200</v>
      </c>
      <c r="C406" s="164" t="s">
        <v>2269</v>
      </c>
      <c r="D406" s="161" t="s">
        <v>2270</v>
      </c>
      <c r="E406" s="161" t="s">
        <v>1291</v>
      </c>
      <c r="F406" s="161" t="s">
        <v>2267</v>
      </c>
      <c r="G406" s="163">
        <v>317.101</v>
      </c>
      <c r="H406" s="163">
        <f t="shared" si="32"/>
        <v>30</v>
      </c>
      <c r="I406" s="163">
        <v>575</v>
      </c>
      <c r="J406" s="163">
        <v>32736</v>
      </c>
      <c r="K406" s="163">
        <f t="shared" si="31"/>
        <v>345905</v>
      </c>
      <c r="L406" s="174"/>
      <c r="M406" s="161" t="s">
        <v>2232</v>
      </c>
      <c r="N406" s="161" t="s">
        <v>1901</v>
      </c>
      <c r="O406" s="161" t="s">
        <v>26</v>
      </c>
      <c r="P406" s="49" t="s">
        <v>26</v>
      </c>
      <c r="Q406" s="166" t="s">
        <v>2271</v>
      </c>
      <c r="R406" s="151"/>
    </row>
    <row r="407" ht="30" spans="1:18">
      <c r="A407" s="101" t="s">
        <v>33</v>
      </c>
      <c r="B407" s="101" t="s">
        <v>200</v>
      </c>
      <c r="C407" s="164" t="s">
        <v>2272</v>
      </c>
      <c r="D407" s="161" t="s">
        <v>2273</v>
      </c>
      <c r="E407" s="161" t="s">
        <v>1291</v>
      </c>
      <c r="F407" s="161" t="s">
        <v>2267</v>
      </c>
      <c r="G407" s="163">
        <v>350.101</v>
      </c>
      <c r="H407" s="163">
        <f t="shared" si="32"/>
        <v>33</v>
      </c>
      <c r="I407" s="163">
        <v>570</v>
      </c>
      <c r="J407" s="163">
        <v>36009</v>
      </c>
      <c r="K407" s="163">
        <f t="shared" si="31"/>
        <v>381914</v>
      </c>
      <c r="L407" s="174" t="s">
        <v>2255</v>
      </c>
      <c r="M407" s="161" t="s">
        <v>2232</v>
      </c>
      <c r="N407" s="161" t="s">
        <v>1295</v>
      </c>
      <c r="O407" s="161" t="s">
        <v>6</v>
      </c>
      <c r="P407" s="49" t="s">
        <v>6</v>
      </c>
      <c r="Q407" s="166" t="s">
        <v>2274</v>
      </c>
      <c r="R407" s="151"/>
    </row>
    <row r="408" spans="1:18">
      <c r="A408" s="101" t="s">
        <v>33</v>
      </c>
      <c r="B408" s="101" t="s">
        <v>200</v>
      </c>
      <c r="C408" s="164" t="s">
        <v>2275</v>
      </c>
      <c r="D408" s="161" t="s">
        <v>1338</v>
      </c>
      <c r="E408" s="161" t="s">
        <v>1291</v>
      </c>
      <c r="F408" s="161" t="s">
        <v>2267</v>
      </c>
      <c r="G408" s="163">
        <v>377.101</v>
      </c>
      <c r="H408" s="163">
        <f t="shared" si="32"/>
        <v>27</v>
      </c>
      <c r="I408" s="163">
        <v>632</v>
      </c>
      <c r="J408" s="163">
        <v>29462</v>
      </c>
      <c r="K408" s="163">
        <f t="shared" si="31"/>
        <v>411376</v>
      </c>
      <c r="L408" s="174"/>
      <c r="M408" s="161" t="s">
        <v>2232</v>
      </c>
      <c r="N408" s="161" t="s">
        <v>1299</v>
      </c>
      <c r="O408" s="161" t="s">
        <v>26</v>
      </c>
      <c r="P408" s="49" t="s">
        <v>25</v>
      </c>
      <c r="Q408" s="166" t="s">
        <v>2276</v>
      </c>
      <c r="R408" s="151"/>
    </row>
    <row r="409" spans="1:18">
      <c r="A409" s="101" t="s">
        <v>33</v>
      </c>
      <c r="B409" s="101" t="s">
        <v>200</v>
      </c>
      <c r="C409" s="164" t="s">
        <v>211</v>
      </c>
      <c r="D409" s="161" t="s">
        <v>211</v>
      </c>
      <c r="E409" s="161" t="s">
        <v>1291</v>
      </c>
      <c r="F409" s="161" t="s">
        <v>2277</v>
      </c>
      <c r="G409" s="163">
        <v>408.101</v>
      </c>
      <c r="H409" s="163">
        <f t="shared" si="32"/>
        <v>31</v>
      </c>
      <c r="I409" s="163">
        <v>546</v>
      </c>
      <c r="J409" s="163">
        <v>33826</v>
      </c>
      <c r="K409" s="163">
        <f t="shared" si="31"/>
        <v>445202</v>
      </c>
      <c r="L409" s="174"/>
      <c r="M409" s="161" t="s">
        <v>2232</v>
      </c>
      <c r="N409" s="161" t="s">
        <v>1331</v>
      </c>
      <c r="O409" s="161" t="s">
        <v>14</v>
      </c>
      <c r="P409" s="49" t="s">
        <v>14</v>
      </c>
      <c r="Q409" s="166" t="s">
        <v>2278</v>
      </c>
      <c r="R409" s="151"/>
    </row>
    <row r="410" spans="1:18">
      <c r="A410" s="101" t="s">
        <v>33</v>
      </c>
      <c r="B410" s="101" t="s">
        <v>200</v>
      </c>
      <c r="C410" s="164" t="s">
        <v>2279</v>
      </c>
      <c r="D410" s="161" t="s">
        <v>2280</v>
      </c>
      <c r="E410" s="161" t="s">
        <v>1291</v>
      </c>
      <c r="F410" s="161" t="s">
        <v>2277</v>
      </c>
      <c r="G410" s="163">
        <v>433.101</v>
      </c>
      <c r="H410" s="163">
        <f t="shared" si="32"/>
        <v>25</v>
      </c>
      <c r="I410" s="163">
        <v>562</v>
      </c>
      <c r="J410" s="163">
        <v>27280</v>
      </c>
      <c r="K410" s="163">
        <f t="shared" si="31"/>
        <v>472482</v>
      </c>
      <c r="L410" s="174"/>
      <c r="M410" s="161" t="s">
        <v>2232</v>
      </c>
      <c r="N410" s="161" t="s">
        <v>1901</v>
      </c>
      <c r="O410" s="161" t="s">
        <v>26</v>
      </c>
      <c r="P410" s="49" t="s">
        <v>26</v>
      </c>
      <c r="Q410" s="166" t="s">
        <v>2281</v>
      </c>
      <c r="R410" s="151"/>
    </row>
    <row r="411" spans="1:18">
      <c r="A411" s="101" t="s">
        <v>33</v>
      </c>
      <c r="B411" s="101" t="s">
        <v>200</v>
      </c>
      <c r="C411" s="164" t="s">
        <v>2282</v>
      </c>
      <c r="D411" s="161" t="s">
        <v>2283</v>
      </c>
      <c r="E411" s="161" t="s">
        <v>1291</v>
      </c>
      <c r="F411" s="161" t="s">
        <v>2277</v>
      </c>
      <c r="G411" s="163">
        <v>463.101</v>
      </c>
      <c r="H411" s="163">
        <f t="shared" si="32"/>
        <v>30</v>
      </c>
      <c r="I411" s="163">
        <v>568</v>
      </c>
      <c r="J411" s="163">
        <v>33827</v>
      </c>
      <c r="K411" s="163">
        <f t="shared" si="31"/>
        <v>506309</v>
      </c>
      <c r="L411" s="174"/>
      <c r="M411" s="161" t="s">
        <v>2232</v>
      </c>
      <c r="N411" s="161" t="s">
        <v>1901</v>
      </c>
      <c r="O411" s="161" t="s">
        <v>26</v>
      </c>
      <c r="P411" s="49" t="s">
        <v>26</v>
      </c>
      <c r="Q411" s="166" t="s">
        <v>2284</v>
      </c>
      <c r="R411" s="151"/>
    </row>
    <row r="412" spans="1:18">
      <c r="A412" s="101" t="s">
        <v>33</v>
      </c>
      <c r="B412" s="101" t="s">
        <v>200</v>
      </c>
      <c r="C412" s="164" t="s">
        <v>2285</v>
      </c>
      <c r="D412" s="161" t="s">
        <v>2286</v>
      </c>
      <c r="E412" s="161" t="s">
        <v>1291</v>
      </c>
      <c r="F412" s="161" t="s">
        <v>2277</v>
      </c>
      <c r="G412" s="163">
        <v>496.101</v>
      </c>
      <c r="H412" s="163">
        <f t="shared" si="32"/>
        <v>33</v>
      </c>
      <c r="I412" s="163">
        <v>528</v>
      </c>
      <c r="J412" s="163">
        <v>36009</v>
      </c>
      <c r="K412" s="163">
        <f t="shared" si="31"/>
        <v>542318</v>
      </c>
      <c r="L412" s="174"/>
      <c r="M412" s="161" t="s">
        <v>2232</v>
      </c>
      <c r="N412" s="161" t="s">
        <v>1901</v>
      </c>
      <c r="O412" s="161" t="s">
        <v>26</v>
      </c>
      <c r="P412" s="49" t="s">
        <v>26</v>
      </c>
      <c r="Q412" s="166" t="s">
        <v>2287</v>
      </c>
      <c r="R412" s="151"/>
    </row>
    <row r="413" ht="30" spans="1:18">
      <c r="A413" s="101" t="s">
        <v>33</v>
      </c>
      <c r="B413" s="101" t="s">
        <v>200</v>
      </c>
      <c r="C413" s="164" t="s">
        <v>2288</v>
      </c>
      <c r="D413" s="161" t="s">
        <v>2289</v>
      </c>
      <c r="E413" s="161" t="s">
        <v>1291</v>
      </c>
      <c r="F413" s="161" t="s">
        <v>2290</v>
      </c>
      <c r="G413" s="163">
        <v>527.101</v>
      </c>
      <c r="H413" s="163">
        <f t="shared" si="32"/>
        <v>31</v>
      </c>
      <c r="I413" s="163">
        <v>590</v>
      </c>
      <c r="J413" s="163">
        <v>33826</v>
      </c>
      <c r="K413" s="163">
        <f t="shared" si="31"/>
        <v>576144</v>
      </c>
      <c r="L413" s="174" t="s">
        <v>2291</v>
      </c>
      <c r="M413" s="161" t="s">
        <v>2232</v>
      </c>
      <c r="N413" s="161" t="s">
        <v>1295</v>
      </c>
      <c r="O413" s="161" t="s">
        <v>6</v>
      </c>
      <c r="P413" s="49" t="s">
        <v>6</v>
      </c>
      <c r="Q413" s="166" t="s">
        <v>2292</v>
      </c>
      <c r="R413" s="151"/>
    </row>
    <row r="414" spans="1:18">
      <c r="A414" s="101" t="s">
        <v>33</v>
      </c>
      <c r="B414" s="101" t="s">
        <v>200</v>
      </c>
      <c r="C414" s="164" t="s">
        <v>2293</v>
      </c>
      <c r="D414" s="161" t="s">
        <v>2294</v>
      </c>
      <c r="E414" s="161" t="s">
        <v>1291</v>
      </c>
      <c r="F414" s="161" t="s">
        <v>2290</v>
      </c>
      <c r="G414" s="163">
        <v>556.101</v>
      </c>
      <c r="H414" s="163">
        <f t="shared" si="32"/>
        <v>29</v>
      </c>
      <c r="I414" s="163">
        <v>601</v>
      </c>
      <c r="J414" s="163">
        <v>33827</v>
      </c>
      <c r="K414" s="163">
        <f t="shared" si="31"/>
        <v>609971</v>
      </c>
      <c r="L414" s="174"/>
      <c r="M414" s="161" t="s">
        <v>2232</v>
      </c>
      <c r="N414" s="161" t="s">
        <v>1901</v>
      </c>
      <c r="O414" s="161" t="s">
        <v>26</v>
      </c>
      <c r="P414" s="49" t="s">
        <v>26</v>
      </c>
      <c r="Q414" s="166" t="s">
        <v>2295</v>
      </c>
      <c r="R414" s="151"/>
    </row>
    <row r="415" spans="1:18">
      <c r="A415" s="101" t="s">
        <v>33</v>
      </c>
      <c r="B415" s="101" t="s">
        <v>200</v>
      </c>
      <c r="C415" s="164" t="s">
        <v>2296</v>
      </c>
      <c r="D415" s="161" t="s">
        <v>2297</v>
      </c>
      <c r="E415" s="161" t="s">
        <v>1291</v>
      </c>
      <c r="F415" s="161" t="s">
        <v>2298</v>
      </c>
      <c r="G415" s="163">
        <v>586.101</v>
      </c>
      <c r="H415" s="163">
        <f t="shared" si="32"/>
        <v>30</v>
      </c>
      <c r="I415" s="163">
        <v>654</v>
      </c>
      <c r="J415" s="163">
        <v>33826</v>
      </c>
      <c r="K415" s="163">
        <f t="shared" si="31"/>
        <v>643797</v>
      </c>
      <c r="L415" s="174"/>
      <c r="M415" s="161" t="s">
        <v>2232</v>
      </c>
      <c r="N415" s="161" t="s">
        <v>1901</v>
      </c>
      <c r="O415" s="161" t="s">
        <v>26</v>
      </c>
      <c r="P415" s="49" t="s">
        <v>26</v>
      </c>
      <c r="Q415" s="166" t="s">
        <v>2299</v>
      </c>
      <c r="R415" s="151"/>
    </row>
    <row r="416" ht="30" spans="1:18">
      <c r="A416" s="101" t="s">
        <v>33</v>
      </c>
      <c r="B416" s="101" t="s">
        <v>200</v>
      </c>
      <c r="C416" s="164" t="s">
        <v>2300</v>
      </c>
      <c r="D416" s="161" t="s">
        <v>2301</v>
      </c>
      <c r="E416" s="161" t="s">
        <v>1291</v>
      </c>
      <c r="F416" s="161" t="s">
        <v>2302</v>
      </c>
      <c r="G416" s="163">
        <v>608.101</v>
      </c>
      <c r="H416" s="163">
        <f t="shared" si="32"/>
        <v>22</v>
      </c>
      <c r="I416" s="163">
        <v>688</v>
      </c>
      <c r="J416" s="163">
        <v>20733</v>
      </c>
      <c r="K416" s="163">
        <f t="shared" si="31"/>
        <v>664530</v>
      </c>
      <c r="L416" s="174" t="s">
        <v>2255</v>
      </c>
      <c r="M416" s="161" t="s">
        <v>2232</v>
      </c>
      <c r="N416" s="161" t="s">
        <v>1295</v>
      </c>
      <c r="O416" s="161" t="s">
        <v>14</v>
      </c>
      <c r="P416" s="49" t="s">
        <v>14</v>
      </c>
      <c r="Q416" s="166" t="s">
        <v>2303</v>
      </c>
      <c r="R416" s="151"/>
    </row>
    <row r="417" ht="30" spans="1:18">
      <c r="A417" s="101" t="s">
        <v>33</v>
      </c>
      <c r="B417" s="101" t="s">
        <v>200</v>
      </c>
      <c r="C417" s="161" t="s">
        <v>2302</v>
      </c>
      <c r="D417" s="135" t="s">
        <v>2302</v>
      </c>
      <c r="E417" s="161" t="s">
        <v>1291</v>
      </c>
      <c r="F417" s="161" t="s">
        <v>2302</v>
      </c>
      <c r="G417" s="163">
        <v>608.101</v>
      </c>
      <c r="H417" s="163">
        <f t="shared" si="32"/>
        <v>0</v>
      </c>
      <c r="I417" s="163" t="s">
        <v>147</v>
      </c>
      <c r="J417" s="163" t="s">
        <v>147</v>
      </c>
      <c r="K417" s="163" t="s">
        <v>147</v>
      </c>
      <c r="L417" s="174"/>
      <c r="M417" s="161" t="e">
        <v>#N/A</v>
      </c>
      <c r="N417" s="161"/>
      <c r="O417" s="161"/>
      <c r="P417" s="49"/>
      <c r="Q417" s="166"/>
      <c r="R417" s="151"/>
    </row>
    <row r="418" spans="1:18">
      <c r="A418" s="101" t="s">
        <v>33</v>
      </c>
      <c r="B418" s="101" t="s">
        <v>200</v>
      </c>
      <c r="C418" s="164" t="s">
        <v>2304</v>
      </c>
      <c r="D418" s="135" t="s">
        <v>1361</v>
      </c>
      <c r="E418" s="161" t="s">
        <v>1291</v>
      </c>
      <c r="F418" s="161" t="s">
        <v>2298</v>
      </c>
      <c r="G418" s="163">
        <v>642.101</v>
      </c>
      <c r="H418" s="163">
        <f>G418-G416</f>
        <v>34</v>
      </c>
      <c r="I418" s="163">
        <v>1133</v>
      </c>
      <c r="J418" s="163">
        <v>36009</v>
      </c>
      <c r="K418" s="163">
        <f>J418+K416</f>
        <v>700539</v>
      </c>
      <c r="L418" s="174"/>
      <c r="M418" s="161" t="s">
        <v>2232</v>
      </c>
      <c r="N418" s="161" t="s">
        <v>1299</v>
      </c>
      <c r="O418" s="161" t="s">
        <v>26</v>
      </c>
      <c r="P418" s="49" t="s">
        <v>25</v>
      </c>
      <c r="Q418" s="166" t="s">
        <v>2305</v>
      </c>
      <c r="R418" s="151"/>
    </row>
    <row r="419" ht="30" spans="1:18">
      <c r="A419" s="101" t="s">
        <v>33</v>
      </c>
      <c r="B419" s="101" t="s">
        <v>200</v>
      </c>
      <c r="C419" s="164" t="s">
        <v>2306</v>
      </c>
      <c r="D419" s="135" t="s">
        <v>2307</v>
      </c>
      <c r="E419" s="161" t="s">
        <v>1291</v>
      </c>
      <c r="F419" s="161" t="s">
        <v>2308</v>
      </c>
      <c r="G419" s="163">
        <v>672.101</v>
      </c>
      <c r="H419" s="163">
        <f t="shared" ref="H419:H427" si="33">G419-G418</f>
        <v>30</v>
      </c>
      <c r="I419" s="174">
        <v>1188</v>
      </c>
      <c r="J419" s="174">
        <v>33827</v>
      </c>
      <c r="K419" s="174">
        <f t="shared" ref="K419:K428" si="34">J419+K418</f>
        <v>734366</v>
      </c>
      <c r="L419" s="174" t="s">
        <v>2255</v>
      </c>
      <c r="M419" s="161" t="s">
        <v>2232</v>
      </c>
      <c r="N419" s="161" t="s">
        <v>1295</v>
      </c>
      <c r="O419" s="161" t="s">
        <v>6</v>
      </c>
      <c r="P419" s="49" t="s">
        <v>6</v>
      </c>
      <c r="Q419" s="166" t="s">
        <v>2309</v>
      </c>
      <c r="R419" s="151"/>
    </row>
    <row r="420" spans="1:18">
      <c r="A420" s="101" t="s">
        <v>33</v>
      </c>
      <c r="B420" s="101" t="s">
        <v>200</v>
      </c>
      <c r="C420" s="164" t="s">
        <v>2310</v>
      </c>
      <c r="D420" s="135" t="s">
        <v>2311</v>
      </c>
      <c r="E420" s="161" t="s">
        <v>1291</v>
      </c>
      <c r="F420" s="161" t="s">
        <v>2308</v>
      </c>
      <c r="G420" s="163">
        <v>704.101</v>
      </c>
      <c r="H420" s="163">
        <f t="shared" si="33"/>
        <v>32</v>
      </c>
      <c r="I420" s="163">
        <v>1178</v>
      </c>
      <c r="J420" s="163">
        <v>28370</v>
      </c>
      <c r="K420" s="163">
        <f t="shared" si="34"/>
        <v>762736</v>
      </c>
      <c r="L420" s="174"/>
      <c r="M420" s="161" t="s">
        <v>2232</v>
      </c>
      <c r="N420" s="161" t="s">
        <v>1901</v>
      </c>
      <c r="O420" s="161" t="s">
        <v>26</v>
      </c>
      <c r="P420" s="49" t="s">
        <v>26</v>
      </c>
      <c r="Q420" s="166" t="s">
        <v>2312</v>
      </c>
      <c r="R420" s="151"/>
    </row>
    <row r="421" spans="1:18">
      <c r="A421" s="101" t="s">
        <v>33</v>
      </c>
      <c r="B421" s="101" t="s">
        <v>200</v>
      </c>
      <c r="C421" s="164" t="s">
        <v>2313</v>
      </c>
      <c r="D421" s="135" t="s">
        <v>2314</v>
      </c>
      <c r="E421" s="161" t="s">
        <v>1291</v>
      </c>
      <c r="F421" s="161" t="s">
        <v>2308</v>
      </c>
      <c r="G421" s="163">
        <v>734.101</v>
      </c>
      <c r="H421" s="163">
        <f t="shared" si="33"/>
        <v>30</v>
      </c>
      <c r="I421" s="163">
        <v>1142</v>
      </c>
      <c r="J421" s="163">
        <v>32736</v>
      </c>
      <c r="K421" s="163">
        <f t="shared" si="34"/>
        <v>795472</v>
      </c>
      <c r="L421" s="174"/>
      <c r="M421" s="161" t="s">
        <v>2232</v>
      </c>
      <c r="N421" s="161" t="s">
        <v>1901</v>
      </c>
      <c r="O421" s="161" t="s">
        <v>26</v>
      </c>
      <c r="P421" s="49" t="s">
        <v>26</v>
      </c>
      <c r="Q421" s="166" t="s">
        <v>2315</v>
      </c>
      <c r="R421" s="151"/>
    </row>
    <row r="422" spans="1:18">
      <c r="A422" s="101" t="s">
        <v>33</v>
      </c>
      <c r="B422" s="101" t="s">
        <v>200</v>
      </c>
      <c r="C422" s="164" t="s">
        <v>2316</v>
      </c>
      <c r="D422" s="135" t="s">
        <v>2317</v>
      </c>
      <c r="E422" s="161" t="s">
        <v>1291</v>
      </c>
      <c r="F422" s="161" t="s">
        <v>2318</v>
      </c>
      <c r="G422" s="163">
        <v>754.301</v>
      </c>
      <c r="H422" s="163">
        <f t="shared" si="33"/>
        <v>20.2</v>
      </c>
      <c r="I422" s="163">
        <v>993</v>
      </c>
      <c r="J422" s="163">
        <v>21823</v>
      </c>
      <c r="K422" s="163">
        <f t="shared" si="34"/>
        <v>817295</v>
      </c>
      <c r="L422" s="174"/>
      <c r="M422" s="161" t="s">
        <v>2232</v>
      </c>
      <c r="N422" s="161" t="s">
        <v>1901</v>
      </c>
      <c r="O422" s="161" t="s">
        <v>26</v>
      </c>
      <c r="P422" s="49" t="s">
        <v>26</v>
      </c>
      <c r="Q422" s="166" t="s">
        <v>2319</v>
      </c>
      <c r="R422" s="151"/>
    </row>
    <row r="423" ht="30" spans="1:18">
      <c r="A423" s="101" t="s">
        <v>33</v>
      </c>
      <c r="B423" s="101" t="s">
        <v>200</v>
      </c>
      <c r="C423" s="164" t="s">
        <v>243</v>
      </c>
      <c r="D423" s="135" t="s">
        <v>2320</v>
      </c>
      <c r="E423" s="161" t="s">
        <v>1291</v>
      </c>
      <c r="F423" s="161" t="s">
        <v>2318</v>
      </c>
      <c r="G423" s="163">
        <v>780.101</v>
      </c>
      <c r="H423" s="163">
        <f t="shared" si="33"/>
        <v>25.8</v>
      </c>
      <c r="I423" s="163">
        <v>626</v>
      </c>
      <c r="J423" s="163">
        <v>34918</v>
      </c>
      <c r="K423" s="163">
        <f t="shared" si="34"/>
        <v>852213</v>
      </c>
      <c r="L423" s="174" t="s">
        <v>2255</v>
      </c>
      <c r="M423" s="161" t="s">
        <v>2232</v>
      </c>
      <c r="N423" s="161" t="s">
        <v>1295</v>
      </c>
      <c r="O423" s="161" t="s">
        <v>6</v>
      </c>
      <c r="P423" s="49" t="s">
        <v>6</v>
      </c>
      <c r="Q423" s="166" t="s">
        <v>2321</v>
      </c>
      <c r="R423" s="151"/>
    </row>
    <row r="424" spans="1:18">
      <c r="A424" s="101" t="s">
        <v>33</v>
      </c>
      <c r="B424" s="101" t="s">
        <v>200</v>
      </c>
      <c r="C424" s="164" t="s">
        <v>2322</v>
      </c>
      <c r="D424" s="135" t="s">
        <v>2323</v>
      </c>
      <c r="E424" s="161" t="s">
        <v>1291</v>
      </c>
      <c r="F424" s="161" t="s">
        <v>2318</v>
      </c>
      <c r="G424" s="163">
        <v>810.101</v>
      </c>
      <c r="H424" s="163">
        <f t="shared" si="33"/>
        <v>30</v>
      </c>
      <c r="I424" s="163">
        <v>344</v>
      </c>
      <c r="J424" s="163">
        <v>37100</v>
      </c>
      <c r="K424" s="163">
        <f t="shared" si="34"/>
        <v>889313</v>
      </c>
      <c r="L424" s="174"/>
      <c r="M424" s="161" t="s">
        <v>2232</v>
      </c>
      <c r="N424" s="161" t="s">
        <v>1901</v>
      </c>
      <c r="O424" s="161" t="s">
        <v>26</v>
      </c>
      <c r="P424" s="49" t="s">
        <v>26</v>
      </c>
      <c r="Q424" s="166" t="s">
        <v>2324</v>
      </c>
      <c r="R424" s="151"/>
    </row>
    <row r="425" spans="1:18">
      <c r="A425" s="101" t="s">
        <v>33</v>
      </c>
      <c r="B425" s="101" t="s">
        <v>200</v>
      </c>
      <c r="C425" s="164" t="s">
        <v>2325</v>
      </c>
      <c r="D425" s="135" t="s">
        <v>2326</v>
      </c>
      <c r="E425" s="161" t="s">
        <v>1291</v>
      </c>
      <c r="F425" s="161" t="s">
        <v>2318</v>
      </c>
      <c r="G425" s="163">
        <v>843.101</v>
      </c>
      <c r="H425" s="163">
        <f t="shared" si="33"/>
        <v>33</v>
      </c>
      <c r="I425" s="163">
        <v>417</v>
      </c>
      <c r="J425" s="163">
        <v>36009</v>
      </c>
      <c r="K425" s="163">
        <f t="shared" si="34"/>
        <v>925322</v>
      </c>
      <c r="L425" s="174"/>
      <c r="M425" s="161" t="s">
        <v>2232</v>
      </c>
      <c r="N425" s="161" t="s">
        <v>1901</v>
      </c>
      <c r="O425" s="161" t="s">
        <v>26</v>
      </c>
      <c r="P425" s="49" t="s">
        <v>26</v>
      </c>
      <c r="Q425" s="166" t="s">
        <v>2327</v>
      </c>
      <c r="R425" s="151"/>
    </row>
    <row r="426" ht="30" spans="1:18">
      <c r="A426" s="101" t="s">
        <v>33</v>
      </c>
      <c r="B426" s="101" t="s">
        <v>200</v>
      </c>
      <c r="C426" s="164" t="s">
        <v>2328</v>
      </c>
      <c r="D426" s="135" t="s">
        <v>2329</v>
      </c>
      <c r="E426" s="161" t="s">
        <v>1291</v>
      </c>
      <c r="F426" s="161" t="s">
        <v>2318</v>
      </c>
      <c r="G426" s="163">
        <v>875.101</v>
      </c>
      <c r="H426" s="163">
        <f t="shared" si="33"/>
        <v>32</v>
      </c>
      <c r="I426" s="163">
        <v>680</v>
      </c>
      <c r="J426" s="163">
        <v>30554</v>
      </c>
      <c r="K426" s="163">
        <f t="shared" si="34"/>
        <v>955876</v>
      </c>
      <c r="L426" s="174" t="s">
        <v>2255</v>
      </c>
      <c r="M426" s="161" t="s">
        <v>2232</v>
      </c>
      <c r="N426" s="161" t="s">
        <v>1295</v>
      </c>
      <c r="O426" s="161" t="s">
        <v>6</v>
      </c>
      <c r="P426" s="49" t="s">
        <v>6</v>
      </c>
      <c r="Q426" s="166" t="s">
        <v>2330</v>
      </c>
      <c r="R426" s="151"/>
    </row>
    <row r="427" spans="1:18">
      <c r="A427" s="101" t="s">
        <v>33</v>
      </c>
      <c r="B427" s="101" t="s">
        <v>200</v>
      </c>
      <c r="C427" s="164" t="s">
        <v>2331</v>
      </c>
      <c r="D427" s="135" t="s">
        <v>2332</v>
      </c>
      <c r="E427" s="161" t="s">
        <v>1291</v>
      </c>
      <c r="F427" s="161" t="s">
        <v>2333</v>
      </c>
      <c r="G427" s="163">
        <v>906.101</v>
      </c>
      <c r="H427" s="163">
        <f t="shared" si="33"/>
        <v>31</v>
      </c>
      <c r="I427" s="163">
        <v>769</v>
      </c>
      <c r="J427" s="163">
        <v>33826</v>
      </c>
      <c r="K427" s="163">
        <f t="shared" si="34"/>
        <v>989702</v>
      </c>
      <c r="L427" s="174"/>
      <c r="M427" s="161" t="s">
        <v>2232</v>
      </c>
      <c r="N427" s="161" t="s">
        <v>1901</v>
      </c>
      <c r="O427" s="161" t="s">
        <v>26</v>
      </c>
      <c r="P427" s="49" t="s">
        <v>26</v>
      </c>
      <c r="Q427" s="166" t="s">
        <v>2334</v>
      </c>
      <c r="R427" s="151"/>
    </row>
    <row r="428" spans="1:18">
      <c r="A428" s="101" t="s">
        <v>33</v>
      </c>
      <c r="B428" s="101" t="s">
        <v>200</v>
      </c>
      <c r="C428" s="164" t="s">
        <v>2335</v>
      </c>
      <c r="D428" s="135" t="s">
        <v>1378</v>
      </c>
      <c r="E428" s="161" t="s">
        <v>1291</v>
      </c>
      <c r="F428" s="161" t="s">
        <v>2333</v>
      </c>
      <c r="G428" s="163">
        <v>938.101</v>
      </c>
      <c r="H428" s="163"/>
      <c r="I428" s="163">
        <v>726</v>
      </c>
      <c r="J428" s="163">
        <v>34918</v>
      </c>
      <c r="K428" s="163">
        <f t="shared" si="34"/>
        <v>1024620</v>
      </c>
      <c r="L428" s="174"/>
      <c r="M428" s="161" t="s">
        <v>2232</v>
      </c>
      <c r="N428" s="161" t="s">
        <v>1299</v>
      </c>
      <c r="O428" s="161" t="s">
        <v>26</v>
      </c>
      <c r="P428" s="49" t="s">
        <v>25</v>
      </c>
      <c r="Q428" s="166" t="s">
        <v>2336</v>
      </c>
      <c r="R428" s="151"/>
    </row>
    <row r="429" spans="1:18">
      <c r="A429" s="101" t="s">
        <v>33</v>
      </c>
      <c r="B429" s="101" t="s">
        <v>200</v>
      </c>
      <c r="C429" s="164" t="s">
        <v>2337</v>
      </c>
      <c r="D429" s="135" t="s">
        <v>2337</v>
      </c>
      <c r="E429" s="161" t="s">
        <v>1291</v>
      </c>
      <c r="F429" s="161" t="s">
        <v>2333</v>
      </c>
      <c r="G429" s="163">
        <v>938.101</v>
      </c>
      <c r="H429" s="163">
        <f>G429-G427</f>
        <v>32</v>
      </c>
      <c r="I429" s="173"/>
      <c r="J429" s="173"/>
      <c r="K429" s="173"/>
      <c r="L429" s="174"/>
      <c r="M429" s="161" t="s">
        <v>2232</v>
      </c>
      <c r="N429" s="161"/>
      <c r="O429" s="161" t="s">
        <v>25</v>
      </c>
      <c r="P429" s="49" t="s">
        <v>25</v>
      </c>
      <c r="Q429" s="166" t="s">
        <v>2338</v>
      </c>
      <c r="R429" s="151"/>
    </row>
    <row r="430" spans="1:18">
      <c r="A430" s="101" t="s">
        <v>33</v>
      </c>
      <c r="B430" s="101" t="s">
        <v>200</v>
      </c>
      <c r="C430" s="164" t="s">
        <v>2339</v>
      </c>
      <c r="D430" s="135" t="s">
        <v>1380</v>
      </c>
      <c r="E430" s="161" t="s">
        <v>1291</v>
      </c>
      <c r="F430" s="161" t="s">
        <v>2333</v>
      </c>
      <c r="G430" s="163">
        <v>969.101</v>
      </c>
      <c r="H430" s="163">
        <f t="shared" ref="H430:H473" si="35">G430-G429</f>
        <v>31</v>
      </c>
      <c r="I430" s="163">
        <v>783</v>
      </c>
      <c r="J430" s="163">
        <v>34918</v>
      </c>
      <c r="K430" s="163">
        <f>J430+K428</f>
        <v>1059538</v>
      </c>
      <c r="L430" s="174"/>
      <c r="M430" s="161" t="s">
        <v>2232</v>
      </c>
      <c r="N430" s="161" t="s">
        <v>1299</v>
      </c>
      <c r="O430" s="161" t="s">
        <v>25</v>
      </c>
      <c r="P430" s="49" t="s">
        <v>25</v>
      </c>
      <c r="Q430" s="166" t="s">
        <v>2336</v>
      </c>
      <c r="R430" s="151"/>
    </row>
    <row r="431" spans="1:18">
      <c r="A431" s="101" t="s">
        <v>33</v>
      </c>
      <c r="B431" s="101" t="s">
        <v>200</v>
      </c>
      <c r="C431" s="164" t="s">
        <v>2340</v>
      </c>
      <c r="D431" s="135" t="s">
        <v>2341</v>
      </c>
      <c r="E431" s="161" t="s">
        <v>1291</v>
      </c>
      <c r="F431" s="161" t="s">
        <v>2333</v>
      </c>
      <c r="G431" s="163">
        <v>1000.101</v>
      </c>
      <c r="H431" s="163">
        <f t="shared" si="35"/>
        <v>31</v>
      </c>
      <c r="I431" s="163">
        <v>828</v>
      </c>
      <c r="J431" s="163">
        <v>33827</v>
      </c>
      <c r="K431" s="163">
        <f t="shared" ref="K431:K438" si="36">J431+K430</f>
        <v>1093365</v>
      </c>
      <c r="L431" s="174"/>
      <c r="M431" s="161" t="s">
        <v>2232</v>
      </c>
      <c r="N431" s="161" t="s">
        <v>1901</v>
      </c>
      <c r="O431" s="161" t="s">
        <v>26</v>
      </c>
      <c r="P431" s="49" t="s">
        <v>26</v>
      </c>
      <c r="Q431" s="166" t="s">
        <v>2342</v>
      </c>
      <c r="R431" s="151"/>
    </row>
    <row r="432" spans="1:18">
      <c r="A432" s="101" t="s">
        <v>33</v>
      </c>
      <c r="B432" s="101" t="s">
        <v>200</v>
      </c>
      <c r="C432" s="164" t="s">
        <v>2343</v>
      </c>
      <c r="D432" s="135" t="s">
        <v>2344</v>
      </c>
      <c r="E432" s="161" t="s">
        <v>1291</v>
      </c>
      <c r="F432" s="161" t="s">
        <v>2333</v>
      </c>
      <c r="G432" s="163">
        <v>1032.101</v>
      </c>
      <c r="H432" s="163">
        <f t="shared" si="35"/>
        <v>32.0000000000001</v>
      </c>
      <c r="I432" s="163">
        <v>690</v>
      </c>
      <c r="J432" s="163">
        <v>34917</v>
      </c>
      <c r="K432" s="163">
        <f t="shared" si="36"/>
        <v>1128282</v>
      </c>
      <c r="L432" s="174"/>
      <c r="M432" s="161" t="s">
        <v>2232</v>
      </c>
      <c r="N432" s="161" t="s">
        <v>1901</v>
      </c>
      <c r="O432" s="161" t="s">
        <v>26</v>
      </c>
      <c r="P432" s="49" t="s">
        <v>26</v>
      </c>
      <c r="Q432" s="166" t="s">
        <v>2345</v>
      </c>
      <c r="R432" s="151"/>
    </row>
    <row r="433" ht="30" spans="1:18">
      <c r="A433" s="101" t="s">
        <v>33</v>
      </c>
      <c r="B433" s="101" t="s">
        <v>200</v>
      </c>
      <c r="C433" s="164" t="s">
        <v>2346</v>
      </c>
      <c r="D433" s="135" t="s">
        <v>2347</v>
      </c>
      <c r="E433" s="161" t="s">
        <v>1291</v>
      </c>
      <c r="F433" s="161" t="s">
        <v>2348</v>
      </c>
      <c r="G433" s="163">
        <v>1063.101</v>
      </c>
      <c r="H433" s="163">
        <f t="shared" si="35"/>
        <v>31</v>
      </c>
      <c r="I433" s="163">
        <v>730</v>
      </c>
      <c r="J433" s="163">
        <v>33827</v>
      </c>
      <c r="K433" s="163">
        <f t="shared" si="36"/>
        <v>1162109</v>
      </c>
      <c r="L433" s="174" t="s">
        <v>2255</v>
      </c>
      <c r="M433" s="161" t="s">
        <v>2232</v>
      </c>
      <c r="N433" s="161" t="s">
        <v>1295</v>
      </c>
      <c r="O433" s="161" t="s">
        <v>6</v>
      </c>
      <c r="P433" s="49" t="s">
        <v>6</v>
      </c>
      <c r="Q433" s="166" t="s">
        <v>2349</v>
      </c>
      <c r="R433" s="151"/>
    </row>
    <row r="434" spans="1:18">
      <c r="A434" s="101" t="s">
        <v>33</v>
      </c>
      <c r="B434" s="101" t="s">
        <v>200</v>
      </c>
      <c r="C434" s="164" t="s">
        <v>2350</v>
      </c>
      <c r="D434" s="135" t="s">
        <v>2351</v>
      </c>
      <c r="E434" s="161" t="s">
        <v>1291</v>
      </c>
      <c r="F434" s="161" t="s">
        <v>2348</v>
      </c>
      <c r="G434" s="163">
        <v>1095.101</v>
      </c>
      <c r="H434" s="163">
        <f t="shared" si="35"/>
        <v>32</v>
      </c>
      <c r="I434" s="163">
        <v>710</v>
      </c>
      <c r="J434" s="163">
        <v>34918</v>
      </c>
      <c r="K434" s="163">
        <f t="shared" si="36"/>
        <v>1197027</v>
      </c>
      <c r="L434" s="174"/>
      <c r="M434" s="161" t="s">
        <v>2232</v>
      </c>
      <c r="N434" s="161" t="s">
        <v>1901</v>
      </c>
      <c r="O434" s="161" t="s">
        <v>26</v>
      </c>
      <c r="P434" s="49" t="s">
        <v>26</v>
      </c>
      <c r="Q434" s="166" t="s">
        <v>2352</v>
      </c>
      <c r="R434" s="151"/>
    </row>
    <row r="435" spans="1:18">
      <c r="A435" s="101" t="s">
        <v>33</v>
      </c>
      <c r="B435" s="101" t="s">
        <v>200</v>
      </c>
      <c r="C435" s="164" t="s">
        <v>2353</v>
      </c>
      <c r="D435" s="135" t="s">
        <v>2354</v>
      </c>
      <c r="E435" s="161" t="s">
        <v>1291</v>
      </c>
      <c r="F435" s="161" t="s">
        <v>2348</v>
      </c>
      <c r="G435" s="163">
        <v>1124.101</v>
      </c>
      <c r="H435" s="163">
        <f t="shared" si="35"/>
        <v>29</v>
      </c>
      <c r="I435" s="163">
        <v>654</v>
      </c>
      <c r="J435" s="163">
        <v>31644</v>
      </c>
      <c r="K435" s="163">
        <f t="shared" si="36"/>
        <v>1228671</v>
      </c>
      <c r="L435" s="174"/>
      <c r="M435" s="161" t="s">
        <v>2232</v>
      </c>
      <c r="N435" s="161" t="s">
        <v>1901</v>
      </c>
      <c r="O435" s="161" t="s">
        <v>26</v>
      </c>
      <c r="P435" s="49" t="s">
        <v>26</v>
      </c>
      <c r="Q435" s="166" t="s">
        <v>2352</v>
      </c>
      <c r="R435" s="151"/>
    </row>
    <row r="436" spans="1:18">
      <c r="A436" s="101" t="s">
        <v>33</v>
      </c>
      <c r="B436" s="101" t="s">
        <v>200</v>
      </c>
      <c r="C436" s="164" t="s">
        <v>2355</v>
      </c>
      <c r="D436" s="135" t="s">
        <v>2356</v>
      </c>
      <c r="E436" s="161" t="s">
        <v>1291</v>
      </c>
      <c r="F436" s="161" t="s">
        <v>2348</v>
      </c>
      <c r="G436" s="163">
        <v>1153.101</v>
      </c>
      <c r="H436" s="163">
        <f t="shared" si="35"/>
        <v>29</v>
      </c>
      <c r="I436" s="163">
        <v>705</v>
      </c>
      <c r="J436" s="163">
        <v>31644</v>
      </c>
      <c r="K436" s="163">
        <f t="shared" si="36"/>
        <v>1260315</v>
      </c>
      <c r="L436" s="174"/>
      <c r="M436" s="161" t="s">
        <v>2232</v>
      </c>
      <c r="N436" s="161" t="s">
        <v>1901</v>
      </c>
      <c r="O436" s="161" t="s">
        <v>26</v>
      </c>
      <c r="P436" s="49" t="s">
        <v>26</v>
      </c>
      <c r="Q436" s="166" t="s">
        <v>2352</v>
      </c>
      <c r="R436" s="151"/>
    </row>
    <row r="437" spans="1:18">
      <c r="A437" s="101" t="s">
        <v>33</v>
      </c>
      <c r="B437" s="101" t="s">
        <v>200</v>
      </c>
      <c r="C437" s="164" t="s">
        <v>2357</v>
      </c>
      <c r="D437" s="135" t="s">
        <v>2357</v>
      </c>
      <c r="E437" s="161" t="s">
        <v>1291</v>
      </c>
      <c r="F437" s="161" t="s">
        <v>2348</v>
      </c>
      <c r="G437" s="163">
        <v>1186.101</v>
      </c>
      <c r="H437" s="163">
        <f t="shared" si="35"/>
        <v>33</v>
      </c>
      <c r="I437" s="163">
        <v>629</v>
      </c>
      <c r="J437" s="163">
        <v>34918</v>
      </c>
      <c r="K437" s="163">
        <f t="shared" si="36"/>
        <v>1295233</v>
      </c>
      <c r="L437" s="174"/>
      <c r="M437" s="161" t="s">
        <v>2232</v>
      </c>
      <c r="N437" s="161" t="s">
        <v>1331</v>
      </c>
      <c r="O437" s="161" t="s">
        <v>14</v>
      </c>
      <c r="P437" s="49" t="s">
        <v>14</v>
      </c>
      <c r="Q437" s="166" t="s">
        <v>2358</v>
      </c>
      <c r="R437" s="151"/>
    </row>
    <row r="438" spans="1:18">
      <c r="A438" s="101" t="s">
        <v>33</v>
      </c>
      <c r="B438" s="101" t="s">
        <v>200</v>
      </c>
      <c r="C438" s="164" t="s">
        <v>2359</v>
      </c>
      <c r="D438" s="135" t="s">
        <v>2360</v>
      </c>
      <c r="E438" s="161" t="s">
        <v>1291</v>
      </c>
      <c r="F438" s="161" t="s">
        <v>1381</v>
      </c>
      <c r="G438" s="163">
        <v>1217.101</v>
      </c>
      <c r="H438" s="163">
        <f t="shared" si="35"/>
        <v>31</v>
      </c>
      <c r="I438" s="163">
        <v>662</v>
      </c>
      <c r="J438" s="163">
        <v>34918</v>
      </c>
      <c r="K438" s="163">
        <f t="shared" si="36"/>
        <v>1330151</v>
      </c>
      <c r="L438" s="174"/>
      <c r="M438" s="161" t="s">
        <v>2232</v>
      </c>
      <c r="N438" s="161" t="s">
        <v>1901</v>
      </c>
      <c r="O438" s="161" t="s">
        <v>26</v>
      </c>
      <c r="P438" s="49" t="s">
        <v>26</v>
      </c>
      <c r="Q438" s="166" t="s">
        <v>2361</v>
      </c>
      <c r="R438" s="151"/>
    </row>
    <row r="439" ht="30" spans="1:18">
      <c r="A439" s="101" t="s">
        <v>33</v>
      </c>
      <c r="B439" s="101" t="s">
        <v>200</v>
      </c>
      <c r="C439" s="164" t="s">
        <v>2362</v>
      </c>
      <c r="D439" s="135" t="s">
        <v>2363</v>
      </c>
      <c r="E439" s="161" t="s">
        <v>1291</v>
      </c>
      <c r="F439" s="161" t="s">
        <v>1381</v>
      </c>
      <c r="G439" s="163">
        <v>1245.101</v>
      </c>
      <c r="H439" s="163">
        <f t="shared" si="35"/>
        <v>28</v>
      </c>
      <c r="I439" s="163">
        <v>674</v>
      </c>
      <c r="J439" s="163">
        <v>29462</v>
      </c>
      <c r="K439" s="163">
        <f t="shared" ref="K439:K444" si="37">J439+K438</f>
        <v>1359613</v>
      </c>
      <c r="L439" s="174" t="s">
        <v>2255</v>
      </c>
      <c r="M439" s="161" t="s">
        <v>2232</v>
      </c>
      <c r="N439" s="161" t="s">
        <v>1295</v>
      </c>
      <c r="O439" s="161" t="s">
        <v>6</v>
      </c>
      <c r="P439" s="49" t="s">
        <v>6</v>
      </c>
      <c r="Q439" s="166" t="s">
        <v>2361</v>
      </c>
      <c r="R439" s="151"/>
    </row>
    <row r="440" spans="1:18">
      <c r="A440" s="101" t="s">
        <v>33</v>
      </c>
      <c r="B440" s="101" t="s">
        <v>200</v>
      </c>
      <c r="C440" s="164" t="s">
        <v>2364</v>
      </c>
      <c r="D440" s="135" t="s">
        <v>2365</v>
      </c>
      <c r="E440" s="161" t="s">
        <v>1291</v>
      </c>
      <c r="F440" s="161" t="s">
        <v>1381</v>
      </c>
      <c r="G440" s="163">
        <v>1270.101</v>
      </c>
      <c r="H440" s="163">
        <f t="shared" si="35"/>
        <v>25</v>
      </c>
      <c r="I440" s="163">
        <v>864</v>
      </c>
      <c r="J440" s="163">
        <v>27280</v>
      </c>
      <c r="K440" s="163">
        <f t="shared" si="37"/>
        <v>1386893</v>
      </c>
      <c r="L440" s="174"/>
      <c r="M440" s="161" t="s">
        <v>2232</v>
      </c>
      <c r="N440" s="161" t="s">
        <v>1901</v>
      </c>
      <c r="O440" s="161" t="s">
        <v>26</v>
      </c>
      <c r="P440" s="49" t="s">
        <v>26</v>
      </c>
      <c r="Q440" s="166" t="s">
        <v>1372</v>
      </c>
      <c r="R440" s="151"/>
    </row>
    <row r="441" spans="1:18">
      <c r="A441" s="101" t="s">
        <v>33</v>
      </c>
      <c r="B441" s="101" t="s">
        <v>200</v>
      </c>
      <c r="C441" s="164" t="s">
        <v>2366</v>
      </c>
      <c r="D441" s="135" t="s">
        <v>1415</v>
      </c>
      <c r="E441" s="161" t="s">
        <v>1291</v>
      </c>
      <c r="F441" s="161" t="s">
        <v>1381</v>
      </c>
      <c r="G441" s="163">
        <v>1295.101</v>
      </c>
      <c r="H441" s="163">
        <f t="shared" si="35"/>
        <v>25</v>
      </c>
      <c r="I441" s="163">
        <v>1084</v>
      </c>
      <c r="J441" s="163">
        <v>28370</v>
      </c>
      <c r="K441" s="163">
        <f t="shared" si="37"/>
        <v>1415263</v>
      </c>
      <c r="L441" s="174"/>
      <c r="M441" s="161" t="s">
        <v>2232</v>
      </c>
      <c r="N441" s="161" t="s">
        <v>1299</v>
      </c>
      <c r="O441" s="161" t="s">
        <v>25</v>
      </c>
      <c r="P441" s="49" t="s">
        <v>25</v>
      </c>
      <c r="Q441" s="166" t="s">
        <v>1372</v>
      </c>
      <c r="R441" s="151"/>
    </row>
    <row r="442" spans="1:18">
      <c r="A442" s="101" t="s">
        <v>33</v>
      </c>
      <c r="B442" s="101" t="s">
        <v>200</v>
      </c>
      <c r="C442" s="164" t="s">
        <v>2367</v>
      </c>
      <c r="D442" s="135" t="s">
        <v>2368</v>
      </c>
      <c r="E442" s="161" t="s">
        <v>1291</v>
      </c>
      <c r="F442" s="161" t="s">
        <v>1381</v>
      </c>
      <c r="G442" s="163">
        <v>1325.101</v>
      </c>
      <c r="H442" s="163">
        <f t="shared" si="35"/>
        <v>30</v>
      </c>
      <c r="I442" s="163">
        <v>1364</v>
      </c>
      <c r="J442" s="163">
        <v>34918</v>
      </c>
      <c r="K442" s="163">
        <f t="shared" si="37"/>
        <v>1450181</v>
      </c>
      <c r="L442" s="174"/>
      <c r="M442" s="161" t="s">
        <v>2232</v>
      </c>
      <c r="N442" s="161" t="s">
        <v>1901</v>
      </c>
      <c r="O442" s="161" t="s">
        <v>26</v>
      </c>
      <c r="P442" s="49" t="s">
        <v>26</v>
      </c>
      <c r="Q442" s="166" t="s">
        <v>1382</v>
      </c>
      <c r="R442" s="151"/>
    </row>
    <row r="443" spans="1:18">
      <c r="A443" s="101" t="s">
        <v>33</v>
      </c>
      <c r="B443" s="101" t="s">
        <v>200</v>
      </c>
      <c r="C443" s="164" t="s">
        <v>2369</v>
      </c>
      <c r="D443" s="135" t="s">
        <v>2370</v>
      </c>
      <c r="E443" s="161" t="s">
        <v>1291</v>
      </c>
      <c r="F443" s="161" t="s">
        <v>1381</v>
      </c>
      <c r="G443" s="163">
        <v>1350.101</v>
      </c>
      <c r="H443" s="163">
        <f t="shared" si="35"/>
        <v>25</v>
      </c>
      <c r="I443" s="163">
        <v>1529</v>
      </c>
      <c r="J443" s="163">
        <v>21824</v>
      </c>
      <c r="K443" s="163">
        <f t="shared" si="37"/>
        <v>1472005</v>
      </c>
      <c r="L443" s="174"/>
      <c r="M443" s="161" t="s">
        <v>2232</v>
      </c>
      <c r="N443" s="161" t="s">
        <v>1901</v>
      </c>
      <c r="O443" s="161" t="s">
        <v>26</v>
      </c>
      <c r="P443" s="49" t="s">
        <v>26</v>
      </c>
      <c r="Q443" s="166" t="s">
        <v>1382</v>
      </c>
      <c r="R443" s="151"/>
    </row>
    <row r="444" ht="45" spans="1:18">
      <c r="A444" s="101" t="s">
        <v>33</v>
      </c>
      <c r="B444" s="101" t="s">
        <v>202</v>
      </c>
      <c r="C444" s="161" t="s">
        <v>111</v>
      </c>
      <c r="D444" s="135" t="s">
        <v>1383</v>
      </c>
      <c r="E444" s="161" t="s">
        <v>1384</v>
      </c>
      <c r="F444" s="161" t="s">
        <v>1385</v>
      </c>
      <c r="G444" s="163">
        <v>1381.101</v>
      </c>
      <c r="H444" s="163">
        <f t="shared" si="35"/>
        <v>31</v>
      </c>
      <c r="I444" s="174">
        <v>1629</v>
      </c>
      <c r="J444" s="174">
        <v>36009</v>
      </c>
      <c r="K444" s="163">
        <f t="shared" si="37"/>
        <v>1508014</v>
      </c>
      <c r="L444" s="174" t="s">
        <v>1386</v>
      </c>
      <c r="M444" s="161" t="s">
        <v>1294</v>
      </c>
      <c r="N444" s="161" t="s">
        <v>1295</v>
      </c>
      <c r="O444" s="161"/>
      <c r="P444" s="49"/>
      <c r="Q444" s="166" t="s">
        <v>1387</v>
      </c>
      <c r="R444" s="151"/>
    </row>
    <row r="445" spans="1:18">
      <c r="A445" s="101" t="s">
        <v>33</v>
      </c>
      <c r="B445" s="101" t="s">
        <v>202</v>
      </c>
      <c r="C445" s="164" t="s">
        <v>2371</v>
      </c>
      <c r="D445" s="161" t="s">
        <v>2372</v>
      </c>
      <c r="E445" s="161" t="s">
        <v>1384</v>
      </c>
      <c r="F445" s="161" t="s">
        <v>1385</v>
      </c>
      <c r="G445" s="163">
        <v>1412.101</v>
      </c>
      <c r="H445" s="163">
        <f t="shared" si="35"/>
        <v>31</v>
      </c>
      <c r="I445" s="163">
        <v>1751</v>
      </c>
      <c r="J445" s="163">
        <v>34918</v>
      </c>
      <c r="K445" s="163">
        <f t="shared" ref="K445:K471" si="38">J445+K444</f>
        <v>1542932</v>
      </c>
      <c r="L445" s="174"/>
      <c r="M445" s="161" t="s">
        <v>2232</v>
      </c>
      <c r="N445" s="161" t="s">
        <v>1901</v>
      </c>
      <c r="O445" s="161" t="s">
        <v>26</v>
      </c>
      <c r="P445" s="49" t="s">
        <v>26</v>
      </c>
      <c r="Q445" s="166" t="s">
        <v>1387</v>
      </c>
      <c r="R445" s="151"/>
    </row>
    <row r="446" spans="1:18">
      <c r="A446" s="101" t="s">
        <v>33</v>
      </c>
      <c r="B446" s="101" t="s">
        <v>202</v>
      </c>
      <c r="C446" s="164" t="s">
        <v>2373</v>
      </c>
      <c r="D446" s="161" t="s">
        <v>2374</v>
      </c>
      <c r="E446" s="161" t="s">
        <v>1384</v>
      </c>
      <c r="F446" s="161" t="s">
        <v>1385</v>
      </c>
      <c r="G446" s="163">
        <v>1444.101</v>
      </c>
      <c r="H446" s="163">
        <f t="shared" si="35"/>
        <v>32</v>
      </c>
      <c r="I446" s="163">
        <v>1770</v>
      </c>
      <c r="J446" s="163">
        <v>33826</v>
      </c>
      <c r="K446" s="163">
        <f t="shared" si="38"/>
        <v>1576758</v>
      </c>
      <c r="L446" s="174"/>
      <c r="M446" s="161" t="s">
        <v>2232</v>
      </c>
      <c r="N446" s="161" t="s">
        <v>1901</v>
      </c>
      <c r="O446" s="161" t="s">
        <v>26</v>
      </c>
      <c r="P446" s="49" t="s">
        <v>26</v>
      </c>
      <c r="Q446" s="166" t="s">
        <v>1392</v>
      </c>
      <c r="R446" s="151"/>
    </row>
    <row r="447" spans="1:18">
      <c r="A447" s="101" t="s">
        <v>33</v>
      </c>
      <c r="B447" s="101" t="s">
        <v>202</v>
      </c>
      <c r="C447" s="164" t="s">
        <v>2375</v>
      </c>
      <c r="D447" s="161" t="s">
        <v>2376</v>
      </c>
      <c r="E447" s="161" t="s">
        <v>1384</v>
      </c>
      <c r="F447" s="161" t="s">
        <v>1385</v>
      </c>
      <c r="G447" s="163">
        <v>1478.101</v>
      </c>
      <c r="H447" s="163">
        <f t="shared" si="35"/>
        <v>34</v>
      </c>
      <c r="I447" s="163">
        <v>1647</v>
      </c>
      <c r="J447" s="163">
        <v>34918</v>
      </c>
      <c r="K447" s="163">
        <f t="shared" si="38"/>
        <v>1611676</v>
      </c>
      <c r="L447" s="174"/>
      <c r="M447" s="161" t="s">
        <v>2232</v>
      </c>
      <c r="N447" s="161" t="s">
        <v>1901</v>
      </c>
      <c r="O447" s="161" t="s">
        <v>26</v>
      </c>
      <c r="P447" s="49" t="s">
        <v>26</v>
      </c>
      <c r="Q447" s="166" t="s">
        <v>1392</v>
      </c>
      <c r="R447" s="151"/>
    </row>
    <row r="448" spans="1:18">
      <c r="A448" s="101" t="s">
        <v>33</v>
      </c>
      <c r="B448" s="101" t="s">
        <v>202</v>
      </c>
      <c r="C448" s="164" t="s">
        <v>2377</v>
      </c>
      <c r="D448" s="161" t="s">
        <v>1436</v>
      </c>
      <c r="E448" s="161" t="s">
        <v>1384</v>
      </c>
      <c r="F448" s="161" t="s">
        <v>1397</v>
      </c>
      <c r="G448" s="163">
        <v>1511.101</v>
      </c>
      <c r="H448" s="163">
        <f t="shared" si="35"/>
        <v>33</v>
      </c>
      <c r="I448" s="163">
        <v>1537</v>
      </c>
      <c r="J448" s="163">
        <v>36009</v>
      </c>
      <c r="K448" s="163">
        <f t="shared" si="38"/>
        <v>1647685</v>
      </c>
      <c r="L448" s="174"/>
      <c r="M448" s="161" t="s">
        <v>2232</v>
      </c>
      <c r="N448" s="161" t="s">
        <v>1299</v>
      </c>
      <c r="O448" s="161" t="s">
        <v>25</v>
      </c>
      <c r="P448" s="49" t="s">
        <v>25</v>
      </c>
      <c r="Q448" s="166" t="s">
        <v>1398</v>
      </c>
      <c r="R448" s="151"/>
    </row>
    <row r="449" spans="1:18">
      <c r="A449" s="101" t="s">
        <v>33</v>
      </c>
      <c r="B449" s="101" t="s">
        <v>202</v>
      </c>
      <c r="C449" s="164" t="s">
        <v>2378</v>
      </c>
      <c r="D449" s="161" t="s">
        <v>2379</v>
      </c>
      <c r="E449" s="161" t="s">
        <v>1384</v>
      </c>
      <c r="F449" s="161" t="s">
        <v>1397</v>
      </c>
      <c r="G449" s="163">
        <v>1541.101</v>
      </c>
      <c r="H449" s="163">
        <f t="shared" si="35"/>
        <v>30</v>
      </c>
      <c r="I449" s="163">
        <v>1417</v>
      </c>
      <c r="J449" s="163">
        <v>33827</v>
      </c>
      <c r="K449" s="163">
        <f t="shared" si="38"/>
        <v>1681512</v>
      </c>
      <c r="L449" s="174"/>
      <c r="M449" s="161" t="s">
        <v>2232</v>
      </c>
      <c r="N449" s="161" t="s">
        <v>1901</v>
      </c>
      <c r="O449" s="161" t="s">
        <v>26</v>
      </c>
      <c r="P449" s="49" t="s">
        <v>26</v>
      </c>
      <c r="Q449" s="166" t="s">
        <v>2380</v>
      </c>
      <c r="R449" s="151"/>
    </row>
    <row r="450" ht="30" spans="1:18">
      <c r="A450" s="101" t="s">
        <v>33</v>
      </c>
      <c r="B450" s="101" t="s">
        <v>202</v>
      </c>
      <c r="C450" s="164" t="s">
        <v>2381</v>
      </c>
      <c r="D450" s="161" t="s">
        <v>2382</v>
      </c>
      <c r="E450" s="161" t="s">
        <v>1384</v>
      </c>
      <c r="F450" s="161" t="s">
        <v>1397</v>
      </c>
      <c r="G450" s="163">
        <v>1574.101</v>
      </c>
      <c r="H450" s="163">
        <f t="shared" si="35"/>
        <v>33</v>
      </c>
      <c r="I450" s="163">
        <v>1387</v>
      </c>
      <c r="J450" s="163">
        <v>34918</v>
      </c>
      <c r="K450" s="163">
        <f t="shared" si="38"/>
        <v>1716430</v>
      </c>
      <c r="L450" s="174" t="s">
        <v>2291</v>
      </c>
      <c r="M450" s="161" t="s">
        <v>2232</v>
      </c>
      <c r="N450" s="161" t="s">
        <v>1295</v>
      </c>
      <c r="O450" s="161" t="s">
        <v>6</v>
      </c>
      <c r="P450" s="49" t="s">
        <v>6</v>
      </c>
      <c r="Q450" s="166" t="s">
        <v>2383</v>
      </c>
      <c r="R450" s="151"/>
    </row>
    <row r="451" spans="1:18">
      <c r="A451" s="101" t="s">
        <v>33</v>
      </c>
      <c r="B451" s="101" t="s">
        <v>202</v>
      </c>
      <c r="C451" s="164" t="s">
        <v>2384</v>
      </c>
      <c r="D451" s="161" t="s">
        <v>2385</v>
      </c>
      <c r="E451" s="161" t="s">
        <v>1384</v>
      </c>
      <c r="F451" s="161" t="s">
        <v>1406</v>
      </c>
      <c r="G451" s="163">
        <v>1605.101</v>
      </c>
      <c r="H451" s="163">
        <f t="shared" si="35"/>
        <v>31</v>
      </c>
      <c r="I451" s="163">
        <v>1502</v>
      </c>
      <c r="J451" s="163">
        <v>32735</v>
      </c>
      <c r="K451" s="163">
        <f t="shared" si="38"/>
        <v>1749165</v>
      </c>
      <c r="L451" s="174"/>
      <c r="M451" s="161" t="s">
        <v>2232</v>
      </c>
      <c r="N451" s="161" t="s">
        <v>1901</v>
      </c>
      <c r="O451" s="161" t="s">
        <v>26</v>
      </c>
      <c r="P451" s="49" t="s">
        <v>26</v>
      </c>
      <c r="Q451" s="166" t="s">
        <v>2386</v>
      </c>
      <c r="R451" s="151"/>
    </row>
    <row r="452" spans="1:18">
      <c r="A452" s="101" t="s">
        <v>33</v>
      </c>
      <c r="B452" s="101" t="s">
        <v>202</v>
      </c>
      <c r="C452" s="164" t="s">
        <v>2387</v>
      </c>
      <c r="D452" s="161" t="s">
        <v>2388</v>
      </c>
      <c r="E452" s="161" t="s">
        <v>1384</v>
      </c>
      <c r="F452" s="161" t="s">
        <v>1406</v>
      </c>
      <c r="G452" s="163">
        <v>1637.101</v>
      </c>
      <c r="H452" s="163">
        <f t="shared" si="35"/>
        <v>32</v>
      </c>
      <c r="I452" s="163">
        <v>1620</v>
      </c>
      <c r="J452" s="163">
        <v>32736</v>
      </c>
      <c r="K452" s="163">
        <f t="shared" si="38"/>
        <v>1781901</v>
      </c>
      <c r="L452" s="174"/>
      <c r="M452" s="161" t="s">
        <v>2232</v>
      </c>
      <c r="N452" s="161" t="s">
        <v>1901</v>
      </c>
      <c r="O452" s="161" t="s">
        <v>26</v>
      </c>
      <c r="P452" s="49" t="s">
        <v>26</v>
      </c>
      <c r="Q452" s="166" t="s">
        <v>2389</v>
      </c>
      <c r="R452" s="151"/>
    </row>
    <row r="453" spans="1:18">
      <c r="A453" s="101" t="s">
        <v>33</v>
      </c>
      <c r="B453" s="101" t="s">
        <v>202</v>
      </c>
      <c r="C453" s="164" t="s">
        <v>2390</v>
      </c>
      <c r="D453" s="161" t="s">
        <v>2391</v>
      </c>
      <c r="E453" s="161" t="s">
        <v>1384</v>
      </c>
      <c r="F453" s="161" t="s">
        <v>1406</v>
      </c>
      <c r="G453" s="163">
        <v>1667.101</v>
      </c>
      <c r="H453" s="163">
        <f t="shared" si="35"/>
        <v>30</v>
      </c>
      <c r="I453" s="163">
        <v>1709</v>
      </c>
      <c r="J453" s="163">
        <v>28370</v>
      </c>
      <c r="K453" s="163">
        <f t="shared" si="38"/>
        <v>1810271</v>
      </c>
      <c r="L453" s="174"/>
      <c r="M453" s="161" t="s">
        <v>2232</v>
      </c>
      <c r="N453" s="161" t="s">
        <v>1901</v>
      </c>
      <c r="O453" s="161" t="s">
        <v>26</v>
      </c>
      <c r="P453" s="49" t="s">
        <v>26</v>
      </c>
      <c r="Q453" s="166" t="s">
        <v>2392</v>
      </c>
      <c r="R453" s="151"/>
    </row>
    <row r="454" spans="1:18">
      <c r="A454" s="101" t="s">
        <v>33</v>
      </c>
      <c r="B454" s="101" t="s">
        <v>202</v>
      </c>
      <c r="C454" s="164" t="s">
        <v>2393</v>
      </c>
      <c r="D454" s="161" t="s">
        <v>2394</v>
      </c>
      <c r="E454" s="161" t="s">
        <v>1384</v>
      </c>
      <c r="F454" s="161" t="s">
        <v>1406</v>
      </c>
      <c r="G454" s="163">
        <v>1693.101</v>
      </c>
      <c r="H454" s="163">
        <f t="shared" si="35"/>
        <v>26</v>
      </c>
      <c r="I454" s="163">
        <v>1820</v>
      </c>
      <c r="J454" s="163">
        <v>30553</v>
      </c>
      <c r="K454" s="163">
        <f t="shared" si="38"/>
        <v>1840824</v>
      </c>
      <c r="L454" s="174"/>
      <c r="M454" s="161" t="s">
        <v>2232</v>
      </c>
      <c r="N454" s="161" t="s">
        <v>1901</v>
      </c>
      <c r="O454" s="161" t="s">
        <v>26</v>
      </c>
      <c r="P454" s="49" t="s">
        <v>26</v>
      </c>
      <c r="Q454" s="166" t="s">
        <v>2395</v>
      </c>
      <c r="R454" s="151"/>
    </row>
    <row r="455" spans="1:18">
      <c r="A455" s="101" t="s">
        <v>33</v>
      </c>
      <c r="B455" s="101" t="s">
        <v>202</v>
      </c>
      <c r="C455" s="164" t="s">
        <v>2396</v>
      </c>
      <c r="D455" s="161" t="s">
        <v>1460</v>
      </c>
      <c r="E455" s="161" t="s">
        <v>1384</v>
      </c>
      <c r="F455" s="161" t="s">
        <v>1418</v>
      </c>
      <c r="G455" s="163">
        <v>1719.101</v>
      </c>
      <c r="H455" s="163">
        <f t="shared" si="35"/>
        <v>26</v>
      </c>
      <c r="I455" s="163">
        <v>1772</v>
      </c>
      <c r="J455" s="163">
        <v>31645</v>
      </c>
      <c r="K455" s="163">
        <f t="shared" si="38"/>
        <v>1872469</v>
      </c>
      <c r="L455" s="174"/>
      <c r="M455" s="161" t="s">
        <v>2232</v>
      </c>
      <c r="N455" s="161" t="s">
        <v>1299</v>
      </c>
      <c r="O455" s="161" t="s">
        <v>25</v>
      </c>
      <c r="P455" s="49" t="s">
        <v>25</v>
      </c>
      <c r="Q455" s="166" t="s">
        <v>2397</v>
      </c>
      <c r="R455" s="151"/>
    </row>
    <row r="456" ht="30" spans="1:18">
      <c r="A456" s="101" t="s">
        <v>33</v>
      </c>
      <c r="B456" s="101" t="s">
        <v>202</v>
      </c>
      <c r="C456" s="164" t="s">
        <v>214</v>
      </c>
      <c r="D456" s="161" t="s">
        <v>2398</v>
      </c>
      <c r="E456" s="161" t="s">
        <v>1384</v>
      </c>
      <c r="F456" s="161" t="s">
        <v>1418</v>
      </c>
      <c r="G456" s="163">
        <v>1743.101</v>
      </c>
      <c r="H456" s="163">
        <f t="shared" si="35"/>
        <v>24</v>
      </c>
      <c r="I456" s="163">
        <v>1625</v>
      </c>
      <c r="J456" s="163">
        <v>30553</v>
      </c>
      <c r="K456" s="163">
        <f t="shared" si="38"/>
        <v>1903022</v>
      </c>
      <c r="L456" s="174" t="s">
        <v>2255</v>
      </c>
      <c r="M456" s="161" t="s">
        <v>2232</v>
      </c>
      <c r="N456" s="161" t="s">
        <v>1295</v>
      </c>
      <c r="O456" s="161" t="s">
        <v>6</v>
      </c>
      <c r="P456" s="49" t="s">
        <v>6</v>
      </c>
      <c r="Q456" s="166" t="s">
        <v>2399</v>
      </c>
      <c r="R456" s="151"/>
    </row>
    <row r="457" spans="1:18">
      <c r="A457" s="101" t="s">
        <v>33</v>
      </c>
      <c r="B457" s="101" t="s">
        <v>202</v>
      </c>
      <c r="C457" s="164" t="s">
        <v>2400</v>
      </c>
      <c r="D457" s="161" t="s">
        <v>2401</v>
      </c>
      <c r="E457" s="161" t="s">
        <v>1384</v>
      </c>
      <c r="F457" s="161" t="s">
        <v>1418</v>
      </c>
      <c r="G457" s="163">
        <v>1765.101</v>
      </c>
      <c r="H457" s="163">
        <f t="shared" si="35"/>
        <v>22</v>
      </c>
      <c r="I457" s="163">
        <v>1552</v>
      </c>
      <c r="J457" s="163">
        <v>24006</v>
      </c>
      <c r="K457" s="163">
        <f t="shared" si="38"/>
        <v>1927028</v>
      </c>
      <c r="L457" s="174"/>
      <c r="M457" s="161" t="s">
        <v>2232</v>
      </c>
      <c r="N457" s="161" t="s">
        <v>1901</v>
      </c>
      <c r="O457" s="161" t="s">
        <v>26</v>
      </c>
      <c r="P457" s="49" t="s">
        <v>26</v>
      </c>
      <c r="Q457" s="166" t="s">
        <v>2402</v>
      </c>
      <c r="R457" s="151"/>
    </row>
    <row r="458" spans="1:18">
      <c r="A458" s="101" t="s">
        <v>33</v>
      </c>
      <c r="B458" s="101" t="s">
        <v>202</v>
      </c>
      <c r="C458" s="164" t="s">
        <v>2403</v>
      </c>
      <c r="D458" s="161" t="s">
        <v>2404</v>
      </c>
      <c r="E458" s="161" t="s">
        <v>1384</v>
      </c>
      <c r="F458" s="161" t="s">
        <v>1418</v>
      </c>
      <c r="G458" s="163">
        <v>1795.101</v>
      </c>
      <c r="H458" s="163">
        <f t="shared" si="35"/>
        <v>30</v>
      </c>
      <c r="I458" s="163">
        <v>1637</v>
      </c>
      <c r="J458" s="163">
        <v>33826</v>
      </c>
      <c r="K458" s="163">
        <f t="shared" si="38"/>
        <v>1960854</v>
      </c>
      <c r="L458" s="174"/>
      <c r="M458" s="161" t="s">
        <v>2232</v>
      </c>
      <c r="N458" s="161" t="s">
        <v>1901</v>
      </c>
      <c r="O458" s="161" t="s">
        <v>26</v>
      </c>
      <c r="P458" s="49" t="s">
        <v>26</v>
      </c>
      <c r="Q458" s="166" t="s">
        <v>2405</v>
      </c>
      <c r="R458" s="151"/>
    </row>
    <row r="459" spans="1:18">
      <c r="A459" s="101" t="s">
        <v>33</v>
      </c>
      <c r="B459" s="101" t="s">
        <v>202</v>
      </c>
      <c r="C459" s="164" t="s">
        <v>2406</v>
      </c>
      <c r="D459" s="161" t="s">
        <v>2407</v>
      </c>
      <c r="E459" s="161" t="s">
        <v>1384</v>
      </c>
      <c r="F459" s="161" t="s">
        <v>1418</v>
      </c>
      <c r="G459" s="163">
        <v>1826.101</v>
      </c>
      <c r="H459" s="163">
        <f t="shared" si="35"/>
        <v>31</v>
      </c>
      <c r="I459" s="163">
        <v>1641</v>
      </c>
      <c r="J459" s="163">
        <v>32736</v>
      </c>
      <c r="K459" s="163">
        <f t="shared" si="38"/>
        <v>1993590</v>
      </c>
      <c r="L459" s="174"/>
      <c r="M459" s="161" t="s">
        <v>2232</v>
      </c>
      <c r="N459" s="161" t="s">
        <v>1901</v>
      </c>
      <c r="O459" s="161" t="s">
        <v>26</v>
      </c>
      <c r="P459" s="49" t="s">
        <v>26</v>
      </c>
      <c r="Q459" s="166" t="s">
        <v>2408</v>
      </c>
      <c r="R459" s="151"/>
    </row>
    <row r="460" spans="1:18">
      <c r="A460" s="101" t="s">
        <v>33</v>
      </c>
      <c r="B460" s="101" t="s">
        <v>202</v>
      </c>
      <c r="C460" s="164" t="s">
        <v>2409</v>
      </c>
      <c r="D460" s="161" t="s">
        <v>1472</v>
      </c>
      <c r="E460" s="161" t="s">
        <v>1384</v>
      </c>
      <c r="F460" s="161" t="s">
        <v>1437</v>
      </c>
      <c r="G460" s="163">
        <v>1853.101</v>
      </c>
      <c r="H460" s="163">
        <f t="shared" si="35"/>
        <v>27</v>
      </c>
      <c r="I460" s="163">
        <v>1529</v>
      </c>
      <c r="J460" s="163">
        <v>28371</v>
      </c>
      <c r="K460" s="163">
        <f t="shared" si="38"/>
        <v>2021961</v>
      </c>
      <c r="L460" s="174"/>
      <c r="M460" s="161" t="s">
        <v>2232</v>
      </c>
      <c r="N460" s="161" t="s">
        <v>1299</v>
      </c>
      <c r="O460" s="161" t="s">
        <v>25</v>
      </c>
      <c r="P460" s="49" t="s">
        <v>25</v>
      </c>
      <c r="Q460" s="166" t="s">
        <v>2410</v>
      </c>
      <c r="R460" s="151"/>
    </row>
    <row r="461" spans="1:18">
      <c r="A461" s="101" t="s">
        <v>33</v>
      </c>
      <c r="B461" s="101" t="s">
        <v>202</v>
      </c>
      <c r="C461" s="164" t="s">
        <v>2411</v>
      </c>
      <c r="D461" s="161" t="s">
        <v>2412</v>
      </c>
      <c r="E461" s="161" t="s">
        <v>1384</v>
      </c>
      <c r="F461" s="161" t="s">
        <v>1437</v>
      </c>
      <c r="G461" s="163">
        <v>1882.101</v>
      </c>
      <c r="H461" s="163">
        <f t="shared" si="35"/>
        <v>29</v>
      </c>
      <c r="I461" s="163">
        <v>1438</v>
      </c>
      <c r="J461" s="163">
        <v>32735</v>
      </c>
      <c r="K461" s="163">
        <f t="shared" si="38"/>
        <v>2054696</v>
      </c>
      <c r="L461" s="174"/>
      <c r="M461" s="161" t="s">
        <v>2232</v>
      </c>
      <c r="N461" s="161" t="s">
        <v>1901</v>
      </c>
      <c r="O461" s="161" t="s">
        <v>26</v>
      </c>
      <c r="P461" s="49" t="s">
        <v>26</v>
      </c>
      <c r="Q461" s="166" t="s">
        <v>2413</v>
      </c>
      <c r="R461" s="151"/>
    </row>
    <row r="462" spans="1:18">
      <c r="A462" s="101" t="s">
        <v>33</v>
      </c>
      <c r="B462" s="101" t="s">
        <v>202</v>
      </c>
      <c r="C462" s="164" t="s">
        <v>2414</v>
      </c>
      <c r="D462" s="161" t="s">
        <v>2415</v>
      </c>
      <c r="E462" s="161" t="s">
        <v>1384</v>
      </c>
      <c r="F462" s="161" t="s">
        <v>1437</v>
      </c>
      <c r="G462" s="163">
        <v>1910.101</v>
      </c>
      <c r="H462" s="163">
        <f t="shared" si="35"/>
        <v>28</v>
      </c>
      <c r="I462" s="163">
        <v>1434</v>
      </c>
      <c r="J462" s="163">
        <v>30553</v>
      </c>
      <c r="K462" s="163">
        <f t="shared" si="38"/>
        <v>2085249</v>
      </c>
      <c r="L462" s="174"/>
      <c r="M462" s="161" t="s">
        <v>2232</v>
      </c>
      <c r="N462" s="161" t="s">
        <v>1901</v>
      </c>
      <c r="O462" s="161" t="s">
        <v>26</v>
      </c>
      <c r="P462" s="49" t="s">
        <v>26</v>
      </c>
      <c r="Q462" s="166" t="s">
        <v>2416</v>
      </c>
      <c r="R462" s="151"/>
    </row>
    <row r="463" ht="30" spans="1:18">
      <c r="A463" s="101" t="s">
        <v>33</v>
      </c>
      <c r="B463" s="101" t="s">
        <v>202</v>
      </c>
      <c r="C463" s="164" t="s">
        <v>220</v>
      </c>
      <c r="D463" s="161" t="s">
        <v>2417</v>
      </c>
      <c r="E463" s="161" t="s">
        <v>1384</v>
      </c>
      <c r="F463" s="161" t="s">
        <v>1437</v>
      </c>
      <c r="G463" s="163">
        <v>1933.101</v>
      </c>
      <c r="H463" s="163">
        <f t="shared" si="35"/>
        <v>23</v>
      </c>
      <c r="I463" s="163">
        <v>1458</v>
      </c>
      <c r="J463" s="163">
        <v>25097</v>
      </c>
      <c r="K463" s="163">
        <f t="shared" si="38"/>
        <v>2110346</v>
      </c>
      <c r="L463" s="174" t="s">
        <v>2255</v>
      </c>
      <c r="M463" s="161" t="s">
        <v>2232</v>
      </c>
      <c r="N463" s="161" t="s">
        <v>1295</v>
      </c>
      <c r="O463" s="161" t="s">
        <v>6</v>
      </c>
      <c r="P463" s="49" t="s">
        <v>6</v>
      </c>
      <c r="Q463" s="166" t="s">
        <v>2418</v>
      </c>
      <c r="R463" s="151"/>
    </row>
    <row r="464" spans="1:18">
      <c r="A464" s="101" t="s">
        <v>33</v>
      </c>
      <c r="B464" s="101" t="s">
        <v>202</v>
      </c>
      <c r="C464" s="164" t="s">
        <v>2419</v>
      </c>
      <c r="D464" s="161" t="s">
        <v>2420</v>
      </c>
      <c r="E464" s="161" t="s">
        <v>1384</v>
      </c>
      <c r="F464" s="161" t="s">
        <v>1437</v>
      </c>
      <c r="G464" s="163">
        <v>1958.101</v>
      </c>
      <c r="H464" s="163">
        <f t="shared" si="35"/>
        <v>25</v>
      </c>
      <c r="I464" s="163">
        <v>1470</v>
      </c>
      <c r="J464" s="163">
        <v>27280</v>
      </c>
      <c r="K464" s="163">
        <f t="shared" si="38"/>
        <v>2137626</v>
      </c>
      <c r="L464" s="174"/>
      <c r="M464" s="161" t="s">
        <v>2232</v>
      </c>
      <c r="N464" s="161" t="s">
        <v>1901</v>
      </c>
      <c r="O464" s="161" t="s">
        <v>26</v>
      </c>
      <c r="P464" s="49" t="s">
        <v>26</v>
      </c>
      <c r="Q464" s="166" t="s">
        <v>2421</v>
      </c>
      <c r="R464" s="151"/>
    </row>
    <row r="465" spans="1:18">
      <c r="A465" s="101" t="s">
        <v>33</v>
      </c>
      <c r="B465" s="101" t="s">
        <v>202</v>
      </c>
      <c r="C465" s="164" t="s">
        <v>2422</v>
      </c>
      <c r="D465" s="161" t="s">
        <v>2423</v>
      </c>
      <c r="E465" s="161" t="s">
        <v>1384</v>
      </c>
      <c r="F465" s="161" t="s">
        <v>1452</v>
      </c>
      <c r="G465" s="163">
        <v>1989.101</v>
      </c>
      <c r="H465" s="163">
        <f t="shared" si="35"/>
        <v>31</v>
      </c>
      <c r="I465" s="163">
        <v>1685</v>
      </c>
      <c r="J465" s="163">
        <v>33827</v>
      </c>
      <c r="K465" s="163">
        <f t="shared" si="38"/>
        <v>2171453</v>
      </c>
      <c r="L465" s="174"/>
      <c r="M465" s="161" t="s">
        <v>2232</v>
      </c>
      <c r="N465" s="161" t="s">
        <v>1901</v>
      </c>
      <c r="O465" s="161" t="s">
        <v>26</v>
      </c>
      <c r="P465" s="49" t="s">
        <v>26</v>
      </c>
      <c r="Q465" s="166" t="s">
        <v>2424</v>
      </c>
      <c r="R465" s="151"/>
    </row>
    <row r="466" spans="1:18">
      <c r="A466" s="101" t="s">
        <v>33</v>
      </c>
      <c r="B466" s="101" t="s">
        <v>202</v>
      </c>
      <c r="C466" s="164" t="s">
        <v>2425</v>
      </c>
      <c r="D466" s="161" t="s">
        <v>1488</v>
      </c>
      <c r="E466" s="161" t="s">
        <v>1384</v>
      </c>
      <c r="F466" s="161" t="s">
        <v>1452</v>
      </c>
      <c r="G466" s="163">
        <v>2020.6281</v>
      </c>
      <c r="H466" s="163">
        <f t="shared" si="35"/>
        <v>31.5270999999998</v>
      </c>
      <c r="I466" s="163">
        <v>1840</v>
      </c>
      <c r="J466" s="163">
        <v>33826</v>
      </c>
      <c r="K466" s="163">
        <f t="shared" si="38"/>
        <v>2205279</v>
      </c>
      <c r="L466" s="174"/>
      <c r="M466" s="161" t="s">
        <v>2232</v>
      </c>
      <c r="N466" s="161" t="s">
        <v>1299</v>
      </c>
      <c r="O466" s="161" t="s">
        <v>25</v>
      </c>
      <c r="P466" s="49" t="s">
        <v>25</v>
      </c>
      <c r="Q466" s="166" t="s">
        <v>2426</v>
      </c>
      <c r="R466" s="151"/>
    </row>
    <row r="467" spans="1:18">
      <c r="A467" s="101" t="s">
        <v>33</v>
      </c>
      <c r="B467" s="101" t="s">
        <v>202</v>
      </c>
      <c r="C467" s="164" t="s">
        <v>2427</v>
      </c>
      <c r="D467" s="161" t="s">
        <v>2428</v>
      </c>
      <c r="E467" s="161" t="s">
        <v>1384</v>
      </c>
      <c r="F467" s="161" t="s">
        <v>1452</v>
      </c>
      <c r="G467" s="163">
        <v>2049.1995</v>
      </c>
      <c r="H467" s="163">
        <f t="shared" si="35"/>
        <v>28.5714000000003</v>
      </c>
      <c r="I467" s="163">
        <v>2197</v>
      </c>
      <c r="J467" s="163">
        <v>31644</v>
      </c>
      <c r="K467" s="163">
        <f t="shared" si="38"/>
        <v>2236923</v>
      </c>
      <c r="L467" s="174"/>
      <c r="M467" s="161" t="s">
        <v>2232</v>
      </c>
      <c r="N467" s="161" t="s">
        <v>1901</v>
      </c>
      <c r="O467" s="161" t="s">
        <v>26</v>
      </c>
      <c r="P467" s="49" t="s">
        <v>26</v>
      </c>
      <c r="Q467" s="166" t="s">
        <v>2429</v>
      </c>
      <c r="R467" s="151"/>
    </row>
    <row r="468" ht="30" spans="1:18">
      <c r="A468" s="101" t="s">
        <v>33</v>
      </c>
      <c r="B468" s="101" t="s">
        <v>202</v>
      </c>
      <c r="C468" s="177" t="s">
        <v>2430</v>
      </c>
      <c r="D468" s="161" t="s">
        <v>2431</v>
      </c>
      <c r="E468" s="161" t="s">
        <v>1384</v>
      </c>
      <c r="F468" s="161" t="s">
        <v>1464</v>
      </c>
      <c r="G468" s="163">
        <v>2080.7266</v>
      </c>
      <c r="H468" s="163">
        <f t="shared" si="35"/>
        <v>31.5270999999998</v>
      </c>
      <c r="I468" s="174">
        <v>2269</v>
      </c>
      <c r="J468" s="174">
        <v>33827</v>
      </c>
      <c r="K468" s="174">
        <f t="shared" si="38"/>
        <v>2270750</v>
      </c>
      <c r="L468" s="174" t="s">
        <v>2255</v>
      </c>
      <c r="M468" s="161" t="s">
        <v>2232</v>
      </c>
      <c r="N468" s="161" t="s">
        <v>1295</v>
      </c>
      <c r="O468" s="161" t="s">
        <v>6</v>
      </c>
      <c r="P468" s="49" t="s">
        <v>6</v>
      </c>
      <c r="Q468" s="166" t="s">
        <v>2432</v>
      </c>
      <c r="R468" s="151"/>
    </row>
    <row r="469" spans="1:18">
      <c r="A469" s="101" t="s">
        <v>33</v>
      </c>
      <c r="B469" s="101" t="s">
        <v>202</v>
      </c>
      <c r="C469" s="164" t="s">
        <v>2433</v>
      </c>
      <c r="D469" s="161" t="s">
        <v>2434</v>
      </c>
      <c r="E469" s="161" t="s">
        <v>1384</v>
      </c>
      <c r="F469" s="161" t="s">
        <v>1464</v>
      </c>
      <c r="G469" s="163">
        <v>2107.3276</v>
      </c>
      <c r="H469" s="163">
        <f t="shared" si="35"/>
        <v>26.6010000000001</v>
      </c>
      <c r="I469" s="163">
        <v>2110</v>
      </c>
      <c r="J469" s="163">
        <v>29462</v>
      </c>
      <c r="K469" s="163">
        <f t="shared" si="38"/>
        <v>2300212</v>
      </c>
      <c r="L469" s="174"/>
      <c r="M469" s="161" t="s">
        <v>2232</v>
      </c>
      <c r="N469" s="161" t="s">
        <v>1901</v>
      </c>
      <c r="O469" s="161" t="s">
        <v>26</v>
      </c>
      <c r="P469" s="49" t="s">
        <v>26</v>
      </c>
      <c r="Q469" s="166" t="s">
        <v>2435</v>
      </c>
      <c r="R469" s="151"/>
    </row>
    <row r="470" spans="1:18">
      <c r="A470" s="101" t="s">
        <v>33</v>
      </c>
      <c r="B470" s="101" t="s">
        <v>202</v>
      </c>
      <c r="C470" s="164" t="s">
        <v>223</v>
      </c>
      <c r="D470" s="161" t="s">
        <v>2436</v>
      </c>
      <c r="E470" s="161" t="s">
        <v>1384</v>
      </c>
      <c r="F470" s="161" t="s">
        <v>1464</v>
      </c>
      <c r="G470" s="163">
        <v>2132.9434</v>
      </c>
      <c r="H470" s="163">
        <f t="shared" si="35"/>
        <v>25.6158</v>
      </c>
      <c r="I470" s="163">
        <v>1935</v>
      </c>
      <c r="J470" s="163">
        <v>28371</v>
      </c>
      <c r="K470" s="163">
        <f t="shared" si="38"/>
        <v>2328583</v>
      </c>
      <c r="L470" s="174"/>
      <c r="M470" s="161" t="s">
        <v>2232</v>
      </c>
      <c r="N470" s="161" t="s">
        <v>1901</v>
      </c>
      <c r="O470" s="161" t="s">
        <v>26</v>
      </c>
      <c r="P470" s="49" t="s">
        <v>26</v>
      </c>
      <c r="Q470" s="166" t="s">
        <v>2437</v>
      </c>
      <c r="R470" s="151"/>
    </row>
    <row r="471" spans="1:18">
      <c r="A471" s="101" t="s">
        <v>33</v>
      </c>
      <c r="B471" s="101" t="s">
        <v>202</v>
      </c>
      <c r="C471" s="164" t="s">
        <v>2438</v>
      </c>
      <c r="D471" s="161" t="s">
        <v>1500</v>
      </c>
      <c r="E471" s="161" t="s">
        <v>1384</v>
      </c>
      <c r="F471" s="161" t="s">
        <v>1464</v>
      </c>
      <c r="G471" s="163">
        <v>2160.5296</v>
      </c>
      <c r="H471" s="163">
        <f t="shared" si="35"/>
        <v>27.5861999999997</v>
      </c>
      <c r="I471" s="163">
        <v>1729</v>
      </c>
      <c r="J471" s="163">
        <v>30553</v>
      </c>
      <c r="K471" s="163">
        <f t="shared" si="38"/>
        <v>2359136</v>
      </c>
      <c r="L471" s="174"/>
      <c r="M471" s="161" t="s">
        <v>2232</v>
      </c>
      <c r="N471" s="161" t="s">
        <v>1299</v>
      </c>
      <c r="O471" s="161" t="s">
        <v>25</v>
      </c>
      <c r="P471" s="49" t="s">
        <v>25</v>
      </c>
      <c r="Q471" s="166" t="s">
        <v>2439</v>
      </c>
      <c r="R471" s="151"/>
    </row>
    <row r="472" spans="1:18">
      <c r="A472" s="101" t="s">
        <v>33</v>
      </c>
      <c r="B472" s="101" t="s">
        <v>202</v>
      </c>
      <c r="C472" s="164" t="s">
        <v>226</v>
      </c>
      <c r="D472" s="161" t="s">
        <v>226</v>
      </c>
      <c r="E472" s="161" t="s">
        <v>1384</v>
      </c>
      <c r="F472" s="161" t="s">
        <v>1464</v>
      </c>
      <c r="G472" s="163">
        <v>2189.101</v>
      </c>
      <c r="H472" s="163">
        <f t="shared" si="35"/>
        <v>28.5714000000003</v>
      </c>
      <c r="I472" s="163">
        <v>1663</v>
      </c>
      <c r="J472" s="163">
        <v>30553</v>
      </c>
      <c r="K472" s="163">
        <f t="shared" ref="K472:K511" si="39">J472+K471</f>
        <v>2389689</v>
      </c>
      <c r="L472" s="174"/>
      <c r="M472" s="161" t="s">
        <v>2232</v>
      </c>
      <c r="N472" s="161" t="s">
        <v>1331</v>
      </c>
      <c r="O472" s="161" t="s">
        <v>14</v>
      </c>
      <c r="P472" s="49" t="s">
        <v>14</v>
      </c>
      <c r="Q472" s="166" t="s">
        <v>2440</v>
      </c>
      <c r="R472" s="151"/>
    </row>
    <row r="473" spans="1:18">
      <c r="A473" s="101" t="s">
        <v>33</v>
      </c>
      <c r="B473" s="101" t="s">
        <v>202</v>
      </c>
      <c r="C473" s="164" t="s">
        <v>2441</v>
      </c>
      <c r="D473" s="161" t="s">
        <v>2442</v>
      </c>
      <c r="E473" s="161" t="s">
        <v>1384</v>
      </c>
      <c r="F473" s="161" t="s">
        <v>1464</v>
      </c>
      <c r="G473" s="163">
        <v>2222.101</v>
      </c>
      <c r="H473" s="163">
        <f t="shared" si="35"/>
        <v>33</v>
      </c>
      <c r="I473" s="163">
        <v>1675</v>
      </c>
      <c r="J473" s="163">
        <v>34918</v>
      </c>
      <c r="K473" s="163">
        <f t="shared" si="39"/>
        <v>2424607</v>
      </c>
      <c r="L473" s="174"/>
      <c r="M473" s="161" t="s">
        <v>2232</v>
      </c>
      <c r="N473" s="161" t="s">
        <v>1901</v>
      </c>
      <c r="O473" s="161" t="s">
        <v>26</v>
      </c>
      <c r="P473" s="49" t="s">
        <v>26</v>
      </c>
      <c r="Q473" s="166" t="s">
        <v>2443</v>
      </c>
      <c r="R473" s="151"/>
    </row>
    <row r="474" spans="1:18">
      <c r="A474" s="101" t="s">
        <v>33</v>
      </c>
      <c r="B474" s="101" t="s">
        <v>202</v>
      </c>
      <c r="C474" s="164" t="s">
        <v>2444</v>
      </c>
      <c r="D474" s="161" t="s">
        <v>2445</v>
      </c>
      <c r="E474" s="161" t="s">
        <v>1384</v>
      </c>
      <c r="F474" s="161" t="s">
        <v>1478</v>
      </c>
      <c r="G474" s="163">
        <v>2255.101</v>
      </c>
      <c r="H474" s="163">
        <f t="shared" ref="H474:H510" si="40">G474-G473</f>
        <v>33</v>
      </c>
      <c r="I474" s="163">
        <v>1845</v>
      </c>
      <c r="J474" s="163">
        <v>36009</v>
      </c>
      <c r="K474" s="163">
        <f t="shared" si="39"/>
        <v>2460616</v>
      </c>
      <c r="L474" s="174"/>
      <c r="M474" s="161" t="s">
        <v>2232</v>
      </c>
      <c r="N474" s="161" t="s">
        <v>1901</v>
      </c>
      <c r="O474" s="161" t="s">
        <v>26</v>
      </c>
      <c r="P474" s="49" t="s">
        <v>26</v>
      </c>
      <c r="Q474" s="166" t="s">
        <v>2446</v>
      </c>
      <c r="R474" s="151"/>
    </row>
    <row r="475" ht="30" spans="1:18">
      <c r="A475" s="101" t="s">
        <v>33</v>
      </c>
      <c r="B475" s="101" t="s">
        <v>202</v>
      </c>
      <c r="C475" s="164" t="s">
        <v>462</v>
      </c>
      <c r="D475" s="161" t="s">
        <v>462</v>
      </c>
      <c r="E475" s="161" t="s">
        <v>1384</v>
      </c>
      <c r="F475" s="161" t="s">
        <v>1478</v>
      </c>
      <c r="G475" s="163">
        <v>2285.101</v>
      </c>
      <c r="H475" s="163">
        <f t="shared" si="40"/>
        <v>30</v>
      </c>
      <c r="I475" s="163">
        <v>1838</v>
      </c>
      <c r="J475" s="163">
        <v>32735</v>
      </c>
      <c r="K475" s="163">
        <f t="shared" si="39"/>
        <v>2493351</v>
      </c>
      <c r="L475" s="174" t="s">
        <v>2255</v>
      </c>
      <c r="M475" s="161" t="s">
        <v>1294</v>
      </c>
      <c r="N475" s="161" t="s">
        <v>1331</v>
      </c>
      <c r="O475" s="161" t="s">
        <v>6</v>
      </c>
      <c r="P475" s="49" t="s">
        <v>6</v>
      </c>
      <c r="Q475" s="166" t="s">
        <v>1480</v>
      </c>
      <c r="R475" s="151"/>
    </row>
    <row r="476" spans="1:18">
      <c r="A476" s="101" t="s">
        <v>33</v>
      </c>
      <c r="B476" s="101" t="s">
        <v>202</v>
      </c>
      <c r="C476" s="164" t="s">
        <v>2447</v>
      </c>
      <c r="D476" s="161" t="s">
        <v>2448</v>
      </c>
      <c r="E476" s="161" t="s">
        <v>1384</v>
      </c>
      <c r="F476" s="161" t="s">
        <v>1478</v>
      </c>
      <c r="G476" s="163">
        <v>2315.101</v>
      </c>
      <c r="H476" s="163">
        <f t="shared" si="40"/>
        <v>30</v>
      </c>
      <c r="I476" s="163">
        <v>1864</v>
      </c>
      <c r="J476" s="163">
        <v>31645</v>
      </c>
      <c r="K476" s="163">
        <f t="shared" si="39"/>
        <v>2524996</v>
      </c>
      <c r="L476" s="174"/>
      <c r="M476" s="161" t="s">
        <v>2232</v>
      </c>
      <c r="N476" s="161" t="s">
        <v>1901</v>
      </c>
      <c r="O476" s="161" t="s">
        <v>26</v>
      </c>
      <c r="P476" s="49" t="s">
        <v>26</v>
      </c>
      <c r="Q476" s="166" t="s">
        <v>2449</v>
      </c>
      <c r="R476" s="151"/>
    </row>
    <row r="477" spans="1:18">
      <c r="A477" s="101" t="s">
        <v>33</v>
      </c>
      <c r="B477" s="101" t="s">
        <v>202</v>
      </c>
      <c r="C477" s="164" t="s">
        <v>2450</v>
      </c>
      <c r="D477" s="161" t="s">
        <v>1516</v>
      </c>
      <c r="E477" s="161" t="s">
        <v>1384</v>
      </c>
      <c r="F477" s="161" t="s">
        <v>1478</v>
      </c>
      <c r="G477" s="163">
        <v>2347.101</v>
      </c>
      <c r="H477" s="163">
        <f t="shared" si="40"/>
        <v>32</v>
      </c>
      <c r="I477" s="163">
        <v>1687</v>
      </c>
      <c r="J477" s="163">
        <v>33826</v>
      </c>
      <c r="K477" s="163">
        <f t="shared" si="39"/>
        <v>2558822</v>
      </c>
      <c r="L477" s="174"/>
      <c r="M477" s="161" t="s">
        <v>2232</v>
      </c>
      <c r="N477" s="161" t="s">
        <v>1299</v>
      </c>
      <c r="O477" s="161" t="s">
        <v>25</v>
      </c>
      <c r="P477" s="49" t="s">
        <v>25</v>
      </c>
      <c r="Q477" s="166" t="s">
        <v>1486</v>
      </c>
      <c r="R477" s="151"/>
    </row>
    <row r="478" ht="30" spans="1:18">
      <c r="A478" s="101" t="s">
        <v>33</v>
      </c>
      <c r="B478" s="101" t="s">
        <v>202</v>
      </c>
      <c r="C478" s="164" t="s">
        <v>2451</v>
      </c>
      <c r="D478" s="161" t="s">
        <v>2452</v>
      </c>
      <c r="E478" s="161" t="s">
        <v>1491</v>
      </c>
      <c r="F478" s="161" t="s">
        <v>1492</v>
      </c>
      <c r="G478" s="163">
        <v>2365</v>
      </c>
      <c r="H478" s="163">
        <f t="shared" si="40"/>
        <v>17.8989999999999</v>
      </c>
      <c r="I478" s="163">
        <v>1686</v>
      </c>
      <c r="J478" s="163">
        <v>21272</v>
      </c>
      <c r="K478" s="163">
        <f t="shared" si="39"/>
        <v>2580094</v>
      </c>
      <c r="L478" s="174" t="s">
        <v>2453</v>
      </c>
      <c r="M478" s="161" t="s">
        <v>2232</v>
      </c>
      <c r="N478" s="161" t="s">
        <v>2249</v>
      </c>
      <c r="O478" s="161" t="s">
        <v>25</v>
      </c>
      <c r="P478" s="49" t="s">
        <v>25</v>
      </c>
      <c r="Q478" s="166" t="s">
        <v>2454</v>
      </c>
      <c r="R478" s="151"/>
    </row>
    <row r="479" spans="1:18">
      <c r="A479" s="101" t="s">
        <v>33</v>
      </c>
      <c r="B479" s="101" t="s">
        <v>202</v>
      </c>
      <c r="C479" s="164" t="s">
        <v>2455</v>
      </c>
      <c r="D479" s="161" t="s">
        <v>2456</v>
      </c>
      <c r="E479" s="161" t="s">
        <v>1491</v>
      </c>
      <c r="F479" s="161" t="s">
        <v>1492</v>
      </c>
      <c r="G479" s="163">
        <v>2392.4114</v>
      </c>
      <c r="H479" s="163">
        <f t="shared" si="40"/>
        <v>27.4114</v>
      </c>
      <c r="I479" s="163">
        <v>1699</v>
      </c>
      <c r="J479" s="163">
        <v>31908</v>
      </c>
      <c r="K479" s="163">
        <f t="shared" si="39"/>
        <v>2612002</v>
      </c>
      <c r="L479" s="174"/>
      <c r="M479" s="161" t="s">
        <v>2232</v>
      </c>
      <c r="N479" s="161" t="s">
        <v>1901</v>
      </c>
      <c r="O479" s="161" t="s">
        <v>25</v>
      </c>
      <c r="P479" s="49" t="s">
        <v>25</v>
      </c>
      <c r="Q479" s="166" t="s">
        <v>2457</v>
      </c>
      <c r="R479" s="151"/>
    </row>
    <row r="480" spans="1:18">
      <c r="A480" s="101" t="s">
        <v>33</v>
      </c>
      <c r="B480" s="101" t="s">
        <v>202</v>
      </c>
      <c r="C480" s="164" t="s">
        <v>2458</v>
      </c>
      <c r="D480" s="161" t="s">
        <v>1526</v>
      </c>
      <c r="E480" s="161" t="s">
        <v>1491</v>
      </c>
      <c r="F480" s="161" t="s">
        <v>1492</v>
      </c>
      <c r="G480" s="163">
        <v>2419.2179</v>
      </c>
      <c r="H480" s="163">
        <f t="shared" si="40"/>
        <v>26.8065000000001</v>
      </c>
      <c r="I480" s="163">
        <v>1318</v>
      </c>
      <c r="J480" s="163">
        <v>19144.8</v>
      </c>
      <c r="K480" s="163">
        <f t="shared" si="39"/>
        <v>2631146.8</v>
      </c>
      <c r="L480" s="174"/>
      <c r="M480" s="161" t="s">
        <v>2232</v>
      </c>
      <c r="N480" s="161" t="s">
        <v>1299</v>
      </c>
      <c r="O480" s="161" t="s">
        <v>25</v>
      </c>
      <c r="P480" s="49" t="s">
        <v>25</v>
      </c>
      <c r="Q480" s="166" t="s">
        <v>1498</v>
      </c>
      <c r="R480" s="151"/>
    </row>
    <row r="481" spans="1:18">
      <c r="A481" s="101" t="s">
        <v>33</v>
      </c>
      <c r="B481" s="101" t="s">
        <v>202</v>
      </c>
      <c r="C481" s="164" t="s">
        <v>2459</v>
      </c>
      <c r="D481" s="161" t="s">
        <v>1528</v>
      </c>
      <c r="E481" s="161" t="s">
        <v>1491</v>
      </c>
      <c r="F481" s="161" t="s">
        <v>114</v>
      </c>
      <c r="G481" s="163">
        <v>2426.3293</v>
      </c>
      <c r="H481" s="163">
        <f t="shared" si="40"/>
        <v>7.11139999999978</v>
      </c>
      <c r="I481" s="163">
        <v>1271</v>
      </c>
      <c r="J481" s="163">
        <v>12763.2</v>
      </c>
      <c r="K481" s="163">
        <f t="shared" si="39"/>
        <v>2643910</v>
      </c>
      <c r="L481" s="174"/>
      <c r="M481" s="161" t="s">
        <v>2232</v>
      </c>
      <c r="N481" s="161" t="s">
        <v>1299</v>
      </c>
      <c r="O481" s="161" t="s">
        <v>25</v>
      </c>
      <c r="P481" s="49" t="s">
        <v>25</v>
      </c>
      <c r="Q481" s="166" t="s">
        <v>2460</v>
      </c>
      <c r="R481" s="151"/>
    </row>
    <row r="482" ht="60" spans="1:18">
      <c r="A482" s="101" t="s">
        <v>33</v>
      </c>
      <c r="B482" s="101" t="s">
        <v>203</v>
      </c>
      <c r="C482" s="135" t="s">
        <v>114</v>
      </c>
      <c r="D482" s="135" t="s">
        <v>1504</v>
      </c>
      <c r="E482" s="161" t="s">
        <v>1491</v>
      </c>
      <c r="F482" s="161" t="s">
        <v>114</v>
      </c>
      <c r="G482" s="163">
        <v>2434.0003</v>
      </c>
      <c r="H482" s="163">
        <f t="shared" si="40"/>
        <v>7.67100000000028</v>
      </c>
      <c r="I482" s="163">
        <v>1256</v>
      </c>
      <c r="J482" s="163">
        <v>9572.4</v>
      </c>
      <c r="K482" s="163">
        <f t="shared" si="39"/>
        <v>2653482.4</v>
      </c>
      <c r="L482" s="163" t="s">
        <v>2461</v>
      </c>
      <c r="M482" s="161" t="s">
        <v>1294</v>
      </c>
      <c r="N482" s="161" t="s">
        <v>1295</v>
      </c>
      <c r="O482" s="161"/>
      <c r="P482" s="49"/>
      <c r="Q482" s="166" t="s">
        <v>1503</v>
      </c>
      <c r="R482" s="151"/>
    </row>
    <row r="483" spans="1:18">
      <c r="A483" s="101" t="s">
        <v>33</v>
      </c>
      <c r="B483" s="101" t="s">
        <v>203</v>
      </c>
      <c r="C483" s="178" t="s">
        <v>2462</v>
      </c>
      <c r="D483" s="161" t="s">
        <v>2463</v>
      </c>
      <c r="E483" s="161" t="s">
        <v>1491</v>
      </c>
      <c r="F483" s="161" t="s">
        <v>114</v>
      </c>
      <c r="G483" s="163">
        <v>2466.9169</v>
      </c>
      <c r="H483" s="163">
        <f t="shared" si="40"/>
        <v>32.9166</v>
      </c>
      <c r="I483" s="163">
        <v>1413</v>
      </c>
      <c r="J483" s="163">
        <v>36031</v>
      </c>
      <c r="K483" s="163">
        <f t="shared" si="39"/>
        <v>2689513.4</v>
      </c>
      <c r="L483" s="174"/>
      <c r="M483" s="161" t="s">
        <v>2232</v>
      </c>
      <c r="N483" s="161" t="s">
        <v>1901</v>
      </c>
      <c r="O483" s="161" t="s">
        <v>26</v>
      </c>
      <c r="P483" s="49" t="s">
        <v>26</v>
      </c>
      <c r="Q483" s="166" t="s">
        <v>2464</v>
      </c>
      <c r="R483" s="151"/>
    </row>
    <row r="484" spans="1:18">
      <c r="A484" s="101" t="s">
        <v>33</v>
      </c>
      <c r="B484" s="101" t="s">
        <v>203</v>
      </c>
      <c r="C484" s="178" t="s">
        <v>2465</v>
      </c>
      <c r="D484" s="161" t="s">
        <v>1537</v>
      </c>
      <c r="E484" s="161" t="s">
        <v>1491</v>
      </c>
      <c r="F484" s="161" t="s">
        <v>2466</v>
      </c>
      <c r="G484" s="163">
        <v>2501.551</v>
      </c>
      <c r="H484" s="163">
        <f t="shared" si="40"/>
        <v>34.6340999999998</v>
      </c>
      <c r="I484" s="163">
        <v>1354</v>
      </c>
      <c r="J484" s="163">
        <v>38029</v>
      </c>
      <c r="K484" s="163">
        <f t="shared" si="39"/>
        <v>2727542.4</v>
      </c>
      <c r="L484" s="174"/>
      <c r="M484" s="161" t="s">
        <v>2232</v>
      </c>
      <c r="N484" s="161" t="s">
        <v>1299</v>
      </c>
      <c r="O484" s="161" t="s">
        <v>25</v>
      </c>
      <c r="P484" s="49" t="s">
        <v>25</v>
      </c>
      <c r="Q484" s="166" t="s">
        <v>2467</v>
      </c>
      <c r="R484" s="151"/>
    </row>
    <row r="485" spans="1:18">
      <c r="A485" s="101" t="s">
        <v>33</v>
      </c>
      <c r="B485" s="101" t="s">
        <v>203</v>
      </c>
      <c r="C485" s="178" t="s">
        <v>2468</v>
      </c>
      <c r="D485" s="161" t="s">
        <v>2469</v>
      </c>
      <c r="E485" s="161" t="s">
        <v>1491</v>
      </c>
      <c r="F485" s="161" t="s">
        <v>2466</v>
      </c>
      <c r="G485" s="163">
        <v>2533.13</v>
      </c>
      <c r="H485" s="163">
        <f t="shared" si="40"/>
        <v>31.5790000000002</v>
      </c>
      <c r="I485" s="163">
        <v>1366</v>
      </c>
      <c r="J485" s="163">
        <v>34517</v>
      </c>
      <c r="K485" s="163">
        <f t="shared" si="39"/>
        <v>2762059.4</v>
      </c>
      <c r="L485" s="174"/>
      <c r="M485" s="161" t="s">
        <v>2232</v>
      </c>
      <c r="N485" s="161" t="s">
        <v>1901</v>
      </c>
      <c r="O485" s="161" t="s">
        <v>26</v>
      </c>
      <c r="P485" s="49" t="s">
        <v>26</v>
      </c>
      <c r="Q485" s="166" t="s">
        <v>2470</v>
      </c>
      <c r="R485" s="151"/>
    </row>
    <row r="486" spans="1:18">
      <c r="A486" s="101" t="s">
        <v>33</v>
      </c>
      <c r="B486" s="101" t="s">
        <v>203</v>
      </c>
      <c r="C486" s="178" t="s">
        <v>2466</v>
      </c>
      <c r="D486" s="161" t="s">
        <v>2466</v>
      </c>
      <c r="E486" s="161" t="s">
        <v>1491</v>
      </c>
      <c r="F486" s="161" t="s">
        <v>2466</v>
      </c>
      <c r="G486" s="163">
        <v>2556.5003</v>
      </c>
      <c r="H486" s="163">
        <f t="shared" si="40"/>
        <v>23.3703</v>
      </c>
      <c r="I486" s="163">
        <v>1478</v>
      </c>
      <c r="J486" s="163">
        <v>25357</v>
      </c>
      <c r="K486" s="163">
        <f t="shared" si="39"/>
        <v>2787416.4</v>
      </c>
      <c r="L486" s="174"/>
      <c r="M486" s="161" t="s">
        <v>2232</v>
      </c>
      <c r="N486" s="161" t="s">
        <v>1331</v>
      </c>
      <c r="O486" s="161" t="s">
        <v>6</v>
      </c>
      <c r="P486" s="49" t="s">
        <v>6</v>
      </c>
      <c r="Q486" s="166" t="s">
        <v>2471</v>
      </c>
      <c r="R486" s="151"/>
    </row>
    <row r="487" spans="1:18">
      <c r="A487" s="101" t="s">
        <v>33</v>
      </c>
      <c r="B487" s="101" t="s">
        <v>203</v>
      </c>
      <c r="C487" s="178" t="s">
        <v>2472</v>
      </c>
      <c r="D487" s="161" t="s">
        <v>2473</v>
      </c>
      <c r="E487" s="161" t="s">
        <v>1491</v>
      </c>
      <c r="F487" s="161" t="s">
        <v>2466</v>
      </c>
      <c r="G487" s="163">
        <v>2580.4667</v>
      </c>
      <c r="H487" s="163">
        <f t="shared" si="40"/>
        <v>23.9663999999998</v>
      </c>
      <c r="I487" s="163">
        <v>1478</v>
      </c>
      <c r="J487" s="163">
        <v>25446</v>
      </c>
      <c r="K487" s="163">
        <f t="shared" si="39"/>
        <v>2812862.4</v>
      </c>
      <c r="L487" s="174"/>
      <c r="M487" s="161" t="s">
        <v>2232</v>
      </c>
      <c r="N487" s="161" t="s">
        <v>1901</v>
      </c>
      <c r="O487" s="161" t="s">
        <v>26</v>
      </c>
      <c r="P487" s="49" t="s">
        <v>26</v>
      </c>
      <c r="Q487" s="166" t="s">
        <v>2474</v>
      </c>
      <c r="R487" s="151"/>
    </row>
    <row r="488" spans="1:18">
      <c r="A488" s="101" t="s">
        <v>33</v>
      </c>
      <c r="B488" s="101" t="s">
        <v>203</v>
      </c>
      <c r="C488" s="178" t="s">
        <v>2475</v>
      </c>
      <c r="D488" s="161" t="s">
        <v>2476</v>
      </c>
      <c r="E488" s="161" t="s">
        <v>1491</v>
      </c>
      <c r="F488" s="161" t="s">
        <v>2466</v>
      </c>
      <c r="G488" s="163">
        <v>2602.5428</v>
      </c>
      <c r="H488" s="163">
        <f t="shared" si="40"/>
        <v>22.0761000000002</v>
      </c>
      <c r="I488" s="163">
        <v>1516</v>
      </c>
      <c r="J488" s="163">
        <v>23515</v>
      </c>
      <c r="K488" s="163">
        <f t="shared" si="39"/>
        <v>2836377.4</v>
      </c>
      <c r="L488" s="174"/>
      <c r="M488" s="161" t="s">
        <v>2232</v>
      </c>
      <c r="N488" s="161" t="s">
        <v>1901</v>
      </c>
      <c r="O488" s="161" t="s">
        <v>26</v>
      </c>
      <c r="P488" s="49" t="s">
        <v>26</v>
      </c>
      <c r="Q488" s="166" t="s">
        <v>2477</v>
      </c>
      <c r="R488" s="151"/>
    </row>
    <row r="489" spans="1:18">
      <c r="A489" s="101" t="s">
        <v>33</v>
      </c>
      <c r="B489" s="101" t="s">
        <v>203</v>
      </c>
      <c r="C489" s="178" t="s">
        <v>2478</v>
      </c>
      <c r="D489" s="161" t="s">
        <v>1550</v>
      </c>
      <c r="E489" s="161" t="s">
        <v>1491</v>
      </c>
      <c r="F489" s="161" t="s">
        <v>2479</v>
      </c>
      <c r="G489" s="163">
        <v>2626.5092</v>
      </c>
      <c r="H489" s="163">
        <f t="shared" si="40"/>
        <v>23.9663999999998</v>
      </c>
      <c r="I489" s="163">
        <v>1574</v>
      </c>
      <c r="J489" s="163">
        <v>25709</v>
      </c>
      <c r="K489" s="163">
        <f t="shared" si="39"/>
        <v>2862086.4</v>
      </c>
      <c r="L489" s="174"/>
      <c r="M489" s="161" t="s">
        <v>2232</v>
      </c>
      <c r="N489" s="161" t="s">
        <v>1299</v>
      </c>
      <c r="O489" s="161" t="s">
        <v>25</v>
      </c>
      <c r="P489" s="49" t="s">
        <v>25</v>
      </c>
      <c r="Q489" s="166" t="s">
        <v>2480</v>
      </c>
      <c r="R489" s="151"/>
    </row>
    <row r="490" spans="1:18">
      <c r="A490" s="101" t="s">
        <v>33</v>
      </c>
      <c r="B490" s="101" t="s">
        <v>203</v>
      </c>
      <c r="C490" s="178" t="s">
        <v>2481</v>
      </c>
      <c r="D490" s="161" t="s">
        <v>2481</v>
      </c>
      <c r="E490" s="161" t="s">
        <v>1491</v>
      </c>
      <c r="F490" s="161" t="s">
        <v>2479</v>
      </c>
      <c r="G490" s="163">
        <v>2649.9803</v>
      </c>
      <c r="H490" s="163">
        <f t="shared" si="40"/>
        <v>23.4711000000002</v>
      </c>
      <c r="I490" s="163">
        <v>1853</v>
      </c>
      <c r="J490" s="163">
        <v>24364.79669088</v>
      </c>
      <c r="K490" s="163">
        <f t="shared" si="39"/>
        <v>2886451.19669088</v>
      </c>
      <c r="L490" s="174"/>
      <c r="M490" s="161" t="s">
        <v>2232</v>
      </c>
      <c r="N490" s="161" t="s">
        <v>1331</v>
      </c>
      <c r="O490" s="161" t="s">
        <v>14</v>
      </c>
      <c r="P490" s="49" t="s">
        <v>14</v>
      </c>
      <c r="Q490" s="166" t="s">
        <v>2482</v>
      </c>
      <c r="R490" s="151"/>
    </row>
    <row r="491" spans="1:18">
      <c r="A491" s="101" t="s">
        <v>33</v>
      </c>
      <c r="B491" s="101" t="s">
        <v>203</v>
      </c>
      <c r="C491" s="74" t="s">
        <v>2483</v>
      </c>
      <c r="D491" s="161" t="s">
        <v>2483</v>
      </c>
      <c r="E491" s="161" t="s">
        <v>1491</v>
      </c>
      <c r="F491" s="161" t="s">
        <v>2479</v>
      </c>
      <c r="G491" s="163">
        <v>2688.3903</v>
      </c>
      <c r="H491" s="163">
        <f t="shared" si="40"/>
        <v>38.4099999999999</v>
      </c>
      <c r="I491" s="163">
        <v>1734</v>
      </c>
      <c r="J491" s="163">
        <v>21542.01991344</v>
      </c>
      <c r="K491" s="163">
        <f t="shared" si="39"/>
        <v>2907993.21660432</v>
      </c>
      <c r="L491" s="174"/>
      <c r="M491" s="161" t="s">
        <v>2232</v>
      </c>
      <c r="N491" s="161" t="s">
        <v>1331</v>
      </c>
      <c r="O491" s="161" t="s">
        <v>6</v>
      </c>
      <c r="P491" s="49" t="s">
        <v>6</v>
      </c>
      <c r="Q491" s="166" t="s">
        <v>2484</v>
      </c>
      <c r="R491" s="151"/>
    </row>
    <row r="492" spans="1:18">
      <c r="A492" s="101" t="s">
        <v>33</v>
      </c>
      <c r="B492" s="101" t="s">
        <v>203</v>
      </c>
      <c r="C492" s="178" t="s">
        <v>2485</v>
      </c>
      <c r="D492" s="161" t="s">
        <v>2486</v>
      </c>
      <c r="E492" s="161" t="s">
        <v>1491</v>
      </c>
      <c r="F492" s="161" t="s">
        <v>2479</v>
      </c>
      <c r="G492" s="163">
        <v>2700.3822</v>
      </c>
      <c r="H492" s="163">
        <f t="shared" si="40"/>
        <v>11.9919</v>
      </c>
      <c r="I492" s="174">
        <v>1584</v>
      </c>
      <c r="J492" s="174">
        <v>18081.08712</v>
      </c>
      <c r="K492" s="174">
        <f t="shared" si="39"/>
        <v>2926074.30372432</v>
      </c>
      <c r="L492" s="174"/>
      <c r="M492" s="161" t="s">
        <v>2232</v>
      </c>
      <c r="N492" s="161" t="s">
        <v>1901</v>
      </c>
      <c r="O492" s="161" t="s">
        <v>26</v>
      </c>
      <c r="P492" s="49" t="s">
        <v>26</v>
      </c>
      <c r="Q492" s="166" t="s">
        <v>2487</v>
      </c>
      <c r="R492" s="151"/>
    </row>
    <row r="493" spans="1:18">
      <c r="A493" s="101" t="s">
        <v>33</v>
      </c>
      <c r="B493" s="101" t="s">
        <v>203</v>
      </c>
      <c r="C493" s="178" t="s">
        <v>2488</v>
      </c>
      <c r="D493" s="161" t="s">
        <v>2489</v>
      </c>
      <c r="E493" s="161" t="s">
        <v>1491</v>
      </c>
      <c r="F493" s="161" t="s">
        <v>2479</v>
      </c>
      <c r="G493" s="163">
        <v>2709.0903</v>
      </c>
      <c r="H493" s="163">
        <f t="shared" si="40"/>
        <v>8.70809999999983</v>
      </c>
      <c r="I493" s="163">
        <v>1663</v>
      </c>
      <c r="J493" s="163">
        <v>21803.66388</v>
      </c>
      <c r="K493" s="163">
        <f t="shared" si="39"/>
        <v>2947877.96760432</v>
      </c>
      <c r="L493" s="174"/>
      <c r="M493" s="161" t="s">
        <v>2232</v>
      </c>
      <c r="N493" s="161" t="s">
        <v>1901</v>
      </c>
      <c r="O493" s="161" t="s">
        <v>26</v>
      </c>
      <c r="P493" s="49" t="s">
        <v>26</v>
      </c>
      <c r="Q493" s="166" t="s">
        <v>2490</v>
      </c>
      <c r="R493" s="151"/>
    </row>
    <row r="494" spans="1:18">
      <c r="A494" s="101" t="s">
        <v>33</v>
      </c>
      <c r="B494" s="101" t="s">
        <v>203</v>
      </c>
      <c r="C494" s="178" t="s">
        <v>2491</v>
      </c>
      <c r="D494" s="161" t="s">
        <v>2492</v>
      </c>
      <c r="E494" s="161" t="s">
        <v>1384</v>
      </c>
      <c r="F494" s="161" t="s">
        <v>2493</v>
      </c>
      <c r="G494" s="163">
        <v>2730.4338</v>
      </c>
      <c r="H494" s="163">
        <f t="shared" si="40"/>
        <v>21.3434999999999</v>
      </c>
      <c r="I494" s="163">
        <v>1554</v>
      </c>
      <c r="J494" s="163">
        <v>23180.02540544</v>
      </c>
      <c r="K494" s="163">
        <f t="shared" si="39"/>
        <v>2971057.99300976</v>
      </c>
      <c r="L494" s="174"/>
      <c r="M494" s="161" t="s">
        <v>2232</v>
      </c>
      <c r="N494" s="161" t="s">
        <v>1901</v>
      </c>
      <c r="O494" s="161" t="s">
        <v>26</v>
      </c>
      <c r="P494" s="49" t="s">
        <v>26</v>
      </c>
      <c r="Q494" s="166" t="s">
        <v>2494</v>
      </c>
      <c r="R494" s="151"/>
    </row>
    <row r="495" spans="1:18">
      <c r="A495" s="101" t="s">
        <v>33</v>
      </c>
      <c r="B495" s="101" t="s">
        <v>203</v>
      </c>
      <c r="C495" s="178" t="s">
        <v>2495</v>
      </c>
      <c r="D495" s="161" t="s">
        <v>2495</v>
      </c>
      <c r="E495" s="161" t="s">
        <v>1384</v>
      </c>
      <c r="F495" s="161" t="s">
        <v>2493</v>
      </c>
      <c r="G495" s="163">
        <v>2742.6903</v>
      </c>
      <c r="H495" s="163">
        <f t="shared" si="40"/>
        <v>12.2565000000004</v>
      </c>
      <c r="I495" s="163">
        <v>1500</v>
      </c>
      <c r="J495" s="163">
        <v>13311.12738816</v>
      </c>
      <c r="K495" s="163">
        <f t="shared" si="39"/>
        <v>2984369.12039792</v>
      </c>
      <c r="L495" s="174"/>
      <c r="M495" s="161" t="s">
        <v>2232</v>
      </c>
      <c r="N495" s="161" t="s">
        <v>1331</v>
      </c>
      <c r="O495" s="161" t="s">
        <v>14</v>
      </c>
      <c r="P495" s="49" t="s">
        <v>14</v>
      </c>
      <c r="Q495" s="166" t="s">
        <v>2496</v>
      </c>
      <c r="R495" s="151"/>
    </row>
    <row r="496" spans="1:18">
      <c r="A496" s="101" t="s">
        <v>33</v>
      </c>
      <c r="B496" s="101" t="s">
        <v>203</v>
      </c>
      <c r="C496" s="178" t="s">
        <v>2497</v>
      </c>
      <c r="D496" s="161" t="s">
        <v>2498</v>
      </c>
      <c r="E496" s="161" t="s">
        <v>1384</v>
      </c>
      <c r="F496" s="161" t="s">
        <v>2493</v>
      </c>
      <c r="G496" s="163">
        <v>2755.3446</v>
      </c>
      <c r="H496" s="163">
        <f t="shared" si="40"/>
        <v>12.6542999999997</v>
      </c>
      <c r="I496" s="163">
        <v>1443</v>
      </c>
      <c r="J496" s="163">
        <v>13505.90827008</v>
      </c>
      <c r="K496" s="163">
        <f t="shared" si="39"/>
        <v>2997875.028668</v>
      </c>
      <c r="L496" s="174"/>
      <c r="M496" s="161" t="s">
        <v>2232</v>
      </c>
      <c r="N496" s="161" t="s">
        <v>1901</v>
      </c>
      <c r="O496" s="161" t="s">
        <v>26</v>
      </c>
      <c r="P496" s="49" t="s">
        <v>26</v>
      </c>
      <c r="Q496" s="166" t="s">
        <v>2499</v>
      </c>
      <c r="R496" s="151"/>
    </row>
    <row r="497" spans="1:18">
      <c r="A497" s="101" t="s">
        <v>33</v>
      </c>
      <c r="B497" s="101" t="s">
        <v>203</v>
      </c>
      <c r="C497" s="178" t="s">
        <v>2500</v>
      </c>
      <c r="D497" s="161" t="s">
        <v>2501</v>
      </c>
      <c r="E497" s="161" t="s">
        <v>1384</v>
      </c>
      <c r="F497" s="161" t="s">
        <v>2493</v>
      </c>
      <c r="G497" s="163">
        <v>2771.0776</v>
      </c>
      <c r="H497" s="163">
        <f t="shared" si="40"/>
        <v>15.7330000000002</v>
      </c>
      <c r="I497" s="163">
        <v>1390</v>
      </c>
      <c r="J497" s="163">
        <v>16790.77229568</v>
      </c>
      <c r="K497" s="163">
        <f t="shared" si="39"/>
        <v>3014665.80096368</v>
      </c>
      <c r="L497" s="174"/>
      <c r="M497" s="161" t="s">
        <v>2232</v>
      </c>
      <c r="N497" s="161" t="s">
        <v>1901</v>
      </c>
      <c r="O497" s="161" t="s">
        <v>26</v>
      </c>
      <c r="P497" s="49" t="s">
        <v>26</v>
      </c>
      <c r="Q497" s="166" t="s">
        <v>2502</v>
      </c>
      <c r="R497" s="151"/>
    </row>
    <row r="498" spans="1:18">
      <c r="A498" s="101" t="s">
        <v>33</v>
      </c>
      <c r="B498" s="101" t="s">
        <v>203</v>
      </c>
      <c r="C498" s="178" t="s">
        <v>2503</v>
      </c>
      <c r="D498" s="161" t="s">
        <v>2503</v>
      </c>
      <c r="E498" s="161" t="s">
        <v>1384</v>
      </c>
      <c r="F498" s="161" t="s">
        <v>2493</v>
      </c>
      <c r="G498" s="163">
        <v>2794.7003</v>
      </c>
      <c r="H498" s="163">
        <f t="shared" si="40"/>
        <v>23.6226999999999</v>
      </c>
      <c r="I498" s="163">
        <v>1315</v>
      </c>
      <c r="J498" s="163">
        <v>25211.4689536</v>
      </c>
      <c r="K498" s="163">
        <f t="shared" si="39"/>
        <v>3039877.26991728</v>
      </c>
      <c r="L498" s="174"/>
      <c r="M498" s="161" t="s">
        <v>2232</v>
      </c>
      <c r="N498" s="161"/>
      <c r="O498" s="161" t="s">
        <v>14</v>
      </c>
      <c r="P498" s="49" t="s">
        <v>14</v>
      </c>
      <c r="Q498" s="166" t="s">
        <v>2504</v>
      </c>
      <c r="R498" s="151"/>
    </row>
    <row r="499" spans="1:18">
      <c r="A499" s="101" t="s">
        <v>33</v>
      </c>
      <c r="B499" s="101" t="s">
        <v>203</v>
      </c>
      <c r="C499" s="178" t="s">
        <v>2505</v>
      </c>
      <c r="D499" s="161" t="s">
        <v>2506</v>
      </c>
      <c r="E499" s="161" t="s">
        <v>1384</v>
      </c>
      <c r="F499" s="161" t="s">
        <v>2493</v>
      </c>
      <c r="G499" s="163">
        <v>2817.9451</v>
      </c>
      <c r="H499" s="163">
        <f t="shared" si="40"/>
        <v>23.2447999999999</v>
      </c>
      <c r="I499" s="163">
        <v>1303</v>
      </c>
      <c r="J499" s="163">
        <v>25794.7111424</v>
      </c>
      <c r="K499" s="163">
        <f t="shared" si="39"/>
        <v>3065671.98105968</v>
      </c>
      <c r="L499" s="174"/>
      <c r="M499" s="161" t="s">
        <v>2232</v>
      </c>
      <c r="N499" s="161" t="s">
        <v>1901</v>
      </c>
      <c r="O499" s="161" t="s">
        <v>26</v>
      </c>
      <c r="P499" s="49" t="s">
        <v>26</v>
      </c>
      <c r="Q499" s="166" t="s">
        <v>2507</v>
      </c>
      <c r="R499" s="151"/>
    </row>
    <row r="500" spans="1:18">
      <c r="A500" s="101" t="s">
        <v>33</v>
      </c>
      <c r="B500" s="101" t="s">
        <v>203</v>
      </c>
      <c r="C500" s="178" t="s">
        <v>2508</v>
      </c>
      <c r="D500" s="161" t="s">
        <v>2508</v>
      </c>
      <c r="E500" s="161" t="s">
        <v>1384</v>
      </c>
      <c r="F500" s="161" t="s">
        <v>2493</v>
      </c>
      <c r="G500" s="163">
        <v>2840.4203</v>
      </c>
      <c r="H500" s="163">
        <f t="shared" si="40"/>
        <v>22.4752000000003</v>
      </c>
      <c r="I500" s="163">
        <v>1230</v>
      </c>
      <c r="J500" s="163">
        <v>24990.27710464</v>
      </c>
      <c r="K500" s="163">
        <f t="shared" si="39"/>
        <v>3090662.25816432</v>
      </c>
      <c r="L500" s="174"/>
      <c r="M500" s="161" t="s">
        <v>2232</v>
      </c>
      <c r="N500" s="161" t="s">
        <v>1331</v>
      </c>
      <c r="O500" s="161" t="s">
        <v>6</v>
      </c>
      <c r="P500" s="49" t="s">
        <v>6</v>
      </c>
      <c r="Q500" s="166" t="s">
        <v>2509</v>
      </c>
      <c r="R500" s="151"/>
    </row>
    <row r="501" spans="1:18">
      <c r="A501" s="101" t="s">
        <v>33</v>
      </c>
      <c r="B501" s="101" t="s">
        <v>203</v>
      </c>
      <c r="C501" s="178" t="s">
        <v>2510</v>
      </c>
      <c r="D501" s="161" t="s">
        <v>2511</v>
      </c>
      <c r="E501" s="161" t="s">
        <v>1491</v>
      </c>
      <c r="F501" s="161" t="s">
        <v>2493</v>
      </c>
      <c r="G501" s="163">
        <v>2864.7485</v>
      </c>
      <c r="H501" s="163">
        <f t="shared" si="40"/>
        <v>24.3281999999999</v>
      </c>
      <c r="I501" s="163">
        <v>1035</v>
      </c>
      <c r="J501" s="163">
        <v>28467.72109824</v>
      </c>
      <c r="K501" s="163">
        <f t="shared" si="39"/>
        <v>3119129.97926256</v>
      </c>
      <c r="L501" s="174"/>
      <c r="M501" s="161" t="s">
        <v>2232</v>
      </c>
      <c r="N501" s="161" t="s">
        <v>1901</v>
      </c>
      <c r="O501" s="161" t="s">
        <v>26</v>
      </c>
      <c r="P501" s="49" t="s">
        <v>26</v>
      </c>
      <c r="Q501" s="166" t="s">
        <v>2512</v>
      </c>
      <c r="R501" s="151"/>
    </row>
    <row r="502" spans="1:18">
      <c r="A502" s="101" t="s">
        <v>33</v>
      </c>
      <c r="B502" s="101" t="s">
        <v>203</v>
      </c>
      <c r="C502" s="178" t="s">
        <v>2513</v>
      </c>
      <c r="D502" s="161" t="s">
        <v>1591</v>
      </c>
      <c r="E502" s="161" t="s">
        <v>1491</v>
      </c>
      <c r="F502" s="161" t="s">
        <v>2493</v>
      </c>
      <c r="G502" s="163">
        <v>2902.5735</v>
      </c>
      <c r="H502" s="163">
        <f t="shared" si="40"/>
        <v>37.8249999999998</v>
      </c>
      <c r="I502" s="163">
        <v>1310</v>
      </c>
      <c r="J502" s="163">
        <v>44603.72150272</v>
      </c>
      <c r="K502" s="163">
        <f t="shared" si="39"/>
        <v>3163733.70076528</v>
      </c>
      <c r="L502" s="174"/>
      <c r="M502" s="161" t="s">
        <v>2232</v>
      </c>
      <c r="N502" s="161" t="s">
        <v>1299</v>
      </c>
      <c r="O502" s="161" t="s">
        <v>25</v>
      </c>
      <c r="P502" s="49" t="s">
        <v>25</v>
      </c>
      <c r="Q502" s="166" t="s">
        <v>2514</v>
      </c>
      <c r="R502" s="151"/>
    </row>
    <row r="503" spans="1:18">
      <c r="A503" s="101" t="s">
        <v>33</v>
      </c>
      <c r="B503" s="101" t="s">
        <v>203</v>
      </c>
      <c r="C503" s="178" t="s">
        <v>2515</v>
      </c>
      <c r="D503" s="161" t="s">
        <v>2515</v>
      </c>
      <c r="E503" s="161" t="s">
        <v>1491</v>
      </c>
      <c r="F503" s="161" t="s">
        <v>2516</v>
      </c>
      <c r="G503" s="163">
        <v>2923.5803</v>
      </c>
      <c r="H503" s="163">
        <f t="shared" si="40"/>
        <v>21.0068000000001</v>
      </c>
      <c r="I503" s="163">
        <v>987</v>
      </c>
      <c r="J503" s="163">
        <v>24795.49622272</v>
      </c>
      <c r="K503" s="163">
        <f t="shared" si="39"/>
        <v>3188529.196988</v>
      </c>
      <c r="L503" s="174" t="s">
        <v>2517</v>
      </c>
      <c r="M503" s="161" t="s">
        <v>2232</v>
      </c>
      <c r="N503" s="161" t="s">
        <v>1331</v>
      </c>
      <c r="O503" s="161" t="s">
        <v>14</v>
      </c>
      <c r="P503" s="49" t="s">
        <v>14</v>
      </c>
      <c r="Q503" s="166" t="s">
        <v>2518</v>
      </c>
      <c r="R503" s="151"/>
    </row>
    <row r="504" spans="1:18">
      <c r="A504" s="101" t="s">
        <v>33</v>
      </c>
      <c r="B504" s="101" t="s">
        <v>203</v>
      </c>
      <c r="C504" s="178" t="s">
        <v>2519</v>
      </c>
      <c r="D504" s="161" t="s">
        <v>2519</v>
      </c>
      <c r="E504" s="161" t="s">
        <v>1491</v>
      </c>
      <c r="F504" s="161" t="s">
        <v>2516</v>
      </c>
      <c r="G504" s="163">
        <v>2947.8803</v>
      </c>
      <c r="H504" s="163">
        <f t="shared" si="40"/>
        <v>24.2999999999997</v>
      </c>
      <c r="I504" s="163">
        <v>614</v>
      </c>
      <c r="J504" s="163">
        <v>28590.97227776</v>
      </c>
      <c r="K504" s="163">
        <f t="shared" si="39"/>
        <v>3217120.16926576</v>
      </c>
      <c r="L504" s="174" t="s">
        <v>2520</v>
      </c>
      <c r="M504" s="161" t="s">
        <v>2232</v>
      </c>
      <c r="N504" s="161" t="s">
        <v>1331</v>
      </c>
      <c r="O504" s="161" t="s">
        <v>14</v>
      </c>
      <c r="P504" s="49" t="s">
        <v>14</v>
      </c>
      <c r="Q504" s="166" t="s">
        <v>2521</v>
      </c>
      <c r="R504" s="151"/>
    </row>
    <row r="505" spans="1:18">
      <c r="A505" s="101" t="s">
        <v>33</v>
      </c>
      <c r="B505" s="101" t="s">
        <v>203</v>
      </c>
      <c r="C505" s="178" t="s">
        <v>2522</v>
      </c>
      <c r="D505" s="161" t="s">
        <v>2523</v>
      </c>
      <c r="E505" s="161" t="s">
        <v>1491</v>
      </c>
      <c r="F505" s="161" t="s">
        <v>2516</v>
      </c>
      <c r="G505" s="163">
        <v>2971.0103</v>
      </c>
      <c r="H505" s="163">
        <f t="shared" si="40"/>
        <v>23.1300000000001</v>
      </c>
      <c r="I505" s="163">
        <v>518</v>
      </c>
      <c r="J505" s="163">
        <v>28632.78964224</v>
      </c>
      <c r="K505" s="163">
        <f t="shared" si="39"/>
        <v>3245752.958908</v>
      </c>
      <c r="L505" s="174"/>
      <c r="M505" s="161" t="s">
        <v>2232</v>
      </c>
      <c r="N505" s="161" t="s">
        <v>1901</v>
      </c>
      <c r="O505" s="161" t="s">
        <v>14</v>
      </c>
      <c r="P505" s="49" t="s">
        <v>14</v>
      </c>
      <c r="Q505" s="166" t="s">
        <v>2524</v>
      </c>
      <c r="R505" s="151"/>
    </row>
    <row r="506" spans="1:18">
      <c r="A506" s="101" t="s">
        <v>33</v>
      </c>
      <c r="B506" s="101" t="s">
        <v>203</v>
      </c>
      <c r="C506" s="178" t="s">
        <v>2525</v>
      </c>
      <c r="D506" s="161" t="s">
        <v>2525</v>
      </c>
      <c r="E506" s="161" t="s">
        <v>1491</v>
      </c>
      <c r="F506" s="161" t="s">
        <v>2516</v>
      </c>
      <c r="G506" s="163">
        <v>2995.5203</v>
      </c>
      <c r="H506" s="163">
        <f t="shared" si="40"/>
        <v>24.5100000000002</v>
      </c>
      <c r="I506" s="163">
        <v>427</v>
      </c>
      <c r="J506" s="163">
        <v>29776.16442368</v>
      </c>
      <c r="K506" s="163">
        <f t="shared" si="39"/>
        <v>3275529.12333168</v>
      </c>
      <c r="L506" s="174"/>
      <c r="M506" s="161" t="s">
        <v>2232</v>
      </c>
      <c r="N506" s="161" t="s">
        <v>1331</v>
      </c>
      <c r="O506" s="161" t="s">
        <v>14</v>
      </c>
      <c r="P506" s="49" t="s">
        <v>14</v>
      </c>
      <c r="Q506" s="166" t="s">
        <v>2526</v>
      </c>
      <c r="R506" s="151"/>
    </row>
    <row r="507" spans="1:18">
      <c r="A507" s="101" t="s">
        <v>33</v>
      </c>
      <c r="B507" s="101" t="s">
        <v>203</v>
      </c>
      <c r="C507" s="178" t="s">
        <v>2527</v>
      </c>
      <c r="D507" s="161" t="s">
        <v>2527</v>
      </c>
      <c r="E507" s="161" t="s">
        <v>1491</v>
      </c>
      <c r="F507" s="161" t="s">
        <v>2516</v>
      </c>
      <c r="G507" s="163">
        <v>3011.3903</v>
      </c>
      <c r="H507" s="163">
        <f t="shared" si="40"/>
        <v>15.8699999999999</v>
      </c>
      <c r="I507" s="163">
        <v>380</v>
      </c>
      <c r="J507" s="163">
        <v>18246.67685376</v>
      </c>
      <c r="K507" s="163">
        <f t="shared" si="39"/>
        <v>3293775.80018544</v>
      </c>
      <c r="L507" s="174"/>
      <c r="M507" s="161" t="s">
        <v>2232</v>
      </c>
      <c r="N507" s="161" t="s">
        <v>1331</v>
      </c>
      <c r="O507" s="161" t="s">
        <v>6</v>
      </c>
      <c r="P507" s="49" t="s">
        <v>6</v>
      </c>
      <c r="Q507" s="166" t="s">
        <v>2528</v>
      </c>
      <c r="R507" s="151"/>
    </row>
    <row r="508" spans="1:18">
      <c r="A508" s="101" t="s">
        <v>33</v>
      </c>
      <c r="B508" s="101" t="s">
        <v>203</v>
      </c>
      <c r="C508" s="178" t="s">
        <v>2529</v>
      </c>
      <c r="D508" s="161" t="s">
        <v>2530</v>
      </c>
      <c r="E508" s="161" t="s">
        <v>1491</v>
      </c>
      <c r="F508" s="161" t="s">
        <v>2516</v>
      </c>
      <c r="G508" s="163">
        <v>3027.5176</v>
      </c>
      <c r="H508" s="163">
        <f t="shared" si="40"/>
        <v>16.1273000000001</v>
      </c>
      <c r="I508" s="163">
        <v>378</v>
      </c>
      <c r="J508" s="163">
        <v>18333.6129536</v>
      </c>
      <c r="K508" s="163">
        <f t="shared" si="39"/>
        <v>3312109.41313904</v>
      </c>
      <c r="L508" s="174"/>
      <c r="M508" s="161" t="s">
        <v>2232</v>
      </c>
      <c r="N508" s="161" t="s">
        <v>1901</v>
      </c>
      <c r="O508" s="161" t="s">
        <v>26</v>
      </c>
      <c r="P508" s="49" t="s">
        <v>26</v>
      </c>
      <c r="Q508" s="166" t="s">
        <v>2531</v>
      </c>
      <c r="R508" s="151"/>
    </row>
    <row r="509" spans="1:18">
      <c r="A509" s="101" t="s">
        <v>33</v>
      </c>
      <c r="B509" s="101" t="s">
        <v>203</v>
      </c>
      <c r="C509" s="178" t="s">
        <v>2532</v>
      </c>
      <c r="D509" s="161" t="s">
        <v>2532</v>
      </c>
      <c r="E509" s="161"/>
      <c r="F509" s="161"/>
      <c r="G509" s="163">
        <v>3028.5176</v>
      </c>
      <c r="H509" s="163">
        <f t="shared" si="40"/>
        <v>1</v>
      </c>
      <c r="I509" s="163"/>
      <c r="J509" s="163">
        <v>1128</v>
      </c>
      <c r="K509" s="163">
        <f t="shared" si="39"/>
        <v>3313237.41313904</v>
      </c>
      <c r="L509" s="174"/>
      <c r="M509" s="161" t="s">
        <v>2232</v>
      </c>
      <c r="N509" s="161"/>
      <c r="O509" s="161"/>
      <c r="P509" s="49" t="s">
        <v>15</v>
      </c>
      <c r="Q509" s="166" t="s">
        <v>2531</v>
      </c>
      <c r="R509" s="151"/>
    </row>
    <row r="510" spans="1:18">
      <c r="A510" s="101" t="s">
        <v>33</v>
      </c>
      <c r="B510" s="101" t="s">
        <v>203</v>
      </c>
      <c r="C510" s="178" t="s">
        <v>2533</v>
      </c>
      <c r="D510" s="161" t="s">
        <v>2534</v>
      </c>
      <c r="E510" s="161" t="s">
        <v>1491</v>
      </c>
      <c r="F510" s="161" t="s">
        <v>2516</v>
      </c>
      <c r="G510" s="163">
        <v>3043.3342</v>
      </c>
      <c r="H510" s="163">
        <f t="shared" si="40"/>
        <v>14.8165999999997</v>
      </c>
      <c r="I510" s="163">
        <v>369</v>
      </c>
      <c r="J510" s="163">
        <v>16916</v>
      </c>
      <c r="K510" s="163">
        <f t="shared" si="39"/>
        <v>3330153.41313904</v>
      </c>
      <c r="L510" s="174"/>
      <c r="M510" s="161" t="s">
        <v>2232</v>
      </c>
      <c r="N510" s="161" t="s">
        <v>1901</v>
      </c>
      <c r="O510" s="161" t="s">
        <v>26</v>
      </c>
      <c r="P510" s="49" t="s">
        <v>26</v>
      </c>
      <c r="Q510" s="166" t="s">
        <v>2535</v>
      </c>
      <c r="R510" s="151"/>
    </row>
    <row r="511" spans="1:18">
      <c r="A511" s="101" t="s">
        <v>33</v>
      </c>
      <c r="B511" s="101" t="s">
        <v>203</v>
      </c>
      <c r="C511" s="178" t="s">
        <v>2536</v>
      </c>
      <c r="D511" s="161" t="s">
        <v>2537</v>
      </c>
      <c r="E511" s="161" t="s">
        <v>1491</v>
      </c>
      <c r="F511" s="161" t="s">
        <v>2516</v>
      </c>
      <c r="G511" s="163">
        <v>3057.7403</v>
      </c>
      <c r="H511" s="163">
        <f t="shared" ref="H510:H532" si="41">G511-G510</f>
        <v>14.4061000000002</v>
      </c>
      <c r="I511" s="163">
        <v>359</v>
      </c>
      <c r="J511" s="163">
        <v>18723.17471744</v>
      </c>
      <c r="K511" s="163">
        <f t="shared" si="39"/>
        <v>3348876.58785648</v>
      </c>
      <c r="L511" s="174"/>
      <c r="M511" s="161" t="s">
        <v>2232</v>
      </c>
      <c r="N511" s="161" t="s">
        <v>1901</v>
      </c>
      <c r="O511" s="161" t="s">
        <v>25</v>
      </c>
      <c r="P511" s="49" t="s">
        <v>25</v>
      </c>
      <c r="Q511" s="166" t="s">
        <v>2538</v>
      </c>
      <c r="R511" s="151"/>
    </row>
    <row r="512" spans="1:18">
      <c r="A512" s="101" t="s">
        <v>33</v>
      </c>
      <c r="B512" s="101" t="s">
        <v>203</v>
      </c>
      <c r="C512" s="178" t="s">
        <v>2539</v>
      </c>
      <c r="D512" s="161" t="s">
        <v>2539</v>
      </c>
      <c r="E512" s="161" t="s">
        <v>1491</v>
      </c>
      <c r="F512" s="161" t="s">
        <v>2516</v>
      </c>
      <c r="G512" s="163">
        <v>3057.7403</v>
      </c>
      <c r="H512" s="163">
        <f t="shared" si="41"/>
        <v>0</v>
      </c>
      <c r="I512" s="163" t="s">
        <v>147</v>
      </c>
      <c r="J512" s="163" t="s">
        <v>147</v>
      </c>
      <c r="K512" s="163" t="s">
        <v>147</v>
      </c>
      <c r="L512" s="174" t="s">
        <v>2540</v>
      </c>
      <c r="M512" s="161" t="s">
        <v>2232</v>
      </c>
      <c r="N512" s="161"/>
      <c r="O512" s="161" t="s">
        <v>14</v>
      </c>
      <c r="P512" s="49" t="s">
        <v>14</v>
      </c>
      <c r="Q512" s="166" t="s">
        <v>2541</v>
      </c>
      <c r="R512" s="151"/>
    </row>
    <row r="513" spans="1:18">
      <c r="A513" s="101" t="s">
        <v>33</v>
      </c>
      <c r="B513" s="101" t="s">
        <v>203</v>
      </c>
      <c r="C513" s="178" t="s">
        <v>2542</v>
      </c>
      <c r="D513" s="161" t="s">
        <v>2542</v>
      </c>
      <c r="E513" s="161" t="s">
        <v>1491</v>
      </c>
      <c r="F513" s="161" t="s">
        <v>2516</v>
      </c>
      <c r="G513" s="163">
        <v>3057.7403</v>
      </c>
      <c r="H513" s="163">
        <f t="shared" si="41"/>
        <v>0</v>
      </c>
      <c r="I513" s="163" t="s">
        <v>147</v>
      </c>
      <c r="J513" s="163" t="s">
        <v>147</v>
      </c>
      <c r="K513" s="163" t="s">
        <v>147</v>
      </c>
      <c r="L513" s="174" t="s">
        <v>2540</v>
      </c>
      <c r="M513" s="161" t="s">
        <v>2232</v>
      </c>
      <c r="N513" s="161"/>
      <c r="O513" s="161" t="s">
        <v>14</v>
      </c>
      <c r="P513" s="49" t="s">
        <v>14</v>
      </c>
      <c r="Q513" s="166" t="s">
        <v>2541</v>
      </c>
      <c r="R513" s="151"/>
    </row>
    <row r="514" spans="1:18">
      <c r="A514" s="101" t="s">
        <v>33</v>
      </c>
      <c r="B514" s="101" t="s">
        <v>203</v>
      </c>
      <c r="C514" s="178" t="s">
        <v>2543</v>
      </c>
      <c r="D514" s="161" t="s">
        <v>2544</v>
      </c>
      <c r="E514" s="161" t="s">
        <v>1491</v>
      </c>
      <c r="F514" s="161" t="s">
        <v>2516</v>
      </c>
      <c r="G514" s="163">
        <v>3075.9888</v>
      </c>
      <c r="H514" s="163">
        <f t="shared" si="41"/>
        <v>18.2485000000001</v>
      </c>
      <c r="I514" s="163">
        <v>342</v>
      </c>
      <c r="J514" s="163">
        <v>21501.82854144</v>
      </c>
      <c r="K514" s="163">
        <f>J514+K511</f>
        <v>3370378.41639792</v>
      </c>
      <c r="L514" s="174"/>
      <c r="M514" s="161" t="s">
        <v>2232</v>
      </c>
      <c r="N514" s="161" t="s">
        <v>1901</v>
      </c>
      <c r="O514" s="161" t="s">
        <v>26</v>
      </c>
      <c r="P514" s="49" t="s">
        <v>26</v>
      </c>
      <c r="Q514" s="166" t="s">
        <v>2541</v>
      </c>
      <c r="R514" s="151"/>
    </row>
    <row r="515" spans="1:18">
      <c r="A515" s="101" t="s">
        <v>33</v>
      </c>
      <c r="B515" s="101" t="s">
        <v>203</v>
      </c>
      <c r="C515" s="178" t="s">
        <v>2545</v>
      </c>
      <c r="D515" s="161" t="s">
        <v>2546</v>
      </c>
      <c r="E515" s="161" t="s">
        <v>1491</v>
      </c>
      <c r="F515" s="161" t="s">
        <v>2547</v>
      </c>
      <c r="G515" s="163">
        <v>3079.3541</v>
      </c>
      <c r="H515" s="163">
        <f t="shared" si="41"/>
        <v>3.36529999999993</v>
      </c>
      <c r="I515" s="163">
        <v>341</v>
      </c>
      <c r="J515" s="163">
        <v>4772.68183552</v>
      </c>
      <c r="K515" s="163">
        <f t="shared" ref="K515:K529" si="42">J515+K514</f>
        <v>3375151.09823344</v>
      </c>
      <c r="L515" s="174"/>
      <c r="M515" s="161" t="s">
        <v>2232</v>
      </c>
      <c r="N515" s="161" t="s">
        <v>1299</v>
      </c>
      <c r="O515" s="161" t="s">
        <v>25</v>
      </c>
      <c r="P515" s="49" t="s">
        <v>25</v>
      </c>
      <c r="Q515" s="166" t="s">
        <v>2548</v>
      </c>
      <c r="R515" s="151"/>
    </row>
    <row r="516" spans="1:18">
      <c r="A516" s="101" t="s">
        <v>33</v>
      </c>
      <c r="B516" s="101" t="s">
        <v>203</v>
      </c>
      <c r="C516" s="178" t="s">
        <v>2549</v>
      </c>
      <c r="D516" s="161" t="s">
        <v>2549</v>
      </c>
      <c r="E516" s="161" t="s">
        <v>1491</v>
      </c>
      <c r="F516" s="161" t="s">
        <v>2547</v>
      </c>
      <c r="G516" s="163">
        <v>3104.7003</v>
      </c>
      <c r="H516" s="163">
        <f t="shared" si="41"/>
        <v>25.3462</v>
      </c>
      <c r="I516" s="163">
        <v>336</v>
      </c>
      <c r="J516" s="163">
        <v>30439.73997056</v>
      </c>
      <c r="K516" s="163">
        <f t="shared" si="42"/>
        <v>3405590.838204</v>
      </c>
      <c r="L516" s="174"/>
      <c r="M516" s="161" t="s">
        <v>2232</v>
      </c>
      <c r="N516" s="161" t="s">
        <v>1331</v>
      </c>
      <c r="O516" s="161" t="s">
        <v>14</v>
      </c>
      <c r="P516" s="49" t="s">
        <v>14</v>
      </c>
      <c r="Q516" s="166" t="s">
        <v>2550</v>
      </c>
      <c r="R516" s="151"/>
    </row>
    <row r="517" spans="1:18">
      <c r="A517" s="101" t="s">
        <v>33</v>
      </c>
      <c r="B517" s="101" t="s">
        <v>203</v>
      </c>
      <c r="C517" s="178" t="s">
        <v>2551</v>
      </c>
      <c r="D517" s="161" t="s">
        <v>2552</v>
      </c>
      <c r="E517" s="161" t="s">
        <v>1491</v>
      </c>
      <c r="F517" s="161" t="s">
        <v>2547</v>
      </c>
      <c r="G517" s="163">
        <v>3119.0155</v>
      </c>
      <c r="H517" s="163">
        <f t="shared" si="41"/>
        <v>14.3152</v>
      </c>
      <c r="I517" s="163">
        <v>336</v>
      </c>
      <c r="J517" s="163">
        <v>18376.53077504</v>
      </c>
      <c r="K517" s="163">
        <f t="shared" si="42"/>
        <v>3423967.36897904</v>
      </c>
      <c r="L517" s="174"/>
      <c r="M517" s="161" t="s">
        <v>2232</v>
      </c>
      <c r="N517" s="161" t="s">
        <v>1901</v>
      </c>
      <c r="O517" s="161" t="s">
        <v>26</v>
      </c>
      <c r="P517" s="49" t="s">
        <v>26</v>
      </c>
      <c r="Q517" s="166" t="s">
        <v>2553</v>
      </c>
      <c r="R517" s="151"/>
    </row>
    <row r="518" spans="1:18">
      <c r="A518" s="101" t="s">
        <v>33</v>
      </c>
      <c r="B518" s="101" t="s">
        <v>203</v>
      </c>
      <c r="C518" s="178" t="s">
        <v>2554</v>
      </c>
      <c r="D518" s="161" t="s">
        <v>2555</v>
      </c>
      <c r="E518" s="161" t="s">
        <v>1491</v>
      </c>
      <c r="F518" s="161" t="s">
        <v>2547</v>
      </c>
      <c r="G518" s="163">
        <v>3134.6406</v>
      </c>
      <c r="H518" s="163">
        <f t="shared" si="41"/>
        <v>15.6251000000002</v>
      </c>
      <c r="I518" s="163">
        <v>544</v>
      </c>
      <c r="J518" s="163">
        <v>18495.38012672</v>
      </c>
      <c r="K518" s="163">
        <f t="shared" si="42"/>
        <v>3442462.74910576</v>
      </c>
      <c r="L518" s="174"/>
      <c r="M518" s="161" t="s">
        <v>2232</v>
      </c>
      <c r="N518" s="161" t="s">
        <v>1901</v>
      </c>
      <c r="O518" s="161" t="s">
        <v>26</v>
      </c>
      <c r="P518" s="49" t="s">
        <v>26</v>
      </c>
      <c r="Q518" s="166" t="s">
        <v>2556</v>
      </c>
      <c r="R518" s="151"/>
    </row>
    <row r="519" spans="1:18">
      <c r="A519" s="101" t="s">
        <v>33</v>
      </c>
      <c r="B519" s="101" t="s">
        <v>203</v>
      </c>
      <c r="C519" s="74" t="s">
        <v>2557</v>
      </c>
      <c r="D519" s="161" t="s">
        <v>2557</v>
      </c>
      <c r="E519" s="161" t="s">
        <v>1491</v>
      </c>
      <c r="F519" s="161" t="s">
        <v>2547</v>
      </c>
      <c r="G519" s="163">
        <v>3151.1403</v>
      </c>
      <c r="H519" s="163">
        <f t="shared" si="41"/>
        <v>16.4996999999998</v>
      </c>
      <c r="I519" s="174">
        <v>520</v>
      </c>
      <c r="J519" s="174">
        <v>19396.65437696</v>
      </c>
      <c r="K519" s="174">
        <f t="shared" si="42"/>
        <v>3461859.40348272</v>
      </c>
      <c r="L519" s="174"/>
      <c r="M519" s="161" t="s">
        <v>2232</v>
      </c>
      <c r="N519" s="161" t="s">
        <v>1331</v>
      </c>
      <c r="O519" s="161" t="s">
        <v>6</v>
      </c>
      <c r="P519" s="49" t="s">
        <v>6</v>
      </c>
      <c r="Q519" s="166" t="s">
        <v>2558</v>
      </c>
      <c r="R519" s="151"/>
    </row>
    <row r="520" spans="1:18">
      <c r="A520" s="101" t="s">
        <v>33</v>
      </c>
      <c r="B520" s="101" t="s">
        <v>203</v>
      </c>
      <c r="C520" s="178" t="s">
        <v>2559</v>
      </c>
      <c r="D520" s="161" t="s">
        <v>2560</v>
      </c>
      <c r="E520" s="161" t="s">
        <v>1640</v>
      </c>
      <c r="F520" s="161" t="s">
        <v>2561</v>
      </c>
      <c r="G520" s="163">
        <v>3167.0705</v>
      </c>
      <c r="H520" s="163">
        <f t="shared" si="41"/>
        <v>15.9301999999998</v>
      </c>
      <c r="I520" s="163">
        <v>349</v>
      </c>
      <c r="J520" s="163">
        <v>17536</v>
      </c>
      <c r="K520" s="163">
        <f t="shared" si="42"/>
        <v>3479395.40348272</v>
      </c>
      <c r="L520" s="174"/>
      <c r="M520" s="161" t="s">
        <v>2232</v>
      </c>
      <c r="N520" s="161" t="s">
        <v>1901</v>
      </c>
      <c r="O520" s="161" t="s">
        <v>26</v>
      </c>
      <c r="P520" s="49" t="s">
        <v>26</v>
      </c>
      <c r="Q520" s="166" t="s">
        <v>2562</v>
      </c>
      <c r="R520" s="151"/>
    </row>
    <row r="521" spans="1:18">
      <c r="A521" s="101" t="s">
        <v>33</v>
      </c>
      <c r="B521" s="101" t="s">
        <v>203</v>
      </c>
      <c r="C521" s="178" t="s">
        <v>2563</v>
      </c>
      <c r="D521" s="161" t="s">
        <v>2564</v>
      </c>
      <c r="E521" s="161" t="s">
        <v>1640</v>
      </c>
      <c r="F521" s="161" t="s">
        <v>2561</v>
      </c>
      <c r="G521" s="163">
        <v>3187.5467</v>
      </c>
      <c r="H521" s="163">
        <f t="shared" si="41"/>
        <v>20.4762000000001</v>
      </c>
      <c r="I521" s="163">
        <v>399</v>
      </c>
      <c r="J521" s="163">
        <v>22044</v>
      </c>
      <c r="K521" s="163">
        <f t="shared" si="42"/>
        <v>3501439.40348272</v>
      </c>
      <c r="L521" s="174"/>
      <c r="M521" s="161" t="s">
        <v>2232</v>
      </c>
      <c r="N521" s="161" t="s">
        <v>1901</v>
      </c>
      <c r="O521" s="161" t="s">
        <v>26</v>
      </c>
      <c r="P521" s="49" t="s">
        <v>26</v>
      </c>
      <c r="Q521" s="166" t="s">
        <v>2565</v>
      </c>
      <c r="R521" s="151"/>
    </row>
    <row r="522" spans="1:18">
      <c r="A522" s="101" t="s">
        <v>33</v>
      </c>
      <c r="B522" s="101" t="s">
        <v>203</v>
      </c>
      <c r="C522" s="178" t="s">
        <v>2566</v>
      </c>
      <c r="D522" s="161" t="s">
        <v>2567</v>
      </c>
      <c r="E522" s="161" t="s">
        <v>1640</v>
      </c>
      <c r="F522" s="161" t="s">
        <v>2561</v>
      </c>
      <c r="G522" s="163">
        <v>3205.3333</v>
      </c>
      <c r="H522" s="163">
        <f t="shared" si="41"/>
        <v>17.7865999999999</v>
      </c>
      <c r="I522" s="163">
        <v>590</v>
      </c>
      <c r="J522" s="163">
        <v>19149</v>
      </c>
      <c r="K522" s="163">
        <f t="shared" si="42"/>
        <v>3520588.40348272</v>
      </c>
      <c r="L522" s="174"/>
      <c r="M522" s="161" t="s">
        <v>2232</v>
      </c>
      <c r="N522" s="161" t="s">
        <v>1901</v>
      </c>
      <c r="O522" s="161" t="s">
        <v>26</v>
      </c>
      <c r="P522" s="49" t="s">
        <v>26</v>
      </c>
      <c r="Q522" s="166" t="s">
        <v>2568</v>
      </c>
      <c r="R522" s="151"/>
    </row>
    <row r="523" spans="1:18">
      <c r="A523" s="101" t="s">
        <v>33</v>
      </c>
      <c r="B523" s="101" t="s">
        <v>203</v>
      </c>
      <c r="C523" s="178" t="s">
        <v>2569</v>
      </c>
      <c r="D523" s="161" t="s">
        <v>2569</v>
      </c>
      <c r="E523" s="161" t="s">
        <v>1640</v>
      </c>
      <c r="F523" s="161" t="s">
        <v>2561</v>
      </c>
      <c r="G523" s="163">
        <v>3225.4402</v>
      </c>
      <c r="H523" s="163">
        <f t="shared" si="41"/>
        <v>20.1069000000002</v>
      </c>
      <c r="I523" s="163">
        <v>750</v>
      </c>
      <c r="J523" s="163">
        <v>21394</v>
      </c>
      <c r="K523" s="163">
        <f t="shared" si="42"/>
        <v>3541982.40348272</v>
      </c>
      <c r="L523" s="174"/>
      <c r="M523" s="161" t="s">
        <v>2232</v>
      </c>
      <c r="N523" s="161" t="s">
        <v>1331</v>
      </c>
      <c r="O523" s="161" t="s">
        <v>14</v>
      </c>
      <c r="P523" s="49" t="s">
        <v>14</v>
      </c>
      <c r="Q523" s="166" t="s">
        <v>2570</v>
      </c>
      <c r="R523" s="151"/>
    </row>
    <row r="524" spans="1:18">
      <c r="A524" s="101" t="s">
        <v>33</v>
      </c>
      <c r="B524" s="101" t="s">
        <v>203</v>
      </c>
      <c r="C524" s="178" t="s">
        <v>2571</v>
      </c>
      <c r="D524" s="161" t="s">
        <v>2572</v>
      </c>
      <c r="E524" s="161" t="s">
        <v>1640</v>
      </c>
      <c r="F524" s="161" t="s">
        <v>2561</v>
      </c>
      <c r="G524" s="163">
        <v>3250.1494</v>
      </c>
      <c r="H524" s="163">
        <f t="shared" si="41"/>
        <v>24.7091999999998</v>
      </c>
      <c r="I524" s="163">
        <v>677</v>
      </c>
      <c r="J524" s="163">
        <v>26355</v>
      </c>
      <c r="K524" s="163">
        <f t="shared" si="42"/>
        <v>3568337.40348272</v>
      </c>
      <c r="L524" s="174"/>
      <c r="M524" s="161" t="s">
        <v>2232</v>
      </c>
      <c r="N524" s="161" t="s">
        <v>1901</v>
      </c>
      <c r="O524" s="161" t="s">
        <v>26</v>
      </c>
      <c r="P524" s="49" t="s">
        <v>26</v>
      </c>
      <c r="Q524" s="166" t="s">
        <v>2573</v>
      </c>
      <c r="R524" s="151"/>
    </row>
    <row r="525" spans="1:18">
      <c r="A525" s="101" t="s">
        <v>33</v>
      </c>
      <c r="B525" s="101" t="s">
        <v>203</v>
      </c>
      <c r="C525" s="178" t="s">
        <v>2574</v>
      </c>
      <c r="D525" s="161" t="s">
        <v>2575</v>
      </c>
      <c r="E525" s="161" t="s">
        <v>1640</v>
      </c>
      <c r="F525" s="161" t="s">
        <v>2561</v>
      </c>
      <c r="G525" s="163">
        <v>3273.6113</v>
      </c>
      <c r="H525" s="163">
        <f t="shared" si="41"/>
        <v>23.4619000000002</v>
      </c>
      <c r="I525" s="163">
        <v>700</v>
      </c>
      <c r="J525" s="163">
        <v>25030</v>
      </c>
      <c r="K525" s="163">
        <f t="shared" si="42"/>
        <v>3593367.40348272</v>
      </c>
      <c r="L525" s="174"/>
      <c r="M525" s="161" t="s">
        <v>2232</v>
      </c>
      <c r="N525" s="161" t="s">
        <v>1901</v>
      </c>
      <c r="O525" s="161" t="s">
        <v>26</v>
      </c>
      <c r="P525" s="49" t="s">
        <v>26</v>
      </c>
      <c r="Q525" s="166" t="s">
        <v>2576</v>
      </c>
      <c r="R525" s="151"/>
    </row>
    <row r="526" spans="1:18">
      <c r="A526" s="101" t="s">
        <v>33</v>
      </c>
      <c r="B526" s="101" t="s">
        <v>203</v>
      </c>
      <c r="C526" s="178" t="s">
        <v>2577</v>
      </c>
      <c r="D526" s="161" t="s">
        <v>2577</v>
      </c>
      <c r="E526" s="161" t="s">
        <v>1640</v>
      </c>
      <c r="F526" s="161" t="s">
        <v>2561</v>
      </c>
      <c r="G526" s="163">
        <v>3298.5302</v>
      </c>
      <c r="H526" s="163">
        <f t="shared" si="41"/>
        <v>24.9189000000001</v>
      </c>
      <c r="I526" s="163">
        <v>520</v>
      </c>
      <c r="J526" s="163">
        <v>26581</v>
      </c>
      <c r="K526" s="163">
        <f t="shared" si="42"/>
        <v>3619948.40348272</v>
      </c>
      <c r="L526" s="174"/>
      <c r="M526" s="161" t="s">
        <v>2232</v>
      </c>
      <c r="N526" s="161" t="s">
        <v>1331</v>
      </c>
      <c r="O526" s="161" t="s">
        <v>6</v>
      </c>
      <c r="P526" s="49" t="s">
        <v>6</v>
      </c>
      <c r="Q526" s="166" t="s">
        <v>2578</v>
      </c>
      <c r="R526" s="151"/>
    </row>
    <row r="527" spans="1:18">
      <c r="A527" s="101" t="s">
        <v>33</v>
      </c>
      <c r="B527" s="101" t="s">
        <v>203</v>
      </c>
      <c r="C527" s="178" t="s">
        <v>2579</v>
      </c>
      <c r="D527" s="161" t="s">
        <v>2580</v>
      </c>
      <c r="E527" s="161" t="s">
        <v>1640</v>
      </c>
      <c r="F527" s="161" t="s">
        <v>2561</v>
      </c>
      <c r="G527" s="163">
        <v>3319.4437</v>
      </c>
      <c r="H527" s="163">
        <f t="shared" si="41"/>
        <v>20.9134999999997</v>
      </c>
      <c r="I527" s="163">
        <v>265</v>
      </c>
      <c r="J527" s="163">
        <v>22933</v>
      </c>
      <c r="K527" s="163">
        <f t="shared" si="42"/>
        <v>3642881.40348272</v>
      </c>
      <c r="L527" s="174"/>
      <c r="M527" s="161" t="s">
        <v>2232</v>
      </c>
      <c r="N527" s="161" t="s">
        <v>1901</v>
      </c>
      <c r="O527" s="161" t="s">
        <v>26</v>
      </c>
      <c r="P527" s="49" t="s">
        <v>26</v>
      </c>
      <c r="Q527" s="166" t="s">
        <v>2581</v>
      </c>
      <c r="R527" s="151"/>
    </row>
    <row r="528" spans="1:18">
      <c r="A528" s="101" t="s">
        <v>33</v>
      </c>
      <c r="B528" s="101" t="s">
        <v>203</v>
      </c>
      <c r="C528" s="178" t="s">
        <v>2582</v>
      </c>
      <c r="D528" s="161" t="s">
        <v>2583</v>
      </c>
      <c r="E528" s="161" t="s">
        <v>1640</v>
      </c>
      <c r="F528" s="161" t="s">
        <v>2561</v>
      </c>
      <c r="G528" s="163">
        <v>3338.3278</v>
      </c>
      <c r="H528" s="163">
        <f t="shared" si="41"/>
        <v>18.8841000000002</v>
      </c>
      <c r="I528" s="163">
        <v>360</v>
      </c>
      <c r="J528" s="163">
        <v>22063</v>
      </c>
      <c r="K528" s="163">
        <f t="shared" si="42"/>
        <v>3664944.40348272</v>
      </c>
      <c r="L528" s="174"/>
      <c r="M528" s="161" t="s">
        <v>2232</v>
      </c>
      <c r="N528" s="161" t="s">
        <v>1901</v>
      </c>
      <c r="O528" s="161" t="s">
        <v>26</v>
      </c>
      <c r="P528" s="49" t="s">
        <v>26</v>
      </c>
      <c r="Q528" s="166" t="s">
        <v>2584</v>
      </c>
      <c r="R528" s="151"/>
    </row>
    <row r="529" spans="1:18">
      <c r="A529" s="101" t="s">
        <v>33</v>
      </c>
      <c r="B529" s="101" t="s">
        <v>203</v>
      </c>
      <c r="C529" s="178" t="s">
        <v>229</v>
      </c>
      <c r="D529" s="161" t="s">
        <v>229</v>
      </c>
      <c r="E529" s="161" t="s">
        <v>1640</v>
      </c>
      <c r="F529" s="161" t="s">
        <v>2561</v>
      </c>
      <c r="G529" s="163">
        <v>3362.8302</v>
      </c>
      <c r="H529" s="163">
        <f t="shared" si="41"/>
        <v>24.5023999999999</v>
      </c>
      <c r="I529" s="163">
        <v>220</v>
      </c>
      <c r="J529" s="163">
        <v>25137</v>
      </c>
      <c r="K529" s="163">
        <f t="shared" si="42"/>
        <v>3690081.40348272</v>
      </c>
      <c r="L529" s="174"/>
      <c r="M529" s="161" t="s">
        <v>2232</v>
      </c>
      <c r="N529" s="161" t="s">
        <v>1331</v>
      </c>
      <c r="O529" s="161" t="s">
        <v>14</v>
      </c>
      <c r="P529" s="49" t="s">
        <v>14</v>
      </c>
      <c r="Q529" s="166" t="s">
        <v>2585</v>
      </c>
      <c r="R529" s="151"/>
    </row>
    <row r="530" spans="1:18">
      <c r="A530" s="101" t="s">
        <v>33</v>
      </c>
      <c r="B530" s="101" t="s">
        <v>203</v>
      </c>
      <c r="C530" s="178" t="s">
        <v>2586</v>
      </c>
      <c r="D530" s="161" t="s">
        <v>2587</v>
      </c>
      <c r="E530" s="161" t="s">
        <v>1640</v>
      </c>
      <c r="F530" s="161" t="s">
        <v>2561</v>
      </c>
      <c r="G530" s="163">
        <v>3379.2242</v>
      </c>
      <c r="H530" s="163">
        <f t="shared" si="41"/>
        <v>16.3940000000002</v>
      </c>
      <c r="I530" s="163">
        <v>340</v>
      </c>
      <c r="J530" s="163">
        <v>17483</v>
      </c>
      <c r="K530" s="163">
        <f t="shared" ref="K530:K561" si="43">J530+K529</f>
        <v>3707564.40348272</v>
      </c>
      <c r="L530" s="174"/>
      <c r="M530" s="161" t="s">
        <v>2232</v>
      </c>
      <c r="N530" s="161" t="s">
        <v>1901</v>
      </c>
      <c r="O530" s="161" t="s">
        <v>26</v>
      </c>
      <c r="P530" s="49" t="s">
        <v>26</v>
      </c>
      <c r="Q530" s="166" t="s">
        <v>2588</v>
      </c>
      <c r="R530" s="151"/>
    </row>
    <row r="531" spans="1:18">
      <c r="A531" s="101" t="s">
        <v>33</v>
      </c>
      <c r="B531" s="101" t="s">
        <v>203</v>
      </c>
      <c r="C531" s="178" t="s">
        <v>2589</v>
      </c>
      <c r="D531" s="161" t="s">
        <v>2590</v>
      </c>
      <c r="E531" s="161" t="s">
        <v>1640</v>
      </c>
      <c r="F531" s="161" t="s">
        <v>2591</v>
      </c>
      <c r="G531" s="163">
        <v>3394.4335</v>
      </c>
      <c r="H531" s="163">
        <f t="shared" si="41"/>
        <v>15.2093</v>
      </c>
      <c r="I531" s="163">
        <v>296</v>
      </c>
      <c r="J531" s="163">
        <v>16025</v>
      </c>
      <c r="K531" s="163">
        <f t="shared" si="43"/>
        <v>3723589.40348272</v>
      </c>
      <c r="L531" s="174"/>
      <c r="M531" s="161" t="s">
        <v>2232</v>
      </c>
      <c r="N531" s="161" t="s">
        <v>1901</v>
      </c>
      <c r="O531" s="161" t="s">
        <v>26</v>
      </c>
      <c r="P531" s="49" t="s">
        <v>26</v>
      </c>
      <c r="Q531" s="166" t="s">
        <v>2592</v>
      </c>
      <c r="R531" s="151"/>
    </row>
    <row r="532" spans="1:18">
      <c r="A532" s="101" t="s">
        <v>33</v>
      </c>
      <c r="B532" s="101" t="s">
        <v>203</v>
      </c>
      <c r="C532" s="178" t="s">
        <v>2593</v>
      </c>
      <c r="D532" s="161" t="s">
        <v>2594</v>
      </c>
      <c r="E532" s="161" t="s">
        <v>1640</v>
      </c>
      <c r="F532" s="161" t="s">
        <v>2591</v>
      </c>
      <c r="G532" s="163">
        <v>3416.6102</v>
      </c>
      <c r="H532" s="163">
        <f t="shared" si="41"/>
        <v>22.1767</v>
      </c>
      <c r="I532" s="163">
        <v>318</v>
      </c>
      <c r="J532" s="163">
        <v>23906</v>
      </c>
      <c r="K532" s="163">
        <f t="shared" si="43"/>
        <v>3747495.40348272</v>
      </c>
      <c r="L532" s="174"/>
      <c r="M532" s="161" t="s">
        <v>2232</v>
      </c>
      <c r="N532" s="161" t="s">
        <v>1901</v>
      </c>
      <c r="O532" s="161" t="s">
        <v>26</v>
      </c>
      <c r="P532" s="49" t="s">
        <v>26</v>
      </c>
      <c r="Q532" s="166" t="s">
        <v>2595</v>
      </c>
      <c r="R532" s="151"/>
    </row>
    <row r="533" spans="1:18">
      <c r="A533" s="101" t="s">
        <v>33</v>
      </c>
      <c r="B533" s="101" t="s">
        <v>203</v>
      </c>
      <c r="C533" s="178" t="s">
        <v>2596</v>
      </c>
      <c r="D533" s="161" t="s">
        <v>2597</v>
      </c>
      <c r="E533" s="161" t="s">
        <v>1640</v>
      </c>
      <c r="F533" s="161" t="s">
        <v>2591</v>
      </c>
      <c r="G533" s="163">
        <v>3439.343</v>
      </c>
      <c r="H533" s="163">
        <f t="shared" ref="H533:H562" si="44">G533-G532</f>
        <v>22.7327999999998</v>
      </c>
      <c r="I533" s="163">
        <v>194</v>
      </c>
      <c r="J533" s="163">
        <v>22586</v>
      </c>
      <c r="K533" s="163">
        <f t="shared" si="43"/>
        <v>3770081.40348272</v>
      </c>
      <c r="L533" s="174"/>
      <c r="M533" s="161" t="s">
        <v>2232</v>
      </c>
      <c r="N533" s="161" t="s">
        <v>1901</v>
      </c>
      <c r="O533" s="161" t="s">
        <v>26</v>
      </c>
      <c r="P533" s="49" t="s">
        <v>26</v>
      </c>
      <c r="Q533" s="166" t="s">
        <v>2598</v>
      </c>
      <c r="R533" s="151"/>
    </row>
    <row r="534" spans="1:18">
      <c r="A534" s="101" t="s">
        <v>33</v>
      </c>
      <c r="B534" s="101" t="s">
        <v>203</v>
      </c>
      <c r="C534" s="178" t="s">
        <v>264</v>
      </c>
      <c r="D534" s="161" t="s">
        <v>264</v>
      </c>
      <c r="E534" s="161" t="s">
        <v>1640</v>
      </c>
      <c r="F534" s="161" t="s">
        <v>2591</v>
      </c>
      <c r="G534" s="163">
        <v>3459.6202</v>
      </c>
      <c r="H534" s="163">
        <f t="shared" si="44"/>
        <v>20.2772</v>
      </c>
      <c r="I534" s="163">
        <v>135</v>
      </c>
      <c r="J534" s="163">
        <v>26465</v>
      </c>
      <c r="K534" s="163">
        <f t="shared" si="43"/>
        <v>3796546.40348272</v>
      </c>
      <c r="L534" s="174"/>
      <c r="M534" s="161" t="s">
        <v>2232</v>
      </c>
      <c r="N534" s="161" t="s">
        <v>1331</v>
      </c>
      <c r="O534" s="161" t="s">
        <v>6</v>
      </c>
      <c r="P534" s="49" t="s">
        <v>6</v>
      </c>
      <c r="Q534" s="166" t="s">
        <v>2599</v>
      </c>
      <c r="R534" s="151"/>
    </row>
    <row r="535" spans="1:18">
      <c r="A535" s="101" t="s">
        <v>33</v>
      </c>
      <c r="B535" s="101" t="s">
        <v>203</v>
      </c>
      <c r="C535" s="178" t="s">
        <v>2600</v>
      </c>
      <c r="D535" s="161" t="s">
        <v>2601</v>
      </c>
      <c r="E535" s="161" t="s">
        <v>1640</v>
      </c>
      <c r="F535" s="161" t="s">
        <v>2591</v>
      </c>
      <c r="G535" s="163">
        <v>3471.8266</v>
      </c>
      <c r="H535" s="163">
        <f t="shared" si="44"/>
        <v>12.2064</v>
      </c>
      <c r="I535" s="163">
        <v>113</v>
      </c>
      <c r="J535" s="163">
        <v>13840</v>
      </c>
      <c r="K535" s="163">
        <f t="shared" si="43"/>
        <v>3810386.40348272</v>
      </c>
      <c r="L535" s="174"/>
      <c r="M535" s="161" t="s">
        <v>2232</v>
      </c>
      <c r="N535" s="161" t="s">
        <v>1901</v>
      </c>
      <c r="O535" s="161" t="s">
        <v>26</v>
      </c>
      <c r="P535" s="49" t="s">
        <v>26</v>
      </c>
      <c r="Q535" s="166" t="s">
        <v>2602</v>
      </c>
      <c r="R535" s="151"/>
    </row>
    <row r="536" spans="1:18">
      <c r="A536" s="101" t="s">
        <v>33</v>
      </c>
      <c r="B536" s="101" t="s">
        <v>203</v>
      </c>
      <c r="C536" s="178" t="s">
        <v>2603</v>
      </c>
      <c r="D536" s="161" t="s">
        <v>2603</v>
      </c>
      <c r="E536" s="161" t="s">
        <v>1640</v>
      </c>
      <c r="F536" s="161" t="s">
        <v>2591</v>
      </c>
      <c r="G536" s="163">
        <v>3489.2702</v>
      </c>
      <c r="H536" s="163">
        <f t="shared" si="44"/>
        <v>17.4436000000001</v>
      </c>
      <c r="I536" s="163">
        <v>130</v>
      </c>
      <c r="J536" s="163">
        <v>19784</v>
      </c>
      <c r="K536" s="163">
        <f t="shared" si="43"/>
        <v>3830170.40348272</v>
      </c>
      <c r="L536" s="174"/>
      <c r="M536" s="161" t="s">
        <v>2232</v>
      </c>
      <c r="N536" s="161" t="s">
        <v>1331</v>
      </c>
      <c r="O536" s="161" t="s">
        <v>14</v>
      </c>
      <c r="P536" s="49" t="s">
        <v>14</v>
      </c>
      <c r="Q536" s="166" t="s">
        <v>2604</v>
      </c>
      <c r="R536" s="151"/>
    </row>
    <row r="537" spans="1:18">
      <c r="A537" s="101" t="s">
        <v>33</v>
      </c>
      <c r="B537" s="101" t="s">
        <v>203</v>
      </c>
      <c r="C537" s="178" t="s">
        <v>2605</v>
      </c>
      <c r="D537" s="161" t="s">
        <v>2606</v>
      </c>
      <c r="E537" s="161" t="s">
        <v>1640</v>
      </c>
      <c r="F537" s="161" t="s">
        <v>2591</v>
      </c>
      <c r="G537" s="163">
        <v>3511.3656</v>
      </c>
      <c r="H537" s="163">
        <f t="shared" si="44"/>
        <v>22.0954000000002</v>
      </c>
      <c r="I537" s="163">
        <v>157</v>
      </c>
      <c r="J537" s="163">
        <v>23294</v>
      </c>
      <c r="K537" s="163">
        <f t="shared" si="43"/>
        <v>3853464.40348272</v>
      </c>
      <c r="L537" s="174"/>
      <c r="M537" s="161" t="s">
        <v>2232</v>
      </c>
      <c r="N537" s="161" t="s">
        <v>1901</v>
      </c>
      <c r="O537" s="161" t="s">
        <v>26</v>
      </c>
      <c r="P537" s="49" t="s">
        <v>26</v>
      </c>
      <c r="Q537" s="166" t="s">
        <v>2607</v>
      </c>
      <c r="R537" s="151"/>
    </row>
    <row r="538" spans="1:18">
      <c r="A538" s="101" t="s">
        <v>33</v>
      </c>
      <c r="B538" s="101" t="s">
        <v>203</v>
      </c>
      <c r="C538" s="178" t="s">
        <v>2608</v>
      </c>
      <c r="D538" s="161" t="s">
        <v>2609</v>
      </c>
      <c r="E538" s="161" t="s">
        <v>1640</v>
      </c>
      <c r="F538" s="161" t="s">
        <v>2591</v>
      </c>
      <c r="G538" s="163">
        <v>3533.464</v>
      </c>
      <c r="H538" s="163">
        <f t="shared" si="44"/>
        <v>22.0983999999999</v>
      </c>
      <c r="I538" s="163">
        <v>159</v>
      </c>
      <c r="J538" s="163">
        <v>23294</v>
      </c>
      <c r="K538" s="163">
        <f t="shared" si="43"/>
        <v>3876758.40348272</v>
      </c>
      <c r="L538" s="174"/>
      <c r="M538" s="161" t="s">
        <v>2232</v>
      </c>
      <c r="N538" s="161" t="s">
        <v>1901</v>
      </c>
      <c r="O538" s="161" t="s">
        <v>26</v>
      </c>
      <c r="P538" s="49" t="s">
        <v>26</v>
      </c>
      <c r="Q538" s="166" t="s">
        <v>2610</v>
      </c>
      <c r="R538" s="151"/>
    </row>
    <row r="539" spans="1:18">
      <c r="A539" s="101" t="s">
        <v>33</v>
      </c>
      <c r="B539" s="101" t="s">
        <v>203</v>
      </c>
      <c r="C539" s="178" t="s">
        <v>2611</v>
      </c>
      <c r="D539" s="161" t="s">
        <v>2611</v>
      </c>
      <c r="E539" s="161" t="s">
        <v>1640</v>
      </c>
      <c r="F539" s="161" t="s">
        <v>2591</v>
      </c>
      <c r="G539" s="163">
        <v>3556.0823</v>
      </c>
      <c r="H539" s="163">
        <f t="shared" si="44"/>
        <v>22.6183000000001</v>
      </c>
      <c r="I539" s="163">
        <v>144</v>
      </c>
      <c r="J539" s="163">
        <v>23841</v>
      </c>
      <c r="K539" s="163">
        <f t="shared" si="43"/>
        <v>3900599.40348272</v>
      </c>
      <c r="L539" s="174" t="s">
        <v>2612</v>
      </c>
      <c r="M539" s="161" t="s">
        <v>2232</v>
      </c>
      <c r="N539" s="161"/>
      <c r="O539" s="161"/>
      <c r="P539" s="49" t="s">
        <v>14</v>
      </c>
      <c r="Q539" s="166" t="s">
        <v>2613</v>
      </c>
      <c r="R539" s="151"/>
    </row>
    <row r="540" spans="1:18">
      <c r="A540" s="101" t="s">
        <v>33</v>
      </c>
      <c r="B540" s="101" t="s">
        <v>203</v>
      </c>
      <c r="C540" s="178" t="s">
        <v>2614</v>
      </c>
      <c r="D540" s="161" t="s">
        <v>2615</v>
      </c>
      <c r="E540" s="161" t="s">
        <v>1640</v>
      </c>
      <c r="F540" s="161" t="s">
        <v>2591</v>
      </c>
      <c r="G540" s="163">
        <v>3577.2926</v>
      </c>
      <c r="H540" s="163">
        <f t="shared" si="44"/>
        <v>21.2103000000002</v>
      </c>
      <c r="I540" s="163">
        <v>130</v>
      </c>
      <c r="J540" s="163">
        <v>22361</v>
      </c>
      <c r="K540" s="163">
        <f t="shared" si="43"/>
        <v>3922960.40348272</v>
      </c>
      <c r="L540" s="174"/>
      <c r="M540" s="161" t="s">
        <v>2232</v>
      </c>
      <c r="N540" s="161" t="s">
        <v>1901</v>
      </c>
      <c r="O540" s="161" t="s">
        <v>26</v>
      </c>
      <c r="P540" s="49" t="s">
        <v>26</v>
      </c>
      <c r="Q540" s="166" t="s">
        <v>2616</v>
      </c>
      <c r="R540" s="151"/>
    </row>
    <row r="541" spans="1:18">
      <c r="A541" s="101" t="s">
        <v>33</v>
      </c>
      <c r="B541" s="101" t="s">
        <v>203</v>
      </c>
      <c r="C541" s="178" t="s">
        <v>2617</v>
      </c>
      <c r="D541" s="161" t="s">
        <v>2617</v>
      </c>
      <c r="E541" s="161" t="s">
        <v>1640</v>
      </c>
      <c r="F541" s="161" t="s">
        <v>2591</v>
      </c>
      <c r="G541" s="163">
        <v>3598.1703</v>
      </c>
      <c r="H541" s="163">
        <f t="shared" si="44"/>
        <v>20.8777</v>
      </c>
      <c r="I541" s="163">
        <v>130</v>
      </c>
      <c r="J541" s="163">
        <v>22014</v>
      </c>
      <c r="K541" s="163">
        <f t="shared" si="43"/>
        <v>3944974.40348272</v>
      </c>
      <c r="L541" s="174"/>
      <c r="M541" s="161" t="s">
        <v>2232</v>
      </c>
      <c r="N541" s="161" t="s">
        <v>1331</v>
      </c>
      <c r="O541" s="161" t="s">
        <v>14</v>
      </c>
      <c r="P541" s="49" t="s">
        <v>14</v>
      </c>
      <c r="Q541" s="166" t="s">
        <v>2618</v>
      </c>
      <c r="R541" s="151"/>
    </row>
    <row r="542" spans="1:18">
      <c r="A542" s="101" t="s">
        <v>33</v>
      </c>
      <c r="B542" s="101" t="s">
        <v>203</v>
      </c>
      <c r="C542" s="178" t="s">
        <v>2619</v>
      </c>
      <c r="D542" s="161" t="s">
        <v>2620</v>
      </c>
      <c r="E542" s="161" t="s">
        <v>1640</v>
      </c>
      <c r="F542" s="161" t="s">
        <v>2591</v>
      </c>
      <c r="G542" s="163">
        <v>3617.1203</v>
      </c>
      <c r="H542" s="163">
        <f t="shared" si="44"/>
        <v>18.9499999999998</v>
      </c>
      <c r="I542" s="163">
        <v>143</v>
      </c>
      <c r="J542" s="163">
        <v>24875</v>
      </c>
      <c r="K542" s="163">
        <f t="shared" si="43"/>
        <v>3969849.40348272</v>
      </c>
      <c r="L542" s="174"/>
      <c r="M542" s="161" t="s">
        <v>2232</v>
      </c>
      <c r="N542" s="161" t="s">
        <v>1901</v>
      </c>
      <c r="O542" s="161" t="s">
        <v>26</v>
      </c>
      <c r="P542" s="49" t="s">
        <v>26</v>
      </c>
      <c r="Q542" s="166" t="s">
        <v>2621</v>
      </c>
      <c r="R542" s="151"/>
    </row>
    <row r="543" spans="1:18">
      <c r="A543" s="101" t="s">
        <v>33</v>
      </c>
      <c r="B543" s="101" t="s">
        <v>203</v>
      </c>
      <c r="C543" s="74" t="s">
        <v>2622</v>
      </c>
      <c r="D543" s="161" t="s">
        <v>2623</v>
      </c>
      <c r="E543" s="161" t="s">
        <v>2204</v>
      </c>
      <c r="F543" s="161" t="s">
        <v>2624</v>
      </c>
      <c r="G543" s="163">
        <v>3634.3455</v>
      </c>
      <c r="H543" s="163">
        <f t="shared" si="44"/>
        <v>17.2251999999999</v>
      </c>
      <c r="I543" s="174">
        <v>181</v>
      </c>
      <c r="J543" s="174">
        <v>18366</v>
      </c>
      <c r="K543" s="174">
        <f t="shared" si="43"/>
        <v>3988215.40348272</v>
      </c>
      <c r="L543" s="174"/>
      <c r="M543" s="161" t="s">
        <v>2232</v>
      </c>
      <c r="N543" s="161" t="s">
        <v>1901</v>
      </c>
      <c r="O543" s="161" t="s">
        <v>26</v>
      </c>
      <c r="P543" s="49" t="s">
        <v>26</v>
      </c>
      <c r="Q543" s="166" t="s">
        <v>2625</v>
      </c>
      <c r="R543" s="151"/>
    </row>
    <row r="544" spans="1:18">
      <c r="A544" s="101" t="s">
        <v>33</v>
      </c>
      <c r="B544" s="101" t="s">
        <v>203</v>
      </c>
      <c r="C544" s="178" t="s">
        <v>245</v>
      </c>
      <c r="D544" s="161" t="s">
        <v>245</v>
      </c>
      <c r="E544" s="161" t="s">
        <v>2204</v>
      </c>
      <c r="F544" s="161" t="s">
        <v>2624</v>
      </c>
      <c r="G544" s="163">
        <v>3653.1203</v>
      </c>
      <c r="H544" s="163">
        <f t="shared" si="44"/>
        <v>18.7748000000001</v>
      </c>
      <c r="I544" s="163">
        <v>145</v>
      </c>
      <c r="J544" s="163">
        <v>21933</v>
      </c>
      <c r="K544" s="163">
        <f t="shared" si="43"/>
        <v>4010148.40348272</v>
      </c>
      <c r="L544" s="174"/>
      <c r="M544" s="161" t="s">
        <v>2232</v>
      </c>
      <c r="N544" s="161" t="s">
        <v>1331</v>
      </c>
      <c r="O544" s="161" t="s">
        <v>6</v>
      </c>
      <c r="P544" s="49" t="s">
        <v>6</v>
      </c>
      <c r="Q544" s="166" t="s">
        <v>2626</v>
      </c>
      <c r="R544" s="151"/>
    </row>
    <row r="545" spans="1:18">
      <c r="A545" s="101" t="s">
        <v>33</v>
      </c>
      <c r="B545" s="101" t="s">
        <v>203</v>
      </c>
      <c r="C545" s="178" t="s">
        <v>2627</v>
      </c>
      <c r="D545" s="161" t="s">
        <v>2628</v>
      </c>
      <c r="E545" s="161" t="s">
        <v>2204</v>
      </c>
      <c r="F545" s="161" t="s">
        <v>2624</v>
      </c>
      <c r="G545" s="163">
        <v>3677.3722</v>
      </c>
      <c r="H545" s="163">
        <f t="shared" si="44"/>
        <v>24.2518999999998</v>
      </c>
      <c r="I545" s="163">
        <v>123</v>
      </c>
      <c r="J545" s="163">
        <v>25861</v>
      </c>
      <c r="K545" s="163">
        <f t="shared" si="43"/>
        <v>4036009.40348272</v>
      </c>
      <c r="L545" s="174"/>
      <c r="M545" s="161" t="s">
        <v>2232</v>
      </c>
      <c r="N545" s="161" t="s">
        <v>1901</v>
      </c>
      <c r="O545" s="161" t="s">
        <v>26</v>
      </c>
      <c r="P545" s="49" t="s">
        <v>26</v>
      </c>
      <c r="Q545" s="166" t="s">
        <v>2629</v>
      </c>
      <c r="R545" s="151"/>
    </row>
    <row r="546" spans="1:18">
      <c r="A546" s="101" t="s">
        <v>33</v>
      </c>
      <c r="B546" s="101" t="s">
        <v>203</v>
      </c>
      <c r="C546" s="178" t="s">
        <v>2630</v>
      </c>
      <c r="D546" s="161" t="s">
        <v>2631</v>
      </c>
      <c r="E546" s="161" t="s">
        <v>2204</v>
      </c>
      <c r="F546" s="161" t="s">
        <v>2624</v>
      </c>
      <c r="G546" s="163">
        <v>3698.6092</v>
      </c>
      <c r="H546" s="163">
        <f t="shared" si="44"/>
        <v>21.2370000000001</v>
      </c>
      <c r="I546" s="163">
        <v>143</v>
      </c>
      <c r="J546" s="163">
        <v>23482</v>
      </c>
      <c r="K546" s="163">
        <f t="shared" si="43"/>
        <v>4059491.40348272</v>
      </c>
      <c r="L546" s="174"/>
      <c r="M546" s="161" t="s">
        <v>2232</v>
      </c>
      <c r="N546" s="161" t="s">
        <v>1901</v>
      </c>
      <c r="O546" s="161" t="s">
        <v>26</v>
      </c>
      <c r="P546" s="49" t="s">
        <v>26</v>
      </c>
      <c r="Q546" s="166" t="s">
        <v>2632</v>
      </c>
      <c r="R546" s="151"/>
    </row>
    <row r="547" spans="1:18">
      <c r="A547" s="101" t="s">
        <v>33</v>
      </c>
      <c r="B547" s="101" t="s">
        <v>203</v>
      </c>
      <c r="C547" s="178" t="s">
        <v>2633</v>
      </c>
      <c r="D547" s="161" t="s">
        <v>2633</v>
      </c>
      <c r="E547" s="161" t="s">
        <v>2204</v>
      </c>
      <c r="F547" s="161" t="s">
        <v>2624</v>
      </c>
      <c r="G547" s="163">
        <v>3714.9503</v>
      </c>
      <c r="H547" s="163">
        <f t="shared" si="44"/>
        <v>16.3411000000001</v>
      </c>
      <c r="I547" s="163">
        <v>100</v>
      </c>
      <c r="J547" s="163">
        <v>18125</v>
      </c>
      <c r="K547" s="163">
        <f t="shared" si="43"/>
        <v>4077616.40348272</v>
      </c>
      <c r="L547" s="174"/>
      <c r="M547" s="161" t="s">
        <v>2232</v>
      </c>
      <c r="N547" s="161" t="s">
        <v>1331</v>
      </c>
      <c r="O547" s="161" t="s">
        <v>14</v>
      </c>
      <c r="P547" s="49" t="s">
        <v>14</v>
      </c>
      <c r="Q547" s="166" t="s">
        <v>2634</v>
      </c>
      <c r="R547" s="151"/>
    </row>
    <row r="548" spans="1:18">
      <c r="A548" s="101" t="s">
        <v>33</v>
      </c>
      <c r="B548" s="101" t="s">
        <v>203</v>
      </c>
      <c r="C548" s="178" t="s">
        <v>2635</v>
      </c>
      <c r="D548" s="161" t="s">
        <v>2636</v>
      </c>
      <c r="E548" s="161" t="s">
        <v>2204</v>
      </c>
      <c r="F548" s="161" t="s">
        <v>2624</v>
      </c>
      <c r="G548" s="163">
        <v>3736.9233</v>
      </c>
      <c r="H548" s="163">
        <f t="shared" si="44"/>
        <v>21.973</v>
      </c>
      <c r="I548" s="163">
        <v>56</v>
      </c>
      <c r="J548" s="163">
        <v>23602</v>
      </c>
      <c r="K548" s="163">
        <f t="shared" si="43"/>
        <v>4101218.40348272</v>
      </c>
      <c r="L548" s="174"/>
      <c r="M548" s="161" t="s">
        <v>2232</v>
      </c>
      <c r="N548" s="161" t="s">
        <v>1901</v>
      </c>
      <c r="O548" s="161" t="s">
        <v>26</v>
      </c>
      <c r="P548" s="49" t="s">
        <v>26</v>
      </c>
      <c r="Q548" s="166" t="s">
        <v>2637</v>
      </c>
      <c r="R548" s="151"/>
    </row>
    <row r="549" spans="1:18">
      <c r="A549" s="101" t="s">
        <v>33</v>
      </c>
      <c r="B549" s="101" t="s">
        <v>203</v>
      </c>
      <c r="C549" s="178" t="s">
        <v>2638</v>
      </c>
      <c r="D549" s="161" t="s">
        <v>1715</v>
      </c>
      <c r="E549" s="161" t="s">
        <v>2204</v>
      </c>
      <c r="F549" s="161" t="s">
        <v>2213</v>
      </c>
      <c r="G549" s="163">
        <v>3759.3748</v>
      </c>
      <c r="H549" s="163">
        <f t="shared" si="44"/>
        <v>22.4515000000001</v>
      </c>
      <c r="I549" s="163">
        <v>50</v>
      </c>
      <c r="J549" s="163">
        <v>24497</v>
      </c>
      <c r="K549" s="163">
        <f t="shared" si="43"/>
        <v>4125715.40348272</v>
      </c>
      <c r="L549" s="174"/>
      <c r="M549" s="161" t="s">
        <v>2232</v>
      </c>
      <c r="N549" s="161" t="s">
        <v>1299</v>
      </c>
      <c r="O549" s="161" t="s">
        <v>25</v>
      </c>
      <c r="P549" s="49" t="s">
        <v>25</v>
      </c>
      <c r="Q549" s="166" t="s">
        <v>2639</v>
      </c>
      <c r="R549" s="151"/>
    </row>
    <row r="550" spans="1:18">
      <c r="A550" s="101" t="s">
        <v>33</v>
      </c>
      <c r="B550" s="101" t="s">
        <v>203</v>
      </c>
      <c r="C550" s="178" t="s">
        <v>2640</v>
      </c>
      <c r="D550" s="161" t="s">
        <v>2641</v>
      </c>
      <c r="E550" s="161" t="s">
        <v>2204</v>
      </c>
      <c r="F550" s="161" t="s">
        <v>2213</v>
      </c>
      <c r="G550" s="163">
        <v>3778.3912</v>
      </c>
      <c r="H550" s="163">
        <f t="shared" si="44"/>
        <v>19.0164</v>
      </c>
      <c r="I550" s="163">
        <v>55</v>
      </c>
      <c r="J550" s="163">
        <v>21016</v>
      </c>
      <c r="K550" s="163">
        <f t="shared" si="43"/>
        <v>4146731.40348272</v>
      </c>
      <c r="L550" s="174"/>
      <c r="M550" s="161" t="s">
        <v>2232</v>
      </c>
      <c r="N550" s="161" t="s">
        <v>1901</v>
      </c>
      <c r="O550" s="161" t="s">
        <v>26</v>
      </c>
      <c r="P550" s="49" t="s">
        <v>26</v>
      </c>
      <c r="Q550" s="166" t="s">
        <v>2642</v>
      </c>
      <c r="R550" s="151"/>
    </row>
    <row r="551" spans="1:18">
      <c r="A551" s="101" t="s">
        <v>33</v>
      </c>
      <c r="B551" s="101" t="s">
        <v>203</v>
      </c>
      <c r="C551" s="178" t="s">
        <v>2643</v>
      </c>
      <c r="D551" s="161" t="s">
        <v>2644</v>
      </c>
      <c r="E551" s="161" t="s">
        <v>2204</v>
      </c>
      <c r="F551" s="161" t="s">
        <v>2213</v>
      </c>
      <c r="G551" s="163">
        <v>3792.4249</v>
      </c>
      <c r="H551" s="163">
        <f t="shared" si="44"/>
        <v>14.0337</v>
      </c>
      <c r="I551" s="163">
        <v>72</v>
      </c>
      <c r="J551" s="163">
        <v>14393</v>
      </c>
      <c r="K551" s="163">
        <f t="shared" si="43"/>
        <v>4161124.40348272</v>
      </c>
      <c r="L551" s="174"/>
      <c r="M551" s="161" t="s">
        <v>2232</v>
      </c>
      <c r="N551" s="161" t="s">
        <v>1901</v>
      </c>
      <c r="O551" s="161" t="s">
        <v>26</v>
      </c>
      <c r="P551" s="49" t="s">
        <v>26</v>
      </c>
      <c r="Q551" s="166" t="s">
        <v>2645</v>
      </c>
      <c r="R551" s="151"/>
    </row>
    <row r="552" spans="1:18">
      <c r="A552" s="101" t="s">
        <v>33</v>
      </c>
      <c r="B552" s="101" t="s">
        <v>203</v>
      </c>
      <c r="C552" s="178" t="s">
        <v>2646</v>
      </c>
      <c r="D552" s="161" t="s">
        <v>2646</v>
      </c>
      <c r="E552" s="161" t="s">
        <v>2204</v>
      </c>
      <c r="F552" s="161" t="s">
        <v>2213</v>
      </c>
      <c r="G552" s="163">
        <v>3810.7403</v>
      </c>
      <c r="H552" s="163">
        <f t="shared" si="44"/>
        <v>18.3154</v>
      </c>
      <c r="I552" s="163">
        <v>100</v>
      </c>
      <c r="J552" s="163">
        <v>21016</v>
      </c>
      <c r="K552" s="163">
        <f t="shared" si="43"/>
        <v>4182140.40348272</v>
      </c>
      <c r="L552" s="174"/>
      <c r="M552" s="161" t="s">
        <v>2232</v>
      </c>
      <c r="N552" s="161" t="s">
        <v>1331</v>
      </c>
      <c r="O552" s="161" t="s">
        <v>14</v>
      </c>
      <c r="P552" s="49" t="s">
        <v>14</v>
      </c>
      <c r="Q552" s="166" t="s">
        <v>2647</v>
      </c>
      <c r="R552" s="151"/>
    </row>
    <row r="553" spans="1:18">
      <c r="A553" s="101" t="s">
        <v>33</v>
      </c>
      <c r="B553" s="101" t="s">
        <v>203</v>
      </c>
      <c r="C553" s="178" t="s">
        <v>2648</v>
      </c>
      <c r="D553" s="161" t="s">
        <v>2649</v>
      </c>
      <c r="E553" s="161" t="s">
        <v>2204</v>
      </c>
      <c r="F553" s="161" t="s">
        <v>2213</v>
      </c>
      <c r="G553" s="163">
        <v>3838.2687</v>
      </c>
      <c r="H553" s="163">
        <f t="shared" si="44"/>
        <v>27.5284000000001</v>
      </c>
      <c r="I553" s="163">
        <v>51</v>
      </c>
      <c r="J553" s="163">
        <v>26112</v>
      </c>
      <c r="K553" s="163">
        <f t="shared" si="43"/>
        <v>4208252.40348272</v>
      </c>
      <c r="L553" s="174"/>
      <c r="M553" s="161" t="s">
        <v>2232</v>
      </c>
      <c r="N553" s="161" t="s">
        <v>1901</v>
      </c>
      <c r="O553" s="161" t="s">
        <v>26</v>
      </c>
      <c r="P553" s="49" t="s">
        <v>26</v>
      </c>
      <c r="Q553" s="166" t="s">
        <v>2650</v>
      </c>
      <c r="R553" s="151"/>
    </row>
    <row r="554" spans="1:18">
      <c r="A554" s="101" t="s">
        <v>33</v>
      </c>
      <c r="B554" s="101" t="s">
        <v>203</v>
      </c>
      <c r="C554" s="178" t="s">
        <v>232</v>
      </c>
      <c r="D554" s="161" t="s">
        <v>232</v>
      </c>
      <c r="E554" s="161" t="s">
        <v>2204</v>
      </c>
      <c r="F554" s="161" t="s">
        <v>2213</v>
      </c>
      <c r="G554" s="163">
        <v>3858.3503</v>
      </c>
      <c r="H554" s="163">
        <f t="shared" si="44"/>
        <v>20.0816</v>
      </c>
      <c r="I554" s="163">
        <v>20</v>
      </c>
      <c r="J554" s="163">
        <v>25839</v>
      </c>
      <c r="K554" s="163">
        <f t="shared" si="43"/>
        <v>4234091.40348272</v>
      </c>
      <c r="L554" s="174"/>
      <c r="M554" s="161" t="s">
        <v>2232</v>
      </c>
      <c r="N554" s="161" t="s">
        <v>1331</v>
      </c>
      <c r="O554" s="161" t="s">
        <v>6</v>
      </c>
      <c r="P554" s="49" t="s">
        <v>6</v>
      </c>
      <c r="Q554" s="166" t="s">
        <v>2651</v>
      </c>
      <c r="R554" s="151"/>
    </row>
    <row r="555" spans="1:18">
      <c r="A555" s="101" t="s">
        <v>33</v>
      </c>
      <c r="B555" s="101" t="s">
        <v>203</v>
      </c>
      <c r="C555" s="178" t="s">
        <v>2652</v>
      </c>
      <c r="D555" s="161" t="s">
        <v>2653</v>
      </c>
      <c r="E555" s="161" t="s">
        <v>2204</v>
      </c>
      <c r="F555" s="161" t="s">
        <v>2213</v>
      </c>
      <c r="G555" s="163">
        <v>3882.0078</v>
      </c>
      <c r="H555" s="163">
        <f t="shared" si="44"/>
        <v>23.6574999999998</v>
      </c>
      <c r="I555" s="163">
        <v>35</v>
      </c>
      <c r="J555" s="163">
        <v>22806</v>
      </c>
      <c r="K555" s="163">
        <f t="shared" si="43"/>
        <v>4256897.40348272</v>
      </c>
      <c r="L555" s="174"/>
      <c r="M555" s="161" t="s">
        <v>2232</v>
      </c>
      <c r="N555" s="161" t="s">
        <v>1901</v>
      </c>
      <c r="O555" s="161" t="s">
        <v>26</v>
      </c>
      <c r="P555" s="49" t="s">
        <v>26</v>
      </c>
      <c r="Q555" s="166" t="s">
        <v>2654</v>
      </c>
      <c r="R555" s="151"/>
    </row>
    <row r="556" spans="1:18">
      <c r="A556" s="101" t="s">
        <v>33</v>
      </c>
      <c r="B556" s="101" t="s">
        <v>203</v>
      </c>
      <c r="C556" s="178" t="s">
        <v>2655</v>
      </c>
      <c r="D556" s="161" t="s">
        <v>2656</v>
      </c>
      <c r="E556" s="161" t="s">
        <v>2204</v>
      </c>
      <c r="F556" s="161" t="s">
        <v>2213</v>
      </c>
      <c r="G556" s="163">
        <v>3901.2996</v>
      </c>
      <c r="H556" s="163">
        <f t="shared" si="44"/>
        <v>19.2918</v>
      </c>
      <c r="I556" s="163">
        <v>28</v>
      </c>
      <c r="J556" s="163">
        <v>22260</v>
      </c>
      <c r="K556" s="163">
        <f t="shared" si="43"/>
        <v>4279157.40348272</v>
      </c>
      <c r="L556" s="174"/>
      <c r="M556" s="161" t="s">
        <v>2232</v>
      </c>
      <c r="N556" s="161" t="s">
        <v>1901</v>
      </c>
      <c r="O556" s="161" t="s">
        <v>26</v>
      </c>
      <c r="P556" s="49" t="s">
        <v>26</v>
      </c>
      <c r="Q556" s="166" t="s">
        <v>2657</v>
      </c>
      <c r="R556" s="151"/>
    </row>
    <row r="557" spans="1:18">
      <c r="A557" s="101" t="s">
        <v>33</v>
      </c>
      <c r="B557" s="101" t="s">
        <v>203</v>
      </c>
      <c r="C557" s="178" t="s">
        <v>2658</v>
      </c>
      <c r="D557" s="161" t="s">
        <v>2659</v>
      </c>
      <c r="E557" s="161" t="s">
        <v>2204</v>
      </c>
      <c r="F557" s="161" t="s">
        <v>2660</v>
      </c>
      <c r="G557" s="163">
        <v>3919.0105</v>
      </c>
      <c r="H557" s="163">
        <f t="shared" si="44"/>
        <v>17.7109</v>
      </c>
      <c r="I557" s="163">
        <v>27</v>
      </c>
      <c r="J557" s="163">
        <v>20678</v>
      </c>
      <c r="K557" s="163">
        <f t="shared" si="43"/>
        <v>4299835.40348272</v>
      </c>
      <c r="L557" s="174"/>
      <c r="M557" s="161" t="s">
        <v>2232</v>
      </c>
      <c r="N557" s="161" t="s">
        <v>1901</v>
      </c>
      <c r="O557" s="161" t="s">
        <v>26</v>
      </c>
      <c r="P557" s="49" t="s">
        <v>26</v>
      </c>
      <c r="Q557" s="166" t="s">
        <v>2661</v>
      </c>
      <c r="R557" s="151"/>
    </row>
    <row r="558" spans="1:18">
      <c r="A558" s="101" t="s">
        <v>33</v>
      </c>
      <c r="B558" s="101" t="s">
        <v>203</v>
      </c>
      <c r="C558" s="178" t="s">
        <v>2662</v>
      </c>
      <c r="D558" s="161" t="s">
        <v>2662</v>
      </c>
      <c r="E558" s="161" t="s">
        <v>2204</v>
      </c>
      <c r="F558" s="161" t="s">
        <v>2660</v>
      </c>
      <c r="G558" s="163">
        <v>3941.1503</v>
      </c>
      <c r="H558" s="163">
        <f t="shared" si="44"/>
        <v>22.1397999999999</v>
      </c>
      <c r="I558" s="163">
        <v>20</v>
      </c>
      <c r="J558" s="163">
        <v>24606</v>
      </c>
      <c r="K558" s="163">
        <f t="shared" si="43"/>
        <v>4324441.40348272</v>
      </c>
      <c r="L558" s="174"/>
      <c r="M558" s="161" t="s">
        <v>2232</v>
      </c>
      <c r="N558" s="161" t="s">
        <v>1331</v>
      </c>
      <c r="O558" s="161" t="s">
        <v>14</v>
      </c>
      <c r="P558" s="49" t="s">
        <v>14</v>
      </c>
      <c r="Q558" s="166" t="s">
        <v>2663</v>
      </c>
      <c r="R558" s="151"/>
    </row>
    <row r="559" s="151" customFormat="1" ht="165" spans="1:17">
      <c r="A559" s="101" t="s">
        <v>33</v>
      </c>
      <c r="B559" s="101" t="s">
        <v>203</v>
      </c>
      <c r="C559" s="85" t="s">
        <v>2664</v>
      </c>
      <c r="D559" s="135" t="s">
        <v>2664</v>
      </c>
      <c r="E559" s="164" t="s">
        <v>2204</v>
      </c>
      <c r="F559" s="164"/>
      <c r="G559" s="163" t="s">
        <v>147</v>
      </c>
      <c r="H559" s="163" t="s">
        <v>147</v>
      </c>
      <c r="I559" s="163" t="s">
        <v>147</v>
      </c>
      <c r="J559" s="163" t="s">
        <v>147</v>
      </c>
      <c r="K559" s="163" t="s">
        <v>147</v>
      </c>
      <c r="L559" s="174" t="s">
        <v>2665</v>
      </c>
      <c r="M559" s="161" t="s">
        <v>2232</v>
      </c>
      <c r="N559" s="161" t="s">
        <v>1295</v>
      </c>
      <c r="O559" s="161"/>
      <c r="P559" s="49" t="s">
        <v>14</v>
      </c>
      <c r="Q559" s="166" t="s">
        <v>2663</v>
      </c>
    </row>
    <row r="560" spans="1:18">
      <c r="A560" s="101" t="s">
        <v>33</v>
      </c>
      <c r="B560" s="101" t="s">
        <v>203</v>
      </c>
      <c r="C560" s="178" t="s">
        <v>2666</v>
      </c>
      <c r="D560" s="161" t="s">
        <v>2667</v>
      </c>
      <c r="E560" s="161" t="s">
        <v>2204</v>
      </c>
      <c r="F560" s="161" t="s">
        <v>2660</v>
      </c>
      <c r="G560" s="163">
        <v>3960.3229</v>
      </c>
      <c r="H560" s="163">
        <f>G560-G558</f>
        <v>19.1726000000003</v>
      </c>
      <c r="I560" s="163">
        <v>39</v>
      </c>
      <c r="J560" s="163">
        <v>17765</v>
      </c>
      <c r="K560" s="163">
        <f>J560+K558</f>
        <v>4342206.40348272</v>
      </c>
      <c r="L560" s="174"/>
      <c r="M560" s="161" t="s">
        <v>2232</v>
      </c>
      <c r="N560" s="161" t="s">
        <v>1901</v>
      </c>
      <c r="O560" s="161" t="s">
        <v>26</v>
      </c>
      <c r="P560" s="49" t="s">
        <v>26</v>
      </c>
      <c r="Q560" s="166" t="s">
        <v>2668</v>
      </c>
      <c r="R560" s="151"/>
    </row>
    <row r="561" spans="1:18">
      <c r="A561" s="101" t="s">
        <v>33</v>
      </c>
      <c r="B561" s="101" t="s">
        <v>203</v>
      </c>
      <c r="C561" s="178" t="s">
        <v>2669</v>
      </c>
      <c r="D561" s="161" t="s">
        <v>2670</v>
      </c>
      <c r="E561" s="161" t="s">
        <v>2204</v>
      </c>
      <c r="F561" s="161" t="s">
        <v>2660</v>
      </c>
      <c r="G561" s="163">
        <v>3977.804</v>
      </c>
      <c r="H561" s="163">
        <f>G561-G560</f>
        <v>17.4811</v>
      </c>
      <c r="I561" s="163">
        <v>29</v>
      </c>
      <c r="J561" s="163">
        <v>23602</v>
      </c>
      <c r="K561" s="163">
        <f>J561+K560</f>
        <v>4365808.40348272</v>
      </c>
      <c r="L561" s="174"/>
      <c r="M561" s="161" t="s">
        <v>2232</v>
      </c>
      <c r="N561" s="161" t="s">
        <v>1299</v>
      </c>
      <c r="O561" s="161" t="s">
        <v>25</v>
      </c>
      <c r="P561" s="49" t="s">
        <v>25</v>
      </c>
      <c r="Q561" s="166" t="s">
        <v>2671</v>
      </c>
      <c r="R561" s="151"/>
    </row>
    <row r="562" spans="1:18">
      <c r="A562" s="101" t="s">
        <v>33</v>
      </c>
      <c r="B562" s="101" t="s">
        <v>203</v>
      </c>
      <c r="C562" s="178" t="s">
        <v>2672</v>
      </c>
      <c r="D562" s="161" t="s">
        <v>2673</v>
      </c>
      <c r="E562" s="161" t="s">
        <v>2204</v>
      </c>
      <c r="F562" s="161" t="s">
        <v>2660</v>
      </c>
      <c r="G562" s="163">
        <v>4000.9503</v>
      </c>
      <c r="H562" s="163">
        <f>G562-G561</f>
        <v>23.1462999999999</v>
      </c>
      <c r="I562" s="163">
        <v>20</v>
      </c>
      <c r="J562" s="163">
        <v>23941</v>
      </c>
      <c r="K562" s="163">
        <f>J562+K561</f>
        <v>4389749.40348272</v>
      </c>
      <c r="L562" s="174"/>
      <c r="M562" s="161" t="s">
        <v>2232</v>
      </c>
      <c r="N562" s="161" t="s">
        <v>1901</v>
      </c>
      <c r="O562" s="161" t="s">
        <v>25</v>
      </c>
      <c r="P562" s="49" t="s">
        <v>25</v>
      </c>
      <c r="Q562" s="166" t="s">
        <v>2674</v>
      </c>
      <c r="R562" s="151"/>
    </row>
    <row r="563" spans="1:18">
      <c r="A563" s="101" t="s">
        <v>33</v>
      </c>
      <c r="B563" s="101" t="s">
        <v>203</v>
      </c>
      <c r="C563" s="178" t="s">
        <v>2675</v>
      </c>
      <c r="D563" s="161" t="s">
        <v>2675</v>
      </c>
      <c r="E563" s="161" t="s">
        <v>2204</v>
      </c>
      <c r="F563" s="161" t="s">
        <v>2660</v>
      </c>
      <c r="G563" s="163">
        <v>4001.1003</v>
      </c>
      <c r="H563" s="163">
        <f>G563-G562</f>
        <v>0.150000000000091</v>
      </c>
      <c r="I563" s="163" t="s">
        <v>147</v>
      </c>
      <c r="J563" s="163" t="s">
        <v>147</v>
      </c>
      <c r="K563" s="163" t="s">
        <v>147</v>
      </c>
      <c r="L563" s="174"/>
      <c r="M563" s="161" t="s">
        <v>2232</v>
      </c>
      <c r="N563" s="161"/>
      <c r="O563" s="161" t="s">
        <v>14</v>
      </c>
      <c r="P563" s="49" t="s">
        <v>14</v>
      </c>
      <c r="Q563" s="166" t="s">
        <v>2674</v>
      </c>
      <c r="R563" s="151"/>
    </row>
    <row r="564" spans="1:18">
      <c r="A564" s="101" t="s">
        <v>33</v>
      </c>
      <c r="B564" s="101" t="s">
        <v>203</v>
      </c>
      <c r="C564" s="178" t="s">
        <v>2676</v>
      </c>
      <c r="D564" s="161" t="s">
        <v>2677</v>
      </c>
      <c r="E564" s="161" t="s">
        <v>2204</v>
      </c>
      <c r="F564" s="161" t="s">
        <v>2660</v>
      </c>
      <c r="G564" s="163">
        <v>4016.5574</v>
      </c>
      <c r="H564" s="163">
        <f>G564-G562</f>
        <v>15.6071000000002</v>
      </c>
      <c r="I564" s="163">
        <v>21</v>
      </c>
      <c r="J564" s="163">
        <v>24387</v>
      </c>
      <c r="K564" s="163">
        <f>J564+K562</f>
        <v>4414136.40348272</v>
      </c>
      <c r="L564" s="174"/>
      <c r="M564" s="161" t="s">
        <v>2232</v>
      </c>
      <c r="N564" s="161" t="s">
        <v>1901</v>
      </c>
      <c r="O564" s="161" t="s">
        <v>26</v>
      </c>
      <c r="P564" s="49" t="s">
        <v>26</v>
      </c>
      <c r="Q564" s="166" t="s">
        <v>2678</v>
      </c>
      <c r="R564" s="151"/>
    </row>
    <row r="565" spans="1:18">
      <c r="A565" s="101" t="s">
        <v>33</v>
      </c>
      <c r="B565" s="101" t="s">
        <v>203</v>
      </c>
      <c r="C565" s="178" t="s">
        <v>2679</v>
      </c>
      <c r="D565" s="161" t="s">
        <v>2679</v>
      </c>
      <c r="E565" s="161" t="s">
        <v>2204</v>
      </c>
      <c r="F565" s="161" t="s">
        <v>2660</v>
      </c>
      <c r="G565" s="163">
        <v>4042.5663</v>
      </c>
      <c r="H565" s="163">
        <f>G565-G564</f>
        <v>26.0088999999998</v>
      </c>
      <c r="I565" s="163">
        <v>20</v>
      </c>
      <c r="J565" s="163">
        <v>21573</v>
      </c>
      <c r="K565" s="163">
        <f t="shared" ref="K565:K595" si="45">J565+K564</f>
        <v>4435709.40348272</v>
      </c>
      <c r="L565" s="174"/>
      <c r="M565" s="161" t="s">
        <v>2232</v>
      </c>
      <c r="N565" s="161" t="s">
        <v>1331</v>
      </c>
      <c r="O565" s="161" t="s">
        <v>6</v>
      </c>
      <c r="P565" s="49" t="s">
        <v>6</v>
      </c>
      <c r="Q565" s="166" t="s">
        <v>2680</v>
      </c>
      <c r="R565" s="151"/>
    </row>
    <row r="566" spans="1:18">
      <c r="A566" s="101" t="s">
        <v>33</v>
      </c>
      <c r="B566" s="101" t="s">
        <v>203</v>
      </c>
      <c r="C566" s="178" t="s">
        <v>2681</v>
      </c>
      <c r="D566" s="161" t="s">
        <v>1771</v>
      </c>
      <c r="E566" s="161" t="s">
        <v>2204</v>
      </c>
      <c r="F566" s="161" t="s">
        <v>2660</v>
      </c>
      <c r="G566" s="163">
        <v>4052.3663</v>
      </c>
      <c r="H566" s="163">
        <f>G566-G565</f>
        <v>9.80000000000018</v>
      </c>
      <c r="I566" s="163">
        <v>17</v>
      </c>
      <c r="J566" s="163">
        <v>10694</v>
      </c>
      <c r="K566" s="163">
        <f t="shared" si="45"/>
        <v>4446403.40348272</v>
      </c>
      <c r="L566" s="174"/>
      <c r="M566" s="161" t="s">
        <v>2232</v>
      </c>
      <c r="N566" s="161" t="s">
        <v>1299</v>
      </c>
      <c r="O566" s="161" t="s">
        <v>25</v>
      </c>
      <c r="P566" s="49" t="s">
        <v>25</v>
      </c>
      <c r="Q566" s="166" t="s">
        <v>2682</v>
      </c>
      <c r="R566" s="151"/>
    </row>
    <row r="567" spans="1:18">
      <c r="A567" s="101" t="s">
        <v>33</v>
      </c>
      <c r="B567" s="101" t="s">
        <v>203</v>
      </c>
      <c r="C567" s="178" t="s">
        <v>2683</v>
      </c>
      <c r="D567" s="161" t="s">
        <v>1774</v>
      </c>
      <c r="E567" s="161" t="s">
        <v>1689</v>
      </c>
      <c r="F567" s="161" t="s">
        <v>2684</v>
      </c>
      <c r="G567" s="163">
        <v>4058.1744</v>
      </c>
      <c r="H567" s="163">
        <f t="shared" ref="H567:H603" si="46">G567-G566</f>
        <v>5.80809999999974</v>
      </c>
      <c r="I567" s="163">
        <v>32</v>
      </c>
      <c r="J567" s="163">
        <v>5674</v>
      </c>
      <c r="K567" s="163">
        <f t="shared" si="45"/>
        <v>4452077.40348272</v>
      </c>
      <c r="L567" s="174"/>
      <c r="M567" s="161" t="s">
        <v>2232</v>
      </c>
      <c r="N567" s="161" t="s">
        <v>1299</v>
      </c>
      <c r="O567" s="161" t="s">
        <v>25</v>
      </c>
      <c r="P567" s="49" t="s">
        <v>25</v>
      </c>
      <c r="Q567" s="166" t="s">
        <v>2685</v>
      </c>
      <c r="R567" s="151"/>
    </row>
    <row r="568" spans="1:18">
      <c r="A568" s="101" t="s">
        <v>33</v>
      </c>
      <c r="B568" s="101" t="s">
        <v>203</v>
      </c>
      <c r="C568" s="178" t="s">
        <v>702</v>
      </c>
      <c r="D568" s="161" t="s">
        <v>702</v>
      </c>
      <c r="E568" s="161" t="s">
        <v>1689</v>
      </c>
      <c r="F568" s="161" t="s">
        <v>2684</v>
      </c>
      <c r="G568" s="163">
        <v>4076.6663</v>
      </c>
      <c r="H568" s="163">
        <f t="shared" si="46"/>
        <v>18.4919</v>
      </c>
      <c r="I568" s="163">
        <v>15</v>
      </c>
      <c r="J568" s="163">
        <v>18961.1511063791</v>
      </c>
      <c r="K568" s="163">
        <f t="shared" si="45"/>
        <v>4471038.5545891</v>
      </c>
      <c r="L568" s="174"/>
      <c r="M568" s="161" t="s">
        <v>2232</v>
      </c>
      <c r="N568" s="161" t="s">
        <v>1331</v>
      </c>
      <c r="O568" s="161" t="s">
        <v>14</v>
      </c>
      <c r="P568" s="49" t="s">
        <v>14</v>
      </c>
      <c r="Q568" s="166" t="s">
        <v>2686</v>
      </c>
      <c r="R568" s="151"/>
    </row>
    <row r="569" spans="1:18">
      <c r="A569" s="101" t="s">
        <v>33</v>
      </c>
      <c r="B569" s="101" t="s">
        <v>203</v>
      </c>
      <c r="C569" s="74" t="s">
        <v>2687</v>
      </c>
      <c r="D569" s="161" t="s">
        <v>2688</v>
      </c>
      <c r="E569" s="161" t="s">
        <v>1689</v>
      </c>
      <c r="F569" s="161" t="s">
        <v>2684</v>
      </c>
      <c r="G569" s="163">
        <v>4100.7571</v>
      </c>
      <c r="H569" s="163">
        <f t="shared" si="46"/>
        <v>24.0907999999999</v>
      </c>
      <c r="I569" s="174">
        <v>61</v>
      </c>
      <c r="J569" s="174">
        <v>25877.5696036168</v>
      </c>
      <c r="K569" s="174">
        <f t="shared" si="45"/>
        <v>4496916.12419271</v>
      </c>
      <c r="L569" s="174"/>
      <c r="M569" s="161" t="s">
        <v>2232</v>
      </c>
      <c r="N569" s="161" t="s">
        <v>1901</v>
      </c>
      <c r="O569" s="161" t="s">
        <v>26</v>
      </c>
      <c r="P569" s="49" t="s">
        <v>26</v>
      </c>
      <c r="Q569" s="166" t="s">
        <v>2689</v>
      </c>
      <c r="R569" s="151"/>
    </row>
    <row r="570" spans="1:18">
      <c r="A570" s="101" t="s">
        <v>33</v>
      </c>
      <c r="B570" s="101" t="s">
        <v>203</v>
      </c>
      <c r="C570" s="178" t="s">
        <v>2690</v>
      </c>
      <c r="D570" s="161" t="s">
        <v>2691</v>
      </c>
      <c r="E570" s="161" t="s">
        <v>1689</v>
      </c>
      <c r="F570" s="161" t="s">
        <v>2684</v>
      </c>
      <c r="G570" s="163">
        <v>4124.8479</v>
      </c>
      <c r="H570" s="163">
        <f t="shared" si="46"/>
        <v>24.0907999999999</v>
      </c>
      <c r="I570" s="163">
        <v>64</v>
      </c>
      <c r="J570" s="163">
        <v>25968.6762113412</v>
      </c>
      <c r="K570" s="163">
        <f t="shared" si="45"/>
        <v>4522884.80040406</v>
      </c>
      <c r="L570" s="174"/>
      <c r="M570" s="161" t="s">
        <v>2232</v>
      </c>
      <c r="N570" s="161" t="s">
        <v>1901</v>
      </c>
      <c r="O570" s="161" t="s">
        <v>26</v>
      </c>
      <c r="P570" s="49" t="s">
        <v>26</v>
      </c>
      <c r="Q570" s="166" t="s">
        <v>2692</v>
      </c>
      <c r="R570" s="151"/>
    </row>
    <row r="571" spans="1:18">
      <c r="A571" s="101" t="s">
        <v>33</v>
      </c>
      <c r="B571" s="101" t="s">
        <v>203</v>
      </c>
      <c r="C571" s="178" t="s">
        <v>2693</v>
      </c>
      <c r="D571" s="161" t="s">
        <v>2694</v>
      </c>
      <c r="E571" s="161" t="s">
        <v>1689</v>
      </c>
      <c r="F571" s="161" t="s">
        <v>2684</v>
      </c>
      <c r="G571" s="163">
        <v>4153.3925</v>
      </c>
      <c r="H571" s="163">
        <f t="shared" si="46"/>
        <v>28.5446000000002</v>
      </c>
      <c r="I571" s="163">
        <v>26</v>
      </c>
      <c r="J571" s="163">
        <v>30750.1266119079</v>
      </c>
      <c r="K571" s="163">
        <f t="shared" si="45"/>
        <v>4553634.92701596</v>
      </c>
      <c r="L571" s="174"/>
      <c r="M571" s="161" t="s">
        <v>2232</v>
      </c>
      <c r="N571" s="161" t="s">
        <v>1901</v>
      </c>
      <c r="O571" s="161" t="s">
        <v>26</v>
      </c>
      <c r="P571" s="49" t="s">
        <v>26</v>
      </c>
      <c r="Q571" s="166" t="s">
        <v>2695</v>
      </c>
      <c r="R571" s="151"/>
    </row>
    <row r="572" spans="1:18">
      <c r="A572" s="101" t="s">
        <v>33</v>
      </c>
      <c r="B572" s="101" t="s">
        <v>203</v>
      </c>
      <c r="C572" s="178" t="s">
        <v>2696</v>
      </c>
      <c r="D572" s="161" t="s">
        <v>2696</v>
      </c>
      <c r="E572" s="161" t="s">
        <v>1689</v>
      </c>
      <c r="F572" s="161" t="s">
        <v>2684</v>
      </c>
      <c r="G572" s="163">
        <v>4176.0662</v>
      </c>
      <c r="H572" s="163">
        <f t="shared" si="46"/>
        <v>22.6737000000003</v>
      </c>
      <c r="I572" s="163">
        <v>40</v>
      </c>
      <c r="J572" s="163">
        <v>18219.1262049135</v>
      </c>
      <c r="K572" s="163">
        <f t="shared" si="45"/>
        <v>4571854.05322088</v>
      </c>
      <c r="L572" s="174"/>
      <c r="M572" s="161" t="s">
        <v>2232</v>
      </c>
      <c r="N572" s="161" t="s">
        <v>1331</v>
      </c>
      <c r="O572" s="161" t="s">
        <v>14</v>
      </c>
      <c r="P572" s="49" t="s">
        <v>14</v>
      </c>
      <c r="Q572" s="166" t="s">
        <v>2697</v>
      </c>
      <c r="R572" s="151"/>
    </row>
    <row r="573" spans="1:18">
      <c r="A573" s="101" t="s">
        <v>33</v>
      </c>
      <c r="B573" s="101" t="s">
        <v>203</v>
      </c>
      <c r="C573" s="178" t="s">
        <v>2698</v>
      </c>
      <c r="D573" s="161" t="s">
        <v>2699</v>
      </c>
      <c r="E573" s="161" t="s">
        <v>1689</v>
      </c>
      <c r="F573" s="161" t="s">
        <v>2684</v>
      </c>
      <c r="G573" s="163">
        <v>4202.7086</v>
      </c>
      <c r="H573" s="163">
        <f t="shared" si="46"/>
        <v>26.6423999999997</v>
      </c>
      <c r="I573" s="163">
        <v>36</v>
      </c>
      <c r="J573" s="163">
        <v>34017.890120284</v>
      </c>
      <c r="K573" s="163">
        <f t="shared" si="45"/>
        <v>4605871.94334116</v>
      </c>
      <c r="L573" s="174"/>
      <c r="M573" s="161" t="s">
        <v>2232</v>
      </c>
      <c r="N573" s="161" t="s">
        <v>1901</v>
      </c>
      <c r="O573" s="161" t="s">
        <v>26</v>
      </c>
      <c r="P573" s="49" t="s">
        <v>26</v>
      </c>
      <c r="Q573" s="166" t="s">
        <v>2700</v>
      </c>
      <c r="R573" s="151"/>
    </row>
    <row r="574" spans="1:18">
      <c r="A574" s="101" t="s">
        <v>33</v>
      </c>
      <c r="B574" s="101" t="s">
        <v>203</v>
      </c>
      <c r="C574" s="178" t="s">
        <v>258</v>
      </c>
      <c r="D574" s="161" t="s">
        <v>258</v>
      </c>
      <c r="E574" s="161" t="s">
        <v>1689</v>
      </c>
      <c r="F574" s="161" t="s">
        <v>2684</v>
      </c>
      <c r="G574" s="163">
        <v>4227.6662</v>
      </c>
      <c r="H574" s="163">
        <f t="shared" si="46"/>
        <v>24.9575999999997</v>
      </c>
      <c r="I574" s="163">
        <v>35</v>
      </c>
      <c r="J574" s="163">
        <v>12546.3677866108</v>
      </c>
      <c r="K574" s="163">
        <f t="shared" si="45"/>
        <v>4618418.31112777</v>
      </c>
      <c r="L574" s="174"/>
      <c r="M574" s="161" t="s">
        <v>2232</v>
      </c>
      <c r="N574" s="161" t="s">
        <v>1331</v>
      </c>
      <c r="O574" s="161" t="s">
        <v>6</v>
      </c>
      <c r="P574" s="49" t="s">
        <v>6</v>
      </c>
      <c r="Q574" s="166" t="s">
        <v>2701</v>
      </c>
      <c r="R574" s="151"/>
    </row>
    <row r="575" spans="1:18">
      <c r="A575" s="101" t="s">
        <v>33</v>
      </c>
      <c r="B575" s="101" t="s">
        <v>203</v>
      </c>
      <c r="C575" s="178" t="s">
        <v>2702</v>
      </c>
      <c r="D575" s="161" t="s">
        <v>2703</v>
      </c>
      <c r="E575" s="161" t="s">
        <v>1689</v>
      </c>
      <c r="F575" s="161" t="s">
        <v>2684</v>
      </c>
      <c r="G575" s="163">
        <v>4252.3604</v>
      </c>
      <c r="H575" s="163">
        <f t="shared" si="46"/>
        <v>24.6941999999999</v>
      </c>
      <c r="I575" s="163">
        <v>69</v>
      </c>
      <c r="J575" s="163">
        <v>39748.8250471333</v>
      </c>
      <c r="K575" s="163">
        <f t="shared" si="45"/>
        <v>4658167.13617491</v>
      </c>
      <c r="L575" s="174"/>
      <c r="M575" s="161" t="s">
        <v>2232</v>
      </c>
      <c r="N575" s="161" t="s">
        <v>1901</v>
      </c>
      <c r="O575" s="161" t="s">
        <v>26</v>
      </c>
      <c r="P575" s="49" t="s">
        <v>26</v>
      </c>
      <c r="Q575" s="166" t="s">
        <v>2704</v>
      </c>
      <c r="R575" s="151"/>
    </row>
    <row r="576" spans="1:18">
      <c r="A576" s="101" t="s">
        <v>33</v>
      </c>
      <c r="B576" s="101" t="s">
        <v>203</v>
      </c>
      <c r="C576" s="178" t="s">
        <v>2705</v>
      </c>
      <c r="D576" s="161" t="s">
        <v>2706</v>
      </c>
      <c r="E576" s="161" t="s">
        <v>1689</v>
      </c>
      <c r="F576" s="161" t="s">
        <v>2707</v>
      </c>
      <c r="G576" s="163">
        <v>4276.643</v>
      </c>
      <c r="H576" s="163">
        <f t="shared" si="46"/>
        <v>24.2826000000005</v>
      </c>
      <c r="I576" s="163">
        <v>30</v>
      </c>
      <c r="J576" s="163">
        <v>25811.7094052624</v>
      </c>
      <c r="K576" s="163">
        <f t="shared" si="45"/>
        <v>4683978.84558017</v>
      </c>
      <c r="L576" s="174"/>
      <c r="M576" s="161" t="s">
        <v>2232</v>
      </c>
      <c r="N576" s="161" t="s">
        <v>1901</v>
      </c>
      <c r="O576" s="161" t="s">
        <v>26</v>
      </c>
      <c r="P576" s="49" t="s">
        <v>26</v>
      </c>
      <c r="Q576" s="166" t="s">
        <v>2708</v>
      </c>
      <c r="R576" s="151"/>
    </row>
    <row r="577" spans="1:18">
      <c r="A577" s="101" t="s">
        <v>33</v>
      </c>
      <c r="B577" s="101" t="s">
        <v>203</v>
      </c>
      <c r="C577" s="178" t="s">
        <v>256</v>
      </c>
      <c r="D577" s="161" t="s">
        <v>256</v>
      </c>
      <c r="E577" s="161" t="s">
        <v>1689</v>
      </c>
      <c r="F577" s="161" t="s">
        <v>2707</v>
      </c>
      <c r="G577" s="163">
        <v>4302.3661</v>
      </c>
      <c r="H577" s="163">
        <f t="shared" si="46"/>
        <v>25.7231000000002</v>
      </c>
      <c r="I577" s="163">
        <v>50</v>
      </c>
      <c r="J577" s="163">
        <v>27454.9213542168</v>
      </c>
      <c r="K577" s="163">
        <f t="shared" si="45"/>
        <v>4711433.76693438</v>
      </c>
      <c r="L577" s="174"/>
      <c r="M577" s="161" t="s">
        <v>2232</v>
      </c>
      <c r="N577" s="161" t="s">
        <v>1331</v>
      </c>
      <c r="O577" s="161" t="s">
        <v>14</v>
      </c>
      <c r="P577" s="49" t="s">
        <v>14</v>
      </c>
      <c r="Q577" s="166" t="s">
        <v>2709</v>
      </c>
      <c r="R577" s="151"/>
    </row>
    <row r="578" spans="1:18">
      <c r="A578" s="101" t="s">
        <v>33</v>
      </c>
      <c r="B578" s="101" t="s">
        <v>203</v>
      </c>
      <c r="C578" s="178" t="s">
        <v>2710</v>
      </c>
      <c r="D578" s="161" t="s">
        <v>2711</v>
      </c>
      <c r="E578" s="161" t="s">
        <v>1689</v>
      </c>
      <c r="F578" s="161" t="s">
        <v>2707</v>
      </c>
      <c r="G578" s="163">
        <v>4325.257</v>
      </c>
      <c r="H578" s="163">
        <f t="shared" si="46"/>
        <v>22.8908999999994</v>
      </c>
      <c r="I578" s="163">
        <v>79</v>
      </c>
      <c r="J578" s="163">
        <v>24728.309142324</v>
      </c>
      <c r="K578" s="163">
        <f t="shared" si="45"/>
        <v>4736162.07607671</v>
      </c>
      <c r="L578" s="174"/>
      <c r="M578" s="161" t="s">
        <v>2232</v>
      </c>
      <c r="N578" s="161" t="s">
        <v>1901</v>
      </c>
      <c r="O578" s="161" t="s">
        <v>26</v>
      </c>
      <c r="P578" s="49" t="s">
        <v>26</v>
      </c>
      <c r="Q578" s="166" t="s">
        <v>2712</v>
      </c>
      <c r="R578" s="151"/>
    </row>
    <row r="579" spans="1:18">
      <c r="A579" s="101" t="s">
        <v>33</v>
      </c>
      <c r="B579" s="101" t="s">
        <v>203</v>
      </c>
      <c r="C579" s="178" t="s">
        <v>2713</v>
      </c>
      <c r="D579" s="161" t="s">
        <v>2714</v>
      </c>
      <c r="E579" s="161" t="s">
        <v>1689</v>
      </c>
      <c r="F579" s="161" t="s">
        <v>2707</v>
      </c>
      <c r="G579" s="163">
        <v>4352.1994</v>
      </c>
      <c r="H579" s="163">
        <f t="shared" si="46"/>
        <v>26.9424000000008</v>
      </c>
      <c r="I579" s="163">
        <v>57</v>
      </c>
      <c r="J579" s="163">
        <v>29026.7847549548</v>
      </c>
      <c r="K579" s="163">
        <f t="shared" si="45"/>
        <v>4765188.86083166</v>
      </c>
      <c r="L579" s="174"/>
      <c r="M579" s="161" t="s">
        <v>2232</v>
      </c>
      <c r="N579" s="161" t="s">
        <v>1901</v>
      </c>
      <c r="O579" s="161" t="s">
        <v>26</v>
      </c>
      <c r="P579" s="49" t="s">
        <v>26</v>
      </c>
      <c r="Q579" s="166" t="s">
        <v>2715</v>
      </c>
      <c r="R579" s="151"/>
    </row>
    <row r="580" spans="1:18">
      <c r="A580" s="101" t="s">
        <v>33</v>
      </c>
      <c r="B580" s="101" t="s">
        <v>203</v>
      </c>
      <c r="C580" s="178" t="s">
        <v>2716</v>
      </c>
      <c r="D580" s="161" t="s">
        <v>2717</v>
      </c>
      <c r="E580" s="161" t="s">
        <v>1689</v>
      </c>
      <c r="F580" s="161" t="s">
        <v>2707</v>
      </c>
      <c r="G580" s="163">
        <v>4379.9521</v>
      </c>
      <c r="H580" s="163">
        <f t="shared" si="46"/>
        <v>27.7527</v>
      </c>
      <c r="I580" s="163">
        <v>69</v>
      </c>
      <c r="J580" s="163">
        <v>29996.0273407433</v>
      </c>
      <c r="K580" s="163">
        <f t="shared" si="45"/>
        <v>4795184.88817241</v>
      </c>
      <c r="L580" s="174"/>
      <c r="M580" s="161" t="s">
        <v>2232</v>
      </c>
      <c r="N580" s="161" t="s">
        <v>1901</v>
      </c>
      <c r="O580" s="161" t="s">
        <v>26</v>
      </c>
      <c r="P580" s="49" t="s">
        <v>26</v>
      </c>
      <c r="Q580" s="166" t="s">
        <v>2718</v>
      </c>
      <c r="R580" s="151"/>
    </row>
    <row r="581" spans="1:18">
      <c r="A581" s="101" t="s">
        <v>33</v>
      </c>
      <c r="B581" s="101" t="s">
        <v>207</v>
      </c>
      <c r="C581" s="179" t="s">
        <v>2719</v>
      </c>
      <c r="D581" s="161" t="s">
        <v>2719</v>
      </c>
      <c r="E581" s="161" t="s">
        <v>1689</v>
      </c>
      <c r="F581" s="161" t="s">
        <v>2707</v>
      </c>
      <c r="G581" s="163">
        <v>4404.6662</v>
      </c>
      <c r="H581" s="163">
        <f t="shared" si="46"/>
        <v>24.7140999999992</v>
      </c>
      <c r="I581" s="163">
        <v>100</v>
      </c>
      <c r="J581" s="163">
        <v>26623.9851849728</v>
      </c>
      <c r="K581" s="163">
        <f t="shared" si="45"/>
        <v>4821808.87335738</v>
      </c>
      <c r="L581" s="174"/>
      <c r="M581" s="161" t="s">
        <v>2232</v>
      </c>
      <c r="N581" s="161" t="s">
        <v>1331</v>
      </c>
      <c r="O581" s="161" t="s">
        <v>14</v>
      </c>
      <c r="P581" s="49" t="s">
        <v>6</v>
      </c>
      <c r="Q581" s="166" t="s">
        <v>2720</v>
      </c>
      <c r="R581" s="151"/>
    </row>
    <row r="582" spans="1:18">
      <c r="A582" s="101" t="s">
        <v>33</v>
      </c>
      <c r="B582" s="101" t="s">
        <v>207</v>
      </c>
      <c r="C582" s="179" t="s">
        <v>2721</v>
      </c>
      <c r="D582" s="161" t="s">
        <v>2722</v>
      </c>
      <c r="E582" s="161" t="s">
        <v>1689</v>
      </c>
      <c r="F582" s="161" t="s">
        <v>2707</v>
      </c>
      <c r="G582" s="163">
        <v>4429.3142</v>
      </c>
      <c r="H582" s="163">
        <f t="shared" si="46"/>
        <v>24.6480000000001</v>
      </c>
      <c r="I582" s="163">
        <v>81</v>
      </c>
      <c r="J582" s="163">
        <v>26402.255850511</v>
      </c>
      <c r="K582" s="163">
        <f t="shared" si="45"/>
        <v>4848211.12920789</v>
      </c>
      <c r="L582" s="174"/>
      <c r="M582" s="161" t="s">
        <v>2232</v>
      </c>
      <c r="N582" s="161" t="s">
        <v>1901</v>
      </c>
      <c r="O582" s="161" t="s">
        <v>26</v>
      </c>
      <c r="P582" s="49" t="s">
        <v>26</v>
      </c>
      <c r="Q582" s="166" t="s">
        <v>2723</v>
      </c>
      <c r="R582" s="151"/>
    </row>
    <row r="583" spans="1:18">
      <c r="A583" s="101" t="s">
        <v>33</v>
      </c>
      <c r="B583" s="101" t="s">
        <v>207</v>
      </c>
      <c r="C583" s="179" t="s">
        <v>2724</v>
      </c>
      <c r="D583" s="161" t="s">
        <v>2725</v>
      </c>
      <c r="E583" s="161" t="s">
        <v>1689</v>
      </c>
      <c r="F583" s="161" t="s">
        <v>2707</v>
      </c>
      <c r="G583" s="163">
        <v>4452.9395</v>
      </c>
      <c r="H583" s="163">
        <f t="shared" si="46"/>
        <v>23.6253000000006</v>
      </c>
      <c r="I583" s="163">
        <v>69</v>
      </c>
      <c r="J583" s="163">
        <v>25287.0231583683</v>
      </c>
      <c r="K583" s="163">
        <f t="shared" si="45"/>
        <v>4873498.15236626</v>
      </c>
      <c r="L583" s="174"/>
      <c r="M583" s="161" t="s">
        <v>2232</v>
      </c>
      <c r="N583" s="161" t="s">
        <v>1901</v>
      </c>
      <c r="O583" s="161" t="s">
        <v>26</v>
      </c>
      <c r="P583" s="49" t="s">
        <v>26</v>
      </c>
      <c r="Q583" s="166" t="s">
        <v>2726</v>
      </c>
      <c r="R583" s="151"/>
    </row>
    <row r="584" spans="1:18">
      <c r="A584" s="101" t="s">
        <v>33</v>
      </c>
      <c r="B584" s="101" t="s">
        <v>207</v>
      </c>
      <c r="C584" s="179" t="s">
        <v>2727</v>
      </c>
      <c r="D584" s="161" t="s">
        <v>2728</v>
      </c>
      <c r="E584" s="161" t="s">
        <v>1689</v>
      </c>
      <c r="F584" s="161" t="s">
        <v>2707</v>
      </c>
      <c r="G584" s="163">
        <v>4477.7921</v>
      </c>
      <c r="H584" s="163">
        <f t="shared" si="46"/>
        <v>24.8525999999993</v>
      </c>
      <c r="I584" s="163">
        <v>104</v>
      </c>
      <c r="J584" s="163">
        <v>26637.1572246434</v>
      </c>
      <c r="K584" s="163">
        <f t="shared" si="45"/>
        <v>4900135.3095909</v>
      </c>
      <c r="L584" s="174"/>
      <c r="M584" s="161" t="s">
        <v>2232</v>
      </c>
      <c r="N584" s="161" t="s">
        <v>1901</v>
      </c>
      <c r="O584" s="161" t="s">
        <v>26</v>
      </c>
      <c r="P584" s="49" t="s">
        <v>26</v>
      </c>
      <c r="Q584" s="166" t="s">
        <v>2729</v>
      </c>
      <c r="R584" s="151"/>
    </row>
    <row r="585" spans="1:18">
      <c r="A585" s="101" t="s">
        <v>33</v>
      </c>
      <c r="B585" s="101" t="s">
        <v>207</v>
      </c>
      <c r="C585" s="179" t="s">
        <v>2730</v>
      </c>
      <c r="D585" s="161" t="s">
        <v>2731</v>
      </c>
      <c r="E585" s="161" t="s">
        <v>1689</v>
      </c>
      <c r="F585" s="161" t="s">
        <v>2732</v>
      </c>
      <c r="G585" s="163">
        <v>4504.6902</v>
      </c>
      <c r="H585" s="163">
        <f t="shared" si="46"/>
        <v>26.8981000000003</v>
      </c>
      <c r="I585" s="163">
        <v>90</v>
      </c>
      <c r="J585" s="163">
        <v>28643.6979345236</v>
      </c>
      <c r="K585" s="163">
        <f t="shared" si="45"/>
        <v>4928779.00752543</v>
      </c>
      <c r="L585" s="174"/>
      <c r="M585" s="161" t="s">
        <v>2232</v>
      </c>
      <c r="N585" s="161" t="s">
        <v>1299</v>
      </c>
      <c r="O585" s="161" t="s">
        <v>25</v>
      </c>
      <c r="P585" s="49" t="s">
        <v>25</v>
      </c>
      <c r="Q585" s="166" t="s">
        <v>2733</v>
      </c>
      <c r="R585" s="151"/>
    </row>
    <row r="586" spans="1:18">
      <c r="A586" s="101" t="s">
        <v>33</v>
      </c>
      <c r="B586" s="101" t="s">
        <v>207</v>
      </c>
      <c r="C586" s="179" t="s">
        <v>2734</v>
      </c>
      <c r="D586" s="161" t="s">
        <v>2735</v>
      </c>
      <c r="E586" s="161" t="s">
        <v>1689</v>
      </c>
      <c r="F586" s="161" t="s">
        <v>2732</v>
      </c>
      <c r="G586" s="163">
        <v>4528.6223</v>
      </c>
      <c r="H586" s="163">
        <f t="shared" si="46"/>
        <v>23.9321</v>
      </c>
      <c r="I586" s="163">
        <v>285</v>
      </c>
      <c r="J586" s="163">
        <v>25468.1387038442</v>
      </c>
      <c r="K586" s="163">
        <f t="shared" si="45"/>
        <v>4954247.14622927</v>
      </c>
      <c r="L586" s="174"/>
      <c r="M586" s="161" t="s">
        <v>2232</v>
      </c>
      <c r="N586" s="161" t="s">
        <v>1901</v>
      </c>
      <c r="O586" s="161" t="s">
        <v>26</v>
      </c>
      <c r="P586" s="49" t="s">
        <v>26</v>
      </c>
      <c r="Q586" s="166" t="s">
        <v>2736</v>
      </c>
      <c r="R586" s="151"/>
    </row>
    <row r="587" spans="1:18">
      <c r="A587" s="101" t="s">
        <v>33</v>
      </c>
      <c r="B587" s="101" t="s">
        <v>207</v>
      </c>
      <c r="C587" s="179" t="s">
        <v>2737</v>
      </c>
      <c r="D587" s="161" t="s">
        <v>2738</v>
      </c>
      <c r="E587" s="161" t="s">
        <v>1689</v>
      </c>
      <c r="F587" s="161" t="s">
        <v>2732</v>
      </c>
      <c r="G587" s="163">
        <v>4555.2136</v>
      </c>
      <c r="H587" s="163">
        <f t="shared" si="46"/>
        <v>26.5913</v>
      </c>
      <c r="I587" s="163">
        <v>204</v>
      </c>
      <c r="J587" s="163">
        <v>28243.0483945305</v>
      </c>
      <c r="K587" s="163">
        <f t="shared" si="45"/>
        <v>4982490.1946238</v>
      </c>
      <c r="L587" s="174"/>
      <c r="M587" s="161" t="s">
        <v>2232</v>
      </c>
      <c r="N587" s="161" t="s">
        <v>1901</v>
      </c>
      <c r="O587" s="161" t="s">
        <v>26</v>
      </c>
      <c r="P587" s="49" t="s">
        <v>26</v>
      </c>
      <c r="Q587" s="166" t="s">
        <v>2739</v>
      </c>
      <c r="R587" s="151"/>
    </row>
    <row r="588" spans="1:18">
      <c r="A588" s="101" t="s">
        <v>33</v>
      </c>
      <c r="B588" s="101" t="s">
        <v>207</v>
      </c>
      <c r="C588" s="179" t="s">
        <v>2740</v>
      </c>
      <c r="D588" s="161" t="s">
        <v>2740</v>
      </c>
      <c r="E588" s="161" t="s">
        <v>1689</v>
      </c>
      <c r="F588" s="161" t="s">
        <v>2732</v>
      </c>
      <c r="G588" s="163">
        <v>4580.0662</v>
      </c>
      <c r="H588" s="163">
        <f t="shared" si="46"/>
        <v>24.8526000000002</v>
      </c>
      <c r="I588" s="163">
        <v>100</v>
      </c>
      <c r="J588" s="163">
        <v>26603.1294554935</v>
      </c>
      <c r="K588" s="163">
        <f t="shared" si="45"/>
        <v>5009093.32407929</v>
      </c>
      <c r="L588" s="174"/>
      <c r="M588" s="161" t="s">
        <v>2232</v>
      </c>
      <c r="N588" s="161" t="s">
        <v>1331</v>
      </c>
      <c r="O588" s="161" t="s">
        <v>14</v>
      </c>
      <c r="P588" s="49" t="s">
        <v>14</v>
      </c>
      <c r="Q588" s="166" t="s">
        <v>2741</v>
      </c>
      <c r="R588" s="151"/>
    </row>
    <row r="589" spans="1:18">
      <c r="A589" s="101" t="s">
        <v>33</v>
      </c>
      <c r="B589" s="101" t="s">
        <v>207</v>
      </c>
      <c r="C589" s="179" t="s">
        <v>2742</v>
      </c>
      <c r="D589" s="161" t="s">
        <v>2743</v>
      </c>
      <c r="E589" s="161" t="s">
        <v>1689</v>
      </c>
      <c r="F589" s="161" t="s">
        <v>2732</v>
      </c>
      <c r="G589" s="163">
        <v>4603.6342</v>
      </c>
      <c r="H589" s="163">
        <f t="shared" si="46"/>
        <v>23.5680000000002</v>
      </c>
      <c r="I589" s="163">
        <v>158</v>
      </c>
      <c r="J589" s="163">
        <v>25759.0212465788</v>
      </c>
      <c r="K589" s="163">
        <f t="shared" si="45"/>
        <v>5034852.34532587</v>
      </c>
      <c r="L589" s="174"/>
      <c r="M589" s="161" t="s">
        <v>2232</v>
      </c>
      <c r="N589" s="161" t="s">
        <v>1901</v>
      </c>
      <c r="O589" s="161" t="s">
        <v>26</v>
      </c>
      <c r="P589" s="49" t="s">
        <v>26</v>
      </c>
      <c r="Q589" s="166" t="s">
        <v>2744</v>
      </c>
      <c r="R589" s="151"/>
    </row>
    <row r="590" spans="1:18">
      <c r="A590" s="101" t="s">
        <v>33</v>
      </c>
      <c r="B590" s="101" t="s">
        <v>207</v>
      </c>
      <c r="C590" s="179" t="s">
        <v>2745</v>
      </c>
      <c r="D590" s="161" t="s">
        <v>2746</v>
      </c>
      <c r="E590" s="161" t="s">
        <v>1689</v>
      </c>
      <c r="F590" s="161" t="s">
        <v>2732</v>
      </c>
      <c r="G590" s="163">
        <v>4624.2189</v>
      </c>
      <c r="H590" s="163">
        <f t="shared" si="46"/>
        <v>20.5846999999994</v>
      </c>
      <c r="I590" s="163">
        <v>141</v>
      </c>
      <c r="J590" s="163">
        <v>22594.4387156245</v>
      </c>
      <c r="K590" s="163">
        <f t="shared" si="45"/>
        <v>5057446.7840415</v>
      </c>
      <c r="L590" s="174"/>
      <c r="M590" s="161" t="s">
        <v>2232</v>
      </c>
      <c r="N590" s="161" t="s">
        <v>1901</v>
      </c>
      <c r="O590" s="161" t="s">
        <v>26</v>
      </c>
      <c r="P590" s="49" t="s">
        <v>26</v>
      </c>
      <c r="Q590" s="166" t="s">
        <v>2747</v>
      </c>
      <c r="R590" s="151"/>
    </row>
    <row r="591" spans="1:18">
      <c r="A591" s="101" t="s">
        <v>33</v>
      </c>
      <c r="B591" s="101" t="s">
        <v>207</v>
      </c>
      <c r="C591" s="179" t="s">
        <v>2748</v>
      </c>
      <c r="D591" s="161" t="s">
        <v>2749</v>
      </c>
      <c r="E591" s="161" t="s">
        <v>2750</v>
      </c>
      <c r="F591" s="161" t="s">
        <v>2751</v>
      </c>
      <c r="G591" s="163">
        <v>4649.3663</v>
      </c>
      <c r="H591" s="163">
        <f t="shared" si="46"/>
        <v>25.1473999999998</v>
      </c>
      <c r="I591" s="163">
        <v>197</v>
      </c>
      <c r="J591" s="163">
        <v>26589.834</v>
      </c>
      <c r="K591" s="163">
        <f t="shared" si="45"/>
        <v>5084036.6180415</v>
      </c>
      <c r="L591" s="174"/>
      <c r="M591" s="161" t="s">
        <v>2232</v>
      </c>
      <c r="N591" s="161" t="s">
        <v>1299</v>
      </c>
      <c r="O591" s="161" t="s">
        <v>25</v>
      </c>
      <c r="P591" s="49" t="s">
        <v>25</v>
      </c>
      <c r="Q591" s="166" t="s">
        <v>2752</v>
      </c>
      <c r="R591" s="151"/>
    </row>
    <row r="592" spans="1:18">
      <c r="A592" s="101" t="s">
        <v>33</v>
      </c>
      <c r="B592" s="101" t="s">
        <v>207</v>
      </c>
      <c r="C592" s="179" t="s">
        <v>2753</v>
      </c>
      <c r="D592" s="161" t="s">
        <v>2754</v>
      </c>
      <c r="E592" s="161" t="s">
        <v>2750</v>
      </c>
      <c r="F592" s="161" t="s">
        <v>2751</v>
      </c>
      <c r="G592" s="163">
        <v>4668.7463</v>
      </c>
      <c r="H592" s="163">
        <f t="shared" si="46"/>
        <v>19.3800000000001</v>
      </c>
      <c r="I592" s="163">
        <v>174</v>
      </c>
      <c r="J592" s="163">
        <v>23324.6023848</v>
      </c>
      <c r="K592" s="163">
        <f t="shared" si="45"/>
        <v>5107361.2204263</v>
      </c>
      <c r="L592" s="174" t="s">
        <v>2755</v>
      </c>
      <c r="M592" s="161" t="s">
        <v>2232</v>
      </c>
      <c r="N592" s="161" t="s">
        <v>1901</v>
      </c>
      <c r="O592" s="161" t="s">
        <v>14</v>
      </c>
      <c r="P592" s="49" t="s">
        <v>14</v>
      </c>
      <c r="Q592" s="166" t="s">
        <v>2756</v>
      </c>
      <c r="R592" s="151"/>
    </row>
    <row r="593" spans="1:18">
      <c r="A593" s="101" t="s">
        <v>33</v>
      </c>
      <c r="B593" s="101" t="s">
        <v>207</v>
      </c>
      <c r="C593" s="180" t="s">
        <v>2757</v>
      </c>
      <c r="D593" s="161" t="s">
        <v>2758</v>
      </c>
      <c r="E593" s="161" t="s">
        <v>2750</v>
      </c>
      <c r="F593" s="161" t="s">
        <v>2751</v>
      </c>
      <c r="G593" s="163">
        <v>4695.575</v>
      </c>
      <c r="H593" s="163">
        <f t="shared" si="46"/>
        <v>26.8287</v>
      </c>
      <c r="I593" s="174">
        <v>120</v>
      </c>
      <c r="J593" s="174">
        <v>25249.7063664</v>
      </c>
      <c r="K593" s="174">
        <f t="shared" si="45"/>
        <v>5132610.9267927</v>
      </c>
      <c r="L593" s="174"/>
      <c r="M593" s="161" t="s">
        <v>2232</v>
      </c>
      <c r="N593" s="161" t="s">
        <v>1901</v>
      </c>
      <c r="O593" s="161" t="s">
        <v>26</v>
      </c>
      <c r="P593" s="49" t="s">
        <v>26</v>
      </c>
      <c r="Q593" s="166" t="s">
        <v>2759</v>
      </c>
      <c r="R593" s="151"/>
    </row>
    <row r="594" spans="1:18">
      <c r="A594" s="101" t="s">
        <v>33</v>
      </c>
      <c r="B594" s="101" t="s">
        <v>207</v>
      </c>
      <c r="C594" s="179" t="s">
        <v>830</v>
      </c>
      <c r="D594" s="161" t="s">
        <v>830</v>
      </c>
      <c r="E594" s="161" t="s">
        <v>2750</v>
      </c>
      <c r="F594" s="161" t="s">
        <v>2751</v>
      </c>
      <c r="G594" s="163">
        <v>4717.6663</v>
      </c>
      <c r="H594" s="163">
        <f t="shared" si="46"/>
        <v>22.0913</v>
      </c>
      <c r="I594" s="163">
        <v>45</v>
      </c>
      <c r="J594" s="163">
        <v>20846.429856</v>
      </c>
      <c r="K594" s="163">
        <f t="shared" si="45"/>
        <v>5153457.3566487</v>
      </c>
      <c r="L594" s="174"/>
      <c r="M594" s="161" t="s">
        <v>2232</v>
      </c>
      <c r="N594" s="161" t="s">
        <v>1331</v>
      </c>
      <c r="O594" s="161" t="s">
        <v>14</v>
      </c>
      <c r="P594" s="49" t="s">
        <v>14</v>
      </c>
      <c r="Q594" s="166" t="s">
        <v>2760</v>
      </c>
      <c r="R594" s="151"/>
    </row>
    <row r="595" spans="1:18">
      <c r="A595" s="101" t="s">
        <v>33</v>
      </c>
      <c r="B595" s="101" t="s">
        <v>207</v>
      </c>
      <c r="C595" s="179" t="s">
        <v>2761</v>
      </c>
      <c r="D595" s="161" t="s">
        <v>2762</v>
      </c>
      <c r="E595" s="161" t="s">
        <v>2750</v>
      </c>
      <c r="F595" s="161" t="s">
        <v>2751</v>
      </c>
      <c r="G595" s="163">
        <v>4741.2339</v>
      </c>
      <c r="H595" s="163">
        <f t="shared" si="46"/>
        <v>23.5676000000003</v>
      </c>
      <c r="I595" s="163">
        <v>189</v>
      </c>
      <c r="J595" s="163">
        <v>24356.287944</v>
      </c>
      <c r="K595" s="163">
        <f t="shared" si="45"/>
        <v>5177813.6445927</v>
      </c>
      <c r="L595" s="174"/>
      <c r="M595" s="161" t="s">
        <v>2232</v>
      </c>
      <c r="N595" s="161" t="s">
        <v>1901</v>
      </c>
      <c r="O595" s="161" t="s">
        <v>26</v>
      </c>
      <c r="P595" s="49" t="s">
        <v>26</v>
      </c>
      <c r="Q595" s="166" t="s">
        <v>2763</v>
      </c>
      <c r="R595" s="151"/>
    </row>
    <row r="596" spans="1:18">
      <c r="A596" s="101" t="s">
        <v>33</v>
      </c>
      <c r="B596" s="101" t="s">
        <v>207</v>
      </c>
      <c r="C596" s="179" t="s">
        <v>2764</v>
      </c>
      <c r="D596" s="161" t="s">
        <v>2765</v>
      </c>
      <c r="E596" s="161" t="s">
        <v>2750</v>
      </c>
      <c r="F596" s="161" t="s">
        <v>2751</v>
      </c>
      <c r="G596" s="163">
        <v>4765.7396</v>
      </c>
      <c r="H596" s="163">
        <f t="shared" si="46"/>
        <v>24.5056999999997</v>
      </c>
      <c r="I596" s="163">
        <v>260</v>
      </c>
      <c r="J596" s="163">
        <v>24824.2690224</v>
      </c>
      <c r="K596" s="163">
        <f t="shared" ref="K596:K603" si="47">J596+K595</f>
        <v>5202637.9136151</v>
      </c>
      <c r="L596" s="174"/>
      <c r="M596" s="161" t="s">
        <v>2232</v>
      </c>
      <c r="N596" s="161" t="s">
        <v>1299</v>
      </c>
      <c r="O596" s="161" t="s">
        <v>25</v>
      </c>
      <c r="P596" s="49" t="s">
        <v>25</v>
      </c>
      <c r="Q596" s="166" t="s">
        <v>2766</v>
      </c>
      <c r="R596" s="151"/>
    </row>
    <row r="597" spans="1:18">
      <c r="A597" s="101" t="s">
        <v>33</v>
      </c>
      <c r="B597" s="101" t="s">
        <v>207</v>
      </c>
      <c r="C597" s="179" t="s">
        <v>2767</v>
      </c>
      <c r="D597" s="161" t="s">
        <v>2768</v>
      </c>
      <c r="E597" s="161" t="s">
        <v>2750</v>
      </c>
      <c r="F597" s="161" t="s">
        <v>2751</v>
      </c>
      <c r="G597" s="163">
        <v>4790.4877</v>
      </c>
      <c r="H597" s="163">
        <f t="shared" si="46"/>
        <v>24.7480999999998</v>
      </c>
      <c r="I597" s="163">
        <v>177</v>
      </c>
      <c r="J597" s="163">
        <v>25377.3375696</v>
      </c>
      <c r="K597" s="163">
        <f t="shared" si="47"/>
        <v>5228015.2511847</v>
      </c>
      <c r="L597" s="174"/>
      <c r="M597" s="161" t="s">
        <v>2232</v>
      </c>
      <c r="N597" s="161" t="s">
        <v>1901</v>
      </c>
      <c r="O597" s="161" t="s">
        <v>26</v>
      </c>
      <c r="P597" s="49" t="s">
        <v>26</v>
      </c>
      <c r="Q597" s="166" t="s">
        <v>2769</v>
      </c>
      <c r="R597" s="151"/>
    </row>
    <row r="598" spans="1:18">
      <c r="A598" s="101" t="s">
        <v>33</v>
      </c>
      <c r="B598" s="101" t="s">
        <v>207</v>
      </c>
      <c r="C598" s="179" t="s">
        <v>973</v>
      </c>
      <c r="D598" s="161" t="s">
        <v>2770</v>
      </c>
      <c r="E598" s="161" t="s">
        <v>2750</v>
      </c>
      <c r="F598" s="161" t="s">
        <v>2751</v>
      </c>
      <c r="G598" s="163">
        <v>4815.415</v>
      </c>
      <c r="H598" s="163">
        <f t="shared" si="46"/>
        <v>24.9273000000003</v>
      </c>
      <c r="I598" s="163">
        <v>120</v>
      </c>
      <c r="J598" s="163">
        <v>25547.5125072</v>
      </c>
      <c r="K598" s="163">
        <f t="shared" si="47"/>
        <v>5253562.7636919</v>
      </c>
      <c r="L598" s="174"/>
      <c r="M598" s="161" t="s">
        <v>2232</v>
      </c>
      <c r="N598" s="161" t="s">
        <v>1901</v>
      </c>
      <c r="O598" s="161" t="s">
        <v>26</v>
      </c>
      <c r="P598" s="49" t="s">
        <v>26</v>
      </c>
      <c r="Q598" s="166" t="s">
        <v>2771</v>
      </c>
      <c r="R598" s="151"/>
    </row>
    <row r="599" spans="1:18">
      <c r="A599" s="101" t="s">
        <v>33</v>
      </c>
      <c r="B599" s="101" t="s">
        <v>207</v>
      </c>
      <c r="C599" s="179" t="s">
        <v>2772</v>
      </c>
      <c r="D599" s="161" t="s">
        <v>2773</v>
      </c>
      <c r="E599" s="161" t="s">
        <v>2750</v>
      </c>
      <c r="F599" s="161" t="s">
        <v>2751</v>
      </c>
      <c r="G599" s="163">
        <v>4838.1444</v>
      </c>
      <c r="H599" s="163">
        <f t="shared" si="46"/>
        <v>22.7294000000002</v>
      </c>
      <c r="I599" s="163">
        <v>102</v>
      </c>
      <c r="J599" s="163">
        <v>23250.1508496</v>
      </c>
      <c r="K599" s="163">
        <f t="shared" si="47"/>
        <v>5276812.9145415</v>
      </c>
      <c r="L599" s="174"/>
      <c r="M599" s="161" t="s">
        <v>2232</v>
      </c>
      <c r="N599" s="161" t="s">
        <v>1901</v>
      </c>
      <c r="O599" s="161" t="s">
        <v>26</v>
      </c>
      <c r="P599" s="49" t="s">
        <v>26</v>
      </c>
      <c r="Q599" s="166" t="s">
        <v>2774</v>
      </c>
      <c r="R599" s="151"/>
    </row>
    <row r="600" spans="1:18">
      <c r="A600" s="101" t="s">
        <v>33</v>
      </c>
      <c r="B600" s="101" t="s">
        <v>207</v>
      </c>
      <c r="C600" s="179" t="s">
        <v>2775</v>
      </c>
      <c r="D600" s="161" t="s">
        <v>2776</v>
      </c>
      <c r="E600" s="161" t="s">
        <v>2750</v>
      </c>
      <c r="F600" s="161" t="s">
        <v>2777</v>
      </c>
      <c r="G600" s="163">
        <v>4860.1592</v>
      </c>
      <c r="H600" s="163">
        <f t="shared" si="46"/>
        <v>22.0147999999999</v>
      </c>
      <c r="I600" s="163">
        <v>128</v>
      </c>
      <c r="J600" s="163">
        <v>22548.179232</v>
      </c>
      <c r="K600" s="163">
        <f t="shared" si="47"/>
        <v>5299361.0937735</v>
      </c>
      <c r="L600" s="174"/>
      <c r="M600" s="161" t="s">
        <v>2232</v>
      </c>
      <c r="N600" s="161" t="s">
        <v>1299</v>
      </c>
      <c r="O600" s="161" t="s">
        <v>25</v>
      </c>
      <c r="P600" s="49" t="s">
        <v>25</v>
      </c>
      <c r="Q600" s="166" t="s">
        <v>2778</v>
      </c>
      <c r="R600" s="151"/>
    </row>
    <row r="601" spans="1:18">
      <c r="A601" s="101" t="s">
        <v>33</v>
      </c>
      <c r="B601" s="101" t="s">
        <v>207</v>
      </c>
      <c r="C601" s="179" t="s">
        <v>2779</v>
      </c>
      <c r="D601" s="161" t="s">
        <v>2780</v>
      </c>
      <c r="E601" s="161" t="s">
        <v>2750</v>
      </c>
      <c r="F601" s="161" t="s">
        <v>2777</v>
      </c>
      <c r="G601" s="163">
        <v>4879.8409</v>
      </c>
      <c r="H601" s="163">
        <f t="shared" si="46"/>
        <v>19.6817000000001</v>
      </c>
      <c r="I601" s="163">
        <v>67</v>
      </c>
      <c r="J601" s="163">
        <v>20080.6426368</v>
      </c>
      <c r="K601" s="163">
        <f t="shared" si="47"/>
        <v>5319441.7364103</v>
      </c>
      <c r="L601" s="174"/>
      <c r="M601" s="161" t="s">
        <v>2232</v>
      </c>
      <c r="N601" s="161" t="s">
        <v>1901</v>
      </c>
      <c r="O601" s="161" t="s">
        <v>26</v>
      </c>
      <c r="P601" s="49" t="s">
        <v>26</v>
      </c>
      <c r="Q601" s="166" t="s">
        <v>2781</v>
      </c>
      <c r="R601" s="151"/>
    </row>
    <row r="602" spans="1:18">
      <c r="A602" s="101" t="s">
        <v>33</v>
      </c>
      <c r="B602" s="101" t="s">
        <v>207</v>
      </c>
      <c r="C602" s="179" t="s">
        <v>2782</v>
      </c>
      <c r="D602" s="161" t="s">
        <v>2783</v>
      </c>
      <c r="E602" s="161" t="s">
        <v>2750</v>
      </c>
      <c r="F602" s="161" t="s">
        <v>2777</v>
      </c>
      <c r="G602" s="163">
        <v>4899.3518</v>
      </c>
      <c r="H602" s="163">
        <f t="shared" si="46"/>
        <v>19.5109000000002</v>
      </c>
      <c r="I602" s="163">
        <v>28</v>
      </c>
      <c r="J602" s="163">
        <v>19995.555168</v>
      </c>
      <c r="K602" s="163">
        <f t="shared" si="47"/>
        <v>5339437.2915783</v>
      </c>
      <c r="L602" s="174"/>
      <c r="M602" s="161" t="s">
        <v>2232</v>
      </c>
      <c r="N602" s="161" t="s">
        <v>1901</v>
      </c>
      <c r="O602" s="161" t="s">
        <v>26</v>
      </c>
      <c r="P602" s="49" t="s">
        <v>26</v>
      </c>
      <c r="Q602" s="166" t="s">
        <v>2784</v>
      </c>
      <c r="R602" s="151"/>
    </row>
    <row r="603" spans="1:18">
      <c r="A603" s="101" t="s">
        <v>33</v>
      </c>
      <c r="B603" s="101" t="s">
        <v>207</v>
      </c>
      <c r="C603" s="179" t="s">
        <v>208</v>
      </c>
      <c r="D603" s="161" t="s">
        <v>208</v>
      </c>
      <c r="E603" s="161" t="s">
        <v>2750</v>
      </c>
      <c r="F603" s="161" t="s">
        <v>2777</v>
      </c>
      <c r="G603" s="163">
        <v>4910.6663</v>
      </c>
      <c r="H603" s="163">
        <f t="shared" si="46"/>
        <v>11.3144999999995</v>
      </c>
      <c r="I603" s="163">
        <v>61</v>
      </c>
      <c r="J603" s="163">
        <v>13720.3543439996</v>
      </c>
      <c r="K603" s="163">
        <f t="shared" si="47"/>
        <v>5353157.6459223</v>
      </c>
      <c r="L603" s="174"/>
      <c r="M603" s="161" t="s">
        <v>2232</v>
      </c>
      <c r="N603" s="161" t="s">
        <v>1331</v>
      </c>
      <c r="O603" s="161" t="s">
        <v>6</v>
      </c>
      <c r="P603" s="49" t="s">
        <v>6</v>
      </c>
      <c r="Q603" s="166" t="s">
        <v>2785</v>
      </c>
      <c r="R603" s="151"/>
    </row>
    <row r="604" spans="1:18">
      <c r="A604" s="101" t="s">
        <v>33</v>
      </c>
      <c r="B604" s="101" t="s">
        <v>210</v>
      </c>
      <c r="C604" s="135" t="s">
        <v>211</v>
      </c>
      <c r="D604" s="135" t="s">
        <v>211</v>
      </c>
      <c r="E604" s="161" t="s">
        <v>1291</v>
      </c>
      <c r="F604" s="161" t="s">
        <v>2277</v>
      </c>
      <c r="G604" s="163">
        <v>0</v>
      </c>
      <c r="H604" s="163">
        <v>0</v>
      </c>
      <c r="I604" s="173" t="s">
        <v>147</v>
      </c>
      <c r="J604" s="173">
        <v>0</v>
      </c>
      <c r="K604" s="173">
        <v>0</v>
      </c>
      <c r="L604" s="174"/>
      <c r="M604" s="161" t="s">
        <v>2232</v>
      </c>
      <c r="N604" s="161" t="s">
        <v>1331</v>
      </c>
      <c r="O604" s="161"/>
      <c r="P604" s="49"/>
      <c r="Q604" s="166" t="s">
        <v>2278</v>
      </c>
      <c r="R604" s="151"/>
    </row>
    <row r="605" spans="1:18">
      <c r="A605" s="101" t="s">
        <v>33</v>
      </c>
      <c r="B605" s="101" t="s">
        <v>210</v>
      </c>
      <c r="C605" s="83" t="s">
        <v>212</v>
      </c>
      <c r="D605" s="135" t="s">
        <v>212</v>
      </c>
      <c r="E605" s="161" t="s">
        <v>1291</v>
      </c>
      <c r="F605" s="161" t="s">
        <v>2277</v>
      </c>
      <c r="G605" s="163">
        <v>8.1</v>
      </c>
      <c r="H605" s="163">
        <v>8.1</v>
      </c>
      <c r="I605" s="173" t="s">
        <v>147</v>
      </c>
      <c r="J605" s="173">
        <v>267</v>
      </c>
      <c r="K605" s="173">
        <v>267</v>
      </c>
      <c r="L605" s="174"/>
      <c r="M605" s="161" t="s">
        <v>2786</v>
      </c>
      <c r="N605" s="161" t="s">
        <v>1331</v>
      </c>
      <c r="O605" s="161" t="s">
        <v>14</v>
      </c>
      <c r="P605" s="49" t="s">
        <v>14</v>
      </c>
      <c r="Q605" s="166" t="s">
        <v>2787</v>
      </c>
      <c r="R605" s="151"/>
    </row>
    <row r="606" spans="1:18">
      <c r="A606" s="101" t="s">
        <v>33</v>
      </c>
      <c r="B606" s="101" t="s">
        <v>213</v>
      </c>
      <c r="C606" s="135" t="s">
        <v>214</v>
      </c>
      <c r="D606" s="135" t="s">
        <v>214</v>
      </c>
      <c r="E606" s="161" t="s">
        <v>1384</v>
      </c>
      <c r="F606" s="161" t="s">
        <v>1418</v>
      </c>
      <c r="G606" s="163">
        <v>0</v>
      </c>
      <c r="H606" s="163">
        <v>0</v>
      </c>
      <c r="I606" s="176" t="s">
        <v>147</v>
      </c>
      <c r="J606" s="176">
        <v>0</v>
      </c>
      <c r="K606" s="176">
        <v>0</v>
      </c>
      <c r="L606" s="174"/>
      <c r="M606" s="161" t="s">
        <v>2232</v>
      </c>
      <c r="N606" s="161"/>
      <c r="O606" s="161"/>
      <c r="P606" s="49"/>
      <c r="Q606" s="166" t="s">
        <v>2399</v>
      </c>
      <c r="R606" s="151"/>
    </row>
    <row r="607" spans="1:18">
      <c r="A607" s="101" t="s">
        <v>33</v>
      </c>
      <c r="B607" s="101" t="s">
        <v>213</v>
      </c>
      <c r="C607" s="135" t="s">
        <v>215</v>
      </c>
      <c r="D607" s="135" t="s">
        <v>215</v>
      </c>
      <c r="E607" s="161" t="s">
        <v>1384</v>
      </c>
      <c r="F607" s="161"/>
      <c r="G607" s="163">
        <v>15.14</v>
      </c>
      <c r="H607" s="163">
        <v>15.14</v>
      </c>
      <c r="I607" s="176" t="s">
        <v>147</v>
      </c>
      <c r="J607" s="176">
        <v>292</v>
      </c>
      <c r="K607" s="176">
        <v>292</v>
      </c>
      <c r="L607" s="174"/>
      <c r="M607" s="161" t="s">
        <v>2788</v>
      </c>
      <c r="N607" s="161" t="s">
        <v>1331</v>
      </c>
      <c r="O607" s="161"/>
      <c r="P607" s="49"/>
      <c r="Q607" s="166" t="s">
        <v>2789</v>
      </c>
      <c r="R607" s="151"/>
    </row>
    <row r="608" spans="1:18">
      <c r="A608" s="101" t="s">
        <v>33</v>
      </c>
      <c r="B608" s="101" t="s">
        <v>217</v>
      </c>
      <c r="C608" s="135" t="s">
        <v>214</v>
      </c>
      <c r="D608" s="135" t="s">
        <v>214</v>
      </c>
      <c r="E608" s="161" t="s">
        <v>1384</v>
      </c>
      <c r="F608" s="161" t="s">
        <v>1418</v>
      </c>
      <c r="G608" s="163">
        <v>0</v>
      </c>
      <c r="H608" s="163">
        <v>0</v>
      </c>
      <c r="I608" s="176" t="s">
        <v>147</v>
      </c>
      <c r="J608" s="176">
        <v>0</v>
      </c>
      <c r="K608" s="176">
        <v>0</v>
      </c>
      <c r="L608" s="174"/>
      <c r="M608" s="161" t="s">
        <v>2232</v>
      </c>
      <c r="N608" s="161"/>
      <c r="O608" s="161"/>
      <c r="P608" s="49"/>
      <c r="Q608" s="166" t="s">
        <v>2399</v>
      </c>
      <c r="R608" s="151"/>
    </row>
    <row r="609" spans="1:18">
      <c r="A609" s="101" t="s">
        <v>33</v>
      </c>
      <c r="B609" s="101" t="s">
        <v>217</v>
      </c>
      <c r="C609" s="135" t="s">
        <v>218</v>
      </c>
      <c r="D609" s="135" t="s">
        <v>218</v>
      </c>
      <c r="E609" s="161" t="s">
        <v>1384</v>
      </c>
      <c r="F609" s="161"/>
      <c r="G609" s="163">
        <v>11</v>
      </c>
      <c r="H609" s="163">
        <v>11</v>
      </c>
      <c r="I609" s="176" t="s">
        <v>147</v>
      </c>
      <c r="J609" s="176">
        <v>212</v>
      </c>
      <c r="K609" s="176">
        <v>212</v>
      </c>
      <c r="L609" s="174"/>
      <c r="M609" s="161" t="s">
        <v>2790</v>
      </c>
      <c r="N609" s="161"/>
      <c r="O609" s="161"/>
      <c r="P609" s="49"/>
      <c r="Q609" s="166" t="s">
        <v>2791</v>
      </c>
      <c r="R609" s="151"/>
    </row>
    <row r="610" spans="1:18">
      <c r="A610" s="101" t="s">
        <v>33</v>
      </c>
      <c r="B610" s="101" t="s">
        <v>219</v>
      </c>
      <c r="C610" s="135" t="s">
        <v>220</v>
      </c>
      <c r="D610" s="135" t="s">
        <v>220</v>
      </c>
      <c r="E610" s="161" t="s">
        <v>1384</v>
      </c>
      <c r="F610" s="161" t="s">
        <v>1437</v>
      </c>
      <c r="G610" s="163">
        <v>0</v>
      </c>
      <c r="H610" s="163">
        <v>0</v>
      </c>
      <c r="I610" s="176" t="s">
        <v>147</v>
      </c>
      <c r="J610" s="176">
        <v>0</v>
      </c>
      <c r="K610" s="176">
        <v>0</v>
      </c>
      <c r="L610" s="174"/>
      <c r="M610" s="161" t="s">
        <v>2232</v>
      </c>
      <c r="N610" s="161"/>
      <c r="O610" s="161"/>
      <c r="P610" s="49"/>
      <c r="Q610" s="166" t="s">
        <v>2418</v>
      </c>
      <c r="R610" s="151"/>
    </row>
    <row r="611" spans="1:18">
      <c r="A611" s="101" t="s">
        <v>33</v>
      </c>
      <c r="B611" s="101" t="s">
        <v>219</v>
      </c>
      <c r="C611" s="135" t="s">
        <v>221</v>
      </c>
      <c r="D611" s="135" t="s">
        <v>221</v>
      </c>
      <c r="E611" s="161" t="s">
        <v>1384</v>
      </c>
      <c r="F611" s="161"/>
      <c r="G611" s="163">
        <v>22.93</v>
      </c>
      <c r="H611" s="163">
        <v>22.93</v>
      </c>
      <c r="I611" s="176" t="s">
        <v>147</v>
      </c>
      <c r="J611" s="176">
        <v>443</v>
      </c>
      <c r="K611" s="176">
        <v>443</v>
      </c>
      <c r="L611" s="174"/>
      <c r="M611" s="161" t="s">
        <v>2792</v>
      </c>
      <c r="N611" s="161"/>
      <c r="O611" s="161"/>
      <c r="P611" s="49"/>
      <c r="Q611" s="166" t="s">
        <v>2793</v>
      </c>
      <c r="R611" s="151"/>
    </row>
    <row r="612" spans="1:18">
      <c r="A612" s="101" t="s">
        <v>33</v>
      </c>
      <c r="B612" s="101" t="s">
        <v>222</v>
      </c>
      <c r="C612" s="135" t="s">
        <v>223</v>
      </c>
      <c r="D612" s="135" t="s">
        <v>2436</v>
      </c>
      <c r="E612" s="161" t="s">
        <v>1384</v>
      </c>
      <c r="F612" s="161" t="s">
        <v>1464</v>
      </c>
      <c r="G612" s="163">
        <v>0</v>
      </c>
      <c r="H612" s="163">
        <v>0</v>
      </c>
      <c r="I612" s="176" t="s">
        <v>147</v>
      </c>
      <c r="J612" s="176">
        <v>0</v>
      </c>
      <c r="K612" s="176">
        <v>0</v>
      </c>
      <c r="L612" s="174"/>
      <c r="M612" s="161" t="s">
        <v>2232</v>
      </c>
      <c r="N612" s="161"/>
      <c r="O612" s="161"/>
      <c r="P612" s="49"/>
      <c r="Q612" s="166"/>
      <c r="R612" s="151"/>
    </row>
    <row r="613" spans="1:18">
      <c r="A613" s="101" t="s">
        <v>33</v>
      </c>
      <c r="B613" s="101" t="s">
        <v>222</v>
      </c>
      <c r="C613" s="83" t="s">
        <v>2794</v>
      </c>
      <c r="D613" s="135" t="s">
        <v>2794</v>
      </c>
      <c r="E613" s="161" t="s">
        <v>1384</v>
      </c>
      <c r="F613" s="161" t="s">
        <v>1464</v>
      </c>
      <c r="G613" s="163">
        <v>0.02</v>
      </c>
      <c r="H613" s="163">
        <f>G613-G612</f>
        <v>0.02</v>
      </c>
      <c r="I613" s="176" t="s">
        <v>147</v>
      </c>
      <c r="J613" s="176" t="s">
        <v>147</v>
      </c>
      <c r="K613" s="176" t="s">
        <v>147</v>
      </c>
      <c r="L613" s="174"/>
      <c r="M613" s="161" t="s">
        <v>2232</v>
      </c>
      <c r="N613" s="161" t="s">
        <v>1331</v>
      </c>
      <c r="O613" s="161" t="s">
        <v>14</v>
      </c>
      <c r="P613" s="49" t="s">
        <v>14</v>
      </c>
      <c r="Q613" s="166" t="s">
        <v>2437</v>
      </c>
      <c r="R613" s="151"/>
    </row>
    <row r="614" spans="1:18">
      <c r="A614" s="101" t="s">
        <v>33</v>
      </c>
      <c r="B614" s="101" t="s">
        <v>222</v>
      </c>
      <c r="C614" s="83" t="s">
        <v>2795</v>
      </c>
      <c r="D614" s="135" t="s">
        <v>2795</v>
      </c>
      <c r="E614" s="161" t="s">
        <v>1384</v>
      </c>
      <c r="F614" s="161" t="s">
        <v>1464</v>
      </c>
      <c r="G614" s="163">
        <v>28.21</v>
      </c>
      <c r="H614" s="163">
        <f>G614-G613</f>
        <v>28.19</v>
      </c>
      <c r="I614" s="176" t="s">
        <v>147</v>
      </c>
      <c r="J614" s="176" t="s">
        <v>147</v>
      </c>
      <c r="K614" s="176" t="s">
        <v>147</v>
      </c>
      <c r="L614" s="174"/>
      <c r="M614" s="161" t="e">
        <v>#N/A</v>
      </c>
      <c r="N614" s="161"/>
      <c r="O614" s="161" t="s">
        <v>27</v>
      </c>
      <c r="P614" s="49" t="s">
        <v>27</v>
      </c>
      <c r="Q614" s="166"/>
      <c r="R614" s="151"/>
    </row>
    <row r="615" spans="1:18">
      <c r="A615" s="101" t="s">
        <v>33</v>
      </c>
      <c r="B615" s="101" t="s">
        <v>222</v>
      </c>
      <c r="C615" s="83" t="s">
        <v>224</v>
      </c>
      <c r="D615" s="135" t="s">
        <v>224</v>
      </c>
      <c r="E615" s="161" t="s">
        <v>1384</v>
      </c>
      <c r="F615" s="161" t="s">
        <v>1464</v>
      </c>
      <c r="G615" s="163">
        <v>48.029</v>
      </c>
      <c r="H615" s="163">
        <f>G615-G614</f>
        <v>19.819</v>
      </c>
      <c r="I615" s="176" t="s">
        <v>147</v>
      </c>
      <c r="J615" s="176">
        <v>926.3</v>
      </c>
      <c r="K615" s="176">
        <v>926.3</v>
      </c>
      <c r="L615" s="163"/>
      <c r="M615" s="161" t="s">
        <v>2796</v>
      </c>
      <c r="N615" s="161" t="s">
        <v>1331</v>
      </c>
      <c r="O615" s="161" t="s">
        <v>14</v>
      </c>
      <c r="P615" s="49" t="s">
        <v>14</v>
      </c>
      <c r="Q615" s="166" t="s">
        <v>2797</v>
      </c>
      <c r="R615" s="151"/>
    </row>
    <row r="616" spans="1:18">
      <c r="A616" s="101" t="s">
        <v>33</v>
      </c>
      <c r="B616" s="101" t="s">
        <v>225</v>
      </c>
      <c r="C616" s="135" t="s">
        <v>226</v>
      </c>
      <c r="D616" s="135" t="s">
        <v>226</v>
      </c>
      <c r="E616" s="161" t="s">
        <v>1384</v>
      </c>
      <c r="F616" s="161" t="s">
        <v>1464</v>
      </c>
      <c r="G616" s="163">
        <v>0</v>
      </c>
      <c r="H616" s="163">
        <v>0</v>
      </c>
      <c r="I616" s="176" t="s">
        <v>147</v>
      </c>
      <c r="J616" s="176">
        <v>0</v>
      </c>
      <c r="K616" s="176">
        <v>0</v>
      </c>
      <c r="L616" s="174"/>
      <c r="M616" s="161" t="s">
        <v>2232</v>
      </c>
      <c r="N616" s="161" t="s">
        <v>1331</v>
      </c>
      <c r="O616" s="161"/>
      <c r="P616" s="49"/>
      <c r="Q616" s="166" t="s">
        <v>2440</v>
      </c>
      <c r="R616" s="151"/>
    </row>
    <row r="617" spans="1:18">
      <c r="A617" s="101" t="s">
        <v>33</v>
      </c>
      <c r="B617" s="101" t="s">
        <v>225</v>
      </c>
      <c r="C617" s="135" t="s">
        <v>227</v>
      </c>
      <c r="D617" s="135" t="s">
        <v>227</v>
      </c>
      <c r="E617" s="161" t="s">
        <v>1384</v>
      </c>
      <c r="F617" s="161"/>
      <c r="G617" s="163">
        <v>9.12</v>
      </c>
      <c r="H617" s="163">
        <v>9.12</v>
      </c>
      <c r="I617" s="176" t="s">
        <v>147</v>
      </c>
      <c r="J617" s="176">
        <v>176</v>
      </c>
      <c r="K617" s="176">
        <v>176</v>
      </c>
      <c r="L617" s="174"/>
      <c r="M617" s="161" t="s">
        <v>2798</v>
      </c>
      <c r="N617" s="161" t="s">
        <v>1331</v>
      </c>
      <c r="O617" s="161"/>
      <c r="P617" s="49"/>
      <c r="Q617" s="166" t="s">
        <v>2799</v>
      </c>
      <c r="R617" s="151"/>
    </row>
    <row r="618" spans="1:18">
      <c r="A618" s="101" t="s">
        <v>33</v>
      </c>
      <c r="B618" s="101" t="s">
        <v>228</v>
      </c>
      <c r="C618" s="135" t="s">
        <v>229</v>
      </c>
      <c r="D618" s="135" t="s">
        <v>229</v>
      </c>
      <c r="E618" s="161" t="s">
        <v>1640</v>
      </c>
      <c r="F618" s="161" t="s">
        <v>2561</v>
      </c>
      <c r="G618" s="163">
        <v>0</v>
      </c>
      <c r="H618" s="163">
        <v>0</v>
      </c>
      <c r="I618" s="176" t="s">
        <v>147</v>
      </c>
      <c r="J618" s="176">
        <v>2271</v>
      </c>
      <c r="K618" s="176">
        <v>0</v>
      </c>
      <c r="L618" s="163"/>
      <c r="M618" s="161" t="s">
        <v>2232</v>
      </c>
      <c r="N618" s="161" t="s">
        <v>1331</v>
      </c>
      <c r="O618" s="161"/>
      <c r="P618" s="49"/>
      <c r="Q618" s="166" t="s">
        <v>2585</v>
      </c>
      <c r="R618" s="151"/>
    </row>
    <row r="619" spans="1:18">
      <c r="A619" s="101" t="s">
        <v>33</v>
      </c>
      <c r="B619" s="101" t="s">
        <v>228</v>
      </c>
      <c r="C619" s="85" t="s">
        <v>2800</v>
      </c>
      <c r="D619" s="161" t="s">
        <v>2801</v>
      </c>
      <c r="E619" s="161" t="s">
        <v>1640</v>
      </c>
      <c r="F619" s="161" t="s">
        <v>2561</v>
      </c>
      <c r="G619" s="163">
        <v>11.83</v>
      </c>
      <c r="H619" s="163">
        <v>11.83</v>
      </c>
      <c r="I619" s="176"/>
      <c r="J619" s="176"/>
      <c r="K619" s="176"/>
      <c r="L619" s="163"/>
      <c r="M619" s="161">
        <v>0</v>
      </c>
      <c r="N619" s="161"/>
      <c r="O619" s="161" t="s">
        <v>26</v>
      </c>
      <c r="P619" s="49" t="s">
        <v>26</v>
      </c>
      <c r="Q619" s="166" t="s">
        <v>2802</v>
      </c>
      <c r="R619" s="151"/>
    </row>
    <row r="620" spans="1:18">
      <c r="A620" s="101" t="s">
        <v>33</v>
      </c>
      <c r="B620" s="101" t="s">
        <v>228</v>
      </c>
      <c r="C620" s="181" t="s">
        <v>230</v>
      </c>
      <c r="D620" s="161" t="s">
        <v>2803</v>
      </c>
      <c r="E620" s="161" t="s">
        <v>1640</v>
      </c>
      <c r="F620" s="161" t="s">
        <v>2561</v>
      </c>
      <c r="G620" s="163">
        <v>24.64</v>
      </c>
      <c r="H620" s="163">
        <f>G620-G619</f>
        <v>12.81</v>
      </c>
      <c r="I620" s="173" t="s">
        <v>147</v>
      </c>
      <c r="J620" s="173">
        <v>2426</v>
      </c>
      <c r="K620" s="173">
        <f>J618+J620</f>
        <v>4697</v>
      </c>
      <c r="L620" s="174"/>
      <c r="M620" s="161" t="s">
        <v>2804</v>
      </c>
      <c r="N620" s="161" t="s">
        <v>1331</v>
      </c>
      <c r="O620" s="161" t="s">
        <v>14</v>
      </c>
      <c r="P620" s="49" t="s">
        <v>14</v>
      </c>
      <c r="Q620" s="166" t="s">
        <v>2805</v>
      </c>
      <c r="R620" s="151"/>
    </row>
    <row r="621" ht="30" spans="1:18">
      <c r="A621" s="101" t="s">
        <v>33</v>
      </c>
      <c r="B621" s="101" t="s">
        <v>234</v>
      </c>
      <c r="C621" s="178" t="s">
        <v>235</v>
      </c>
      <c r="D621" s="135" t="s">
        <v>2806</v>
      </c>
      <c r="E621" s="161" t="s">
        <v>2204</v>
      </c>
      <c r="F621" s="161" t="s">
        <v>2660</v>
      </c>
      <c r="G621" s="163">
        <v>0</v>
      </c>
      <c r="H621" s="163">
        <v>0</v>
      </c>
      <c r="I621" s="173" t="s">
        <v>147</v>
      </c>
      <c r="J621" s="173">
        <v>0</v>
      </c>
      <c r="K621" s="173">
        <v>0</v>
      </c>
      <c r="L621" s="174"/>
      <c r="M621" s="161">
        <v>0</v>
      </c>
      <c r="N621" s="161" t="s">
        <v>1331</v>
      </c>
      <c r="O621" s="161" t="s">
        <v>2807</v>
      </c>
      <c r="P621" s="49" t="s">
        <v>2807</v>
      </c>
      <c r="Q621" s="166"/>
      <c r="R621" s="151"/>
    </row>
    <row r="622" ht="30" spans="1:18">
      <c r="A622" s="101" t="s">
        <v>33</v>
      </c>
      <c r="B622" s="101" t="s">
        <v>234</v>
      </c>
      <c r="C622" s="178" t="s">
        <v>2808</v>
      </c>
      <c r="D622" s="135" t="s">
        <v>2808</v>
      </c>
      <c r="E622" s="161" t="s">
        <v>2204</v>
      </c>
      <c r="F622" s="161" t="s">
        <v>2660</v>
      </c>
      <c r="G622" s="163">
        <v>1.303</v>
      </c>
      <c r="H622" s="163">
        <f>G622-G621</f>
        <v>1.303</v>
      </c>
      <c r="I622" s="173" t="s">
        <v>147</v>
      </c>
      <c r="J622" s="173">
        <v>647</v>
      </c>
      <c r="K622" s="173">
        <v>647</v>
      </c>
      <c r="L622" s="174"/>
      <c r="M622" s="161">
        <v>0</v>
      </c>
      <c r="N622" s="161" t="s">
        <v>1331</v>
      </c>
      <c r="O622" s="161" t="s">
        <v>14</v>
      </c>
      <c r="P622" s="49" t="s">
        <v>14</v>
      </c>
      <c r="Q622" s="166" t="s">
        <v>2809</v>
      </c>
      <c r="R622" s="151"/>
    </row>
    <row r="623" ht="30" spans="1:18">
      <c r="A623" s="101" t="s">
        <v>33</v>
      </c>
      <c r="B623" s="101" t="s">
        <v>234</v>
      </c>
      <c r="C623" s="161" t="s">
        <v>2810</v>
      </c>
      <c r="D623" s="135" t="s">
        <v>2810</v>
      </c>
      <c r="E623" s="161" t="s">
        <v>2204</v>
      </c>
      <c r="F623" s="161" t="s">
        <v>2811</v>
      </c>
      <c r="G623" s="163">
        <v>20.796</v>
      </c>
      <c r="H623" s="163">
        <f>G623-G622</f>
        <v>19.493</v>
      </c>
      <c r="I623" s="173" t="s">
        <v>147</v>
      </c>
      <c r="J623" s="173">
        <v>0</v>
      </c>
      <c r="K623" s="173">
        <v>647</v>
      </c>
      <c r="L623" s="174"/>
      <c r="M623" s="161">
        <v>0</v>
      </c>
      <c r="N623" s="161" t="s">
        <v>1331</v>
      </c>
      <c r="O623" s="161"/>
      <c r="P623" s="49"/>
      <c r="Q623" s="166"/>
      <c r="R623" s="151"/>
    </row>
    <row r="624" spans="1:18">
      <c r="A624" s="101" t="s">
        <v>33</v>
      </c>
      <c r="B624" s="101" t="s">
        <v>231</v>
      </c>
      <c r="C624" s="161" t="s">
        <v>232</v>
      </c>
      <c r="D624" s="135" t="s">
        <v>232</v>
      </c>
      <c r="E624" s="161" t="s">
        <v>2204</v>
      </c>
      <c r="F624" s="161" t="s">
        <v>2213</v>
      </c>
      <c r="G624" s="163">
        <v>0</v>
      </c>
      <c r="H624" s="163">
        <v>0</v>
      </c>
      <c r="I624" s="173" t="s">
        <v>147</v>
      </c>
      <c r="J624" s="176">
        <v>0</v>
      </c>
      <c r="K624" s="176">
        <v>0</v>
      </c>
      <c r="L624" s="163"/>
      <c r="M624" s="161" t="s">
        <v>2232</v>
      </c>
      <c r="N624" s="161" t="s">
        <v>1331</v>
      </c>
      <c r="O624" s="161"/>
      <c r="P624" s="49"/>
      <c r="Q624" s="166" t="s">
        <v>2651</v>
      </c>
      <c r="R624" s="151"/>
    </row>
    <row r="625" ht="30" spans="1:18">
      <c r="A625" s="101" t="s">
        <v>33</v>
      </c>
      <c r="B625" s="101" t="s">
        <v>231</v>
      </c>
      <c r="C625" s="178" t="s">
        <v>233</v>
      </c>
      <c r="D625" s="135" t="s">
        <v>233</v>
      </c>
      <c r="E625" s="161" t="s">
        <v>2204</v>
      </c>
      <c r="F625" s="161" t="s">
        <v>2213</v>
      </c>
      <c r="G625" s="163">
        <v>4.051</v>
      </c>
      <c r="H625" s="163">
        <v>4.051</v>
      </c>
      <c r="I625" s="173" t="s">
        <v>147</v>
      </c>
      <c r="J625" s="176">
        <v>711</v>
      </c>
      <c r="K625" s="176">
        <v>711</v>
      </c>
      <c r="L625" s="163"/>
      <c r="M625" s="161">
        <v>0</v>
      </c>
      <c r="N625" s="161" t="s">
        <v>1331</v>
      </c>
      <c r="O625" s="161" t="s">
        <v>2807</v>
      </c>
      <c r="P625" s="49" t="s">
        <v>2807</v>
      </c>
      <c r="Q625" s="166"/>
      <c r="R625" s="151"/>
    </row>
    <row r="626" s="149" customFormat="1" spans="1:18">
      <c r="A626" s="101" t="s">
        <v>33</v>
      </c>
      <c r="B626" s="101" t="s">
        <v>238</v>
      </c>
      <c r="C626" s="161" t="s">
        <v>2532</v>
      </c>
      <c r="D626" s="135" t="s">
        <v>2532</v>
      </c>
      <c r="E626" s="164"/>
      <c r="F626" s="164"/>
      <c r="G626" s="163">
        <v>0</v>
      </c>
      <c r="H626" s="163">
        <v>0</v>
      </c>
      <c r="I626" s="173">
        <v>376</v>
      </c>
      <c r="J626" s="176">
        <v>642</v>
      </c>
      <c r="K626" s="176">
        <v>642</v>
      </c>
      <c r="L626" s="163"/>
      <c r="M626" s="161" t="s">
        <v>2812</v>
      </c>
      <c r="N626" s="161"/>
      <c r="O626" s="161"/>
      <c r="P626" s="49"/>
      <c r="Q626" s="166" t="s">
        <v>2813</v>
      </c>
      <c r="R626" s="151"/>
    </row>
    <row r="627" s="152" customFormat="1" spans="1:18">
      <c r="A627" s="101" t="s">
        <v>33</v>
      </c>
      <c r="B627" s="101" t="s">
        <v>238</v>
      </c>
      <c r="C627" s="178" t="s">
        <v>240</v>
      </c>
      <c r="D627" s="135" t="s">
        <v>240</v>
      </c>
      <c r="E627" s="164"/>
      <c r="F627" s="164"/>
      <c r="G627" s="163">
        <v>23.39</v>
      </c>
      <c r="H627" s="163">
        <v>23.39</v>
      </c>
      <c r="I627" s="173">
        <v>458</v>
      </c>
      <c r="J627" s="176">
        <v>2937</v>
      </c>
      <c r="K627" s="176">
        <v>3579</v>
      </c>
      <c r="L627" s="163"/>
      <c r="M627" s="161" t="s">
        <v>2812</v>
      </c>
      <c r="N627" s="161"/>
      <c r="O627" s="161"/>
      <c r="P627" s="49" t="s">
        <v>14</v>
      </c>
      <c r="Q627" s="166" t="s">
        <v>2814</v>
      </c>
      <c r="R627" s="151"/>
    </row>
    <row r="628" ht="30" spans="1:18">
      <c r="A628" s="101" t="s">
        <v>34</v>
      </c>
      <c r="B628" s="101" t="s">
        <v>34</v>
      </c>
      <c r="C628" s="135" t="s">
        <v>110</v>
      </c>
      <c r="D628" s="161" t="s">
        <v>1290</v>
      </c>
      <c r="E628" s="161" t="s">
        <v>1291</v>
      </c>
      <c r="F628" s="161" t="s">
        <v>1292</v>
      </c>
      <c r="G628" s="171">
        <v>0</v>
      </c>
      <c r="H628" s="163">
        <v>0</v>
      </c>
      <c r="I628" s="173">
        <v>930</v>
      </c>
      <c r="J628" s="173">
        <v>0</v>
      </c>
      <c r="K628" s="173">
        <v>0</v>
      </c>
      <c r="L628" s="163" t="s">
        <v>1293</v>
      </c>
      <c r="M628" s="161" t="s">
        <v>1294</v>
      </c>
      <c r="N628" s="161" t="s">
        <v>1295</v>
      </c>
      <c r="O628" s="161"/>
      <c r="P628" s="49"/>
      <c r="Q628" s="166" t="s">
        <v>1296</v>
      </c>
      <c r="R628" s="151"/>
    </row>
    <row r="629" spans="1:18">
      <c r="A629" s="101" t="s">
        <v>34</v>
      </c>
      <c r="B629" s="101" t="s">
        <v>34</v>
      </c>
      <c r="C629" s="83" t="s">
        <v>2815</v>
      </c>
      <c r="D629" s="161" t="s">
        <v>1899</v>
      </c>
      <c r="E629" s="161" t="s">
        <v>1291</v>
      </c>
      <c r="F629" s="161" t="s">
        <v>1292</v>
      </c>
      <c r="G629" s="171">
        <v>33</v>
      </c>
      <c r="H629" s="163">
        <f>G629-G628</f>
        <v>33</v>
      </c>
      <c r="I629" s="173">
        <v>915</v>
      </c>
      <c r="J629" s="173">
        <v>25938</v>
      </c>
      <c r="K629" s="173">
        <f>K628+J629</f>
        <v>25938</v>
      </c>
      <c r="L629" s="163"/>
      <c r="M629" s="161" t="s">
        <v>2816</v>
      </c>
      <c r="N629" s="161" t="s">
        <v>1901</v>
      </c>
      <c r="O629" s="161" t="s">
        <v>26</v>
      </c>
      <c r="P629" s="49" t="s">
        <v>26</v>
      </c>
      <c r="Q629" s="166" t="s">
        <v>1300</v>
      </c>
      <c r="R629" s="151"/>
    </row>
    <row r="630" spans="1:18">
      <c r="A630" s="101" t="s">
        <v>34</v>
      </c>
      <c r="B630" s="101" t="s">
        <v>34</v>
      </c>
      <c r="C630" s="83" t="s">
        <v>2817</v>
      </c>
      <c r="D630" s="161" t="s">
        <v>1904</v>
      </c>
      <c r="E630" s="161" t="s">
        <v>1291</v>
      </c>
      <c r="F630" s="161" t="s">
        <v>1292</v>
      </c>
      <c r="G630" s="171">
        <v>65</v>
      </c>
      <c r="H630" s="163">
        <f t="shared" ref="H630:H646" si="48">G630-G629</f>
        <v>32</v>
      </c>
      <c r="I630" s="173">
        <v>910</v>
      </c>
      <c r="J630" s="173">
        <v>25938</v>
      </c>
      <c r="K630" s="173">
        <f t="shared" ref="K630:K646" si="49">K629+J630</f>
        <v>51876</v>
      </c>
      <c r="L630" s="163"/>
      <c r="M630" s="161" t="s">
        <v>2816</v>
      </c>
      <c r="N630" s="161" t="s">
        <v>1901</v>
      </c>
      <c r="O630" s="161" t="s">
        <v>26</v>
      </c>
      <c r="P630" s="49" t="s">
        <v>26</v>
      </c>
      <c r="Q630" s="166" t="s">
        <v>1303</v>
      </c>
      <c r="R630" s="151"/>
    </row>
    <row r="631" spans="1:18">
      <c r="A631" s="101" t="s">
        <v>34</v>
      </c>
      <c r="B631" s="101" t="s">
        <v>34</v>
      </c>
      <c r="C631" s="83" t="s">
        <v>2818</v>
      </c>
      <c r="D631" s="161" t="s">
        <v>1305</v>
      </c>
      <c r="E631" s="161" t="s">
        <v>1291</v>
      </c>
      <c r="F631" s="161" t="s">
        <v>1292</v>
      </c>
      <c r="G631" s="171">
        <v>97</v>
      </c>
      <c r="H631" s="163">
        <f t="shared" si="48"/>
        <v>32</v>
      </c>
      <c r="I631" s="173">
        <v>895</v>
      </c>
      <c r="J631" s="173">
        <v>25938</v>
      </c>
      <c r="K631" s="173">
        <f t="shared" si="49"/>
        <v>77814</v>
      </c>
      <c r="L631" s="163"/>
      <c r="M631" s="161" t="s">
        <v>2816</v>
      </c>
      <c r="N631" s="161" t="s">
        <v>1299</v>
      </c>
      <c r="O631" s="161" t="s">
        <v>25</v>
      </c>
      <c r="P631" s="49" t="s">
        <v>25</v>
      </c>
      <c r="Q631" s="166" t="s">
        <v>1303</v>
      </c>
      <c r="R631" s="151"/>
    </row>
    <row r="632" spans="1:18">
      <c r="A632" s="101" t="s">
        <v>34</v>
      </c>
      <c r="B632" s="101" t="s">
        <v>34</v>
      </c>
      <c r="C632" s="83" t="s">
        <v>2819</v>
      </c>
      <c r="D632" s="161" t="s">
        <v>2820</v>
      </c>
      <c r="E632" s="161" t="s">
        <v>1291</v>
      </c>
      <c r="F632" s="161" t="s">
        <v>1308</v>
      </c>
      <c r="G632" s="171">
        <v>127</v>
      </c>
      <c r="H632" s="163">
        <f t="shared" si="48"/>
        <v>30</v>
      </c>
      <c r="I632" s="173">
        <v>917</v>
      </c>
      <c r="J632" s="173">
        <v>23315</v>
      </c>
      <c r="K632" s="173">
        <f t="shared" si="49"/>
        <v>101129</v>
      </c>
      <c r="L632" s="163"/>
      <c r="M632" s="161" t="s">
        <v>2816</v>
      </c>
      <c r="N632" s="161" t="s">
        <v>1901</v>
      </c>
      <c r="O632" s="161" t="s">
        <v>26</v>
      </c>
      <c r="P632" s="49" t="s">
        <v>26</v>
      </c>
      <c r="Q632" s="166" t="s">
        <v>1309</v>
      </c>
      <c r="R632" s="151"/>
    </row>
    <row r="633" spans="1:18">
      <c r="A633" s="101" t="s">
        <v>34</v>
      </c>
      <c r="B633" s="101" t="s">
        <v>34</v>
      </c>
      <c r="C633" s="83" t="s">
        <v>2821</v>
      </c>
      <c r="D633" s="161" t="s">
        <v>2252</v>
      </c>
      <c r="E633" s="161" t="s">
        <v>1291</v>
      </c>
      <c r="F633" s="161" t="s">
        <v>1308</v>
      </c>
      <c r="G633" s="171">
        <v>162</v>
      </c>
      <c r="H633" s="163">
        <f t="shared" si="48"/>
        <v>35</v>
      </c>
      <c r="I633" s="173">
        <v>995</v>
      </c>
      <c r="J633" s="173">
        <v>27201</v>
      </c>
      <c r="K633" s="173">
        <f t="shared" si="49"/>
        <v>128330</v>
      </c>
      <c r="L633" s="163"/>
      <c r="M633" s="161" t="s">
        <v>2816</v>
      </c>
      <c r="N633" s="161" t="s">
        <v>1901</v>
      </c>
      <c r="O633" s="161" t="s">
        <v>26</v>
      </c>
      <c r="P633" s="49" t="s">
        <v>26</v>
      </c>
      <c r="Q633" s="166" t="s">
        <v>1312</v>
      </c>
      <c r="R633" s="151"/>
    </row>
    <row r="634" ht="30" spans="1:18">
      <c r="A634" s="101" t="s">
        <v>34</v>
      </c>
      <c r="B634" s="101" t="s">
        <v>34</v>
      </c>
      <c r="C634" s="135" t="s">
        <v>1313</v>
      </c>
      <c r="D634" s="161" t="s">
        <v>1314</v>
      </c>
      <c r="E634" s="161" t="s">
        <v>1291</v>
      </c>
      <c r="F634" s="161" t="s">
        <v>1308</v>
      </c>
      <c r="G634" s="171">
        <v>185</v>
      </c>
      <c r="H634" s="163">
        <f t="shared" si="48"/>
        <v>23</v>
      </c>
      <c r="I634" s="173">
        <v>1086</v>
      </c>
      <c r="J634" s="173">
        <v>17875</v>
      </c>
      <c r="K634" s="173">
        <f t="shared" si="49"/>
        <v>146205</v>
      </c>
      <c r="L634" s="163" t="s">
        <v>1293</v>
      </c>
      <c r="M634" s="161" t="s">
        <v>1294</v>
      </c>
      <c r="N634" s="161" t="s">
        <v>1295</v>
      </c>
      <c r="O634" s="161"/>
      <c r="P634" s="49"/>
      <c r="Q634" s="166" t="s">
        <v>1316</v>
      </c>
      <c r="R634" s="151"/>
    </row>
    <row r="635" spans="1:18">
      <c r="A635" s="101" t="s">
        <v>34</v>
      </c>
      <c r="B635" s="101" t="s">
        <v>34</v>
      </c>
      <c r="C635" s="83" t="s">
        <v>2822</v>
      </c>
      <c r="D635" s="161" t="s">
        <v>2258</v>
      </c>
      <c r="E635" s="161" t="s">
        <v>1291</v>
      </c>
      <c r="F635" s="161" t="s">
        <v>1308</v>
      </c>
      <c r="G635" s="171">
        <v>210</v>
      </c>
      <c r="H635" s="163">
        <f t="shared" si="48"/>
        <v>25</v>
      </c>
      <c r="I635" s="173">
        <v>1000</v>
      </c>
      <c r="J635" s="173">
        <v>19429</v>
      </c>
      <c r="K635" s="173">
        <f t="shared" si="49"/>
        <v>165634</v>
      </c>
      <c r="L635" s="163" t="s">
        <v>2823</v>
      </c>
      <c r="M635" s="161" t="s">
        <v>2816</v>
      </c>
      <c r="N635" s="161" t="s">
        <v>1901</v>
      </c>
      <c r="O635" s="161" t="s">
        <v>26</v>
      </c>
      <c r="P635" s="49" t="s">
        <v>26</v>
      </c>
      <c r="Q635" s="166" t="s">
        <v>2824</v>
      </c>
      <c r="R635" s="151"/>
    </row>
    <row r="636" spans="1:18">
      <c r="A636" s="101" t="s">
        <v>34</v>
      </c>
      <c r="B636" s="101" t="s">
        <v>34</v>
      </c>
      <c r="C636" s="83" t="s">
        <v>2825</v>
      </c>
      <c r="D636" s="161" t="s">
        <v>2261</v>
      </c>
      <c r="E636" s="161" t="s">
        <v>1291</v>
      </c>
      <c r="F636" s="161" t="s">
        <v>1308</v>
      </c>
      <c r="G636" s="171">
        <v>243</v>
      </c>
      <c r="H636" s="163">
        <f t="shared" si="48"/>
        <v>33</v>
      </c>
      <c r="I636" s="173">
        <v>1133</v>
      </c>
      <c r="J636" s="173">
        <v>25647</v>
      </c>
      <c r="K636" s="173">
        <f t="shared" si="49"/>
        <v>191281</v>
      </c>
      <c r="L636" s="163"/>
      <c r="M636" s="161" t="s">
        <v>2816</v>
      </c>
      <c r="N636" s="161" t="s">
        <v>1901</v>
      </c>
      <c r="O636" s="161" t="s">
        <v>26</v>
      </c>
      <c r="P636" s="49" t="s">
        <v>26</v>
      </c>
      <c r="Q636" s="166" t="s">
        <v>2824</v>
      </c>
      <c r="R636" s="151"/>
    </row>
    <row r="637" spans="1:18">
      <c r="A637" s="101" t="s">
        <v>34</v>
      </c>
      <c r="B637" s="101" t="s">
        <v>34</v>
      </c>
      <c r="C637" s="83" t="s">
        <v>2826</v>
      </c>
      <c r="D637" s="161" t="s">
        <v>2827</v>
      </c>
      <c r="E637" s="161" t="s">
        <v>1291</v>
      </c>
      <c r="F637" s="161" t="s">
        <v>1308</v>
      </c>
      <c r="G637" s="171">
        <v>269</v>
      </c>
      <c r="H637" s="163">
        <f t="shared" si="48"/>
        <v>26</v>
      </c>
      <c r="I637" s="173">
        <v>1084</v>
      </c>
      <c r="J637" s="173">
        <v>20206</v>
      </c>
      <c r="K637" s="173">
        <f t="shared" si="49"/>
        <v>211487</v>
      </c>
      <c r="L637" s="163"/>
      <c r="M637" s="161" t="s">
        <v>2816</v>
      </c>
      <c r="N637" s="161" t="s">
        <v>1901</v>
      </c>
      <c r="O637" s="161" t="s">
        <v>26</v>
      </c>
      <c r="P637" s="49" t="s">
        <v>26</v>
      </c>
      <c r="Q637" s="166" t="s">
        <v>2824</v>
      </c>
      <c r="R637" s="151"/>
    </row>
    <row r="638" spans="1:18">
      <c r="A638" s="101" t="s">
        <v>34</v>
      </c>
      <c r="B638" s="101" t="s">
        <v>34</v>
      </c>
      <c r="C638" s="83" t="s">
        <v>2828</v>
      </c>
      <c r="D638" s="161" t="s">
        <v>1327</v>
      </c>
      <c r="E638" s="161" t="s">
        <v>1291</v>
      </c>
      <c r="F638" s="161" t="s">
        <v>1328</v>
      </c>
      <c r="G638" s="171">
        <v>301</v>
      </c>
      <c r="H638" s="163">
        <f t="shared" si="48"/>
        <v>32</v>
      </c>
      <c r="I638" s="173">
        <v>1052</v>
      </c>
      <c r="J638" s="173">
        <v>24869</v>
      </c>
      <c r="K638" s="173">
        <f t="shared" si="49"/>
        <v>236356</v>
      </c>
      <c r="L638" s="163"/>
      <c r="M638" s="161" t="s">
        <v>2816</v>
      </c>
      <c r="N638" s="161" t="s">
        <v>1299</v>
      </c>
      <c r="O638" s="161" t="s">
        <v>25</v>
      </c>
      <c r="P638" s="49" t="s">
        <v>25</v>
      </c>
      <c r="Q638" s="166" t="s">
        <v>2829</v>
      </c>
      <c r="R638" s="151"/>
    </row>
    <row r="639" spans="1:18">
      <c r="A639" s="101" t="s">
        <v>34</v>
      </c>
      <c r="B639" s="101" t="s">
        <v>34</v>
      </c>
      <c r="C639" s="83" t="s">
        <v>2830</v>
      </c>
      <c r="D639" s="161" t="s">
        <v>2270</v>
      </c>
      <c r="E639" s="161" t="s">
        <v>1291</v>
      </c>
      <c r="F639" s="161" t="s">
        <v>1328</v>
      </c>
      <c r="G639" s="171">
        <v>332</v>
      </c>
      <c r="H639" s="163">
        <f t="shared" si="48"/>
        <v>31</v>
      </c>
      <c r="I639" s="173">
        <v>1343</v>
      </c>
      <c r="J639" s="173">
        <v>23315</v>
      </c>
      <c r="K639" s="173">
        <f t="shared" si="49"/>
        <v>259671</v>
      </c>
      <c r="L639" s="163"/>
      <c r="M639" s="161" t="s">
        <v>2816</v>
      </c>
      <c r="N639" s="161" t="s">
        <v>1901</v>
      </c>
      <c r="O639" s="161" t="s">
        <v>26</v>
      </c>
      <c r="P639" s="49" t="s">
        <v>26</v>
      </c>
      <c r="Q639" s="166" t="s">
        <v>2829</v>
      </c>
      <c r="R639" s="151"/>
    </row>
    <row r="640" spans="1:18">
      <c r="A640" s="101" t="s">
        <v>34</v>
      </c>
      <c r="B640" s="101" t="s">
        <v>34</v>
      </c>
      <c r="C640" s="83" t="s">
        <v>2831</v>
      </c>
      <c r="D640" s="161" t="s">
        <v>2832</v>
      </c>
      <c r="E640" s="161" t="s">
        <v>1291</v>
      </c>
      <c r="F640" s="161" t="s">
        <v>2833</v>
      </c>
      <c r="G640" s="171">
        <v>362</v>
      </c>
      <c r="H640" s="163">
        <f t="shared" si="48"/>
        <v>30</v>
      </c>
      <c r="I640" s="173">
        <v>1400</v>
      </c>
      <c r="J640" s="173">
        <v>22784</v>
      </c>
      <c r="K640" s="173">
        <f t="shared" si="49"/>
        <v>282455</v>
      </c>
      <c r="L640" s="163"/>
      <c r="M640" s="161" t="s">
        <v>2816</v>
      </c>
      <c r="N640" s="161" t="s">
        <v>1901</v>
      </c>
      <c r="O640" s="161" t="s">
        <v>26</v>
      </c>
      <c r="P640" s="49" t="s">
        <v>26</v>
      </c>
      <c r="Q640" s="166" t="s">
        <v>1336</v>
      </c>
      <c r="R640" s="151"/>
    </row>
    <row r="641" spans="1:18">
      <c r="A641" s="101" t="s">
        <v>34</v>
      </c>
      <c r="B641" s="101" t="s">
        <v>34</v>
      </c>
      <c r="C641" s="83" t="s">
        <v>2834</v>
      </c>
      <c r="D641" s="161" t="s">
        <v>2835</v>
      </c>
      <c r="E641" s="161" t="s">
        <v>1291</v>
      </c>
      <c r="F641" s="161" t="s">
        <v>2833</v>
      </c>
      <c r="G641" s="171">
        <v>388</v>
      </c>
      <c r="H641" s="163">
        <f t="shared" si="48"/>
        <v>26</v>
      </c>
      <c r="I641" s="173">
        <v>844</v>
      </c>
      <c r="J641" s="173">
        <v>20506</v>
      </c>
      <c r="K641" s="173">
        <f t="shared" si="49"/>
        <v>302961</v>
      </c>
      <c r="L641" s="174"/>
      <c r="M641" s="161" t="s">
        <v>2816</v>
      </c>
      <c r="N641" s="161" t="s">
        <v>1901</v>
      </c>
      <c r="O641" s="161" t="s">
        <v>26</v>
      </c>
      <c r="P641" s="49" t="s">
        <v>26</v>
      </c>
      <c r="Q641" s="166" t="s">
        <v>1336</v>
      </c>
      <c r="R641" s="151"/>
    </row>
    <row r="642" spans="1:18">
      <c r="A642" s="101" t="s">
        <v>34</v>
      </c>
      <c r="B642" s="101" t="s">
        <v>34</v>
      </c>
      <c r="C642" s="83" t="s">
        <v>1335</v>
      </c>
      <c r="D642" s="161" t="s">
        <v>1335</v>
      </c>
      <c r="E642" s="161" t="s">
        <v>1291</v>
      </c>
      <c r="F642" s="161" t="s">
        <v>2833</v>
      </c>
      <c r="G642" s="171">
        <v>401</v>
      </c>
      <c r="H642" s="163">
        <f t="shared" si="48"/>
        <v>13</v>
      </c>
      <c r="I642" s="173">
        <v>900</v>
      </c>
      <c r="J642" s="173">
        <v>8354</v>
      </c>
      <c r="K642" s="173">
        <f t="shared" si="49"/>
        <v>311315</v>
      </c>
      <c r="L642" s="163"/>
      <c r="M642" s="161" t="s">
        <v>2816</v>
      </c>
      <c r="N642" s="161" t="s">
        <v>1331</v>
      </c>
      <c r="O642" s="161" t="s">
        <v>6</v>
      </c>
      <c r="P642" s="49" t="s">
        <v>6</v>
      </c>
      <c r="Q642" s="166" t="s">
        <v>1336</v>
      </c>
      <c r="R642" s="151"/>
    </row>
    <row r="643" spans="1:18">
      <c r="A643" s="101" t="s">
        <v>34</v>
      </c>
      <c r="B643" s="101" t="s">
        <v>34</v>
      </c>
      <c r="C643" s="83" t="s">
        <v>2836</v>
      </c>
      <c r="D643" s="161" t="s">
        <v>2280</v>
      </c>
      <c r="E643" s="161" t="s">
        <v>1291</v>
      </c>
      <c r="F643" s="161" t="s">
        <v>2833</v>
      </c>
      <c r="G643" s="171">
        <v>435</v>
      </c>
      <c r="H643" s="163">
        <f t="shared" si="48"/>
        <v>34</v>
      </c>
      <c r="I643" s="173">
        <v>1450</v>
      </c>
      <c r="J643" s="173">
        <v>23543</v>
      </c>
      <c r="K643" s="173">
        <f t="shared" si="49"/>
        <v>334858</v>
      </c>
      <c r="L643" s="163"/>
      <c r="M643" s="161" t="s">
        <v>2816</v>
      </c>
      <c r="N643" s="161" t="s">
        <v>1901</v>
      </c>
      <c r="O643" s="161" t="s">
        <v>26</v>
      </c>
      <c r="P643" s="49" t="s">
        <v>26</v>
      </c>
      <c r="Q643" s="166" t="s">
        <v>2837</v>
      </c>
      <c r="R643" s="151"/>
    </row>
    <row r="644" spans="1:18">
      <c r="A644" s="101" t="s">
        <v>34</v>
      </c>
      <c r="B644" s="101" t="s">
        <v>34</v>
      </c>
      <c r="C644" s="83" t="s">
        <v>2838</v>
      </c>
      <c r="D644" s="161" t="s">
        <v>2283</v>
      </c>
      <c r="E644" s="161" t="s">
        <v>1291</v>
      </c>
      <c r="F644" s="161" t="s">
        <v>2318</v>
      </c>
      <c r="G644" s="171">
        <v>464</v>
      </c>
      <c r="H644" s="163">
        <f t="shared" si="48"/>
        <v>29</v>
      </c>
      <c r="I644" s="173">
        <v>512</v>
      </c>
      <c r="J644" s="173">
        <v>23386</v>
      </c>
      <c r="K644" s="173">
        <f t="shared" si="49"/>
        <v>358244</v>
      </c>
      <c r="L644" s="163"/>
      <c r="M644" s="161" t="s">
        <v>2816</v>
      </c>
      <c r="N644" s="161" t="s">
        <v>1901</v>
      </c>
      <c r="O644" s="161" t="s">
        <v>25</v>
      </c>
      <c r="P644" s="49" t="s">
        <v>26</v>
      </c>
      <c r="Q644" s="166" t="s">
        <v>2839</v>
      </c>
      <c r="R644" s="151"/>
    </row>
    <row r="645" spans="1:18">
      <c r="A645" s="101" t="s">
        <v>34</v>
      </c>
      <c r="B645" s="101" t="s">
        <v>34</v>
      </c>
      <c r="C645" s="83" t="s">
        <v>2840</v>
      </c>
      <c r="D645" s="161" t="s">
        <v>1352</v>
      </c>
      <c r="E645" s="161" t="s">
        <v>1291</v>
      </c>
      <c r="F645" s="161" t="s">
        <v>2318</v>
      </c>
      <c r="G645" s="171">
        <v>492</v>
      </c>
      <c r="H645" s="163">
        <f t="shared" si="48"/>
        <v>28</v>
      </c>
      <c r="I645" s="173">
        <v>-69</v>
      </c>
      <c r="J645" s="173">
        <v>34016</v>
      </c>
      <c r="K645" s="173">
        <f t="shared" si="49"/>
        <v>392260</v>
      </c>
      <c r="L645" s="174"/>
      <c r="M645" s="161" t="s">
        <v>2816</v>
      </c>
      <c r="N645" s="161" t="s">
        <v>1299</v>
      </c>
      <c r="O645" s="161" t="s">
        <v>26</v>
      </c>
      <c r="P645" s="49" t="s">
        <v>25</v>
      </c>
      <c r="Q645" s="166" t="s">
        <v>2839</v>
      </c>
      <c r="R645" s="151"/>
    </row>
    <row r="646" spans="1:18">
      <c r="A646" s="101" t="s">
        <v>34</v>
      </c>
      <c r="B646" s="101" t="s">
        <v>34</v>
      </c>
      <c r="C646" s="135" t="s">
        <v>243</v>
      </c>
      <c r="D646" s="161" t="s">
        <v>2320</v>
      </c>
      <c r="E646" s="161" t="s">
        <v>1291</v>
      </c>
      <c r="F646" s="161" t="s">
        <v>2318</v>
      </c>
      <c r="G646" s="171">
        <v>524</v>
      </c>
      <c r="H646" s="163">
        <f t="shared" si="48"/>
        <v>32</v>
      </c>
      <c r="I646" s="173">
        <v>625</v>
      </c>
      <c r="J646" s="173">
        <v>31890</v>
      </c>
      <c r="K646" s="173">
        <f t="shared" si="49"/>
        <v>424150</v>
      </c>
      <c r="L646" s="163"/>
      <c r="M646" s="161" t="s">
        <v>2232</v>
      </c>
      <c r="N646" s="161" t="s">
        <v>1295</v>
      </c>
      <c r="O646" s="161"/>
      <c r="P646" s="49"/>
      <c r="Q646" s="166" t="s">
        <v>2321</v>
      </c>
      <c r="R646" s="151"/>
    </row>
    <row r="647" ht="60" spans="1:18">
      <c r="A647" s="101" t="s">
        <v>35</v>
      </c>
      <c r="B647" s="101" t="s">
        <v>35</v>
      </c>
      <c r="C647" s="135" t="s">
        <v>114</v>
      </c>
      <c r="D647" s="161" t="s">
        <v>1504</v>
      </c>
      <c r="E647" s="161" t="s">
        <v>1491</v>
      </c>
      <c r="F647" s="161" t="s">
        <v>114</v>
      </c>
      <c r="G647" s="171">
        <v>0</v>
      </c>
      <c r="H647" s="163" t="s">
        <v>2841</v>
      </c>
      <c r="I647" s="176">
        <v>1256</v>
      </c>
      <c r="J647" s="176">
        <v>0</v>
      </c>
      <c r="K647" s="176">
        <v>0</v>
      </c>
      <c r="L647" s="163" t="s">
        <v>2461</v>
      </c>
      <c r="M647" s="161" t="s">
        <v>1294</v>
      </c>
      <c r="N647" s="161" t="s">
        <v>1295</v>
      </c>
      <c r="O647" s="161"/>
      <c r="P647" s="49"/>
      <c r="Q647" s="166" t="s">
        <v>1503</v>
      </c>
      <c r="R647" s="151"/>
    </row>
    <row r="648" spans="1:18">
      <c r="A648" s="101" t="s">
        <v>35</v>
      </c>
      <c r="B648" s="101" t="s">
        <v>35</v>
      </c>
      <c r="C648" s="86" t="s">
        <v>2842</v>
      </c>
      <c r="D648" s="161" t="s">
        <v>1899</v>
      </c>
      <c r="E648" s="161" t="s">
        <v>1491</v>
      </c>
      <c r="F648" s="161" t="s">
        <v>114</v>
      </c>
      <c r="G648" s="171">
        <v>12.5778</v>
      </c>
      <c r="H648" s="163">
        <f>G648-G647</f>
        <v>12.5778</v>
      </c>
      <c r="I648" s="176">
        <v>1213</v>
      </c>
      <c r="J648" s="176">
        <v>11662.27</v>
      </c>
      <c r="K648" s="176">
        <f>K647+J648</f>
        <v>11662.27</v>
      </c>
      <c r="L648" s="163"/>
      <c r="M648" s="161" t="s">
        <v>2843</v>
      </c>
      <c r="N648" s="161" t="s">
        <v>1901</v>
      </c>
      <c r="O648" s="161" t="s">
        <v>26</v>
      </c>
      <c r="P648" s="49" t="s">
        <v>26</v>
      </c>
      <c r="Q648" s="166" t="s">
        <v>2844</v>
      </c>
      <c r="R648" s="151"/>
    </row>
    <row r="649" spans="1:18">
      <c r="A649" s="101" t="s">
        <v>35</v>
      </c>
      <c r="B649" s="101" t="s">
        <v>35</v>
      </c>
      <c r="C649" s="86" t="s">
        <v>2845</v>
      </c>
      <c r="D649" s="161" t="s">
        <v>1904</v>
      </c>
      <c r="E649" s="161" t="s">
        <v>1491</v>
      </c>
      <c r="F649" s="161" t="s">
        <v>114</v>
      </c>
      <c r="G649" s="171">
        <v>28.1689</v>
      </c>
      <c r="H649" s="163">
        <f>G649-G648</f>
        <v>15.5911</v>
      </c>
      <c r="I649" s="176">
        <v>1201</v>
      </c>
      <c r="J649" s="176">
        <v>13120.06</v>
      </c>
      <c r="K649" s="176">
        <f>K648+J649</f>
        <v>24782.33</v>
      </c>
      <c r="L649" s="163"/>
      <c r="M649" s="161" t="s">
        <v>2843</v>
      </c>
      <c r="N649" s="161" t="s">
        <v>1901</v>
      </c>
      <c r="O649" s="161" t="s">
        <v>26</v>
      </c>
      <c r="P649" s="49" t="s">
        <v>26</v>
      </c>
      <c r="Q649" s="166" t="s">
        <v>1511</v>
      </c>
      <c r="R649" s="151"/>
    </row>
    <row r="650" spans="1:18">
      <c r="A650" s="101" t="s">
        <v>35</v>
      </c>
      <c r="B650" s="101" t="s">
        <v>35</v>
      </c>
      <c r="C650" s="86" t="s">
        <v>2846</v>
      </c>
      <c r="D650" s="161" t="s">
        <v>2847</v>
      </c>
      <c r="E650" s="161" t="s">
        <v>1491</v>
      </c>
      <c r="F650" s="161" t="s">
        <v>114</v>
      </c>
      <c r="G650" s="171">
        <v>46.2435</v>
      </c>
      <c r="H650" s="163">
        <f>G650-G649</f>
        <v>18.0746</v>
      </c>
      <c r="I650" s="176">
        <v>1193</v>
      </c>
      <c r="J650" s="176">
        <v>11662.27</v>
      </c>
      <c r="K650" s="176">
        <f>K649+J650</f>
        <v>36444.6</v>
      </c>
      <c r="L650" s="163"/>
      <c r="M650" s="161" t="s">
        <v>2843</v>
      </c>
      <c r="N650" s="161" t="s">
        <v>1901</v>
      </c>
      <c r="O650" s="161" t="s">
        <v>26</v>
      </c>
      <c r="P650" s="49" t="s">
        <v>26</v>
      </c>
      <c r="Q650" s="166" t="s">
        <v>2848</v>
      </c>
      <c r="R650" s="151"/>
    </row>
    <row r="651" spans="1:18">
      <c r="A651" s="101" t="s">
        <v>35</v>
      </c>
      <c r="B651" s="101" t="s">
        <v>35</v>
      </c>
      <c r="C651" s="86" t="s">
        <v>2849</v>
      </c>
      <c r="D651" s="161" t="s">
        <v>2820</v>
      </c>
      <c r="E651" s="161" t="s">
        <v>1491</v>
      </c>
      <c r="F651" s="161" t="s">
        <v>114</v>
      </c>
      <c r="G651" s="171">
        <v>62.9515</v>
      </c>
      <c r="H651" s="163">
        <f>G651-G650</f>
        <v>16.708</v>
      </c>
      <c r="I651" s="176">
        <v>1267</v>
      </c>
      <c r="J651" s="176">
        <v>21137.87</v>
      </c>
      <c r="K651" s="176">
        <f>K650+J651</f>
        <v>57582.47</v>
      </c>
      <c r="L651" s="163"/>
      <c r="M651" s="161" t="s">
        <v>2843</v>
      </c>
      <c r="N651" s="161" t="s">
        <v>1901</v>
      </c>
      <c r="O651" s="161" t="s">
        <v>26</v>
      </c>
      <c r="P651" s="49" t="s">
        <v>26</v>
      </c>
      <c r="Q651" s="166" t="s">
        <v>2850</v>
      </c>
      <c r="R651" s="151"/>
    </row>
    <row r="652" spans="1:18">
      <c r="A652" s="101" t="s">
        <v>35</v>
      </c>
      <c r="B652" s="101" t="s">
        <v>35</v>
      </c>
      <c r="C652" s="135" t="s">
        <v>2851</v>
      </c>
      <c r="D652" s="161" t="s">
        <v>2252</v>
      </c>
      <c r="E652" s="161" t="s">
        <v>1491</v>
      </c>
      <c r="F652" s="161" t="s">
        <v>1520</v>
      </c>
      <c r="G652" s="171">
        <v>82.995</v>
      </c>
      <c r="H652" s="163"/>
      <c r="I652" s="176">
        <v>1342</v>
      </c>
      <c r="J652" s="176">
        <v>9475.6</v>
      </c>
      <c r="K652" s="176">
        <f>K651+J652</f>
        <v>67058.07</v>
      </c>
      <c r="L652" s="163"/>
      <c r="M652" s="161">
        <v>0</v>
      </c>
      <c r="N652" s="161"/>
      <c r="O652" s="161"/>
      <c r="P652" s="49"/>
      <c r="Q652" s="166"/>
      <c r="R652" s="151"/>
    </row>
    <row r="653" spans="1:18">
      <c r="A653" s="101" t="s">
        <v>35</v>
      </c>
      <c r="B653" s="101" t="s">
        <v>35</v>
      </c>
      <c r="C653" s="86" t="s">
        <v>2852</v>
      </c>
      <c r="D653" s="161" t="s">
        <v>2852</v>
      </c>
      <c r="E653" s="161" t="s">
        <v>1491</v>
      </c>
      <c r="F653" s="161" t="s">
        <v>1520</v>
      </c>
      <c r="G653" s="171">
        <v>83.345</v>
      </c>
      <c r="H653" s="163">
        <f>G653-G651</f>
        <v>20.3935</v>
      </c>
      <c r="I653" s="173"/>
      <c r="J653" s="173"/>
      <c r="K653" s="173"/>
      <c r="L653" s="163" t="s">
        <v>2853</v>
      </c>
      <c r="M653" s="161" t="s">
        <v>2843</v>
      </c>
      <c r="N653" s="161" t="s">
        <v>1331</v>
      </c>
      <c r="O653" s="161" t="s">
        <v>14</v>
      </c>
      <c r="P653" s="49" t="s">
        <v>14</v>
      </c>
      <c r="Q653" s="166" t="s">
        <v>1521</v>
      </c>
      <c r="R653" s="151"/>
    </row>
    <row r="654" spans="1:18">
      <c r="A654" s="101" t="s">
        <v>35</v>
      </c>
      <c r="B654" s="101" t="s">
        <v>35</v>
      </c>
      <c r="C654" s="86" t="s">
        <v>2854</v>
      </c>
      <c r="D654" s="161" t="s">
        <v>2258</v>
      </c>
      <c r="E654" s="161" t="s">
        <v>1491</v>
      </c>
      <c r="F654" s="161" t="s">
        <v>1520</v>
      </c>
      <c r="G654" s="171">
        <v>105.2265</v>
      </c>
      <c r="H654" s="163">
        <f>G654-G653</f>
        <v>21.8815</v>
      </c>
      <c r="I654" s="176">
        <v>1344</v>
      </c>
      <c r="J654" s="176">
        <v>21866.76</v>
      </c>
      <c r="K654" s="176">
        <f>K652+J654</f>
        <v>88924.83</v>
      </c>
      <c r="L654" s="163"/>
      <c r="M654" s="161" t="s">
        <v>2843</v>
      </c>
      <c r="N654" s="161" t="s">
        <v>1901</v>
      </c>
      <c r="O654" s="161" t="s">
        <v>26</v>
      </c>
      <c r="P654" s="49" t="s">
        <v>26</v>
      </c>
      <c r="Q654" s="166" t="s">
        <v>1521</v>
      </c>
      <c r="R654" s="151"/>
    </row>
    <row r="655" spans="1:18">
      <c r="A655" s="101" t="s">
        <v>35</v>
      </c>
      <c r="B655" s="101" t="s">
        <v>35</v>
      </c>
      <c r="C655" s="86" t="s">
        <v>2855</v>
      </c>
      <c r="D655" s="161" t="s">
        <v>2261</v>
      </c>
      <c r="E655" s="161" t="s">
        <v>1491</v>
      </c>
      <c r="F655" s="161" t="s">
        <v>1520</v>
      </c>
      <c r="G655" s="171">
        <v>134.247</v>
      </c>
      <c r="H655" s="163"/>
      <c r="I655" s="176">
        <v>1347</v>
      </c>
      <c r="J655" s="176">
        <v>22595.65</v>
      </c>
      <c r="K655" s="176">
        <f>K654+J655</f>
        <v>111520.48</v>
      </c>
      <c r="L655" s="163"/>
      <c r="M655" s="161" t="s">
        <v>2843</v>
      </c>
      <c r="N655" s="161" t="s">
        <v>1901</v>
      </c>
      <c r="O655" s="161" t="s">
        <v>26</v>
      </c>
      <c r="P655" s="49" t="s">
        <v>26</v>
      </c>
      <c r="Q655" s="166" t="s">
        <v>2856</v>
      </c>
      <c r="R655" s="151"/>
    </row>
    <row r="656" spans="1:18">
      <c r="A656" s="101" t="s">
        <v>35</v>
      </c>
      <c r="B656" s="101" t="s">
        <v>35</v>
      </c>
      <c r="C656" s="86" t="s">
        <v>2857</v>
      </c>
      <c r="D656" s="161" t="s">
        <v>2857</v>
      </c>
      <c r="E656" s="161" t="s">
        <v>1491</v>
      </c>
      <c r="F656" s="161" t="s">
        <v>1520</v>
      </c>
      <c r="G656" s="171">
        <v>134.347</v>
      </c>
      <c r="H656" s="163">
        <f>G656-G654</f>
        <v>29.1205</v>
      </c>
      <c r="I656" s="173"/>
      <c r="J656" s="173"/>
      <c r="K656" s="173"/>
      <c r="L656" s="163" t="s">
        <v>2858</v>
      </c>
      <c r="M656" s="161" t="s">
        <v>2843</v>
      </c>
      <c r="N656" s="161" t="s">
        <v>1331</v>
      </c>
      <c r="O656" s="161" t="s">
        <v>14</v>
      </c>
      <c r="P656" s="49" t="s">
        <v>14</v>
      </c>
      <c r="Q656" s="166" t="s">
        <v>2856</v>
      </c>
      <c r="R656" s="151"/>
    </row>
    <row r="657" spans="1:18">
      <c r="A657" s="101" t="s">
        <v>35</v>
      </c>
      <c r="B657" s="101" t="s">
        <v>35</v>
      </c>
      <c r="C657" s="86" t="s">
        <v>2859</v>
      </c>
      <c r="D657" s="161" t="s">
        <v>2827</v>
      </c>
      <c r="E657" s="161" t="s">
        <v>1491</v>
      </c>
      <c r="F657" s="161" t="s">
        <v>1520</v>
      </c>
      <c r="G657" s="171">
        <v>166.4015</v>
      </c>
      <c r="H657" s="163">
        <f t="shared" ref="H657:H664" si="50">G657-G656</f>
        <v>32.0545</v>
      </c>
      <c r="I657" s="176">
        <v>1559</v>
      </c>
      <c r="J657" s="176">
        <v>15306.73</v>
      </c>
      <c r="K657" s="176">
        <f>K655+J657</f>
        <v>126827.21</v>
      </c>
      <c r="L657" s="163"/>
      <c r="M657" s="161" t="s">
        <v>2843</v>
      </c>
      <c r="N657" s="161" t="s">
        <v>1901</v>
      </c>
      <c r="O657" s="161" t="s">
        <v>26</v>
      </c>
      <c r="P657" s="49" t="s">
        <v>26</v>
      </c>
      <c r="Q657" s="166" t="s">
        <v>1532</v>
      </c>
      <c r="R657" s="151"/>
    </row>
    <row r="658" ht="30" spans="1:18">
      <c r="A658" s="101" t="s">
        <v>35</v>
      </c>
      <c r="B658" s="101" t="s">
        <v>35</v>
      </c>
      <c r="C658" s="135" t="s">
        <v>1533</v>
      </c>
      <c r="D658" s="161" t="s">
        <v>1534</v>
      </c>
      <c r="E658" s="161" t="s">
        <v>1491</v>
      </c>
      <c r="F658" s="161" t="s">
        <v>1520</v>
      </c>
      <c r="G658" s="171">
        <v>181</v>
      </c>
      <c r="H658" s="163">
        <f t="shared" si="50"/>
        <v>14.5985</v>
      </c>
      <c r="I658" s="176">
        <v>1572</v>
      </c>
      <c r="J658" s="176">
        <v>11090</v>
      </c>
      <c r="K658" s="176">
        <f t="shared" ref="K658:K664" si="51">K657+J658</f>
        <v>137917.21</v>
      </c>
      <c r="L658" s="163" t="s">
        <v>2860</v>
      </c>
      <c r="M658" s="161" t="s">
        <v>1294</v>
      </c>
      <c r="N658" s="161" t="s">
        <v>1295</v>
      </c>
      <c r="O658" s="161"/>
      <c r="P658" s="49"/>
      <c r="Q658" s="166" t="s">
        <v>1535</v>
      </c>
      <c r="R658" s="151"/>
    </row>
    <row r="659" spans="1:18">
      <c r="A659" s="101" t="s">
        <v>35</v>
      </c>
      <c r="B659" s="101" t="s">
        <v>35</v>
      </c>
      <c r="C659" s="86" t="s">
        <v>2861</v>
      </c>
      <c r="D659" s="161" t="s">
        <v>2266</v>
      </c>
      <c r="E659" s="161" t="s">
        <v>1491</v>
      </c>
      <c r="F659" s="161" t="s">
        <v>1538</v>
      </c>
      <c r="G659" s="171">
        <v>210.4625</v>
      </c>
      <c r="H659" s="163">
        <f t="shared" si="50"/>
        <v>29.4625</v>
      </c>
      <c r="I659" s="176">
        <v>1416</v>
      </c>
      <c r="J659" s="176">
        <v>25315</v>
      </c>
      <c r="K659" s="176">
        <f t="shared" si="51"/>
        <v>163232.21</v>
      </c>
      <c r="L659" s="163"/>
      <c r="M659" s="161" t="s">
        <v>2843</v>
      </c>
      <c r="N659" s="161" t="s">
        <v>1901</v>
      </c>
      <c r="O659" s="161" t="s">
        <v>26</v>
      </c>
      <c r="P659" s="49" t="s">
        <v>26</v>
      </c>
      <c r="Q659" s="166" t="s">
        <v>2862</v>
      </c>
      <c r="R659" s="151"/>
    </row>
    <row r="660" spans="1:18">
      <c r="A660" s="101" t="s">
        <v>35</v>
      </c>
      <c r="B660" s="101" t="s">
        <v>35</v>
      </c>
      <c r="C660" s="86" t="s">
        <v>2863</v>
      </c>
      <c r="D660" s="161" t="s">
        <v>2270</v>
      </c>
      <c r="E660" s="161" t="s">
        <v>1491</v>
      </c>
      <c r="F660" s="161" t="s">
        <v>1538</v>
      </c>
      <c r="G660" s="171">
        <v>234.4563</v>
      </c>
      <c r="H660" s="163">
        <f t="shared" si="50"/>
        <v>23.9938</v>
      </c>
      <c r="I660" s="176">
        <v>1344</v>
      </c>
      <c r="J660" s="176">
        <v>23582</v>
      </c>
      <c r="K660" s="176">
        <f t="shared" si="51"/>
        <v>186814.21</v>
      </c>
      <c r="L660" s="163"/>
      <c r="M660" s="161" t="s">
        <v>2843</v>
      </c>
      <c r="N660" s="161" t="s">
        <v>1901</v>
      </c>
      <c r="O660" s="161" t="s">
        <v>26</v>
      </c>
      <c r="P660" s="49" t="s">
        <v>26</v>
      </c>
      <c r="Q660" s="166" t="s">
        <v>2864</v>
      </c>
      <c r="R660" s="151"/>
    </row>
    <row r="661" spans="1:18">
      <c r="A661" s="101" t="s">
        <v>35</v>
      </c>
      <c r="B661" s="101" t="s">
        <v>35</v>
      </c>
      <c r="C661" s="86" t="s">
        <v>2865</v>
      </c>
      <c r="D661" s="161" t="s">
        <v>2832</v>
      </c>
      <c r="E661" s="161" t="s">
        <v>1491</v>
      </c>
      <c r="F661" s="161" t="s">
        <v>1538</v>
      </c>
      <c r="G661" s="171">
        <v>263.1761</v>
      </c>
      <c r="H661" s="163">
        <f t="shared" si="50"/>
        <v>28.7198</v>
      </c>
      <c r="I661" s="176">
        <v>1409</v>
      </c>
      <c r="J661" s="176">
        <v>18891</v>
      </c>
      <c r="K661" s="176">
        <f t="shared" si="51"/>
        <v>205705.21</v>
      </c>
      <c r="L661" s="163"/>
      <c r="M661" s="161" t="s">
        <v>2843</v>
      </c>
      <c r="N661" s="161" t="s">
        <v>1901</v>
      </c>
      <c r="O661" s="161" t="s">
        <v>26</v>
      </c>
      <c r="P661" s="49" t="s">
        <v>26</v>
      </c>
      <c r="Q661" s="166" t="s">
        <v>2866</v>
      </c>
      <c r="R661" s="151"/>
    </row>
    <row r="662" spans="1:18">
      <c r="A662" s="101" t="s">
        <v>35</v>
      </c>
      <c r="B662" s="101" t="s">
        <v>35</v>
      </c>
      <c r="C662" s="86" t="s">
        <v>2867</v>
      </c>
      <c r="D662" s="161" t="s">
        <v>2835</v>
      </c>
      <c r="E662" s="161" t="s">
        <v>1491</v>
      </c>
      <c r="F662" s="161" t="s">
        <v>1538</v>
      </c>
      <c r="G662" s="171">
        <v>293.0148</v>
      </c>
      <c r="H662" s="163">
        <f t="shared" si="50"/>
        <v>29.8387</v>
      </c>
      <c r="I662" s="176">
        <v>1373</v>
      </c>
      <c r="J662" s="176">
        <v>23403</v>
      </c>
      <c r="K662" s="176">
        <f t="shared" si="51"/>
        <v>229108.21</v>
      </c>
      <c r="L662" s="163"/>
      <c r="M662" s="161" t="s">
        <v>2843</v>
      </c>
      <c r="N662" s="161" t="s">
        <v>1901</v>
      </c>
      <c r="O662" s="161" t="s">
        <v>26</v>
      </c>
      <c r="P662" s="49" t="s">
        <v>26</v>
      </c>
      <c r="Q662" s="166" t="s">
        <v>2868</v>
      </c>
      <c r="R662" s="151"/>
    </row>
    <row r="663" spans="1:18">
      <c r="A663" s="101" t="s">
        <v>35</v>
      </c>
      <c r="B663" s="101" t="s">
        <v>35</v>
      </c>
      <c r="C663" s="86" t="s">
        <v>2869</v>
      </c>
      <c r="D663" s="161" t="s">
        <v>2280</v>
      </c>
      <c r="E663" s="161" t="s">
        <v>1491</v>
      </c>
      <c r="F663" s="161" t="s">
        <v>1538</v>
      </c>
      <c r="G663" s="171">
        <v>323.8279</v>
      </c>
      <c r="H663" s="163">
        <f t="shared" si="50"/>
        <v>30.8131</v>
      </c>
      <c r="I663" s="176">
        <v>1351</v>
      </c>
      <c r="J663" s="176">
        <v>24627</v>
      </c>
      <c r="K663" s="176">
        <f t="shared" si="51"/>
        <v>253735.21</v>
      </c>
      <c r="L663" s="163"/>
      <c r="M663" s="161" t="s">
        <v>2843</v>
      </c>
      <c r="N663" s="161" t="s">
        <v>1901</v>
      </c>
      <c r="O663" s="161" t="s">
        <v>26</v>
      </c>
      <c r="P663" s="49" t="s">
        <v>26</v>
      </c>
      <c r="Q663" s="166" t="s">
        <v>2870</v>
      </c>
      <c r="R663" s="151"/>
    </row>
    <row r="664" ht="30" spans="1:18">
      <c r="A664" s="101" t="s">
        <v>35</v>
      </c>
      <c r="B664" s="101" t="s">
        <v>35</v>
      </c>
      <c r="C664" s="135" t="s">
        <v>244</v>
      </c>
      <c r="D664" s="161" t="s">
        <v>1552</v>
      </c>
      <c r="E664" s="161" t="s">
        <v>1491</v>
      </c>
      <c r="F664" s="161" t="s">
        <v>1538</v>
      </c>
      <c r="G664" s="171">
        <v>335.4</v>
      </c>
      <c r="H664" s="163">
        <f t="shared" si="50"/>
        <v>11.5721</v>
      </c>
      <c r="I664" s="176">
        <v>1333</v>
      </c>
      <c r="J664" s="176">
        <v>9016</v>
      </c>
      <c r="K664" s="176">
        <f t="shared" si="51"/>
        <v>262751.21</v>
      </c>
      <c r="L664" s="163" t="s">
        <v>2871</v>
      </c>
      <c r="M664" s="161" t="s">
        <v>1294</v>
      </c>
      <c r="N664" s="161"/>
      <c r="O664" s="161"/>
      <c r="P664" s="49"/>
      <c r="Q664" s="166" t="s">
        <v>1554</v>
      </c>
      <c r="R664" s="151"/>
    </row>
    <row r="665" spans="1:18">
      <c r="A665" s="101" t="s">
        <v>36</v>
      </c>
      <c r="B665" s="101" t="s">
        <v>36</v>
      </c>
      <c r="C665" s="135" t="s">
        <v>245</v>
      </c>
      <c r="D665" s="161" t="s">
        <v>245</v>
      </c>
      <c r="E665" s="161" t="s">
        <v>2204</v>
      </c>
      <c r="F665" s="161" t="s">
        <v>2624</v>
      </c>
      <c r="G665" s="163">
        <v>0</v>
      </c>
      <c r="H665" s="163">
        <v>0</v>
      </c>
      <c r="I665" s="176">
        <v>145</v>
      </c>
      <c r="J665" s="176">
        <v>0</v>
      </c>
      <c r="K665" s="176">
        <v>0</v>
      </c>
      <c r="L665" s="163"/>
      <c r="M665" s="161" t="s">
        <v>2232</v>
      </c>
      <c r="N665" s="161" t="s">
        <v>1331</v>
      </c>
      <c r="O665" s="161"/>
      <c r="P665" s="49"/>
      <c r="Q665" s="166" t="s">
        <v>2626</v>
      </c>
      <c r="R665" s="151"/>
    </row>
    <row r="666" spans="1:18">
      <c r="A666" s="101" t="s">
        <v>36</v>
      </c>
      <c r="B666" s="101" t="s">
        <v>36</v>
      </c>
      <c r="C666" s="85" t="s">
        <v>254</v>
      </c>
      <c r="D666" s="161" t="s">
        <v>2872</v>
      </c>
      <c r="E666" s="161" t="s">
        <v>2204</v>
      </c>
      <c r="F666" s="161" t="s">
        <v>2624</v>
      </c>
      <c r="G666" s="171">
        <v>21.57</v>
      </c>
      <c r="H666" s="163">
        <f>G666-G665</f>
        <v>21.57</v>
      </c>
      <c r="I666" s="176">
        <v>137</v>
      </c>
      <c r="J666" s="176">
        <v>4233</v>
      </c>
      <c r="K666" s="176">
        <f>K665+J666</f>
        <v>4233</v>
      </c>
      <c r="L666" s="163"/>
      <c r="M666" s="161" t="s">
        <v>2873</v>
      </c>
      <c r="N666" s="161" t="s">
        <v>1901</v>
      </c>
      <c r="O666" s="161" t="s">
        <v>26</v>
      </c>
      <c r="P666" s="49" t="s">
        <v>26</v>
      </c>
      <c r="Q666" s="166" t="s">
        <v>2874</v>
      </c>
      <c r="R666" s="151"/>
    </row>
    <row r="667" spans="1:18">
      <c r="A667" s="101" t="s">
        <v>36</v>
      </c>
      <c r="B667" s="101" t="s">
        <v>36</v>
      </c>
      <c r="C667" s="85" t="s">
        <v>2875</v>
      </c>
      <c r="D667" s="161" t="s">
        <v>1302</v>
      </c>
      <c r="E667" s="161" t="s">
        <v>2204</v>
      </c>
      <c r="F667" s="161" t="s">
        <v>2876</v>
      </c>
      <c r="G667" s="163">
        <v>24.6727</v>
      </c>
      <c r="H667" s="163">
        <f t="shared" ref="H667:H675" si="52">G667-G666</f>
        <v>3.1027</v>
      </c>
      <c r="I667" s="176">
        <v>125</v>
      </c>
      <c r="J667" s="176">
        <v>4318</v>
      </c>
      <c r="K667" s="176">
        <f t="shared" ref="K667:K675" si="53">K666+J667</f>
        <v>8551</v>
      </c>
      <c r="L667" s="163"/>
      <c r="M667" s="161" t="s">
        <v>2873</v>
      </c>
      <c r="N667" s="161" t="s">
        <v>1299</v>
      </c>
      <c r="O667" s="161" t="s">
        <v>25</v>
      </c>
      <c r="P667" s="49" t="s">
        <v>25</v>
      </c>
      <c r="Q667" s="166" t="s">
        <v>2877</v>
      </c>
      <c r="R667" s="151"/>
    </row>
    <row r="668" spans="1:18">
      <c r="A668" s="101" t="s">
        <v>36</v>
      </c>
      <c r="B668" s="101" t="s">
        <v>36</v>
      </c>
      <c r="C668" s="85" t="s">
        <v>2878</v>
      </c>
      <c r="D668" s="161" t="s">
        <v>2847</v>
      </c>
      <c r="E668" s="161" t="s">
        <v>2204</v>
      </c>
      <c r="F668" s="161" t="s">
        <v>2876</v>
      </c>
      <c r="G668" s="163">
        <v>26.9342</v>
      </c>
      <c r="H668" s="163">
        <f t="shared" si="52"/>
        <v>2.2615</v>
      </c>
      <c r="I668" s="176">
        <v>71</v>
      </c>
      <c r="J668" s="176">
        <v>3675</v>
      </c>
      <c r="K668" s="176">
        <f t="shared" si="53"/>
        <v>12226</v>
      </c>
      <c r="L668" s="163"/>
      <c r="M668" s="161" t="s">
        <v>2873</v>
      </c>
      <c r="N668" s="161" t="s">
        <v>1901</v>
      </c>
      <c r="O668" s="161" t="s">
        <v>26</v>
      </c>
      <c r="P668" s="49" t="s">
        <v>26</v>
      </c>
      <c r="Q668" s="166" t="s">
        <v>2879</v>
      </c>
      <c r="R668" s="151"/>
    </row>
    <row r="669" spans="1:18">
      <c r="A669" s="101" t="s">
        <v>36</v>
      </c>
      <c r="B669" s="101" t="s">
        <v>36</v>
      </c>
      <c r="C669" s="85" t="s">
        <v>251</v>
      </c>
      <c r="D669" s="161" t="s">
        <v>251</v>
      </c>
      <c r="E669" s="161" t="s">
        <v>2204</v>
      </c>
      <c r="F669" s="161" t="s">
        <v>2876</v>
      </c>
      <c r="G669" s="163">
        <v>29.7</v>
      </c>
      <c r="H669" s="163">
        <f t="shared" si="52"/>
        <v>2.7658</v>
      </c>
      <c r="I669" s="176">
        <v>92</v>
      </c>
      <c r="J669" s="176">
        <v>4416</v>
      </c>
      <c r="K669" s="176">
        <f t="shared" si="53"/>
        <v>16642</v>
      </c>
      <c r="L669" s="163"/>
      <c r="M669" s="161" t="s">
        <v>2873</v>
      </c>
      <c r="N669" s="161" t="s">
        <v>1331</v>
      </c>
      <c r="O669" s="161" t="s">
        <v>14</v>
      </c>
      <c r="P669" s="49" t="s">
        <v>14</v>
      </c>
      <c r="Q669" s="166" t="s">
        <v>2880</v>
      </c>
      <c r="R669" s="151"/>
    </row>
    <row r="670" spans="1:18">
      <c r="A670" s="101" t="s">
        <v>36</v>
      </c>
      <c r="B670" s="101" t="s">
        <v>36</v>
      </c>
      <c r="C670" s="85" t="s">
        <v>2881</v>
      </c>
      <c r="D670" s="161" t="s">
        <v>1307</v>
      </c>
      <c r="E670" s="161" t="s">
        <v>2204</v>
      </c>
      <c r="F670" s="161" t="s">
        <v>2876</v>
      </c>
      <c r="G670" s="163">
        <v>50.67</v>
      </c>
      <c r="H670" s="163">
        <f t="shared" si="52"/>
        <v>20.97</v>
      </c>
      <c r="I670" s="176">
        <v>114</v>
      </c>
      <c r="J670" s="176">
        <v>2667</v>
      </c>
      <c r="K670" s="176">
        <f t="shared" si="53"/>
        <v>19309</v>
      </c>
      <c r="L670" s="163"/>
      <c r="M670" s="161" t="s">
        <v>2873</v>
      </c>
      <c r="N670" s="161" t="s">
        <v>1299</v>
      </c>
      <c r="O670" s="161" t="s">
        <v>25</v>
      </c>
      <c r="P670" s="49" t="s">
        <v>25</v>
      </c>
      <c r="Q670" s="166" t="s">
        <v>2882</v>
      </c>
      <c r="R670" s="151"/>
    </row>
    <row r="671" spans="1:18">
      <c r="A671" s="101" t="s">
        <v>36</v>
      </c>
      <c r="B671" s="101" t="s">
        <v>36</v>
      </c>
      <c r="C671" s="85" t="s">
        <v>2883</v>
      </c>
      <c r="D671" s="161" t="s">
        <v>2883</v>
      </c>
      <c r="E671" s="161" t="s">
        <v>2204</v>
      </c>
      <c r="F671" s="161" t="s">
        <v>2876</v>
      </c>
      <c r="G671" s="163">
        <v>69.1</v>
      </c>
      <c r="H671" s="163">
        <f t="shared" si="52"/>
        <v>18.43</v>
      </c>
      <c r="I671" s="176">
        <v>86</v>
      </c>
      <c r="J671" s="176">
        <v>2232</v>
      </c>
      <c r="K671" s="176">
        <f t="shared" si="53"/>
        <v>21541</v>
      </c>
      <c r="L671" s="163" t="s">
        <v>2884</v>
      </c>
      <c r="M671" s="161" t="s">
        <v>2873</v>
      </c>
      <c r="N671" s="161" t="s">
        <v>1331</v>
      </c>
      <c r="O671" s="161" t="s">
        <v>14</v>
      </c>
      <c r="P671" s="49" t="s">
        <v>14</v>
      </c>
      <c r="Q671" s="166" t="s">
        <v>2885</v>
      </c>
      <c r="R671" s="151"/>
    </row>
    <row r="672" spans="1:18">
      <c r="A672" s="101" t="s">
        <v>36</v>
      </c>
      <c r="B672" s="101" t="s">
        <v>36</v>
      </c>
      <c r="C672" s="85" t="s">
        <v>2886</v>
      </c>
      <c r="D672" s="161" t="s">
        <v>2258</v>
      </c>
      <c r="E672" s="161" t="s">
        <v>2204</v>
      </c>
      <c r="F672" s="161" t="s">
        <v>2876</v>
      </c>
      <c r="G672" s="163">
        <v>87.9561</v>
      </c>
      <c r="H672" s="163">
        <f t="shared" si="52"/>
        <v>18.8561</v>
      </c>
      <c r="I672" s="176">
        <v>102</v>
      </c>
      <c r="J672" s="176">
        <v>2280</v>
      </c>
      <c r="K672" s="176">
        <f t="shared" si="53"/>
        <v>23821</v>
      </c>
      <c r="L672" s="163"/>
      <c r="M672" s="161" t="s">
        <v>2873</v>
      </c>
      <c r="N672" s="161" t="s">
        <v>1901</v>
      </c>
      <c r="O672" s="161" t="s">
        <v>26</v>
      </c>
      <c r="P672" s="49" t="s">
        <v>26</v>
      </c>
      <c r="Q672" s="166" t="s">
        <v>2887</v>
      </c>
      <c r="R672" s="151"/>
    </row>
    <row r="673" spans="1:18">
      <c r="A673" s="101" t="s">
        <v>36</v>
      </c>
      <c r="B673" s="101" t="s">
        <v>36</v>
      </c>
      <c r="C673" s="85" t="s">
        <v>2888</v>
      </c>
      <c r="D673" s="161" t="s">
        <v>2261</v>
      </c>
      <c r="E673" s="161" t="s">
        <v>2204</v>
      </c>
      <c r="F673" s="161" t="s">
        <v>2876</v>
      </c>
      <c r="G673" s="163">
        <v>110.0894</v>
      </c>
      <c r="H673" s="163">
        <f t="shared" si="52"/>
        <v>22.1333</v>
      </c>
      <c r="I673" s="176">
        <v>237</v>
      </c>
      <c r="J673" s="176">
        <v>2600</v>
      </c>
      <c r="K673" s="176">
        <f t="shared" si="53"/>
        <v>26421</v>
      </c>
      <c r="L673" s="163"/>
      <c r="M673" s="161" t="s">
        <v>2873</v>
      </c>
      <c r="N673" s="161" t="s">
        <v>1901</v>
      </c>
      <c r="O673" s="161" t="s">
        <v>26</v>
      </c>
      <c r="P673" s="49" t="s">
        <v>26</v>
      </c>
      <c r="Q673" s="166" t="s">
        <v>2889</v>
      </c>
      <c r="R673" s="151"/>
    </row>
    <row r="674" spans="1:18">
      <c r="A674" s="101" t="s">
        <v>36</v>
      </c>
      <c r="B674" s="101" t="s">
        <v>36</v>
      </c>
      <c r="C674" s="85" t="s">
        <v>2890</v>
      </c>
      <c r="D674" s="161" t="s">
        <v>1324</v>
      </c>
      <c r="E674" s="161" t="s">
        <v>2204</v>
      </c>
      <c r="F674" s="161" t="s">
        <v>2876</v>
      </c>
      <c r="G674" s="163">
        <v>132.8089</v>
      </c>
      <c r="H674" s="163">
        <f t="shared" si="52"/>
        <v>22.7195</v>
      </c>
      <c r="I674" s="176">
        <v>195</v>
      </c>
      <c r="J674" s="176">
        <v>2857</v>
      </c>
      <c r="K674" s="176">
        <f t="shared" si="53"/>
        <v>29278</v>
      </c>
      <c r="L674" s="163"/>
      <c r="M674" s="161" t="s">
        <v>2873</v>
      </c>
      <c r="N674" s="161" t="s">
        <v>1299</v>
      </c>
      <c r="O674" s="161" t="s">
        <v>25</v>
      </c>
      <c r="P674" s="49" t="s">
        <v>25</v>
      </c>
      <c r="Q674" s="166" t="s">
        <v>2891</v>
      </c>
      <c r="R674" s="151"/>
    </row>
    <row r="675" spans="1:18">
      <c r="A675" s="101" t="s">
        <v>36</v>
      </c>
      <c r="B675" s="101" t="s">
        <v>36</v>
      </c>
      <c r="C675" s="85" t="s">
        <v>2892</v>
      </c>
      <c r="D675" s="161" t="s">
        <v>2892</v>
      </c>
      <c r="E675" s="161" t="s">
        <v>2204</v>
      </c>
      <c r="F675" s="161" t="s">
        <v>2876</v>
      </c>
      <c r="G675" s="163">
        <v>153.0777</v>
      </c>
      <c r="H675" s="163">
        <f t="shared" si="52"/>
        <v>20.2688</v>
      </c>
      <c r="I675" s="176">
        <v>176</v>
      </c>
      <c r="J675" s="176">
        <v>2759</v>
      </c>
      <c r="K675" s="176">
        <f t="shared" si="53"/>
        <v>32037</v>
      </c>
      <c r="L675" s="163" t="s">
        <v>2893</v>
      </c>
      <c r="M675" s="161" t="s">
        <v>2873</v>
      </c>
      <c r="N675" s="161"/>
      <c r="O675" s="161"/>
      <c r="P675" s="49" t="s">
        <v>14</v>
      </c>
      <c r="Q675" s="166" t="s">
        <v>2894</v>
      </c>
      <c r="R675" s="151"/>
    </row>
    <row r="676" ht="30" spans="1:18">
      <c r="A676" s="101" t="s">
        <v>36</v>
      </c>
      <c r="B676" s="101" t="s">
        <v>36</v>
      </c>
      <c r="C676" s="85" t="s">
        <v>2895</v>
      </c>
      <c r="D676" s="161" t="s">
        <v>2895</v>
      </c>
      <c r="E676" s="161" t="s">
        <v>2204</v>
      </c>
      <c r="F676" s="161" t="s">
        <v>2876</v>
      </c>
      <c r="G676" s="163"/>
      <c r="H676" s="163"/>
      <c r="I676" s="176"/>
      <c r="J676" s="176"/>
      <c r="K676" s="176"/>
      <c r="L676" s="163" t="s">
        <v>2896</v>
      </c>
      <c r="M676" s="161" t="s">
        <v>2873</v>
      </c>
      <c r="N676" s="161"/>
      <c r="O676" s="161"/>
      <c r="P676" s="49" t="s">
        <v>14</v>
      </c>
      <c r="Q676" s="166" t="s">
        <v>2894</v>
      </c>
      <c r="R676" s="151"/>
    </row>
    <row r="677" spans="1:18">
      <c r="A677" s="101" t="s">
        <v>36</v>
      </c>
      <c r="B677" s="101" t="s">
        <v>36</v>
      </c>
      <c r="C677" s="85" t="s">
        <v>2897</v>
      </c>
      <c r="D677" s="161" t="s">
        <v>2270</v>
      </c>
      <c r="E677" s="161" t="s">
        <v>2204</v>
      </c>
      <c r="F677" s="161" t="s">
        <v>2876</v>
      </c>
      <c r="G677" s="163">
        <v>163.4091</v>
      </c>
      <c r="H677" s="163">
        <f>G677-G675</f>
        <v>10.3314</v>
      </c>
      <c r="I677" s="176">
        <v>189</v>
      </c>
      <c r="J677" s="176">
        <v>1815</v>
      </c>
      <c r="K677" s="176">
        <f>K675+J677</f>
        <v>33852</v>
      </c>
      <c r="L677" s="163"/>
      <c r="M677" s="161" t="s">
        <v>2873</v>
      </c>
      <c r="N677" s="161" t="s">
        <v>1901</v>
      </c>
      <c r="O677" s="161" t="s">
        <v>26</v>
      </c>
      <c r="P677" s="49" t="s">
        <v>26</v>
      </c>
      <c r="Q677" s="166" t="s">
        <v>2898</v>
      </c>
      <c r="R677" s="151"/>
    </row>
    <row r="678" spans="1:18">
      <c r="A678" s="101" t="s">
        <v>36</v>
      </c>
      <c r="B678" s="101" t="s">
        <v>36</v>
      </c>
      <c r="C678" s="85" t="s">
        <v>246</v>
      </c>
      <c r="D678" s="161" t="s">
        <v>246</v>
      </c>
      <c r="E678" s="161" t="s">
        <v>2204</v>
      </c>
      <c r="F678" s="161" t="s">
        <v>2876</v>
      </c>
      <c r="G678" s="163">
        <v>178.0499</v>
      </c>
      <c r="H678" s="163">
        <f>G678-G677</f>
        <v>14.6408</v>
      </c>
      <c r="I678" s="176">
        <v>290</v>
      </c>
      <c r="J678" s="176">
        <v>1237</v>
      </c>
      <c r="K678" s="176">
        <f>K677+J678</f>
        <v>35089</v>
      </c>
      <c r="L678" s="163"/>
      <c r="M678" s="161" t="s">
        <v>2873</v>
      </c>
      <c r="N678" s="161" t="s">
        <v>1331</v>
      </c>
      <c r="O678" s="161" t="s">
        <v>14</v>
      </c>
      <c r="P678" s="49" t="s">
        <v>14</v>
      </c>
      <c r="Q678" s="166" t="s">
        <v>2899</v>
      </c>
      <c r="R678" s="151"/>
    </row>
    <row r="679" spans="1:18">
      <c r="A679" s="101" t="s">
        <v>36</v>
      </c>
      <c r="B679" s="101" t="s">
        <v>250</v>
      </c>
      <c r="C679" s="135" t="s">
        <v>251</v>
      </c>
      <c r="D679" s="161" t="s">
        <v>251</v>
      </c>
      <c r="E679" s="161" t="s">
        <v>2204</v>
      </c>
      <c r="F679" s="161" t="s">
        <v>2876</v>
      </c>
      <c r="G679" s="163">
        <v>0</v>
      </c>
      <c r="H679" s="163">
        <v>0</v>
      </c>
      <c r="I679" s="176" t="s">
        <v>147</v>
      </c>
      <c r="J679" s="176">
        <v>0</v>
      </c>
      <c r="K679" s="176">
        <v>0</v>
      </c>
      <c r="L679" s="163"/>
      <c r="M679" s="161" t="s">
        <v>2873</v>
      </c>
      <c r="N679" s="161" t="s">
        <v>1331</v>
      </c>
      <c r="O679" s="161"/>
      <c r="P679" s="49"/>
      <c r="Q679" s="166" t="s">
        <v>2880</v>
      </c>
      <c r="R679" s="151"/>
    </row>
    <row r="680" spans="1:18">
      <c r="A680" s="101" t="s">
        <v>36</v>
      </c>
      <c r="B680" s="101" t="s">
        <v>250</v>
      </c>
      <c r="C680" s="85" t="s">
        <v>2900</v>
      </c>
      <c r="D680" s="161" t="s">
        <v>2900</v>
      </c>
      <c r="E680" s="161" t="s">
        <v>2204</v>
      </c>
      <c r="F680" s="161" t="s">
        <v>2876</v>
      </c>
      <c r="G680" s="163">
        <v>14</v>
      </c>
      <c r="H680" s="163">
        <v>14</v>
      </c>
      <c r="I680" s="176">
        <v>68</v>
      </c>
      <c r="J680" s="176">
        <v>1758</v>
      </c>
      <c r="K680" s="176">
        <f>K679+J680</f>
        <v>1758</v>
      </c>
      <c r="L680" s="163"/>
      <c r="M680" s="161" t="s">
        <v>2901</v>
      </c>
      <c r="N680" s="161" t="s">
        <v>1331</v>
      </c>
      <c r="O680" s="161" t="s">
        <v>14</v>
      </c>
      <c r="P680" s="49" t="s">
        <v>14</v>
      </c>
      <c r="Q680" s="166" t="s">
        <v>2902</v>
      </c>
      <c r="R680" s="151"/>
    </row>
    <row r="681" spans="1:18">
      <c r="A681" s="101" t="s">
        <v>36</v>
      </c>
      <c r="B681" s="101" t="s">
        <v>250</v>
      </c>
      <c r="C681" s="85" t="s">
        <v>2903</v>
      </c>
      <c r="D681" s="161" t="s">
        <v>2904</v>
      </c>
      <c r="E681" s="161" t="s">
        <v>2204</v>
      </c>
      <c r="F681" s="161" t="s">
        <v>2876</v>
      </c>
      <c r="G681" s="163">
        <v>21.0966</v>
      </c>
      <c r="H681" s="163">
        <f>G681-G680</f>
        <v>7.0966</v>
      </c>
      <c r="I681" s="176">
        <v>69</v>
      </c>
      <c r="J681" s="173">
        <v>754</v>
      </c>
      <c r="K681" s="176">
        <f>K680+J681</f>
        <v>2512</v>
      </c>
      <c r="L681" s="163"/>
      <c r="M681" s="161" t="s">
        <v>2901</v>
      </c>
      <c r="N681" s="161" t="s">
        <v>1299</v>
      </c>
      <c r="O681" s="161" t="s">
        <v>25</v>
      </c>
      <c r="P681" s="49" t="s">
        <v>25</v>
      </c>
      <c r="Q681" s="166" t="s">
        <v>2905</v>
      </c>
      <c r="R681" s="151"/>
    </row>
    <row r="682" spans="1:18">
      <c r="A682" s="101" t="s">
        <v>36</v>
      </c>
      <c r="B682" s="101" t="s">
        <v>250</v>
      </c>
      <c r="C682" s="85" t="s">
        <v>2906</v>
      </c>
      <c r="D682" s="161" t="s">
        <v>2907</v>
      </c>
      <c r="E682" s="161" t="s">
        <v>2204</v>
      </c>
      <c r="F682" s="161" t="s">
        <v>2876</v>
      </c>
      <c r="G682" s="163">
        <v>24.7644</v>
      </c>
      <c r="H682" s="163">
        <f>G682-G681</f>
        <v>3.6678</v>
      </c>
      <c r="I682" s="176">
        <v>66</v>
      </c>
      <c r="J682" s="176">
        <v>377</v>
      </c>
      <c r="K682" s="176">
        <f>K681+J682</f>
        <v>2889</v>
      </c>
      <c r="L682" s="163"/>
      <c r="M682" s="161" t="s">
        <v>2901</v>
      </c>
      <c r="N682" s="161" t="s">
        <v>1901</v>
      </c>
      <c r="O682" s="161" t="s">
        <v>26</v>
      </c>
      <c r="P682" s="49" t="s">
        <v>26</v>
      </c>
      <c r="Q682" s="166" t="s">
        <v>2908</v>
      </c>
      <c r="R682" s="151"/>
    </row>
    <row r="683" spans="1:18">
      <c r="A683" s="101" t="s">
        <v>36</v>
      </c>
      <c r="B683" s="101" t="s">
        <v>250</v>
      </c>
      <c r="C683" s="85" t="s">
        <v>252</v>
      </c>
      <c r="D683" s="161" t="s">
        <v>252</v>
      </c>
      <c r="E683" s="161" t="s">
        <v>2204</v>
      </c>
      <c r="F683" s="161" t="s">
        <v>2876</v>
      </c>
      <c r="G683" s="163">
        <v>27.6999</v>
      </c>
      <c r="H683" s="163">
        <f>G683-G682</f>
        <v>2.9355</v>
      </c>
      <c r="I683" s="176">
        <v>88</v>
      </c>
      <c r="J683" s="176">
        <v>389</v>
      </c>
      <c r="K683" s="176">
        <f>K682+J683</f>
        <v>3278</v>
      </c>
      <c r="L683" s="163"/>
      <c r="M683" s="161" t="s">
        <v>2909</v>
      </c>
      <c r="N683" s="161" t="s">
        <v>1331</v>
      </c>
      <c r="O683" s="161" t="s">
        <v>14</v>
      </c>
      <c r="P683" s="49" t="s">
        <v>14</v>
      </c>
      <c r="Q683" s="166" t="s">
        <v>2910</v>
      </c>
      <c r="R683" s="151"/>
    </row>
    <row r="684" spans="1:18">
      <c r="A684" s="101" t="s">
        <v>36</v>
      </c>
      <c r="B684" s="101" t="s">
        <v>253</v>
      </c>
      <c r="C684" s="135" t="s">
        <v>254</v>
      </c>
      <c r="D684" s="161" t="s">
        <v>254</v>
      </c>
      <c r="E684" s="161" t="s">
        <v>2204</v>
      </c>
      <c r="F684" s="161" t="s">
        <v>2624</v>
      </c>
      <c r="G684" s="163">
        <v>0</v>
      </c>
      <c r="H684" s="163">
        <v>0</v>
      </c>
      <c r="I684" s="176"/>
      <c r="J684" s="173">
        <v>0</v>
      </c>
      <c r="K684" s="173">
        <v>0</v>
      </c>
      <c r="L684" s="163"/>
      <c r="M684" s="161" t="s">
        <v>2873</v>
      </c>
      <c r="N684" s="161"/>
      <c r="O684" s="161"/>
      <c r="P684" s="49"/>
      <c r="Q684" s="166" t="s">
        <v>2874</v>
      </c>
      <c r="R684" s="151"/>
    </row>
    <row r="685" spans="1:18">
      <c r="A685" s="101" t="s">
        <v>36</v>
      </c>
      <c r="B685" s="101" t="s">
        <v>253</v>
      </c>
      <c r="C685" s="85" t="s">
        <v>255</v>
      </c>
      <c r="D685" s="161" t="s">
        <v>2911</v>
      </c>
      <c r="E685" s="161" t="s">
        <v>2204</v>
      </c>
      <c r="F685" s="161" t="s">
        <v>2624</v>
      </c>
      <c r="G685" s="163">
        <v>0.43</v>
      </c>
      <c r="H685" s="163">
        <v>0.43</v>
      </c>
      <c r="I685" s="176"/>
      <c r="J685" s="173">
        <v>53.46</v>
      </c>
      <c r="K685" s="173">
        <v>53.46</v>
      </c>
      <c r="L685" s="163"/>
      <c r="M685" s="161">
        <v>0</v>
      </c>
      <c r="N685" s="161" t="s">
        <v>1299</v>
      </c>
      <c r="O685" s="161" t="s">
        <v>25</v>
      </c>
      <c r="P685" s="49" t="s">
        <v>25</v>
      </c>
      <c r="Q685" s="166"/>
      <c r="R685" s="151"/>
    </row>
    <row r="686" spans="1:18">
      <c r="A686" s="101" t="s">
        <v>37</v>
      </c>
      <c r="B686" s="101" t="s">
        <v>37</v>
      </c>
      <c r="C686" s="135" t="s">
        <v>256</v>
      </c>
      <c r="D686" s="161" t="s">
        <v>256</v>
      </c>
      <c r="E686" s="161" t="s">
        <v>1689</v>
      </c>
      <c r="F686" s="161" t="s">
        <v>2707</v>
      </c>
      <c r="G686" s="171">
        <v>0</v>
      </c>
      <c r="H686" s="163">
        <v>0</v>
      </c>
      <c r="I686" s="176">
        <v>50</v>
      </c>
      <c r="J686" s="176">
        <v>0</v>
      </c>
      <c r="K686" s="176">
        <v>0</v>
      </c>
      <c r="L686" s="163"/>
      <c r="M686" s="161" t="s">
        <v>2232</v>
      </c>
      <c r="N686" s="161" t="s">
        <v>1331</v>
      </c>
      <c r="O686" s="161"/>
      <c r="P686" s="49"/>
      <c r="Q686" s="166" t="s">
        <v>2709</v>
      </c>
      <c r="R686" s="151"/>
    </row>
    <row r="687" spans="1:18">
      <c r="A687" s="101" t="s">
        <v>37</v>
      </c>
      <c r="B687" s="101" t="s">
        <v>37</v>
      </c>
      <c r="C687" s="85" t="s">
        <v>2912</v>
      </c>
      <c r="D687" s="161" t="s">
        <v>1899</v>
      </c>
      <c r="E687" s="161" t="s">
        <v>1689</v>
      </c>
      <c r="F687" s="161" t="s">
        <v>2913</v>
      </c>
      <c r="G687" s="171">
        <v>22.3178</v>
      </c>
      <c r="H687" s="163">
        <f>G687-G686</f>
        <v>22.3178</v>
      </c>
      <c r="I687" s="176">
        <v>47</v>
      </c>
      <c r="J687" s="176">
        <v>6728.99601938941</v>
      </c>
      <c r="K687" s="176">
        <v>6728.99601938941</v>
      </c>
      <c r="L687" s="163"/>
      <c r="M687" s="161" t="s">
        <v>2914</v>
      </c>
      <c r="N687" s="161" t="s">
        <v>1901</v>
      </c>
      <c r="O687" s="161" t="s">
        <v>26</v>
      </c>
      <c r="P687" s="49" t="s">
        <v>26</v>
      </c>
      <c r="Q687" s="166" t="s">
        <v>2915</v>
      </c>
      <c r="R687" s="151"/>
    </row>
    <row r="688" spans="1:18">
      <c r="A688" s="101" t="s">
        <v>37</v>
      </c>
      <c r="B688" s="101" t="s">
        <v>37</v>
      </c>
      <c r="C688" s="85" t="s">
        <v>2916</v>
      </c>
      <c r="D688" s="161" t="s">
        <v>2916</v>
      </c>
      <c r="E688" s="161" t="s">
        <v>1689</v>
      </c>
      <c r="F688" s="161" t="s">
        <v>2913</v>
      </c>
      <c r="G688" s="171">
        <v>34.2</v>
      </c>
      <c r="H688" s="163">
        <f>G688-G687</f>
        <v>11.8822</v>
      </c>
      <c r="I688" s="176">
        <v>44</v>
      </c>
      <c r="J688" s="176">
        <v>3608.52325065171</v>
      </c>
      <c r="K688" s="176">
        <v>10337.5192700411</v>
      </c>
      <c r="L688" s="163"/>
      <c r="M688" s="161" t="s">
        <v>2914</v>
      </c>
      <c r="N688" s="161" t="s">
        <v>1331</v>
      </c>
      <c r="O688" s="161" t="s">
        <v>14</v>
      </c>
      <c r="P688" s="49" t="s">
        <v>14</v>
      </c>
      <c r="Q688" s="166" t="s">
        <v>2917</v>
      </c>
      <c r="R688" s="151"/>
    </row>
    <row r="689" spans="1:18">
      <c r="A689" s="101" t="s">
        <v>37</v>
      </c>
      <c r="B689" s="101" t="s">
        <v>37</v>
      </c>
      <c r="C689" s="85" t="s">
        <v>2918</v>
      </c>
      <c r="D689" s="161" t="s">
        <v>1904</v>
      </c>
      <c r="E689" s="161" t="s">
        <v>1689</v>
      </c>
      <c r="F689" s="161" t="s">
        <v>2913</v>
      </c>
      <c r="G689" s="171">
        <v>49.4566</v>
      </c>
      <c r="H689" s="163">
        <f>G689-G688</f>
        <v>15.2566</v>
      </c>
      <c r="I689" s="176">
        <v>73</v>
      </c>
      <c r="J689" s="176">
        <v>4354.93545642895</v>
      </c>
      <c r="K689" s="176">
        <v>14692.4547264701</v>
      </c>
      <c r="L689" s="163"/>
      <c r="M689" s="161" t="s">
        <v>2914</v>
      </c>
      <c r="N689" s="161" t="s">
        <v>1901</v>
      </c>
      <c r="O689" s="161" t="s">
        <v>26</v>
      </c>
      <c r="P689" s="49" t="s">
        <v>26</v>
      </c>
      <c r="Q689" s="166" t="s">
        <v>2919</v>
      </c>
      <c r="R689" s="151"/>
    </row>
    <row r="690" spans="1:18">
      <c r="A690" s="101" t="s">
        <v>37</v>
      </c>
      <c r="B690" s="101" t="s">
        <v>37</v>
      </c>
      <c r="C690" s="85" t="s">
        <v>2920</v>
      </c>
      <c r="D690" s="161" t="s">
        <v>1305</v>
      </c>
      <c r="E690" s="161" t="s">
        <v>1689</v>
      </c>
      <c r="F690" s="161" t="s">
        <v>2913</v>
      </c>
      <c r="G690" s="171">
        <v>66.2174</v>
      </c>
      <c r="H690" s="163">
        <f>G690-G689</f>
        <v>16.7608</v>
      </c>
      <c r="I690" s="176">
        <v>55</v>
      </c>
      <c r="J690" s="176">
        <v>4466.57700416678</v>
      </c>
      <c r="K690" s="176">
        <v>19159.0317306369</v>
      </c>
      <c r="L690" s="163"/>
      <c r="M690" s="161"/>
      <c r="N690" s="161" t="s">
        <v>1299</v>
      </c>
      <c r="O690" s="161"/>
      <c r="P690" s="49" t="s">
        <v>25</v>
      </c>
      <c r="Q690" s="166"/>
      <c r="R690" s="151"/>
    </row>
    <row r="691" spans="1:18">
      <c r="A691" s="101" t="s">
        <v>37</v>
      </c>
      <c r="B691" s="101" t="s">
        <v>37</v>
      </c>
      <c r="C691" s="85" t="s">
        <v>2921</v>
      </c>
      <c r="D691" s="161" t="s">
        <v>2921</v>
      </c>
      <c r="E691" s="161" t="s">
        <v>1689</v>
      </c>
      <c r="F691" s="161" t="s">
        <v>2913</v>
      </c>
      <c r="G691" s="171">
        <v>66.2174</v>
      </c>
      <c r="H691" s="163">
        <v>0</v>
      </c>
      <c r="I691" s="173"/>
      <c r="J691" s="173"/>
      <c r="K691" s="173"/>
      <c r="L691" s="163" t="s">
        <v>2183</v>
      </c>
      <c r="M691" s="161" t="s">
        <v>2914</v>
      </c>
      <c r="N691" s="161" t="s">
        <v>1331</v>
      </c>
      <c r="O691" s="161" t="s">
        <v>14</v>
      </c>
      <c r="P691" s="49" t="s">
        <v>14</v>
      </c>
      <c r="Q691" s="166" t="s">
        <v>2922</v>
      </c>
      <c r="R691" s="151"/>
    </row>
    <row r="692" spans="1:18">
      <c r="A692" s="101" t="s">
        <v>37</v>
      </c>
      <c r="B692" s="101" t="s">
        <v>37</v>
      </c>
      <c r="C692" s="85" t="s">
        <v>2923</v>
      </c>
      <c r="D692" s="161" t="s">
        <v>1307</v>
      </c>
      <c r="E692" s="161" t="s">
        <v>1689</v>
      </c>
      <c r="F692" s="161" t="s">
        <v>2913</v>
      </c>
      <c r="G692" s="171">
        <v>82.0112</v>
      </c>
      <c r="H692" s="163">
        <f>G692-G690</f>
        <v>15.7938</v>
      </c>
      <c r="I692" s="176">
        <v>95</v>
      </c>
      <c r="J692" s="176">
        <v>4697.48588842234</v>
      </c>
      <c r="K692" s="176">
        <v>23856.5176190592</v>
      </c>
      <c r="L692" s="163"/>
      <c r="M692" s="161" t="s">
        <v>2914</v>
      </c>
      <c r="N692" s="161" t="s">
        <v>1299</v>
      </c>
      <c r="O692" s="161" t="s">
        <v>26</v>
      </c>
      <c r="P692" s="49" t="s">
        <v>25</v>
      </c>
      <c r="Q692" s="166" t="s">
        <v>2924</v>
      </c>
      <c r="R692" s="151"/>
    </row>
    <row r="693" spans="1:18">
      <c r="A693" s="101" t="s">
        <v>37</v>
      </c>
      <c r="B693" s="101" t="s">
        <v>37</v>
      </c>
      <c r="C693" s="85" t="s">
        <v>2925</v>
      </c>
      <c r="D693" s="161" t="s">
        <v>2925</v>
      </c>
      <c r="E693" s="161" t="s">
        <v>1689</v>
      </c>
      <c r="F693" s="161" t="s">
        <v>2913</v>
      </c>
      <c r="G693" s="171">
        <v>93.3999</v>
      </c>
      <c r="H693" s="163">
        <f t="shared" ref="H693:H704" si="54">G693-G692</f>
        <v>11.3887</v>
      </c>
      <c r="I693" s="176">
        <v>100</v>
      </c>
      <c r="J693" s="176">
        <v>3614.62388167563</v>
      </c>
      <c r="K693" s="176">
        <v>27471.1415007348</v>
      </c>
      <c r="L693" s="163"/>
      <c r="M693" s="161" t="s">
        <v>2914</v>
      </c>
      <c r="N693" s="161" t="s">
        <v>1331</v>
      </c>
      <c r="O693" s="161" t="s">
        <v>14</v>
      </c>
      <c r="P693" s="49" t="s">
        <v>14</v>
      </c>
      <c r="Q693" s="166" t="s">
        <v>2926</v>
      </c>
      <c r="R693" s="151"/>
    </row>
    <row r="694" spans="1:18">
      <c r="A694" s="101" t="s">
        <v>37</v>
      </c>
      <c r="B694" s="101" t="s">
        <v>37</v>
      </c>
      <c r="C694" s="85" t="s">
        <v>2927</v>
      </c>
      <c r="D694" s="161" t="s">
        <v>2252</v>
      </c>
      <c r="E694" s="161" t="s">
        <v>1689</v>
      </c>
      <c r="F694" s="161" t="s">
        <v>2913</v>
      </c>
      <c r="G694" s="171">
        <v>113.3864</v>
      </c>
      <c r="H694" s="163">
        <f t="shared" si="54"/>
        <v>19.9865</v>
      </c>
      <c r="I694" s="176">
        <v>101</v>
      </c>
      <c r="J694" s="176">
        <v>6085.37944636531</v>
      </c>
      <c r="K694" s="176">
        <v>33556.5209471001</v>
      </c>
      <c r="L694" s="163"/>
      <c r="M694" s="161" t="s">
        <v>2914</v>
      </c>
      <c r="N694" s="161" t="s">
        <v>1901</v>
      </c>
      <c r="O694" s="161" t="s">
        <v>26</v>
      </c>
      <c r="P694" s="49" t="s">
        <v>26</v>
      </c>
      <c r="Q694" s="166" t="s">
        <v>2928</v>
      </c>
      <c r="R694" s="151"/>
    </row>
    <row r="695" spans="1:18">
      <c r="A695" s="101" t="s">
        <v>37</v>
      </c>
      <c r="B695" s="101" t="s">
        <v>37</v>
      </c>
      <c r="C695" s="85" t="s">
        <v>2929</v>
      </c>
      <c r="D695" s="161" t="s">
        <v>2258</v>
      </c>
      <c r="E695" s="161" t="s">
        <v>1689</v>
      </c>
      <c r="F695" s="161" t="s">
        <v>2913</v>
      </c>
      <c r="G695" s="171">
        <v>136.606</v>
      </c>
      <c r="H695" s="163">
        <f t="shared" si="54"/>
        <v>23.2196</v>
      </c>
      <c r="I695" s="176">
        <v>130</v>
      </c>
      <c r="J695" s="176">
        <v>7549.53089210734</v>
      </c>
      <c r="K695" s="176">
        <v>41106.0518392075</v>
      </c>
      <c r="L695" s="163"/>
      <c r="M695" s="161" t="s">
        <v>2914</v>
      </c>
      <c r="N695" s="161" t="s">
        <v>1901</v>
      </c>
      <c r="O695" s="161" t="s">
        <v>26</v>
      </c>
      <c r="P695" s="49" t="s">
        <v>26</v>
      </c>
      <c r="Q695" s="166" t="s">
        <v>2930</v>
      </c>
      <c r="R695" s="151"/>
    </row>
    <row r="696" spans="1:18">
      <c r="A696" s="101" t="s">
        <v>37</v>
      </c>
      <c r="B696" s="101" t="s">
        <v>37</v>
      </c>
      <c r="C696" s="85" t="s">
        <v>2931</v>
      </c>
      <c r="D696" s="161" t="s">
        <v>2931</v>
      </c>
      <c r="E696" s="161" t="s">
        <v>1689</v>
      </c>
      <c r="F696" s="161" t="s">
        <v>2913</v>
      </c>
      <c r="G696" s="171">
        <v>151.3999</v>
      </c>
      <c r="H696" s="163">
        <f t="shared" si="54"/>
        <v>14.7939</v>
      </c>
      <c r="I696" s="176">
        <v>185</v>
      </c>
      <c r="J696" s="176">
        <v>4868.30355709225</v>
      </c>
      <c r="K696" s="176">
        <v>45974.3553962997</v>
      </c>
      <c r="L696" s="163"/>
      <c r="M696" s="161" t="s">
        <v>2914</v>
      </c>
      <c r="N696" s="161" t="s">
        <v>1331</v>
      </c>
      <c r="O696" s="161" t="s">
        <v>14</v>
      </c>
      <c r="P696" s="49" t="s">
        <v>14</v>
      </c>
      <c r="Q696" s="166" t="s">
        <v>2932</v>
      </c>
      <c r="R696" s="151"/>
    </row>
    <row r="697" spans="1:18">
      <c r="A697" s="101" t="s">
        <v>37</v>
      </c>
      <c r="B697" s="101" t="s">
        <v>37</v>
      </c>
      <c r="C697" s="85" t="s">
        <v>2933</v>
      </c>
      <c r="D697" s="161" t="s">
        <v>1321</v>
      </c>
      <c r="E697" s="161" t="s">
        <v>1689</v>
      </c>
      <c r="F697" s="161" t="s">
        <v>2913</v>
      </c>
      <c r="G697" s="171">
        <v>164.581</v>
      </c>
      <c r="H697" s="163">
        <f t="shared" si="54"/>
        <v>13.1811</v>
      </c>
      <c r="I697" s="176">
        <v>133</v>
      </c>
      <c r="J697" s="176">
        <v>3998.96363618292</v>
      </c>
      <c r="K697" s="176">
        <v>49973.3190324826</v>
      </c>
      <c r="L697" s="163"/>
      <c r="M697" s="161" t="s">
        <v>2914</v>
      </c>
      <c r="N697" s="161" t="s">
        <v>1299</v>
      </c>
      <c r="O697" s="161" t="s">
        <v>25</v>
      </c>
      <c r="P697" s="49" t="s">
        <v>25</v>
      </c>
      <c r="Q697" s="166" t="s">
        <v>2934</v>
      </c>
      <c r="R697" s="151"/>
    </row>
    <row r="698" spans="1:18">
      <c r="A698" s="101" t="s">
        <v>37</v>
      </c>
      <c r="B698" s="101" t="s">
        <v>37</v>
      </c>
      <c r="C698" s="85" t="s">
        <v>2935</v>
      </c>
      <c r="D698" s="161" t="s">
        <v>2827</v>
      </c>
      <c r="E698" s="161" t="s">
        <v>1689</v>
      </c>
      <c r="F698" s="161" t="s">
        <v>2936</v>
      </c>
      <c r="G698" s="171">
        <v>186.0999</v>
      </c>
      <c r="H698" s="163">
        <f t="shared" si="54"/>
        <v>21.5189</v>
      </c>
      <c r="I698" s="176">
        <v>106</v>
      </c>
      <c r="J698" s="176">
        <v>6890</v>
      </c>
      <c r="K698" s="176">
        <v>56863.3190324826</v>
      </c>
      <c r="L698" s="163"/>
      <c r="M698" s="161" t="s">
        <v>2914</v>
      </c>
      <c r="N698" s="161" t="s">
        <v>1901</v>
      </c>
      <c r="O698" s="161" t="s">
        <v>26</v>
      </c>
      <c r="P698" s="49" t="s">
        <v>26</v>
      </c>
      <c r="Q698" s="166" t="s">
        <v>2937</v>
      </c>
      <c r="R698" s="151"/>
    </row>
    <row r="699" spans="1:18">
      <c r="A699" s="101" t="s">
        <v>37</v>
      </c>
      <c r="B699" s="101" t="s">
        <v>37</v>
      </c>
      <c r="C699" s="85" t="s">
        <v>2938</v>
      </c>
      <c r="D699" s="161" t="s">
        <v>2938</v>
      </c>
      <c r="E699" s="161" t="s">
        <v>2939</v>
      </c>
      <c r="F699" s="161" t="s">
        <v>2936</v>
      </c>
      <c r="G699" s="171">
        <v>200.9001</v>
      </c>
      <c r="H699" s="163">
        <f t="shared" si="54"/>
        <v>14.8002</v>
      </c>
      <c r="I699" s="176">
        <v>104</v>
      </c>
      <c r="J699" s="176">
        <v>4931</v>
      </c>
      <c r="K699" s="176">
        <v>61794.3190324826</v>
      </c>
      <c r="L699" s="163"/>
      <c r="M699" s="161" t="s">
        <v>2914</v>
      </c>
      <c r="N699" s="161" t="s">
        <v>1331</v>
      </c>
      <c r="O699" s="161" t="s">
        <v>6</v>
      </c>
      <c r="P699" s="49" t="s">
        <v>6</v>
      </c>
      <c r="Q699" s="166" t="s">
        <v>2940</v>
      </c>
      <c r="R699" s="151"/>
    </row>
    <row r="700" spans="1:18">
      <c r="A700" s="101" t="s">
        <v>37</v>
      </c>
      <c r="B700" s="101" t="s">
        <v>37</v>
      </c>
      <c r="C700" s="85" t="s">
        <v>2941</v>
      </c>
      <c r="D700" s="161" t="s">
        <v>2941</v>
      </c>
      <c r="E700" s="161" t="s">
        <v>2939</v>
      </c>
      <c r="F700" s="161" t="s">
        <v>2936</v>
      </c>
      <c r="G700" s="171">
        <v>201.0999</v>
      </c>
      <c r="H700" s="163">
        <f t="shared" si="54"/>
        <v>0.199799999999982</v>
      </c>
      <c r="I700" s="176">
        <v>104</v>
      </c>
      <c r="J700" s="176">
        <v>0</v>
      </c>
      <c r="K700" s="176">
        <f>K699+J700</f>
        <v>61794.3190324826</v>
      </c>
      <c r="L700" s="163"/>
      <c r="M700" s="161" t="s">
        <v>2914</v>
      </c>
      <c r="N700" s="161" t="s">
        <v>1331</v>
      </c>
      <c r="O700" s="161" t="s">
        <v>14</v>
      </c>
      <c r="P700" s="49" t="s">
        <v>14</v>
      </c>
      <c r="Q700" s="166" t="s">
        <v>2940</v>
      </c>
      <c r="R700" s="151"/>
    </row>
    <row r="701" spans="1:18">
      <c r="A701" s="101" t="s">
        <v>37</v>
      </c>
      <c r="B701" s="101" t="s">
        <v>37</v>
      </c>
      <c r="C701" s="85" t="s">
        <v>2942</v>
      </c>
      <c r="D701" s="161" t="s">
        <v>2266</v>
      </c>
      <c r="E701" s="161" t="s">
        <v>2939</v>
      </c>
      <c r="F701" s="161" t="s">
        <v>2936</v>
      </c>
      <c r="G701" s="171">
        <v>221.4336</v>
      </c>
      <c r="H701" s="163">
        <f t="shared" si="54"/>
        <v>20.3337</v>
      </c>
      <c r="I701" s="173">
        <v>116</v>
      </c>
      <c r="J701" s="173">
        <v>6310</v>
      </c>
      <c r="K701" s="176">
        <v>68104.3190324826</v>
      </c>
      <c r="L701" s="174"/>
      <c r="M701" s="161" t="s">
        <v>2914</v>
      </c>
      <c r="N701" s="161" t="s">
        <v>1901</v>
      </c>
      <c r="O701" s="161" t="s">
        <v>26</v>
      </c>
      <c r="P701" s="49" t="s">
        <v>26</v>
      </c>
      <c r="Q701" s="166" t="s">
        <v>2943</v>
      </c>
      <c r="R701" s="151"/>
    </row>
    <row r="702" spans="1:18">
      <c r="A702" s="101" t="s">
        <v>37</v>
      </c>
      <c r="B702" s="101" t="s">
        <v>37</v>
      </c>
      <c r="C702" s="85" t="s">
        <v>2944</v>
      </c>
      <c r="D702" s="161" t="s">
        <v>2944</v>
      </c>
      <c r="E702" s="161" t="s">
        <v>2939</v>
      </c>
      <c r="F702" s="161" t="s">
        <v>2936</v>
      </c>
      <c r="G702" s="171">
        <v>240.6999</v>
      </c>
      <c r="H702" s="163">
        <f t="shared" si="54"/>
        <v>19.2663</v>
      </c>
      <c r="I702" s="176">
        <v>85</v>
      </c>
      <c r="J702" s="176">
        <v>6022</v>
      </c>
      <c r="K702" s="176">
        <v>74126.3190324826</v>
      </c>
      <c r="L702" s="163"/>
      <c r="M702" s="161" t="s">
        <v>2914</v>
      </c>
      <c r="N702" s="161" t="s">
        <v>1331</v>
      </c>
      <c r="O702" s="161" t="s">
        <v>14</v>
      </c>
      <c r="P702" s="49" t="s">
        <v>14</v>
      </c>
      <c r="Q702" s="166" t="s">
        <v>2945</v>
      </c>
      <c r="R702" s="151"/>
    </row>
    <row r="703" spans="1:18">
      <c r="A703" s="101" t="s">
        <v>37</v>
      </c>
      <c r="B703" s="101" t="s">
        <v>37</v>
      </c>
      <c r="C703" s="85" t="s">
        <v>2946</v>
      </c>
      <c r="D703" s="161" t="s">
        <v>2270</v>
      </c>
      <c r="E703" s="161" t="s">
        <v>2939</v>
      </c>
      <c r="F703" s="161" t="s">
        <v>2936</v>
      </c>
      <c r="G703" s="171">
        <v>252.9064</v>
      </c>
      <c r="H703" s="163">
        <f t="shared" si="54"/>
        <v>12.2065</v>
      </c>
      <c r="I703" s="176">
        <v>74</v>
      </c>
      <c r="J703" s="176">
        <v>3960</v>
      </c>
      <c r="K703" s="176">
        <v>78086.3190324826</v>
      </c>
      <c r="L703" s="163"/>
      <c r="M703" s="161" t="s">
        <v>2914</v>
      </c>
      <c r="N703" s="161" t="s">
        <v>1901</v>
      </c>
      <c r="O703" s="161" t="s">
        <v>26</v>
      </c>
      <c r="P703" s="49" t="s">
        <v>26</v>
      </c>
      <c r="Q703" s="166" t="s">
        <v>2947</v>
      </c>
      <c r="R703" s="151"/>
    </row>
    <row r="704" spans="1:18">
      <c r="A704" s="101" t="s">
        <v>37</v>
      </c>
      <c r="B704" s="101" t="s">
        <v>37</v>
      </c>
      <c r="C704" s="85" t="s">
        <v>257</v>
      </c>
      <c r="D704" s="161" t="s">
        <v>257</v>
      </c>
      <c r="E704" s="161" t="s">
        <v>2939</v>
      </c>
      <c r="F704" s="161" t="s">
        <v>2936</v>
      </c>
      <c r="G704" s="171">
        <v>262.2999</v>
      </c>
      <c r="H704" s="163">
        <f t="shared" si="54"/>
        <v>9.39349999999999</v>
      </c>
      <c r="I704" s="176">
        <v>71</v>
      </c>
      <c r="J704" s="176">
        <v>3080</v>
      </c>
      <c r="K704" s="176">
        <v>81166.3190324826</v>
      </c>
      <c r="L704" s="163"/>
      <c r="M704" s="161" t="s">
        <v>2914</v>
      </c>
      <c r="N704" s="161" t="s">
        <v>1331</v>
      </c>
      <c r="O704" s="161" t="s">
        <v>14</v>
      </c>
      <c r="P704" s="49" t="s">
        <v>14</v>
      </c>
      <c r="Q704" s="166" t="s">
        <v>2948</v>
      </c>
      <c r="R704" s="151"/>
    </row>
    <row r="705" spans="1:18">
      <c r="A705" s="101" t="s">
        <v>38</v>
      </c>
      <c r="B705" s="101" t="s">
        <v>38</v>
      </c>
      <c r="C705" s="135" t="s">
        <v>258</v>
      </c>
      <c r="D705" s="161" t="s">
        <v>258</v>
      </c>
      <c r="E705" s="161" t="s">
        <v>1689</v>
      </c>
      <c r="F705" s="161" t="s">
        <v>2684</v>
      </c>
      <c r="G705" s="163">
        <v>0</v>
      </c>
      <c r="H705" s="163">
        <v>0</v>
      </c>
      <c r="I705" s="176">
        <v>27</v>
      </c>
      <c r="J705" s="176">
        <v>0</v>
      </c>
      <c r="K705" s="176">
        <v>0</v>
      </c>
      <c r="L705" s="163"/>
      <c r="M705" s="161" t="s">
        <v>2232</v>
      </c>
      <c r="N705" s="161" t="s">
        <v>1331</v>
      </c>
      <c r="O705" s="161"/>
      <c r="P705" s="49"/>
      <c r="Q705" s="166" t="s">
        <v>2701</v>
      </c>
      <c r="R705" s="151"/>
    </row>
    <row r="706" spans="1:18">
      <c r="A706" s="101" t="s">
        <v>38</v>
      </c>
      <c r="B706" s="101" t="s">
        <v>38</v>
      </c>
      <c r="C706" s="85" t="s">
        <v>2949</v>
      </c>
      <c r="D706" s="161" t="s">
        <v>1298</v>
      </c>
      <c r="E706" s="161" t="s">
        <v>1689</v>
      </c>
      <c r="F706" s="161" t="s">
        <v>2684</v>
      </c>
      <c r="G706" s="163">
        <f>G705+H706</f>
        <v>18.2534</v>
      </c>
      <c r="H706" s="163">
        <v>18.2534</v>
      </c>
      <c r="I706" s="176">
        <v>30</v>
      </c>
      <c r="J706" s="176">
        <f t="shared" ref="J706:J719" si="55">0.76667*H706*1000</f>
        <v>13994.334178</v>
      </c>
      <c r="K706" s="176">
        <f>K705+J706</f>
        <v>13994.334178</v>
      </c>
      <c r="L706" s="163"/>
      <c r="M706" s="161" t="s">
        <v>2950</v>
      </c>
      <c r="N706" s="161" t="s">
        <v>1299</v>
      </c>
      <c r="O706" s="161" t="s">
        <v>26</v>
      </c>
      <c r="P706" s="49" t="s">
        <v>25</v>
      </c>
      <c r="Q706" s="166" t="s">
        <v>2951</v>
      </c>
      <c r="R706" s="151"/>
    </row>
    <row r="707" spans="1:18">
      <c r="A707" s="101" t="s">
        <v>38</v>
      </c>
      <c r="B707" s="101" t="s">
        <v>38</v>
      </c>
      <c r="C707" s="85" t="s">
        <v>2952</v>
      </c>
      <c r="D707" s="161" t="s">
        <v>1302</v>
      </c>
      <c r="E707" s="161" t="s">
        <v>1689</v>
      </c>
      <c r="F707" s="161" t="s">
        <v>2684</v>
      </c>
      <c r="G707" s="163">
        <f t="shared" ref="G707:G738" si="56">G706+H707</f>
        <v>42.023</v>
      </c>
      <c r="H707" s="163">
        <v>23.7696</v>
      </c>
      <c r="I707" s="176">
        <v>20</v>
      </c>
      <c r="J707" s="176">
        <f t="shared" si="55"/>
        <v>18223.439232</v>
      </c>
      <c r="K707" s="176">
        <f>K706+J707</f>
        <v>32217.77341</v>
      </c>
      <c r="L707" s="163"/>
      <c r="M707" s="161" t="s">
        <v>2950</v>
      </c>
      <c r="N707" s="161" t="s">
        <v>1299</v>
      </c>
      <c r="O707" s="161" t="s">
        <v>25</v>
      </c>
      <c r="P707" s="49" t="s">
        <v>25</v>
      </c>
      <c r="Q707" s="166"/>
      <c r="R707" s="151"/>
    </row>
    <row r="708" spans="1:18">
      <c r="A708" s="101" t="s">
        <v>38</v>
      </c>
      <c r="B708" s="101" t="s">
        <v>38</v>
      </c>
      <c r="C708" s="85" t="s">
        <v>2953</v>
      </c>
      <c r="D708" s="161" t="s">
        <v>2953</v>
      </c>
      <c r="E708" s="161" t="s">
        <v>1689</v>
      </c>
      <c r="F708" s="161" t="s">
        <v>2684</v>
      </c>
      <c r="G708" s="163">
        <f t="shared" si="56"/>
        <v>42.023</v>
      </c>
      <c r="H708" s="163">
        <v>0</v>
      </c>
      <c r="I708" s="173" t="s">
        <v>147</v>
      </c>
      <c r="J708" s="173" t="s">
        <v>147</v>
      </c>
      <c r="K708" s="173" t="s">
        <v>147</v>
      </c>
      <c r="L708" s="163" t="s">
        <v>1916</v>
      </c>
      <c r="M708" s="161" t="s">
        <v>2950</v>
      </c>
      <c r="N708" s="161" t="s">
        <v>1331</v>
      </c>
      <c r="O708" s="161" t="s">
        <v>14</v>
      </c>
      <c r="P708" s="49" t="s">
        <v>14</v>
      </c>
      <c r="Q708" s="166" t="s">
        <v>2954</v>
      </c>
      <c r="R708" s="151"/>
    </row>
    <row r="709" spans="1:18">
      <c r="A709" s="101" t="s">
        <v>38</v>
      </c>
      <c r="B709" s="101" t="s">
        <v>38</v>
      </c>
      <c r="C709" s="85" t="s">
        <v>2955</v>
      </c>
      <c r="D709" s="161" t="s">
        <v>1305</v>
      </c>
      <c r="E709" s="161" t="s">
        <v>1689</v>
      </c>
      <c r="F709" s="161" t="s">
        <v>2684</v>
      </c>
      <c r="G709" s="163">
        <f t="shared" si="56"/>
        <v>56.2264</v>
      </c>
      <c r="H709" s="163">
        <v>14.2034</v>
      </c>
      <c r="I709" s="176">
        <v>25</v>
      </c>
      <c r="J709" s="176">
        <f t="shared" si="55"/>
        <v>10889.320678</v>
      </c>
      <c r="K709" s="176">
        <f>K707+J709</f>
        <v>43107.094088</v>
      </c>
      <c r="L709" s="163"/>
      <c r="M709" s="161" t="s">
        <v>2950</v>
      </c>
      <c r="N709" s="161" t="s">
        <v>1299</v>
      </c>
      <c r="O709" s="161" t="s">
        <v>25</v>
      </c>
      <c r="P709" s="49" t="s">
        <v>25</v>
      </c>
      <c r="Q709" s="166" t="s">
        <v>2956</v>
      </c>
      <c r="R709" s="151"/>
    </row>
    <row r="710" spans="1:18">
      <c r="A710" s="101" t="s">
        <v>38</v>
      </c>
      <c r="B710" s="101" t="s">
        <v>38</v>
      </c>
      <c r="C710" s="85" t="s">
        <v>2957</v>
      </c>
      <c r="D710" s="161" t="s">
        <v>1307</v>
      </c>
      <c r="E710" s="161" t="s">
        <v>1689</v>
      </c>
      <c r="F710" s="161" t="s">
        <v>2958</v>
      </c>
      <c r="G710" s="163">
        <f t="shared" si="56"/>
        <v>79.6089</v>
      </c>
      <c r="H710" s="163">
        <v>23.3825</v>
      </c>
      <c r="I710" s="176">
        <v>33</v>
      </c>
      <c r="J710" s="176">
        <f t="shared" si="55"/>
        <v>17926.661275</v>
      </c>
      <c r="K710" s="176">
        <f>K709+J710</f>
        <v>61033.755363</v>
      </c>
      <c r="L710" s="163"/>
      <c r="M710" s="161" t="s">
        <v>2950</v>
      </c>
      <c r="N710" s="161" t="s">
        <v>1299</v>
      </c>
      <c r="O710" s="161" t="s">
        <v>25</v>
      </c>
      <c r="P710" s="49" t="s">
        <v>25</v>
      </c>
      <c r="Q710" s="166" t="s">
        <v>2959</v>
      </c>
      <c r="R710" s="151"/>
    </row>
    <row r="711" spans="1:18">
      <c r="A711" s="101" t="s">
        <v>38</v>
      </c>
      <c r="B711" s="101" t="s">
        <v>38</v>
      </c>
      <c r="C711" s="85" t="s">
        <v>2960</v>
      </c>
      <c r="D711" s="161" t="s">
        <v>2252</v>
      </c>
      <c r="E711" s="161" t="s">
        <v>1689</v>
      </c>
      <c r="F711" s="161" t="s">
        <v>2958</v>
      </c>
      <c r="G711" s="163">
        <f t="shared" si="56"/>
        <v>99.8995</v>
      </c>
      <c r="H711" s="163">
        <v>20.2906</v>
      </c>
      <c r="I711" s="176">
        <v>33</v>
      </c>
      <c r="J711" s="176">
        <f t="shared" si="55"/>
        <v>15556.194302</v>
      </c>
      <c r="K711" s="176">
        <f t="shared" ref="K711:K719" si="57">K710+J711</f>
        <v>76589.949665</v>
      </c>
      <c r="L711" s="163"/>
      <c r="M711" s="161" t="s">
        <v>2950</v>
      </c>
      <c r="N711" s="161" t="s">
        <v>1901</v>
      </c>
      <c r="O711" s="161" t="s">
        <v>26</v>
      </c>
      <c r="P711" s="49" t="s">
        <v>26</v>
      </c>
      <c r="Q711" s="166" t="s">
        <v>2961</v>
      </c>
      <c r="R711" s="151"/>
    </row>
    <row r="712" spans="1:18">
      <c r="A712" s="101" t="s">
        <v>38</v>
      </c>
      <c r="B712" s="101" t="s">
        <v>38</v>
      </c>
      <c r="C712" s="85" t="s">
        <v>2962</v>
      </c>
      <c r="D712" s="161" t="s">
        <v>2258</v>
      </c>
      <c r="E712" s="161" t="s">
        <v>1689</v>
      </c>
      <c r="F712" s="161" t="s">
        <v>2958</v>
      </c>
      <c r="G712" s="163">
        <f t="shared" si="56"/>
        <v>117.4847</v>
      </c>
      <c r="H712" s="163">
        <v>17.5852</v>
      </c>
      <c r="I712" s="176">
        <v>50</v>
      </c>
      <c r="J712" s="176">
        <f t="shared" si="55"/>
        <v>13482.045284</v>
      </c>
      <c r="K712" s="176">
        <f t="shared" si="57"/>
        <v>90071.994949</v>
      </c>
      <c r="L712" s="163"/>
      <c r="M712" s="161" t="s">
        <v>2950</v>
      </c>
      <c r="N712" s="161" t="s">
        <v>1901</v>
      </c>
      <c r="O712" s="161" t="s">
        <v>26</v>
      </c>
      <c r="P712" s="49" t="s">
        <v>26</v>
      </c>
      <c r="Q712" s="166" t="s">
        <v>2963</v>
      </c>
      <c r="R712" s="151"/>
    </row>
    <row r="713" spans="1:18">
      <c r="A713" s="101" t="s">
        <v>38</v>
      </c>
      <c r="B713" s="101" t="s">
        <v>38</v>
      </c>
      <c r="C713" s="85" t="s">
        <v>2964</v>
      </c>
      <c r="D713" s="161" t="s">
        <v>2261</v>
      </c>
      <c r="E713" s="161" t="s">
        <v>1689</v>
      </c>
      <c r="F713" s="161" t="s">
        <v>2958</v>
      </c>
      <c r="G713" s="163">
        <f t="shared" si="56"/>
        <v>135.6496</v>
      </c>
      <c r="H713" s="163">
        <v>18.1649</v>
      </c>
      <c r="I713" s="176">
        <v>42</v>
      </c>
      <c r="J713" s="176">
        <f t="shared" si="55"/>
        <v>13926.483883</v>
      </c>
      <c r="K713" s="176">
        <f t="shared" si="57"/>
        <v>103998.478832</v>
      </c>
      <c r="L713" s="163"/>
      <c r="M713" s="161" t="s">
        <v>2950</v>
      </c>
      <c r="N713" s="161" t="s">
        <v>1901</v>
      </c>
      <c r="O713" s="161" t="s">
        <v>26</v>
      </c>
      <c r="P713" s="49" t="s">
        <v>26</v>
      </c>
      <c r="Q713" s="166" t="s">
        <v>2965</v>
      </c>
      <c r="R713" s="151"/>
    </row>
    <row r="714" spans="1:18">
      <c r="A714" s="101" t="s">
        <v>38</v>
      </c>
      <c r="B714" s="101" t="s">
        <v>38</v>
      </c>
      <c r="C714" s="85" t="s">
        <v>2966</v>
      </c>
      <c r="D714" s="161" t="s">
        <v>2966</v>
      </c>
      <c r="E714" s="161" t="s">
        <v>1689</v>
      </c>
      <c r="F714" s="161" t="s">
        <v>2958</v>
      </c>
      <c r="G714" s="163">
        <f t="shared" si="56"/>
        <v>139.128</v>
      </c>
      <c r="H714" s="163">
        <v>3.47839999999999</v>
      </c>
      <c r="I714" s="176">
        <v>42</v>
      </c>
      <c r="J714" s="176">
        <f t="shared" si="55"/>
        <v>2666.78492799999</v>
      </c>
      <c r="K714" s="176">
        <f t="shared" si="57"/>
        <v>106665.26376</v>
      </c>
      <c r="L714" s="163"/>
      <c r="M714" s="161" t="s">
        <v>2950</v>
      </c>
      <c r="N714" s="161" t="s">
        <v>1331</v>
      </c>
      <c r="O714" s="161" t="s">
        <v>6</v>
      </c>
      <c r="P714" s="49" t="s">
        <v>6</v>
      </c>
      <c r="Q714" s="166" t="s">
        <v>2967</v>
      </c>
      <c r="R714" s="151"/>
    </row>
    <row r="715" spans="1:18">
      <c r="A715" s="101" t="s">
        <v>38</v>
      </c>
      <c r="B715" s="101" t="s">
        <v>38</v>
      </c>
      <c r="C715" s="85" t="s">
        <v>2968</v>
      </c>
      <c r="D715" s="161" t="s">
        <v>2968</v>
      </c>
      <c r="E715" s="161" t="s">
        <v>1689</v>
      </c>
      <c r="F715" s="161" t="s">
        <v>2958</v>
      </c>
      <c r="G715" s="163">
        <f t="shared" si="56"/>
        <v>158.078</v>
      </c>
      <c r="H715" s="163">
        <v>18.95</v>
      </c>
      <c r="I715" s="176">
        <v>41</v>
      </c>
      <c r="J715" s="176">
        <f t="shared" si="55"/>
        <v>14528.3965</v>
      </c>
      <c r="K715" s="176">
        <f t="shared" si="57"/>
        <v>121193.66026</v>
      </c>
      <c r="L715" s="163"/>
      <c r="M715" s="161" t="s">
        <v>2950</v>
      </c>
      <c r="N715" s="161" t="s">
        <v>1331</v>
      </c>
      <c r="O715" s="161" t="s">
        <v>14</v>
      </c>
      <c r="P715" s="49" t="s">
        <v>14</v>
      </c>
      <c r="Q715" s="166" t="s">
        <v>2969</v>
      </c>
      <c r="R715" s="151"/>
    </row>
    <row r="716" spans="1:18">
      <c r="A716" s="101" t="s">
        <v>38</v>
      </c>
      <c r="B716" s="101" t="s">
        <v>38</v>
      </c>
      <c r="C716" s="85" t="s">
        <v>2970</v>
      </c>
      <c r="D716" s="161" t="s">
        <v>1324</v>
      </c>
      <c r="E716" s="161" t="s">
        <v>1689</v>
      </c>
      <c r="F716" s="161" t="s">
        <v>2958</v>
      </c>
      <c r="G716" s="163">
        <f t="shared" si="56"/>
        <v>178.0423</v>
      </c>
      <c r="H716" s="163">
        <v>19.9643</v>
      </c>
      <c r="I716" s="176">
        <v>45</v>
      </c>
      <c r="J716" s="176">
        <f t="shared" si="55"/>
        <v>15306.029881</v>
      </c>
      <c r="K716" s="176">
        <f t="shared" si="57"/>
        <v>136499.690141</v>
      </c>
      <c r="L716" s="163"/>
      <c r="M716" s="161" t="s">
        <v>2950</v>
      </c>
      <c r="N716" s="161" t="s">
        <v>1299</v>
      </c>
      <c r="O716" s="161" t="s">
        <v>25</v>
      </c>
      <c r="P716" s="49" t="s">
        <v>25</v>
      </c>
      <c r="Q716" s="166" t="s">
        <v>2971</v>
      </c>
      <c r="R716" s="151"/>
    </row>
    <row r="717" spans="1:18">
      <c r="A717" s="101" t="s">
        <v>38</v>
      </c>
      <c r="B717" s="101" t="s">
        <v>38</v>
      </c>
      <c r="C717" s="85" t="s">
        <v>2972</v>
      </c>
      <c r="D717" s="161" t="s">
        <v>2266</v>
      </c>
      <c r="E717" s="161" t="s">
        <v>1689</v>
      </c>
      <c r="F717" s="161" t="s">
        <v>2958</v>
      </c>
      <c r="G717" s="163">
        <f t="shared" si="56"/>
        <v>194.9428</v>
      </c>
      <c r="H717" s="163">
        <v>16.9005</v>
      </c>
      <c r="I717" s="176">
        <v>46</v>
      </c>
      <c r="J717" s="176">
        <f t="shared" si="55"/>
        <v>12957.106335</v>
      </c>
      <c r="K717" s="176">
        <f t="shared" si="57"/>
        <v>149456.796476</v>
      </c>
      <c r="L717" s="163"/>
      <c r="M717" s="161" t="s">
        <v>2950</v>
      </c>
      <c r="N717" s="161" t="s">
        <v>1901</v>
      </c>
      <c r="O717" s="161" t="s">
        <v>26</v>
      </c>
      <c r="P717" s="49" t="s">
        <v>26</v>
      </c>
      <c r="Q717" s="166" t="s">
        <v>2973</v>
      </c>
      <c r="R717" s="151"/>
    </row>
    <row r="718" spans="1:18">
      <c r="A718" s="101" t="s">
        <v>38</v>
      </c>
      <c r="B718" s="101" t="s">
        <v>38</v>
      </c>
      <c r="C718" s="85" t="s">
        <v>2974</v>
      </c>
      <c r="D718" s="161" t="s">
        <v>2270</v>
      </c>
      <c r="E718" s="161" t="s">
        <v>1689</v>
      </c>
      <c r="F718" s="161" t="s">
        <v>2958</v>
      </c>
      <c r="G718" s="163">
        <f t="shared" si="56"/>
        <v>218.564</v>
      </c>
      <c r="H718" s="163">
        <v>23.6212</v>
      </c>
      <c r="I718" s="176">
        <v>53</v>
      </c>
      <c r="J718" s="176">
        <f t="shared" si="55"/>
        <v>18109.665404</v>
      </c>
      <c r="K718" s="176">
        <f t="shared" si="57"/>
        <v>167566.46188</v>
      </c>
      <c r="L718" s="163"/>
      <c r="M718" s="161" t="s">
        <v>2950</v>
      </c>
      <c r="N718" s="161" t="s">
        <v>1901</v>
      </c>
      <c r="O718" s="161" t="s">
        <v>26</v>
      </c>
      <c r="P718" s="49" t="s">
        <v>26</v>
      </c>
      <c r="Q718" s="166" t="s">
        <v>2975</v>
      </c>
      <c r="R718" s="151"/>
    </row>
    <row r="719" spans="1:18">
      <c r="A719" s="101" t="s">
        <v>38</v>
      </c>
      <c r="B719" s="101" t="s">
        <v>38</v>
      </c>
      <c r="C719" s="85" t="s">
        <v>2976</v>
      </c>
      <c r="D719" s="161" t="s">
        <v>1338</v>
      </c>
      <c r="E719" s="161" t="s">
        <v>1689</v>
      </c>
      <c r="F719" s="161" t="s">
        <v>2958</v>
      </c>
      <c r="G719" s="163">
        <f t="shared" si="56"/>
        <v>236.354</v>
      </c>
      <c r="H719" s="163">
        <v>17.79</v>
      </c>
      <c r="I719" s="176">
        <v>60</v>
      </c>
      <c r="J719" s="176">
        <f t="shared" si="55"/>
        <v>13639.0593</v>
      </c>
      <c r="K719" s="176">
        <f t="shared" si="57"/>
        <v>181205.52118</v>
      </c>
      <c r="L719" s="163"/>
      <c r="M719" s="161" t="s">
        <v>2950</v>
      </c>
      <c r="N719" s="161" t="s">
        <v>1299</v>
      </c>
      <c r="O719" s="161" t="s">
        <v>26</v>
      </c>
      <c r="P719" s="49" t="s">
        <v>25</v>
      </c>
      <c r="Q719" s="166"/>
      <c r="R719" s="151"/>
    </row>
    <row r="720" spans="1:18">
      <c r="A720" s="101" t="s">
        <v>38</v>
      </c>
      <c r="B720" s="101" t="s">
        <v>38</v>
      </c>
      <c r="C720" s="85" t="s">
        <v>2977</v>
      </c>
      <c r="D720" s="161" t="s">
        <v>2977</v>
      </c>
      <c r="E720" s="161" t="s">
        <v>1689</v>
      </c>
      <c r="F720" s="161" t="s">
        <v>2958</v>
      </c>
      <c r="G720" s="163">
        <f t="shared" si="56"/>
        <v>236.354</v>
      </c>
      <c r="H720" s="163">
        <v>0</v>
      </c>
      <c r="I720" s="173" t="s">
        <v>147</v>
      </c>
      <c r="J720" s="173" t="s">
        <v>147</v>
      </c>
      <c r="K720" s="173" t="s">
        <v>147</v>
      </c>
      <c r="L720" s="163"/>
      <c r="M720" s="161" t="s">
        <v>2950</v>
      </c>
      <c r="N720" s="161" t="s">
        <v>1331</v>
      </c>
      <c r="O720" s="161" t="s">
        <v>14</v>
      </c>
      <c r="P720" s="49" t="s">
        <v>14</v>
      </c>
      <c r="Q720" s="166" t="s">
        <v>2978</v>
      </c>
      <c r="R720" s="151"/>
    </row>
    <row r="721" spans="1:18">
      <c r="A721" s="101" t="s">
        <v>38</v>
      </c>
      <c r="B721" s="101" t="s">
        <v>38</v>
      </c>
      <c r="C721" s="85" t="s">
        <v>2979</v>
      </c>
      <c r="D721" s="161" t="s">
        <v>2979</v>
      </c>
      <c r="E721" s="161" t="s">
        <v>1689</v>
      </c>
      <c r="F721" s="161" t="s">
        <v>2958</v>
      </c>
      <c r="G721" s="163">
        <f t="shared" si="56"/>
        <v>258.958</v>
      </c>
      <c r="H721" s="163">
        <v>22.604</v>
      </c>
      <c r="I721" s="173">
        <v>83</v>
      </c>
      <c r="J721" s="176">
        <f t="shared" ref="J721:J734" si="58">0.76667*H721*1000</f>
        <v>17329.80868</v>
      </c>
      <c r="K721" s="173">
        <f>K719+J721</f>
        <v>198535.32986</v>
      </c>
      <c r="L721" s="174"/>
      <c r="M721" s="161" t="s">
        <v>2950</v>
      </c>
      <c r="N721" s="161" t="s">
        <v>1331</v>
      </c>
      <c r="O721" s="161" t="s">
        <v>14</v>
      </c>
      <c r="P721" s="49" t="s">
        <v>14</v>
      </c>
      <c r="Q721" s="166" t="s">
        <v>2978</v>
      </c>
      <c r="R721" s="151"/>
    </row>
    <row r="722" spans="1:18">
      <c r="A722" s="101" t="s">
        <v>38</v>
      </c>
      <c r="B722" s="101" t="s">
        <v>38</v>
      </c>
      <c r="C722" s="85" t="s">
        <v>2980</v>
      </c>
      <c r="D722" s="161" t="s">
        <v>2835</v>
      </c>
      <c r="E722" s="161" t="s">
        <v>1689</v>
      </c>
      <c r="F722" s="161" t="s">
        <v>2958</v>
      </c>
      <c r="G722" s="163">
        <f t="shared" si="56"/>
        <v>273.1671</v>
      </c>
      <c r="H722" s="163">
        <v>14.2091</v>
      </c>
      <c r="I722" s="176">
        <v>78</v>
      </c>
      <c r="J722" s="176">
        <f t="shared" si="58"/>
        <v>10893.690697</v>
      </c>
      <c r="K722" s="176">
        <f>K721+J722</f>
        <v>209429.020557</v>
      </c>
      <c r="L722" s="163"/>
      <c r="M722" s="161" t="s">
        <v>2950</v>
      </c>
      <c r="N722" s="161" t="s">
        <v>1901</v>
      </c>
      <c r="O722" s="161" t="s">
        <v>26</v>
      </c>
      <c r="P722" s="49" t="s">
        <v>26</v>
      </c>
      <c r="Q722" s="166" t="s">
        <v>2981</v>
      </c>
      <c r="R722" s="151"/>
    </row>
    <row r="723" spans="1:18">
      <c r="A723" s="101" t="s">
        <v>38</v>
      </c>
      <c r="B723" s="101" t="s">
        <v>38</v>
      </c>
      <c r="C723" s="85" t="s">
        <v>2982</v>
      </c>
      <c r="D723" s="161" t="s">
        <v>2280</v>
      </c>
      <c r="E723" s="161" t="s">
        <v>1689</v>
      </c>
      <c r="F723" s="161" t="s">
        <v>2958</v>
      </c>
      <c r="G723" s="163">
        <f t="shared" si="56"/>
        <v>287.5735</v>
      </c>
      <c r="H723" s="163">
        <v>14.4064</v>
      </c>
      <c r="I723" s="176">
        <v>102</v>
      </c>
      <c r="J723" s="176">
        <f t="shared" si="58"/>
        <v>11044.954688</v>
      </c>
      <c r="K723" s="176">
        <f t="shared" ref="K723:K734" si="59">K722+J723</f>
        <v>220473.975245</v>
      </c>
      <c r="L723" s="163"/>
      <c r="M723" s="161" t="s">
        <v>2950</v>
      </c>
      <c r="N723" s="161" t="s">
        <v>1901</v>
      </c>
      <c r="O723" s="161" t="s">
        <v>26</v>
      </c>
      <c r="P723" s="49" t="s">
        <v>26</v>
      </c>
      <c r="Q723" s="166" t="s">
        <v>2983</v>
      </c>
      <c r="R723" s="151"/>
    </row>
    <row r="724" spans="1:18">
      <c r="A724" s="101" t="s">
        <v>38</v>
      </c>
      <c r="B724" s="101" t="s">
        <v>38</v>
      </c>
      <c r="C724" s="85" t="s">
        <v>2984</v>
      </c>
      <c r="D724" s="161" t="s">
        <v>1349</v>
      </c>
      <c r="E724" s="161" t="s">
        <v>1689</v>
      </c>
      <c r="F724" s="161" t="s">
        <v>2958</v>
      </c>
      <c r="G724" s="163">
        <f t="shared" si="56"/>
        <v>303.5587</v>
      </c>
      <c r="H724" s="163">
        <v>15.9852</v>
      </c>
      <c r="I724" s="176">
        <v>114</v>
      </c>
      <c r="J724" s="176">
        <f t="shared" si="58"/>
        <v>12255.373284</v>
      </c>
      <c r="K724" s="176">
        <f t="shared" si="59"/>
        <v>232729.348529</v>
      </c>
      <c r="L724" s="163"/>
      <c r="M724" s="161" t="s">
        <v>2950</v>
      </c>
      <c r="N724" s="161" t="s">
        <v>1299</v>
      </c>
      <c r="O724" s="161" t="s">
        <v>26</v>
      </c>
      <c r="P724" s="49" t="s">
        <v>25</v>
      </c>
      <c r="Q724" s="166" t="s">
        <v>2985</v>
      </c>
      <c r="R724" s="151"/>
    </row>
    <row r="725" spans="1:18">
      <c r="A725" s="101" t="s">
        <v>38</v>
      </c>
      <c r="B725" s="101" t="s">
        <v>38</v>
      </c>
      <c r="C725" s="85" t="s">
        <v>2986</v>
      </c>
      <c r="D725" s="161" t="s">
        <v>2286</v>
      </c>
      <c r="E725" s="161" t="s">
        <v>1689</v>
      </c>
      <c r="F725" s="161" t="s">
        <v>2958</v>
      </c>
      <c r="G725" s="163">
        <f t="shared" si="56"/>
        <v>316.258</v>
      </c>
      <c r="H725" s="163">
        <v>12.6993</v>
      </c>
      <c r="I725" s="173">
        <v>115</v>
      </c>
      <c r="J725" s="176">
        <f t="shared" si="58"/>
        <v>9736.172331</v>
      </c>
      <c r="K725" s="176">
        <f t="shared" si="59"/>
        <v>242465.52086</v>
      </c>
      <c r="L725" s="174"/>
      <c r="M725" s="161" t="s">
        <v>2950</v>
      </c>
      <c r="N725" s="161" t="s">
        <v>1901</v>
      </c>
      <c r="O725" s="161" t="s">
        <v>26</v>
      </c>
      <c r="P725" s="49" t="s">
        <v>26</v>
      </c>
      <c r="Q725" s="166" t="s">
        <v>2987</v>
      </c>
      <c r="R725" s="151"/>
    </row>
    <row r="726" spans="1:18">
      <c r="A726" s="101" t="s">
        <v>38</v>
      </c>
      <c r="B726" s="101" t="s">
        <v>38</v>
      </c>
      <c r="C726" s="85" t="s">
        <v>2988</v>
      </c>
      <c r="D726" s="161" t="s">
        <v>2294</v>
      </c>
      <c r="E726" s="161" t="s">
        <v>1689</v>
      </c>
      <c r="F726" s="161" t="s">
        <v>2989</v>
      </c>
      <c r="G726" s="163">
        <f t="shared" si="56"/>
        <v>337.6627</v>
      </c>
      <c r="H726" s="163">
        <v>21.4047</v>
      </c>
      <c r="I726" s="176">
        <v>135</v>
      </c>
      <c r="J726" s="176">
        <f t="shared" si="58"/>
        <v>16410.341349</v>
      </c>
      <c r="K726" s="176">
        <f t="shared" si="59"/>
        <v>258875.862209</v>
      </c>
      <c r="L726" s="163"/>
      <c r="M726" s="161" t="s">
        <v>2950</v>
      </c>
      <c r="N726" s="161" t="s">
        <v>1901</v>
      </c>
      <c r="O726" s="161" t="s">
        <v>26</v>
      </c>
      <c r="P726" s="49" t="s">
        <v>26</v>
      </c>
      <c r="Q726" s="166" t="s">
        <v>2990</v>
      </c>
      <c r="R726" s="151"/>
    </row>
    <row r="727" spans="1:18">
      <c r="A727" s="101" t="s">
        <v>38</v>
      </c>
      <c r="B727" s="101" t="s">
        <v>38</v>
      </c>
      <c r="C727" s="85" t="s">
        <v>2991</v>
      </c>
      <c r="D727" s="161" t="s">
        <v>1356</v>
      </c>
      <c r="E727" s="161" t="s">
        <v>1689</v>
      </c>
      <c r="F727" s="161" t="s">
        <v>2989</v>
      </c>
      <c r="G727" s="163">
        <f t="shared" si="56"/>
        <v>356.936</v>
      </c>
      <c r="H727" s="163">
        <v>19.2733</v>
      </c>
      <c r="I727" s="176">
        <v>94</v>
      </c>
      <c r="J727" s="176">
        <f t="shared" si="58"/>
        <v>14776.260911</v>
      </c>
      <c r="K727" s="176">
        <f t="shared" si="59"/>
        <v>273652.12312</v>
      </c>
      <c r="L727" s="163"/>
      <c r="M727" s="161" t="s">
        <v>2950</v>
      </c>
      <c r="N727" s="161" t="s">
        <v>1299</v>
      </c>
      <c r="O727" s="161" t="s">
        <v>25</v>
      </c>
      <c r="P727" s="49" t="s">
        <v>25</v>
      </c>
      <c r="Q727" s="166" t="s">
        <v>2992</v>
      </c>
      <c r="R727" s="151"/>
    </row>
    <row r="728" spans="1:18">
      <c r="A728" s="101" t="s">
        <v>38</v>
      </c>
      <c r="B728" s="101" t="s">
        <v>38</v>
      </c>
      <c r="C728" s="85" t="s">
        <v>2993</v>
      </c>
      <c r="D728" s="161" t="s">
        <v>2994</v>
      </c>
      <c r="E728" s="161" t="s">
        <v>1689</v>
      </c>
      <c r="F728" s="161" t="s">
        <v>2989</v>
      </c>
      <c r="G728" s="163">
        <f t="shared" si="56"/>
        <v>381.3045</v>
      </c>
      <c r="H728" s="163">
        <v>24.3685</v>
      </c>
      <c r="I728" s="176">
        <v>80</v>
      </c>
      <c r="J728" s="176">
        <f t="shared" si="58"/>
        <v>18682.597895</v>
      </c>
      <c r="K728" s="176">
        <f t="shared" si="59"/>
        <v>292334.721015</v>
      </c>
      <c r="L728" s="163"/>
      <c r="M728" s="161" t="s">
        <v>2950</v>
      </c>
      <c r="N728" s="161" t="s">
        <v>1901</v>
      </c>
      <c r="O728" s="161" t="s">
        <v>26</v>
      </c>
      <c r="P728" s="49" t="s">
        <v>26</v>
      </c>
      <c r="Q728" s="166" t="s">
        <v>2995</v>
      </c>
      <c r="R728" s="151"/>
    </row>
    <row r="729" spans="1:18">
      <c r="A729" s="101" t="s">
        <v>38</v>
      </c>
      <c r="B729" s="101" t="s">
        <v>38</v>
      </c>
      <c r="C729" s="85" t="s">
        <v>2996</v>
      </c>
      <c r="D729" s="161" t="s">
        <v>2996</v>
      </c>
      <c r="E729" s="161" t="s">
        <v>1689</v>
      </c>
      <c r="F729" s="161" t="s">
        <v>2989</v>
      </c>
      <c r="G729" s="163">
        <f t="shared" si="56"/>
        <v>404.558</v>
      </c>
      <c r="H729" s="163">
        <v>23.2535</v>
      </c>
      <c r="I729" s="176">
        <v>84</v>
      </c>
      <c r="J729" s="176">
        <f t="shared" si="58"/>
        <v>17827.760845</v>
      </c>
      <c r="K729" s="176">
        <f t="shared" si="59"/>
        <v>310162.48186</v>
      </c>
      <c r="L729" s="163"/>
      <c r="M729" s="161" t="s">
        <v>2950</v>
      </c>
      <c r="N729" s="161" t="s">
        <v>1331</v>
      </c>
      <c r="O729" s="161" t="s">
        <v>6</v>
      </c>
      <c r="P729" s="49" t="s">
        <v>6</v>
      </c>
      <c r="Q729" s="166" t="s">
        <v>2997</v>
      </c>
      <c r="R729" s="151"/>
    </row>
    <row r="730" spans="1:18">
      <c r="A730" s="101" t="s">
        <v>38</v>
      </c>
      <c r="B730" s="101" t="s">
        <v>38</v>
      </c>
      <c r="C730" s="85" t="s">
        <v>2998</v>
      </c>
      <c r="D730" s="161" t="s">
        <v>2999</v>
      </c>
      <c r="E730" s="161" t="s">
        <v>1689</v>
      </c>
      <c r="F730" s="161" t="s">
        <v>2989</v>
      </c>
      <c r="G730" s="163">
        <f t="shared" si="56"/>
        <v>423.1684</v>
      </c>
      <c r="H730" s="163">
        <v>18.6104</v>
      </c>
      <c r="I730" s="176">
        <v>52</v>
      </c>
      <c r="J730" s="176">
        <f t="shared" si="58"/>
        <v>14268.035368</v>
      </c>
      <c r="K730" s="176">
        <f t="shared" si="59"/>
        <v>324430.517228</v>
      </c>
      <c r="L730" s="163"/>
      <c r="M730" s="161" t="s">
        <v>2950</v>
      </c>
      <c r="N730" s="161" t="s">
        <v>1901</v>
      </c>
      <c r="O730" s="161" t="s">
        <v>26</v>
      </c>
      <c r="P730" s="49" t="s">
        <v>26</v>
      </c>
      <c r="Q730" s="166" t="s">
        <v>3000</v>
      </c>
      <c r="R730" s="151"/>
    </row>
    <row r="731" spans="1:18">
      <c r="A731" s="101" t="s">
        <v>38</v>
      </c>
      <c r="B731" s="101" t="s">
        <v>38</v>
      </c>
      <c r="C731" s="85" t="s">
        <v>3001</v>
      </c>
      <c r="D731" s="161" t="s">
        <v>1363</v>
      </c>
      <c r="E731" s="161" t="s">
        <v>1689</v>
      </c>
      <c r="F731" s="161" t="s">
        <v>2989</v>
      </c>
      <c r="G731" s="163">
        <f t="shared" si="56"/>
        <v>440.1154</v>
      </c>
      <c r="H731" s="163">
        <v>16.947</v>
      </c>
      <c r="I731" s="176">
        <v>69</v>
      </c>
      <c r="J731" s="176">
        <f t="shared" si="58"/>
        <v>12992.75649</v>
      </c>
      <c r="K731" s="176">
        <f t="shared" si="59"/>
        <v>337423.273718</v>
      </c>
      <c r="L731" s="163"/>
      <c r="M731" s="161" t="s">
        <v>2950</v>
      </c>
      <c r="N731" s="161" t="s">
        <v>1299</v>
      </c>
      <c r="O731" s="161" t="s">
        <v>25</v>
      </c>
      <c r="P731" s="49" t="s">
        <v>25</v>
      </c>
      <c r="Q731" s="166" t="s">
        <v>3002</v>
      </c>
      <c r="R731" s="151"/>
    </row>
    <row r="732" spans="1:18">
      <c r="A732" s="101" t="s">
        <v>38</v>
      </c>
      <c r="B732" s="101" t="s">
        <v>38</v>
      </c>
      <c r="C732" s="85" t="s">
        <v>3003</v>
      </c>
      <c r="D732" s="161" t="s">
        <v>2314</v>
      </c>
      <c r="E732" s="161" t="s">
        <v>1689</v>
      </c>
      <c r="F732" s="161" t="s">
        <v>2989</v>
      </c>
      <c r="G732" s="163">
        <f t="shared" si="56"/>
        <v>456.996</v>
      </c>
      <c r="H732" s="163">
        <v>16.8806</v>
      </c>
      <c r="I732" s="176">
        <v>38</v>
      </c>
      <c r="J732" s="176">
        <f t="shared" si="58"/>
        <v>12941.849602</v>
      </c>
      <c r="K732" s="176">
        <f t="shared" si="59"/>
        <v>350365.12332</v>
      </c>
      <c r="L732" s="163"/>
      <c r="M732" s="161" t="s">
        <v>2950</v>
      </c>
      <c r="N732" s="161" t="s">
        <v>1901</v>
      </c>
      <c r="O732" s="161" t="s">
        <v>26</v>
      </c>
      <c r="P732" s="49" t="s">
        <v>26</v>
      </c>
      <c r="Q732" s="166" t="s">
        <v>3004</v>
      </c>
      <c r="R732" s="151"/>
    </row>
    <row r="733" spans="1:18">
      <c r="A733" s="101" t="s">
        <v>38</v>
      </c>
      <c r="B733" s="101" t="s">
        <v>38</v>
      </c>
      <c r="C733" s="85" t="s">
        <v>3005</v>
      </c>
      <c r="D733" s="161" t="s">
        <v>2317</v>
      </c>
      <c r="E733" s="161" t="s">
        <v>1689</v>
      </c>
      <c r="F733" s="161" t="s">
        <v>3006</v>
      </c>
      <c r="G733" s="163">
        <f t="shared" si="56"/>
        <v>471.8026</v>
      </c>
      <c r="H733" s="163">
        <v>14.8066</v>
      </c>
      <c r="I733" s="176">
        <v>32</v>
      </c>
      <c r="J733" s="176">
        <f t="shared" si="58"/>
        <v>11351.776022</v>
      </c>
      <c r="K733" s="176">
        <f t="shared" si="59"/>
        <v>361716.899342</v>
      </c>
      <c r="L733" s="163"/>
      <c r="M733" s="161" t="s">
        <v>2950</v>
      </c>
      <c r="N733" s="161" t="s">
        <v>1901</v>
      </c>
      <c r="O733" s="161" t="s">
        <v>26</v>
      </c>
      <c r="P733" s="49" t="s">
        <v>26</v>
      </c>
      <c r="Q733" s="166" t="s">
        <v>3007</v>
      </c>
      <c r="R733" s="151"/>
    </row>
    <row r="734" spans="1:18">
      <c r="A734" s="101" t="s">
        <v>38</v>
      </c>
      <c r="B734" s="101" t="s">
        <v>38</v>
      </c>
      <c r="C734" s="85" t="s">
        <v>3008</v>
      </c>
      <c r="D734" s="161" t="s">
        <v>1370</v>
      </c>
      <c r="E734" s="161" t="s">
        <v>1689</v>
      </c>
      <c r="F734" s="161" t="s">
        <v>3006</v>
      </c>
      <c r="G734" s="163">
        <f t="shared" si="56"/>
        <v>483.9731</v>
      </c>
      <c r="H734" s="163">
        <v>12.1705</v>
      </c>
      <c r="I734" s="176">
        <v>30</v>
      </c>
      <c r="J734" s="176">
        <f t="shared" si="58"/>
        <v>9330.757235</v>
      </c>
      <c r="K734" s="176">
        <f t="shared" si="59"/>
        <v>371047.656577</v>
      </c>
      <c r="L734" s="163"/>
      <c r="M734" s="161" t="s">
        <v>2950</v>
      </c>
      <c r="N734" s="161" t="s">
        <v>1299</v>
      </c>
      <c r="O734" s="161" t="s">
        <v>25</v>
      </c>
      <c r="P734" s="49" t="s">
        <v>25</v>
      </c>
      <c r="Q734" s="166" t="s">
        <v>3009</v>
      </c>
      <c r="R734" s="151"/>
    </row>
    <row r="735" spans="1:18">
      <c r="A735" s="101" t="s">
        <v>38</v>
      </c>
      <c r="B735" s="101" t="s">
        <v>38</v>
      </c>
      <c r="C735" s="85" t="s">
        <v>3010</v>
      </c>
      <c r="D735" s="162" t="s">
        <v>3010</v>
      </c>
      <c r="E735" s="161" t="s">
        <v>1689</v>
      </c>
      <c r="F735" s="161"/>
      <c r="G735" s="163">
        <f t="shared" si="56"/>
        <v>488.6731</v>
      </c>
      <c r="H735" s="163">
        <v>4.7</v>
      </c>
      <c r="I735" s="176"/>
      <c r="J735" s="176"/>
      <c r="K735" s="176"/>
      <c r="L735" s="163"/>
      <c r="M735" s="161"/>
      <c r="N735" s="161"/>
      <c r="O735" s="161"/>
      <c r="P735" s="49" t="s">
        <v>14</v>
      </c>
      <c r="Q735" s="166"/>
      <c r="R735" s="151"/>
    </row>
    <row r="736" spans="1:18">
      <c r="A736" s="101" t="s">
        <v>38</v>
      </c>
      <c r="B736" s="101" t="s">
        <v>38</v>
      </c>
      <c r="C736" s="85" t="s">
        <v>3011</v>
      </c>
      <c r="D736" s="161" t="s">
        <v>3012</v>
      </c>
      <c r="E736" s="161" t="s">
        <v>1689</v>
      </c>
      <c r="F736" s="161" t="s">
        <v>3006</v>
      </c>
      <c r="G736" s="163">
        <f t="shared" si="56"/>
        <v>492.9731</v>
      </c>
      <c r="H736" s="163">
        <v>4.3</v>
      </c>
      <c r="I736" s="176"/>
      <c r="J736" s="176">
        <f t="shared" ref="J736:J760" si="60">0.76667*H736*1000</f>
        <v>3296.681</v>
      </c>
      <c r="K736" s="176">
        <f>K734+J736</f>
        <v>374344.337577</v>
      </c>
      <c r="L736" s="163"/>
      <c r="M736" s="161" t="s">
        <v>2950</v>
      </c>
      <c r="N736" s="161"/>
      <c r="O736" s="161" t="s">
        <v>26</v>
      </c>
      <c r="P736" s="49" t="s">
        <v>26</v>
      </c>
      <c r="Q736" s="166"/>
      <c r="R736" s="151"/>
    </row>
    <row r="737" spans="1:18">
      <c r="A737" s="101" t="s">
        <v>38</v>
      </c>
      <c r="B737" s="101" t="s">
        <v>38</v>
      </c>
      <c r="C737" s="85" t="s">
        <v>3006</v>
      </c>
      <c r="D737" s="161" t="s">
        <v>3006</v>
      </c>
      <c r="E737" s="161" t="s">
        <v>1689</v>
      </c>
      <c r="F737" s="161" t="s">
        <v>3006</v>
      </c>
      <c r="G737" s="163">
        <f t="shared" si="56"/>
        <v>499.8287</v>
      </c>
      <c r="H737" s="163">
        <v>6.85559999999998</v>
      </c>
      <c r="I737" s="176">
        <v>70</v>
      </c>
      <c r="J737" s="176">
        <f t="shared" si="60"/>
        <v>5255.98285199998</v>
      </c>
      <c r="K737" s="176">
        <f t="shared" ref="K736:K744" si="61">K736+J737</f>
        <v>379600.320429</v>
      </c>
      <c r="L737" s="163"/>
      <c r="M737" s="161" t="s">
        <v>2950</v>
      </c>
      <c r="N737" s="161" t="s">
        <v>1331</v>
      </c>
      <c r="O737" s="161" t="s">
        <v>14</v>
      </c>
      <c r="P737" s="49" t="s">
        <v>14</v>
      </c>
      <c r="Q737" s="166" t="s">
        <v>3013</v>
      </c>
      <c r="R737" s="151"/>
    </row>
    <row r="738" spans="1:18">
      <c r="A738" s="101" t="s">
        <v>38</v>
      </c>
      <c r="B738" s="101" t="s">
        <v>38</v>
      </c>
      <c r="C738" s="85" t="s">
        <v>3014</v>
      </c>
      <c r="D738" s="161" t="s">
        <v>2323</v>
      </c>
      <c r="E738" s="161" t="s">
        <v>1689</v>
      </c>
      <c r="F738" s="161" t="s">
        <v>3006</v>
      </c>
      <c r="G738" s="163">
        <f t="shared" si="56"/>
        <v>513.4653</v>
      </c>
      <c r="H738" s="163">
        <v>13.6366</v>
      </c>
      <c r="I738" s="176">
        <v>60</v>
      </c>
      <c r="J738" s="176">
        <f t="shared" si="60"/>
        <v>10454.772122</v>
      </c>
      <c r="K738" s="176">
        <f t="shared" si="61"/>
        <v>390055.092551</v>
      </c>
      <c r="L738" s="163"/>
      <c r="M738" s="161" t="s">
        <v>2950</v>
      </c>
      <c r="N738" s="161" t="s">
        <v>1901</v>
      </c>
      <c r="O738" s="161" t="s">
        <v>26</v>
      </c>
      <c r="P738" s="49" t="s">
        <v>26</v>
      </c>
      <c r="Q738" s="166" t="s">
        <v>3015</v>
      </c>
      <c r="R738" s="151"/>
    </row>
    <row r="739" spans="1:18">
      <c r="A739" s="101" t="s">
        <v>38</v>
      </c>
      <c r="B739" s="101" t="s">
        <v>38</v>
      </c>
      <c r="C739" s="85" t="s">
        <v>3016</v>
      </c>
      <c r="D739" s="161" t="s">
        <v>2326</v>
      </c>
      <c r="E739" s="161" t="s">
        <v>1689</v>
      </c>
      <c r="F739" s="161" t="s">
        <v>3006</v>
      </c>
      <c r="G739" s="163">
        <f t="shared" ref="G739:G760" si="62">G738+H739</f>
        <v>521.3976</v>
      </c>
      <c r="H739" s="163">
        <v>7.93230000000005</v>
      </c>
      <c r="I739" s="176">
        <v>62</v>
      </c>
      <c r="J739" s="176">
        <f t="shared" si="60"/>
        <v>6081.45644100004</v>
      </c>
      <c r="K739" s="176">
        <f t="shared" si="61"/>
        <v>396136.548992</v>
      </c>
      <c r="L739" s="163"/>
      <c r="M739" s="161" t="s">
        <v>2950</v>
      </c>
      <c r="N739" s="161" t="s">
        <v>1901</v>
      </c>
      <c r="O739" s="161" t="s">
        <v>26</v>
      </c>
      <c r="P739" s="49" t="s">
        <v>26</v>
      </c>
      <c r="Q739" s="166" t="s">
        <v>3017</v>
      </c>
      <c r="R739" s="151"/>
    </row>
    <row r="740" spans="1:18">
      <c r="A740" s="101" t="s">
        <v>38</v>
      </c>
      <c r="B740" s="101" t="s">
        <v>38</v>
      </c>
      <c r="C740" s="85" t="s">
        <v>3018</v>
      </c>
      <c r="D740" s="161" t="s">
        <v>1376</v>
      </c>
      <c r="E740" s="161" t="s">
        <v>1689</v>
      </c>
      <c r="F740" s="161" t="s">
        <v>3006</v>
      </c>
      <c r="G740" s="163">
        <f t="shared" si="62"/>
        <v>532.1016</v>
      </c>
      <c r="H740" s="163">
        <v>10.704</v>
      </c>
      <c r="I740" s="176">
        <v>110</v>
      </c>
      <c r="J740" s="176">
        <f t="shared" si="60"/>
        <v>8206.43568</v>
      </c>
      <c r="K740" s="176">
        <f t="shared" si="61"/>
        <v>404342.984672</v>
      </c>
      <c r="L740" s="163"/>
      <c r="M740" s="161" t="s">
        <v>2950</v>
      </c>
      <c r="N740" s="161" t="s">
        <v>1299</v>
      </c>
      <c r="O740" s="161" t="s">
        <v>25</v>
      </c>
      <c r="P740" s="49" t="s">
        <v>25</v>
      </c>
      <c r="Q740" s="166" t="s">
        <v>3019</v>
      </c>
      <c r="R740" s="151"/>
    </row>
    <row r="741" spans="1:18">
      <c r="A741" s="101" t="s">
        <v>38</v>
      </c>
      <c r="B741" s="101" t="s">
        <v>38</v>
      </c>
      <c r="C741" s="85" t="s">
        <v>3020</v>
      </c>
      <c r="D741" s="161" t="s">
        <v>1378</v>
      </c>
      <c r="E741" s="161" t="s">
        <v>1689</v>
      </c>
      <c r="F741" s="161" t="s">
        <v>3006</v>
      </c>
      <c r="G741" s="163">
        <f t="shared" si="62"/>
        <v>547.0448</v>
      </c>
      <c r="H741" s="163">
        <v>14.9432</v>
      </c>
      <c r="I741" s="173">
        <v>45</v>
      </c>
      <c r="J741" s="176">
        <f t="shared" si="60"/>
        <v>11456.503144</v>
      </c>
      <c r="K741" s="176">
        <f t="shared" si="61"/>
        <v>415799.487816</v>
      </c>
      <c r="L741" s="174"/>
      <c r="M741" s="161" t="s">
        <v>2950</v>
      </c>
      <c r="N741" s="161" t="s">
        <v>1299</v>
      </c>
      <c r="O741" s="161" t="s">
        <v>25</v>
      </c>
      <c r="P741" s="49" t="s">
        <v>25</v>
      </c>
      <c r="Q741" s="166" t="s">
        <v>3021</v>
      </c>
      <c r="R741" s="151"/>
    </row>
    <row r="742" spans="1:18">
      <c r="A742" s="101" t="s">
        <v>38</v>
      </c>
      <c r="B742" s="101" t="s">
        <v>38</v>
      </c>
      <c r="C742" s="85" t="s">
        <v>3022</v>
      </c>
      <c r="D742" s="161" t="s">
        <v>3023</v>
      </c>
      <c r="E742" s="161" t="s">
        <v>1689</v>
      </c>
      <c r="F742" s="161" t="s">
        <v>3024</v>
      </c>
      <c r="G742" s="163">
        <f t="shared" si="62"/>
        <v>564.5504</v>
      </c>
      <c r="H742" s="163">
        <v>17.5056</v>
      </c>
      <c r="I742" s="176">
        <v>41</v>
      </c>
      <c r="J742" s="176">
        <f t="shared" si="60"/>
        <v>13421.018352</v>
      </c>
      <c r="K742" s="176">
        <f t="shared" si="61"/>
        <v>429220.506168</v>
      </c>
      <c r="L742" s="163"/>
      <c r="M742" s="161" t="s">
        <v>2950</v>
      </c>
      <c r="N742" s="161" t="s">
        <v>1901</v>
      </c>
      <c r="O742" s="161" t="s">
        <v>26</v>
      </c>
      <c r="P742" s="49" t="s">
        <v>26</v>
      </c>
      <c r="Q742" s="166" t="s">
        <v>3025</v>
      </c>
      <c r="R742" s="151"/>
    </row>
    <row r="743" spans="1:18">
      <c r="A743" s="101" t="s">
        <v>38</v>
      </c>
      <c r="B743" s="101" t="s">
        <v>38</v>
      </c>
      <c r="C743" s="85" t="s">
        <v>3026</v>
      </c>
      <c r="D743" s="161" t="s">
        <v>2341</v>
      </c>
      <c r="E743" s="161" t="s">
        <v>1689</v>
      </c>
      <c r="F743" s="161" t="s">
        <v>3024</v>
      </c>
      <c r="G743" s="163">
        <f t="shared" si="62"/>
        <v>580.4452</v>
      </c>
      <c r="H743" s="163">
        <v>15.8948</v>
      </c>
      <c r="I743" s="176">
        <v>30</v>
      </c>
      <c r="J743" s="176">
        <f t="shared" si="60"/>
        <v>12186.066316</v>
      </c>
      <c r="K743" s="176">
        <f t="shared" si="61"/>
        <v>441406.572484</v>
      </c>
      <c r="L743" s="163"/>
      <c r="M743" s="161" t="s">
        <v>2950</v>
      </c>
      <c r="N743" s="161" t="s">
        <v>1901</v>
      </c>
      <c r="O743" s="161" t="s">
        <v>26</v>
      </c>
      <c r="P743" s="49" t="s">
        <v>26</v>
      </c>
      <c r="Q743" s="166" t="s">
        <v>3027</v>
      </c>
      <c r="R743" s="151"/>
    </row>
    <row r="744" spans="1:18">
      <c r="A744" s="101" t="s">
        <v>38</v>
      </c>
      <c r="B744" s="101" t="s">
        <v>38</v>
      </c>
      <c r="C744" s="85" t="s">
        <v>3024</v>
      </c>
      <c r="D744" s="161" t="s">
        <v>3024</v>
      </c>
      <c r="E744" s="161" t="s">
        <v>1689</v>
      </c>
      <c r="F744" s="161" t="s">
        <v>3024</v>
      </c>
      <c r="G744" s="163">
        <f t="shared" si="62"/>
        <v>589.4338</v>
      </c>
      <c r="H744" s="163">
        <v>8.98860000000002</v>
      </c>
      <c r="I744" s="176">
        <v>43</v>
      </c>
      <c r="J744" s="176">
        <f t="shared" si="60"/>
        <v>6891.28996200001</v>
      </c>
      <c r="K744" s="176">
        <f t="shared" si="61"/>
        <v>448297.862446</v>
      </c>
      <c r="L744" s="163"/>
      <c r="M744" s="161" t="s">
        <v>2950</v>
      </c>
      <c r="N744" s="161" t="s">
        <v>1331</v>
      </c>
      <c r="O744" s="161" t="s">
        <v>14</v>
      </c>
      <c r="P744" s="49" t="s">
        <v>14</v>
      </c>
      <c r="Q744" s="166" t="s">
        <v>3028</v>
      </c>
      <c r="R744" s="151"/>
    </row>
    <row r="745" spans="1:18">
      <c r="A745" s="101" t="s">
        <v>38</v>
      </c>
      <c r="B745" s="101" t="s">
        <v>38</v>
      </c>
      <c r="C745" s="85" t="s">
        <v>3029</v>
      </c>
      <c r="D745" s="161" t="s">
        <v>2344</v>
      </c>
      <c r="E745" s="161" t="s">
        <v>1689</v>
      </c>
      <c r="F745" s="161" t="s">
        <v>3024</v>
      </c>
      <c r="G745" s="163">
        <f t="shared" si="62"/>
        <v>600.2795</v>
      </c>
      <c r="H745" s="163">
        <v>10.8457</v>
      </c>
      <c r="I745" s="173">
        <v>96</v>
      </c>
      <c r="J745" s="176">
        <f t="shared" si="60"/>
        <v>8315.072819</v>
      </c>
      <c r="K745" s="176">
        <f t="shared" ref="K745:K760" si="63">K744+J745</f>
        <v>456612.935265</v>
      </c>
      <c r="L745" s="174"/>
      <c r="M745" s="161" t="s">
        <v>2950</v>
      </c>
      <c r="N745" s="161" t="s">
        <v>1901</v>
      </c>
      <c r="O745" s="161" t="s">
        <v>26</v>
      </c>
      <c r="P745" s="49" t="s">
        <v>26</v>
      </c>
      <c r="Q745" s="166" t="s">
        <v>3030</v>
      </c>
      <c r="R745" s="151"/>
    </row>
    <row r="746" spans="1:18">
      <c r="A746" s="101" t="s">
        <v>38</v>
      </c>
      <c r="B746" s="101" t="s">
        <v>38</v>
      </c>
      <c r="C746" s="85" t="s">
        <v>3031</v>
      </c>
      <c r="D746" s="161" t="s">
        <v>2351</v>
      </c>
      <c r="E746" s="161" t="s">
        <v>1689</v>
      </c>
      <c r="F746" s="161" t="s">
        <v>3024</v>
      </c>
      <c r="G746" s="163">
        <f t="shared" si="62"/>
        <v>612.6623</v>
      </c>
      <c r="H746" s="163">
        <v>12.3828</v>
      </c>
      <c r="I746" s="176">
        <v>18</v>
      </c>
      <c r="J746" s="176">
        <f t="shared" si="60"/>
        <v>9493.521276</v>
      </c>
      <c r="K746" s="176">
        <f t="shared" si="63"/>
        <v>466106.456541</v>
      </c>
      <c r="L746" s="163"/>
      <c r="M746" s="161" t="s">
        <v>2950</v>
      </c>
      <c r="N746" s="161" t="s">
        <v>1901</v>
      </c>
      <c r="O746" s="161" t="s">
        <v>26</v>
      </c>
      <c r="P746" s="49" t="s">
        <v>26</v>
      </c>
      <c r="Q746" s="166" t="s">
        <v>3032</v>
      </c>
      <c r="R746" s="151"/>
    </row>
    <row r="747" spans="1:18">
      <c r="A747" s="101" t="s">
        <v>38</v>
      </c>
      <c r="B747" s="101" t="s">
        <v>38</v>
      </c>
      <c r="C747" s="85" t="s">
        <v>3033</v>
      </c>
      <c r="D747" s="161" t="s">
        <v>2356</v>
      </c>
      <c r="E747" s="161" t="s">
        <v>1689</v>
      </c>
      <c r="F747" s="161" t="s">
        <v>3034</v>
      </c>
      <c r="G747" s="163">
        <f t="shared" si="62"/>
        <v>639.2319</v>
      </c>
      <c r="H747" s="163">
        <v>26.5696</v>
      </c>
      <c r="I747" s="176">
        <v>7</v>
      </c>
      <c r="J747" s="176">
        <f t="shared" si="60"/>
        <v>20370.115232</v>
      </c>
      <c r="K747" s="176">
        <f t="shared" si="63"/>
        <v>486476.571773</v>
      </c>
      <c r="L747" s="163"/>
      <c r="M747" s="161" t="s">
        <v>2950</v>
      </c>
      <c r="N747" s="161" t="s">
        <v>1901</v>
      </c>
      <c r="O747" s="161" t="s">
        <v>26</v>
      </c>
      <c r="P747" s="49" t="s">
        <v>26</v>
      </c>
      <c r="Q747" s="166" t="s">
        <v>3035</v>
      </c>
      <c r="R747" s="151"/>
    </row>
    <row r="748" spans="1:18">
      <c r="A748" s="101" t="s">
        <v>38</v>
      </c>
      <c r="B748" s="101" t="s">
        <v>38</v>
      </c>
      <c r="C748" s="85" t="s">
        <v>3036</v>
      </c>
      <c r="D748" s="161" t="s">
        <v>3037</v>
      </c>
      <c r="E748" s="161" t="s">
        <v>1689</v>
      </c>
      <c r="F748" s="161" t="s">
        <v>3034</v>
      </c>
      <c r="G748" s="163">
        <f t="shared" si="62"/>
        <v>652.2755</v>
      </c>
      <c r="H748" s="163">
        <v>13.0436</v>
      </c>
      <c r="I748" s="176">
        <v>5</v>
      </c>
      <c r="J748" s="176">
        <f t="shared" si="60"/>
        <v>10000.136812</v>
      </c>
      <c r="K748" s="176">
        <f t="shared" si="63"/>
        <v>496476.708585</v>
      </c>
      <c r="L748" s="163"/>
      <c r="M748" s="161" t="s">
        <v>2950</v>
      </c>
      <c r="N748" s="161" t="s">
        <v>1901</v>
      </c>
      <c r="O748" s="161" t="s">
        <v>26</v>
      </c>
      <c r="P748" s="49" t="s">
        <v>26</v>
      </c>
      <c r="Q748" s="166" t="s">
        <v>3038</v>
      </c>
      <c r="R748" s="151"/>
    </row>
    <row r="749" spans="1:18">
      <c r="A749" s="101" t="s">
        <v>38</v>
      </c>
      <c r="B749" s="101" t="s">
        <v>38</v>
      </c>
      <c r="C749" s="85" t="s">
        <v>3039</v>
      </c>
      <c r="D749" s="161" t="s">
        <v>1409</v>
      </c>
      <c r="E749" s="161" t="s">
        <v>1689</v>
      </c>
      <c r="F749" s="161" t="s">
        <v>3034</v>
      </c>
      <c r="G749" s="163">
        <f t="shared" si="62"/>
        <v>666.0795</v>
      </c>
      <c r="H749" s="163">
        <v>13.804</v>
      </c>
      <c r="I749" s="176">
        <v>5</v>
      </c>
      <c r="J749" s="176">
        <f t="shared" si="60"/>
        <v>10583.11268</v>
      </c>
      <c r="K749" s="176">
        <f t="shared" si="63"/>
        <v>507059.821265</v>
      </c>
      <c r="L749" s="163"/>
      <c r="M749" s="161" t="s">
        <v>2950</v>
      </c>
      <c r="N749" s="161" t="s">
        <v>1299</v>
      </c>
      <c r="O749" s="161" t="s">
        <v>25</v>
      </c>
      <c r="P749" s="49" t="s">
        <v>25</v>
      </c>
      <c r="Q749" s="166" t="s">
        <v>3040</v>
      </c>
      <c r="R749" s="151"/>
    </row>
    <row r="750" spans="1:18">
      <c r="A750" s="101" t="s">
        <v>38</v>
      </c>
      <c r="B750" s="101" t="s">
        <v>38</v>
      </c>
      <c r="C750" s="85" t="s">
        <v>3041</v>
      </c>
      <c r="D750" s="161" t="s">
        <v>1412</v>
      </c>
      <c r="E750" s="161" t="s">
        <v>1689</v>
      </c>
      <c r="F750" s="161" t="s">
        <v>3034</v>
      </c>
      <c r="G750" s="163">
        <f t="shared" si="62"/>
        <v>670.9497</v>
      </c>
      <c r="H750" s="163">
        <v>4.87020000000007</v>
      </c>
      <c r="I750" s="176">
        <v>5</v>
      </c>
      <c r="J750" s="176">
        <f t="shared" si="60"/>
        <v>3733.83623400005</v>
      </c>
      <c r="K750" s="176">
        <f t="shared" si="63"/>
        <v>510793.657499</v>
      </c>
      <c r="L750" s="163"/>
      <c r="M750" s="161" t="s">
        <v>2950</v>
      </c>
      <c r="N750" s="161" t="s">
        <v>1299</v>
      </c>
      <c r="O750" s="161" t="s">
        <v>25</v>
      </c>
      <c r="P750" s="49" t="s">
        <v>25</v>
      </c>
      <c r="Q750" s="166" t="s">
        <v>3042</v>
      </c>
      <c r="R750" s="151"/>
    </row>
    <row r="751" spans="1:18">
      <c r="A751" s="101" t="s">
        <v>38</v>
      </c>
      <c r="B751" s="101" t="s">
        <v>38</v>
      </c>
      <c r="C751" s="85" t="s">
        <v>3043</v>
      </c>
      <c r="D751" s="161" t="s">
        <v>1415</v>
      </c>
      <c r="E751" s="161" t="s">
        <v>1689</v>
      </c>
      <c r="F751" s="161" t="s">
        <v>3034</v>
      </c>
      <c r="G751" s="163">
        <f t="shared" si="62"/>
        <v>677.815</v>
      </c>
      <c r="H751" s="163">
        <v>6.86529999999993</v>
      </c>
      <c r="I751" s="176">
        <v>6</v>
      </c>
      <c r="J751" s="176">
        <f t="shared" si="60"/>
        <v>5263.41955099995</v>
      </c>
      <c r="K751" s="176">
        <f t="shared" si="63"/>
        <v>516057.07705</v>
      </c>
      <c r="L751" s="163"/>
      <c r="M751" s="161" t="s">
        <v>2950</v>
      </c>
      <c r="N751" s="161" t="s">
        <v>1299</v>
      </c>
      <c r="O751" s="161" t="s">
        <v>25</v>
      </c>
      <c r="P751" s="49" t="s">
        <v>25</v>
      </c>
      <c r="Q751" s="166" t="s">
        <v>3044</v>
      </c>
      <c r="R751" s="151"/>
    </row>
    <row r="752" spans="1:18">
      <c r="A752" s="101" t="s">
        <v>38</v>
      </c>
      <c r="B752" s="101" t="s">
        <v>38</v>
      </c>
      <c r="C752" s="85" t="s">
        <v>3034</v>
      </c>
      <c r="D752" s="161" t="s">
        <v>3034</v>
      </c>
      <c r="E752" s="161" t="s">
        <v>1689</v>
      </c>
      <c r="F752" s="161" t="s">
        <v>3034</v>
      </c>
      <c r="G752" s="163">
        <f t="shared" si="62"/>
        <v>683.2555</v>
      </c>
      <c r="H752" s="163">
        <v>5.44050000000004</v>
      </c>
      <c r="I752" s="176">
        <v>5</v>
      </c>
      <c r="J752" s="176">
        <f t="shared" si="60"/>
        <v>4171.06813500003</v>
      </c>
      <c r="K752" s="176">
        <f t="shared" si="63"/>
        <v>520228.145185</v>
      </c>
      <c r="L752" s="163"/>
      <c r="M752" s="161" t="s">
        <v>2950</v>
      </c>
      <c r="N752" s="161" t="s">
        <v>1331</v>
      </c>
      <c r="O752" s="161" t="s">
        <v>14</v>
      </c>
      <c r="P752" s="49" t="s">
        <v>14</v>
      </c>
      <c r="Q752" s="166" t="s">
        <v>3045</v>
      </c>
      <c r="R752" s="151"/>
    </row>
    <row r="753" spans="1:18">
      <c r="A753" s="101" t="s">
        <v>38</v>
      </c>
      <c r="B753" s="101" t="s">
        <v>38</v>
      </c>
      <c r="C753" s="85" t="s">
        <v>3046</v>
      </c>
      <c r="D753" s="161" t="s">
        <v>1421</v>
      </c>
      <c r="E753" s="161" t="s">
        <v>1689</v>
      </c>
      <c r="F753" s="161" t="s">
        <v>3034</v>
      </c>
      <c r="G753" s="163">
        <f t="shared" si="62"/>
        <v>697.5338</v>
      </c>
      <c r="H753" s="163">
        <v>14.2782999999999</v>
      </c>
      <c r="I753" s="176">
        <v>5</v>
      </c>
      <c r="J753" s="176">
        <f t="shared" si="60"/>
        <v>10946.7442609999</v>
      </c>
      <c r="K753" s="176">
        <f t="shared" si="63"/>
        <v>531174.889446</v>
      </c>
      <c r="L753" s="163"/>
      <c r="M753" s="161" t="s">
        <v>2950</v>
      </c>
      <c r="N753" s="161" t="s">
        <v>1299</v>
      </c>
      <c r="O753" s="161" t="s">
        <v>25</v>
      </c>
      <c r="P753" s="49" t="s">
        <v>25</v>
      </c>
      <c r="Q753" s="166" t="s">
        <v>3047</v>
      </c>
      <c r="R753" s="151"/>
    </row>
    <row r="754" spans="1:18">
      <c r="A754" s="101" t="s">
        <v>38</v>
      </c>
      <c r="B754" s="101" t="s">
        <v>38</v>
      </c>
      <c r="C754" s="85" t="s">
        <v>3048</v>
      </c>
      <c r="D754" s="161" t="s">
        <v>1424</v>
      </c>
      <c r="E754" s="161" t="s">
        <v>1689</v>
      </c>
      <c r="F754" s="161" t="s">
        <v>3049</v>
      </c>
      <c r="G754" s="163">
        <f t="shared" si="62"/>
        <v>705.7034</v>
      </c>
      <c r="H754" s="163">
        <v>8.16960000000006</v>
      </c>
      <c r="I754" s="176">
        <v>5</v>
      </c>
      <c r="J754" s="176">
        <f t="shared" si="60"/>
        <v>6263.38723200005</v>
      </c>
      <c r="K754" s="176">
        <f t="shared" si="63"/>
        <v>537438.276678</v>
      </c>
      <c r="L754" s="163"/>
      <c r="M754" s="161" t="s">
        <v>2950</v>
      </c>
      <c r="N754" s="161" t="s">
        <v>1299</v>
      </c>
      <c r="O754" s="161" t="s">
        <v>25</v>
      </c>
      <c r="P754" s="49" t="s">
        <v>25</v>
      </c>
      <c r="Q754" s="166" t="s">
        <v>3047</v>
      </c>
      <c r="R754" s="151"/>
    </row>
    <row r="755" spans="1:18">
      <c r="A755" s="101" t="s">
        <v>38</v>
      </c>
      <c r="B755" s="101" t="s">
        <v>38</v>
      </c>
      <c r="C755" s="85" t="s">
        <v>3050</v>
      </c>
      <c r="D755" s="161" t="s">
        <v>1427</v>
      </c>
      <c r="E755" s="161" t="s">
        <v>1689</v>
      </c>
      <c r="F755" s="161" t="s">
        <v>3049</v>
      </c>
      <c r="G755" s="163">
        <f t="shared" si="62"/>
        <v>723.1788</v>
      </c>
      <c r="H755" s="163">
        <v>17.4754</v>
      </c>
      <c r="I755" s="176">
        <v>4</v>
      </c>
      <c r="J755" s="176">
        <f t="shared" si="60"/>
        <v>13397.864918</v>
      </c>
      <c r="K755" s="176">
        <f t="shared" si="63"/>
        <v>550836.141596</v>
      </c>
      <c r="L755" s="163"/>
      <c r="M755" s="161" t="s">
        <v>2950</v>
      </c>
      <c r="N755" s="161" t="s">
        <v>1299</v>
      </c>
      <c r="O755" s="161" t="s">
        <v>25</v>
      </c>
      <c r="P755" s="49" t="s">
        <v>25</v>
      </c>
      <c r="Q755" s="166" t="s">
        <v>3051</v>
      </c>
      <c r="R755" s="151"/>
    </row>
    <row r="756" spans="1:18">
      <c r="A756" s="101" t="s">
        <v>38</v>
      </c>
      <c r="B756" s="101" t="s">
        <v>38</v>
      </c>
      <c r="C756" s="85" t="s">
        <v>3052</v>
      </c>
      <c r="D756" s="161" t="s">
        <v>2374</v>
      </c>
      <c r="E756" s="161" t="s">
        <v>1689</v>
      </c>
      <c r="F756" s="161" t="s">
        <v>3049</v>
      </c>
      <c r="G756" s="163">
        <f t="shared" si="62"/>
        <v>737.9215</v>
      </c>
      <c r="H756" s="163">
        <v>14.7426999999999</v>
      </c>
      <c r="I756" s="176">
        <v>4</v>
      </c>
      <c r="J756" s="176">
        <f t="shared" si="60"/>
        <v>11302.7858089999</v>
      </c>
      <c r="K756" s="176">
        <f t="shared" si="63"/>
        <v>562138.927405</v>
      </c>
      <c r="L756" s="163"/>
      <c r="M756" s="161" t="s">
        <v>2950</v>
      </c>
      <c r="N756" s="161" t="s">
        <v>1901</v>
      </c>
      <c r="O756" s="161" t="s">
        <v>26</v>
      </c>
      <c r="P756" s="49" t="s">
        <v>26</v>
      </c>
      <c r="Q756" s="166" t="s">
        <v>3053</v>
      </c>
      <c r="R756" s="151"/>
    </row>
    <row r="757" spans="1:18">
      <c r="A757" s="101" t="s">
        <v>38</v>
      </c>
      <c r="B757" s="101" t="s">
        <v>38</v>
      </c>
      <c r="C757" s="85" t="s">
        <v>3054</v>
      </c>
      <c r="D757" s="161" t="s">
        <v>2376</v>
      </c>
      <c r="E757" s="161" t="s">
        <v>1689</v>
      </c>
      <c r="F757" s="161" t="s">
        <v>3049</v>
      </c>
      <c r="G757" s="163">
        <f t="shared" si="62"/>
        <v>754.1916</v>
      </c>
      <c r="H757" s="163">
        <v>16.2701000000001</v>
      </c>
      <c r="I757" s="176">
        <v>3</v>
      </c>
      <c r="J757" s="176">
        <f t="shared" si="60"/>
        <v>12473.7975670001</v>
      </c>
      <c r="K757" s="176">
        <f t="shared" si="63"/>
        <v>574612.724972</v>
      </c>
      <c r="L757" s="163"/>
      <c r="M757" s="161" t="s">
        <v>2950</v>
      </c>
      <c r="N757" s="161" t="s">
        <v>1901</v>
      </c>
      <c r="O757" s="161" t="s">
        <v>26</v>
      </c>
      <c r="P757" s="49" t="s">
        <v>26</v>
      </c>
      <c r="Q757" s="166" t="s">
        <v>3055</v>
      </c>
      <c r="R757" s="151"/>
    </row>
    <row r="758" spans="1:18">
      <c r="A758" s="101" t="s">
        <v>38</v>
      </c>
      <c r="B758" s="101" t="s">
        <v>38</v>
      </c>
      <c r="C758" s="85" t="s">
        <v>261</v>
      </c>
      <c r="D758" s="161" t="s">
        <v>1065</v>
      </c>
      <c r="E758" s="161" t="s">
        <v>1689</v>
      </c>
      <c r="F758" s="161" t="s">
        <v>3049</v>
      </c>
      <c r="G758" s="163">
        <f t="shared" si="62"/>
        <v>771.4748</v>
      </c>
      <c r="H758" s="163">
        <v>17.2832</v>
      </c>
      <c r="I758" s="173">
        <v>2</v>
      </c>
      <c r="J758" s="176">
        <f t="shared" si="60"/>
        <v>13250.510944</v>
      </c>
      <c r="K758" s="176">
        <f t="shared" si="63"/>
        <v>587863.235916</v>
      </c>
      <c r="L758" s="174" t="s">
        <v>3056</v>
      </c>
      <c r="M758" s="161" t="s">
        <v>2950</v>
      </c>
      <c r="N758" s="161"/>
      <c r="O758" s="161"/>
      <c r="P758" s="49" t="s">
        <v>14</v>
      </c>
      <c r="Q758" s="166" t="s">
        <v>3057</v>
      </c>
      <c r="R758" s="151"/>
    </row>
    <row r="759" spans="1:18">
      <c r="A759" s="101" t="s">
        <v>38</v>
      </c>
      <c r="B759" s="101" t="s">
        <v>38</v>
      </c>
      <c r="C759" s="85" t="s">
        <v>3058</v>
      </c>
      <c r="D759" s="161" t="s">
        <v>3059</v>
      </c>
      <c r="E759" s="161" t="s">
        <v>1689</v>
      </c>
      <c r="F759" s="161" t="s">
        <v>3049</v>
      </c>
      <c r="G759" s="163">
        <f t="shared" si="62"/>
        <v>787.5758</v>
      </c>
      <c r="H759" s="163">
        <v>16.101</v>
      </c>
      <c r="I759" s="176">
        <v>3</v>
      </c>
      <c r="J759" s="176">
        <f t="shared" si="60"/>
        <v>12344.15367</v>
      </c>
      <c r="K759" s="176">
        <f t="shared" si="63"/>
        <v>600207.389586</v>
      </c>
      <c r="L759" s="163"/>
      <c r="M759" s="161" t="s">
        <v>2950</v>
      </c>
      <c r="N759" s="161" t="s">
        <v>1901</v>
      </c>
      <c r="O759" s="161" t="s">
        <v>25</v>
      </c>
      <c r="P759" s="49" t="s">
        <v>25</v>
      </c>
      <c r="Q759" s="166" t="s">
        <v>3060</v>
      </c>
      <c r="R759" s="151"/>
    </row>
    <row r="760" spans="1:18">
      <c r="A760" s="101" t="s">
        <v>38</v>
      </c>
      <c r="B760" s="101" t="s">
        <v>38</v>
      </c>
      <c r="C760" s="85" t="s">
        <v>3061</v>
      </c>
      <c r="D760" s="162" t="s">
        <v>3061</v>
      </c>
      <c r="E760" s="161" t="s">
        <v>1689</v>
      </c>
      <c r="F760" s="161" t="s">
        <v>3049</v>
      </c>
      <c r="G760" s="163">
        <f t="shared" si="62"/>
        <v>802.5978</v>
      </c>
      <c r="H760" s="163">
        <v>15.022</v>
      </c>
      <c r="I760" s="176">
        <v>2</v>
      </c>
      <c r="J760" s="176">
        <f t="shared" si="60"/>
        <v>11516.91674</v>
      </c>
      <c r="K760" s="176">
        <f t="shared" si="63"/>
        <v>611724.306326</v>
      </c>
      <c r="L760" s="163"/>
      <c r="M760" s="161" t="s">
        <v>2950</v>
      </c>
      <c r="N760" s="161" t="s">
        <v>1331</v>
      </c>
      <c r="O760" s="161" t="s">
        <v>14</v>
      </c>
      <c r="P760" s="49" t="s">
        <v>14</v>
      </c>
      <c r="Q760" s="166" t="s">
        <v>3062</v>
      </c>
      <c r="R760" s="151"/>
    </row>
    <row r="761" spans="1:18">
      <c r="A761" s="101" t="s">
        <v>38</v>
      </c>
      <c r="B761" s="101" t="s">
        <v>260</v>
      </c>
      <c r="C761" s="135" t="s">
        <v>261</v>
      </c>
      <c r="D761" s="161" t="s">
        <v>3063</v>
      </c>
      <c r="E761" s="161" t="s">
        <v>1689</v>
      </c>
      <c r="F761" s="161" t="s">
        <v>3049</v>
      </c>
      <c r="G761" s="171">
        <v>0</v>
      </c>
      <c r="H761" s="163">
        <v>0</v>
      </c>
      <c r="I761" s="173">
        <v>2</v>
      </c>
      <c r="J761" s="173">
        <v>0</v>
      </c>
      <c r="K761" s="173">
        <v>0</v>
      </c>
      <c r="L761" s="174"/>
      <c r="M761" s="161" t="s">
        <v>2950</v>
      </c>
      <c r="N761" s="161"/>
      <c r="O761" s="161"/>
      <c r="P761" s="49"/>
      <c r="Q761" s="166" t="s">
        <v>3057</v>
      </c>
      <c r="R761" s="151"/>
    </row>
    <row r="762" spans="1:18">
      <c r="A762" s="101" t="s">
        <v>38</v>
      </c>
      <c r="B762" s="101" t="s">
        <v>260</v>
      </c>
      <c r="C762" s="85" t="s">
        <v>3064</v>
      </c>
      <c r="D762" s="161" t="s">
        <v>2379</v>
      </c>
      <c r="E762" s="161" t="s">
        <v>1689</v>
      </c>
      <c r="F762" s="161" t="s">
        <v>3049</v>
      </c>
      <c r="G762" s="171">
        <v>15.3683</v>
      </c>
      <c r="H762" s="163">
        <f>G762-G761</f>
        <v>15.3683</v>
      </c>
      <c r="I762" s="176">
        <v>2</v>
      </c>
      <c r="J762" s="176">
        <v>11087.99701674</v>
      </c>
      <c r="K762" s="176">
        <v>11087.99701674</v>
      </c>
      <c r="L762" s="163"/>
      <c r="M762" s="161" t="s">
        <v>2950</v>
      </c>
      <c r="N762" s="161" t="s">
        <v>1901</v>
      </c>
      <c r="O762" s="161" t="s">
        <v>26</v>
      </c>
      <c r="P762" s="49" t="s">
        <v>26</v>
      </c>
      <c r="Q762" s="166" t="s">
        <v>3065</v>
      </c>
      <c r="R762" s="151"/>
    </row>
    <row r="763" spans="1:18">
      <c r="A763" s="101" t="s">
        <v>38</v>
      </c>
      <c r="B763" s="101" t="s">
        <v>260</v>
      </c>
      <c r="C763" s="85" t="s">
        <v>3066</v>
      </c>
      <c r="D763" s="161" t="s">
        <v>2385</v>
      </c>
      <c r="E763" s="161" t="s">
        <v>1689</v>
      </c>
      <c r="F763" s="161" t="s">
        <v>3049</v>
      </c>
      <c r="G763" s="171">
        <v>32.0858</v>
      </c>
      <c r="H763" s="163">
        <f t="shared" ref="H763:H769" si="64">G763-G762</f>
        <v>16.7175</v>
      </c>
      <c r="I763" s="176">
        <v>2</v>
      </c>
      <c r="J763" s="176">
        <v>12078.46219454</v>
      </c>
      <c r="K763" s="176">
        <v>23166.45921128</v>
      </c>
      <c r="L763" s="163"/>
      <c r="M763" s="161" t="s">
        <v>2950</v>
      </c>
      <c r="N763" s="161" t="s">
        <v>1901</v>
      </c>
      <c r="O763" s="161" t="s">
        <v>26</v>
      </c>
      <c r="P763" s="49" t="s">
        <v>26</v>
      </c>
      <c r="Q763" s="166" t="s">
        <v>3067</v>
      </c>
      <c r="R763" s="151"/>
    </row>
    <row r="764" spans="1:18">
      <c r="A764" s="101" t="s">
        <v>38</v>
      </c>
      <c r="B764" s="101" t="s">
        <v>260</v>
      </c>
      <c r="C764" s="85" t="s">
        <v>3068</v>
      </c>
      <c r="D764" s="161" t="s">
        <v>2388</v>
      </c>
      <c r="E764" s="161" t="s">
        <v>1689</v>
      </c>
      <c r="F764" s="161" t="s">
        <v>3049</v>
      </c>
      <c r="G764" s="171">
        <v>43.5769</v>
      </c>
      <c r="H764" s="163">
        <f t="shared" si="64"/>
        <v>11.4911</v>
      </c>
      <c r="I764" s="176">
        <v>1</v>
      </c>
      <c r="J764" s="176">
        <v>11660.67951428</v>
      </c>
      <c r="K764" s="176">
        <v>34827.13872556</v>
      </c>
      <c r="L764" s="163"/>
      <c r="M764" s="161" t="s">
        <v>2950</v>
      </c>
      <c r="N764" s="161" t="s">
        <v>1901</v>
      </c>
      <c r="O764" s="161" t="s">
        <v>26</v>
      </c>
      <c r="P764" s="49" t="s">
        <v>26</v>
      </c>
      <c r="Q764" s="166" t="s">
        <v>3069</v>
      </c>
      <c r="R764" s="151"/>
    </row>
    <row r="765" spans="1:18">
      <c r="A765" s="101" t="s">
        <v>38</v>
      </c>
      <c r="B765" s="101" t="s">
        <v>260</v>
      </c>
      <c r="C765" s="85" t="s">
        <v>3070</v>
      </c>
      <c r="D765" s="161" t="s">
        <v>3070</v>
      </c>
      <c r="E765" s="161" t="s">
        <v>1689</v>
      </c>
      <c r="F765" s="161" t="s">
        <v>1798</v>
      </c>
      <c r="G765" s="171">
        <v>56.5969</v>
      </c>
      <c r="H765" s="163">
        <f t="shared" si="64"/>
        <v>13.02</v>
      </c>
      <c r="I765" s="176">
        <v>4</v>
      </c>
      <c r="J765" s="176">
        <v>9701.05081253098</v>
      </c>
      <c r="K765" s="176">
        <v>44528.189538091</v>
      </c>
      <c r="L765" s="163"/>
      <c r="M765" s="161" t="s">
        <v>2950</v>
      </c>
      <c r="N765" s="161" t="s">
        <v>1331</v>
      </c>
      <c r="O765" s="161" t="s">
        <v>14</v>
      </c>
      <c r="P765" s="49" t="s">
        <v>14</v>
      </c>
      <c r="Q765" s="166" t="s">
        <v>3071</v>
      </c>
      <c r="R765" s="151"/>
    </row>
    <row r="766" spans="1:18">
      <c r="A766" s="101" t="s">
        <v>38</v>
      </c>
      <c r="B766" s="101" t="s">
        <v>260</v>
      </c>
      <c r="C766" s="85" t="s">
        <v>3072</v>
      </c>
      <c r="D766" s="161" t="s">
        <v>2391</v>
      </c>
      <c r="E766" s="161" t="s">
        <v>1689</v>
      </c>
      <c r="F766" s="161" t="s">
        <v>1798</v>
      </c>
      <c r="G766" s="171">
        <v>69.5408</v>
      </c>
      <c r="H766" s="163">
        <f t="shared" si="64"/>
        <v>12.9439</v>
      </c>
      <c r="I766" s="176">
        <v>2</v>
      </c>
      <c r="J766" s="176">
        <v>9388.85877793417</v>
      </c>
      <c r="K766" s="176">
        <v>53917.0483160251</v>
      </c>
      <c r="L766" s="163"/>
      <c r="M766" s="161" t="s">
        <v>2950</v>
      </c>
      <c r="N766" s="161" t="s">
        <v>1901</v>
      </c>
      <c r="O766" s="161" t="s">
        <v>26</v>
      </c>
      <c r="P766" s="49" t="s">
        <v>26</v>
      </c>
      <c r="Q766" s="166" t="s">
        <v>3073</v>
      </c>
      <c r="R766" s="151"/>
    </row>
    <row r="767" spans="1:18">
      <c r="A767" s="101" t="s">
        <v>38</v>
      </c>
      <c r="B767" s="101" t="s">
        <v>260</v>
      </c>
      <c r="C767" s="85" t="s">
        <v>3074</v>
      </c>
      <c r="D767" s="161" t="s">
        <v>2394</v>
      </c>
      <c r="E767" s="161" t="s">
        <v>1689</v>
      </c>
      <c r="F767" s="161" t="s">
        <v>1798</v>
      </c>
      <c r="G767" s="171">
        <v>78.1553</v>
      </c>
      <c r="H767" s="163">
        <f t="shared" si="64"/>
        <v>8.61449999999999</v>
      </c>
      <c r="I767" s="176">
        <v>3</v>
      </c>
      <c r="J767" s="176">
        <v>6117.17566596616</v>
      </c>
      <c r="K767" s="176">
        <v>60034.2239819913</v>
      </c>
      <c r="L767" s="163"/>
      <c r="M767" s="161" t="s">
        <v>2950</v>
      </c>
      <c r="N767" s="161" t="s">
        <v>1901</v>
      </c>
      <c r="O767" s="161" t="s">
        <v>26</v>
      </c>
      <c r="P767" s="49" t="s">
        <v>26</v>
      </c>
      <c r="Q767" s="166" t="s">
        <v>3075</v>
      </c>
      <c r="R767" s="151"/>
    </row>
    <row r="768" spans="1:18">
      <c r="A768" s="101" t="s">
        <v>38</v>
      </c>
      <c r="B768" s="101" t="s">
        <v>260</v>
      </c>
      <c r="C768" s="85" t="s">
        <v>3076</v>
      </c>
      <c r="D768" s="161" t="s">
        <v>1460</v>
      </c>
      <c r="E768" s="161" t="s">
        <v>1689</v>
      </c>
      <c r="F768" s="161" t="s">
        <v>1798</v>
      </c>
      <c r="G768" s="171">
        <v>92.0639</v>
      </c>
      <c r="H768" s="163">
        <f t="shared" si="64"/>
        <v>13.9086</v>
      </c>
      <c r="I768" s="176">
        <v>3</v>
      </c>
      <c r="J768" s="176">
        <v>9891.70703149918</v>
      </c>
      <c r="K768" s="176">
        <v>69925.9310134905</v>
      </c>
      <c r="L768" s="163"/>
      <c r="M768" s="161" t="s">
        <v>2950</v>
      </c>
      <c r="N768" s="161" t="s">
        <v>1299</v>
      </c>
      <c r="O768" s="161" t="s">
        <v>25</v>
      </c>
      <c r="P768" s="49" t="s">
        <v>25</v>
      </c>
      <c r="Q768" s="166" t="s">
        <v>3077</v>
      </c>
      <c r="R768" s="151"/>
    </row>
    <row r="769" ht="30" spans="1:18">
      <c r="A769" s="101" t="s">
        <v>38</v>
      </c>
      <c r="B769" s="101" t="s">
        <v>260</v>
      </c>
      <c r="C769" s="135" t="s">
        <v>142</v>
      </c>
      <c r="D769" s="161" t="s">
        <v>142</v>
      </c>
      <c r="E769" s="161" t="s">
        <v>1689</v>
      </c>
      <c r="F769" s="161" t="s">
        <v>1786</v>
      </c>
      <c r="G769" s="171">
        <v>100.2269</v>
      </c>
      <c r="H769" s="163">
        <f t="shared" si="64"/>
        <v>8.163</v>
      </c>
      <c r="I769" s="176">
        <v>3</v>
      </c>
      <c r="J769" s="176">
        <v>5860.34781075844</v>
      </c>
      <c r="K769" s="176">
        <v>75786.2788242489</v>
      </c>
      <c r="L769" s="163" t="s">
        <v>1795</v>
      </c>
      <c r="M769" s="161" t="s">
        <v>1294</v>
      </c>
      <c r="N769" s="161" t="s">
        <v>1331</v>
      </c>
      <c r="O769" s="161"/>
      <c r="P769" s="49"/>
      <c r="Q769" s="166" t="s">
        <v>1796</v>
      </c>
      <c r="R769" s="151"/>
    </row>
    <row r="770" spans="1:18">
      <c r="A770" s="101" t="s">
        <v>39</v>
      </c>
      <c r="B770" s="101" t="s">
        <v>263</v>
      </c>
      <c r="C770" s="135" t="s">
        <v>264</v>
      </c>
      <c r="D770" s="161" t="s">
        <v>264</v>
      </c>
      <c r="E770" s="161" t="s">
        <v>1640</v>
      </c>
      <c r="F770" s="161" t="s">
        <v>2591</v>
      </c>
      <c r="G770" s="163">
        <v>0</v>
      </c>
      <c r="H770" s="163">
        <v>0</v>
      </c>
      <c r="I770" s="176">
        <v>0</v>
      </c>
      <c r="J770" s="176">
        <v>0</v>
      </c>
      <c r="K770" s="176">
        <v>0</v>
      </c>
      <c r="L770" s="163"/>
      <c r="M770" s="161" t="s">
        <v>2232</v>
      </c>
      <c r="N770" s="161" t="s">
        <v>1331</v>
      </c>
      <c r="O770" s="161"/>
      <c r="P770" s="49"/>
      <c r="Q770" s="166" t="s">
        <v>2599</v>
      </c>
      <c r="R770" s="151"/>
    </row>
    <row r="771" spans="1:18">
      <c r="A771" s="101" t="s">
        <v>39</v>
      </c>
      <c r="B771" s="101" t="s">
        <v>263</v>
      </c>
      <c r="C771" s="86" t="s">
        <v>3078</v>
      </c>
      <c r="D771" s="161" t="s">
        <v>1298</v>
      </c>
      <c r="E771" s="161" t="s">
        <v>1640</v>
      </c>
      <c r="F771" s="161" t="s">
        <v>2591</v>
      </c>
      <c r="G771" s="163">
        <v>22.4345</v>
      </c>
      <c r="H771" s="163">
        <f>G771-G770</f>
        <v>22.4345</v>
      </c>
      <c r="I771" s="176">
        <v>101</v>
      </c>
      <c r="J771" s="176">
        <v>17308</v>
      </c>
      <c r="K771" s="176">
        <v>17308</v>
      </c>
      <c r="L771" s="163"/>
      <c r="M771" s="161" t="s">
        <v>3079</v>
      </c>
      <c r="N771" s="161" t="s">
        <v>1299</v>
      </c>
      <c r="O771" s="161" t="s">
        <v>25</v>
      </c>
      <c r="P771" s="49" t="s">
        <v>25</v>
      </c>
      <c r="Q771" s="166" t="s">
        <v>3080</v>
      </c>
      <c r="R771" s="151"/>
    </row>
    <row r="772" spans="1:18">
      <c r="A772" s="101" t="s">
        <v>39</v>
      </c>
      <c r="B772" s="101" t="s">
        <v>263</v>
      </c>
      <c r="C772" s="86" t="s">
        <v>3081</v>
      </c>
      <c r="D772" s="161" t="s">
        <v>1904</v>
      </c>
      <c r="E772" s="161" t="s">
        <v>1640</v>
      </c>
      <c r="F772" s="161" t="s">
        <v>2591</v>
      </c>
      <c r="G772" s="163">
        <v>43.6439</v>
      </c>
      <c r="H772" s="163">
        <f>G772-G771</f>
        <v>21.2094</v>
      </c>
      <c r="I772" s="176">
        <v>99</v>
      </c>
      <c r="J772" s="176">
        <v>16354</v>
      </c>
      <c r="K772" s="176">
        <v>33662</v>
      </c>
      <c r="L772" s="163"/>
      <c r="M772" s="161" t="s">
        <v>3079</v>
      </c>
      <c r="N772" s="161" t="s">
        <v>1901</v>
      </c>
      <c r="O772" s="161" t="s">
        <v>26</v>
      </c>
      <c r="P772" s="49" t="s">
        <v>26</v>
      </c>
      <c r="Q772" s="166" t="s">
        <v>3082</v>
      </c>
      <c r="R772" s="151"/>
    </row>
    <row r="773" spans="1:18">
      <c r="A773" s="101" t="s">
        <v>39</v>
      </c>
      <c r="B773" s="101" t="s">
        <v>263</v>
      </c>
      <c r="C773" s="86" t="s">
        <v>3083</v>
      </c>
      <c r="D773" s="161" t="s">
        <v>2847</v>
      </c>
      <c r="E773" s="161" t="s">
        <v>1640</v>
      </c>
      <c r="F773" s="161" t="s">
        <v>2591</v>
      </c>
      <c r="G773" s="163">
        <v>66</v>
      </c>
      <c r="H773" s="163">
        <f>G773-G772</f>
        <v>22.3561</v>
      </c>
      <c r="I773" s="176">
        <v>141</v>
      </c>
      <c r="J773" s="176">
        <v>17236</v>
      </c>
      <c r="K773" s="176">
        <v>50898</v>
      </c>
      <c r="L773" s="163"/>
      <c r="M773" s="161"/>
      <c r="N773" s="161" t="s">
        <v>1901</v>
      </c>
      <c r="O773" s="161" t="s">
        <v>26</v>
      </c>
      <c r="P773" s="49" t="s">
        <v>26</v>
      </c>
      <c r="Q773" s="166"/>
      <c r="R773" s="151"/>
    </row>
    <row r="774" spans="1:18">
      <c r="A774" s="101" t="s">
        <v>39</v>
      </c>
      <c r="B774" s="101" t="s">
        <v>263</v>
      </c>
      <c r="C774" s="86" t="s">
        <v>3084</v>
      </c>
      <c r="D774" s="161" t="s">
        <v>3084</v>
      </c>
      <c r="E774" s="161" t="s">
        <v>1640</v>
      </c>
      <c r="F774" s="161" t="s">
        <v>2591</v>
      </c>
      <c r="G774" s="163">
        <v>66</v>
      </c>
      <c r="H774" s="163" t="s">
        <v>147</v>
      </c>
      <c r="I774" s="163" t="s">
        <v>147</v>
      </c>
      <c r="J774" s="163" t="s">
        <v>147</v>
      </c>
      <c r="K774" s="163" t="s">
        <v>147</v>
      </c>
      <c r="L774" s="163" t="s">
        <v>2183</v>
      </c>
      <c r="M774" s="161" t="s">
        <v>3079</v>
      </c>
      <c r="N774" s="161" t="s">
        <v>1331</v>
      </c>
      <c r="O774" s="161" t="s">
        <v>14</v>
      </c>
      <c r="P774" s="49" t="s">
        <v>14</v>
      </c>
      <c r="Q774" s="166" t="s">
        <v>3085</v>
      </c>
      <c r="R774" s="151"/>
    </row>
    <row r="775" spans="1:18">
      <c r="A775" s="101" t="s">
        <v>39</v>
      </c>
      <c r="B775" s="101" t="s">
        <v>263</v>
      </c>
      <c r="C775" s="86" t="s">
        <v>3086</v>
      </c>
      <c r="D775" s="161" t="s">
        <v>2820</v>
      </c>
      <c r="E775" s="161" t="s">
        <v>1640</v>
      </c>
      <c r="F775" s="161" t="s">
        <v>1659</v>
      </c>
      <c r="G775" s="163">
        <v>90.2222</v>
      </c>
      <c r="H775" s="163">
        <f>G775-G773</f>
        <v>24.2222</v>
      </c>
      <c r="I775" s="176">
        <v>155</v>
      </c>
      <c r="J775" s="176">
        <v>16257.3568452</v>
      </c>
      <c r="K775" s="176">
        <v>67155.3568452</v>
      </c>
      <c r="L775" s="163"/>
      <c r="M775" s="161" t="s">
        <v>3079</v>
      </c>
      <c r="N775" s="161" t="s">
        <v>1901</v>
      </c>
      <c r="O775" s="161" t="s">
        <v>26</v>
      </c>
      <c r="P775" s="49" t="s">
        <v>26</v>
      </c>
      <c r="Q775" s="166" t="s">
        <v>3087</v>
      </c>
      <c r="R775" s="151"/>
    </row>
    <row r="776" spans="1:18">
      <c r="A776" s="101" t="s">
        <v>39</v>
      </c>
      <c r="B776" s="101" t="s">
        <v>263</v>
      </c>
      <c r="C776" s="86" t="s">
        <v>3088</v>
      </c>
      <c r="D776" s="161" t="s">
        <v>2252</v>
      </c>
      <c r="E776" s="161" t="s">
        <v>1640</v>
      </c>
      <c r="F776" s="161" t="s">
        <v>1659</v>
      </c>
      <c r="G776" s="163">
        <v>110.3367</v>
      </c>
      <c r="H776" s="163">
        <f t="shared" ref="H776:H796" si="65">G776-G775</f>
        <v>20.1145</v>
      </c>
      <c r="I776" s="176">
        <v>135</v>
      </c>
      <c r="J776" s="176">
        <v>14290.911684045</v>
      </c>
      <c r="K776" s="176">
        <v>81446.268529245</v>
      </c>
      <c r="L776" s="163"/>
      <c r="M776" s="161" t="s">
        <v>3079</v>
      </c>
      <c r="N776" s="161" t="s">
        <v>1901</v>
      </c>
      <c r="O776" s="161" t="s">
        <v>26</v>
      </c>
      <c r="P776" s="49" t="s">
        <v>26</v>
      </c>
      <c r="Q776" s="166" t="s">
        <v>3089</v>
      </c>
      <c r="R776" s="151"/>
    </row>
    <row r="777" ht="30" spans="1:18">
      <c r="A777" s="101" t="s">
        <v>39</v>
      </c>
      <c r="B777" s="101" t="s">
        <v>263</v>
      </c>
      <c r="C777" s="135" t="s">
        <v>1658</v>
      </c>
      <c r="D777" s="161" t="s">
        <v>1658</v>
      </c>
      <c r="E777" s="161" t="s">
        <v>1640</v>
      </c>
      <c r="F777" s="161" t="s">
        <v>1659</v>
      </c>
      <c r="G777" s="163">
        <v>129.34</v>
      </c>
      <c r="H777" s="163">
        <f t="shared" si="65"/>
        <v>19.0033</v>
      </c>
      <c r="I777" s="176">
        <v>154</v>
      </c>
      <c r="J777" s="176">
        <v>13501.46289672</v>
      </c>
      <c r="K777" s="176">
        <v>94947.731425965</v>
      </c>
      <c r="L777" s="163" t="s">
        <v>1660</v>
      </c>
      <c r="M777" s="161" t="s">
        <v>1294</v>
      </c>
      <c r="N777" s="161" t="s">
        <v>1331</v>
      </c>
      <c r="O777" s="161"/>
      <c r="P777" s="49"/>
      <c r="Q777" s="166" t="s">
        <v>1661</v>
      </c>
      <c r="R777" s="151"/>
    </row>
    <row r="778" spans="1:18">
      <c r="A778" s="101" t="s">
        <v>39</v>
      </c>
      <c r="B778" s="101" t="s">
        <v>263</v>
      </c>
      <c r="C778" s="86" t="s">
        <v>3090</v>
      </c>
      <c r="D778" s="161" t="s">
        <v>3090</v>
      </c>
      <c r="E778" s="161" t="s">
        <v>1640</v>
      </c>
      <c r="F778" s="161" t="s">
        <v>1659</v>
      </c>
      <c r="G778" s="163">
        <v>151.34</v>
      </c>
      <c r="H778" s="163">
        <f t="shared" si="65"/>
        <v>22</v>
      </c>
      <c r="I778" s="176">
        <v>103</v>
      </c>
      <c r="J778" s="176">
        <v>16791.462388395</v>
      </c>
      <c r="K778" s="176">
        <v>111739.19381436</v>
      </c>
      <c r="L778" s="163"/>
      <c r="M778" s="161" t="s">
        <v>3079</v>
      </c>
      <c r="N778" s="161" t="s">
        <v>1331</v>
      </c>
      <c r="O778" s="161" t="s">
        <v>14</v>
      </c>
      <c r="P778" s="49" t="s">
        <v>14</v>
      </c>
      <c r="Q778" s="166" t="s">
        <v>3091</v>
      </c>
      <c r="R778" s="151"/>
    </row>
    <row r="779" spans="1:18">
      <c r="A779" s="101" t="s">
        <v>39</v>
      </c>
      <c r="B779" s="101" t="s">
        <v>263</v>
      </c>
      <c r="C779" s="86" t="s">
        <v>3092</v>
      </c>
      <c r="D779" s="161" t="s">
        <v>2258</v>
      </c>
      <c r="E779" s="161" t="s">
        <v>1640</v>
      </c>
      <c r="F779" s="161" t="s">
        <v>1659</v>
      </c>
      <c r="G779" s="163">
        <v>169.9515</v>
      </c>
      <c r="H779" s="163">
        <f t="shared" si="65"/>
        <v>18.6115</v>
      </c>
      <c r="I779" s="176">
        <v>76</v>
      </c>
      <c r="J779" s="176">
        <v>13367</v>
      </c>
      <c r="K779" s="176">
        <v>125106.19381436</v>
      </c>
      <c r="L779" s="163"/>
      <c r="M779" s="161" t="s">
        <v>3079</v>
      </c>
      <c r="N779" s="161" t="s">
        <v>1901</v>
      </c>
      <c r="O779" s="161" t="s">
        <v>26</v>
      </c>
      <c r="P779" s="49" t="s">
        <v>26</v>
      </c>
      <c r="Q779" s="166" t="s">
        <v>3093</v>
      </c>
      <c r="R779" s="151"/>
    </row>
    <row r="780" spans="1:18">
      <c r="A780" s="101" t="s">
        <v>39</v>
      </c>
      <c r="B780" s="101" t="s">
        <v>263</v>
      </c>
      <c r="C780" s="86" t="s">
        <v>795</v>
      </c>
      <c r="D780" s="161" t="s">
        <v>795</v>
      </c>
      <c r="E780" s="161" t="s">
        <v>1640</v>
      </c>
      <c r="F780" s="161" t="s">
        <v>1659</v>
      </c>
      <c r="G780" s="163">
        <v>188.34</v>
      </c>
      <c r="H780" s="163">
        <f t="shared" si="65"/>
        <v>18.3885</v>
      </c>
      <c r="I780" s="176">
        <v>69</v>
      </c>
      <c r="J780" s="176">
        <v>13207.7093178967</v>
      </c>
      <c r="K780" s="176">
        <v>138313.903132257</v>
      </c>
      <c r="L780" s="163"/>
      <c r="M780" s="161" t="s">
        <v>3079</v>
      </c>
      <c r="N780" s="161" t="s">
        <v>1331</v>
      </c>
      <c r="O780" s="161" t="s">
        <v>14</v>
      </c>
      <c r="P780" s="49" t="s">
        <v>14</v>
      </c>
      <c r="Q780" s="166" t="s">
        <v>3094</v>
      </c>
      <c r="R780" s="151"/>
    </row>
    <row r="781" spans="1:18">
      <c r="A781" s="101" t="s">
        <v>39</v>
      </c>
      <c r="B781" s="101" t="s">
        <v>263</v>
      </c>
      <c r="C781" s="86" t="s">
        <v>3095</v>
      </c>
      <c r="D781" s="161" t="s">
        <v>2261</v>
      </c>
      <c r="E781" s="161" t="s">
        <v>1640</v>
      </c>
      <c r="F781" s="161" t="s">
        <v>1659</v>
      </c>
      <c r="G781" s="163">
        <v>210.6498</v>
      </c>
      <c r="H781" s="163">
        <f t="shared" si="65"/>
        <v>22.3098</v>
      </c>
      <c r="I781" s="176">
        <v>67</v>
      </c>
      <c r="J781" s="176">
        <v>16524.3828294833</v>
      </c>
      <c r="K781" s="176">
        <v>154838.28596174</v>
      </c>
      <c r="L781" s="163"/>
      <c r="M781" s="161" t="s">
        <v>3079</v>
      </c>
      <c r="N781" s="161" t="s">
        <v>1901</v>
      </c>
      <c r="O781" s="161" t="s">
        <v>26</v>
      </c>
      <c r="P781" s="49" t="s">
        <v>26</v>
      </c>
      <c r="Q781" s="166" t="s">
        <v>3096</v>
      </c>
      <c r="R781" s="151"/>
    </row>
    <row r="782" spans="1:18">
      <c r="A782" s="101" t="s">
        <v>39</v>
      </c>
      <c r="B782" s="101" t="s">
        <v>263</v>
      </c>
      <c r="C782" s="86" t="s">
        <v>270</v>
      </c>
      <c r="D782" s="161" t="s">
        <v>3097</v>
      </c>
      <c r="E782" s="161" t="s">
        <v>1640</v>
      </c>
      <c r="F782" s="161" t="s">
        <v>1659</v>
      </c>
      <c r="G782" s="163">
        <v>232.6382</v>
      </c>
      <c r="H782" s="163">
        <f t="shared" si="65"/>
        <v>21.9884</v>
      </c>
      <c r="I782" s="176">
        <v>63</v>
      </c>
      <c r="J782" s="176">
        <v>16288.2836783352</v>
      </c>
      <c r="K782" s="176">
        <v>171126.569640075</v>
      </c>
      <c r="L782" s="163"/>
      <c r="M782" s="161" t="s">
        <v>3079</v>
      </c>
      <c r="N782" s="161" t="s">
        <v>1299</v>
      </c>
      <c r="O782" s="161" t="s">
        <v>14</v>
      </c>
      <c r="P782" s="49" t="s">
        <v>14</v>
      </c>
      <c r="Q782" s="166" t="s">
        <v>3098</v>
      </c>
      <c r="R782" s="151"/>
    </row>
    <row r="783" spans="1:18">
      <c r="A783" s="101" t="s">
        <v>39</v>
      </c>
      <c r="B783" s="101" t="s">
        <v>263</v>
      </c>
      <c r="C783" s="86" t="s">
        <v>265</v>
      </c>
      <c r="D783" s="161" t="s">
        <v>265</v>
      </c>
      <c r="E783" s="161" t="s">
        <v>1640</v>
      </c>
      <c r="F783" s="161" t="s">
        <v>1659</v>
      </c>
      <c r="G783" s="163">
        <v>253.34</v>
      </c>
      <c r="H783" s="163">
        <f t="shared" si="65"/>
        <v>20.7018</v>
      </c>
      <c r="I783" s="176">
        <v>65</v>
      </c>
      <c r="J783" s="176">
        <v>15335.1813483712</v>
      </c>
      <c r="K783" s="176">
        <v>186461.750988446</v>
      </c>
      <c r="L783" s="163" t="s">
        <v>2893</v>
      </c>
      <c r="M783" s="161" t="s">
        <v>3079</v>
      </c>
      <c r="N783" s="161" t="s">
        <v>1331</v>
      </c>
      <c r="O783" s="161" t="s">
        <v>14</v>
      </c>
      <c r="P783" s="49" t="s">
        <v>14</v>
      </c>
      <c r="Q783" s="166" t="s">
        <v>3099</v>
      </c>
      <c r="R783" s="151"/>
    </row>
    <row r="784" spans="1:18">
      <c r="A784" s="101" t="s">
        <v>39</v>
      </c>
      <c r="B784" s="101" t="s">
        <v>267</v>
      </c>
      <c r="C784" s="86" t="s">
        <v>3100</v>
      </c>
      <c r="D784" s="161" t="s">
        <v>2270</v>
      </c>
      <c r="E784" s="161" t="s">
        <v>1640</v>
      </c>
      <c r="F784" s="161" t="s">
        <v>3101</v>
      </c>
      <c r="G784" s="163">
        <v>272.22</v>
      </c>
      <c r="H784" s="163">
        <f t="shared" si="65"/>
        <v>18.88</v>
      </c>
      <c r="I784" s="173">
        <v>67</v>
      </c>
      <c r="J784" s="173">
        <v>14271.7336847774</v>
      </c>
      <c r="K784" s="173">
        <v>200733.484673224</v>
      </c>
      <c r="L784" s="174"/>
      <c r="M784" s="161" t="s">
        <v>3079</v>
      </c>
      <c r="N784" s="161" t="s">
        <v>1901</v>
      </c>
      <c r="O784" s="161" t="s">
        <v>26</v>
      </c>
      <c r="P784" s="49" t="s">
        <v>26</v>
      </c>
      <c r="Q784" s="166" t="s">
        <v>3102</v>
      </c>
      <c r="R784" s="151"/>
    </row>
    <row r="785" spans="1:18">
      <c r="A785" s="101" t="s">
        <v>39</v>
      </c>
      <c r="B785" s="101" t="s">
        <v>267</v>
      </c>
      <c r="C785" s="86" t="s">
        <v>3103</v>
      </c>
      <c r="D785" s="161" t="s">
        <v>2832</v>
      </c>
      <c r="E785" s="161" t="s">
        <v>1980</v>
      </c>
      <c r="F785" s="161" t="s">
        <v>3101</v>
      </c>
      <c r="G785" s="163">
        <v>292.4444</v>
      </c>
      <c r="H785" s="163">
        <f t="shared" si="65"/>
        <v>20.2243999999999</v>
      </c>
      <c r="I785" s="176">
        <v>57</v>
      </c>
      <c r="J785" s="176">
        <v>15731</v>
      </c>
      <c r="K785" s="176">
        <v>216464.484673224</v>
      </c>
      <c r="L785" s="163"/>
      <c r="M785" s="161" t="s">
        <v>3079</v>
      </c>
      <c r="N785" s="161" t="s">
        <v>1901</v>
      </c>
      <c r="O785" s="161" t="s">
        <v>26</v>
      </c>
      <c r="P785" s="49" t="s">
        <v>26</v>
      </c>
      <c r="Q785" s="166" t="s">
        <v>3104</v>
      </c>
      <c r="R785" s="151"/>
    </row>
    <row r="786" spans="1:18">
      <c r="A786" s="101" t="s">
        <v>39</v>
      </c>
      <c r="B786" s="101" t="s">
        <v>267</v>
      </c>
      <c r="C786" s="86" t="s">
        <v>3105</v>
      </c>
      <c r="D786" s="161" t="s">
        <v>2835</v>
      </c>
      <c r="E786" s="161" t="s">
        <v>1980</v>
      </c>
      <c r="F786" s="161" t="s">
        <v>3101</v>
      </c>
      <c r="G786" s="163">
        <v>315.703</v>
      </c>
      <c r="H786" s="163">
        <f t="shared" si="65"/>
        <v>23.2586</v>
      </c>
      <c r="I786" s="176">
        <v>53</v>
      </c>
      <c r="J786" s="176">
        <v>16905</v>
      </c>
      <c r="K786" s="176">
        <v>233369.484673224</v>
      </c>
      <c r="L786" s="163"/>
      <c r="M786" s="161" t="s">
        <v>3079</v>
      </c>
      <c r="N786" s="161" t="s">
        <v>1901</v>
      </c>
      <c r="O786" s="161" t="s">
        <v>26</v>
      </c>
      <c r="P786" s="49" t="s">
        <v>26</v>
      </c>
      <c r="Q786" s="166" t="s">
        <v>3106</v>
      </c>
      <c r="R786" s="151"/>
    </row>
    <row r="787" spans="1:18">
      <c r="A787" s="101" t="s">
        <v>39</v>
      </c>
      <c r="B787" s="101" t="s">
        <v>267</v>
      </c>
      <c r="C787" s="86" t="s">
        <v>3107</v>
      </c>
      <c r="D787" s="161" t="s">
        <v>3107</v>
      </c>
      <c r="E787" s="161" t="s">
        <v>1980</v>
      </c>
      <c r="F787" s="161" t="s">
        <v>3101</v>
      </c>
      <c r="G787" s="163">
        <v>355.25</v>
      </c>
      <c r="H787" s="163">
        <f t="shared" si="65"/>
        <v>39.547</v>
      </c>
      <c r="I787" s="176">
        <v>48</v>
      </c>
      <c r="J787" s="176">
        <v>16827</v>
      </c>
      <c r="K787" s="176">
        <v>250196.484673224</v>
      </c>
      <c r="L787" s="163"/>
      <c r="M787" s="161" t="s">
        <v>3079</v>
      </c>
      <c r="N787" s="161" t="s">
        <v>1331</v>
      </c>
      <c r="O787" s="161" t="s">
        <v>14</v>
      </c>
      <c r="P787" s="49" t="s">
        <v>14</v>
      </c>
      <c r="Q787" s="166" t="s">
        <v>3108</v>
      </c>
      <c r="R787" s="151"/>
    </row>
    <row r="788" spans="1:18">
      <c r="A788" s="101" t="s">
        <v>39</v>
      </c>
      <c r="B788" s="101" t="s">
        <v>267</v>
      </c>
      <c r="C788" s="86" t="s">
        <v>3109</v>
      </c>
      <c r="D788" s="161" t="s">
        <v>1346</v>
      </c>
      <c r="E788" s="161" t="s">
        <v>1980</v>
      </c>
      <c r="F788" s="161" t="s">
        <v>3101</v>
      </c>
      <c r="G788" s="163">
        <v>380.5296</v>
      </c>
      <c r="H788" s="163">
        <f t="shared" si="65"/>
        <v>25.2796</v>
      </c>
      <c r="I788" s="173">
        <v>48</v>
      </c>
      <c r="J788" s="173">
        <v>18549</v>
      </c>
      <c r="K788" s="173">
        <v>268745.484673224</v>
      </c>
      <c r="L788" s="174"/>
      <c r="M788" s="161" t="s">
        <v>3079</v>
      </c>
      <c r="N788" s="161" t="s">
        <v>1299</v>
      </c>
      <c r="O788" s="161" t="s">
        <v>25</v>
      </c>
      <c r="P788" s="49" t="s">
        <v>25</v>
      </c>
      <c r="Q788" s="166" t="s">
        <v>3110</v>
      </c>
      <c r="R788" s="151"/>
    </row>
    <row r="789" spans="1:18">
      <c r="A789" s="101" t="s">
        <v>39</v>
      </c>
      <c r="B789" s="101" t="s">
        <v>267</v>
      </c>
      <c r="C789" s="86" t="s">
        <v>3111</v>
      </c>
      <c r="D789" s="161" t="s">
        <v>1349</v>
      </c>
      <c r="E789" s="161" t="s">
        <v>1980</v>
      </c>
      <c r="F789" s="161" t="s">
        <v>3101</v>
      </c>
      <c r="G789" s="163">
        <v>405.0161</v>
      </c>
      <c r="H789" s="163">
        <f t="shared" si="65"/>
        <v>24.4865</v>
      </c>
      <c r="I789" s="176">
        <v>44</v>
      </c>
      <c r="J789" s="176">
        <v>18627</v>
      </c>
      <c r="K789" s="176">
        <v>287372.484673224</v>
      </c>
      <c r="L789" s="163"/>
      <c r="M789" s="161" t="s">
        <v>3079</v>
      </c>
      <c r="N789" s="161" t="s">
        <v>1299</v>
      </c>
      <c r="O789" s="161" t="s">
        <v>25</v>
      </c>
      <c r="P789" s="49" t="s">
        <v>25</v>
      </c>
      <c r="Q789" s="166" t="s">
        <v>3112</v>
      </c>
      <c r="R789" s="151"/>
    </row>
    <row r="790" spans="1:18">
      <c r="A790" s="101" t="s">
        <v>39</v>
      </c>
      <c r="B790" s="101" t="s">
        <v>267</v>
      </c>
      <c r="C790" s="86" t="s">
        <v>3113</v>
      </c>
      <c r="D790" s="161" t="s">
        <v>3113</v>
      </c>
      <c r="E790" s="161" t="s">
        <v>1980</v>
      </c>
      <c r="F790" s="161" t="s">
        <v>3101</v>
      </c>
      <c r="G790" s="163">
        <v>421.77</v>
      </c>
      <c r="H790" s="163">
        <f t="shared" si="65"/>
        <v>16.7539</v>
      </c>
      <c r="I790" s="176">
        <v>40</v>
      </c>
      <c r="J790" s="176">
        <v>13226</v>
      </c>
      <c r="K790" s="176">
        <v>300598.484673224</v>
      </c>
      <c r="L790" s="163"/>
      <c r="M790" s="161" t="s">
        <v>3079</v>
      </c>
      <c r="N790" s="161" t="s">
        <v>1331</v>
      </c>
      <c r="O790" s="161" t="s">
        <v>14</v>
      </c>
      <c r="P790" s="49" t="s">
        <v>14</v>
      </c>
      <c r="Q790" s="166" t="s">
        <v>3114</v>
      </c>
      <c r="R790" s="151"/>
    </row>
    <row r="791" spans="1:18">
      <c r="A791" s="101" t="s">
        <v>39</v>
      </c>
      <c r="B791" s="101" t="s">
        <v>267</v>
      </c>
      <c r="C791" s="86" t="s">
        <v>3115</v>
      </c>
      <c r="D791" s="161" t="s">
        <v>2286</v>
      </c>
      <c r="E791" s="161" t="s">
        <v>1980</v>
      </c>
      <c r="F791" s="161" t="s">
        <v>1981</v>
      </c>
      <c r="G791" s="163">
        <v>445.9325</v>
      </c>
      <c r="H791" s="163">
        <f t="shared" si="65"/>
        <v>24.1625</v>
      </c>
      <c r="I791" s="176">
        <v>38</v>
      </c>
      <c r="J791" s="176">
        <v>17453</v>
      </c>
      <c r="K791" s="176">
        <v>318051.484673224</v>
      </c>
      <c r="L791" s="163"/>
      <c r="M791" s="161" t="s">
        <v>3079</v>
      </c>
      <c r="N791" s="161" t="s">
        <v>1901</v>
      </c>
      <c r="O791" s="161" t="s">
        <v>26</v>
      </c>
      <c r="P791" s="49" t="s">
        <v>26</v>
      </c>
      <c r="Q791" s="166" t="s">
        <v>3116</v>
      </c>
      <c r="R791" s="151"/>
    </row>
    <row r="792" spans="1:18">
      <c r="A792" s="101" t="s">
        <v>39</v>
      </c>
      <c r="B792" s="101" t="s">
        <v>267</v>
      </c>
      <c r="C792" s="86" t="s">
        <v>3117</v>
      </c>
      <c r="D792" s="161" t="s">
        <v>3117</v>
      </c>
      <c r="E792" s="161" t="s">
        <v>1980</v>
      </c>
      <c r="F792" s="161" t="s">
        <v>1981</v>
      </c>
      <c r="G792" s="163">
        <v>464.28</v>
      </c>
      <c r="H792" s="163">
        <f t="shared" si="65"/>
        <v>18.3475</v>
      </c>
      <c r="I792" s="176">
        <v>41</v>
      </c>
      <c r="J792" s="176">
        <v>15419</v>
      </c>
      <c r="K792" s="176">
        <v>333470.484673224</v>
      </c>
      <c r="L792" s="163"/>
      <c r="M792" s="161" t="s">
        <v>3079</v>
      </c>
      <c r="N792" s="161" t="s">
        <v>1331</v>
      </c>
      <c r="O792" s="161" t="s">
        <v>14</v>
      </c>
      <c r="P792" s="49" t="s">
        <v>14</v>
      </c>
      <c r="Q792" s="166" t="s">
        <v>3118</v>
      </c>
      <c r="R792" s="151"/>
    </row>
    <row r="793" spans="1:18">
      <c r="A793" s="101" t="s">
        <v>39</v>
      </c>
      <c r="B793" s="101" t="s">
        <v>267</v>
      </c>
      <c r="C793" s="86" t="s">
        <v>3119</v>
      </c>
      <c r="D793" s="161" t="s">
        <v>2294</v>
      </c>
      <c r="E793" s="161" t="s">
        <v>1980</v>
      </c>
      <c r="F793" s="161" t="s">
        <v>1981</v>
      </c>
      <c r="G793" s="163">
        <v>486.9281</v>
      </c>
      <c r="H793" s="163">
        <f t="shared" si="65"/>
        <v>22.6481</v>
      </c>
      <c r="I793" s="176">
        <v>64</v>
      </c>
      <c r="J793" s="176">
        <v>18548</v>
      </c>
      <c r="K793" s="176">
        <v>352018.484673224</v>
      </c>
      <c r="L793" s="163"/>
      <c r="M793" s="161" t="s">
        <v>3079</v>
      </c>
      <c r="N793" s="161" t="s">
        <v>1901</v>
      </c>
      <c r="O793" s="161" t="s">
        <v>26</v>
      </c>
      <c r="P793" s="49" t="s">
        <v>26</v>
      </c>
      <c r="Q793" s="166" t="s">
        <v>3120</v>
      </c>
      <c r="R793" s="151"/>
    </row>
    <row r="794" spans="1:18">
      <c r="A794" s="101" t="s">
        <v>39</v>
      </c>
      <c r="B794" s="101" t="s">
        <v>267</v>
      </c>
      <c r="C794" s="86" t="s">
        <v>3121</v>
      </c>
      <c r="D794" s="161" t="s">
        <v>2297</v>
      </c>
      <c r="E794" s="161" t="s">
        <v>1980</v>
      </c>
      <c r="F794" s="161" t="s">
        <v>2005</v>
      </c>
      <c r="G794" s="163">
        <v>508.3683</v>
      </c>
      <c r="H794" s="163">
        <f t="shared" si="65"/>
        <v>21.4402</v>
      </c>
      <c r="I794" s="176">
        <v>73</v>
      </c>
      <c r="J794" s="176">
        <v>16045</v>
      </c>
      <c r="K794" s="176">
        <v>368063.484673224</v>
      </c>
      <c r="L794" s="163"/>
      <c r="M794" s="161" t="s">
        <v>3079</v>
      </c>
      <c r="N794" s="161" t="s">
        <v>1901</v>
      </c>
      <c r="O794" s="161" t="s">
        <v>26</v>
      </c>
      <c r="P794" s="49" t="s">
        <v>26</v>
      </c>
      <c r="Q794" s="166" t="s">
        <v>3122</v>
      </c>
      <c r="R794" s="151"/>
    </row>
    <row r="795" spans="1:18">
      <c r="A795" s="101" t="s">
        <v>39</v>
      </c>
      <c r="B795" s="101" t="s">
        <v>267</v>
      </c>
      <c r="C795" s="86" t="s">
        <v>3123</v>
      </c>
      <c r="D795" s="161" t="s">
        <v>1358</v>
      </c>
      <c r="E795" s="161" t="s">
        <v>1980</v>
      </c>
      <c r="F795" s="161" t="s">
        <v>2005</v>
      </c>
      <c r="G795" s="163">
        <v>526.1848</v>
      </c>
      <c r="H795" s="163">
        <f t="shared" si="65"/>
        <v>17.8165</v>
      </c>
      <c r="I795" s="176">
        <v>121</v>
      </c>
      <c r="J795" s="176">
        <v>16592</v>
      </c>
      <c r="K795" s="176">
        <v>384655.484673224</v>
      </c>
      <c r="L795" s="163"/>
      <c r="M795" s="161" t="s">
        <v>3079</v>
      </c>
      <c r="N795" s="161" t="s">
        <v>1299</v>
      </c>
      <c r="O795" s="161" t="s">
        <v>25</v>
      </c>
      <c r="P795" s="49" t="s">
        <v>25</v>
      </c>
      <c r="Q795" s="166" t="s">
        <v>3124</v>
      </c>
      <c r="R795" s="151"/>
    </row>
    <row r="796" spans="1:18">
      <c r="A796" s="101" t="s">
        <v>39</v>
      </c>
      <c r="B796" s="101" t="s">
        <v>267</v>
      </c>
      <c r="C796" s="86" t="s">
        <v>182</v>
      </c>
      <c r="D796" s="161" t="s">
        <v>182</v>
      </c>
      <c r="E796" s="161" t="s">
        <v>1980</v>
      </c>
      <c r="F796" s="161" t="s">
        <v>2005</v>
      </c>
      <c r="G796" s="163">
        <v>545.3099</v>
      </c>
      <c r="H796" s="163">
        <f t="shared" si="65"/>
        <v>19.1251</v>
      </c>
      <c r="I796" s="176">
        <v>160</v>
      </c>
      <c r="J796" s="176">
        <v>13618</v>
      </c>
      <c r="K796" s="176">
        <v>398273.484673224</v>
      </c>
      <c r="L796" s="163"/>
      <c r="M796" s="161" t="s">
        <v>3079</v>
      </c>
      <c r="N796" s="161" t="s">
        <v>1331</v>
      </c>
      <c r="O796" s="161" t="s">
        <v>6</v>
      </c>
      <c r="P796" s="49" t="s">
        <v>6</v>
      </c>
      <c r="Q796" s="166" t="s">
        <v>3125</v>
      </c>
      <c r="R796" s="151"/>
    </row>
    <row r="797" spans="1:18">
      <c r="A797" s="101" t="s">
        <v>39</v>
      </c>
      <c r="B797" s="101" t="s">
        <v>268</v>
      </c>
      <c r="C797" s="135" t="s">
        <v>269</v>
      </c>
      <c r="D797" s="161" t="s">
        <v>269</v>
      </c>
      <c r="E797" s="161" t="s">
        <v>1980</v>
      </c>
      <c r="F797" s="161"/>
      <c r="G797" s="176">
        <v>0</v>
      </c>
      <c r="H797" s="176">
        <v>0</v>
      </c>
      <c r="I797" s="176"/>
      <c r="J797" s="176"/>
      <c r="K797" s="176"/>
      <c r="L797" s="163"/>
      <c r="M797" s="161"/>
      <c r="N797" s="161"/>
      <c r="O797" s="161"/>
      <c r="P797" s="49"/>
      <c r="Q797" s="166"/>
      <c r="R797" s="151"/>
    </row>
    <row r="798" spans="1:18">
      <c r="A798" s="101" t="s">
        <v>39</v>
      </c>
      <c r="B798" s="101" t="s">
        <v>268</v>
      </c>
      <c r="C798" s="86" t="s">
        <v>3126</v>
      </c>
      <c r="D798" s="161" t="s">
        <v>3127</v>
      </c>
      <c r="E798" s="161" t="s">
        <v>1980</v>
      </c>
      <c r="F798" s="161"/>
      <c r="G798" s="176">
        <v>13.6</v>
      </c>
      <c r="H798" s="176">
        <v>13.6</v>
      </c>
      <c r="I798" s="176"/>
      <c r="J798" s="176"/>
      <c r="K798" s="176"/>
      <c r="L798" s="163"/>
      <c r="M798" s="161"/>
      <c r="N798" s="161" t="s">
        <v>1299</v>
      </c>
      <c r="O798" s="161" t="s">
        <v>25</v>
      </c>
      <c r="P798" s="49" t="s">
        <v>25</v>
      </c>
      <c r="Q798" s="166"/>
      <c r="R798" s="151"/>
    </row>
    <row r="799" spans="1:18">
      <c r="A799" s="101" t="s">
        <v>39</v>
      </c>
      <c r="B799" s="101" t="s">
        <v>268</v>
      </c>
      <c r="C799" s="135" t="s">
        <v>270</v>
      </c>
      <c r="D799" s="161" t="s">
        <v>270</v>
      </c>
      <c r="E799" s="161" t="s">
        <v>1980</v>
      </c>
      <c r="F799" s="161"/>
      <c r="G799" s="176">
        <v>25.6</v>
      </c>
      <c r="H799" s="176">
        <v>12</v>
      </c>
      <c r="I799" s="176"/>
      <c r="J799" s="176"/>
      <c r="K799" s="176"/>
      <c r="L799" s="163"/>
      <c r="M799" s="161"/>
      <c r="N799" s="161"/>
      <c r="O799" s="161"/>
      <c r="P799" s="49"/>
      <c r="Q799" s="166"/>
      <c r="R799" s="151"/>
    </row>
    <row r="800" spans="1:18">
      <c r="A800" s="101" t="s">
        <v>40</v>
      </c>
      <c r="B800" s="101" t="s">
        <v>271</v>
      </c>
      <c r="C800" s="135" t="s">
        <v>208</v>
      </c>
      <c r="D800" s="161" t="s">
        <v>208</v>
      </c>
      <c r="E800" s="161" t="s">
        <v>2750</v>
      </c>
      <c r="F800" s="161" t="s">
        <v>2777</v>
      </c>
      <c r="G800" s="163">
        <v>0</v>
      </c>
      <c r="H800" s="163">
        <v>0</v>
      </c>
      <c r="I800" s="176">
        <v>36</v>
      </c>
      <c r="J800" s="176">
        <v>0</v>
      </c>
      <c r="K800" s="176">
        <v>0</v>
      </c>
      <c r="L800" s="163"/>
      <c r="M800" s="161" t="s">
        <v>2232</v>
      </c>
      <c r="N800" s="161" t="s">
        <v>1331</v>
      </c>
      <c r="O800" s="161"/>
      <c r="P800" s="49"/>
      <c r="Q800" s="166" t="s">
        <v>2785</v>
      </c>
      <c r="R800" s="151"/>
    </row>
    <row r="801" spans="1:18">
      <c r="A801" s="101" t="s">
        <v>40</v>
      </c>
      <c r="B801" s="101" t="s">
        <v>271</v>
      </c>
      <c r="C801" s="87" t="s">
        <v>3128</v>
      </c>
      <c r="D801" s="161" t="s">
        <v>3128</v>
      </c>
      <c r="E801" s="161" t="s">
        <v>2750</v>
      </c>
      <c r="F801" s="161" t="s">
        <v>2777</v>
      </c>
      <c r="G801" s="163">
        <v>21.1</v>
      </c>
      <c r="H801" s="163">
        <f t="shared" ref="H801:H814" si="66">G801-G800</f>
        <v>21.1</v>
      </c>
      <c r="I801" s="176">
        <v>21</v>
      </c>
      <c r="J801" s="176">
        <v>14601.6037542514</v>
      </c>
      <c r="K801" s="176">
        <f>K800+J801</f>
        <v>14601.6037542514</v>
      </c>
      <c r="L801" s="163"/>
      <c r="M801" s="161" t="s">
        <v>3129</v>
      </c>
      <c r="N801" s="161" t="s">
        <v>1331</v>
      </c>
      <c r="O801" s="161" t="s">
        <v>14</v>
      </c>
      <c r="P801" s="49" t="s">
        <v>14</v>
      </c>
      <c r="Q801" s="166" t="s">
        <v>3130</v>
      </c>
      <c r="R801" s="151"/>
    </row>
    <row r="802" spans="1:18">
      <c r="A802" s="101" t="s">
        <v>40</v>
      </c>
      <c r="B802" s="101" t="s">
        <v>271</v>
      </c>
      <c r="C802" s="87" t="s">
        <v>3131</v>
      </c>
      <c r="D802" s="161" t="s">
        <v>1899</v>
      </c>
      <c r="E802" s="161" t="s">
        <v>2750</v>
      </c>
      <c r="F802" s="161" t="s">
        <v>2777</v>
      </c>
      <c r="G802" s="163">
        <v>41.8381</v>
      </c>
      <c r="H802" s="163">
        <f t="shared" si="66"/>
        <v>20.7381</v>
      </c>
      <c r="I802" s="176">
        <v>21</v>
      </c>
      <c r="J802" s="176">
        <v>18344.3188764686</v>
      </c>
      <c r="K802" s="176">
        <f t="shared" ref="K802:K828" si="67">K801+J802</f>
        <v>32945.92263072</v>
      </c>
      <c r="L802" s="163"/>
      <c r="M802" s="161" t="s">
        <v>3129</v>
      </c>
      <c r="N802" s="161" t="s">
        <v>1901</v>
      </c>
      <c r="O802" s="161" t="s">
        <v>26</v>
      </c>
      <c r="P802" s="49" t="s">
        <v>26</v>
      </c>
      <c r="Q802" s="166" t="s">
        <v>3132</v>
      </c>
      <c r="R802" s="151"/>
    </row>
    <row r="803" spans="1:18">
      <c r="A803" s="101" t="s">
        <v>40</v>
      </c>
      <c r="B803" s="101" t="s">
        <v>271</v>
      </c>
      <c r="C803" s="87" t="s">
        <v>276</v>
      </c>
      <c r="D803" s="161" t="s">
        <v>1904</v>
      </c>
      <c r="E803" s="161" t="s">
        <v>2750</v>
      </c>
      <c r="F803" s="161" t="s">
        <v>2777</v>
      </c>
      <c r="G803" s="163">
        <v>62.7908</v>
      </c>
      <c r="H803" s="163">
        <f t="shared" si="66"/>
        <v>20.9527</v>
      </c>
      <c r="I803" s="176">
        <v>24</v>
      </c>
      <c r="J803" s="176">
        <v>13120.0576848</v>
      </c>
      <c r="K803" s="176">
        <f t="shared" si="67"/>
        <v>46065.98031552</v>
      </c>
      <c r="L803" s="163"/>
      <c r="M803" s="161" t="s">
        <v>3129</v>
      </c>
      <c r="N803" s="161" t="s">
        <v>1901</v>
      </c>
      <c r="O803" s="161" t="s">
        <v>26</v>
      </c>
      <c r="P803" s="49" t="s">
        <v>26</v>
      </c>
      <c r="Q803" s="166" t="s">
        <v>3133</v>
      </c>
      <c r="R803" s="151"/>
    </row>
    <row r="804" spans="1:18">
      <c r="A804" s="101" t="s">
        <v>40</v>
      </c>
      <c r="B804" s="101" t="s">
        <v>271</v>
      </c>
      <c r="C804" s="87" t="s">
        <v>3134</v>
      </c>
      <c r="D804" s="161" t="s">
        <v>3134</v>
      </c>
      <c r="E804" s="161" t="s">
        <v>2750</v>
      </c>
      <c r="F804" s="161" t="s">
        <v>2777</v>
      </c>
      <c r="G804" s="163">
        <v>79.2</v>
      </c>
      <c r="H804" s="163">
        <f t="shared" si="66"/>
        <v>16.4092</v>
      </c>
      <c r="I804" s="176">
        <v>18</v>
      </c>
      <c r="J804" s="176">
        <v>11662.2734976</v>
      </c>
      <c r="K804" s="176">
        <f t="shared" si="67"/>
        <v>57728.25381312</v>
      </c>
      <c r="L804" s="163"/>
      <c r="M804" s="161" t="s">
        <v>3129</v>
      </c>
      <c r="N804" s="161" t="s">
        <v>1331</v>
      </c>
      <c r="O804" s="161" t="s">
        <v>14</v>
      </c>
      <c r="P804" s="49" t="s">
        <v>14</v>
      </c>
      <c r="Q804" s="166" t="s">
        <v>3135</v>
      </c>
      <c r="R804" s="151"/>
    </row>
    <row r="805" spans="1:18">
      <c r="A805" s="101" t="s">
        <v>40</v>
      </c>
      <c r="B805" s="101" t="s">
        <v>271</v>
      </c>
      <c r="C805" s="87" t="s">
        <v>3136</v>
      </c>
      <c r="D805" s="161" t="s">
        <v>3136</v>
      </c>
      <c r="E805" s="161" t="s">
        <v>2750</v>
      </c>
      <c r="F805" s="161" t="s">
        <v>2777</v>
      </c>
      <c r="G805" s="163">
        <v>102.7</v>
      </c>
      <c r="H805" s="163">
        <f t="shared" si="66"/>
        <v>23.5</v>
      </c>
      <c r="I805" s="176">
        <v>16</v>
      </c>
      <c r="J805" s="176">
        <v>17823.0881403353</v>
      </c>
      <c r="K805" s="176">
        <f t="shared" si="67"/>
        <v>75551.3419534553</v>
      </c>
      <c r="L805" s="163"/>
      <c r="M805" s="161" t="s">
        <v>3129</v>
      </c>
      <c r="N805" s="161" t="s">
        <v>1331</v>
      </c>
      <c r="O805" s="161" t="s">
        <v>14</v>
      </c>
      <c r="P805" s="49" t="s">
        <v>14</v>
      </c>
      <c r="Q805" s="166" t="s">
        <v>3137</v>
      </c>
      <c r="R805" s="151"/>
    </row>
    <row r="806" spans="1:18">
      <c r="A806" s="101" t="s">
        <v>40</v>
      </c>
      <c r="B806" s="101" t="s">
        <v>271</v>
      </c>
      <c r="C806" s="87" t="s">
        <v>3138</v>
      </c>
      <c r="D806" s="161" t="s">
        <v>2820</v>
      </c>
      <c r="E806" s="161" t="s">
        <v>2750</v>
      </c>
      <c r="F806" s="161" t="s">
        <v>2777</v>
      </c>
      <c r="G806" s="163">
        <v>124.8511</v>
      </c>
      <c r="H806" s="163">
        <f t="shared" si="66"/>
        <v>22.1511</v>
      </c>
      <c r="I806" s="176">
        <v>24</v>
      </c>
      <c r="J806" s="176">
        <v>16799.2863056647</v>
      </c>
      <c r="K806" s="176">
        <f t="shared" si="67"/>
        <v>92350.62825912</v>
      </c>
      <c r="L806" s="163"/>
      <c r="M806" s="161" t="s">
        <v>3129</v>
      </c>
      <c r="N806" s="161" t="s">
        <v>1901</v>
      </c>
      <c r="O806" s="161" t="s">
        <v>26</v>
      </c>
      <c r="P806" s="49" t="s">
        <v>26</v>
      </c>
      <c r="Q806" s="166" t="s">
        <v>3139</v>
      </c>
      <c r="R806" s="151"/>
    </row>
    <row r="807" spans="1:18">
      <c r="A807" s="101" t="s">
        <v>40</v>
      </c>
      <c r="B807" s="101" t="s">
        <v>271</v>
      </c>
      <c r="C807" s="87" t="s">
        <v>3140</v>
      </c>
      <c r="D807" s="161" t="s">
        <v>3140</v>
      </c>
      <c r="E807" s="161" t="s">
        <v>2750</v>
      </c>
      <c r="F807" s="161" t="s">
        <v>2777</v>
      </c>
      <c r="G807" s="163">
        <v>147.6565</v>
      </c>
      <c r="H807" s="163">
        <f t="shared" si="66"/>
        <v>22.8054</v>
      </c>
      <c r="I807" s="176">
        <v>22</v>
      </c>
      <c r="J807" s="176">
        <v>16764.5181528</v>
      </c>
      <c r="K807" s="176">
        <f t="shared" si="67"/>
        <v>109115.14641192</v>
      </c>
      <c r="L807" s="163"/>
      <c r="M807" s="161" t="s">
        <v>3129</v>
      </c>
      <c r="N807" s="161" t="s">
        <v>1901</v>
      </c>
      <c r="O807" s="161" t="s">
        <v>26</v>
      </c>
      <c r="P807" s="49" t="s">
        <v>16</v>
      </c>
      <c r="Q807" s="166" t="s">
        <v>3141</v>
      </c>
      <c r="R807" s="151"/>
    </row>
    <row r="808" spans="1:18">
      <c r="A808" s="101" t="s">
        <v>40</v>
      </c>
      <c r="B808" s="101" t="s">
        <v>271</v>
      </c>
      <c r="C808" s="87" t="s">
        <v>3142</v>
      </c>
      <c r="D808" s="161" t="s">
        <v>2258</v>
      </c>
      <c r="E808" s="161" t="s">
        <v>2750</v>
      </c>
      <c r="F808" s="161" t="s">
        <v>2777</v>
      </c>
      <c r="G808" s="163">
        <v>164.5137</v>
      </c>
      <c r="H808" s="163">
        <f t="shared" si="66"/>
        <v>16.8572</v>
      </c>
      <c r="I808" s="176">
        <v>23</v>
      </c>
      <c r="J808" s="176">
        <v>17128.9641996</v>
      </c>
      <c r="K808" s="176">
        <f t="shared" si="67"/>
        <v>126244.11061152</v>
      </c>
      <c r="L808" s="163"/>
      <c r="M808" s="161" t="s">
        <v>3129</v>
      </c>
      <c r="N808" s="161" t="s">
        <v>1901</v>
      </c>
      <c r="O808" s="161" t="s">
        <v>26</v>
      </c>
      <c r="P808" s="49" t="s">
        <v>26</v>
      </c>
      <c r="Q808" s="166" t="s">
        <v>3143</v>
      </c>
      <c r="R808" s="151"/>
    </row>
    <row r="809" spans="1:18">
      <c r="A809" s="101" t="s">
        <v>40</v>
      </c>
      <c r="B809" s="101" t="s">
        <v>271</v>
      </c>
      <c r="C809" s="87" t="s">
        <v>3144</v>
      </c>
      <c r="D809" s="161" t="s">
        <v>2261</v>
      </c>
      <c r="E809" s="161" t="s">
        <v>2750</v>
      </c>
      <c r="F809" s="161" t="s">
        <v>2777</v>
      </c>
      <c r="G809" s="163">
        <v>185.0642</v>
      </c>
      <c r="H809" s="163">
        <f t="shared" si="66"/>
        <v>20.5505</v>
      </c>
      <c r="I809" s="176">
        <v>23</v>
      </c>
      <c r="J809" s="176">
        <v>17493.4102464</v>
      </c>
      <c r="K809" s="176">
        <f t="shared" si="67"/>
        <v>143737.52085792</v>
      </c>
      <c r="L809" s="163"/>
      <c r="M809" s="161" t="s">
        <v>3129</v>
      </c>
      <c r="N809" s="161" t="s">
        <v>1901</v>
      </c>
      <c r="O809" s="161" t="s">
        <v>26</v>
      </c>
      <c r="P809" s="49" t="s">
        <v>26</v>
      </c>
      <c r="Q809" s="166" t="s">
        <v>3145</v>
      </c>
      <c r="R809" s="151"/>
    </row>
    <row r="810" s="152" customFormat="1" spans="1:18">
      <c r="A810" s="101" t="s">
        <v>40</v>
      </c>
      <c r="B810" s="101" t="s">
        <v>271</v>
      </c>
      <c r="C810" s="87" t="s">
        <v>3146</v>
      </c>
      <c r="D810" s="162" t="s">
        <v>3146</v>
      </c>
      <c r="E810" s="161" t="s">
        <v>2750</v>
      </c>
      <c r="F810" s="161" t="s">
        <v>2777</v>
      </c>
      <c r="G810" s="163">
        <v>202.6011</v>
      </c>
      <c r="H810" s="163">
        <f t="shared" si="66"/>
        <v>17.5369</v>
      </c>
      <c r="I810" s="176">
        <v>24</v>
      </c>
      <c r="J810" s="176">
        <v>17493.4102464</v>
      </c>
      <c r="K810" s="176">
        <f t="shared" si="67"/>
        <v>161230.93110432</v>
      </c>
      <c r="L810" s="163"/>
      <c r="M810" s="161" t="s">
        <v>3129</v>
      </c>
      <c r="N810" s="161"/>
      <c r="O810" s="161" t="s">
        <v>26</v>
      </c>
      <c r="P810" s="49" t="s">
        <v>14</v>
      </c>
      <c r="Q810" s="166" t="s">
        <v>3147</v>
      </c>
      <c r="R810" s="151"/>
    </row>
    <row r="811" spans="1:18">
      <c r="A811" s="101" t="s">
        <v>40</v>
      </c>
      <c r="B811" s="101" t="s">
        <v>271</v>
      </c>
      <c r="C811" s="87" t="s">
        <v>3148</v>
      </c>
      <c r="D811" s="161" t="s">
        <v>2266</v>
      </c>
      <c r="E811" s="161" t="s">
        <v>2750</v>
      </c>
      <c r="F811" s="161" t="s">
        <v>2777</v>
      </c>
      <c r="G811" s="163">
        <v>221.5402</v>
      </c>
      <c r="H811" s="163">
        <f t="shared" si="66"/>
        <v>18.9391</v>
      </c>
      <c r="I811" s="176">
        <v>24</v>
      </c>
      <c r="J811" s="176">
        <v>16764.5181528</v>
      </c>
      <c r="K811" s="176">
        <f t="shared" si="67"/>
        <v>177995.44925712</v>
      </c>
      <c r="L811" s="163"/>
      <c r="M811" s="161" t="s">
        <v>3129</v>
      </c>
      <c r="N811" s="161" t="s">
        <v>1901</v>
      </c>
      <c r="O811" s="161" t="s">
        <v>26</v>
      </c>
      <c r="P811" s="49" t="s">
        <v>26</v>
      </c>
      <c r="Q811" s="166" t="s">
        <v>3149</v>
      </c>
      <c r="R811" s="151"/>
    </row>
    <row r="812" spans="1:18">
      <c r="A812" s="101" t="s">
        <v>40</v>
      </c>
      <c r="B812" s="101" t="s">
        <v>271</v>
      </c>
      <c r="C812" s="87" t="s">
        <v>3150</v>
      </c>
      <c r="D812" s="161" t="s">
        <v>1334</v>
      </c>
      <c r="E812" s="161" t="s">
        <v>2750</v>
      </c>
      <c r="F812" s="161" t="s">
        <v>2777</v>
      </c>
      <c r="G812" s="163">
        <v>236.797</v>
      </c>
      <c r="H812" s="163">
        <f t="shared" si="66"/>
        <v>15.2568</v>
      </c>
      <c r="I812" s="176">
        <v>22</v>
      </c>
      <c r="J812" s="176">
        <v>16983.18578088</v>
      </c>
      <c r="K812" s="176">
        <f t="shared" si="67"/>
        <v>194978.635038</v>
      </c>
      <c r="L812" s="163"/>
      <c r="M812" s="161" t="s">
        <v>3129</v>
      </c>
      <c r="N812" s="161" t="s">
        <v>1299</v>
      </c>
      <c r="O812" s="161" t="s">
        <v>25</v>
      </c>
      <c r="P812" s="49" t="s">
        <v>25</v>
      </c>
      <c r="Q812" s="166" t="s">
        <v>3151</v>
      </c>
      <c r="R812" s="151"/>
    </row>
    <row r="813" spans="1:18">
      <c r="A813" s="101" t="s">
        <v>40</v>
      </c>
      <c r="B813" s="101" t="s">
        <v>271</v>
      </c>
      <c r="C813" s="87" t="s">
        <v>3152</v>
      </c>
      <c r="D813" s="161" t="s">
        <v>1338</v>
      </c>
      <c r="E813" s="161" t="s">
        <v>2750</v>
      </c>
      <c r="F813" s="161" t="s">
        <v>2777</v>
      </c>
      <c r="G813" s="163">
        <v>246.2541</v>
      </c>
      <c r="H813" s="163">
        <f t="shared" si="66"/>
        <v>9.4571</v>
      </c>
      <c r="I813" s="173">
        <v>19</v>
      </c>
      <c r="J813" s="173">
        <v>5102.2446552</v>
      </c>
      <c r="K813" s="173">
        <f t="shared" si="67"/>
        <v>200080.8796932</v>
      </c>
      <c r="L813" s="174"/>
      <c r="M813" s="161" t="s">
        <v>3129</v>
      </c>
      <c r="N813" s="161" t="s">
        <v>1299</v>
      </c>
      <c r="O813" s="161" t="s">
        <v>25</v>
      </c>
      <c r="P813" s="49" t="s">
        <v>25</v>
      </c>
      <c r="Q813" s="166" t="s">
        <v>3153</v>
      </c>
      <c r="R813" s="151"/>
    </row>
    <row r="814" spans="1:18">
      <c r="A814" s="101" t="s">
        <v>40</v>
      </c>
      <c r="B814" s="101" t="s">
        <v>273</v>
      </c>
      <c r="C814" s="87" t="s">
        <v>272</v>
      </c>
      <c r="D814" s="161" t="s">
        <v>272</v>
      </c>
      <c r="E814" s="161" t="s">
        <v>3154</v>
      </c>
      <c r="F814" s="161" t="s">
        <v>3155</v>
      </c>
      <c r="G814" s="163">
        <v>269.9999</v>
      </c>
      <c r="H814" s="163">
        <f t="shared" si="66"/>
        <v>23.7458</v>
      </c>
      <c r="I814" s="176">
        <v>14</v>
      </c>
      <c r="J814" s="176">
        <v>20263</v>
      </c>
      <c r="K814" s="176">
        <f t="shared" si="67"/>
        <v>220343.8796932</v>
      </c>
      <c r="L814" s="163"/>
      <c r="M814" s="161" t="s">
        <v>3129</v>
      </c>
      <c r="N814" s="161" t="s">
        <v>1331</v>
      </c>
      <c r="O814" s="161" t="s">
        <v>6</v>
      </c>
      <c r="P814" s="49" t="s">
        <v>6</v>
      </c>
      <c r="Q814" s="166" t="s">
        <v>3156</v>
      </c>
      <c r="R814" s="151"/>
    </row>
    <row r="815" spans="1:18">
      <c r="A815" s="101" t="s">
        <v>40</v>
      </c>
      <c r="B815" s="101" t="s">
        <v>273</v>
      </c>
      <c r="C815" s="87" t="s">
        <v>3157</v>
      </c>
      <c r="D815" s="161" t="s">
        <v>2835</v>
      </c>
      <c r="E815" s="161" t="s">
        <v>3154</v>
      </c>
      <c r="F815" s="161" t="s">
        <v>3155</v>
      </c>
      <c r="G815" s="163">
        <v>297.7499</v>
      </c>
      <c r="H815" s="163">
        <f t="shared" ref="H815:H828" si="68">G815-G814</f>
        <v>27.75</v>
      </c>
      <c r="I815" s="176">
        <v>21</v>
      </c>
      <c r="J815" s="176">
        <v>20739.1836353587</v>
      </c>
      <c r="K815" s="176">
        <f t="shared" si="67"/>
        <v>241083.063328559</v>
      </c>
      <c r="L815" s="163"/>
      <c r="M815" s="161" t="s">
        <v>3129</v>
      </c>
      <c r="N815" s="161" t="s">
        <v>1901</v>
      </c>
      <c r="O815" s="161" t="s">
        <v>26</v>
      </c>
      <c r="P815" s="49" t="s">
        <v>26</v>
      </c>
      <c r="Q815" s="166" t="s">
        <v>3158</v>
      </c>
      <c r="R815" s="151"/>
    </row>
    <row r="816" spans="1:18">
      <c r="A816" s="101" t="s">
        <v>40</v>
      </c>
      <c r="B816" s="101" t="s">
        <v>273</v>
      </c>
      <c r="C816" s="87" t="s">
        <v>3159</v>
      </c>
      <c r="D816" s="161" t="s">
        <v>1346</v>
      </c>
      <c r="E816" s="161" t="s">
        <v>3154</v>
      </c>
      <c r="F816" s="161" t="s">
        <v>3155</v>
      </c>
      <c r="G816" s="163">
        <v>322.3299</v>
      </c>
      <c r="H816" s="163">
        <f t="shared" si="68"/>
        <v>24.58</v>
      </c>
      <c r="I816" s="176">
        <v>28</v>
      </c>
      <c r="J816" s="176">
        <v>18901.6576438414</v>
      </c>
      <c r="K816" s="176">
        <f t="shared" si="67"/>
        <v>259984.7209724</v>
      </c>
      <c r="L816" s="163"/>
      <c r="M816" s="161" t="s">
        <v>3129</v>
      </c>
      <c r="N816" s="161" t="s">
        <v>1299</v>
      </c>
      <c r="O816" s="161" t="s">
        <v>25</v>
      </c>
      <c r="P816" s="49" t="s">
        <v>25</v>
      </c>
      <c r="Q816" s="166" t="s">
        <v>3160</v>
      </c>
      <c r="R816" s="151"/>
    </row>
    <row r="817" spans="1:18">
      <c r="A817" s="101" t="s">
        <v>40</v>
      </c>
      <c r="B817" s="101" t="s">
        <v>273</v>
      </c>
      <c r="C817" s="87" t="s">
        <v>3161</v>
      </c>
      <c r="D817" s="161" t="s">
        <v>2283</v>
      </c>
      <c r="E817" s="161" t="s">
        <v>3154</v>
      </c>
      <c r="F817" s="161" t="s">
        <v>3155</v>
      </c>
      <c r="G817" s="163">
        <v>345.2259</v>
      </c>
      <c r="H817" s="163">
        <f t="shared" si="68"/>
        <v>22.896</v>
      </c>
      <c r="I817" s="173">
        <v>25</v>
      </c>
      <c r="J817" s="173">
        <v>17314.0962297777</v>
      </c>
      <c r="K817" s="173">
        <f t="shared" si="67"/>
        <v>277298.817202178</v>
      </c>
      <c r="L817" s="174"/>
      <c r="M817" s="161" t="s">
        <v>3129</v>
      </c>
      <c r="N817" s="161" t="s">
        <v>1901</v>
      </c>
      <c r="O817" s="161" t="s">
        <v>26</v>
      </c>
      <c r="P817" s="49" t="s">
        <v>26</v>
      </c>
      <c r="Q817" s="166" t="s">
        <v>3162</v>
      </c>
      <c r="R817" s="151"/>
    </row>
    <row r="818" spans="1:18">
      <c r="A818" s="101" t="s">
        <v>40</v>
      </c>
      <c r="B818" s="101" t="s">
        <v>273</v>
      </c>
      <c r="C818" s="87" t="s">
        <v>3163</v>
      </c>
      <c r="D818" s="161" t="s">
        <v>2286</v>
      </c>
      <c r="E818" s="161" t="s">
        <v>3154</v>
      </c>
      <c r="F818" s="161" t="s">
        <v>3155</v>
      </c>
      <c r="G818" s="163">
        <v>369.5659</v>
      </c>
      <c r="H818" s="163">
        <f t="shared" si="68"/>
        <v>24.34</v>
      </c>
      <c r="I818" s="176">
        <v>22</v>
      </c>
      <c r="J818" s="176">
        <v>18415.2080701474</v>
      </c>
      <c r="K818" s="176">
        <f t="shared" si="67"/>
        <v>295714.025272325</v>
      </c>
      <c r="L818" s="163"/>
      <c r="M818" s="161" t="s">
        <v>3129</v>
      </c>
      <c r="N818" s="161" t="s">
        <v>1901</v>
      </c>
      <c r="O818" s="161" t="s">
        <v>26</v>
      </c>
      <c r="P818" s="49" t="s">
        <v>26</v>
      </c>
      <c r="Q818" s="166" t="s">
        <v>3164</v>
      </c>
      <c r="R818" s="151"/>
    </row>
    <row r="819" spans="1:18">
      <c r="A819" s="101" t="s">
        <v>40</v>
      </c>
      <c r="B819" s="101" t="s">
        <v>273</v>
      </c>
      <c r="C819" s="87" t="s">
        <v>3165</v>
      </c>
      <c r="D819" s="161" t="s">
        <v>1354</v>
      </c>
      <c r="E819" s="161" t="s">
        <v>3154</v>
      </c>
      <c r="F819" s="161" t="s">
        <v>3166</v>
      </c>
      <c r="G819" s="163">
        <v>397.9509</v>
      </c>
      <c r="H819" s="163">
        <f t="shared" si="68"/>
        <v>28.385</v>
      </c>
      <c r="I819" s="173">
        <v>24</v>
      </c>
      <c r="J819" s="173">
        <v>21411.2395676095</v>
      </c>
      <c r="K819" s="173">
        <f t="shared" si="67"/>
        <v>317125.264839935</v>
      </c>
      <c r="L819" s="174"/>
      <c r="M819" s="161" t="s">
        <v>3129</v>
      </c>
      <c r="N819" s="161" t="s">
        <v>1299</v>
      </c>
      <c r="O819" s="161" t="s">
        <v>25</v>
      </c>
      <c r="P819" s="49" t="s">
        <v>25</v>
      </c>
      <c r="Q819" s="166" t="s">
        <v>3167</v>
      </c>
      <c r="R819" s="151"/>
    </row>
    <row r="820" spans="1:18">
      <c r="A820" s="101" t="s">
        <v>40</v>
      </c>
      <c r="B820" s="101" t="s">
        <v>273</v>
      </c>
      <c r="C820" s="87" t="s">
        <v>3168</v>
      </c>
      <c r="D820" s="161" t="s">
        <v>2297</v>
      </c>
      <c r="E820" s="161" t="s">
        <v>3154</v>
      </c>
      <c r="F820" s="161" t="s">
        <v>3166</v>
      </c>
      <c r="G820" s="163">
        <v>425.2299</v>
      </c>
      <c r="H820" s="163">
        <f t="shared" si="68"/>
        <v>27.279</v>
      </c>
      <c r="I820" s="176">
        <v>29</v>
      </c>
      <c r="J820" s="176">
        <v>20803.3493061818</v>
      </c>
      <c r="K820" s="176">
        <f t="shared" si="67"/>
        <v>337928.614146117</v>
      </c>
      <c r="L820" s="163"/>
      <c r="M820" s="161" t="s">
        <v>3129</v>
      </c>
      <c r="N820" s="161" t="s">
        <v>1901</v>
      </c>
      <c r="O820" s="161" t="s">
        <v>26</v>
      </c>
      <c r="P820" s="49" t="s">
        <v>26</v>
      </c>
      <c r="Q820" s="166" t="s">
        <v>3169</v>
      </c>
      <c r="R820" s="151"/>
    </row>
    <row r="821" spans="1:18">
      <c r="A821" s="101" t="s">
        <v>40</v>
      </c>
      <c r="B821" s="101" t="s">
        <v>273</v>
      </c>
      <c r="C821" s="87" t="s">
        <v>3170</v>
      </c>
      <c r="D821" s="161" t="s">
        <v>2994</v>
      </c>
      <c r="E821" s="161" t="s">
        <v>3154</v>
      </c>
      <c r="F821" s="161" t="s">
        <v>3166</v>
      </c>
      <c r="G821" s="163">
        <v>447.7979</v>
      </c>
      <c r="H821" s="163">
        <f t="shared" si="68"/>
        <v>22.568</v>
      </c>
      <c r="I821" s="176">
        <v>31</v>
      </c>
      <c r="J821" s="176">
        <v>17087.8312985831</v>
      </c>
      <c r="K821" s="176">
        <f t="shared" si="67"/>
        <v>355016.4454447</v>
      </c>
      <c r="L821" s="163"/>
      <c r="M821" s="161" t="s">
        <v>3129</v>
      </c>
      <c r="N821" s="161" t="s">
        <v>1901</v>
      </c>
      <c r="O821" s="161" t="s">
        <v>26</v>
      </c>
      <c r="P821" s="49" t="s">
        <v>26</v>
      </c>
      <c r="Q821" s="166" t="s">
        <v>3171</v>
      </c>
      <c r="R821" s="151"/>
    </row>
    <row r="822" spans="1:18">
      <c r="A822" s="101" t="s">
        <v>40</v>
      </c>
      <c r="B822" s="101" t="s">
        <v>273</v>
      </c>
      <c r="C822" s="87" t="s">
        <v>3172</v>
      </c>
      <c r="D822" s="161" t="s">
        <v>2999</v>
      </c>
      <c r="E822" s="161" t="s">
        <v>3154</v>
      </c>
      <c r="F822" s="161" t="s">
        <v>3166</v>
      </c>
      <c r="G822" s="163">
        <v>468.4589</v>
      </c>
      <c r="H822" s="163">
        <f t="shared" si="68"/>
        <v>20.661</v>
      </c>
      <c r="I822" s="176">
        <v>19</v>
      </c>
      <c r="J822" s="176">
        <v>15506.4186976857</v>
      </c>
      <c r="K822" s="176">
        <f t="shared" si="67"/>
        <v>370522.864142385</v>
      </c>
      <c r="L822" s="163"/>
      <c r="M822" s="161" t="s">
        <v>3129</v>
      </c>
      <c r="N822" s="161" t="s">
        <v>1901</v>
      </c>
      <c r="O822" s="161" t="s">
        <v>26</v>
      </c>
      <c r="P822" s="49" t="s">
        <v>26</v>
      </c>
      <c r="Q822" s="166" t="s">
        <v>3173</v>
      </c>
      <c r="R822" s="151"/>
    </row>
    <row r="823" spans="1:18">
      <c r="A823" s="101" t="s">
        <v>40</v>
      </c>
      <c r="B823" s="101" t="s">
        <v>273</v>
      </c>
      <c r="C823" s="135" t="s">
        <v>286</v>
      </c>
      <c r="D823" s="161" t="s">
        <v>286</v>
      </c>
      <c r="E823" s="161" t="s">
        <v>3154</v>
      </c>
      <c r="F823" s="161" t="s">
        <v>3166</v>
      </c>
      <c r="G823" s="163">
        <v>485.2299</v>
      </c>
      <c r="H823" s="163">
        <f t="shared" si="68"/>
        <v>16.771</v>
      </c>
      <c r="I823" s="173">
        <v>21</v>
      </c>
      <c r="J823" s="173">
        <v>11449.8468802363</v>
      </c>
      <c r="K823" s="173">
        <f t="shared" si="67"/>
        <v>381972.711022622</v>
      </c>
      <c r="L823" s="174"/>
      <c r="M823" s="161" t="s">
        <v>3174</v>
      </c>
      <c r="N823" s="161" t="s">
        <v>1331</v>
      </c>
      <c r="O823" s="161"/>
      <c r="P823" s="49"/>
      <c r="Q823" s="166" t="s">
        <v>3175</v>
      </c>
      <c r="R823" s="151"/>
    </row>
    <row r="824" spans="1:18">
      <c r="A824" s="101" t="s">
        <v>40</v>
      </c>
      <c r="B824" s="101" t="s">
        <v>273</v>
      </c>
      <c r="C824" s="87" t="s">
        <v>3176</v>
      </c>
      <c r="D824" s="161" t="s">
        <v>2311</v>
      </c>
      <c r="E824" s="161" t="s">
        <v>3154</v>
      </c>
      <c r="F824" s="161" t="s">
        <v>3177</v>
      </c>
      <c r="G824" s="163">
        <v>516.5499</v>
      </c>
      <c r="H824" s="163">
        <f t="shared" si="68"/>
        <v>31.32</v>
      </c>
      <c r="I824" s="176">
        <v>39</v>
      </c>
      <c r="J824" s="176">
        <v>18704.9857829053</v>
      </c>
      <c r="K824" s="176">
        <f t="shared" si="67"/>
        <v>400677.696805527</v>
      </c>
      <c r="L824" s="163"/>
      <c r="M824" s="161" t="s">
        <v>3129</v>
      </c>
      <c r="N824" s="161" t="s">
        <v>1901</v>
      </c>
      <c r="O824" s="161" t="s">
        <v>26</v>
      </c>
      <c r="P824" s="49" t="s">
        <v>26</v>
      </c>
      <c r="Q824" s="166" t="s">
        <v>3178</v>
      </c>
      <c r="R824" s="151"/>
    </row>
    <row r="825" spans="1:18">
      <c r="A825" s="101" t="s">
        <v>40</v>
      </c>
      <c r="B825" s="101" t="s">
        <v>273</v>
      </c>
      <c r="C825" s="87" t="s">
        <v>3179</v>
      </c>
      <c r="D825" s="161" t="s">
        <v>1365</v>
      </c>
      <c r="E825" s="161" t="s">
        <v>3154</v>
      </c>
      <c r="F825" s="161" t="s">
        <v>3177</v>
      </c>
      <c r="G825" s="163">
        <v>538.3299</v>
      </c>
      <c r="H825" s="163">
        <f t="shared" si="68"/>
        <v>21.78</v>
      </c>
      <c r="I825" s="176">
        <v>76</v>
      </c>
      <c r="J825" s="176">
        <v>16458.7883588617</v>
      </c>
      <c r="K825" s="176">
        <f t="shared" si="67"/>
        <v>417136.485164389</v>
      </c>
      <c r="L825" s="163"/>
      <c r="M825" s="161" t="s">
        <v>3129</v>
      </c>
      <c r="N825" s="161" t="s">
        <v>1299</v>
      </c>
      <c r="O825" s="161" t="s">
        <v>25</v>
      </c>
      <c r="P825" s="49" t="s">
        <v>25</v>
      </c>
      <c r="Q825" s="166" t="s">
        <v>3180</v>
      </c>
      <c r="R825" s="151"/>
    </row>
    <row r="826" spans="1:18">
      <c r="A826" s="101" t="s">
        <v>40</v>
      </c>
      <c r="B826" s="101" t="s">
        <v>273</v>
      </c>
      <c r="C826" s="87" t="s">
        <v>3181</v>
      </c>
      <c r="D826" s="161" t="s">
        <v>3181</v>
      </c>
      <c r="E826" s="161"/>
      <c r="F826" s="161"/>
      <c r="G826" s="163"/>
      <c r="H826" s="163"/>
      <c r="I826" s="176"/>
      <c r="J826" s="176"/>
      <c r="K826" s="176"/>
      <c r="L826" s="163"/>
      <c r="M826" s="161"/>
      <c r="N826" s="161"/>
      <c r="O826" s="161"/>
      <c r="P826" s="49" t="s">
        <v>16</v>
      </c>
      <c r="Q826" s="166" t="s">
        <v>3180</v>
      </c>
      <c r="R826" s="151"/>
    </row>
    <row r="827" spans="1:18">
      <c r="A827" s="101" t="s">
        <v>40</v>
      </c>
      <c r="B827" s="101" t="s">
        <v>273</v>
      </c>
      <c r="C827" s="87" t="s">
        <v>3182</v>
      </c>
      <c r="D827" s="161" t="s">
        <v>1367</v>
      </c>
      <c r="E827" s="161" t="s">
        <v>3154</v>
      </c>
      <c r="F827" s="161" t="s">
        <v>3177</v>
      </c>
      <c r="G827" s="163">
        <v>557.7529</v>
      </c>
      <c r="H827" s="163">
        <f>G827-G825</f>
        <v>19.423</v>
      </c>
      <c r="I827" s="176">
        <v>50</v>
      </c>
      <c r="J827" s="176">
        <v>20690.278715648</v>
      </c>
      <c r="K827" s="176">
        <f>K825+J827</f>
        <v>437826.763880037</v>
      </c>
      <c r="L827" s="163"/>
      <c r="M827" s="161" t="s">
        <v>3129</v>
      </c>
      <c r="N827" s="161" t="s">
        <v>1299</v>
      </c>
      <c r="O827" s="161" t="s">
        <v>25</v>
      </c>
      <c r="P827" s="49" t="s">
        <v>25</v>
      </c>
      <c r="Q827" s="166" t="s">
        <v>3183</v>
      </c>
      <c r="R827" s="151"/>
    </row>
    <row r="828" spans="1:18">
      <c r="A828" s="101" t="s">
        <v>40</v>
      </c>
      <c r="B828" s="101" t="s">
        <v>273</v>
      </c>
      <c r="C828" s="87" t="s">
        <v>3184</v>
      </c>
      <c r="D828" s="161" t="s">
        <v>3185</v>
      </c>
      <c r="E828" s="161" t="s">
        <v>3154</v>
      </c>
      <c r="F828" s="161" t="s">
        <v>3177</v>
      </c>
      <c r="G828" s="163">
        <v>581.6649</v>
      </c>
      <c r="H828" s="163">
        <f>G828-G827</f>
        <v>23.912</v>
      </c>
      <c r="I828" s="176">
        <v>70</v>
      </c>
      <c r="J828" s="176">
        <v>12062.760792564</v>
      </c>
      <c r="K828" s="176">
        <f>K827+J828</f>
        <v>449889.524672601</v>
      </c>
      <c r="L828" s="163"/>
      <c r="M828" s="161" t="s">
        <v>3129</v>
      </c>
      <c r="N828" s="161" t="s">
        <v>1901</v>
      </c>
      <c r="O828" s="161" t="s">
        <v>26</v>
      </c>
      <c r="P828" s="49" t="s">
        <v>26</v>
      </c>
      <c r="Q828" s="166" t="s">
        <v>3186</v>
      </c>
      <c r="R828" s="151"/>
    </row>
    <row r="829" spans="1:18">
      <c r="A829" s="101" t="s">
        <v>40</v>
      </c>
      <c r="B829" s="101" t="s">
        <v>273</v>
      </c>
      <c r="C829" s="87" t="s">
        <v>274</v>
      </c>
      <c r="D829" s="161" t="s">
        <v>274</v>
      </c>
      <c r="E829" s="161" t="s">
        <v>3154</v>
      </c>
      <c r="F829" s="161" t="s">
        <v>3177</v>
      </c>
      <c r="G829" s="163">
        <v>599.6399</v>
      </c>
      <c r="H829" s="163">
        <f>G829-G828</f>
        <v>17.975</v>
      </c>
      <c r="I829" s="176">
        <v>80</v>
      </c>
      <c r="J829" s="176">
        <v>13630.4814929481</v>
      </c>
      <c r="K829" s="176">
        <f>K828+J829</f>
        <v>463520.006165549</v>
      </c>
      <c r="L829" s="163"/>
      <c r="M829" s="161" t="s">
        <v>3129</v>
      </c>
      <c r="N829" s="161" t="s">
        <v>1331</v>
      </c>
      <c r="O829" s="161" t="s">
        <v>14</v>
      </c>
      <c r="P829" s="49" t="s">
        <v>14</v>
      </c>
      <c r="Q829" s="166" t="s">
        <v>3187</v>
      </c>
      <c r="R829" s="151"/>
    </row>
    <row r="830" spans="1:18">
      <c r="A830" s="101" t="s">
        <v>40</v>
      </c>
      <c r="B830" s="101" t="s">
        <v>275</v>
      </c>
      <c r="C830" s="135" t="s">
        <v>276</v>
      </c>
      <c r="D830" s="161" t="s">
        <v>1904</v>
      </c>
      <c r="E830" s="161" t="s">
        <v>2750</v>
      </c>
      <c r="F830" s="161" t="s">
        <v>2777</v>
      </c>
      <c r="G830" s="163">
        <v>0</v>
      </c>
      <c r="H830" s="163">
        <v>0</v>
      </c>
      <c r="I830" s="176" t="s">
        <v>147</v>
      </c>
      <c r="J830" s="176" t="s">
        <v>147</v>
      </c>
      <c r="K830" s="176" t="s">
        <v>147</v>
      </c>
      <c r="L830" s="163"/>
      <c r="M830" s="161" t="s">
        <v>3129</v>
      </c>
      <c r="N830" s="161"/>
      <c r="O830" s="161"/>
      <c r="P830" s="49"/>
      <c r="Q830" s="166"/>
      <c r="R830" s="151"/>
    </row>
    <row r="831" spans="1:18">
      <c r="A831" s="101" t="s">
        <v>40</v>
      </c>
      <c r="B831" s="101" t="s">
        <v>275</v>
      </c>
      <c r="C831" s="182" t="s">
        <v>277</v>
      </c>
      <c r="D831" s="162" t="s">
        <v>277</v>
      </c>
      <c r="E831" s="161" t="s">
        <v>2750</v>
      </c>
      <c r="F831" s="161" t="s">
        <v>2777</v>
      </c>
      <c r="G831" s="163">
        <v>0.17</v>
      </c>
      <c r="H831" s="163">
        <v>0.17</v>
      </c>
      <c r="I831" s="176" t="s">
        <v>147</v>
      </c>
      <c r="J831" s="176" t="s">
        <v>147</v>
      </c>
      <c r="K831" s="176" t="s">
        <v>147</v>
      </c>
      <c r="L831" s="163"/>
      <c r="M831" s="161" t="s">
        <v>3129</v>
      </c>
      <c r="N831" s="161"/>
      <c r="O831" s="161"/>
      <c r="P831" s="49" t="s">
        <v>16</v>
      </c>
      <c r="Q831" s="166"/>
      <c r="R831" s="151"/>
    </row>
    <row r="832" spans="1:18">
      <c r="A832" s="101" t="s">
        <v>40</v>
      </c>
      <c r="B832" s="101" t="s">
        <v>278</v>
      </c>
      <c r="C832" s="135" t="s">
        <v>272</v>
      </c>
      <c r="D832" s="161" t="s">
        <v>272</v>
      </c>
      <c r="E832" s="161" t="s">
        <v>3154</v>
      </c>
      <c r="F832" s="161" t="s">
        <v>3155</v>
      </c>
      <c r="G832" s="163">
        <v>0</v>
      </c>
      <c r="H832" s="163">
        <v>0</v>
      </c>
      <c r="I832" s="176">
        <v>55.2</v>
      </c>
      <c r="J832" s="176">
        <v>0</v>
      </c>
      <c r="K832" s="176">
        <f>G832*122.6</f>
        <v>0</v>
      </c>
      <c r="L832" s="163"/>
      <c r="M832" s="161" t="s">
        <v>3129</v>
      </c>
      <c r="N832" s="161" t="s">
        <v>1331</v>
      </c>
      <c r="O832" s="161"/>
      <c r="P832" s="49"/>
      <c r="Q832" s="166" t="s">
        <v>3156</v>
      </c>
      <c r="R832" s="151"/>
    </row>
    <row r="833" ht="45" spans="1:18">
      <c r="A833" s="101" t="s">
        <v>40</v>
      </c>
      <c r="B833" s="101" t="s">
        <v>278</v>
      </c>
      <c r="C833" s="87" t="s">
        <v>3188</v>
      </c>
      <c r="D833" s="161" t="s">
        <v>3188</v>
      </c>
      <c r="E833" s="161" t="s">
        <v>3154</v>
      </c>
      <c r="F833" s="161" t="s">
        <v>3155</v>
      </c>
      <c r="G833" s="163">
        <v>15.6</v>
      </c>
      <c r="H833" s="163">
        <f>G833-G832</f>
        <v>15.6</v>
      </c>
      <c r="I833" s="176">
        <v>75.3</v>
      </c>
      <c r="J833" s="176">
        <v>1851.33446218947</v>
      </c>
      <c r="K833" s="176">
        <f>J833+K832</f>
        <v>1851.33446218947</v>
      </c>
      <c r="L833" s="163" t="s">
        <v>3189</v>
      </c>
      <c r="M833" s="161" t="s">
        <v>3190</v>
      </c>
      <c r="N833" s="161" t="s">
        <v>1331</v>
      </c>
      <c r="O833" s="161" t="s">
        <v>14</v>
      </c>
      <c r="P833" s="49" t="s">
        <v>14</v>
      </c>
      <c r="Q833" s="166" t="s">
        <v>3191</v>
      </c>
      <c r="R833" s="151"/>
    </row>
    <row r="834" spans="1:18">
      <c r="A834" s="101" t="s">
        <v>40</v>
      </c>
      <c r="B834" s="101" t="s">
        <v>278</v>
      </c>
      <c r="C834" s="87" t="s">
        <v>886</v>
      </c>
      <c r="D834" s="162" t="s">
        <v>886</v>
      </c>
      <c r="E834" s="161" t="s">
        <v>3154</v>
      </c>
      <c r="F834" s="161" t="s">
        <v>3155</v>
      </c>
      <c r="G834" s="163">
        <v>25.478</v>
      </c>
      <c r="H834" s="163">
        <f t="shared" ref="H834:H843" si="69">G834-G833</f>
        <v>9.878</v>
      </c>
      <c r="I834" s="176">
        <v>81.5</v>
      </c>
      <c r="J834" s="176">
        <v>1339.78151868975</v>
      </c>
      <c r="K834" s="176">
        <f t="shared" ref="K834:K843" si="70">J834+K833</f>
        <v>3191.11598087922</v>
      </c>
      <c r="L834" s="163"/>
      <c r="M834" s="161" t="s">
        <v>3190</v>
      </c>
      <c r="N834" s="161" t="s">
        <v>1901</v>
      </c>
      <c r="O834" s="161" t="s">
        <v>25</v>
      </c>
      <c r="P834" s="49" t="s">
        <v>14</v>
      </c>
      <c r="Q834" s="166" t="s">
        <v>3192</v>
      </c>
      <c r="R834" s="151"/>
    </row>
    <row r="835" spans="1:18">
      <c r="A835" s="101" t="s">
        <v>40</v>
      </c>
      <c r="B835" s="101" t="s">
        <v>278</v>
      </c>
      <c r="C835" s="87" t="s">
        <v>3193</v>
      </c>
      <c r="D835" s="161" t="s">
        <v>3193</v>
      </c>
      <c r="E835" s="161" t="s">
        <v>3154</v>
      </c>
      <c r="F835" s="161" t="s">
        <v>3155</v>
      </c>
      <c r="G835" s="163">
        <v>46</v>
      </c>
      <c r="H835" s="163">
        <f t="shared" si="69"/>
        <v>20.522</v>
      </c>
      <c r="I835" s="176">
        <v>249.5</v>
      </c>
      <c r="J835" s="176">
        <v>2411.60673364154</v>
      </c>
      <c r="K835" s="176">
        <f t="shared" si="70"/>
        <v>5602.72271452076</v>
      </c>
      <c r="L835" s="163"/>
      <c r="M835" s="161" t="s">
        <v>3190</v>
      </c>
      <c r="N835" s="161" t="s">
        <v>1331</v>
      </c>
      <c r="O835" s="161" t="s">
        <v>14</v>
      </c>
      <c r="P835" s="49" t="s">
        <v>14</v>
      </c>
      <c r="Q835" s="166" t="s">
        <v>3194</v>
      </c>
      <c r="R835" s="151"/>
    </row>
    <row r="836" spans="1:18">
      <c r="A836" s="101" t="s">
        <v>40</v>
      </c>
      <c r="B836" s="101" t="s">
        <v>278</v>
      </c>
      <c r="C836" s="87" t="s">
        <v>3195</v>
      </c>
      <c r="D836" s="161" t="s">
        <v>1904</v>
      </c>
      <c r="E836" s="161" t="s">
        <v>3154</v>
      </c>
      <c r="F836" s="161" t="s">
        <v>3155</v>
      </c>
      <c r="G836" s="163">
        <v>74.291</v>
      </c>
      <c r="H836" s="163">
        <f t="shared" si="69"/>
        <v>28.291</v>
      </c>
      <c r="I836" s="176">
        <v>183.3</v>
      </c>
      <c r="J836" s="176">
        <v>3422.5327886529</v>
      </c>
      <c r="K836" s="176">
        <f t="shared" si="70"/>
        <v>9025.25550317366</v>
      </c>
      <c r="L836" s="163"/>
      <c r="M836" s="161" t="s">
        <v>3190</v>
      </c>
      <c r="N836" s="161" t="s">
        <v>1901</v>
      </c>
      <c r="O836" s="161" t="s">
        <v>25</v>
      </c>
      <c r="P836" s="49" t="s">
        <v>25</v>
      </c>
      <c r="Q836" s="166" t="s">
        <v>3196</v>
      </c>
      <c r="R836" s="151"/>
    </row>
    <row r="837" spans="1:18">
      <c r="A837" s="101" t="s">
        <v>40</v>
      </c>
      <c r="B837" s="101" t="s">
        <v>278</v>
      </c>
      <c r="C837" s="87" t="s">
        <v>3197</v>
      </c>
      <c r="D837" s="161" t="s">
        <v>1305</v>
      </c>
      <c r="E837" s="161" t="s">
        <v>3154</v>
      </c>
      <c r="F837" s="161" t="s">
        <v>3155</v>
      </c>
      <c r="G837" s="163">
        <v>100.562</v>
      </c>
      <c r="H837" s="163">
        <f t="shared" si="69"/>
        <v>26.271</v>
      </c>
      <c r="I837" s="176">
        <v>56.1</v>
      </c>
      <c r="J837" s="176">
        <v>3154.57648491495</v>
      </c>
      <c r="K837" s="176">
        <f t="shared" si="70"/>
        <v>12179.8319880886</v>
      </c>
      <c r="L837" s="163"/>
      <c r="M837" s="161" t="s">
        <v>3190</v>
      </c>
      <c r="N837" s="161" t="s">
        <v>1299</v>
      </c>
      <c r="O837" s="161" t="s">
        <v>25</v>
      </c>
      <c r="P837" s="49" t="s">
        <v>25</v>
      </c>
      <c r="Q837" s="166" t="s">
        <v>3198</v>
      </c>
      <c r="R837" s="151"/>
    </row>
    <row r="838" spans="1:18">
      <c r="A838" s="101" t="s">
        <v>40</v>
      </c>
      <c r="B838" s="101" t="s">
        <v>278</v>
      </c>
      <c r="C838" s="87" t="s">
        <v>3199</v>
      </c>
      <c r="D838" s="161" t="s">
        <v>2820</v>
      </c>
      <c r="E838" s="161" t="s">
        <v>3154</v>
      </c>
      <c r="F838" s="161" t="s">
        <v>3155</v>
      </c>
      <c r="G838" s="163">
        <v>127.464</v>
      </c>
      <c r="H838" s="163">
        <f t="shared" si="69"/>
        <v>26.902</v>
      </c>
      <c r="I838" s="176">
        <v>106.5</v>
      </c>
      <c r="J838" s="176">
        <v>3178.93614889112</v>
      </c>
      <c r="K838" s="176">
        <f t="shared" si="70"/>
        <v>15358.7681369797</v>
      </c>
      <c r="L838" s="174"/>
      <c r="M838" s="161" t="s">
        <v>3190</v>
      </c>
      <c r="N838" s="161" t="s">
        <v>1901</v>
      </c>
      <c r="O838" s="161" t="s">
        <v>25</v>
      </c>
      <c r="P838" s="49" t="s">
        <v>25</v>
      </c>
      <c r="Q838" s="166" t="s">
        <v>3200</v>
      </c>
      <c r="R838" s="151"/>
    </row>
    <row r="839" spans="1:18">
      <c r="A839" s="101" t="s">
        <v>40</v>
      </c>
      <c r="B839" s="101" t="s">
        <v>278</v>
      </c>
      <c r="C839" s="87" t="s">
        <v>3201</v>
      </c>
      <c r="D839" s="161" t="s">
        <v>2252</v>
      </c>
      <c r="E839" s="161" t="s">
        <v>3154</v>
      </c>
      <c r="F839" s="161" t="s">
        <v>3155</v>
      </c>
      <c r="G839" s="163">
        <v>151.3</v>
      </c>
      <c r="H839" s="163">
        <f t="shared" si="69"/>
        <v>23.836</v>
      </c>
      <c r="I839" s="176">
        <v>264.3</v>
      </c>
      <c r="J839" s="176">
        <v>3069.31766099833</v>
      </c>
      <c r="K839" s="176">
        <f t="shared" si="70"/>
        <v>18428.0857979781</v>
      </c>
      <c r="L839" s="163"/>
      <c r="M839" s="161" t="s">
        <v>3190</v>
      </c>
      <c r="N839" s="161" t="s">
        <v>1901</v>
      </c>
      <c r="O839" s="161" t="s">
        <v>25</v>
      </c>
      <c r="P839" s="49" t="s">
        <v>25</v>
      </c>
      <c r="Q839" s="166" t="s">
        <v>3202</v>
      </c>
      <c r="R839" s="151"/>
    </row>
    <row r="840" spans="1:18">
      <c r="A840" s="101" t="s">
        <v>40</v>
      </c>
      <c r="B840" s="101" t="s">
        <v>278</v>
      </c>
      <c r="C840" s="87" t="s">
        <v>3203</v>
      </c>
      <c r="D840" s="161" t="s">
        <v>2258</v>
      </c>
      <c r="E840" s="161" t="s">
        <v>3154</v>
      </c>
      <c r="F840" s="161" t="s">
        <v>3155</v>
      </c>
      <c r="G840" s="163">
        <v>168.73</v>
      </c>
      <c r="H840" s="163">
        <f t="shared" si="69"/>
        <v>17.43</v>
      </c>
      <c r="I840" s="176">
        <v>238.3</v>
      </c>
      <c r="J840" s="176">
        <v>2728.28236533185</v>
      </c>
      <c r="K840" s="176">
        <f t="shared" si="70"/>
        <v>21156.3681633099</v>
      </c>
      <c r="L840" s="174"/>
      <c r="M840" s="161" t="s">
        <v>3190</v>
      </c>
      <c r="N840" s="161" t="s">
        <v>1901</v>
      </c>
      <c r="O840" s="161" t="s">
        <v>26</v>
      </c>
      <c r="P840" s="49" t="s">
        <v>26</v>
      </c>
      <c r="Q840" s="166" t="s">
        <v>3204</v>
      </c>
      <c r="R840" s="151"/>
    </row>
    <row r="841" spans="1:18">
      <c r="A841" s="101" t="s">
        <v>40</v>
      </c>
      <c r="B841" s="101" t="s">
        <v>278</v>
      </c>
      <c r="C841" s="87" t="s">
        <v>3205</v>
      </c>
      <c r="D841" s="161" t="s">
        <v>2261</v>
      </c>
      <c r="E841" s="161" t="s">
        <v>3154</v>
      </c>
      <c r="F841" s="161" t="s">
        <v>3155</v>
      </c>
      <c r="G841" s="163">
        <v>177.516</v>
      </c>
      <c r="H841" s="163">
        <f t="shared" si="69"/>
        <v>8.786</v>
      </c>
      <c r="I841" s="176">
        <v>153.5</v>
      </c>
      <c r="J841" s="176">
        <v>1863.51429417756</v>
      </c>
      <c r="K841" s="176">
        <f t="shared" si="70"/>
        <v>23019.8824574875</v>
      </c>
      <c r="L841" s="163"/>
      <c r="M841" s="161" t="s">
        <v>3190</v>
      </c>
      <c r="N841" s="161" t="s">
        <v>1901</v>
      </c>
      <c r="O841" s="161" t="s">
        <v>25</v>
      </c>
      <c r="P841" s="49" t="s">
        <v>25</v>
      </c>
      <c r="Q841" s="166" t="s">
        <v>3206</v>
      </c>
      <c r="R841" s="151"/>
    </row>
    <row r="842" spans="1:18">
      <c r="A842" s="101" t="s">
        <v>40</v>
      </c>
      <c r="B842" s="101" t="s">
        <v>278</v>
      </c>
      <c r="C842" s="87" t="s">
        <v>3207</v>
      </c>
      <c r="D842" s="161" t="s">
        <v>2827</v>
      </c>
      <c r="E842" s="161" t="s">
        <v>3154</v>
      </c>
      <c r="F842" s="161" t="s">
        <v>3155</v>
      </c>
      <c r="G842" s="163">
        <v>189.404</v>
      </c>
      <c r="H842" s="163">
        <f t="shared" si="69"/>
        <v>11.888</v>
      </c>
      <c r="I842" s="176">
        <v>112.3</v>
      </c>
      <c r="J842" s="176">
        <v>1510.29916652299</v>
      </c>
      <c r="K842" s="176">
        <f t="shared" si="70"/>
        <v>24530.1816240105</v>
      </c>
      <c r="L842" s="163"/>
      <c r="M842" s="161" t="s">
        <v>3190</v>
      </c>
      <c r="N842" s="161" t="s">
        <v>1901</v>
      </c>
      <c r="O842" s="161" t="s">
        <v>25</v>
      </c>
      <c r="P842" s="49" t="s">
        <v>25</v>
      </c>
      <c r="Q842" s="166" t="s">
        <v>3208</v>
      </c>
      <c r="R842" s="151"/>
    </row>
    <row r="843" spans="1:18">
      <c r="A843" s="101" t="s">
        <v>40</v>
      </c>
      <c r="B843" s="101" t="s">
        <v>278</v>
      </c>
      <c r="C843" s="87" t="s">
        <v>279</v>
      </c>
      <c r="D843" s="161" t="s">
        <v>279</v>
      </c>
      <c r="E843" s="161" t="s">
        <v>3154</v>
      </c>
      <c r="F843" s="161" t="s">
        <v>3155</v>
      </c>
      <c r="G843" s="163">
        <v>205.15</v>
      </c>
      <c r="H843" s="163">
        <f t="shared" si="69"/>
        <v>15.746</v>
      </c>
      <c r="I843" s="171">
        <v>110</v>
      </c>
      <c r="J843" s="176">
        <v>1339.78151868975</v>
      </c>
      <c r="K843" s="176">
        <f t="shared" si="70"/>
        <v>25869.9631427002</v>
      </c>
      <c r="L843" s="163"/>
      <c r="M843" s="161" t="s">
        <v>3190</v>
      </c>
      <c r="N843" s="161" t="s">
        <v>1331</v>
      </c>
      <c r="O843" s="161" t="s">
        <v>14</v>
      </c>
      <c r="P843" s="49" t="s">
        <v>14</v>
      </c>
      <c r="Q843" s="166" t="s">
        <v>3209</v>
      </c>
      <c r="R843" s="151"/>
    </row>
    <row r="844" spans="1:18">
      <c r="A844" s="101" t="s">
        <v>40</v>
      </c>
      <c r="B844" s="101" t="s">
        <v>280</v>
      </c>
      <c r="C844" s="135" t="s">
        <v>274</v>
      </c>
      <c r="D844" s="161" t="s">
        <v>274</v>
      </c>
      <c r="E844" s="161" t="s">
        <v>3154</v>
      </c>
      <c r="F844" s="161" t="s">
        <v>3177</v>
      </c>
      <c r="G844" s="163">
        <v>0</v>
      </c>
      <c r="H844" s="163">
        <v>0</v>
      </c>
      <c r="I844" s="171">
        <v>80</v>
      </c>
      <c r="J844" s="176">
        <v>0</v>
      </c>
      <c r="K844" s="176">
        <v>0</v>
      </c>
      <c r="L844" s="163"/>
      <c r="M844" s="161" t="s">
        <v>3129</v>
      </c>
      <c r="N844" s="161" t="s">
        <v>1331</v>
      </c>
      <c r="O844" s="161"/>
      <c r="P844" s="49"/>
      <c r="Q844" s="166" t="s">
        <v>3187</v>
      </c>
      <c r="R844" s="151"/>
    </row>
    <row r="845" spans="1:18">
      <c r="A845" s="101" t="s">
        <v>40</v>
      </c>
      <c r="B845" s="101" t="s">
        <v>280</v>
      </c>
      <c r="C845" s="87" t="s">
        <v>3210</v>
      </c>
      <c r="D845" s="161" t="s">
        <v>1899</v>
      </c>
      <c r="E845" s="161" t="s">
        <v>3154</v>
      </c>
      <c r="F845" s="161" t="s">
        <v>3177</v>
      </c>
      <c r="G845" s="163">
        <v>18.816</v>
      </c>
      <c r="H845" s="163">
        <f>G845-G844</f>
        <v>18.816</v>
      </c>
      <c r="I845" s="183">
        <v>78</v>
      </c>
      <c r="J845" s="176">
        <v>6384.36458791264</v>
      </c>
      <c r="K845" s="176">
        <f>J845+K844</f>
        <v>6384.36458791264</v>
      </c>
      <c r="L845" s="163"/>
      <c r="M845" s="161" t="s">
        <v>3211</v>
      </c>
      <c r="N845" s="161" t="s">
        <v>1901</v>
      </c>
      <c r="O845" s="161" t="s">
        <v>25</v>
      </c>
      <c r="P845" s="49" t="s">
        <v>25</v>
      </c>
      <c r="Q845" s="166" t="s">
        <v>3212</v>
      </c>
      <c r="R845" s="151"/>
    </row>
    <row r="846" spans="1:18">
      <c r="A846" s="101" t="s">
        <v>40</v>
      </c>
      <c r="B846" s="101" t="s">
        <v>280</v>
      </c>
      <c r="C846" s="87" t="s">
        <v>3213</v>
      </c>
      <c r="D846" s="161" t="s">
        <v>1904</v>
      </c>
      <c r="E846" s="161" t="s">
        <v>3154</v>
      </c>
      <c r="F846" s="161" t="s">
        <v>3177</v>
      </c>
      <c r="G846" s="163">
        <v>36.994</v>
      </c>
      <c r="H846" s="163">
        <f t="shared" ref="H846:H859" si="71">G846-G845</f>
        <v>18.178</v>
      </c>
      <c r="I846" s="183">
        <v>116</v>
      </c>
      <c r="J846" s="176">
        <v>6351.7912991988</v>
      </c>
      <c r="K846" s="176">
        <f t="shared" ref="K846:K859" si="72">J846+K845</f>
        <v>12736.1558871114</v>
      </c>
      <c r="L846" s="174"/>
      <c r="M846" s="161" t="s">
        <v>3211</v>
      </c>
      <c r="N846" s="161" t="s">
        <v>1901</v>
      </c>
      <c r="O846" s="161" t="s">
        <v>25</v>
      </c>
      <c r="P846" s="49" t="s">
        <v>25</v>
      </c>
      <c r="Q846" s="166" t="s">
        <v>3214</v>
      </c>
      <c r="R846" s="151"/>
    </row>
    <row r="847" spans="1:18">
      <c r="A847" s="101" t="s">
        <v>40</v>
      </c>
      <c r="B847" s="101" t="s">
        <v>280</v>
      </c>
      <c r="C847" s="87" t="s">
        <v>289</v>
      </c>
      <c r="D847" s="161" t="s">
        <v>289</v>
      </c>
      <c r="E847" s="161" t="s">
        <v>3154</v>
      </c>
      <c r="F847" s="161" t="s">
        <v>3177</v>
      </c>
      <c r="G847" s="163">
        <v>53.49</v>
      </c>
      <c r="H847" s="163">
        <f t="shared" si="71"/>
        <v>16.496</v>
      </c>
      <c r="I847" s="171">
        <v>107</v>
      </c>
      <c r="J847" s="176">
        <v>5830.61867977736</v>
      </c>
      <c r="K847" s="176">
        <f t="shared" si="72"/>
        <v>18566.7745668888</v>
      </c>
      <c r="L847" s="163"/>
      <c r="M847" s="161" t="s">
        <v>3211</v>
      </c>
      <c r="N847" s="161" t="s">
        <v>1331</v>
      </c>
      <c r="O847" s="161" t="s">
        <v>14</v>
      </c>
      <c r="P847" s="49" t="s">
        <v>14</v>
      </c>
      <c r="Q847" s="166" t="s">
        <v>3215</v>
      </c>
      <c r="R847" s="151"/>
    </row>
    <row r="848" spans="1:18">
      <c r="A848" s="101" t="s">
        <v>40</v>
      </c>
      <c r="B848" s="101" t="s">
        <v>280</v>
      </c>
      <c r="C848" s="87" t="s">
        <v>3216</v>
      </c>
      <c r="D848" s="161" t="s">
        <v>1305</v>
      </c>
      <c r="E848" s="161" t="s">
        <v>3154</v>
      </c>
      <c r="F848" s="161" t="s">
        <v>3177</v>
      </c>
      <c r="G848" s="163">
        <v>76.857</v>
      </c>
      <c r="H848" s="163">
        <f t="shared" si="71"/>
        <v>23.367</v>
      </c>
      <c r="I848" s="171">
        <v>81</v>
      </c>
      <c r="J848" s="176">
        <v>3133.20884545668</v>
      </c>
      <c r="K848" s="176">
        <f t="shared" si="72"/>
        <v>21699.9834123455</v>
      </c>
      <c r="L848" s="163"/>
      <c r="M848" s="161" t="s">
        <v>3211</v>
      </c>
      <c r="N848" s="161" t="s">
        <v>1299</v>
      </c>
      <c r="O848" s="161" t="s">
        <v>25</v>
      </c>
      <c r="P848" s="49" t="s">
        <v>25</v>
      </c>
      <c r="Q848" s="166" t="s">
        <v>3217</v>
      </c>
      <c r="R848" s="151"/>
    </row>
    <row r="849" spans="1:18">
      <c r="A849" s="101" t="s">
        <v>40</v>
      </c>
      <c r="B849" s="101" t="s">
        <v>280</v>
      </c>
      <c r="C849" s="87" t="s">
        <v>3218</v>
      </c>
      <c r="D849" s="161" t="s">
        <v>2820</v>
      </c>
      <c r="E849" s="161" t="s">
        <v>3154</v>
      </c>
      <c r="F849" s="161" t="s">
        <v>3177</v>
      </c>
      <c r="G849" s="163">
        <v>90.977</v>
      </c>
      <c r="H849" s="163">
        <f t="shared" si="71"/>
        <v>14.12</v>
      </c>
      <c r="I849" s="171">
        <v>91</v>
      </c>
      <c r="J849" s="176">
        <v>2280.10742713926</v>
      </c>
      <c r="K849" s="176">
        <f t="shared" si="72"/>
        <v>23980.0908394847</v>
      </c>
      <c r="L849" s="163"/>
      <c r="M849" s="161" t="s">
        <v>3211</v>
      </c>
      <c r="N849" s="161" t="s">
        <v>1901</v>
      </c>
      <c r="O849" s="161" t="s">
        <v>25</v>
      </c>
      <c r="P849" s="49" t="s">
        <v>25</v>
      </c>
      <c r="Q849" s="166" t="s">
        <v>3219</v>
      </c>
      <c r="R849" s="151"/>
    </row>
    <row r="850" s="152" customFormat="1" spans="1:18">
      <c r="A850" s="101" t="s">
        <v>40</v>
      </c>
      <c r="B850" s="101" t="s">
        <v>280</v>
      </c>
      <c r="C850" s="87" t="s">
        <v>3220</v>
      </c>
      <c r="D850" s="162" t="s">
        <v>3220</v>
      </c>
      <c r="E850" s="161" t="s">
        <v>3154</v>
      </c>
      <c r="F850" s="161" t="s">
        <v>3177</v>
      </c>
      <c r="G850" s="163">
        <v>109.65</v>
      </c>
      <c r="H850" s="163">
        <f t="shared" si="71"/>
        <v>18.673</v>
      </c>
      <c r="I850" s="171">
        <v>56</v>
      </c>
      <c r="J850" s="176">
        <v>2590.32612470923</v>
      </c>
      <c r="K850" s="176">
        <f t="shared" si="72"/>
        <v>26570.416964194</v>
      </c>
      <c r="L850" s="174"/>
      <c r="M850" s="161" t="s">
        <v>3211</v>
      </c>
      <c r="N850" s="161"/>
      <c r="O850" s="161" t="s">
        <v>25</v>
      </c>
      <c r="P850" s="49" t="s">
        <v>14</v>
      </c>
      <c r="Q850" s="166" t="s">
        <v>3221</v>
      </c>
      <c r="R850" s="151"/>
    </row>
    <row r="851" spans="1:18">
      <c r="A851" s="101" t="s">
        <v>40</v>
      </c>
      <c r="B851" s="101" t="s">
        <v>280</v>
      </c>
      <c r="C851" s="87" t="s">
        <v>3222</v>
      </c>
      <c r="D851" s="161" t="s">
        <v>2258</v>
      </c>
      <c r="E851" s="161" t="s">
        <v>3154</v>
      </c>
      <c r="F851" s="161" t="s">
        <v>3177</v>
      </c>
      <c r="G851" s="163">
        <v>131.156</v>
      </c>
      <c r="H851" s="163">
        <f t="shared" si="71"/>
        <v>21.506</v>
      </c>
      <c r="I851" s="171">
        <v>62</v>
      </c>
      <c r="J851" s="176">
        <v>3334.85099887716</v>
      </c>
      <c r="K851" s="176">
        <f t="shared" si="72"/>
        <v>29905.2679630711</v>
      </c>
      <c r="L851" s="163"/>
      <c r="M851" s="161" t="s">
        <v>3211</v>
      </c>
      <c r="N851" s="161" t="s">
        <v>1901</v>
      </c>
      <c r="O851" s="161" t="s">
        <v>25</v>
      </c>
      <c r="P851" s="49" t="s">
        <v>25</v>
      </c>
      <c r="Q851" s="166" t="s">
        <v>3223</v>
      </c>
      <c r="R851" s="151"/>
    </row>
    <row r="852" spans="1:18">
      <c r="A852" s="101" t="s">
        <v>40</v>
      </c>
      <c r="B852" s="101" t="s">
        <v>280</v>
      </c>
      <c r="C852" s="87" t="s">
        <v>3224</v>
      </c>
      <c r="D852" s="161" t="s">
        <v>2261</v>
      </c>
      <c r="E852" s="161" t="s">
        <v>3154</v>
      </c>
      <c r="F852" s="161" t="s">
        <v>3177</v>
      </c>
      <c r="G852" s="163">
        <v>151.576</v>
      </c>
      <c r="H852" s="163">
        <f t="shared" si="71"/>
        <v>20.42</v>
      </c>
      <c r="I852" s="171">
        <v>29</v>
      </c>
      <c r="J852" s="176">
        <v>2667.88079910172</v>
      </c>
      <c r="K852" s="176">
        <f t="shared" si="72"/>
        <v>32573.1487621728</v>
      </c>
      <c r="L852" s="174"/>
      <c r="M852" s="161" t="s">
        <v>3211</v>
      </c>
      <c r="N852" s="161" t="s">
        <v>1901</v>
      </c>
      <c r="O852" s="161" t="s">
        <v>26</v>
      </c>
      <c r="P852" s="49" t="s">
        <v>26</v>
      </c>
      <c r="Q852" s="166" t="s">
        <v>3225</v>
      </c>
      <c r="R852" s="151"/>
    </row>
    <row r="853" spans="1:18">
      <c r="A853" s="101" t="s">
        <v>40</v>
      </c>
      <c r="B853" s="101" t="s">
        <v>280</v>
      </c>
      <c r="C853" s="87" t="s">
        <v>3226</v>
      </c>
      <c r="D853" s="161" t="s">
        <v>2827</v>
      </c>
      <c r="E853" s="161" t="s">
        <v>3154</v>
      </c>
      <c r="F853" s="161" t="s">
        <v>3177</v>
      </c>
      <c r="G853" s="163">
        <v>163.325</v>
      </c>
      <c r="H853" s="163">
        <f t="shared" si="71"/>
        <v>11.749</v>
      </c>
      <c r="I853" s="171">
        <v>74</v>
      </c>
      <c r="J853" s="176">
        <v>1737.22470639182</v>
      </c>
      <c r="K853" s="176">
        <f t="shared" si="72"/>
        <v>34310.3734685647</v>
      </c>
      <c r="L853" s="163"/>
      <c r="M853" s="161" t="s">
        <v>3211</v>
      </c>
      <c r="N853" s="161" t="s">
        <v>1901</v>
      </c>
      <c r="O853" s="161" t="s">
        <v>26</v>
      </c>
      <c r="P853" s="49" t="s">
        <v>26</v>
      </c>
      <c r="Q853" s="166" t="s">
        <v>3227</v>
      </c>
      <c r="R853" s="151"/>
    </row>
    <row r="854" spans="1:18">
      <c r="A854" s="101" t="s">
        <v>40</v>
      </c>
      <c r="B854" s="101" t="s">
        <v>280</v>
      </c>
      <c r="C854" s="87" t="s">
        <v>3228</v>
      </c>
      <c r="D854" s="161" t="s">
        <v>1327</v>
      </c>
      <c r="E854" s="161" t="s">
        <v>3154</v>
      </c>
      <c r="F854" s="161" t="s">
        <v>3177</v>
      </c>
      <c r="G854" s="163">
        <v>174.413</v>
      </c>
      <c r="H854" s="163">
        <f t="shared" si="71"/>
        <v>11.088</v>
      </c>
      <c r="I854" s="171">
        <v>58</v>
      </c>
      <c r="J854" s="176">
        <v>1938.8668598123</v>
      </c>
      <c r="K854" s="176">
        <f t="shared" si="72"/>
        <v>36249.240328377</v>
      </c>
      <c r="L854" s="163"/>
      <c r="M854" s="161" t="s">
        <v>3211</v>
      </c>
      <c r="N854" s="161" t="s">
        <v>1299</v>
      </c>
      <c r="O854" s="161" t="s">
        <v>26</v>
      </c>
      <c r="P854" s="49" t="s">
        <v>25</v>
      </c>
      <c r="Q854" s="166" t="s">
        <v>3229</v>
      </c>
      <c r="R854" s="151"/>
    </row>
    <row r="855" spans="1:18">
      <c r="A855" s="101" t="s">
        <v>40</v>
      </c>
      <c r="B855" s="101" t="s">
        <v>280</v>
      </c>
      <c r="C855" s="87" t="s">
        <v>3230</v>
      </c>
      <c r="D855" s="161" t="s">
        <v>2270</v>
      </c>
      <c r="E855" s="161" t="s">
        <v>3154</v>
      </c>
      <c r="F855" s="161" t="s">
        <v>3177</v>
      </c>
      <c r="G855" s="163">
        <v>180.24</v>
      </c>
      <c r="H855" s="163">
        <f t="shared" si="71"/>
        <v>5.827</v>
      </c>
      <c r="I855" s="171">
        <v>77</v>
      </c>
      <c r="J855" s="176">
        <v>1892.3340551768</v>
      </c>
      <c r="K855" s="176">
        <f t="shared" si="72"/>
        <v>38141.5743835538</v>
      </c>
      <c r="L855" s="163"/>
      <c r="M855" s="161" t="s">
        <v>3211</v>
      </c>
      <c r="N855" s="161" t="s">
        <v>1901</v>
      </c>
      <c r="O855" s="161" t="s">
        <v>25</v>
      </c>
      <c r="P855" s="49" t="s">
        <v>25</v>
      </c>
      <c r="Q855" s="166" t="s">
        <v>3231</v>
      </c>
      <c r="R855" s="151"/>
    </row>
    <row r="856" spans="1:18">
      <c r="A856" s="101" t="s">
        <v>40</v>
      </c>
      <c r="B856" s="101" t="s">
        <v>280</v>
      </c>
      <c r="C856" s="87" t="s">
        <v>3232</v>
      </c>
      <c r="D856" s="161" t="s">
        <v>2832</v>
      </c>
      <c r="E856" s="161" t="s">
        <v>3154</v>
      </c>
      <c r="F856" s="161" t="s">
        <v>3177</v>
      </c>
      <c r="G856" s="163">
        <v>198.931</v>
      </c>
      <c r="H856" s="163">
        <f t="shared" si="71"/>
        <v>18.691</v>
      </c>
      <c r="I856" s="171">
        <v>93</v>
      </c>
      <c r="J856" s="176">
        <v>1938.8668598123</v>
      </c>
      <c r="K856" s="176">
        <f t="shared" si="72"/>
        <v>40080.4412433661</v>
      </c>
      <c r="L856" s="163"/>
      <c r="M856" s="161" t="s">
        <v>3211</v>
      </c>
      <c r="N856" s="161" t="s">
        <v>1901</v>
      </c>
      <c r="O856" s="161" t="s">
        <v>25</v>
      </c>
      <c r="P856" s="49" t="s">
        <v>25</v>
      </c>
      <c r="Q856" s="166" t="s">
        <v>3233</v>
      </c>
      <c r="R856" s="151"/>
    </row>
    <row r="857" spans="1:18">
      <c r="A857" s="101" t="s">
        <v>40</v>
      </c>
      <c r="B857" s="101" t="s">
        <v>280</v>
      </c>
      <c r="C857" s="87" t="s">
        <v>3234</v>
      </c>
      <c r="D857" s="161" t="s">
        <v>2835</v>
      </c>
      <c r="E857" s="161" t="s">
        <v>3154</v>
      </c>
      <c r="F857" s="161" t="s">
        <v>3177</v>
      </c>
      <c r="G857" s="163">
        <v>212.949</v>
      </c>
      <c r="H857" s="163">
        <f t="shared" si="71"/>
        <v>14.018</v>
      </c>
      <c r="I857" s="171">
        <v>146</v>
      </c>
      <c r="J857" s="176">
        <v>2156.01994811128</v>
      </c>
      <c r="K857" s="176">
        <f t="shared" si="72"/>
        <v>42236.4611914773</v>
      </c>
      <c r="L857" s="163"/>
      <c r="M857" s="161" t="s">
        <v>3211</v>
      </c>
      <c r="N857" s="161" t="s">
        <v>1901</v>
      </c>
      <c r="O857" s="161" t="s">
        <v>25</v>
      </c>
      <c r="P857" s="49" t="s">
        <v>25</v>
      </c>
      <c r="Q857" s="166" t="s">
        <v>3235</v>
      </c>
      <c r="R857" s="151"/>
    </row>
    <row r="858" spans="1:18">
      <c r="A858" s="101" t="s">
        <v>40</v>
      </c>
      <c r="B858" s="101" t="s">
        <v>280</v>
      </c>
      <c r="C858" s="87" t="s">
        <v>3236</v>
      </c>
      <c r="D858" s="161" t="s">
        <v>2280</v>
      </c>
      <c r="E858" s="161" t="s">
        <v>3154</v>
      </c>
      <c r="F858" s="161" t="s">
        <v>3177</v>
      </c>
      <c r="G858" s="163">
        <v>230.262</v>
      </c>
      <c r="H858" s="163">
        <f t="shared" si="71"/>
        <v>17.313</v>
      </c>
      <c r="I858" s="171">
        <v>151</v>
      </c>
      <c r="J858" s="176">
        <v>2698.90266885872</v>
      </c>
      <c r="K858" s="176">
        <f t="shared" si="72"/>
        <v>44935.3638603361</v>
      </c>
      <c r="L858" s="174"/>
      <c r="M858" s="161" t="s">
        <v>3211</v>
      </c>
      <c r="N858" s="161" t="s">
        <v>1901</v>
      </c>
      <c r="O858" s="161" t="s">
        <v>25</v>
      </c>
      <c r="P858" s="49" t="s">
        <v>25</v>
      </c>
      <c r="Q858" s="166" t="s">
        <v>3237</v>
      </c>
      <c r="R858" s="151"/>
    </row>
    <row r="859" spans="1:18">
      <c r="A859" s="101" t="s">
        <v>40</v>
      </c>
      <c r="B859" s="101" t="s">
        <v>280</v>
      </c>
      <c r="C859" s="87" t="s">
        <v>3238</v>
      </c>
      <c r="D859" s="161" t="s">
        <v>1349</v>
      </c>
      <c r="E859" s="161" t="s">
        <v>3154</v>
      </c>
      <c r="F859" s="161" t="s">
        <v>3177</v>
      </c>
      <c r="G859" s="163">
        <v>244.85</v>
      </c>
      <c r="H859" s="163">
        <f t="shared" si="71"/>
        <v>14.588</v>
      </c>
      <c r="I859" s="171">
        <v>120</v>
      </c>
      <c r="J859" s="176">
        <v>2466.23864568125</v>
      </c>
      <c r="K859" s="176">
        <f t="shared" si="72"/>
        <v>47401.6025060173</v>
      </c>
      <c r="L859" s="163"/>
      <c r="M859" s="161" t="s">
        <v>3211</v>
      </c>
      <c r="N859" s="161" t="s">
        <v>1299</v>
      </c>
      <c r="O859" s="161" t="s">
        <v>25</v>
      </c>
      <c r="P859" s="49" t="s">
        <v>25</v>
      </c>
      <c r="Q859" s="166" t="s">
        <v>3239</v>
      </c>
      <c r="R859" s="151"/>
    </row>
    <row r="860" spans="1:18">
      <c r="A860" s="101" t="s">
        <v>40</v>
      </c>
      <c r="B860" s="101" t="s">
        <v>280</v>
      </c>
      <c r="C860" s="87" t="s">
        <v>3240</v>
      </c>
      <c r="D860" s="161" t="s">
        <v>3240</v>
      </c>
      <c r="E860" s="161" t="s">
        <v>3154</v>
      </c>
      <c r="F860" s="161" t="s">
        <v>3177</v>
      </c>
      <c r="G860" s="163">
        <v>244.85</v>
      </c>
      <c r="H860" s="163">
        <v>0</v>
      </c>
      <c r="I860" s="171" t="s">
        <v>147</v>
      </c>
      <c r="J860" s="171" t="s">
        <v>147</v>
      </c>
      <c r="K860" s="171" t="s">
        <v>147</v>
      </c>
      <c r="L860" s="163"/>
      <c r="M860" s="161" t="s">
        <v>3211</v>
      </c>
      <c r="N860" s="161"/>
      <c r="O860" s="161" t="s">
        <v>16</v>
      </c>
      <c r="P860" s="49" t="s">
        <v>16</v>
      </c>
      <c r="Q860" s="166"/>
      <c r="R860" s="151"/>
    </row>
    <row r="861" spans="1:18">
      <c r="A861" s="101" t="s">
        <v>40</v>
      </c>
      <c r="B861" s="101" t="s">
        <v>280</v>
      </c>
      <c r="C861" s="87" t="s">
        <v>3241</v>
      </c>
      <c r="D861" s="161" t="s">
        <v>1352</v>
      </c>
      <c r="E861" s="161" t="s">
        <v>3154</v>
      </c>
      <c r="F861" s="161" t="s">
        <v>3177</v>
      </c>
      <c r="G861" s="163">
        <v>263.365</v>
      </c>
      <c r="H861" s="163">
        <f>G861-G859</f>
        <v>18.515</v>
      </c>
      <c r="I861" s="171">
        <v>127</v>
      </c>
      <c r="J861" s="176">
        <v>2760.94640837272</v>
      </c>
      <c r="K861" s="176">
        <f>J861+K859</f>
        <v>50162.54891439</v>
      </c>
      <c r="L861" s="163"/>
      <c r="M861" s="161" t="s">
        <v>3211</v>
      </c>
      <c r="N861" s="161" t="s">
        <v>1299</v>
      </c>
      <c r="O861" s="161" t="s">
        <v>25</v>
      </c>
      <c r="P861" s="49" t="s">
        <v>25</v>
      </c>
      <c r="Q861" s="166" t="s">
        <v>3242</v>
      </c>
      <c r="R861" s="151"/>
    </row>
    <row r="862" spans="1:18">
      <c r="A862" s="101" t="s">
        <v>40</v>
      </c>
      <c r="B862" s="101" t="s">
        <v>280</v>
      </c>
      <c r="C862" s="87" t="s">
        <v>3243</v>
      </c>
      <c r="D862" s="161" t="s">
        <v>1354</v>
      </c>
      <c r="E862" s="161" t="s">
        <v>3154</v>
      </c>
      <c r="F862" s="161" t="s">
        <v>3177</v>
      </c>
      <c r="G862" s="163">
        <v>275.06</v>
      </c>
      <c r="H862" s="163">
        <f>G862-G861</f>
        <v>11.695</v>
      </c>
      <c r="I862" s="171">
        <v>127</v>
      </c>
      <c r="J862" s="176">
        <v>1706.20283663482</v>
      </c>
      <c r="K862" s="176">
        <f>J862+K861</f>
        <v>51868.7517510249</v>
      </c>
      <c r="L862" s="163"/>
      <c r="M862" s="161" t="s">
        <v>3211</v>
      </c>
      <c r="N862" s="161" t="s">
        <v>1299</v>
      </c>
      <c r="O862" s="161" t="s">
        <v>25</v>
      </c>
      <c r="P862" s="49" t="s">
        <v>25</v>
      </c>
      <c r="Q862" s="166" t="s">
        <v>3244</v>
      </c>
      <c r="R862" s="151"/>
    </row>
    <row r="863" spans="1:18">
      <c r="A863" s="101" t="s">
        <v>40</v>
      </c>
      <c r="B863" s="101" t="s">
        <v>280</v>
      </c>
      <c r="C863" s="87" t="s">
        <v>3245</v>
      </c>
      <c r="D863" s="161" t="s">
        <v>1356</v>
      </c>
      <c r="E863" s="161" t="s">
        <v>3154</v>
      </c>
      <c r="F863" s="161" t="s">
        <v>3177</v>
      </c>
      <c r="G863" s="163">
        <v>287.014</v>
      </c>
      <c r="H863" s="163">
        <f>G863-G862</f>
        <v>11.954</v>
      </c>
      <c r="I863" s="171">
        <v>130</v>
      </c>
      <c r="J863" s="176">
        <v>1752.73564127032</v>
      </c>
      <c r="K863" s="176">
        <f>J863+K862</f>
        <v>53621.4873922952</v>
      </c>
      <c r="L863" s="174"/>
      <c r="M863" s="161" t="s">
        <v>3211</v>
      </c>
      <c r="N863" s="161" t="s">
        <v>1299</v>
      </c>
      <c r="O863" s="161" t="s">
        <v>26</v>
      </c>
      <c r="P863" s="49" t="s">
        <v>25</v>
      </c>
      <c r="Q863" s="166" t="s">
        <v>3246</v>
      </c>
      <c r="R863" s="151"/>
    </row>
    <row r="864" spans="1:18">
      <c r="A864" s="101" t="s">
        <v>40</v>
      </c>
      <c r="B864" s="101" t="s">
        <v>280</v>
      </c>
      <c r="C864" s="87" t="s">
        <v>281</v>
      </c>
      <c r="D864" s="161" t="s">
        <v>281</v>
      </c>
      <c r="E864" s="161" t="s">
        <v>3154</v>
      </c>
      <c r="F864" s="161" t="s">
        <v>3177</v>
      </c>
      <c r="G864" s="163">
        <v>300</v>
      </c>
      <c r="H864" s="163">
        <f>G864-G863</f>
        <v>12.986</v>
      </c>
      <c r="I864" s="171">
        <v>130</v>
      </c>
      <c r="J864" s="176">
        <v>2636.85892934473</v>
      </c>
      <c r="K864" s="176">
        <f>J864+K863</f>
        <v>56258.3463216399</v>
      </c>
      <c r="L864" s="163"/>
      <c r="M864" s="161" t="s">
        <v>3211</v>
      </c>
      <c r="N864" s="161" t="s">
        <v>1331</v>
      </c>
      <c r="O864" s="161" t="s">
        <v>14</v>
      </c>
      <c r="P864" s="49" t="s">
        <v>14</v>
      </c>
      <c r="Q864" s="166" t="s">
        <v>3247</v>
      </c>
      <c r="R864" s="151"/>
    </row>
    <row r="865" s="152" customFormat="1" ht="30" spans="1:18">
      <c r="A865" s="101" t="s">
        <v>40</v>
      </c>
      <c r="B865" s="101" t="s">
        <v>288</v>
      </c>
      <c r="C865" s="135" t="s">
        <v>289</v>
      </c>
      <c r="D865" s="162" t="s">
        <v>289</v>
      </c>
      <c r="E865" s="161" t="s">
        <v>3154</v>
      </c>
      <c r="F865" s="161"/>
      <c r="G865" s="163">
        <v>0</v>
      </c>
      <c r="H865" s="163">
        <v>0</v>
      </c>
      <c r="I865" s="171"/>
      <c r="J865" s="176">
        <v>0</v>
      </c>
      <c r="K865" s="176">
        <v>0</v>
      </c>
      <c r="L865" s="163"/>
      <c r="M865" s="161" t="s">
        <v>3248</v>
      </c>
      <c r="N865" s="161"/>
      <c r="O865" s="161"/>
      <c r="P865" s="49"/>
      <c r="Q865" s="166" t="s">
        <v>3249</v>
      </c>
      <c r="R865" s="151"/>
    </row>
    <row r="866" s="152" customFormat="1" ht="30" spans="1:18">
      <c r="A866" s="101" t="s">
        <v>40</v>
      </c>
      <c r="B866" s="101" t="s">
        <v>288</v>
      </c>
      <c r="C866" s="87" t="s">
        <v>1811</v>
      </c>
      <c r="D866" s="162" t="s">
        <v>1298</v>
      </c>
      <c r="E866" s="161" t="s">
        <v>3154</v>
      </c>
      <c r="F866" s="161"/>
      <c r="G866" s="163">
        <v>20.1</v>
      </c>
      <c r="H866" s="163">
        <f>G866-G865</f>
        <v>20.1</v>
      </c>
      <c r="I866" s="171"/>
      <c r="J866" s="176">
        <v>3095.1716</v>
      </c>
      <c r="K866" s="176">
        <f>J866+K865</f>
        <v>3095.1716</v>
      </c>
      <c r="L866" s="163"/>
      <c r="M866" s="161" t="s">
        <v>3248</v>
      </c>
      <c r="N866" s="161" t="s">
        <v>1299</v>
      </c>
      <c r="O866" s="161"/>
      <c r="P866" s="49" t="s">
        <v>25</v>
      </c>
      <c r="Q866" s="166" t="s">
        <v>3250</v>
      </c>
      <c r="R866" s="151"/>
    </row>
    <row r="867" s="152" customFormat="1" ht="30" spans="1:18">
      <c r="A867" s="101" t="s">
        <v>40</v>
      </c>
      <c r="B867" s="101" t="s">
        <v>288</v>
      </c>
      <c r="C867" s="87" t="s">
        <v>3251</v>
      </c>
      <c r="D867" s="162" t="s">
        <v>3251</v>
      </c>
      <c r="E867" s="161" t="s">
        <v>3154</v>
      </c>
      <c r="F867" s="161"/>
      <c r="G867" s="163">
        <v>40.49</v>
      </c>
      <c r="H867" s="163">
        <f>G867-G866</f>
        <v>20.39</v>
      </c>
      <c r="I867" s="171"/>
      <c r="J867" s="176">
        <v>3139.8283</v>
      </c>
      <c r="K867" s="176">
        <f>J867+K866</f>
        <v>6234.9999</v>
      </c>
      <c r="L867" s="163"/>
      <c r="M867" s="161" t="s">
        <v>3248</v>
      </c>
      <c r="N867" s="161"/>
      <c r="O867" s="161"/>
      <c r="P867" s="49" t="s">
        <v>15</v>
      </c>
      <c r="Q867" s="166" t="s">
        <v>3252</v>
      </c>
      <c r="R867" s="151"/>
    </row>
    <row r="868" s="152" customFormat="1" ht="30" spans="1:18">
      <c r="A868" s="101" t="s">
        <v>40</v>
      </c>
      <c r="B868" s="101" t="s">
        <v>288</v>
      </c>
      <c r="C868" s="87" t="s">
        <v>1815</v>
      </c>
      <c r="D868" s="162" t="s">
        <v>1302</v>
      </c>
      <c r="E868" s="161" t="s">
        <v>3154</v>
      </c>
      <c r="F868" s="161"/>
      <c r="G868" s="163">
        <v>62.09</v>
      </c>
      <c r="H868" s="163">
        <f>G868-G867</f>
        <v>21.6</v>
      </c>
      <c r="I868" s="171"/>
      <c r="J868" s="176">
        <v>3326</v>
      </c>
      <c r="K868" s="176">
        <f>J868+K867</f>
        <v>9560.9999</v>
      </c>
      <c r="L868" s="163"/>
      <c r="M868" s="161" t="s">
        <v>3248</v>
      </c>
      <c r="N868" s="161" t="s">
        <v>1299</v>
      </c>
      <c r="O868" s="161"/>
      <c r="P868" s="49" t="s">
        <v>25</v>
      </c>
      <c r="Q868" s="166" t="s">
        <v>3253</v>
      </c>
      <c r="R868" s="151"/>
    </row>
    <row r="869" s="152" customFormat="1" ht="30" spans="1:18">
      <c r="A869" s="101" t="s">
        <v>40</v>
      </c>
      <c r="B869" s="101" t="s">
        <v>288</v>
      </c>
      <c r="C869" s="87" t="s">
        <v>3254</v>
      </c>
      <c r="D869" s="162" t="s">
        <v>3254</v>
      </c>
      <c r="E869" s="161" t="s">
        <v>3154</v>
      </c>
      <c r="F869" s="161"/>
      <c r="G869" s="163">
        <v>62.09</v>
      </c>
      <c r="H869" s="163" t="s">
        <v>147</v>
      </c>
      <c r="I869" s="171"/>
      <c r="J869" s="176" t="s">
        <v>147</v>
      </c>
      <c r="K869" s="176">
        <f>K868</f>
        <v>9560.9999</v>
      </c>
      <c r="L869" s="163"/>
      <c r="M869" s="161" t="s">
        <v>3248</v>
      </c>
      <c r="N869" s="161"/>
      <c r="O869" s="161"/>
      <c r="P869" s="49" t="s">
        <v>14</v>
      </c>
      <c r="Q869" s="166" t="s">
        <v>3253</v>
      </c>
      <c r="R869" s="151"/>
    </row>
    <row r="870" s="152" customFormat="1" ht="30" spans="1:18">
      <c r="A870" s="101" t="s">
        <v>40</v>
      </c>
      <c r="B870" s="101" t="s">
        <v>288</v>
      </c>
      <c r="C870" s="87" t="s">
        <v>1210</v>
      </c>
      <c r="D870" s="162" t="s">
        <v>1305</v>
      </c>
      <c r="E870" s="161" t="s">
        <v>3154</v>
      </c>
      <c r="F870" s="161"/>
      <c r="G870" s="163">
        <v>83.89</v>
      </c>
      <c r="H870" s="163">
        <f>G870-G869</f>
        <v>21.8</v>
      </c>
      <c r="I870" s="171"/>
      <c r="J870" s="176">
        <v>3038.2883</v>
      </c>
      <c r="K870" s="176">
        <f>J870+K869</f>
        <v>12599.2882</v>
      </c>
      <c r="L870" s="163"/>
      <c r="M870" s="161" t="s">
        <v>3248</v>
      </c>
      <c r="N870" s="161" t="s">
        <v>1299</v>
      </c>
      <c r="O870" s="161"/>
      <c r="P870" s="49" t="s">
        <v>25</v>
      </c>
      <c r="Q870" s="166" t="s">
        <v>3255</v>
      </c>
      <c r="R870" s="151"/>
    </row>
    <row r="871" s="152" customFormat="1" ht="30" spans="1:18">
      <c r="A871" s="101" t="s">
        <v>40</v>
      </c>
      <c r="B871" s="101" t="s">
        <v>288</v>
      </c>
      <c r="C871" s="87" t="s">
        <v>1820</v>
      </c>
      <c r="D871" s="162" t="s">
        <v>1307</v>
      </c>
      <c r="E871" s="161" t="s">
        <v>3154</v>
      </c>
      <c r="F871" s="161"/>
      <c r="G871" s="163">
        <v>105.16</v>
      </c>
      <c r="H871" s="163">
        <f>G871-G870</f>
        <v>21.27</v>
      </c>
      <c r="I871" s="171"/>
      <c r="J871" s="176">
        <v>2964.4217</v>
      </c>
      <c r="K871" s="176">
        <f>J871+K870</f>
        <v>15563.7099</v>
      </c>
      <c r="L871" s="163"/>
      <c r="M871" s="161" t="s">
        <v>3248</v>
      </c>
      <c r="N871" s="161" t="s">
        <v>1299</v>
      </c>
      <c r="O871" s="161"/>
      <c r="P871" s="49" t="s">
        <v>25</v>
      </c>
      <c r="Q871" s="166" t="s">
        <v>3256</v>
      </c>
      <c r="R871" s="151"/>
    </row>
    <row r="872" s="152" customFormat="1" ht="30" spans="1:18">
      <c r="A872" s="101" t="s">
        <v>40</v>
      </c>
      <c r="B872" s="101" t="s">
        <v>288</v>
      </c>
      <c r="C872" s="87" t="s">
        <v>290</v>
      </c>
      <c r="D872" s="162" t="s">
        <v>290</v>
      </c>
      <c r="E872" s="161" t="s">
        <v>3154</v>
      </c>
      <c r="F872" s="161"/>
      <c r="G872" s="163">
        <v>114.755</v>
      </c>
      <c r="H872" s="163">
        <f>G872-G871</f>
        <v>9.595</v>
      </c>
      <c r="I872" s="171"/>
      <c r="J872" s="176">
        <v>2107.2899</v>
      </c>
      <c r="K872" s="176">
        <f>J872+K871</f>
        <v>17670.9998</v>
      </c>
      <c r="L872" s="163"/>
      <c r="M872" s="161" t="s">
        <v>3248</v>
      </c>
      <c r="N872" s="161"/>
      <c r="O872" s="161"/>
      <c r="P872" s="49" t="s">
        <v>15</v>
      </c>
      <c r="Q872" s="166" t="s">
        <v>3257</v>
      </c>
      <c r="R872" s="151"/>
    </row>
    <row r="873" spans="1:18">
      <c r="A873" s="101" t="s">
        <v>40</v>
      </c>
      <c r="B873" s="101" t="s">
        <v>285</v>
      </c>
      <c r="C873" s="135" t="s">
        <v>286</v>
      </c>
      <c r="D873" s="161" t="s">
        <v>286</v>
      </c>
      <c r="E873" s="161" t="s">
        <v>3154</v>
      </c>
      <c r="F873" s="161" t="s">
        <v>3166</v>
      </c>
      <c r="G873" s="171">
        <v>0</v>
      </c>
      <c r="H873" s="163">
        <v>0</v>
      </c>
      <c r="I873" s="171">
        <v>67</v>
      </c>
      <c r="J873" s="176">
        <f>H873*121.74</f>
        <v>0</v>
      </c>
      <c r="K873" s="176">
        <f>G873*121.74</f>
        <v>0</v>
      </c>
      <c r="L873" s="163"/>
      <c r="M873" s="161" t="s">
        <v>3174</v>
      </c>
      <c r="N873" s="161" t="s">
        <v>1331</v>
      </c>
      <c r="O873" s="161"/>
      <c r="P873" s="49"/>
      <c r="Q873" s="166" t="s">
        <v>3175</v>
      </c>
      <c r="R873" s="151"/>
    </row>
    <row r="874" spans="1:18">
      <c r="A874" s="101" t="s">
        <v>40</v>
      </c>
      <c r="B874" s="101" t="s">
        <v>285</v>
      </c>
      <c r="C874" s="87" t="s">
        <v>3258</v>
      </c>
      <c r="D874" s="161" t="s">
        <v>1298</v>
      </c>
      <c r="E874" s="161" t="s">
        <v>3154</v>
      </c>
      <c r="F874" s="161" t="s">
        <v>3166</v>
      </c>
      <c r="G874" s="171">
        <v>10.2334</v>
      </c>
      <c r="H874" s="163">
        <f>G874-G873</f>
        <v>10.2334</v>
      </c>
      <c r="I874" s="171">
        <v>20</v>
      </c>
      <c r="J874" s="176">
        <v>1278.8823587493</v>
      </c>
      <c r="K874" s="176">
        <f>J874+K873</f>
        <v>1278.8823587493</v>
      </c>
      <c r="L874" s="163"/>
      <c r="M874" s="161" t="s">
        <v>3259</v>
      </c>
      <c r="N874" s="161" t="s">
        <v>1299</v>
      </c>
      <c r="O874" s="161" t="s">
        <v>25</v>
      </c>
      <c r="P874" s="49" t="s">
        <v>25</v>
      </c>
      <c r="Q874" s="166" t="s">
        <v>3260</v>
      </c>
      <c r="R874" s="151"/>
    </row>
    <row r="875" spans="1:18">
      <c r="A875" s="101" t="s">
        <v>40</v>
      </c>
      <c r="B875" s="101" t="s">
        <v>285</v>
      </c>
      <c r="C875" s="87" t="s">
        <v>3261</v>
      </c>
      <c r="D875" s="161" t="s">
        <v>1302</v>
      </c>
      <c r="E875" s="161" t="s">
        <v>3154</v>
      </c>
      <c r="F875" s="161" t="s">
        <v>3166</v>
      </c>
      <c r="G875" s="171">
        <v>17.8464</v>
      </c>
      <c r="H875" s="163">
        <f t="shared" ref="H875:H880" si="73">G875-G874</f>
        <v>7.613</v>
      </c>
      <c r="I875" s="171">
        <v>30</v>
      </c>
      <c r="J875" s="176">
        <v>1096.18487892797</v>
      </c>
      <c r="K875" s="176">
        <f t="shared" ref="K875:K880" si="74">J875+K874</f>
        <v>2375.06723767727</v>
      </c>
      <c r="L875" s="174"/>
      <c r="M875" s="161" t="s">
        <v>3259</v>
      </c>
      <c r="N875" s="161" t="s">
        <v>1299</v>
      </c>
      <c r="O875" s="161" t="s">
        <v>25</v>
      </c>
      <c r="P875" s="49" t="s">
        <v>25</v>
      </c>
      <c r="Q875" s="166" t="s">
        <v>3262</v>
      </c>
      <c r="R875" s="151"/>
    </row>
    <row r="876" spans="1:18">
      <c r="A876" s="101" t="s">
        <v>40</v>
      </c>
      <c r="B876" s="101" t="s">
        <v>285</v>
      </c>
      <c r="C876" s="87" t="s">
        <v>3263</v>
      </c>
      <c r="D876" s="161" t="s">
        <v>1305</v>
      </c>
      <c r="E876" s="161" t="s">
        <v>3154</v>
      </c>
      <c r="F876" s="161" t="s">
        <v>3166</v>
      </c>
      <c r="G876" s="171">
        <v>28.5064</v>
      </c>
      <c r="H876" s="163">
        <f t="shared" si="73"/>
        <v>10.66</v>
      </c>
      <c r="I876" s="171">
        <v>35</v>
      </c>
      <c r="J876" s="176">
        <v>1400.68067863019</v>
      </c>
      <c r="K876" s="176">
        <f t="shared" si="74"/>
        <v>3775.74791630746</v>
      </c>
      <c r="L876" s="163"/>
      <c r="M876" s="161" t="s">
        <v>3259</v>
      </c>
      <c r="N876" s="161" t="s">
        <v>1299</v>
      </c>
      <c r="O876" s="161" t="s">
        <v>25</v>
      </c>
      <c r="P876" s="49" t="s">
        <v>25</v>
      </c>
      <c r="Q876" s="166" t="s">
        <v>3264</v>
      </c>
      <c r="R876" s="151"/>
    </row>
    <row r="877" spans="1:18">
      <c r="A877" s="101" t="s">
        <v>40</v>
      </c>
      <c r="B877" s="101" t="s">
        <v>285</v>
      </c>
      <c r="C877" s="87" t="s">
        <v>3265</v>
      </c>
      <c r="D877" s="161" t="s">
        <v>2820</v>
      </c>
      <c r="E877" s="161" t="s">
        <v>3154</v>
      </c>
      <c r="F877" s="161" t="s">
        <v>3166</v>
      </c>
      <c r="G877" s="171">
        <v>38.5714</v>
      </c>
      <c r="H877" s="163">
        <f t="shared" si="73"/>
        <v>10.065</v>
      </c>
      <c r="I877" s="171">
        <v>31</v>
      </c>
      <c r="J877" s="176">
        <v>1376.32101465401</v>
      </c>
      <c r="K877" s="176">
        <f t="shared" si="74"/>
        <v>5152.06893096147</v>
      </c>
      <c r="L877" s="163"/>
      <c r="M877" s="161" t="s">
        <v>3259</v>
      </c>
      <c r="N877" s="161" t="s">
        <v>1901</v>
      </c>
      <c r="O877" s="161" t="s">
        <v>25</v>
      </c>
      <c r="P877" s="49" t="s">
        <v>25</v>
      </c>
      <c r="Q877" s="166" t="s">
        <v>3266</v>
      </c>
      <c r="R877" s="151"/>
    </row>
    <row r="878" spans="1:18">
      <c r="A878" s="101" t="s">
        <v>40</v>
      </c>
      <c r="B878" s="101" t="s">
        <v>285</v>
      </c>
      <c r="C878" s="87" t="s">
        <v>3267</v>
      </c>
      <c r="D878" s="161" t="s">
        <v>1311</v>
      </c>
      <c r="E878" s="161" t="s">
        <v>3154</v>
      </c>
      <c r="F878" s="161" t="s">
        <v>3166</v>
      </c>
      <c r="G878" s="171">
        <v>62.5964</v>
      </c>
      <c r="H878" s="163">
        <f t="shared" si="73"/>
        <v>24.025</v>
      </c>
      <c r="I878" s="171">
        <v>110</v>
      </c>
      <c r="J878" s="176">
        <v>2910.97984515318</v>
      </c>
      <c r="K878" s="176">
        <f t="shared" si="74"/>
        <v>8063.04877611465</v>
      </c>
      <c r="L878" s="174"/>
      <c r="M878" s="161" t="s">
        <v>3259</v>
      </c>
      <c r="N878" s="161" t="s">
        <v>1299</v>
      </c>
      <c r="O878" s="161" t="s">
        <v>25</v>
      </c>
      <c r="P878" s="49" t="s">
        <v>25</v>
      </c>
      <c r="Q878" s="166" t="s">
        <v>3268</v>
      </c>
      <c r="R878" s="151"/>
    </row>
    <row r="879" spans="1:18">
      <c r="A879" s="101" t="s">
        <v>40</v>
      </c>
      <c r="B879" s="101" t="s">
        <v>285</v>
      </c>
      <c r="C879" s="87" t="s">
        <v>3269</v>
      </c>
      <c r="D879" s="161" t="s">
        <v>2258</v>
      </c>
      <c r="E879" s="161" t="s">
        <v>3154</v>
      </c>
      <c r="F879" s="161" t="s">
        <v>3166</v>
      </c>
      <c r="G879" s="171">
        <v>80.9844</v>
      </c>
      <c r="H879" s="163">
        <f t="shared" si="73"/>
        <v>18.388</v>
      </c>
      <c r="I879" s="171">
        <v>137</v>
      </c>
      <c r="J879" s="176">
        <v>2448.14622960581</v>
      </c>
      <c r="K879" s="176">
        <f t="shared" si="74"/>
        <v>10511.1950057205</v>
      </c>
      <c r="L879" s="163"/>
      <c r="M879" s="161" t="s">
        <v>3259</v>
      </c>
      <c r="N879" s="161" t="s">
        <v>1901</v>
      </c>
      <c r="O879" s="161" t="s">
        <v>25</v>
      </c>
      <c r="P879" s="49" t="s">
        <v>25</v>
      </c>
      <c r="Q879" s="166" t="s">
        <v>3270</v>
      </c>
      <c r="R879" s="151"/>
    </row>
    <row r="880" spans="1:18">
      <c r="A880" s="101" t="s">
        <v>40</v>
      </c>
      <c r="B880" s="101" t="s">
        <v>285</v>
      </c>
      <c r="C880" s="87" t="s">
        <v>287</v>
      </c>
      <c r="D880" s="161" t="s">
        <v>287</v>
      </c>
      <c r="E880" s="161" t="s">
        <v>3154</v>
      </c>
      <c r="F880" s="161" t="s">
        <v>3166</v>
      </c>
      <c r="G880" s="171">
        <v>99.2964</v>
      </c>
      <c r="H880" s="163">
        <f t="shared" si="73"/>
        <v>18.312</v>
      </c>
      <c r="I880" s="171">
        <v>85</v>
      </c>
      <c r="J880" s="176">
        <v>2034.0319420108</v>
      </c>
      <c r="K880" s="176">
        <f t="shared" si="74"/>
        <v>12545.2269477313</v>
      </c>
      <c r="L880" s="174"/>
      <c r="M880" s="161" t="s">
        <v>3259</v>
      </c>
      <c r="N880" s="161" t="s">
        <v>1331</v>
      </c>
      <c r="O880" s="161" t="s">
        <v>14</v>
      </c>
      <c r="P880" s="49" t="s">
        <v>14</v>
      </c>
      <c r="Q880" s="166" t="s">
        <v>3271</v>
      </c>
      <c r="R880" s="151"/>
    </row>
    <row r="881" ht="30" spans="1:18">
      <c r="A881" s="101" t="s">
        <v>40</v>
      </c>
      <c r="B881" s="101" t="s">
        <v>292</v>
      </c>
      <c r="C881" s="135" t="s">
        <v>3272</v>
      </c>
      <c r="D881" s="161" t="s">
        <v>3272</v>
      </c>
      <c r="E881" s="161" t="s">
        <v>3154</v>
      </c>
      <c r="F881" s="161" t="s">
        <v>3177</v>
      </c>
      <c r="G881" s="163">
        <v>0</v>
      </c>
      <c r="H881" s="163">
        <v>0</v>
      </c>
      <c r="I881" s="171">
        <v>80</v>
      </c>
      <c r="J881" s="176">
        <v>0</v>
      </c>
      <c r="K881" s="176">
        <v>0</v>
      </c>
      <c r="L881" s="174"/>
      <c r="M881" s="161" t="e">
        <v>#N/A</v>
      </c>
      <c r="N881" s="161"/>
      <c r="O881" s="161"/>
      <c r="P881" s="49"/>
      <c r="Q881" s="166"/>
      <c r="R881" s="151"/>
    </row>
    <row r="882" ht="30" spans="1:18">
      <c r="A882" s="101" t="s">
        <v>40</v>
      </c>
      <c r="B882" s="101" t="s">
        <v>292</v>
      </c>
      <c r="C882" s="135" t="s">
        <v>3273</v>
      </c>
      <c r="D882" s="161" t="s">
        <v>3273</v>
      </c>
      <c r="E882" s="161" t="s">
        <v>3154</v>
      </c>
      <c r="F882" s="161" t="s">
        <v>3177</v>
      </c>
      <c r="G882" s="163">
        <v>8</v>
      </c>
      <c r="H882" s="163">
        <v>8</v>
      </c>
      <c r="I882" s="171">
        <v>82</v>
      </c>
      <c r="J882" s="176">
        <v>3733</v>
      </c>
      <c r="K882" s="176">
        <v>3733</v>
      </c>
      <c r="L882" s="174"/>
      <c r="M882" s="161" t="e">
        <v>#N/A</v>
      </c>
      <c r="N882" s="161"/>
      <c r="O882" s="161"/>
      <c r="P882" s="49"/>
      <c r="Q882" s="166"/>
      <c r="R882" s="151"/>
    </row>
    <row r="883" spans="1:18">
      <c r="A883" s="101" t="s">
        <v>41</v>
      </c>
      <c r="B883" s="101" t="s">
        <v>41</v>
      </c>
      <c r="C883" s="135" t="s">
        <v>208</v>
      </c>
      <c r="D883" s="161" t="s">
        <v>208</v>
      </c>
      <c r="E883" s="161" t="s">
        <v>2750</v>
      </c>
      <c r="F883" s="161" t="s">
        <v>2777</v>
      </c>
      <c r="G883" s="171">
        <v>0</v>
      </c>
      <c r="H883" s="163">
        <v>0</v>
      </c>
      <c r="I883" s="176">
        <v>36</v>
      </c>
      <c r="J883" s="176">
        <v>0</v>
      </c>
      <c r="K883" s="176">
        <v>0</v>
      </c>
      <c r="L883" s="163"/>
      <c r="M883" s="161" t="s">
        <v>2232</v>
      </c>
      <c r="N883" s="161" t="s">
        <v>1331</v>
      </c>
      <c r="O883" s="161"/>
      <c r="P883" s="49"/>
      <c r="Q883" s="166" t="s">
        <v>2785</v>
      </c>
      <c r="R883" s="151"/>
    </row>
    <row r="884" spans="1:18">
      <c r="A884" s="101" t="s">
        <v>41</v>
      </c>
      <c r="B884" s="101" t="s">
        <v>41</v>
      </c>
      <c r="C884" s="87" t="s">
        <v>3274</v>
      </c>
      <c r="D884" s="161" t="s">
        <v>1899</v>
      </c>
      <c r="E884" s="161" t="s">
        <v>2750</v>
      </c>
      <c r="F884" s="161" t="s">
        <v>2777</v>
      </c>
      <c r="G884" s="171">
        <v>8.1453</v>
      </c>
      <c r="H884" s="163">
        <f>G884-G883</f>
        <v>8.1453</v>
      </c>
      <c r="I884" s="176">
        <v>36</v>
      </c>
      <c r="J884" s="176">
        <v>6073</v>
      </c>
      <c r="K884" s="176">
        <v>6073</v>
      </c>
      <c r="L884" s="163"/>
      <c r="M884" s="161" t="s">
        <v>3275</v>
      </c>
      <c r="N884" s="161" t="s">
        <v>1901</v>
      </c>
      <c r="O884" s="161" t="s">
        <v>26</v>
      </c>
      <c r="P884" s="49" t="s">
        <v>26</v>
      </c>
      <c r="Q884" s="166" t="s">
        <v>3132</v>
      </c>
      <c r="R884" s="151"/>
    </row>
    <row r="885" spans="1:18">
      <c r="A885" s="101" t="s">
        <v>41</v>
      </c>
      <c r="B885" s="101" t="s">
        <v>41</v>
      </c>
      <c r="C885" s="87" t="s">
        <v>3276</v>
      </c>
      <c r="D885" s="161" t="s">
        <v>1904</v>
      </c>
      <c r="E885" s="161" t="s">
        <v>2750</v>
      </c>
      <c r="F885" s="161" t="s">
        <v>2777</v>
      </c>
      <c r="G885" s="171">
        <v>30.6686</v>
      </c>
      <c r="H885" s="163">
        <f t="shared" ref="H885:H894" si="75">G885-G884</f>
        <v>22.5233</v>
      </c>
      <c r="I885" s="176">
        <v>50</v>
      </c>
      <c r="J885" s="176">
        <v>18784</v>
      </c>
      <c r="K885" s="176">
        <v>24857</v>
      </c>
      <c r="L885" s="163"/>
      <c r="M885" s="161" t="s">
        <v>3275</v>
      </c>
      <c r="N885" s="161" t="s">
        <v>1901</v>
      </c>
      <c r="O885" s="161" t="s">
        <v>26</v>
      </c>
      <c r="P885" s="49" t="s">
        <v>26</v>
      </c>
      <c r="Q885" s="166" t="s">
        <v>3133</v>
      </c>
      <c r="R885" s="151"/>
    </row>
    <row r="886" spans="1:18">
      <c r="A886" s="101" t="s">
        <v>41</v>
      </c>
      <c r="B886" s="101" t="s">
        <v>41</v>
      </c>
      <c r="C886" s="87" t="s">
        <v>3277</v>
      </c>
      <c r="D886" s="161" t="s">
        <v>2847</v>
      </c>
      <c r="E886" s="161" t="s">
        <v>2750</v>
      </c>
      <c r="F886" s="161" t="s">
        <v>2777</v>
      </c>
      <c r="G886" s="171">
        <v>43.3044</v>
      </c>
      <c r="H886" s="163">
        <f t="shared" si="75"/>
        <v>12.6358</v>
      </c>
      <c r="I886" s="176">
        <v>44</v>
      </c>
      <c r="J886" s="176">
        <v>5721</v>
      </c>
      <c r="K886" s="176">
        <v>30578</v>
      </c>
      <c r="L886" s="163"/>
      <c r="M886" s="161" t="s">
        <v>3275</v>
      </c>
      <c r="N886" s="161" t="s">
        <v>1901</v>
      </c>
      <c r="O886" s="161" t="s">
        <v>26</v>
      </c>
      <c r="P886" s="49" t="s">
        <v>26</v>
      </c>
      <c r="Q886" s="166" t="s">
        <v>3135</v>
      </c>
      <c r="R886" s="151"/>
    </row>
    <row r="887" spans="1:18">
      <c r="A887" s="101" t="s">
        <v>41</v>
      </c>
      <c r="B887" s="101" t="s">
        <v>41</v>
      </c>
      <c r="C887" s="87" t="s">
        <v>3278</v>
      </c>
      <c r="D887" s="161" t="s">
        <v>1307</v>
      </c>
      <c r="E887" s="161" t="s">
        <v>2750</v>
      </c>
      <c r="F887" s="161" t="s">
        <v>2777</v>
      </c>
      <c r="G887" s="171">
        <v>58.434</v>
      </c>
      <c r="H887" s="163">
        <f t="shared" si="75"/>
        <v>15.1296</v>
      </c>
      <c r="I887" s="176">
        <v>24</v>
      </c>
      <c r="J887" s="176">
        <v>16663</v>
      </c>
      <c r="K887" s="176">
        <v>47241</v>
      </c>
      <c r="L887" s="163"/>
      <c r="M887" s="161" t="s">
        <v>3275</v>
      </c>
      <c r="N887" s="161" t="s">
        <v>1299</v>
      </c>
      <c r="O887" s="161" t="s">
        <v>25</v>
      </c>
      <c r="P887" s="49" t="s">
        <v>25</v>
      </c>
      <c r="Q887" s="166" t="s">
        <v>3279</v>
      </c>
      <c r="R887" s="151"/>
    </row>
    <row r="888" spans="1:18">
      <c r="A888" s="101" t="s">
        <v>41</v>
      </c>
      <c r="B888" s="101" t="s">
        <v>41</v>
      </c>
      <c r="C888" s="87" t="s">
        <v>3280</v>
      </c>
      <c r="D888" s="161" t="s">
        <v>2252</v>
      </c>
      <c r="E888" s="161" t="s">
        <v>2750</v>
      </c>
      <c r="F888" s="161" t="s">
        <v>2777</v>
      </c>
      <c r="G888" s="171">
        <v>75.7228</v>
      </c>
      <c r="H888" s="163">
        <f t="shared" si="75"/>
        <v>17.2888</v>
      </c>
      <c r="I888" s="176">
        <v>18</v>
      </c>
      <c r="J888" s="176">
        <v>12342</v>
      </c>
      <c r="K888" s="176">
        <v>59583</v>
      </c>
      <c r="L888" s="163"/>
      <c r="M888" s="161" t="s">
        <v>3275</v>
      </c>
      <c r="N888" s="161" t="s">
        <v>1901</v>
      </c>
      <c r="O888" s="161" t="s">
        <v>26</v>
      </c>
      <c r="P888" s="49" t="s">
        <v>26</v>
      </c>
      <c r="Q888" s="166" t="s">
        <v>3281</v>
      </c>
      <c r="R888" s="151"/>
    </row>
    <row r="889" spans="1:18">
      <c r="A889" s="101" t="s">
        <v>41</v>
      </c>
      <c r="B889" s="101" t="s">
        <v>41</v>
      </c>
      <c r="C889" s="87" t="s">
        <v>333</v>
      </c>
      <c r="D889" s="161" t="s">
        <v>2258</v>
      </c>
      <c r="E889" s="161" t="s">
        <v>2750</v>
      </c>
      <c r="F889" s="161" t="s">
        <v>2777</v>
      </c>
      <c r="G889" s="171">
        <v>90</v>
      </c>
      <c r="H889" s="163">
        <f t="shared" si="75"/>
        <v>14.2772</v>
      </c>
      <c r="I889" s="176">
        <v>15</v>
      </c>
      <c r="J889" s="176">
        <v>10816</v>
      </c>
      <c r="K889" s="176">
        <v>70399</v>
      </c>
      <c r="L889" s="163"/>
      <c r="M889" s="161" t="s">
        <v>3275</v>
      </c>
      <c r="N889" s="161" t="s">
        <v>1901</v>
      </c>
      <c r="O889" s="161" t="s">
        <v>26</v>
      </c>
      <c r="P889" s="49" t="s">
        <v>26</v>
      </c>
      <c r="Q889" s="166" t="s">
        <v>3282</v>
      </c>
      <c r="R889" s="151"/>
    </row>
    <row r="890" spans="1:18">
      <c r="A890" s="101" t="s">
        <v>41</v>
      </c>
      <c r="B890" s="101" t="s">
        <v>41</v>
      </c>
      <c r="C890" s="87" t="s">
        <v>3283</v>
      </c>
      <c r="D890" s="161" t="s">
        <v>1324</v>
      </c>
      <c r="E890" s="161" t="s">
        <v>2750</v>
      </c>
      <c r="F890" s="161" t="s">
        <v>3284</v>
      </c>
      <c r="G890" s="171">
        <v>106.2532</v>
      </c>
      <c r="H890" s="163">
        <f t="shared" si="75"/>
        <v>16.2532</v>
      </c>
      <c r="I890" s="176">
        <v>11</v>
      </c>
      <c r="J890" s="176">
        <v>12335</v>
      </c>
      <c r="K890" s="176">
        <v>87516</v>
      </c>
      <c r="L890" s="163"/>
      <c r="M890" s="161" t="s">
        <v>3275</v>
      </c>
      <c r="N890" s="161" t="s">
        <v>1299</v>
      </c>
      <c r="O890" s="161" t="s">
        <v>25</v>
      </c>
      <c r="P890" s="49" t="s">
        <v>25</v>
      </c>
      <c r="Q890" s="166" t="s">
        <v>3285</v>
      </c>
      <c r="R890" s="151"/>
    </row>
    <row r="891" spans="1:18">
      <c r="A891" s="101" t="s">
        <v>41</v>
      </c>
      <c r="B891" s="101" t="s">
        <v>41</v>
      </c>
      <c r="C891" s="87" t="s">
        <v>3286</v>
      </c>
      <c r="D891" s="161" t="s">
        <v>2266</v>
      </c>
      <c r="E891" s="161" t="s">
        <v>2750</v>
      </c>
      <c r="F891" s="161" t="s">
        <v>3284</v>
      </c>
      <c r="G891" s="171">
        <v>130.9072</v>
      </c>
      <c r="H891" s="163">
        <f t="shared" si="75"/>
        <v>24.654</v>
      </c>
      <c r="I891" s="176">
        <v>26</v>
      </c>
      <c r="J891" s="176">
        <v>18047</v>
      </c>
      <c r="K891" s="176">
        <v>105563</v>
      </c>
      <c r="L891" s="163"/>
      <c r="M891" s="161" t="s">
        <v>3275</v>
      </c>
      <c r="N891" s="161" t="s">
        <v>1901</v>
      </c>
      <c r="O891" s="161" t="s">
        <v>26</v>
      </c>
      <c r="P891" s="49" t="s">
        <v>26</v>
      </c>
      <c r="Q891" s="166" t="s">
        <v>3287</v>
      </c>
      <c r="R891" s="151"/>
    </row>
    <row r="892" spans="1:18">
      <c r="A892" s="101" t="s">
        <v>41</v>
      </c>
      <c r="B892" s="101" t="s">
        <v>41</v>
      </c>
      <c r="C892" s="87" t="s">
        <v>3288</v>
      </c>
      <c r="D892" s="161" t="s">
        <v>1334</v>
      </c>
      <c r="E892" s="161" t="s">
        <v>2750</v>
      </c>
      <c r="F892" s="161" t="s">
        <v>3284</v>
      </c>
      <c r="G892" s="171">
        <v>149.3191</v>
      </c>
      <c r="H892" s="163">
        <f t="shared" si="75"/>
        <v>18.4119</v>
      </c>
      <c r="I892" s="176">
        <v>11</v>
      </c>
      <c r="J892" s="176">
        <v>12257</v>
      </c>
      <c r="K892" s="176">
        <v>117820</v>
      </c>
      <c r="L892" s="163"/>
      <c r="M892" s="161" t="s">
        <v>3275</v>
      </c>
      <c r="N892" s="161" t="s">
        <v>1299</v>
      </c>
      <c r="O892" s="161" t="s">
        <v>25</v>
      </c>
      <c r="P892" s="49" t="s">
        <v>25</v>
      </c>
      <c r="Q892" s="166" t="s">
        <v>3289</v>
      </c>
      <c r="R892" s="151"/>
    </row>
    <row r="893" spans="1:18">
      <c r="A893" s="101" t="s">
        <v>41</v>
      </c>
      <c r="B893" s="101" t="s">
        <v>41</v>
      </c>
      <c r="C893" s="87" t="s">
        <v>3290</v>
      </c>
      <c r="D893" s="161" t="s">
        <v>3290</v>
      </c>
      <c r="E893" s="161" t="s">
        <v>2750</v>
      </c>
      <c r="F893" s="161" t="s">
        <v>3284</v>
      </c>
      <c r="G893" s="171">
        <v>162.9999</v>
      </c>
      <c r="H893" s="163">
        <f t="shared" si="75"/>
        <v>13.6808</v>
      </c>
      <c r="I893" s="176">
        <v>4</v>
      </c>
      <c r="J893" s="176">
        <v>9775</v>
      </c>
      <c r="K893" s="176">
        <v>127595</v>
      </c>
      <c r="L893" s="163"/>
      <c r="M893" s="161" t="s">
        <v>3275</v>
      </c>
      <c r="N893" s="161" t="s">
        <v>1331</v>
      </c>
      <c r="O893" s="161" t="s">
        <v>14</v>
      </c>
      <c r="P893" s="49" t="s">
        <v>14</v>
      </c>
      <c r="Q893" s="166" t="s">
        <v>3291</v>
      </c>
      <c r="R893" s="151"/>
    </row>
    <row r="894" spans="1:18">
      <c r="A894" s="101" t="s">
        <v>41</v>
      </c>
      <c r="B894" s="101" t="s">
        <v>41</v>
      </c>
      <c r="C894" s="87" t="s">
        <v>3292</v>
      </c>
      <c r="D894" s="161" t="s">
        <v>2832</v>
      </c>
      <c r="E894" s="161" t="s">
        <v>2750</v>
      </c>
      <c r="F894" s="161" t="s">
        <v>3284</v>
      </c>
      <c r="G894" s="171">
        <v>169.9999</v>
      </c>
      <c r="H894" s="163">
        <f t="shared" si="75"/>
        <v>7</v>
      </c>
      <c r="I894" s="176">
        <v>38</v>
      </c>
      <c r="J894" s="176">
        <v>5400</v>
      </c>
      <c r="K894" s="176">
        <v>132995</v>
      </c>
      <c r="L894" s="163"/>
      <c r="M894" s="161" t="s">
        <v>3275</v>
      </c>
      <c r="N894" s="161" t="s">
        <v>1901</v>
      </c>
      <c r="O894" s="161" t="s">
        <v>26</v>
      </c>
      <c r="P894" s="49" t="s">
        <v>26</v>
      </c>
      <c r="Q894" s="166" t="s">
        <v>3293</v>
      </c>
      <c r="R894" s="151"/>
    </row>
    <row r="895" spans="1:18">
      <c r="A895" s="101" t="s">
        <v>41</v>
      </c>
      <c r="B895" s="101" t="s">
        <v>41</v>
      </c>
      <c r="C895" s="87" t="s">
        <v>3294</v>
      </c>
      <c r="D895" s="161" t="s">
        <v>1344</v>
      </c>
      <c r="E895" s="161" t="s">
        <v>2750</v>
      </c>
      <c r="F895" s="161" t="s">
        <v>3284</v>
      </c>
      <c r="G895" s="171">
        <v>183.7179</v>
      </c>
      <c r="H895" s="163">
        <f t="shared" ref="H895:H904" si="76">G895-G894</f>
        <v>13.718</v>
      </c>
      <c r="I895" s="173">
        <v>18</v>
      </c>
      <c r="J895" s="176">
        <v>8046</v>
      </c>
      <c r="K895" s="176">
        <v>141041</v>
      </c>
      <c r="L895" s="174"/>
      <c r="M895" s="161" t="s">
        <v>3275</v>
      </c>
      <c r="N895" s="161" t="s">
        <v>1299</v>
      </c>
      <c r="O895" s="161" t="s">
        <v>25</v>
      </c>
      <c r="P895" s="49" t="s">
        <v>25</v>
      </c>
      <c r="Q895" s="166" t="s">
        <v>3295</v>
      </c>
      <c r="R895" s="151"/>
    </row>
    <row r="896" spans="1:18">
      <c r="A896" s="101" t="s">
        <v>41</v>
      </c>
      <c r="B896" s="101" t="s">
        <v>41</v>
      </c>
      <c r="C896" s="87" t="s">
        <v>3296</v>
      </c>
      <c r="D896" s="161" t="s">
        <v>1346</v>
      </c>
      <c r="E896" s="161" t="s">
        <v>2750</v>
      </c>
      <c r="F896" s="161" t="s">
        <v>3284</v>
      </c>
      <c r="G896" s="171">
        <v>187.3566</v>
      </c>
      <c r="H896" s="163">
        <f t="shared" si="76"/>
        <v>3.6387</v>
      </c>
      <c r="I896" s="176">
        <v>19</v>
      </c>
      <c r="J896" s="176">
        <v>6237</v>
      </c>
      <c r="K896" s="176">
        <v>147278</v>
      </c>
      <c r="L896" s="163"/>
      <c r="M896" s="161" t="s">
        <v>3275</v>
      </c>
      <c r="N896" s="161" t="s">
        <v>1299</v>
      </c>
      <c r="O896" s="161" t="s">
        <v>25</v>
      </c>
      <c r="P896" s="49" t="s">
        <v>25</v>
      </c>
      <c r="Q896" s="166" t="s">
        <v>3297</v>
      </c>
      <c r="R896" s="151"/>
    </row>
    <row r="897" spans="1:18">
      <c r="A897" s="101" t="s">
        <v>41</v>
      </c>
      <c r="B897" s="101" t="s">
        <v>41</v>
      </c>
      <c r="C897" s="87" t="s">
        <v>3298</v>
      </c>
      <c r="D897" s="161" t="s">
        <v>1349</v>
      </c>
      <c r="E897" s="161" t="s">
        <v>2750</v>
      </c>
      <c r="F897" s="161" t="s">
        <v>3284</v>
      </c>
      <c r="G897" s="171">
        <v>192.335</v>
      </c>
      <c r="H897" s="163">
        <f t="shared" si="76"/>
        <v>4.97840000000002</v>
      </c>
      <c r="I897" s="176">
        <v>26</v>
      </c>
      <c r="J897" s="176">
        <v>5158</v>
      </c>
      <c r="K897" s="176">
        <v>152436</v>
      </c>
      <c r="L897" s="163"/>
      <c r="M897" s="161" t="s">
        <v>3275</v>
      </c>
      <c r="N897" s="161" t="s">
        <v>1299</v>
      </c>
      <c r="O897" s="161" t="s">
        <v>25</v>
      </c>
      <c r="P897" s="49" t="s">
        <v>25</v>
      </c>
      <c r="Q897" s="166" t="s">
        <v>3299</v>
      </c>
      <c r="R897" s="151"/>
    </row>
    <row r="898" spans="1:18">
      <c r="A898" s="101" t="s">
        <v>41</v>
      </c>
      <c r="B898" s="101" t="s">
        <v>41</v>
      </c>
      <c r="C898" s="87" t="s">
        <v>3300</v>
      </c>
      <c r="D898" s="161" t="s">
        <v>3300</v>
      </c>
      <c r="E898" s="161" t="s">
        <v>2750</v>
      </c>
      <c r="F898" s="161" t="s">
        <v>3284</v>
      </c>
      <c r="G898" s="171">
        <v>196.0399</v>
      </c>
      <c r="H898" s="163">
        <f t="shared" si="76"/>
        <v>3.70489999999998</v>
      </c>
      <c r="I898" s="176">
        <v>69</v>
      </c>
      <c r="J898" s="176">
        <v>5025</v>
      </c>
      <c r="K898" s="176">
        <v>157461</v>
      </c>
      <c r="L898" s="163"/>
      <c r="M898" s="161" t="s">
        <v>3275</v>
      </c>
      <c r="N898" s="161" t="s">
        <v>1331</v>
      </c>
      <c r="O898" s="161" t="s">
        <v>14</v>
      </c>
      <c r="P898" s="49" t="s">
        <v>14</v>
      </c>
      <c r="Q898" s="166" t="s">
        <v>3301</v>
      </c>
      <c r="R898" s="151"/>
    </row>
    <row r="899" spans="1:18">
      <c r="A899" s="101" t="s">
        <v>41</v>
      </c>
      <c r="B899" s="101" t="s">
        <v>41</v>
      </c>
      <c r="C899" s="87" t="s">
        <v>3302</v>
      </c>
      <c r="D899" s="161" t="s">
        <v>1352</v>
      </c>
      <c r="E899" s="161" t="s">
        <v>2750</v>
      </c>
      <c r="F899" s="161" t="s">
        <v>3284</v>
      </c>
      <c r="G899" s="171">
        <v>201.7424</v>
      </c>
      <c r="H899" s="163">
        <f t="shared" si="76"/>
        <v>5.70250000000001</v>
      </c>
      <c r="I899" s="173">
        <v>54</v>
      </c>
      <c r="J899" s="176">
        <v>4230</v>
      </c>
      <c r="K899" s="176">
        <v>4230</v>
      </c>
      <c r="L899" s="174"/>
      <c r="M899" s="161" t="s">
        <v>3275</v>
      </c>
      <c r="N899" s="161" t="s">
        <v>1299</v>
      </c>
      <c r="O899" s="161" t="s">
        <v>25</v>
      </c>
      <c r="P899" s="49" t="s">
        <v>25</v>
      </c>
      <c r="Q899" s="166" t="s">
        <v>3303</v>
      </c>
      <c r="R899" s="151"/>
    </row>
    <row r="900" spans="1:18">
      <c r="A900" s="101" t="s">
        <v>41</v>
      </c>
      <c r="B900" s="101" t="s">
        <v>41</v>
      </c>
      <c r="C900" s="87" t="s">
        <v>3304</v>
      </c>
      <c r="D900" s="161" t="s">
        <v>1354</v>
      </c>
      <c r="E900" s="161" t="s">
        <v>2750</v>
      </c>
      <c r="F900" s="161" t="s">
        <v>3284</v>
      </c>
      <c r="G900" s="171">
        <v>211.2991</v>
      </c>
      <c r="H900" s="163">
        <f t="shared" si="76"/>
        <v>9.55670000000001</v>
      </c>
      <c r="I900" s="176">
        <v>26</v>
      </c>
      <c r="J900" s="176">
        <v>6912</v>
      </c>
      <c r="K900" s="176">
        <v>11142</v>
      </c>
      <c r="L900" s="163"/>
      <c r="M900" s="161" t="s">
        <v>3275</v>
      </c>
      <c r="N900" s="161" t="s">
        <v>1299</v>
      </c>
      <c r="O900" s="161" t="s">
        <v>25</v>
      </c>
      <c r="P900" s="49" t="s">
        <v>25</v>
      </c>
      <c r="Q900" s="166" t="s">
        <v>3305</v>
      </c>
      <c r="R900" s="151"/>
    </row>
    <row r="901" spans="1:18">
      <c r="A901" s="101" t="s">
        <v>41</v>
      </c>
      <c r="B901" s="101" t="s">
        <v>41</v>
      </c>
      <c r="C901" s="87" t="s">
        <v>3306</v>
      </c>
      <c r="D901" s="161" t="s">
        <v>1356</v>
      </c>
      <c r="E901" s="161" t="s">
        <v>2750</v>
      </c>
      <c r="F901" s="161" t="s">
        <v>3284</v>
      </c>
      <c r="G901" s="171">
        <v>220.298</v>
      </c>
      <c r="H901" s="163">
        <f t="shared" si="76"/>
        <v>8.99889999999999</v>
      </c>
      <c r="I901" s="173">
        <v>13</v>
      </c>
      <c r="J901" s="176">
        <v>6375</v>
      </c>
      <c r="K901" s="176">
        <v>17517</v>
      </c>
      <c r="L901" s="174"/>
      <c r="M901" s="161" t="s">
        <v>3275</v>
      </c>
      <c r="N901" s="161" t="s">
        <v>1299</v>
      </c>
      <c r="O901" s="161" t="s">
        <v>25</v>
      </c>
      <c r="P901" s="49" t="s">
        <v>25</v>
      </c>
      <c r="Q901" s="166" t="s">
        <v>3307</v>
      </c>
      <c r="R901" s="151"/>
    </row>
    <row r="902" spans="1:18">
      <c r="A902" s="101" t="s">
        <v>41</v>
      </c>
      <c r="B902" s="101" t="s">
        <v>41</v>
      </c>
      <c r="C902" s="87" t="s">
        <v>3308</v>
      </c>
      <c r="D902" s="161" t="s">
        <v>1358</v>
      </c>
      <c r="E902" s="161" t="s">
        <v>2750</v>
      </c>
      <c r="F902" s="161" t="s">
        <v>3284</v>
      </c>
      <c r="G902" s="171">
        <v>231.0189</v>
      </c>
      <c r="H902" s="163">
        <f t="shared" si="76"/>
        <v>10.7209</v>
      </c>
      <c r="I902" s="176">
        <v>17</v>
      </c>
      <c r="J902" s="176">
        <v>8996</v>
      </c>
      <c r="K902" s="176">
        <v>26513</v>
      </c>
      <c r="L902" s="163"/>
      <c r="M902" s="161" t="s">
        <v>3275</v>
      </c>
      <c r="N902" s="161" t="s">
        <v>1299</v>
      </c>
      <c r="O902" s="161" t="s">
        <v>25</v>
      </c>
      <c r="P902" s="49" t="s">
        <v>25</v>
      </c>
      <c r="Q902" s="166" t="s">
        <v>3309</v>
      </c>
      <c r="R902" s="151"/>
    </row>
    <row r="903" spans="1:18">
      <c r="A903" s="101" t="s">
        <v>41</v>
      </c>
      <c r="B903" s="101" t="s">
        <v>41</v>
      </c>
      <c r="C903" s="87" t="s">
        <v>3310</v>
      </c>
      <c r="D903" s="161" t="s">
        <v>1361</v>
      </c>
      <c r="E903" s="161" t="s">
        <v>2750</v>
      </c>
      <c r="F903" s="161" t="s">
        <v>3284</v>
      </c>
      <c r="G903" s="171">
        <v>236.9734</v>
      </c>
      <c r="H903" s="163">
        <f t="shared" si="76"/>
        <v>5.9545</v>
      </c>
      <c r="I903" s="176">
        <v>20</v>
      </c>
      <c r="J903" s="176">
        <v>4052</v>
      </c>
      <c r="K903" s="176">
        <v>30565</v>
      </c>
      <c r="L903" s="163"/>
      <c r="M903" s="161" t="s">
        <v>3275</v>
      </c>
      <c r="N903" s="161" t="s">
        <v>1299</v>
      </c>
      <c r="O903" s="161" t="s">
        <v>25</v>
      </c>
      <c r="P903" s="49" t="s">
        <v>25</v>
      </c>
      <c r="Q903" s="166" t="s">
        <v>3311</v>
      </c>
      <c r="R903" s="151"/>
    </row>
    <row r="904" spans="1:18">
      <c r="A904" s="101" t="s">
        <v>41</v>
      </c>
      <c r="B904" s="101" t="s">
        <v>41</v>
      </c>
      <c r="C904" s="87" t="s">
        <v>295</v>
      </c>
      <c r="D904" s="161" t="s">
        <v>295</v>
      </c>
      <c r="E904" s="161" t="s">
        <v>2750</v>
      </c>
      <c r="F904" s="161" t="s">
        <v>3284</v>
      </c>
      <c r="G904" s="171">
        <v>258.3999</v>
      </c>
      <c r="H904" s="163">
        <f t="shared" si="76"/>
        <v>21.4265</v>
      </c>
      <c r="I904" s="176">
        <v>26</v>
      </c>
      <c r="J904" s="176">
        <v>6590</v>
      </c>
      <c r="K904" s="176">
        <v>37155</v>
      </c>
      <c r="L904" s="163"/>
      <c r="M904" s="161" t="s">
        <v>3275</v>
      </c>
      <c r="N904" s="161" t="s">
        <v>1331</v>
      </c>
      <c r="O904" s="161" t="s">
        <v>6</v>
      </c>
      <c r="P904" s="49" t="s">
        <v>6</v>
      </c>
      <c r="Q904" s="166" t="s">
        <v>3312</v>
      </c>
      <c r="R904" s="151"/>
    </row>
    <row r="905" spans="1:18">
      <c r="A905" s="101" t="s">
        <v>41</v>
      </c>
      <c r="B905" s="101" t="s">
        <v>298</v>
      </c>
      <c r="C905" s="135" t="s">
        <v>299</v>
      </c>
      <c r="D905" s="162" t="s">
        <v>299</v>
      </c>
      <c r="E905" s="161" t="s">
        <v>2750</v>
      </c>
      <c r="F905" s="161" t="s">
        <v>3284</v>
      </c>
      <c r="G905" s="163">
        <v>0</v>
      </c>
      <c r="H905" s="163">
        <v>0</v>
      </c>
      <c r="I905" s="176"/>
      <c r="J905" s="176"/>
      <c r="K905" s="176"/>
      <c r="L905" s="163"/>
      <c r="M905" s="161" t="e">
        <v>#N/A</v>
      </c>
      <c r="N905" s="161"/>
      <c r="O905" s="161"/>
      <c r="P905" s="49"/>
      <c r="Q905" s="166"/>
      <c r="R905" s="151"/>
    </row>
    <row r="906" spans="1:18">
      <c r="A906" s="101" t="s">
        <v>41</v>
      </c>
      <c r="B906" s="101" t="s">
        <v>298</v>
      </c>
      <c r="C906" s="87" t="s">
        <v>300</v>
      </c>
      <c r="D906" s="161" t="s">
        <v>300</v>
      </c>
      <c r="E906" s="161" t="s">
        <v>2750</v>
      </c>
      <c r="F906" s="161" t="s">
        <v>3284</v>
      </c>
      <c r="G906" s="163">
        <v>0.8</v>
      </c>
      <c r="H906" s="163">
        <v>0.8</v>
      </c>
      <c r="I906" s="176"/>
      <c r="J906" s="176"/>
      <c r="K906" s="176"/>
      <c r="L906" s="163"/>
      <c r="M906" s="161" t="s">
        <v>3275</v>
      </c>
      <c r="N906" s="161" t="s">
        <v>1331</v>
      </c>
      <c r="O906" s="161" t="s">
        <v>14</v>
      </c>
      <c r="P906" s="49" t="s">
        <v>14</v>
      </c>
      <c r="Q906" s="166" t="s">
        <v>3313</v>
      </c>
      <c r="R906" s="151"/>
    </row>
    <row r="907" spans="1:18">
      <c r="A907" s="101" t="s">
        <v>42</v>
      </c>
      <c r="B907" s="101" t="s">
        <v>42</v>
      </c>
      <c r="C907" s="135" t="s">
        <v>295</v>
      </c>
      <c r="D907" s="161" t="s">
        <v>295</v>
      </c>
      <c r="E907" s="161" t="s">
        <v>2750</v>
      </c>
      <c r="F907" s="161" t="s">
        <v>3284</v>
      </c>
      <c r="G907" s="163">
        <v>0</v>
      </c>
      <c r="H907" s="163">
        <v>0</v>
      </c>
      <c r="I907" s="176">
        <v>26</v>
      </c>
      <c r="J907" s="176">
        <v>0</v>
      </c>
      <c r="K907" s="176">
        <v>0</v>
      </c>
      <c r="L907" s="163"/>
      <c r="M907" s="161" t="s">
        <v>3275</v>
      </c>
      <c r="N907" s="161" t="s">
        <v>1331</v>
      </c>
      <c r="O907" s="161"/>
      <c r="P907" s="49"/>
      <c r="Q907" s="166" t="s">
        <v>3312</v>
      </c>
      <c r="R907" s="151"/>
    </row>
    <row r="908" spans="1:18">
      <c r="A908" s="101" t="s">
        <v>42</v>
      </c>
      <c r="B908" s="101" t="s">
        <v>42</v>
      </c>
      <c r="C908" s="87" t="s">
        <v>301</v>
      </c>
      <c r="D908" s="161" t="s">
        <v>301</v>
      </c>
      <c r="E908" s="161" t="s">
        <v>2750</v>
      </c>
      <c r="F908" s="161" t="s">
        <v>3284</v>
      </c>
      <c r="G908" s="163">
        <v>21.074</v>
      </c>
      <c r="H908" s="163">
        <v>21.074</v>
      </c>
      <c r="I908" s="176">
        <v>21</v>
      </c>
      <c r="J908" s="176">
        <v>9738</v>
      </c>
      <c r="K908" s="176">
        <v>9738</v>
      </c>
      <c r="L908" s="163"/>
      <c r="M908" s="161" t="s">
        <v>3314</v>
      </c>
      <c r="N908" s="161" t="s">
        <v>1331</v>
      </c>
      <c r="O908" s="161" t="s">
        <v>14</v>
      </c>
      <c r="P908" s="49" t="s">
        <v>14</v>
      </c>
      <c r="Q908" s="166" t="s">
        <v>3315</v>
      </c>
      <c r="R908" s="151"/>
    </row>
    <row r="909" ht="30" spans="1:18">
      <c r="A909" s="162" t="s">
        <v>43</v>
      </c>
      <c r="B909" s="101" t="s">
        <v>302</v>
      </c>
      <c r="C909" s="135" t="s">
        <v>201</v>
      </c>
      <c r="D909" s="161" t="s">
        <v>2229</v>
      </c>
      <c r="E909" s="161" t="s">
        <v>1291</v>
      </c>
      <c r="F909" s="161" t="s">
        <v>2230</v>
      </c>
      <c r="G909" s="163">
        <v>0</v>
      </c>
      <c r="H909" s="163">
        <v>0</v>
      </c>
      <c r="I909" s="176">
        <v>635</v>
      </c>
      <c r="J909" s="176">
        <v>0</v>
      </c>
      <c r="K909" s="176">
        <v>0</v>
      </c>
      <c r="L909" s="163" t="s">
        <v>2255</v>
      </c>
      <c r="M909" s="161" t="s">
        <v>2232</v>
      </c>
      <c r="N909" s="161"/>
      <c r="O909" s="161"/>
      <c r="P909" s="49"/>
      <c r="Q909" s="166" t="s">
        <v>2233</v>
      </c>
      <c r="R909" s="151"/>
    </row>
    <row r="910" spans="1:18">
      <c r="A910" s="162" t="s">
        <v>43</v>
      </c>
      <c r="B910" s="101" t="s">
        <v>302</v>
      </c>
      <c r="C910" s="83" t="s">
        <v>3316</v>
      </c>
      <c r="D910" s="161" t="s">
        <v>1899</v>
      </c>
      <c r="E910" s="161" t="s">
        <v>1291</v>
      </c>
      <c r="F910" s="161" t="s">
        <v>2230</v>
      </c>
      <c r="G910" s="163">
        <v>31.321</v>
      </c>
      <c r="H910" s="163">
        <f>G910-G909</f>
        <v>31.321</v>
      </c>
      <c r="I910" s="176">
        <v>819</v>
      </c>
      <c r="J910" s="176">
        <v>33127</v>
      </c>
      <c r="K910" s="176">
        <f t="shared" ref="K910:K938" si="77">K909+J910</f>
        <v>33127</v>
      </c>
      <c r="L910" s="163"/>
      <c r="M910" s="161" t="s">
        <v>3317</v>
      </c>
      <c r="N910" s="161" t="s">
        <v>1901</v>
      </c>
      <c r="O910" s="161" t="s">
        <v>26</v>
      </c>
      <c r="P910" s="49" t="s">
        <v>26</v>
      </c>
      <c r="Q910" s="166"/>
      <c r="R910" s="151"/>
    </row>
    <row r="911" ht="30" spans="1:18">
      <c r="A911" s="162" t="s">
        <v>43</v>
      </c>
      <c r="B911" s="101" t="s">
        <v>302</v>
      </c>
      <c r="C911" s="83" t="s">
        <v>3318</v>
      </c>
      <c r="D911" s="161" t="s">
        <v>2237</v>
      </c>
      <c r="E911" s="161" t="s">
        <v>1291</v>
      </c>
      <c r="F911" s="161" t="s">
        <v>2230</v>
      </c>
      <c r="G911" s="163">
        <v>47.487</v>
      </c>
      <c r="H911" s="163">
        <f t="shared" ref="H911:H938" si="78">G911-G910</f>
        <v>16.166</v>
      </c>
      <c r="I911" s="173">
        <v>1210</v>
      </c>
      <c r="J911" s="173">
        <v>16988</v>
      </c>
      <c r="K911" s="176">
        <f t="shared" si="77"/>
        <v>50115</v>
      </c>
      <c r="L911" s="174" t="s">
        <v>3319</v>
      </c>
      <c r="M911" s="161" t="s">
        <v>3317</v>
      </c>
      <c r="N911" s="161" t="s">
        <v>2239</v>
      </c>
      <c r="O911" s="161" t="s">
        <v>25</v>
      </c>
      <c r="P911" s="49" t="s">
        <v>25</v>
      </c>
      <c r="Q911" s="166"/>
      <c r="R911" s="151"/>
    </row>
    <row r="912" ht="30" spans="1:18">
      <c r="A912" s="162" t="s">
        <v>43</v>
      </c>
      <c r="B912" s="101" t="s">
        <v>302</v>
      </c>
      <c r="C912" s="83" t="s">
        <v>3320</v>
      </c>
      <c r="D912" s="161" t="s">
        <v>2242</v>
      </c>
      <c r="E912" s="161" t="s">
        <v>1291</v>
      </c>
      <c r="F912" s="161" t="s">
        <v>2243</v>
      </c>
      <c r="G912" s="163">
        <v>76.787</v>
      </c>
      <c r="H912" s="163">
        <f t="shared" si="78"/>
        <v>29.3</v>
      </c>
      <c r="I912" s="176">
        <v>2129</v>
      </c>
      <c r="J912" s="176">
        <v>30685</v>
      </c>
      <c r="K912" s="176">
        <f t="shared" si="77"/>
        <v>80800</v>
      </c>
      <c r="L912" s="174" t="s">
        <v>3321</v>
      </c>
      <c r="M912" s="161" t="s">
        <v>3317</v>
      </c>
      <c r="N912" s="161" t="s">
        <v>2239</v>
      </c>
      <c r="O912" s="161" t="s">
        <v>25</v>
      </c>
      <c r="P912" s="49" t="s">
        <v>25</v>
      </c>
      <c r="Q912" s="166"/>
      <c r="R912" s="151"/>
    </row>
    <row r="913" ht="30" spans="1:18">
      <c r="A913" s="162" t="s">
        <v>43</v>
      </c>
      <c r="B913" s="101" t="s">
        <v>302</v>
      </c>
      <c r="C913" s="83" t="s">
        <v>3322</v>
      </c>
      <c r="D913" s="161" t="s">
        <v>2247</v>
      </c>
      <c r="E913" s="161" t="s">
        <v>1291</v>
      </c>
      <c r="F913" s="161" t="s">
        <v>2243</v>
      </c>
      <c r="G913" s="163">
        <v>107.098</v>
      </c>
      <c r="H913" s="163">
        <f t="shared" si="78"/>
        <v>30.311</v>
      </c>
      <c r="I913" s="176">
        <v>2140</v>
      </c>
      <c r="J913" s="176">
        <v>31853</v>
      </c>
      <c r="K913" s="176">
        <f t="shared" si="77"/>
        <v>112653</v>
      </c>
      <c r="L913" s="174" t="s">
        <v>3323</v>
      </c>
      <c r="M913" s="161" t="s">
        <v>3317</v>
      </c>
      <c r="N913" s="161" t="s">
        <v>2249</v>
      </c>
      <c r="O913" s="161" t="s">
        <v>26</v>
      </c>
      <c r="P913" s="49" t="s">
        <v>26</v>
      </c>
      <c r="Q913" s="166"/>
      <c r="R913" s="151"/>
    </row>
    <row r="914" spans="1:18">
      <c r="A914" s="162" t="s">
        <v>43</v>
      </c>
      <c r="B914" s="101" t="s">
        <v>302</v>
      </c>
      <c r="C914" s="83" t="s">
        <v>3324</v>
      </c>
      <c r="D914" s="161" t="s">
        <v>2252</v>
      </c>
      <c r="E914" s="161" t="s">
        <v>1291</v>
      </c>
      <c r="F914" s="161" t="s">
        <v>2243</v>
      </c>
      <c r="G914" s="163">
        <v>143.471</v>
      </c>
      <c r="H914" s="163">
        <f t="shared" si="78"/>
        <v>36.373</v>
      </c>
      <c r="I914" s="173">
        <v>780</v>
      </c>
      <c r="J914" s="173">
        <v>38542</v>
      </c>
      <c r="K914" s="176">
        <f t="shared" si="77"/>
        <v>151195</v>
      </c>
      <c r="L914" s="174"/>
      <c r="M914" s="161" t="s">
        <v>3317</v>
      </c>
      <c r="N914" s="161" t="s">
        <v>1901</v>
      </c>
      <c r="O914" s="161" t="s">
        <v>26</v>
      </c>
      <c r="P914" s="49" t="s">
        <v>26</v>
      </c>
      <c r="Q914" s="166"/>
      <c r="R914" s="151"/>
    </row>
    <row r="915" ht="30" spans="1:18">
      <c r="A915" s="162" t="s">
        <v>43</v>
      </c>
      <c r="B915" s="101" t="s">
        <v>302</v>
      </c>
      <c r="C915" s="135" t="s">
        <v>2243</v>
      </c>
      <c r="D915" s="161" t="s">
        <v>2254</v>
      </c>
      <c r="E915" s="161" t="s">
        <v>1291</v>
      </c>
      <c r="F915" s="161" t="s">
        <v>2243</v>
      </c>
      <c r="G915" s="163">
        <v>173.101</v>
      </c>
      <c r="H915" s="163">
        <f t="shared" si="78"/>
        <v>29.63</v>
      </c>
      <c r="I915" s="173">
        <v>390</v>
      </c>
      <c r="J915" s="173">
        <v>32278</v>
      </c>
      <c r="K915" s="176">
        <f t="shared" si="77"/>
        <v>183473</v>
      </c>
      <c r="L915" s="163" t="s">
        <v>2255</v>
      </c>
      <c r="M915" s="161" t="s">
        <v>2232</v>
      </c>
      <c r="N915" s="161"/>
      <c r="O915" s="161"/>
      <c r="P915" s="49"/>
      <c r="Q915" s="166" t="s">
        <v>2256</v>
      </c>
      <c r="R915" s="151"/>
    </row>
    <row r="916" spans="1:18">
      <c r="A916" s="162" t="s">
        <v>43</v>
      </c>
      <c r="B916" s="101" t="s">
        <v>302</v>
      </c>
      <c r="C916" s="83" t="s">
        <v>3325</v>
      </c>
      <c r="D916" s="161" t="s">
        <v>2258</v>
      </c>
      <c r="E916" s="161" t="s">
        <v>1291</v>
      </c>
      <c r="F916" s="161" t="s">
        <v>2243</v>
      </c>
      <c r="G916" s="163">
        <v>205.101</v>
      </c>
      <c r="H916" s="163">
        <f t="shared" si="78"/>
        <v>32</v>
      </c>
      <c r="I916" s="176">
        <v>369</v>
      </c>
      <c r="J916" s="176">
        <v>35463</v>
      </c>
      <c r="K916" s="176">
        <f t="shared" si="77"/>
        <v>218936</v>
      </c>
      <c r="L916" s="163"/>
      <c r="M916" s="161" t="s">
        <v>3317</v>
      </c>
      <c r="N916" s="161" t="s">
        <v>1901</v>
      </c>
      <c r="O916" s="161" t="s">
        <v>26</v>
      </c>
      <c r="P916" s="49" t="s">
        <v>26</v>
      </c>
      <c r="Q916" s="166"/>
      <c r="R916" s="151"/>
    </row>
    <row r="917" spans="1:18">
      <c r="A917" s="162" t="s">
        <v>43</v>
      </c>
      <c r="B917" s="101" t="s">
        <v>302</v>
      </c>
      <c r="C917" s="83" t="s">
        <v>3326</v>
      </c>
      <c r="D917" s="161" t="s">
        <v>2261</v>
      </c>
      <c r="E917" s="161" t="s">
        <v>1291</v>
      </c>
      <c r="F917" s="161" t="s">
        <v>2243</v>
      </c>
      <c r="G917" s="163">
        <v>230.101</v>
      </c>
      <c r="H917" s="163">
        <f t="shared" si="78"/>
        <v>25</v>
      </c>
      <c r="I917" s="176">
        <v>331</v>
      </c>
      <c r="J917" s="176">
        <v>25589</v>
      </c>
      <c r="K917" s="176">
        <f t="shared" si="77"/>
        <v>244525</v>
      </c>
      <c r="L917" s="163"/>
      <c r="M917" s="161" t="s">
        <v>3317</v>
      </c>
      <c r="N917" s="161" t="s">
        <v>1901</v>
      </c>
      <c r="O917" s="161" t="s">
        <v>26</v>
      </c>
      <c r="P917" s="49" t="s">
        <v>26</v>
      </c>
      <c r="Q917" s="166"/>
      <c r="R917" s="151"/>
    </row>
    <row r="918" spans="1:18">
      <c r="A918" s="162" t="s">
        <v>43</v>
      </c>
      <c r="B918" s="101" t="s">
        <v>302</v>
      </c>
      <c r="C918" s="83" t="s">
        <v>3327</v>
      </c>
      <c r="D918" s="161" t="s">
        <v>1324</v>
      </c>
      <c r="E918" s="161" t="s">
        <v>1291</v>
      </c>
      <c r="F918" s="161" t="s">
        <v>2243</v>
      </c>
      <c r="G918" s="163">
        <v>259.101</v>
      </c>
      <c r="H918" s="163">
        <f t="shared" si="78"/>
        <v>29</v>
      </c>
      <c r="I918" s="173">
        <v>327</v>
      </c>
      <c r="J918" s="173">
        <v>29411</v>
      </c>
      <c r="K918" s="176">
        <f t="shared" si="77"/>
        <v>273936</v>
      </c>
      <c r="L918" s="174"/>
      <c r="M918" s="161" t="s">
        <v>3317</v>
      </c>
      <c r="N918" s="161" t="s">
        <v>1299</v>
      </c>
      <c r="O918" s="161" t="s">
        <v>25</v>
      </c>
      <c r="P918" s="49" t="s">
        <v>25</v>
      </c>
      <c r="Q918" s="166"/>
      <c r="R918" s="151"/>
    </row>
    <row r="919" spans="1:18">
      <c r="A919" s="162" t="s">
        <v>43</v>
      </c>
      <c r="B919" s="101" t="s">
        <v>302</v>
      </c>
      <c r="C919" s="83" t="s">
        <v>3328</v>
      </c>
      <c r="D919" s="161" t="s">
        <v>2266</v>
      </c>
      <c r="E919" s="161" t="s">
        <v>1291</v>
      </c>
      <c r="F919" s="161" t="s">
        <v>2267</v>
      </c>
      <c r="G919" s="163">
        <v>287.101</v>
      </c>
      <c r="H919" s="163">
        <f t="shared" si="78"/>
        <v>28</v>
      </c>
      <c r="I919" s="176">
        <v>513</v>
      </c>
      <c r="J919" s="176">
        <v>29199</v>
      </c>
      <c r="K919" s="176">
        <f t="shared" si="77"/>
        <v>303135</v>
      </c>
      <c r="L919" s="163"/>
      <c r="M919" s="161" t="s">
        <v>3317</v>
      </c>
      <c r="N919" s="161" t="s">
        <v>1901</v>
      </c>
      <c r="O919" s="161" t="s">
        <v>26</v>
      </c>
      <c r="P919" s="49" t="s">
        <v>26</v>
      </c>
      <c r="Q919" s="166"/>
      <c r="R919" s="151"/>
    </row>
    <row r="920" spans="1:18">
      <c r="A920" s="162" t="s">
        <v>43</v>
      </c>
      <c r="B920" s="101" t="s">
        <v>302</v>
      </c>
      <c r="C920" s="83" t="s">
        <v>3329</v>
      </c>
      <c r="D920" s="161" t="s">
        <v>2270</v>
      </c>
      <c r="E920" s="161" t="s">
        <v>1291</v>
      </c>
      <c r="F920" s="161" t="s">
        <v>2267</v>
      </c>
      <c r="G920" s="163">
        <v>317.101</v>
      </c>
      <c r="H920" s="163">
        <f t="shared" si="78"/>
        <v>30</v>
      </c>
      <c r="I920" s="176">
        <v>575</v>
      </c>
      <c r="J920" s="176">
        <v>27075</v>
      </c>
      <c r="K920" s="176">
        <f t="shared" si="77"/>
        <v>330210</v>
      </c>
      <c r="L920" s="163"/>
      <c r="M920" s="161" t="s">
        <v>3317</v>
      </c>
      <c r="N920" s="161" t="s">
        <v>1901</v>
      </c>
      <c r="O920" s="161" t="s">
        <v>26</v>
      </c>
      <c r="P920" s="49" t="s">
        <v>26</v>
      </c>
      <c r="Q920" s="166"/>
      <c r="R920" s="151"/>
    </row>
    <row r="921" ht="30" spans="1:18">
      <c r="A921" s="162" t="s">
        <v>43</v>
      </c>
      <c r="B921" s="101" t="s">
        <v>302</v>
      </c>
      <c r="C921" s="135" t="s">
        <v>2272</v>
      </c>
      <c r="D921" s="161" t="s">
        <v>2273</v>
      </c>
      <c r="E921" s="161" t="s">
        <v>1291</v>
      </c>
      <c r="F921" s="161" t="s">
        <v>2267</v>
      </c>
      <c r="G921" s="163">
        <v>350.101</v>
      </c>
      <c r="H921" s="163">
        <f t="shared" si="78"/>
        <v>33</v>
      </c>
      <c r="I921" s="173">
        <v>570</v>
      </c>
      <c r="J921" s="173">
        <v>37480</v>
      </c>
      <c r="K921" s="176">
        <f t="shared" si="77"/>
        <v>367690</v>
      </c>
      <c r="L921" s="163" t="s">
        <v>2255</v>
      </c>
      <c r="M921" s="161" t="s">
        <v>2232</v>
      </c>
      <c r="N921" s="161"/>
      <c r="O921" s="161"/>
      <c r="P921" s="49"/>
      <c r="Q921" s="166" t="s">
        <v>2274</v>
      </c>
      <c r="R921" s="151"/>
    </row>
    <row r="922" spans="1:18">
      <c r="A922" s="162" t="s">
        <v>43</v>
      </c>
      <c r="B922" s="101" t="s">
        <v>302</v>
      </c>
      <c r="C922" s="83" t="s">
        <v>3330</v>
      </c>
      <c r="D922" s="161" t="s">
        <v>1338</v>
      </c>
      <c r="E922" s="161" t="s">
        <v>1291</v>
      </c>
      <c r="F922" s="161" t="s">
        <v>2267</v>
      </c>
      <c r="G922" s="163">
        <v>377.101</v>
      </c>
      <c r="H922" s="163">
        <f t="shared" si="78"/>
        <v>27</v>
      </c>
      <c r="I922" s="173">
        <v>546</v>
      </c>
      <c r="J922" s="173">
        <v>29092</v>
      </c>
      <c r="K922" s="176">
        <f t="shared" si="77"/>
        <v>396782</v>
      </c>
      <c r="L922" s="174"/>
      <c r="M922" s="161" t="s">
        <v>3317</v>
      </c>
      <c r="N922" s="161" t="s">
        <v>1299</v>
      </c>
      <c r="O922" s="161" t="s">
        <v>25</v>
      </c>
      <c r="P922" s="49" t="s">
        <v>25</v>
      </c>
      <c r="Q922" s="166"/>
      <c r="R922" s="151"/>
    </row>
    <row r="923" spans="1:18">
      <c r="A923" s="162" t="s">
        <v>43</v>
      </c>
      <c r="B923" s="101" t="s">
        <v>302</v>
      </c>
      <c r="C923" s="83" t="s">
        <v>3331</v>
      </c>
      <c r="D923" s="161" t="s">
        <v>2835</v>
      </c>
      <c r="E923" s="161" t="s">
        <v>1291</v>
      </c>
      <c r="F923" s="161" t="s">
        <v>2277</v>
      </c>
      <c r="G923" s="163">
        <v>408.101</v>
      </c>
      <c r="H923" s="163">
        <f t="shared" si="78"/>
        <v>31</v>
      </c>
      <c r="I923" s="176">
        <v>546</v>
      </c>
      <c r="J923" s="176">
        <v>32384</v>
      </c>
      <c r="K923" s="176">
        <f t="shared" si="77"/>
        <v>429166</v>
      </c>
      <c r="L923" s="163"/>
      <c r="M923" s="161" t="s">
        <v>3317</v>
      </c>
      <c r="N923" s="161" t="s">
        <v>1901</v>
      </c>
      <c r="O923" s="161" t="s">
        <v>26</v>
      </c>
      <c r="P923" s="49" t="s">
        <v>26</v>
      </c>
      <c r="Q923" s="166" t="s">
        <v>2278</v>
      </c>
      <c r="R923" s="151"/>
    </row>
    <row r="924" spans="1:18">
      <c r="A924" s="162" t="s">
        <v>43</v>
      </c>
      <c r="B924" s="101" t="s">
        <v>302</v>
      </c>
      <c r="C924" s="83" t="s">
        <v>3332</v>
      </c>
      <c r="D924" s="161" t="s">
        <v>2280</v>
      </c>
      <c r="E924" s="161" t="s">
        <v>1291</v>
      </c>
      <c r="F924" s="161" t="s">
        <v>2277</v>
      </c>
      <c r="G924" s="163">
        <v>433.101</v>
      </c>
      <c r="H924" s="163">
        <f t="shared" si="78"/>
        <v>25</v>
      </c>
      <c r="I924" s="176">
        <v>562</v>
      </c>
      <c r="J924" s="176">
        <v>27181</v>
      </c>
      <c r="K924" s="176">
        <f t="shared" si="77"/>
        <v>456347</v>
      </c>
      <c r="L924" s="163"/>
      <c r="M924" s="161" t="s">
        <v>3317</v>
      </c>
      <c r="N924" s="161" t="s">
        <v>1901</v>
      </c>
      <c r="O924" s="161" t="s">
        <v>26</v>
      </c>
      <c r="P924" s="49" t="s">
        <v>26</v>
      </c>
      <c r="Q924" s="166"/>
      <c r="R924" s="151"/>
    </row>
    <row r="925" spans="1:18">
      <c r="A925" s="162" t="s">
        <v>43</v>
      </c>
      <c r="B925" s="101" t="s">
        <v>302</v>
      </c>
      <c r="C925" s="83" t="s">
        <v>3333</v>
      </c>
      <c r="D925" s="161" t="s">
        <v>2283</v>
      </c>
      <c r="E925" s="161" t="s">
        <v>1291</v>
      </c>
      <c r="F925" s="161" t="s">
        <v>2277</v>
      </c>
      <c r="G925" s="163">
        <v>463.101</v>
      </c>
      <c r="H925" s="163">
        <f t="shared" si="78"/>
        <v>30</v>
      </c>
      <c r="I925" s="173">
        <v>568</v>
      </c>
      <c r="J925" s="173">
        <v>32809</v>
      </c>
      <c r="K925" s="176">
        <f t="shared" si="77"/>
        <v>489156</v>
      </c>
      <c r="L925" s="174"/>
      <c r="M925" s="161" t="s">
        <v>3317</v>
      </c>
      <c r="N925" s="161" t="s">
        <v>1901</v>
      </c>
      <c r="O925" s="161" t="s">
        <v>26</v>
      </c>
      <c r="P925" s="49" t="s">
        <v>26</v>
      </c>
      <c r="Q925" s="166"/>
      <c r="R925" s="151"/>
    </row>
    <row r="926" spans="1:18">
      <c r="A926" s="162" t="s">
        <v>43</v>
      </c>
      <c r="B926" s="101" t="s">
        <v>302</v>
      </c>
      <c r="C926" s="83" t="s">
        <v>3334</v>
      </c>
      <c r="D926" s="161" t="s">
        <v>1352</v>
      </c>
      <c r="E926" s="161" t="s">
        <v>1291</v>
      </c>
      <c r="F926" s="161" t="s">
        <v>2277</v>
      </c>
      <c r="G926" s="163">
        <v>496.101</v>
      </c>
      <c r="H926" s="163">
        <f t="shared" si="78"/>
        <v>33</v>
      </c>
      <c r="I926" s="176">
        <v>528</v>
      </c>
      <c r="J926" s="176">
        <v>37374</v>
      </c>
      <c r="K926" s="176">
        <f t="shared" si="77"/>
        <v>526530</v>
      </c>
      <c r="L926" s="163"/>
      <c r="M926" s="161" t="s">
        <v>3317</v>
      </c>
      <c r="N926" s="161" t="s">
        <v>1299</v>
      </c>
      <c r="O926" s="161" t="s">
        <v>25</v>
      </c>
      <c r="P926" s="49" t="s">
        <v>25</v>
      </c>
      <c r="Q926" s="166"/>
      <c r="R926" s="151"/>
    </row>
    <row r="927" ht="30" spans="1:18">
      <c r="A927" s="162" t="s">
        <v>43</v>
      </c>
      <c r="B927" s="101" t="s">
        <v>302</v>
      </c>
      <c r="C927" s="135" t="s">
        <v>2288</v>
      </c>
      <c r="D927" s="161" t="s">
        <v>2289</v>
      </c>
      <c r="E927" s="161" t="s">
        <v>1291</v>
      </c>
      <c r="F927" s="161" t="s">
        <v>2290</v>
      </c>
      <c r="G927" s="163">
        <v>527.101</v>
      </c>
      <c r="H927" s="163">
        <f t="shared" si="78"/>
        <v>31</v>
      </c>
      <c r="I927" s="176">
        <v>590</v>
      </c>
      <c r="J927" s="176">
        <v>31534</v>
      </c>
      <c r="K927" s="176">
        <f t="shared" si="77"/>
        <v>558064</v>
      </c>
      <c r="L927" s="163" t="s">
        <v>2255</v>
      </c>
      <c r="M927" s="161" t="s">
        <v>2232</v>
      </c>
      <c r="N927" s="161"/>
      <c r="O927" s="161"/>
      <c r="P927" s="49"/>
      <c r="Q927" s="166" t="s">
        <v>2292</v>
      </c>
      <c r="R927" s="151"/>
    </row>
    <row r="928" spans="1:18">
      <c r="A928" s="162" t="s">
        <v>43</v>
      </c>
      <c r="B928" s="101" t="s">
        <v>302</v>
      </c>
      <c r="C928" s="83" t="s">
        <v>3335</v>
      </c>
      <c r="D928" s="161" t="s">
        <v>2294</v>
      </c>
      <c r="E928" s="161" t="s">
        <v>1291</v>
      </c>
      <c r="F928" s="161" t="s">
        <v>2290</v>
      </c>
      <c r="G928" s="163">
        <v>556.101</v>
      </c>
      <c r="H928" s="163">
        <f t="shared" si="78"/>
        <v>29</v>
      </c>
      <c r="I928" s="173">
        <v>601</v>
      </c>
      <c r="J928" s="173">
        <v>30897</v>
      </c>
      <c r="K928" s="176">
        <f t="shared" si="77"/>
        <v>588961</v>
      </c>
      <c r="L928" s="174"/>
      <c r="M928" s="161" t="s">
        <v>3317</v>
      </c>
      <c r="N928" s="161" t="s">
        <v>1901</v>
      </c>
      <c r="O928" s="161" t="s">
        <v>26</v>
      </c>
      <c r="P928" s="49" t="s">
        <v>26</v>
      </c>
      <c r="Q928" s="166"/>
      <c r="R928" s="151"/>
    </row>
    <row r="929" spans="1:18">
      <c r="A929" s="162" t="s">
        <v>43</v>
      </c>
      <c r="B929" s="101" t="s">
        <v>302</v>
      </c>
      <c r="C929" s="83" t="s">
        <v>3336</v>
      </c>
      <c r="D929" s="161" t="s">
        <v>2297</v>
      </c>
      <c r="E929" s="161" t="s">
        <v>1291</v>
      </c>
      <c r="F929" s="161" t="s">
        <v>2298</v>
      </c>
      <c r="G929" s="163">
        <v>586.101</v>
      </c>
      <c r="H929" s="163">
        <f t="shared" si="78"/>
        <v>30</v>
      </c>
      <c r="I929" s="173">
        <v>654</v>
      </c>
      <c r="J929" s="173">
        <v>31959</v>
      </c>
      <c r="K929" s="176">
        <f t="shared" si="77"/>
        <v>620920</v>
      </c>
      <c r="L929" s="174"/>
      <c r="M929" s="161" t="s">
        <v>3317</v>
      </c>
      <c r="N929" s="161" t="s">
        <v>1901</v>
      </c>
      <c r="O929" s="161" t="s">
        <v>26</v>
      </c>
      <c r="P929" s="49" t="s">
        <v>26</v>
      </c>
      <c r="Q929" s="166"/>
      <c r="R929" s="151"/>
    </row>
    <row r="930" ht="30" spans="1:18">
      <c r="A930" s="162" t="s">
        <v>43</v>
      </c>
      <c r="B930" s="101" t="s">
        <v>302</v>
      </c>
      <c r="C930" s="135" t="s">
        <v>2300</v>
      </c>
      <c r="D930" s="161" t="s">
        <v>2301</v>
      </c>
      <c r="E930" s="161" t="s">
        <v>1291</v>
      </c>
      <c r="F930" s="161" t="s">
        <v>2302</v>
      </c>
      <c r="G930" s="163">
        <v>608.101</v>
      </c>
      <c r="H930" s="163">
        <f t="shared" si="78"/>
        <v>22</v>
      </c>
      <c r="I930" s="176">
        <v>688</v>
      </c>
      <c r="J930" s="176">
        <v>18369</v>
      </c>
      <c r="K930" s="176">
        <f t="shared" si="77"/>
        <v>639289</v>
      </c>
      <c r="L930" s="163" t="s">
        <v>2255</v>
      </c>
      <c r="M930" s="161" t="s">
        <v>2232</v>
      </c>
      <c r="N930" s="161"/>
      <c r="O930" s="161"/>
      <c r="P930" s="49"/>
      <c r="Q930" s="166" t="s">
        <v>2303</v>
      </c>
      <c r="R930" s="151"/>
    </row>
    <row r="931" spans="1:18">
      <c r="A931" s="162" t="s">
        <v>43</v>
      </c>
      <c r="B931" s="101" t="s">
        <v>302</v>
      </c>
      <c r="C931" s="83" t="s">
        <v>3337</v>
      </c>
      <c r="D931" s="161" t="s">
        <v>1361</v>
      </c>
      <c r="E931" s="161" t="s">
        <v>1291</v>
      </c>
      <c r="F931" s="161" t="s">
        <v>2298</v>
      </c>
      <c r="G931" s="163">
        <v>642.101</v>
      </c>
      <c r="H931" s="163">
        <f t="shared" si="78"/>
        <v>34</v>
      </c>
      <c r="I931" s="176">
        <v>1133</v>
      </c>
      <c r="J931" s="176">
        <v>35144</v>
      </c>
      <c r="K931" s="176">
        <f t="shared" si="77"/>
        <v>674433</v>
      </c>
      <c r="L931" s="163"/>
      <c r="M931" s="161" t="s">
        <v>3317</v>
      </c>
      <c r="N931" s="161" t="s">
        <v>1299</v>
      </c>
      <c r="O931" s="161" t="s">
        <v>25</v>
      </c>
      <c r="P931" s="49" t="s">
        <v>25</v>
      </c>
      <c r="Q931" s="166"/>
      <c r="R931" s="151"/>
    </row>
    <row r="932" ht="30" spans="1:18">
      <c r="A932" s="162" t="s">
        <v>43</v>
      </c>
      <c r="B932" s="101" t="s">
        <v>302</v>
      </c>
      <c r="C932" s="135" t="s">
        <v>2306</v>
      </c>
      <c r="D932" s="161" t="s">
        <v>2307</v>
      </c>
      <c r="E932" s="161" t="s">
        <v>1291</v>
      </c>
      <c r="F932" s="161" t="s">
        <v>2308</v>
      </c>
      <c r="G932" s="163">
        <v>672.101</v>
      </c>
      <c r="H932" s="163">
        <f t="shared" si="78"/>
        <v>30</v>
      </c>
      <c r="I932" s="173">
        <v>1188</v>
      </c>
      <c r="J932" s="173">
        <v>31428</v>
      </c>
      <c r="K932" s="176">
        <f t="shared" si="77"/>
        <v>705861</v>
      </c>
      <c r="L932" s="163" t="s">
        <v>2255</v>
      </c>
      <c r="M932" s="161" t="s">
        <v>2232</v>
      </c>
      <c r="N932" s="161"/>
      <c r="O932" s="161"/>
      <c r="P932" s="49"/>
      <c r="Q932" s="166" t="s">
        <v>2309</v>
      </c>
      <c r="R932" s="151"/>
    </row>
    <row r="933" spans="1:18">
      <c r="A933" s="162" t="s">
        <v>43</v>
      </c>
      <c r="B933" s="101" t="s">
        <v>302</v>
      </c>
      <c r="C933" s="83" t="s">
        <v>3338</v>
      </c>
      <c r="D933" s="161" t="s">
        <v>2311</v>
      </c>
      <c r="E933" s="161" t="s">
        <v>1291</v>
      </c>
      <c r="F933" s="161" t="s">
        <v>2308</v>
      </c>
      <c r="G933" s="163">
        <v>704.101</v>
      </c>
      <c r="H933" s="163">
        <f t="shared" si="78"/>
        <v>32</v>
      </c>
      <c r="I933" s="176">
        <v>1178</v>
      </c>
      <c r="J933" s="176">
        <v>33764</v>
      </c>
      <c r="K933" s="176">
        <f t="shared" si="77"/>
        <v>739625</v>
      </c>
      <c r="L933" s="163"/>
      <c r="M933" s="161" t="s">
        <v>3317</v>
      </c>
      <c r="N933" s="161" t="s">
        <v>1901</v>
      </c>
      <c r="O933" s="161" t="s">
        <v>26</v>
      </c>
      <c r="P933" s="49" t="s">
        <v>26</v>
      </c>
      <c r="Q933" s="166"/>
      <c r="R933" s="151"/>
    </row>
    <row r="934" spans="1:18">
      <c r="A934" s="162" t="s">
        <v>43</v>
      </c>
      <c r="B934" s="101" t="s">
        <v>302</v>
      </c>
      <c r="C934" s="83" t="s">
        <v>3339</v>
      </c>
      <c r="D934" s="161" t="s">
        <v>2314</v>
      </c>
      <c r="E934" s="161" t="s">
        <v>1291</v>
      </c>
      <c r="F934" s="161" t="s">
        <v>2308</v>
      </c>
      <c r="G934" s="163">
        <v>734.101</v>
      </c>
      <c r="H934" s="163">
        <f t="shared" si="78"/>
        <v>30</v>
      </c>
      <c r="I934" s="176">
        <v>1142</v>
      </c>
      <c r="J934" s="176">
        <v>31853</v>
      </c>
      <c r="K934" s="176">
        <f t="shared" si="77"/>
        <v>771478</v>
      </c>
      <c r="L934" s="163"/>
      <c r="M934" s="161" t="s">
        <v>3317</v>
      </c>
      <c r="N934" s="161" t="s">
        <v>1901</v>
      </c>
      <c r="O934" s="161" t="s">
        <v>26</v>
      </c>
      <c r="P934" s="49" t="s">
        <v>26</v>
      </c>
      <c r="Q934" s="166"/>
      <c r="R934" s="151"/>
    </row>
    <row r="935" spans="1:18">
      <c r="A935" s="162" t="s">
        <v>43</v>
      </c>
      <c r="B935" s="101" t="s">
        <v>302</v>
      </c>
      <c r="C935" s="83" t="s">
        <v>3340</v>
      </c>
      <c r="D935" s="161" t="s">
        <v>2317</v>
      </c>
      <c r="E935" s="161" t="s">
        <v>1291</v>
      </c>
      <c r="F935" s="161" t="s">
        <v>2318</v>
      </c>
      <c r="G935" s="163">
        <v>754.301</v>
      </c>
      <c r="H935" s="163">
        <f t="shared" si="78"/>
        <v>20.2</v>
      </c>
      <c r="I935" s="173">
        <v>993</v>
      </c>
      <c r="J935" s="173">
        <v>21448</v>
      </c>
      <c r="K935" s="176">
        <f t="shared" si="77"/>
        <v>792926</v>
      </c>
      <c r="L935" s="174"/>
      <c r="M935" s="161" t="s">
        <v>3317</v>
      </c>
      <c r="N935" s="161" t="s">
        <v>1901</v>
      </c>
      <c r="O935" s="161" t="s">
        <v>26</v>
      </c>
      <c r="P935" s="49" t="s">
        <v>26</v>
      </c>
      <c r="Q935" s="166" t="s">
        <v>3341</v>
      </c>
      <c r="R935" s="151"/>
    </row>
    <row r="936" ht="30" spans="1:18">
      <c r="A936" s="162" t="s">
        <v>43</v>
      </c>
      <c r="B936" s="101" t="s">
        <v>302</v>
      </c>
      <c r="C936" s="135" t="s">
        <v>243</v>
      </c>
      <c r="D936" s="161" t="s">
        <v>2320</v>
      </c>
      <c r="E936" s="161" t="s">
        <v>1291</v>
      </c>
      <c r="F936" s="161" t="s">
        <v>2318</v>
      </c>
      <c r="G936" s="163">
        <v>780.101</v>
      </c>
      <c r="H936" s="163">
        <f t="shared" si="78"/>
        <v>25.8</v>
      </c>
      <c r="I936" s="173">
        <v>626</v>
      </c>
      <c r="J936" s="173">
        <v>34826</v>
      </c>
      <c r="K936" s="176">
        <f t="shared" si="77"/>
        <v>827752</v>
      </c>
      <c r="L936" s="163" t="s">
        <v>2255</v>
      </c>
      <c r="M936" s="161" t="s">
        <v>2232</v>
      </c>
      <c r="N936" s="161"/>
      <c r="O936" s="161"/>
      <c r="P936" s="49"/>
      <c r="Q936" s="166" t="s">
        <v>2321</v>
      </c>
      <c r="R936" s="151"/>
    </row>
    <row r="937" spans="1:18">
      <c r="A937" s="162" t="s">
        <v>43</v>
      </c>
      <c r="B937" s="101" t="s">
        <v>302</v>
      </c>
      <c r="C937" s="83" t="s">
        <v>3342</v>
      </c>
      <c r="D937" s="161" t="s">
        <v>3343</v>
      </c>
      <c r="E937" s="161" t="s">
        <v>1291</v>
      </c>
      <c r="F937" s="161" t="s">
        <v>2318</v>
      </c>
      <c r="G937" s="163">
        <v>810.101</v>
      </c>
      <c r="H937" s="163">
        <f t="shared" si="78"/>
        <v>30</v>
      </c>
      <c r="I937" s="176">
        <v>344</v>
      </c>
      <c r="J937" s="176">
        <v>35888</v>
      </c>
      <c r="K937" s="176">
        <f t="shared" si="77"/>
        <v>863640</v>
      </c>
      <c r="L937" s="163"/>
      <c r="M937" s="161" t="s">
        <v>3317</v>
      </c>
      <c r="N937" s="161" t="s">
        <v>1299</v>
      </c>
      <c r="O937" s="161" t="s">
        <v>25</v>
      </c>
      <c r="P937" s="49" t="s">
        <v>25</v>
      </c>
      <c r="Q937" s="166" t="s">
        <v>3344</v>
      </c>
      <c r="R937" s="151"/>
    </row>
    <row r="938" spans="1:18">
      <c r="A938" s="162" t="s">
        <v>43</v>
      </c>
      <c r="B938" s="101" t="s">
        <v>302</v>
      </c>
      <c r="C938" s="83" t="s">
        <v>3345</v>
      </c>
      <c r="D938" s="161" t="s">
        <v>2326</v>
      </c>
      <c r="E938" s="161" t="s">
        <v>1291</v>
      </c>
      <c r="F938" s="161" t="s">
        <v>2318</v>
      </c>
      <c r="G938" s="163">
        <v>843.101</v>
      </c>
      <c r="H938" s="163">
        <f t="shared" si="78"/>
        <v>33</v>
      </c>
      <c r="I938" s="176">
        <v>417</v>
      </c>
      <c r="J938" s="176">
        <v>35463</v>
      </c>
      <c r="K938" s="176">
        <f t="shared" si="77"/>
        <v>899103</v>
      </c>
      <c r="L938" s="163"/>
      <c r="M938" s="161" t="s">
        <v>3317</v>
      </c>
      <c r="N938" s="161" t="s">
        <v>1901</v>
      </c>
      <c r="O938" s="161" t="s">
        <v>26</v>
      </c>
      <c r="P938" s="49" t="s">
        <v>26</v>
      </c>
      <c r="Q938" s="166" t="s">
        <v>2327</v>
      </c>
      <c r="R938" s="151"/>
    </row>
    <row r="939" spans="1:18">
      <c r="A939" s="162" t="s">
        <v>43</v>
      </c>
      <c r="B939" s="101" t="s">
        <v>302</v>
      </c>
      <c r="C939" s="83" t="s">
        <v>3346</v>
      </c>
      <c r="D939" s="161" t="s">
        <v>3347</v>
      </c>
      <c r="E939" s="161" t="s">
        <v>1291</v>
      </c>
      <c r="F939" s="161" t="s">
        <v>2318</v>
      </c>
      <c r="G939" s="163">
        <v>874.351</v>
      </c>
      <c r="H939" s="163">
        <f t="shared" ref="H939:H947" si="79">G939-G938</f>
        <v>31.25</v>
      </c>
      <c r="I939" s="176"/>
      <c r="J939" s="176"/>
      <c r="K939" s="176"/>
      <c r="L939" s="163"/>
      <c r="M939" s="161"/>
      <c r="N939" s="161"/>
      <c r="O939" s="161" t="s">
        <v>25</v>
      </c>
      <c r="P939" s="49" t="s">
        <v>25</v>
      </c>
      <c r="Q939" s="166"/>
      <c r="R939" s="151"/>
    </row>
    <row r="940" ht="30" spans="1:18">
      <c r="A940" s="162" t="s">
        <v>43</v>
      </c>
      <c r="B940" s="101" t="s">
        <v>302</v>
      </c>
      <c r="C940" s="135" t="s">
        <v>2328</v>
      </c>
      <c r="D940" s="161" t="s">
        <v>2329</v>
      </c>
      <c r="E940" s="161" t="s">
        <v>1291</v>
      </c>
      <c r="F940" s="161" t="s">
        <v>2318</v>
      </c>
      <c r="G940" s="163">
        <v>875.101</v>
      </c>
      <c r="H940" s="163">
        <f t="shared" si="79"/>
        <v>0.75</v>
      </c>
      <c r="I940" s="173">
        <v>680</v>
      </c>
      <c r="J940" s="173">
        <v>24952</v>
      </c>
      <c r="K940" s="176">
        <f>K938+J940</f>
        <v>924055</v>
      </c>
      <c r="L940" s="163" t="s">
        <v>2255</v>
      </c>
      <c r="M940" s="161" t="s">
        <v>2232</v>
      </c>
      <c r="N940" s="161"/>
      <c r="O940" s="161"/>
      <c r="P940" s="49"/>
      <c r="Q940" s="166" t="s">
        <v>2330</v>
      </c>
      <c r="R940" s="151"/>
    </row>
    <row r="941" spans="1:18">
      <c r="A941" s="162" t="s">
        <v>43</v>
      </c>
      <c r="B941" s="101" t="s">
        <v>302</v>
      </c>
      <c r="C941" s="135" t="s">
        <v>3348</v>
      </c>
      <c r="D941" s="161" t="s">
        <v>3349</v>
      </c>
      <c r="E941" s="161" t="s">
        <v>1291</v>
      </c>
      <c r="F941" s="161" t="s">
        <v>2318</v>
      </c>
      <c r="G941" s="163">
        <v>875.851</v>
      </c>
      <c r="H941" s="163">
        <f t="shared" si="79"/>
        <v>0.75</v>
      </c>
      <c r="I941" s="173"/>
      <c r="J941" s="173"/>
      <c r="K941" s="176"/>
      <c r="L941" s="163"/>
      <c r="M941" s="161"/>
      <c r="N941" s="161"/>
      <c r="O941" s="161"/>
      <c r="P941" s="49"/>
      <c r="Q941" s="166"/>
      <c r="R941" s="151"/>
    </row>
    <row r="942" spans="1:18">
      <c r="A942" s="162" t="s">
        <v>43</v>
      </c>
      <c r="B942" s="101" t="s">
        <v>302</v>
      </c>
      <c r="C942" s="83" t="s">
        <v>3350</v>
      </c>
      <c r="D942" s="161" t="s">
        <v>2332</v>
      </c>
      <c r="E942" s="161" t="s">
        <v>1291</v>
      </c>
      <c r="F942" s="161" t="s">
        <v>2333</v>
      </c>
      <c r="G942" s="163">
        <v>906.101</v>
      </c>
      <c r="H942" s="163">
        <f t="shared" si="79"/>
        <v>30.25</v>
      </c>
      <c r="I942" s="176">
        <v>769</v>
      </c>
      <c r="J942" s="176">
        <v>32809</v>
      </c>
      <c r="K942" s="176">
        <f>K940+J942</f>
        <v>956864</v>
      </c>
      <c r="L942" s="163"/>
      <c r="M942" s="161" t="s">
        <v>3317</v>
      </c>
      <c r="N942" s="161" t="s">
        <v>1901</v>
      </c>
      <c r="O942" s="161" t="s">
        <v>26</v>
      </c>
      <c r="P942" s="49" t="s">
        <v>26</v>
      </c>
      <c r="Q942" s="166" t="s">
        <v>2334</v>
      </c>
      <c r="R942" s="151"/>
    </row>
    <row r="943" spans="1:18">
      <c r="A943" s="162" t="s">
        <v>43</v>
      </c>
      <c r="B943" s="101" t="s">
        <v>302</v>
      </c>
      <c r="C943" s="83" t="s">
        <v>3351</v>
      </c>
      <c r="D943" s="161" t="s">
        <v>1378</v>
      </c>
      <c r="E943" s="161" t="s">
        <v>1291</v>
      </c>
      <c r="F943" s="161" t="s">
        <v>2333</v>
      </c>
      <c r="G943" s="163">
        <v>938.101</v>
      </c>
      <c r="H943" s="163">
        <f t="shared" si="79"/>
        <v>32</v>
      </c>
      <c r="I943" s="176">
        <v>726</v>
      </c>
      <c r="J943" s="176">
        <v>34401</v>
      </c>
      <c r="K943" s="176">
        <f>K942+J943</f>
        <v>991265</v>
      </c>
      <c r="L943" s="163"/>
      <c r="M943" s="161"/>
      <c r="N943" s="161"/>
      <c r="O943" s="161" t="s">
        <v>26</v>
      </c>
      <c r="P943" s="49" t="s">
        <v>25</v>
      </c>
      <c r="Q943" s="166"/>
      <c r="R943" s="151"/>
    </row>
    <row r="944" spans="1:18">
      <c r="A944" s="162" t="s">
        <v>43</v>
      </c>
      <c r="B944" s="101" t="s">
        <v>302</v>
      </c>
      <c r="C944" s="135" t="s">
        <v>2337</v>
      </c>
      <c r="D944" s="161" t="s">
        <v>3352</v>
      </c>
      <c r="E944" s="161" t="s">
        <v>1291</v>
      </c>
      <c r="F944" s="161" t="s">
        <v>2333</v>
      </c>
      <c r="G944" s="163">
        <v>938.101</v>
      </c>
      <c r="H944" s="163">
        <f t="shared" si="79"/>
        <v>0</v>
      </c>
      <c r="I944" s="173"/>
      <c r="J944" s="173"/>
      <c r="K944" s="173"/>
      <c r="L944" s="163"/>
      <c r="M944" s="161" t="s">
        <v>3317</v>
      </c>
      <c r="N944" s="161"/>
      <c r="O944" s="161"/>
      <c r="P944" s="49"/>
      <c r="Q944" s="166" t="s">
        <v>2338</v>
      </c>
      <c r="R944" s="151"/>
    </row>
    <row r="945" spans="1:18">
      <c r="A945" s="162" t="s">
        <v>43</v>
      </c>
      <c r="B945" s="101" t="s">
        <v>302</v>
      </c>
      <c r="C945" s="83" t="s">
        <v>3353</v>
      </c>
      <c r="D945" s="161" t="s">
        <v>1380</v>
      </c>
      <c r="E945" s="161" t="s">
        <v>1291</v>
      </c>
      <c r="F945" s="161" t="s">
        <v>2333</v>
      </c>
      <c r="G945" s="163">
        <v>969.101</v>
      </c>
      <c r="H945" s="163">
        <f t="shared" si="79"/>
        <v>31</v>
      </c>
      <c r="I945" s="173">
        <v>783</v>
      </c>
      <c r="J945" s="173">
        <v>33339</v>
      </c>
      <c r="K945" s="176">
        <f>K943+J945</f>
        <v>1024604</v>
      </c>
      <c r="L945" s="174"/>
      <c r="M945" s="161" t="s">
        <v>3317</v>
      </c>
      <c r="N945" s="161" t="s">
        <v>2239</v>
      </c>
      <c r="O945" s="161" t="s">
        <v>25</v>
      </c>
      <c r="P945" s="49" t="s">
        <v>25</v>
      </c>
      <c r="Q945" s="166" t="s">
        <v>2336</v>
      </c>
      <c r="R945" s="151"/>
    </row>
    <row r="946" spans="1:18">
      <c r="A946" s="162" t="s">
        <v>43</v>
      </c>
      <c r="B946" s="101" t="s">
        <v>302</v>
      </c>
      <c r="C946" s="83" t="s">
        <v>3354</v>
      </c>
      <c r="D946" s="161" t="s">
        <v>2341</v>
      </c>
      <c r="E946" s="161" t="s">
        <v>1291</v>
      </c>
      <c r="F946" s="161" t="s">
        <v>2348</v>
      </c>
      <c r="G946" s="163">
        <v>1000.101</v>
      </c>
      <c r="H946" s="163">
        <f t="shared" si="79"/>
        <v>31</v>
      </c>
      <c r="I946" s="173">
        <v>828</v>
      </c>
      <c r="J946" s="173">
        <v>33339</v>
      </c>
      <c r="K946" s="176">
        <f t="shared" ref="K946:K976" si="80">K945+J946</f>
        <v>1057943</v>
      </c>
      <c r="L946" s="174"/>
      <c r="M946" s="161" t="s">
        <v>3317</v>
      </c>
      <c r="N946" s="161" t="s">
        <v>1901</v>
      </c>
      <c r="O946" s="161" t="s">
        <v>26</v>
      </c>
      <c r="P946" s="49" t="s">
        <v>26</v>
      </c>
      <c r="Q946" s="166" t="s">
        <v>2342</v>
      </c>
      <c r="R946" s="151"/>
    </row>
    <row r="947" spans="1:18">
      <c r="A947" s="162" t="s">
        <v>43</v>
      </c>
      <c r="B947" s="101" t="s">
        <v>302</v>
      </c>
      <c r="C947" s="83" t="s">
        <v>3355</v>
      </c>
      <c r="D947" s="161" t="s">
        <v>2344</v>
      </c>
      <c r="E947" s="161" t="s">
        <v>1291</v>
      </c>
      <c r="F947" s="161" t="s">
        <v>2348</v>
      </c>
      <c r="G947" s="163">
        <v>1032.101</v>
      </c>
      <c r="H947" s="163">
        <f t="shared" si="79"/>
        <v>32.0000000000001</v>
      </c>
      <c r="I947" s="176">
        <v>690</v>
      </c>
      <c r="J947" s="176">
        <v>33446</v>
      </c>
      <c r="K947" s="176">
        <f t="shared" si="80"/>
        <v>1091389</v>
      </c>
      <c r="L947" s="163"/>
      <c r="M947" s="161" t="s">
        <v>3317</v>
      </c>
      <c r="N947" s="161" t="s">
        <v>1901</v>
      </c>
      <c r="O947" s="161" t="s">
        <v>26</v>
      </c>
      <c r="P947" s="49" t="s">
        <v>26</v>
      </c>
      <c r="Q947" s="166" t="s">
        <v>2345</v>
      </c>
      <c r="R947" s="151"/>
    </row>
    <row r="948" ht="30" spans="1:18">
      <c r="A948" s="162" t="s">
        <v>43</v>
      </c>
      <c r="B948" s="101" t="s">
        <v>302</v>
      </c>
      <c r="C948" s="135" t="s">
        <v>2346</v>
      </c>
      <c r="D948" s="161" t="s">
        <v>2347</v>
      </c>
      <c r="E948" s="161" t="s">
        <v>1291</v>
      </c>
      <c r="F948" s="161" t="s">
        <v>2348</v>
      </c>
      <c r="G948" s="163">
        <v>1063.101</v>
      </c>
      <c r="H948" s="163">
        <f t="shared" ref="H948:H962" si="81">G948-G947</f>
        <v>31</v>
      </c>
      <c r="I948" s="176">
        <v>730</v>
      </c>
      <c r="J948" s="176">
        <v>32596</v>
      </c>
      <c r="K948" s="176">
        <f t="shared" si="80"/>
        <v>1123985</v>
      </c>
      <c r="L948" s="163" t="s">
        <v>2255</v>
      </c>
      <c r="M948" s="161" t="s">
        <v>2232</v>
      </c>
      <c r="N948" s="161"/>
      <c r="O948" s="161"/>
      <c r="P948" s="49"/>
      <c r="Q948" s="166" t="s">
        <v>2349</v>
      </c>
      <c r="R948" s="151"/>
    </row>
    <row r="949" spans="1:18">
      <c r="A949" s="162" t="s">
        <v>43</v>
      </c>
      <c r="B949" s="101" t="s">
        <v>302</v>
      </c>
      <c r="C949" s="83" t="s">
        <v>3356</v>
      </c>
      <c r="D949" s="161" t="s">
        <v>2351</v>
      </c>
      <c r="E949" s="161" t="s">
        <v>1291</v>
      </c>
      <c r="F949" s="161" t="s">
        <v>2348</v>
      </c>
      <c r="G949" s="163">
        <v>1095.101</v>
      </c>
      <c r="H949" s="163">
        <f t="shared" si="81"/>
        <v>32</v>
      </c>
      <c r="I949" s="173">
        <v>710</v>
      </c>
      <c r="J949" s="173">
        <v>33977</v>
      </c>
      <c r="K949" s="176">
        <f t="shared" si="80"/>
        <v>1157962</v>
      </c>
      <c r="L949" s="174"/>
      <c r="M949" s="161" t="s">
        <v>3317</v>
      </c>
      <c r="N949" s="161" t="s">
        <v>1901</v>
      </c>
      <c r="O949" s="161" t="s">
        <v>26</v>
      </c>
      <c r="P949" s="49" t="s">
        <v>26</v>
      </c>
      <c r="Q949" s="166" t="s">
        <v>3357</v>
      </c>
      <c r="R949" s="151"/>
    </row>
    <row r="950" spans="1:18">
      <c r="A950" s="162" t="s">
        <v>43</v>
      </c>
      <c r="B950" s="101" t="s">
        <v>302</v>
      </c>
      <c r="C950" s="83" t="s">
        <v>3358</v>
      </c>
      <c r="D950" s="161" t="s">
        <v>2354</v>
      </c>
      <c r="E950" s="161" t="s">
        <v>1291</v>
      </c>
      <c r="F950" s="161" t="s">
        <v>2348</v>
      </c>
      <c r="G950" s="163">
        <v>1124.101</v>
      </c>
      <c r="H950" s="163">
        <f t="shared" si="81"/>
        <v>29</v>
      </c>
      <c r="I950" s="176">
        <v>654</v>
      </c>
      <c r="J950" s="176">
        <v>30791</v>
      </c>
      <c r="K950" s="176">
        <f t="shared" si="80"/>
        <v>1188753</v>
      </c>
      <c r="L950" s="163"/>
      <c r="M950" s="161" t="s">
        <v>3317</v>
      </c>
      <c r="N950" s="161" t="s">
        <v>1901</v>
      </c>
      <c r="O950" s="161" t="s">
        <v>26</v>
      </c>
      <c r="P950" s="49" t="s">
        <v>26</v>
      </c>
      <c r="Q950" s="166" t="s">
        <v>2352</v>
      </c>
      <c r="R950" s="151"/>
    </row>
    <row r="951" spans="1:18">
      <c r="A951" s="162" t="s">
        <v>43</v>
      </c>
      <c r="B951" s="101" t="s">
        <v>302</v>
      </c>
      <c r="C951" s="83" t="s">
        <v>3359</v>
      </c>
      <c r="D951" s="161" t="s">
        <v>3360</v>
      </c>
      <c r="E951" s="161" t="s">
        <v>1291</v>
      </c>
      <c r="F951" s="161" t="s">
        <v>2348</v>
      </c>
      <c r="G951" s="163">
        <v>1153.101</v>
      </c>
      <c r="H951" s="163">
        <f t="shared" si="81"/>
        <v>29</v>
      </c>
      <c r="I951" s="176">
        <v>705</v>
      </c>
      <c r="J951" s="176">
        <v>31004</v>
      </c>
      <c r="K951" s="176">
        <f t="shared" si="80"/>
        <v>1219757</v>
      </c>
      <c r="L951" s="163"/>
      <c r="M951" s="161" t="s">
        <v>3317</v>
      </c>
      <c r="N951" s="161" t="s">
        <v>3361</v>
      </c>
      <c r="O951" s="161" t="s">
        <v>26</v>
      </c>
      <c r="P951" s="49" t="s">
        <v>26</v>
      </c>
      <c r="Q951" s="166" t="s">
        <v>3362</v>
      </c>
      <c r="R951" s="151"/>
    </row>
    <row r="952" spans="1:18">
      <c r="A952" s="162" t="s">
        <v>43</v>
      </c>
      <c r="B952" s="101" t="s">
        <v>302</v>
      </c>
      <c r="C952" s="83" t="s">
        <v>3363</v>
      </c>
      <c r="D952" s="161" t="s">
        <v>1405</v>
      </c>
      <c r="E952" s="161" t="s">
        <v>1291</v>
      </c>
      <c r="F952" s="161" t="s">
        <v>2348</v>
      </c>
      <c r="G952" s="163">
        <v>1186.101</v>
      </c>
      <c r="H952" s="163">
        <f t="shared" si="81"/>
        <v>33</v>
      </c>
      <c r="I952" s="173">
        <v>629</v>
      </c>
      <c r="J952" s="173">
        <v>33764</v>
      </c>
      <c r="K952" s="176">
        <f t="shared" si="80"/>
        <v>1253521</v>
      </c>
      <c r="L952" s="174"/>
      <c r="M952" s="161" t="s">
        <v>3317</v>
      </c>
      <c r="N952" s="161" t="s">
        <v>1299</v>
      </c>
      <c r="O952" s="161" t="s">
        <v>25</v>
      </c>
      <c r="P952" s="49" t="s">
        <v>25</v>
      </c>
      <c r="Q952" s="166" t="s">
        <v>3364</v>
      </c>
      <c r="R952" s="151"/>
    </row>
    <row r="953" spans="1:18">
      <c r="A953" s="162" t="s">
        <v>43</v>
      </c>
      <c r="B953" s="101" t="s">
        <v>302</v>
      </c>
      <c r="C953" s="83" t="s">
        <v>3365</v>
      </c>
      <c r="D953" s="161" t="s">
        <v>2360</v>
      </c>
      <c r="E953" s="161" t="s">
        <v>1291</v>
      </c>
      <c r="F953" s="161" t="s">
        <v>1381</v>
      </c>
      <c r="G953" s="163">
        <v>1217.101</v>
      </c>
      <c r="H953" s="163">
        <f t="shared" si="81"/>
        <v>31</v>
      </c>
      <c r="I953" s="173">
        <v>662</v>
      </c>
      <c r="J953" s="173">
        <v>33233</v>
      </c>
      <c r="K953" s="176">
        <f t="shared" si="80"/>
        <v>1286754</v>
      </c>
      <c r="L953" s="174"/>
      <c r="M953" s="161" t="s">
        <v>3317</v>
      </c>
      <c r="N953" s="161" t="s">
        <v>1901</v>
      </c>
      <c r="O953" s="161" t="s">
        <v>26</v>
      </c>
      <c r="P953" s="49" t="s">
        <v>26</v>
      </c>
      <c r="Q953" s="166" t="s">
        <v>2361</v>
      </c>
      <c r="R953" s="151"/>
    </row>
    <row r="954" ht="30" spans="1:18">
      <c r="A954" s="162" t="s">
        <v>43</v>
      </c>
      <c r="B954" s="101" t="s">
        <v>302</v>
      </c>
      <c r="C954" s="135" t="s">
        <v>2362</v>
      </c>
      <c r="D954" s="161" t="s">
        <v>2363</v>
      </c>
      <c r="E954" s="161" t="s">
        <v>1291</v>
      </c>
      <c r="F954" s="161" t="s">
        <v>1381</v>
      </c>
      <c r="G954" s="163">
        <v>1245.101</v>
      </c>
      <c r="H954" s="163">
        <f t="shared" si="81"/>
        <v>28</v>
      </c>
      <c r="I954" s="176">
        <v>674</v>
      </c>
      <c r="J954" s="176">
        <v>29623</v>
      </c>
      <c r="K954" s="176">
        <f t="shared" si="80"/>
        <v>1316377</v>
      </c>
      <c r="L954" s="163" t="s">
        <v>2255</v>
      </c>
      <c r="M954" s="161" t="s">
        <v>2232</v>
      </c>
      <c r="N954" s="161"/>
      <c r="O954" s="161"/>
      <c r="P954" s="49"/>
      <c r="Q954" s="166" t="s">
        <v>2361</v>
      </c>
      <c r="R954" s="151"/>
    </row>
    <row r="955" spans="1:18">
      <c r="A955" s="162" t="s">
        <v>43</v>
      </c>
      <c r="B955" s="101" t="s">
        <v>302</v>
      </c>
      <c r="C955" s="83" t="s">
        <v>3366</v>
      </c>
      <c r="D955" s="161" t="s">
        <v>2365</v>
      </c>
      <c r="E955" s="161" t="s">
        <v>1291</v>
      </c>
      <c r="F955" s="161" t="s">
        <v>1381</v>
      </c>
      <c r="G955" s="163">
        <v>1270.101</v>
      </c>
      <c r="H955" s="163">
        <f t="shared" si="81"/>
        <v>25</v>
      </c>
      <c r="I955" s="176">
        <v>864</v>
      </c>
      <c r="J955" s="176">
        <v>26438</v>
      </c>
      <c r="K955" s="176">
        <f t="shared" si="80"/>
        <v>1342815</v>
      </c>
      <c r="L955" s="163"/>
      <c r="M955" s="161" t="s">
        <v>3317</v>
      </c>
      <c r="N955" s="161" t="s">
        <v>1901</v>
      </c>
      <c r="O955" s="161" t="s">
        <v>26</v>
      </c>
      <c r="P955" s="49" t="s">
        <v>26</v>
      </c>
      <c r="Q955" s="166" t="s">
        <v>1372</v>
      </c>
      <c r="R955" s="151"/>
    </row>
    <row r="956" spans="1:18">
      <c r="A956" s="162" t="s">
        <v>43</v>
      </c>
      <c r="B956" s="101" t="s">
        <v>302</v>
      </c>
      <c r="C956" s="83" t="s">
        <v>3367</v>
      </c>
      <c r="D956" s="161" t="s">
        <v>1415</v>
      </c>
      <c r="E956" s="161" t="s">
        <v>1291</v>
      </c>
      <c r="F956" s="161" t="s">
        <v>1381</v>
      </c>
      <c r="G956" s="163">
        <v>1295.101</v>
      </c>
      <c r="H956" s="163">
        <f t="shared" si="81"/>
        <v>25</v>
      </c>
      <c r="I956" s="173">
        <v>1084</v>
      </c>
      <c r="J956" s="173">
        <v>26757</v>
      </c>
      <c r="K956" s="176">
        <f t="shared" si="80"/>
        <v>1369572</v>
      </c>
      <c r="L956" s="174"/>
      <c r="M956" s="161" t="s">
        <v>3317</v>
      </c>
      <c r="N956" s="161" t="s">
        <v>1299</v>
      </c>
      <c r="O956" s="161" t="s">
        <v>25</v>
      </c>
      <c r="P956" s="49" t="s">
        <v>25</v>
      </c>
      <c r="Q956" s="166" t="s">
        <v>1372</v>
      </c>
      <c r="R956" s="151"/>
    </row>
    <row r="957" spans="1:18">
      <c r="A957" s="162" t="s">
        <v>43</v>
      </c>
      <c r="B957" s="101" t="s">
        <v>302</v>
      </c>
      <c r="C957" s="83" t="s">
        <v>3368</v>
      </c>
      <c r="D957" s="161" t="s">
        <v>2368</v>
      </c>
      <c r="E957" s="161" t="s">
        <v>1291</v>
      </c>
      <c r="F957" s="161" t="s">
        <v>1381</v>
      </c>
      <c r="G957" s="163">
        <v>1325.101</v>
      </c>
      <c r="H957" s="163">
        <f t="shared" si="81"/>
        <v>30</v>
      </c>
      <c r="I957" s="176">
        <v>1364</v>
      </c>
      <c r="J957" s="176">
        <v>31428</v>
      </c>
      <c r="K957" s="176">
        <f t="shared" si="80"/>
        <v>1401000</v>
      </c>
      <c r="L957" s="163"/>
      <c r="M957" s="161" t="s">
        <v>3317</v>
      </c>
      <c r="N957" s="161" t="s">
        <v>1901</v>
      </c>
      <c r="O957" s="161" t="s">
        <v>26</v>
      </c>
      <c r="P957" s="49" t="s">
        <v>26</v>
      </c>
      <c r="Q957" s="166" t="s">
        <v>1382</v>
      </c>
      <c r="R957" s="151"/>
    </row>
    <row r="958" spans="1:18">
      <c r="A958" s="162" t="s">
        <v>43</v>
      </c>
      <c r="B958" s="101" t="s">
        <v>302</v>
      </c>
      <c r="C958" s="83" t="s">
        <v>3369</v>
      </c>
      <c r="D958" s="161" t="s">
        <v>2370</v>
      </c>
      <c r="E958" s="161" t="s">
        <v>1291</v>
      </c>
      <c r="F958" s="161" t="s">
        <v>1381</v>
      </c>
      <c r="G958" s="163">
        <v>1350.101</v>
      </c>
      <c r="H958" s="163">
        <f t="shared" si="81"/>
        <v>25</v>
      </c>
      <c r="I958" s="176">
        <v>1529</v>
      </c>
      <c r="J958" s="176">
        <v>26226</v>
      </c>
      <c r="K958" s="176">
        <f t="shared" si="80"/>
        <v>1427226</v>
      </c>
      <c r="L958" s="163"/>
      <c r="M958" s="161" t="s">
        <v>3317</v>
      </c>
      <c r="N958" s="161" t="s">
        <v>1901</v>
      </c>
      <c r="O958" s="161" t="s">
        <v>26</v>
      </c>
      <c r="P958" s="49" t="s">
        <v>26</v>
      </c>
      <c r="Q958" s="166" t="s">
        <v>1382</v>
      </c>
      <c r="R958" s="151"/>
    </row>
    <row r="959" ht="30" spans="1:18">
      <c r="A959" s="162" t="s">
        <v>43</v>
      </c>
      <c r="B959" s="101" t="s">
        <v>304</v>
      </c>
      <c r="C959" s="135" t="s">
        <v>111</v>
      </c>
      <c r="D959" s="161" t="s">
        <v>1383</v>
      </c>
      <c r="E959" s="161" t="s">
        <v>1384</v>
      </c>
      <c r="F959" s="161" t="s">
        <v>1385</v>
      </c>
      <c r="G959" s="163">
        <v>1381.101</v>
      </c>
      <c r="H959" s="163">
        <f t="shared" si="81"/>
        <v>31</v>
      </c>
      <c r="I959" s="173">
        <v>1629</v>
      </c>
      <c r="J959" s="173">
        <v>32490</v>
      </c>
      <c r="K959" s="176">
        <f t="shared" si="80"/>
        <v>1459716</v>
      </c>
      <c r="L959" s="163" t="s">
        <v>2255</v>
      </c>
      <c r="M959" s="161" t="s">
        <v>1294</v>
      </c>
      <c r="N959" s="161"/>
      <c r="O959" s="161"/>
      <c r="P959" s="49"/>
      <c r="Q959" s="166" t="s">
        <v>1387</v>
      </c>
      <c r="R959" s="151"/>
    </row>
    <row r="960" spans="1:18">
      <c r="A960" s="162" t="s">
        <v>43</v>
      </c>
      <c r="B960" s="101" t="s">
        <v>304</v>
      </c>
      <c r="C960" s="83" t="s">
        <v>3370</v>
      </c>
      <c r="D960" s="161" t="s">
        <v>2372</v>
      </c>
      <c r="E960" s="161" t="s">
        <v>1384</v>
      </c>
      <c r="F960" s="161" t="s">
        <v>1385</v>
      </c>
      <c r="G960" s="163">
        <v>1412.101</v>
      </c>
      <c r="H960" s="163">
        <f t="shared" si="81"/>
        <v>31</v>
      </c>
      <c r="I960" s="173">
        <v>1751</v>
      </c>
      <c r="J960" s="173">
        <v>33339</v>
      </c>
      <c r="K960" s="176">
        <f t="shared" si="80"/>
        <v>1493055</v>
      </c>
      <c r="L960" s="174"/>
      <c r="M960" s="161" t="s">
        <v>3317</v>
      </c>
      <c r="N960" s="161" t="s">
        <v>1901</v>
      </c>
      <c r="O960" s="161" t="s">
        <v>26</v>
      </c>
      <c r="P960" s="49" t="s">
        <v>26</v>
      </c>
      <c r="Q960" s="166" t="s">
        <v>1387</v>
      </c>
      <c r="R960" s="151"/>
    </row>
    <row r="961" spans="1:18">
      <c r="A961" s="162" t="s">
        <v>43</v>
      </c>
      <c r="B961" s="101" t="s">
        <v>304</v>
      </c>
      <c r="C961" s="83" t="s">
        <v>3371</v>
      </c>
      <c r="D961" s="161" t="s">
        <v>2374</v>
      </c>
      <c r="E961" s="161" t="s">
        <v>1384</v>
      </c>
      <c r="F961" s="161" t="s">
        <v>1385</v>
      </c>
      <c r="G961" s="163">
        <v>1444.101</v>
      </c>
      <c r="H961" s="163">
        <f t="shared" si="81"/>
        <v>32</v>
      </c>
      <c r="I961" s="176">
        <v>1770</v>
      </c>
      <c r="J961" s="176">
        <v>33977</v>
      </c>
      <c r="K961" s="176">
        <f t="shared" si="80"/>
        <v>1527032</v>
      </c>
      <c r="L961" s="163"/>
      <c r="M961" s="161" t="s">
        <v>3317</v>
      </c>
      <c r="N961" s="161" t="s">
        <v>1901</v>
      </c>
      <c r="O961" s="161" t="s">
        <v>26</v>
      </c>
      <c r="P961" s="49" t="s">
        <v>26</v>
      </c>
      <c r="Q961" s="166" t="s">
        <v>1392</v>
      </c>
      <c r="R961" s="151"/>
    </row>
    <row r="962" spans="1:18">
      <c r="A962" s="162" t="s">
        <v>43</v>
      </c>
      <c r="B962" s="101" t="s">
        <v>304</v>
      </c>
      <c r="C962" s="83" t="s">
        <v>3372</v>
      </c>
      <c r="D962" s="161" t="s">
        <v>2376</v>
      </c>
      <c r="E962" s="161" t="s">
        <v>1384</v>
      </c>
      <c r="F962" s="161" t="s">
        <v>1385</v>
      </c>
      <c r="G962" s="163">
        <v>1478.101</v>
      </c>
      <c r="H962" s="163">
        <f t="shared" si="81"/>
        <v>34</v>
      </c>
      <c r="I962" s="176">
        <v>1647</v>
      </c>
      <c r="J962" s="176">
        <v>35782</v>
      </c>
      <c r="K962" s="176">
        <f t="shared" si="80"/>
        <v>1562814</v>
      </c>
      <c r="L962" s="163"/>
      <c r="M962" s="161" t="s">
        <v>3317</v>
      </c>
      <c r="N962" s="161" t="s">
        <v>1901</v>
      </c>
      <c r="O962" s="161" t="s">
        <v>26</v>
      </c>
      <c r="P962" s="49" t="s">
        <v>26</v>
      </c>
      <c r="Q962" s="166" t="s">
        <v>1392</v>
      </c>
      <c r="R962" s="151"/>
    </row>
    <row r="963" spans="1:18">
      <c r="A963" s="162" t="s">
        <v>43</v>
      </c>
      <c r="B963" s="101" t="s">
        <v>304</v>
      </c>
      <c r="C963" s="83" t="s">
        <v>3373</v>
      </c>
      <c r="D963" s="161" t="s">
        <v>1436</v>
      </c>
      <c r="E963" s="161" t="s">
        <v>1384</v>
      </c>
      <c r="F963" s="161" t="s">
        <v>1397</v>
      </c>
      <c r="G963" s="163">
        <v>1511.101</v>
      </c>
      <c r="H963" s="163">
        <f t="shared" ref="H963:H997" si="82">G963-G962</f>
        <v>33</v>
      </c>
      <c r="I963" s="173">
        <v>1537</v>
      </c>
      <c r="J963" s="173">
        <v>34932</v>
      </c>
      <c r="K963" s="176">
        <f t="shared" si="80"/>
        <v>1597746</v>
      </c>
      <c r="L963" s="174"/>
      <c r="M963" s="161" t="s">
        <v>3317</v>
      </c>
      <c r="N963" s="161" t="s">
        <v>1299</v>
      </c>
      <c r="O963" s="161" t="s">
        <v>25</v>
      </c>
      <c r="P963" s="49" t="s">
        <v>25</v>
      </c>
      <c r="Q963" s="166" t="s">
        <v>1398</v>
      </c>
      <c r="R963" s="151"/>
    </row>
    <row r="964" spans="1:18">
      <c r="A964" s="162" t="s">
        <v>43</v>
      </c>
      <c r="B964" s="101" t="s">
        <v>304</v>
      </c>
      <c r="C964" s="83" t="s">
        <v>3374</v>
      </c>
      <c r="D964" s="161" t="s">
        <v>2379</v>
      </c>
      <c r="E964" s="161" t="s">
        <v>1384</v>
      </c>
      <c r="F964" s="161" t="s">
        <v>1397</v>
      </c>
      <c r="G964" s="163">
        <v>1541.101</v>
      </c>
      <c r="H964" s="163">
        <f t="shared" si="82"/>
        <v>30</v>
      </c>
      <c r="I964" s="176">
        <v>1417</v>
      </c>
      <c r="J964" s="176">
        <v>32278</v>
      </c>
      <c r="K964" s="176">
        <f t="shared" si="80"/>
        <v>1630024</v>
      </c>
      <c r="L964" s="163"/>
      <c r="M964" s="161" t="s">
        <v>3317</v>
      </c>
      <c r="N964" s="161" t="s">
        <v>1901</v>
      </c>
      <c r="O964" s="161" t="s">
        <v>26</v>
      </c>
      <c r="P964" s="49" t="s">
        <v>26</v>
      </c>
      <c r="Q964" s="166" t="s">
        <v>3375</v>
      </c>
      <c r="R964" s="151"/>
    </row>
    <row r="965" ht="30" spans="1:18">
      <c r="A965" s="162" t="s">
        <v>43</v>
      </c>
      <c r="B965" s="101" t="s">
        <v>304</v>
      </c>
      <c r="C965" s="135" t="s">
        <v>2381</v>
      </c>
      <c r="D965" s="161" t="s">
        <v>2382</v>
      </c>
      <c r="E965" s="161" t="s">
        <v>1384</v>
      </c>
      <c r="F965" s="161" t="s">
        <v>1397</v>
      </c>
      <c r="G965" s="163">
        <v>1574.101</v>
      </c>
      <c r="H965" s="163">
        <f t="shared" si="82"/>
        <v>33</v>
      </c>
      <c r="I965" s="176">
        <v>1387</v>
      </c>
      <c r="J965" s="176">
        <v>35038</v>
      </c>
      <c r="K965" s="176">
        <f t="shared" si="80"/>
        <v>1665062</v>
      </c>
      <c r="L965" s="163" t="s">
        <v>2255</v>
      </c>
      <c r="M965" s="161" t="s">
        <v>2232</v>
      </c>
      <c r="N965" s="161"/>
      <c r="O965" s="161"/>
      <c r="P965" s="49"/>
      <c r="Q965" s="166" t="s">
        <v>2383</v>
      </c>
      <c r="R965" s="151"/>
    </row>
    <row r="966" spans="1:18">
      <c r="A966" s="162" t="s">
        <v>43</v>
      </c>
      <c r="B966" s="101" t="s">
        <v>304</v>
      </c>
      <c r="C966" s="83" t="s">
        <v>3376</v>
      </c>
      <c r="D966" s="161" t="s">
        <v>2385</v>
      </c>
      <c r="E966" s="161" t="s">
        <v>1384</v>
      </c>
      <c r="F966" s="161" t="s">
        <v>1406</v>
      </c>
      <c r="G966" s="163">
        <v>1605.101</v>
      </c>
      <c r="H966" s="163">
        <f t="shared" si="82"/>
        <v>31</v>
      </c>
      <c r="I966" s="173">
        <v>1502</v>
      </c>
      <c r="J966" s="173">
        <v>32490</v>
      </c>
      <c r="K966" s="176">
        <f t="shared" si="80"/>
        <v>1697552</v>
      </c>
      <c r="L966" s="174"/>
      <c r="M966" s="161" t="s">
        <v>3317</v>
      </c>
      <c r="N966" s="161" t="s">
        <v>1901</v>
      </c>
      <c r="O966" s="161" t="s">
        <v>26</v>
      </c>
      <c r="P966" s="49" t="s">
        <v>26</v>
      </c>
      <c r="Q966" s="166" t="s">
        <v>2386</v>
      </c>
      <c r="R966" s="151"/>
    </row>
    <row r="967" spans="1:18">
      <c r="A967" s="162" t="s">
        <v>43</v>
      </c>
      <c r="B967" s="101" t="s">
        <v>304</v>
      </c>
      <c r="C967" s="83" t="s">
        <v>3377</v>
      </c>
      <c r="D967" s="161" t="s">
        <v>2388</v>
      </c>
      <c r="E967" s="161" t="s">
        <v>1384</v>
      </c>
      <c r="F967" s="161" t="s">
        <v>1406</v>
      </c>
      <c r="G967" s="163">
        <v>1637.101</v>
      </c>
      <c r="H967" s="163">
        <f t="shared" si="82"/>
        <v>32</v>
      </c>
      <c r="I967" s="173">
        <v>1620</v>
      </c>
      <c r="J967" s="173">
        <v>34189</v>
      </c>
      <c r="K967" s="176">
        <f t="shared" si="80"/>
        <v>1731741</v>
      </c>
      <c r="L967" s="174"/>
      <c r="M967" s="161" t="s">
        <v>3317</v>
      </c>
      <c r="N967" s="161" t="s">
        <v>1901</v>
      </c>
      <c r="O967" s="161" t="s">
        <v>26</v>
      </c>
      <c r="P967" s="49" t="s">
        <v>26</v>
      </c>
      <c r="Q967" s="166" t="s">
        <v>3378</v>
      </c>
      <c r="R967" s="151"/>
    </row>
    <row r="968" spans="1:18">
      <c r="A968" s="162" t="s">
        <v>43</v>
      </c>
      <c r="B968" s="101" t="s">
        <v>304</v>
      </c>
      <c r="C968" s="83" t="s">
        <v>3379</v>
      </c>
      <c r="D968" s="161" t="s">
        <v>2391</v>
      </c>
      <c r="E968" s="161" t="s">
        <v>1384</v>
      </c>
      <c r="F968" s="161" t="s">
        <v>1406</v>
      </c>
      <c r="G968" s="163">
        <v>1667.101</v>
      </c>
      <c r="H968" s="163">
        <f t="shared" si="82"/>
        <v>30</v>
      </c>
      <c r="I968" s="176">
        <v>1709</v>
      </c>
      <c r="J968" s="176">
        <v>31959</v>
      </c>
      <c r="K968" s="176">
        <f t="shared" si="80"/>
        <v>1763700</v>
      </c>
      <c r="L968" s="163"/>
      <c r="M968" s="161" t="s">
        <v>3317</v>
      </c>
      <c r="N968" s="161" t="s">
        <v>1901</v>
      </c>
      <c r="O968" s="161" t="s">
        <v>26</v>
      </c>
      <c r="P968" s="49" t="s">
        <v>26</v>
      </c>
      <c r="Q968" s="166" t="s">
        <v>2392</v>
      </c>
      <c r="R968" s="151"/>
    </row>
    <row r="969" spans="1:18">
      <c r="A969" s="162" t="s">
        <v>43</v>
      </c>
      <c r="B969" s="101" t="s">
        <v>304</v>
      </c>
      <c r="C969" s="83" t="s">
        <v>3380</v>
      </c>
      <c r="D969" s="161" t="s">
        <v>2394</v>
      </c>
      <c r="E969" s="161" t="s">
        <v>1384</v>
      </c>
      <c r="F969" s="161" t="s">
        <v>1418</v>
      </c>
      <c r="G969" s="163">
        <v>1693.101</v>
      </c>
      <c r="H969" s="163">
        <f t="shared" si="82"/>
        <v>26</v>
      </c>
      <c r="I969" s="176">
        <v>1820</v>
      </c>
      <c r="J969" s="176">
        <v>27924</v>
      </c>
      <c r="K969" s="176">
        <f t="shared" si="80"/>
        <v>1791624</v>
      </c>
      <c r="L969" s="163"/>
      <c r="M969" s="161" t="s">
        <v>3317</v>
      </c>
      <c r="N969" s="161" t="s">
        <v>1901</v>
      </c>
      <c r="O969" s="161" t="s">
        <v>26</v>
      </c>
      <c r="P969" s="49" t="s">
        <v>26</v>
      </c>
      <c r="Q969" s="166" t="s">
        <v>3381</v>
      </c>
      <c r="R969" s="151"/>
    </row>
    <row r="970" spans="1:18">
      <c r="A970" s="162" t="s">
        <v>43</v>
      </c>
      <c r="B970" s="101" t="s">
        <v>304</v>
      </c>
      <c r="C970" s="83" t="s">
        <v>3382</v>
      </c>
      <c r="D970" s="161" t="s">
        <v>1460</v>
      </c>
      <c r="E970" s="161" t="s">
        <v>1384</v>
      </c>
      <c r="F970" s="161" t="s">
        <v>1418</v>
      </c>
      <c r="G970" s="163">
        <v>1719.101</v>
      </c>
      <c r="H970" s="163">
        <f t="shared" si="82"/>
        <v>26</v>
      </c>
      <c r="I970" s="173">
        <v>1772</v>
      </c>
      <c r="J970" s="173">
        <v>28031</v>
      </c>
      <c r="K970" s="176">
        <f t="shared" si="80"/>
        <v>1819655</v>
      </c>
      <c r="L970" s="174"/>
      <c r="M970" s="161" t="s">
        <v>3317</v>
      </c>
      <c r="N970" s="161" t="s">
        <v>1299</v>
      </c>
      <c r="O970" s="161" t="s">
        <v>25</v>
      </c>
      <c r="P970" s="49" t="s">
        <v>25</v>
      </c>
      <c r="Q970" s="166" t="s">
        <v>2397</v>
      </c>
      <c r="R970" s="151"/>
    </row>
    <row r="971" ht="30" spans="1:18">
      <c r="A971" s="162" t="s">
        <v>43</v>
      </c>
      <c r="B971" s="101" t="s">
        <v>304</v>
      </c>
      <c r="C971" s="135" t="s">
        <v>214</v>
      </c>
      <c r="D971" s="161" t="s">
        <v>2398</v>
      </c>
      <c r="E971" s="161" t="s">
        <v>1384</v>
      </c>
      <c r="F971" s="161" t="s">
        <v>1418</v>
      </c>
      <c r="G971" s="163">
        <v>1743.101</v>
      </c>
      <c r="H971" s="163">
        <f t="shared" si="82"/>
        <v>24</v>
      </c>
      <c r="I971" s="176">
        <v>1625</v>
      </c>
      <c r="J971" s="176">
        <v>30048</v>
      </c>
      <c r="K971" s="176">
        <f t="shared" si="80"/>
        <v>1849703</v>
      </c>
      <c r="L971" s="163" t="s">
        <v>2255</v>
      </c>
      <c r="M971" s="161" t="s">
        <v>2232</v>
      </c>
      <c r="N971" s="161"/>
      <c r="O971" s="161"/>
      <c r="P971" s="49"/>
      <c r="Q971" s="166" t="s">
        <v>2399</v>
      </c>
      <c r="R971" s="151"/>
    </row>
    <row r="972" spans="1:18">
      <c r="A972" s="162" t="s">
        <v>43</v>
      </c>
      <c r="B972" s="101" t="s">
        <v>304</v>
      </c>
      <c r="C972" s="83" t="s">
        <v>3383</v>
      </c>
      <c r="D972" s="161" t="s">
        <v>2401</v>
      </c>
      <c r="E972" s="161" t="s">
        <v>1384</v>
      </c>
      <c r="F972" s="161" t="s">
        <v>1418</v>
      </c>
      <c r="G972" s="163">
        <v>1765.101</v>
      </c>
      <c r="H972" s="163">
        <f t="shared" si="82"/>
        <v>22</v>
      </c>
      <c r="I972" s="176">
        <v>1552</v>
      </c>
      <c r="J972" s="176">
        <v>23465</v>
      </c>
      <c r="K972" s="176">
        <f t="shared" si="80"/>
        <v>1873168</v>
      </c>
      <c r="L972" s="163"/>
      <c r="M972" s="161" t="s">
        <v>3317</v>
      </c>
      <c r="N972" s="161" t="s">
        <v>1901</v>
      </c>
      <c r="O972" s="161" t="s">
        <v>26</v>
      </c>
      <c r="P972" s="49" t="s">
        <v>26</v>
      </c>
      <c r="Q972" s="166" t="s">
        <v>2402</v>
      </c>
      <c r="R972" s="151"/>
    </row>
    <row r="973" spans="1:18">
      <c r="A973" s="162" t="s">
        <v>43</v>
      </c>
      <c r="B973" s="101" t="s">
        <v>304</v>
      </c>
      <c r="C973" s="83" t="s">
        <v>3384</v>
      </c>
      <c r="D973" s="161" t="s">
        <v>2404</v>
      </c>
      <c r="E973" s="161" t="s">
        <v>1384</v>
      </c>
      <c r="F973" s="161" t="s">
        <v>1418</v>
      </c>
      <c r="G973" s="163">
        <v>1795.101</v>
      </c>
      <c r="H973" s="163">
        <f t="shared" si="82"/>
        <v>30</v>
      </c>
      <c r="I973" s="173">
        <v>1637</v>
      </c>
      <c r="J973" s="173">
        <v>31853</v>
      </c>
      <c r="K973" s="176">
        <f t="shared" si="80"/>
        <v>1905021</v>
      </c>
      <c r="L973" s="174"/>
      <c r="M973" s="161" t="s">
        <v>3317</v>
      </c>
      <c r="N973" s="161" t="s">
        <v>1901</v>
      </c>
      <c r="O973" s="161" t="s">
        <v>26</v>
      </c>
      <c r="P973" s="49" t="s">
        <v>26</v>
      </c>
      <c r="Q973" s="166" t="s">
        <v>3385</v>
      </c>
      <c r="R973" s="151"/>
    </row>
    <row r="974" spans="1:18">
      <c r="A974" s="162" t="s">
        <v>43</v>
      </c>
      <c r="B974" s="101" t="s">
        <v>304</v>
      </c>
      <c r="C974" s="83" t="s">
        <v>3386</v>
      </c>
      <c r="D974" s="161" t="s">
        <v>2407</v>
      </c>
      <c r="E974" s="161" t="s">
        <v>1384</v>
      </c>
      <c r="F974" s="161" t="s">
        <v>1418</v>
      </c>
      <c r="G974" s="163">
        <v>1826.101</v>
      </c>
      <c r="H974" s="163">
        <f t="shared" si="82"/>
        <v>31</v>
      </c>
      <c r="I974" s="173">
        <v>1641</v>
      </c>
      <c r="J974" s="173">
        <v>33021</v>
      </c>
      <c r="K974" s="176">
        <f t="shared" si="80"/>
        <v>1938042</v>
      </c>
      <c r="L974" s="174"/>
      <c r="M974" s="161" t="s">
        <v>3317</v>
      </c>
      <c r="N974" s="161" t="s">
        <v>1901</v>
      </c>
      <c r="O974" s="161" t="s">
        <v>26</v>
      </c>
      <c r="P974" s="49" t="s">
        <v>26</v>
      </c>
      <c r="Q974" s="166" t="s">
        <v>2408</v>
      </c>
      <c r="R974" s="151"/>
    </row>
    <row r="975" spans="1:18">
      <c r="A975" s="162" t="s">
        <v>43</v>
      </c>
      <c r="B975" s="101" t="s">
        <v>304</v>
      </c>
      <c r="C975" s="83" t="s">
        <v>3387</v>
      </c>
      <c r="D975" s="161" t="s">
        <v>1472</v>
      </c>
      <c r="E975" s="161" t="s">
        <v>1384</v>
      </c>
      <c r="F975" s="161" t="s">
        <v>1437</v>
      </c>
      <c r="G975" s="163">
        <v>1853.101</v>
      </c>
      <c r="H975" s="163">
        <f t="shared" si="82"/>
        <v>27</v>
      </c>
      <c r="I975" s="176">
        <v>1529</v>
      </c>
      <c r="J975" s="176">
        <v>28243</v>
      </c>
      <c r="K975" s="176">
        <f t="shared" si="80"/>
        <v>1966285</v>
      </c>
      <c r="L975" s="163"/>
      <c r="M975" s="161" t="s">
        <v>3317</v>
      </c>
      <c r="N975" s="161" t="s">
        <v>1299</v>
      </c>
      <c r="O975" s="161" t="s">
        <v>25</v>
      </c>
      <c r="P975" s="49" t="s">
        <v>25</v>
      </c>
      <c r="Q975" s="166" t="s">
        <v>2410</v>
      </c>
      <c r="R975" s="151"/>
    </row>
    <row r="976" spans="1:18">
      <c r="A976" s="162" t="s">
        <v>43</v>
      </c>
      <c r="B976" s="101" t="s">
        <v>304</v>
      </c>
      <c r="C976" s="83" t="s">
        <v>3388</v>
      </c>
      <c r="D976" s="161" t="s">
        <v>2412</v>
      </c>
      <c r="E976" s="161" t="s">
        <v>1384</v>
      </c>
      <c r="F976" s="161" t="s">
        <v>1437</v>
      </c>
      <c r="G976" s="163">
        <v>1882.101</v>
      </c>
      <c r="H976" s="163">
        <f t="shared" si="82"/>
        <v>29</v>
      </c>
      <c r="I976" s="176">
        <v>1438</v>
      </c>
      <c r="J976" s="176">
        <v>31216</v>
      </c>
      <c r="K976" s="176">
        <f t="shared" si="80"/>
        <v>1997501</v>
      </c>
      <c r="L976" s="163"/>
      <c r="M976" s="161" t="s">
        <v>3317</v>
      </c>
      <c r="N976" s="161" t="s">
        <v>1901</v>
      </c>
      <c r="O976" s="161" t="s">
        <v>26</v>
      </c>
      <c r="P976" s="49" t="s">
        <v>26</v>
      </c>
      <c r="Q976" s="166" t="s">
        <v>2413</v>
      </c>
      <c r="R976" s="151"/>
    </row>
    <row r="977" spans="1:18">
      <c r="A977" s="162" t="s">
        <v>43</v>
      </c>
      <c r="B977" s="101" t="s">
        <v>304</v>
      </c>
      <c r="C977" s="83" t="s">
        <v>3389</v>
      </c>
      <c r="D977" s="161" t="s">
        <v>2415</v>
      </c>
      <c r="E977" s="161" t="s">
        <v>1384</v>
      </c>
      <c r="F977" s="161" t="s">
        <v>1437</v>
      </c>
      <c r="G977" s="163">
        <v>1910.101</v>
      </c>
      <c r="H977" s="163">
        <f t="shared" si="82"/>
        <v>28</v>
      </c>
      <c r="I977" s="173">
        <v>1434</v>
      </c>
      <c r="J977" s="173">
        <v>30048</v>
      </c>
      <c r="K977" s="176">
        <f t="shared" ref="K977:K1005" si="83">K976+J977</f>
        <v>2027549</v>
      </c>
      <c r="L977" s="174"/>
      <c r="M977" s="161" t="s">
        <v>3317</v>
      </c>
      <c r="N977" s="161" t="s">
        <v>1901</v>
      </c>
      <c r="O977" s="161" t="s">
        <v>26</v>
      </c>
      <c r="P977" s="49" t="s">
        <v>26</v>
      </c>
      <c r="Q977" s="166" t="s">
        <v>2416</v>
      </c>
      <c r="R977" s="151"/>
    </row>
    <row r="978" ht="30" spans="1:18">
      <c r="A978" s="162" t="s">
        <v>43</v>
      </c>
      <c r="B978" s="101" t="s">
        <v>304</v>
      </c>
      <c r="C978" s="135" t="s">
        <v>220</v>
      </c>
      <c r="D978" s="161" t="s">
        <v>2417</v>
      </c>
      <c r="E978" s="161" t="s">
        <v>1384</v>
      </c>
      <c r="F978" s="161" t="s">
        <v>1437</v>
      </c>
      <c r="G978" s="163">
        <v>1933.101</v>
      </c>
      <c r="H978" s="163">
        <f t="shared" si="82"/>
        <v>23</v>
      </c>
      <c r="I978" s="176">
        <v>1458</v>
      </c>
      <c r="J978" s="176">
        <v>26226</v>
      </c>
      <c r="K978" s="176">
        <f t="shared" si="83"/>
        <v>2053775</v>
      </c>
      <c r="L978" s="163" t="s">
        <v>2255</v>
      </c>
      <c r="M978" s="161" t="s">
        <v>2232</v>
      </c>
      <c r="N978" s="161"/>
      <c r="O978" s="161"/>
      <c r="P978" s="49"/>
      <c r="Q978" s="166" t="s">
        <v>2418</v>
      </c>
      <c r="R978" s="151"/>
    </row>
    <row r="979" spans="1:18">
      <c r="A979" s="162" t="s">
        <v>43</v>
      </c>
      <c r="B979" s="101" t="s">
        <v>304</v>
      </c>
      <c r="C979" s="83" t="s">
        <v>3390</v>
      </c>
      <c r="D979" s="161" t="s">
        <v>2420</v>
      </c>
      <c r="E979" s="161" t="s">
        <v>1384</v>
      </c>
      <c r="F979" s="161" t="s">
        <v>1437</v>
      </c>
      <c r="G979" s="163">
        <v>1958.101</v>
      </c>
      <c r="H979" s="163">
        <f t="shared" si="82"/>
        <v>25</v>
      </c>
      <c r="I979" s="176">
        <v>1470</v>
      </c>
      <c r="J979" s="176">
        <v>26226</v>
      </c>
      <c r="K979" s="176">
        <f t="shared" si="83"/>
        <v>2080001</v>
      </c>
      <c r="L979" s="163"/>
      <c r="M979" s="161" t="s">
        <v>3317</v>
      </c>
      <c r="N979" s="161" t="s">
        <v>1901</v>
      </c>
      <c r="O979" s="161" t="s">
        <v>26</v>
      </c>
      <c r="P979" s="49" t="s">
        <v>26</v>
      </c>
      <c r="Q979" s="166" t="s">
        <v>3391</v>
      </c>
      <c r="R979" s="151"/>
    </row>
    <row r="980" s="151" customFormat="1" ht="30" spans="1:17">
      <c r="A980" s="162" t="s">
        <v>43</v>
      </c>
      <c r="B980" s="101" t="s">
        <v>304</v>
      </c>
      <c r="C980" s="83" t="s">
        <v>3392</v>
      </c>
      <c r="D980" s="161" t="s">
        <v>3392</v>
      </c>
      <c r="E980" s="161" t="s">
        <v>1384</v>
      </c>
      <c r="F980" s="161" t="s">
        <v>1452</v>
      </c>
      <c r="G980" s="163">
        <v>1989.101</v>
      </c>
      <c r="H980" s="163">
        <f t="shared" si="82"/>
        <v>31</v>
      </c>
      <c r="I980" s="173">
        <v>1685</v>
      </c>
      <c r="J980" s="173">
        <v>33339</v>
      </c>
      <c r="K980" s="176">
        <f t="shared" si="83"/>
        <v>2113340</v>
      </c>
      <c r="L980" s="174" t="s">
        <v>3393</v>
      </c>
      <c r="M980" s="161" t="s">
        <v>3317</v>
      </c>
      <c r="N980" s="161"/>
      <c r="O980" s="161" t="s">
        <v>26</v>
      </c>
      <c r="P980" s="49" t="s">
        <v>14</v>
      </c>
      <c r="Q980" s="166" t="s">
        <v>2424</v>
      </c>
    </row>
    <row r="981" spans="1:18">
      <c r="A981" s="162" t="s">
        <v>43</v>
      </c>
      <c r="B981" s="101" t="s">
        <v>304</v>
      </c>
      <c r="C981" s="83" t="s">
        <v>3394</v>
      </c>
      <c r="D981" s="161" t="s">
        <v>1488</v>
      </c>
      <c r="E981" s="161" t="s">
        <v>1384</v>
      </c>
      <c r="F981" s="161" t="s">
        <v>1452</v>
      </c>
      <c r="G981" s="163">
        <v>2020.6281</v>
      </c>
      <c r="H981" s="163">
        <f t="shared" si="82"/>
        <v>31.5270999999998</v>
      </c>
      <c r="I981" s="173">
        <v>1840</v>
      </c>
      <c r="J981" s="173">
        <v>33552</v>
      </c>
      <c r="K981" s="176">
        <f t="shared" si="83"/>
        <v>2146892</v>
      </c>
      <c r="L981" s="174"/>
      <c r="M981" s="161" t="s">
        <v>3317</v>
      </c>
      <c r="N981" s="161" t="s">
        <v>1299</v>
      </c>
      <c r="O981" s="161" t="s">
        <v>25</v>
      </c>
      <c r="P981" s="49" t="s">
        <v>25</v>
      </c>
      <c r="Q981" s="166" t="s">
        <v>3395</v>
      </c>
      <c r="R981" s="151"/>
    </row>
    <row r="982" spans="1:18">
      <c r="A982" s="162" t="s">
        <v>43</v>
      </c>
      <c r="B982" s="101" t="s">
        <v>304</v>
      </c>
      <c r="C982" s="83" t="s">
        <v>3396</v>
      </c>
      <c r="D982" s="161" t="s">
        <v>2428</v>
      </c>
      <c r="E982" s="161" t="s">
        <v>1384</v>
      </c>
      <c r="F982" s="161" t="s">
        <v>1452</v>
      </c>
      <c r="G982" s="163">
        <v>2049.1995</v>
      </c>
      <c r="H982" s="163">
        <f t="shared" si="82"/>
        <v>28.5714000000003</v>
      </c>
      <c r="I982" s="176">
        <v>2197</v>
      </c>
      <c r="J982" s="176">
        <v>31110</v>
      </c>
      <c r="K982" s="176">
        <f t="shared" si="83"/>
        <v>2178002</v>
      </c>
      <c r="L982" s="163"/>
      <c r="M982" s="161" t="s">
        <v>3317</v>
      </c>
      <c r="N982" s="161" t="s">
        <v>1901</v>
      </c>
      <c r="O982" s="161" t="s">
        <v>26</v>
      </c>
      <c r="P982" s="49" t="s">
        <v>26</v>
      </c>
      <c r="Q982" s="166" t="s">
        <v>3397</v>
      </c>
      <c r="R982" s="151"/>
    </row>
    <row r="983" ht="30" spans="1:18">
      <c r="A983" s="162" t="s">
        <v>43</v>
      </c>
      <c r="B983" s="101" t="s">
        <v>304</v>
      </c>
      <c r="C983" s="135" t="s">
        <v>2430</v>
      </c>
      <c r="D983" s="161" t="s">
        <v>2431</v>
      </c>
      <c r="E983" s="161" t="s">
        <v>1384</v>
      </c>
      <c r="F983" s="161" t="s">
        <v>1464</v>
      </c>
      <c r="G983" s="163">
        <v>2080.7266</v>
      </c>
      <c r="H983" s="163">
        <f t="shared" si="82"/>
        <v>31.5270999999998</v>
      </c>
      <c r="I983" s="176">
        <v>2269</v>
      </c>
      <c r="J983" s="176">
        <v>33552</v>
      </c>
      <c r="K983" s="176">
        <f t="shared" si="83"/>
        <v>2211554</v>
      </c>
      <c r="L983" s="163" t="s">
        <v>2255</v>
      </c>
      <c r="M983" s="161" t="s">
        <v>2232</v>
      </c>
      <c r="N983" s="161"/>
      <c r="O983" s="161"/>
      <c r="P983" s="49"/>
      <c r="Q983" s="166" t="s">
        <v>2432</v>
      </c>
      <c r="R983" s="151"/>
    </row>
    <row r="984" spans="1:18">
      <c r="A984" s="162" t="s">
        <v>43</v>
      </c>
      <c r="B984" s="101" t="s">
        <v>304</v>
      </c>
      <c r="C984" s="83" t="s">
        <v>3398</v>
      </c>
      <c r="D984" s="161" t="s">
        <v>2434</v>
      </c>
      <c r="E984" s="161" t="s">
        <v>1384</v>
      </c>
      <c r="F984" s="161" t="s">
        <v>1464</v>
      </c>
      <c r="G984" s="163">
        <v>2107.3276</v>
      </c>
      <c r="H984" s="163">
        <f t="shared" si="82"/>
        <v>26.6010000000001</v>
      </c>
      <c r="I984" s="173">
        <v>2110</v>
      </c>
      <c r="J984" s="173">
        <v>28774</v>
      </c>
      <c r="K984" s="176">
        <f t="shared" si="83"/>
        <v>2240328</v>
      </c>
      <c r="L984" s="174"/>
      <c r="M984" s="161" t="s">
        <v>3317</v>
      </c>
      <c r="N984" s="161" t="s">
        <v>1901</v>
      </c>
      <c r="O984" s="161" t="s">
        <v>26</v>
      </c>
      <c r="P984" s="49" t="s">
        <v>26</v>
      </c>
      <c r="Q984" s="166" t="s">
        <v>2435</v>
      </c>
      <c r="R984" s="151"/>
    </row>
    <row r="985" spans="1:18">
      <c r="A985" s="162" t="s">
        <v>43</v>
      </c>
      <c r="B985" s="101" t="s">
        <v>304</v>
      </c>
      <c r="C985" s="83" t="s">
        <v>3399</v>
      </c>
      <c r="D985" s="161" t="s">
        <v>2436</v>
      </c>
      <c r="E985" s="161" t="s">
        <v>1384</v>
      </c>
      <c r="F985" s="161" t="s">
        <v>1464</v>
      </c>
      <c r="G985" s="163">
        <v>2132.9434</v>
      </c>
      <c r="H985" s="163">
        <f t="shared" si="82"/>
        <v>25.6158</v>
      </c>
      <c r="I985" s="176">
        <v>1935</v>
      </c>
      <c r="J985" s="176">
        <v>27712</v>
      </c>
      <c r="K985" s="176">
        <f t="shared" si="83"/>
        <v>2268040</v>
      </c>
      <c r="L985" s="163"/>
      <c r="M985" s="161" t="s">
        <v>3317</v>
      </c>
      <c r="N985" s="161" t="s">
        <v>1901</v>
      </c>
      <c r="O985" s="161" t="s">
        <v>26</v>
      </c>
      <c r="P985" s="49" t="s">
        <v>26</v>
      </c>
      <c r="Q985" s="166" t="s">
        <v>2437</v>
      </c>
      <c r="R985" s="151"/>
    </row>
    <row r="986" spans="1:18">
      <c r="A986" s="162" t="s">
        <v>43</v>
      </c>
      <c r="B986" s="101" t="s">
        <v>304</v>
      </c>
      <c r="C986" s="83" t="s">
        <v>3400</v>
      </c>
      <c r="D986" s="161" t="s">
        <v>1500</v>
      </c>
      <c r="E986" s="161" t="s">
        <v>1384</v>
      </c>
      <c r="F986" s="161" t="s">
        <v>1464</v>
      </c>
      <c r="G986" s="163">
        <v>2160.5296</v>
      </c>
      <c r="H986" s="163">
        <f t="shared" si="82"/>
        <v>27.5861999999997</v>
      </c>
      <c r="I986" s="176">
        <v>1729</v>
      </c>
      <c r="J986" s="176">
        <v>29199</v>
      </c>
      <c r="K986" s="176">
        <f t="shared" si="83"/>
        <v>2297239</v>
      </c>
      <c r="L986" s="163"/>
      <c r="M986" s="161" t="s">
        <v>3317</v>
      </c>
      <c r="N986" s="161" t="s">
        <v>1299</v>
      </c>
      <c r="O986" s="161" t="s">
        <v>25</v>
      </c>
      <c r="P986" s="49" t="s">
        <v>25</v>
      </c>
      <c r="Q986" s="166" t="s">
        <v>2439</v>
      </c>
      <c r="R986" s="151"/>
    </row>
    <row r="987" spans="1:18">
      <c r="A987" s="162" t="s">
        <v>43</v>
      </c>
      <c r="B987" s="101" t="s">
        <v>304</v>
      </c>
      <c r="C987" s="83" t="s">
        <v>3401</v>
      </c>
      <c r="D987" s="161" t="s">
        <v>3402</v>
      </c>
      <c r="E987" s="161" t="s">
        <v>1384</v>
      </c>
      <c r="F987" s="161" t="s">
        <v>1464</v>
      </c>
      <c r="G987" s="163">
        <v>2189.101</v>
      </c>
      <c r="H987" s="163">
        <f t="shared" si="82"/>
        <v>28.5714000000003</v>
      </c>
      <c r="I987" s="173">
        <v>1663</v>
      </c>
      <c r="J987" s="173">
        <v>31216</v>
      </c>
      <c r="K987" s="176">
        <f t="shared" si="83"/>
        <v>2328455</v>
      </c>
      <c r="L987" s="174"/>
      <c r="M987" s="161" t="s">
        <v>3317</v>
      </c>
      <c r="N987" s="161" t="s">
        <v>1901</v>
      </c>
      <c r="O987" s="161" t="s">
        <v>26</v>
      </c>
      <c r="P987" s="49" t="s">
        <v>26</v>
      </c>
      <c r="Q987" s="166" t="s">
        <v>2440</v>
      </c>
      <c r="R987" s="151"/>
    </row>
    <row r="988" spans="1:18">
      <c r="A988" s="162" t="s">
        <v>43</v>
      </c>
      <c r="B988" s="101" t="s">
        <v>304</v>
      </c>
      <c r="C988" s="83" t="s">
        <v>3403</v>
      </c>
      <c r="D988" s="161" t="s">
        <v>2442</v>
      </c>
      <c r="E988" s="161" t="s">
        <v>1384</v>
      </c>
      <c r="F988" s="161" t="s">
        <v>1464</v>
      </c>
      <c r="G988" s="163">
        <v>2222.101</v>
      </c>
      <c r="H988" s="163">
        <f t="shared" si="82"/>
        <v>33</v>
      </c>
      <c r="I988" s="173">
        <v>1675</v>
      </c>
      <c r="J988" s="173">
        <v>33552</v>
      </c>
      <c r="K988" s="176">
        <f t="shared" si="83"/>
        <v>2362007</v>
      </c>
      <c r="L988" s="174"/>
      <c r="M988" s="161" t="s">
        <v>3317</v>
      </c>
      <c r="N988" s="161" t="s">
        <v>1901</v>
      </c>
      <c r="O988" s="161" t="s">
        <v>26</v>
      </c>
      <c r="P988" s="49" t="s">
        <v>26</v>
      </c>
      <c r="Q988" s="166" t="s">
        <v>2443</v>
      </c>
      <c r="R988" s="151"/>
    </row>
    <row r="989" spans="1:18">
      <c r="A989" s="162" t="s">
        <v>43</v>
      </c>
      <c r="B989" s="101" t="s">
        <v>304</v>
      </c>
      <c r="C989" s="83" t="s">
        <v>3404</v>
      </c>
      <c r="D989" s="161" t="s">
        <v>2445</v>
      </c>
      <c r="E989" s="161" t="s">
        <v>1384</v>
      </c>
      <c r="F989" s="161" t="s">
        <v>1478</v>
      </c>
      <c r="G989" s="163">
        <v>2255.101</v>
      </c>
      <c r="H989" s="163">
        <f t="shared" si="82"/>
        <v>33</v>
      </c>
      <c r="I989" s="176">
        <v>1845</v>
      </c>
      <c r="J989" s="176">
        <v>35357</v>
      </c>
      <c r="K989" s="176">
        <f t="shared" si="83"/>
        <v>2397364</v>
      </c>
      <c r="L989" s="163"/>
      <c r="M989" s="161" t="s">
        <v>3317</v>
      </c>
      <c r="N989" s="161" t="s">
        <v>1901</v>
      </c>
      <c r="O989" s="161" t="s">
        <v>26</v>
      </c>
      <c r="P989" s="49" t="s">
        <v>26</v>
      </c>
      <c r="Q989" s="166" t="s">
        <v>2446</v>
      </c>
      <c r="R989" s="151"/>
    </row>
    <row r="990" ht="30" spans="1:18">
      <c r="A990" s="162" t="s">
        <v>43</v>
      </c>
      <c r="B990" s="101" t="s">
        <v>304</v>
      </c>
      <c r="C990" s="135" t="s">
        <v>462</v>
      </c>
      <c r="D990" s="161" t="s">
        <v>462</v>
      </c>
      <c r="E990" s="161" t="s">
        <v>1384</v>
      </c>
      <c r="F990" s="161" t="s">
        <v>1478</v>
      </c>
      <c r="G990" s="163">
        <v>2285.101</v>
      </c>
      <c r="H990" s="163">
        <f t="shared" si="82"/>
        <v>30</v>
      </c>
      <c r="I990" s="176">
        <v>1838</v>
      </c>
      <c r="J990" s="176">
        <v>32172</v>
      </c>
      <c r="K990" s="176">
        <f t="shared" si="83"/>
        <v>2429536</v>
      </c>
      <c r="L990" s="163" t="s">
        <v>2255</v>
      </c>
      <c r="M990" s="161" t="s">
        <v>1294</v>
      </c>
      <c r="N990" s="161"/>
      <c r="O990" s="161"/>
      <c r="P990" s="49"/>
      <c r="Q990" s="166" t="s">
        <v>1480</v>
      </c>
      <c r="R990" s="151"/>
    </row>
    <row r="991" spans="1:18">
      <c r="A991" s="162" t="s">
        <v>43</v>
      </c>
      <c r="B991" s="101" t="s">
        <v>304</v>
      </c>
      <c r="C991" s="83" t="s">
        <v>3405</v>
      </c>
      <c r="D991" s="161" t="s">
        <v>2448</v>
      </c>
      <c r="E991" s="161" t="s">
        <v>1384</v>
      </c>
      <c r="F991" s="161" t="s">
        <v>1478</v>
      </c>
      <c r="G991" s="163">
        <v>2315.101</v>
      </c>
      <c r="H991" s="163">
        <f t="shared" si="82"/>
        <v>30</v>
      </c>
      <c r="I991" s="173">
        <v>1864</v>
      </c>
      <c r="J991" s="173">
        <v>32065</v>
      </c>
      <c r="K991" s="176">
        <f t="shared" si="83"/>
        <v>2461601</v>
      </c>
      <c r="L991" s="174"/>
      <c r="M991" s="161" t="s">
        <v>3317</v>
      </c>
      <c r="N991" s="161" t="s">
        <v>1901</v>
      </c>
      <c r="O991" s="161" t="s">
        <v>26</v>
      </c>
      <c r="P991" s="49" t="s">
        <v>26</v>
      </c>
      <c r="Q991" s="166" t="s">
        <v>2449</v>
      </c>
      <c r="R991" s="151"/>
    </row>
    <row r="992" spans="1:18">
      <c r="A992" s="162" t="s">
        <v>43</v>
      </c>
      <c r="B992" s="101" t="s">
        <v>304</v>
      </c>
      <c r="C992" s="83" t="s">
        <v>3406</v>
      </c>
      <c r="D992" s="161" t="s">
        <v>1516</v>
      </c>
      <c r="E992" s="161" t="s">
        <v>1384</v>
      </c>
      <c r="F992" s="161" t="s">
        <v>1478</v>
      </c>
      <c r="G992" s="163">
        <v>2347.101</v>
      </c>
      <c r="H992" s="163">
        <f t="shared" si="82"/>
        <v>32</v>
      </c>
      <c r="I992" s="176">
        <v>1687</v>
      </c>
      <c r="J992" s="176">
        <v>34083</v>
      </c>
      <c r="K992" s="176">
        <f t="shared" si="83"/>
        <v>2495684</v>
      </c>
      <c r="L992" s="163"/>
      <c r="M992" s="161" t="s">
        <v>3317</v>
      </c>
      <c r="N992" s="161" t="s">
        <v>1299</v>
      </c>
      <c r="O992" s="161" t="s">
        <v>25</v>
      </c>
      <c r="P992" s="49" t="s">
        <v>25</v>
      </c>
      <c r="Q992" s="166" t="s">
        <v>1486</v>
      </c>
      <c r="R992" s="151"/>
    </row>
    <row r="993" ht="30" spans="1:18">
      <c r="A993" s="162" t="s">
        <v>43</v>
      </c>
      <c r="B993" s="101" t="s">
        <v>304</v>
      </c>
      <c r="C993" s="83" t="s">
        <v>3407</v>
      </c>
      <c r="D993" s="161" t="s">
        <v>2452</v>
      </c>
      <c r="E993" s="161" t="s">
        <v>1491</v>
      </c>
      <c r="F993" s="161" t="s">
        <v>1492</v>
      </c>
      <c r="G993" s="163">
        <v>2365</v>
      </c>
      <c r="H993" s="163">
        <f t="shared" si="82"/>
        <v>17.8989999999999</v>
      </c>
      <c r="I993" s="176">
        <v>1686</v>
      </c>
      <c r="J993" s="176">
        <v>17625</v>
      </c>
      <c r="K993" s="176">
        <f t="shared" si="83"/>
        <v>2513309</v>
      </c>
      <c r="L993" s="174" t="s">
        <v>3408</v>
      </c>
      <c r="M993" s="161" t="s">
        <v>3317</v>
      </c>
      <c r="N993" s="161" t="s">
        <v>2249</v>
      </c>
      <c r="O993" s="161" t="s">
        <v>25</v>
      </c>
      <c r="P993" s="49" t="s">
        <v>25</v>
      </c>
      <c r="Q993" s="166" t="s">
        <v>2454</v>
      </c>
      <c r="R993" s="151"/>
    </row>
    <row r="994" spans="1:18">
      <c r="A994" s="162" t="s">
        <v>43</v>
      </c>
      <c r="B994" s="101" t="s">
        <v>304</v>
      </c>
      <c r="C994" s="83" t="s">
        <v>3409</v>
      </c>
      <c r="D994" s="161" t="s">
        <v>2456</v>
      </c>
      <c r="E994" s="161" t="s">
        <v>1491</v>
      </c>
      <c r="F994" s="161" t="s">
        <v>1492</v>
      </c>
      <c r="G994" s="163">
        <v>2392.4114</v>
      </c>
      <c r="H994" s="163">
        <f t="shared" si="82"/>
        <v>27.4114</v>
      </c>
      <c r="I994" s="173">
        <v>1699</v>
      </c>
      <c r="J994" s="173">
        <v>30260</v>
      </c>
      <c r="K994" s="176">
        <f t="shared" si="83"/>
        <v>2543569</v>
      </c>
      <c r="L994" s="174"/>
      <c r="M994" s="161" t="s">
        <v>3317</v>
      </c>
      <c r="N994" s="161" t="s">
        <v>1901</v>
      </c>
      <c r="O994" s="161" t="s">
        <v>25</v>
      </c>
      <c r="P994" s="49" t="s">
        <v>25</v>
      </c>
      <c r="Q994" s="166" t="s">
        <v>2457</v>
      </c>
      <c r="R994" s="151"/>
    </row>
    <row r="995" spans="1:18">
      <c r="A995" s="162" t="s">
        <v>43</v>
      </c>
      <c r="B995" s="101" t="s">
        <v>304</v>
      </c>
      <c r="C995" s="83" t="s">
        <v>3410</v>
      </c>
      <c r="D995" s="161" t="s">
        <v>1526</v>
      </c>
      <c r="E995" s="161" t="s">
        <v>1491</v>
      </c>
      <c r="F995" s="161" t="s">
        <v>1492</v>
      </c>
      <c r="G995" s="163">
        <v>2419.2179</v>
      </c>
      <c r="H995" s="163">
        <f t="shared" si="82"/>
        <v>26.8065000000001</v>
      </c>
      <c r="I995" s="173">
        <v>1318</v>
      </c>
      <c r="J995" s="173">
        <v>27287</v>
      </c>
      <c r="K995" s="176">
        <f t="shared" si="83"/>
        <v>2570856</v>
      </c>
      <c r="L995" s="174"/>
      <c r="M995" s="161" t="s">
        <v>3317</v>
      </c>
      <c r="N995" s="161" t="s">
        <v>1299</v>
      </c>
      <c r="O995" s="161" t="s">
        <v>25</v>
      </c>
      <c r="P995" s="49" t="s">
        <v>25</v>
      </c>
      <c r="Q995" s="166" t="s">
        <v>1498</v>
      </c>
      <c r="R995" s="151"/>
    </row>
    <row r="996" spans="1:18">
      <c r="A996" s="162" t="s">
        <v>43</v>
      </c>
      <c r="B996" s="101" t="s">
        <v>304</v>
      </c>
      <c r="C996" s="83" t="s">
        <v>3411</v>
      </c>
      <c r="D996" s="161" t="s">
        <v>1528</v>
      </c>
      <c r="E996" s="161" t="s">
        <v>1491</v>
      </c>
      <c r="F996" s="161" t="s">
        <v>114</v>
      </c>
      <c r="G996" s="163">
        <v>2426.3293</v>
      </c>
      <c r="H996" s="163">
        <f t="shared" si="82"/>
        <v>7.11139999999978</v>
      </c>
      <c r="I996" s="176">
        <v>1271</v>
      </c>
      <c r="J996" s="176">
        <v>10936</v>
      </c>
      <c r="K996" s="176">
        <f t="shared" si="83"/>
        <v>2581792</v>
      </c>
      <c r="L996" s="163"/>
      <c r="M996" s="161" t="s">
        <v>3317</v>
      </c>
      <c r="N996" s="161" t="s">
        <v>1299</v>
      </c>
      <c r="O996" s="161" t="s">
        <v>25</v>
      </c>
      <c r="P996" s="49" t="s">
        <v>25</v>
      </c>
      <c r="Q996" s="166" t="s">
        <v>2460</v>
      </c>
      <c r="R996" s="151"/>
    </row>
    <row r="997" ht="60" spans="1:18">
      <c r="A997" s="162" t="s">
        <v>43</v>
      </c>
      <c r="B997" s="101" t="s">
        <v>304</v>
      </c>
      <c r="C997" s="135" t="s">
        <v>114</v>
      </c>
      <c r="D997" s="161" t="s">
        <v>1504</v>
      </c>
      <c r="E997" s="161" t="s">
        <v>1491</v>
      </c>
      <c r="F997" s="161" t="s">
        <v>114</v>
      </c>
      <c r="G997" s="163">
        <v>2434.0003</v>
      </c>
      <c r="H997" s="163">
        <f t="shared" si="82"/>
        <v>7.67100000000028</v>
      </c>
      <c r="I997" s="176">
        <v>1256</v>
      </c>
      <c r="J997" s="176">
        <v>8813</v>
      </c>
      <c r="K997" s="176">
        <f t="shared" si="83"/>
        <v>2590605</v>
      </c>
      <c r="L997" s="163" t="s">
        <v>1505</v>
      </c>
      <c r="M997" s="161" t="s">
        <v>3317</v>
      </c>
      <c r="N997" s="161" t="s">
        <v>1295</v>
      </c>
      <c r="O997" s="161"/>
      <c r="P997" s="49"/>
      <c r="Q997" s="166" t="s">
        <v>1503</v>
      </c>
      <c r="R997" s="151"/>
    </row>
    <row r="998" ht="60" spans="1:18">
      <c r="A998" s="162" t="s">
        <v>43</v>
      </c>
      <c r="B998" s="101" t="s">
        <v>306</v>
      </c>
      <c r="C998" s="86" t="s">
        <v>3412</v>
      </c>
      <c r="D998" s="162" t="s">
        <v>3412</v>
      </c>
      <c r="E998" s="161" t="s">
        <v>1491</v>
      </c>
      <c r="F998" s="161" t="s">
        <v>114</v>
      </c>
      <c r="G998" s="163">
        <f t="shared" ref="G998:G1005" si="84">G997+H998</f>
        <v>2439.4003</v>
      </c>
      <c r="H998" s="163">
        <v>5.4</v>
      </c>
      <c r="I998" s="163">
        <v>1345.6</v>
      </c>
      <c r="J998" s="176">
        <v>5847</v>
      </c>
      <c r="K998" s="176">
        <f t="shared" si="83"/>
        <v>2596452</v>
      </c>
      <c r="L998" s="163" t="s">
        <v>3413</v>
      </c>
      <c r="M998" s="161" t="s">
        <v>3317</v>
      </c>
      <c r="N998" s="161"/>
      <c r="O998" s="161" t="s">
        <v>15</v>
      </c>
      <c r="P998" s="49" t="s">
        <v>15</v>
      </c>
      <c r="Q998" s="166"/>
      <c r="R998" s="151"/>
    </row>
    <row r="999" spans="1:18">
      <c r="A999" s="162" t="s">
        <v>43</v>
      </c>
      <c r="B999" s="101" t="s">
        <v>306</v>
      </c>
      <c r="C999" s="85" t="s">
        <v>3414</v>
      </c>
      <c r="D999" s="162" t="s">
        <v>1531</v>
      </c>
      <c r="E999" s="161"/>
      <c r="F999" s="161"/>
      <c r="G999" s="163">
        <f t="shared" si="84"/>
        <v>2462.8003</v>
      </c>
      <c r="H999" s="163">
        <v>23.4</v>
      </c>
      <c r="I999" s="163">
        <v>1463.5</v>
      </c>
      <c r="J999" s="176">
        <v>25338.3552960801</v>
      </c>
      <c r="K999" s="176">
        <f t="shared" si="83"/>
        <v>2621790.35529608</v>
      </c>
      <c r="L999" s="163"/>
      <c r="M999" s="161" t="s">
        <v>3317</v>
      </c>
      <c r="N999" s="161" t="s">
        <v>1299</v>
      </c>
      <c r="O999" s="161"/>
      <c r="P999" s="49" t="s">
        <v>25</v>
      </c>
      <c r="Q999" s="166" t="s">
        <v>3415</v>
      </c>
      <c r="R999" s="151"/>
    </row>
    <row r="1000" ht="45" spans="1:18">
      <c r="A1000" s="162" t="s">
        <v>43</v>
      </c>
      <c r="B1000" s="101" t="s">
        <v>306</v>
      </c>
      <c r="C1000" s="85" t="s">
        <v>3416</v>
      </c>
      <c r="D1000" s="162" t="s">
        <v>1537</v>
      </c>
      <c r="E1000" s="161"/>
      <c r="F1000" s="161"/>
      <c r="G1000" s="163">
        <f t="shared" si="84"/>
        <v>2492.1003</v>
      </c>
      <c r="H1000" s="163">
        <v>29.3</v>
      </c>
      <c r="I1000" s="163">
        <v>1310.8</v>
      </c>
      <c r="J1000" s="176">
        <v>31727.0859049208</v>
      </c>
      <c r="K1000" s="176">
        <f t="shared" si="83"/>
        <v>2653517.441201</v>
      </c>
      <c r="L1000" s="163" t="s">
        <v>3417</v>
      </c>
      <c r="M1000" s="161" t="s">
        <v>3317</v>
      </c>
      <c r="N1000" s="161" t="s">
        <v>1299</v>
      </c>
      <c r="O1000" s="161"/>
      <c r="P1000" s="49" t="s">
        <v>25</v>
      </c>
      <c r="Q1000" s="166" t="s">
        <v>3418</v>
      </c>
      <c r="R1000" s="151"/>
    </row>
    <row r="1001" spans="1:18">
      <c r="A1001" s="162" t="s">
        <v>43</v>
      </c>
      <c r="B1001" s="101" t="s">
        <v>306</v>
      </c>
      <c r="C1001" s="85" t="s">
        <v>3419</v>
      </c>
      <c r="D1001" s="184" t="s">
        <v>1541</v>
      </c>
      <c r="E1001" s="161"/>
      <c r="F1001" s="161"/>
      <c r="G1001" s="163">
        <f t="shared" si="84"/>
        <v>2512.7003</v>
      </c>
      <c r="H1001" s="163">
        <v>20.6</v>
      </c>
      <c r="I1001" s="163">
        <v>1332.1</v>
      </c>
      <c r="J1001" s="176">
        <v>22306.4153461218</v>
      </c>
      <c r="K1001" s="176">
        <f t="shared" si="83"/>
        <v>2675823.85654712</v>
      </c>
      <c r="L1001" s="163"/>
      <c r="M1001" s="161" t="s">
        <v>3317</v>
      </c>
      <c r="N1001" s="161" t="s">
        <v>1299</v>
      </c>
      <c r="O1001" s="161"/>
      <c r="P1001" s="49" t="s">
        <v>25</v>
      </c>
      <c r="Q1001" s="166" t="s">
        <v>3420</v>
      </c>
      <c r="R1001" s="151"/>
    </row>
    <row r="1002" spans="1:18">
      <c r="A1002" s="162" t="s">
        <v>43</v>
      </c>
      <c r="B1002" s="101" t="s">
        <v>306</v>
      </c>
      <c r="C1002" s="85" t="s">
        <v>3421</v>
      </c>
      <c r="D1002" s="162" t="s">
        <v>1544</v>
      </c>
      <c r="E1002" s="161"/>
      <c r="F1002" s="161"/>
      <c r="G1002" s="163">
        <f t="shared" si="84"/>
        <v>2536.0003</v>
      </c>
      <c r="H1002" s="163">
        <v>23.3</v>
      </c>
      <c r="I1002" s="163">
        <v>1397.5</v>
      </c>
      <c r="J1002" s="176">
        <v>25230.0717264387</v>
      </c>
      <c r="K1002" s="176">
        <f t="shared" si="83"/>
        <v>2701053.92827356</v>
      </c>
      <c r="L1002" s="163"/>
      <c r="M1002" s="161" t="s">
        <v>3317</v>
      </c>
      <c r="N1002" s="161" t="s">
        <v>1299</v>
      </c>
      <c r="O1002" s="161"/>
      <c r="P1002" s="49" t="s">
        <v>25</v>
      </c>
      <c r="Q1002" s="166" t="s">
        <v>3422</v>
      </c>
      <c r="R1002" s="151"/>
    </row>
    <row r="1003" ht="30" spans="1:18">
      <c r="A1003" s="162" t="s">
        <v>43</v>
      </c>
      <c r="B1003" s="101" t="s">
        <v>306</v>
      </c>
      <c r="C1003" s="135" t="s">
        <v>2466</v>
      </c>
      <c r="D1003" s="162" t="s">
        <v>2466</v>
      </c>
      <c r="E1003" s="161"/>
      <c r="F1003" s="161"/>
      <c r="G1003" s="163">
        <f t="shared" si="84"/>
        <v>2559.3003</v>
      </c>
      <c r="H1003" s="163">
        <v>23.3</v>
      </c>
      <c r="I1003" s="163">
        <v>1455.9</v>
      </c>
      <c r="J1003" s="176">
        <v>25230.0717264387</v>
      </c>
      <c r="K1003" s="176">
        <f t="shared" si="83"/>
        <v>2726284</v>
      </c>
      <c r="L1003" s="163" t="s">
        <v>3423</v>
      </c>
      <c r="M1003" s="161" t="s">
        <v>3317</v>
      </c>
      <c r="N1003" s="161"/>
      <c r="O1003" s="161"/>
      <c r="P1003" s="49"/>
      <c r="Q1003" s="166" t="s">
        <v>3424</v>
      </c>
      <c r="R1003" s="151"/>
    </row>
    <row r="1004" ht="30" spans="1:18">
      <c r="A1004" s="162" t="s">
        <v>43</v>
      </c>
      <c r="B1004" s="101" t="s">
        <v>306</v>
      </c>
      <c r="C1004" s="85" t="s">
        <v>3425</v>
      </c>
      <c r="D1004" s="162" t="s">
        <v>1547</v>
      </c>
      <c r="E1004" s="161"/>
      <c r="F1004" s="161"/>
      <c r="G1004" s="163">
        <f t="shared" si="84"/>
        <v>2583.5003</v>
      </c>
      <c r="H1004" s="163">
        <v>24.2</v>
      </c>
      <c r="I1004" s="163">
        <v>1473.6</v>
      </c>
      <c r="J1004" s="176">
        <v>26204.4905660377</v>
      </c>
      <c r="K1004" s="176">
        <f t="shared" si="83"/>
        <v>2752488.49056604</v>
      </c>
      <c r="L1004" s="163" t="s">
        <v>3426</v>
      </c>
      <c r="M1004" s="161" t="s">
        <v>3317</v>
      </c>
      <c r="N1004" s="161" t="s">
        <v>1299</v>
      </c>
      <c r="O1004" s="161"/>
      <c r="P1004" s="49" t="s">
        <v>25</v>
      </c>
      <c r="Q1004" s="166" t="s">
        <v>3427</v>
      </c>
      <c r="R1004" s="151"/>
    </row>
    <row r="1005" ht="30" spans="1:18">
      <c r="A1005" s="162" t="s">
        <v>43</v>
      </c>
      <c r="B1005" s="101" t="s">
        <v>306</v>
      </c>
      <c r="C1005" s="85" t="s">
        <v>3428</v>
      </c>
      <c r="D1005" s="162" t="s">
        <v>1550</v>
      </c>
      <c r="E1005" s="161"/>
      <c r="F1005" s="161"/>
      <c r="G1005" s="163">
        <f t="shared" si="84"/>
        <v>2607.0003</v>
      </c>
      <c r="H1005" s="163">
        <v>23.5</v>
      </c>
      <c r="I1005" s="163">
        <v>1512.3</v>
      </c>
      <c r="J1005" s="176">
        <v>25446.5094339623</v>
      </c>
      <c r="K1005" s="176">
        <f t="shared" si="83"/>
        <v>2777935</v>
      </c>
      <c r="L1005" s="163" t="s">
        <v>3429</v>
      </c>
      <c r="M1005" s="161" t="s">
        <v>3317</v>
      </c>
      <c r="N1005" s="161" t="s">
        <v>1299</v>
      </c>
      <c r="O1005" s="161"/>
      <c r="P1005" s="49" t="s">
        <v>25</v>
      </c>
      <c r="Q1005" s="166" t="s">
        <v>3430</v>
      </c>
      <c r="R1005" s="151"/>
    </row>
    <row r="1006" spans="1:18">
      <c r="A1006" s="162" t="s">
        <v>43</v>
      </c>
      <c r="B1006" s="101" t="s">
        <v>306</v>
      </c>
      <c r="C1006" s="85" t="s">
        <v>3431</v>
      </c>
      <c r="D1006" s="162" t="s">
        <v>3431</v>
      </c>
      <c r="E1006" s="161"/>
      <c r="F1006" s="161"/>
      <c r="G1006" s="163"/>
      <c r="H1006" s="163"/>
      <c r="I1006" s="163"/>
      <c r="J1006" s="176"/>
      <c r="K1006" s="176"/>
      <c r="L1006" s="163"/>
      <c r="M1006" s="161"/>
      <c r="N1006" s="161"/>
      <c r="O1006" s="161"/>
      <c r="P1006" s="49" t="s">
        <v>14</v>
      </c>
      <c r="Q1006" s="166"/>
      <c r="R1006" s="151"/>
    </row>
    <row r="1007" spans="1:18">
      <c r="A1007" s="162" t="s">
        <v>43</v>
      </c>
      <c r="B1007" s="101" t="s">
        <v>306</v>
      </c>
      <c r="C1007" s="85" t="s">
        <v>3432</v>
      </c>
      <c r="D1007" s="162" t="s">
        <v>1556</v>
      </c>
      <c r="E1007" s="161"/>
      <c r="F1007" s="161"/>
      <c r="G1007" s="163">
        <f>G1005+H1007</f>
        <v>2619.6003</v>
      </c>
      <c r="H1007" s="163">
        <v>12.6</v>
      </c>
      <c r="I1007" s="163">
        <v>1620.1</v>
      </c>
      <c r="J1007" s="176">
        <v>13643.7049180328</v>
      </c>
      <c r="K1007" s="176">
        <f>K1005+J1007</f>
        <v>2791578.70491803</v>
      </c>
      <c r="L1007" s="163"/>
      <c r="M1007" s="161" t="s">
        <v>3317</v>
      </c>
      <c r="N1007" s="161" t="s">
        <v>1299</v>
      </c>
      <c r="O1007" s="161"/>
      <c r="P1007" s="49" t="s">
        <v>25</v>
      </c>
      <c r="Q1007" s="166" t="s">
        <v>3433</v>
      </c>
      <c r="R1007" s="151"/>
    </row>
    <row r="1008" ht="45" spans="1:18">
      <c r="A1008" s="162" t="s">
        <v>43</v>
      </c>
      <c r="B1008" s="101" t="s">
        <v>306</v>
      </c>
      <c r="C1008" s="85" t="s">
        <v>3434</v>
      </c>
      <c r="D1008" s="162" t="s">
        <v>1559</v>
      </c>
      <c r="E1008" s="161"/>
      <c r="F1008" s="161"/>
      <c r="G1008" s="163">
        <f t="shared" ref="G1007:G1031" si="85">G1007+H1008</f>
        <v>2630.8003</v>
      </c>
      <c r="H1008" s="163">
        <v>11.2</v>
      </c>
      <c r="I1008" s="163">
        <v>1716.2</v>
      </c>
      <c r="J1008" s="176">
        <v>12127.737704918</v>
      </c>
      <c r="K1008" s="176">
        <f t="shared" ref="K1007:K1031" si="86">K1007+J1008</f>
        <v>2803706.44262295</v>
      </c>
      <c r="L1008" s="163" t="s">
        <v>3435</v>
      </c>
      <c r="M1008" s="161" t="s">
        <v>3317</v>
      </c>
      <c r="N1008" s="161" t="s">
        <v>1299</v>
      </c>
      <c r="O1008" s="161"/>
      <c r="P1008" s="49" t="s">
        <v>25</v>
      </c>
      <c r="Q1008" s="166" t="s">
        <v>3436</v>
      </c>
      <c r="R1008" s="151"/>
    </row>
    <row r="1009" ht="30" spans="1:18">
      <c r="A1009" s="162" t="s">
        <v>43</v>
      </c>
      <c r="B1009" s="101" t="s">
        <v>306</v>
      </c>
      <c r="C1009" s="85" t="s">
        <v>3437</v>
      </c>
      <c r="D1009" s="162" t="s">
        <v>1562</v>
      </c>
      <c r="E1009" s="161"/>
      <c r="F1009" s="161"/>
      <c r="G1009" s="163">
        <f t="shared" si="85"/>
        <v>2648.7003</v>
      </c>
      <c r="H1009" s="163">
        <v>17.9</v>
      </c>
      <c r="I1009" s="163">
        <v>1833.2</v>
      </c>
      <c r="J1009" s="176">
        <v>19382.7236533958</v>
      </c>
      <c r="K1009" s="176">
        <f t="shared" si="86"/>
        <v>2823089.16627635</v>
      </c>
      <c r="L1009" s="163" t="s">
        <v>3438</v>
      </c>
      <c r="M1009" s="161" t="s">
        <v>3317</v>
      </c>
      <c r="N1009" s="161" t="s">
        <v>1299</v>
      </c>
      <c r="O1009" s="161"/>
      <c r="P1009" s="49" t="s">
        <v>25</v>
      </c>
      <c r="Q1009" s="166" t="s">
        <v>3439</v>
      </c>
      <c r="R1009" s="151"/>
    </row>
    <row r="1010" spans="1:18">
      <c r="A1010" s="162" t="s">
        <v>43</v>
      </c>
      <c r="B1010" s="101" t="s">
        <v>306</v>
      </c>
      <c r="C1010" s="85" t="s">
        <v>3440</v>
      </c>
      <c r="D1010" s="162" t="s">
        <v>1565</v>
      </c>
      <c r="E1010" s="161"/>
      <c r="F1010" s="161"/>
      <c r="G1010" s="163">
        <f t="shared" si="85"/>
        <v>2670.5003</v>
      </c>
      <c r="H1010" s="163">
        <v>21.8</v>
      </c>
      <c r="I1010" s="163">
        <v>1884.9</v>
      </c>
      <c r="J1010" s="176">
        <v>23605.775175644</v>
      </c>
      <c r="K1010" s="176">
        <f t="shared" si="86"/>
        <v>2846694.94145199</v>
      </c>
      <c r="L1010" s="163"/>
      <c r="M1010" s="161" t="s">
        <v>3317</v>
      </c>
      <c r="N1010" s="161" t="s">
        <v>1299</v>
      </c>
      <c r="O1010" s="161"/>
      <c r="P1010" s="49" t="s">
        <v>25</v>
      </c>
      <c r="Q1010" s="166" t="s">
        <v>3441</v>
      </c>
      <c r="R1010" s="151"/>
    </row>
    <row r="1011" ht="30" spans="1:18">
      <c r="A1011" s="162" t="s">
        <v>43</v>
      </c>
      <c r="B1011" s="101" t="s">
        <v>306</v>
      </c>
      <c r="C1011" s="135" t="s">
        <v>3442</v>
      </c>
      <c r="D1011" s="162" t="s">
        <v>3442</v>
      </c>
      <c r="E1011" s="161"/>
      <c r="F1011" s="161"/>
      <c r="G1011" s="163">
        <f t="shared" si="85"/>
        <v>2692.4003</v>
      </c>
      <c r="H1011" s="163">
        <v>21.9</v>
      </c>
      <c r="I1011" s="163">
        <v>1641</v>
      </c>
      <c r="J1011" s="176">
        <v>23714.0585480094</v>
      </c>
      <c r="K1011" s="176">
        <f t="shared" si="86"/>
        <v>2870409</v>
      </c>
      <c r="L1011" s="163" t="s">
        <v>3423</v>
      </c>
      <c r="M1011" s="161" t="s">
        <v>3317</v>
      </c>
      <c r="N1011" s="161"/>
      <c r="O1011" s="161"/>
      <c r="P1011" s="49"/>
      <c r="Q1011" s="166" t="s">
        <v>3443</v>
      </c>
      <c r="R1011" s="151"/>
    </row>
    <row r="1012" ht="30" spans="1:18">
      <c r="A1012" s="162" t="s">
        <v>43</v>
      </c>
      <c r="B1012" s="101" t="s">
        <v>306</v>
      </c>
      <c r="C1012" s="85" t="s">
        <v>3444</v>
      </c>
      <c r="D1012" s="162" t="s">
        <v>1569</v>
      </c>
      <c r="E1012" s="161"/>
      <c r="F1012" s="161"/>
      <c r="G1012" s="163">
        <f t="shared" si="85"/>
        <v>2712.4003</v>
      </c>
      <c r="H1012" s="163">
        <v>20</v>
      </c>
      <c r="I1012" s="163">
        <v>1510.2</v>
      </c>
      <c r="J1012" s="176">
        <v>21706.7290813341</v>
      </c>
      <c r="K1012" s="176">
        <f t="shared" si="86"/>
        <v>2892115.72908133</v>
      </c>
      <c r="L1012" s="163" t="s">
        <v>3445</v>
      </c>
      <c r="M1012" s="161" t="s">
        <v>3317</v>
      </c>
      <c r="N1012" s="161" t="s">
        <v>1299</v>
      </c>
      <c r="O1012" s="161"/>
      <c r="P1012" s="49" t="s">
        <v>25</v>
      </c>
      <c r="Q1012" s="166" t="s">
        <v>3446</v>
      </c>
      <c r="R1012" s="151"/>
    </row>
    <row r="1013" spans="1:18">
      <c r="A1013" s="162" t="s">
        <v>43</v>
      </c>
      <c r="B1013" s="101" t="s">
        <v>306</v>
      </c>
      <c r="C1013" s="85" t="s">
        <v>3447</v>
      </c>
      <c r="D1013" s="162" t="s">
        <v>1574</v>
      </c>
      <c r="E1013" s="161"/>
      <c r="F1013" s="161"/>
      <c r="G1013" s="163">
        <f t="shared" si="85"/>
        <v>2730.3003</v>
      </c>
      <c r="H1013" s="163">
        <v>17.9</v>
      </c>
      <c r="I1013" s="163">
        <v>1638.2</v>
      </c>
      <c r="J1013" s="176">
        <v>19427.522527794</v>
      </c>
      <c r="K1013" s="176">
        <f t="shared" si="86"/>
        <v>2911543.25160913</v>
      </c>
      <c r="L1013" s="163"/>
      <c r="M1013" s="161" t="s">
        <v>3317</v>
      </c>
      <c r="N1013" s="161" t="s">
        <v>1299</v>
      </c>
      <c r="O1013" s="161"/>
      <c r="P1013" s="49" t="s">
        <v>25</v>
      </c>
      <c r="Q1013" s="166" t="s">
        <v>3448</v>
      </c>
      <c r="R1013" s="151"/>
    </row>
    <row r="1014" spans="1:18">
      <c r="A1014" s="162" t="s">
        <v>43</v>
      </c>
      <c r="B1014" s="101" t="s">
        <v>306</v>
      </c>
      <c r="C1014" s="85" t="s">
        <v>3449</v>
      </c>
      <c r="D1014" s="162" t="s">
        <v>1579</v>
      </c>
      <c r="E1014" s="161"/>
      <c r="F1014" s="161"/>
      <c r="G1014" s="163">
        <f t="shared" si="85"/>
        <v>2751.5003</v>
      </c>
      <c r="H1014" s="163">
        <v>21.2</v>
      </c>
      <c r="I1014" s="163">
        <v>1531.9</v>
      </c>
      <c r="J1014" s="176">
        <v>23009.1328262142</v>
      </c>
      <c r="K1014" s="176">
        <f t="shared" si="86"/>
        <v>2934552.38443534</v>
      </c>
      <c r="L1014" s="163"/>
      <c r="M1014" s="161" t="s">
        <v>3317</v>
      </c>
      <c r="N1014" s="161" t="s">
        <v>1299</v>
      </c>
      <c r="O1014" s="161"/>
      <c r="P1014" s="49" t="s">
        <v>25</v>
      </c>
      <c r="Q1014" s="166" t="s">
        <v>3450</v>
      </c>
      <c r="R1014" s="151"/>
    </row>
    <row r="1015" ht="75" spans="1:18">
      <c r="A1015" s="162" t="s">
        <v>43</v>
      </c>
      <c r="B1015" s="101" t="s">
        <v>306</v>
      </c>
      <c r="C1015" s="85" t="s">
        <v>3451</v>
      </c>
      <c r="D1015" s="162" t="s">
        <v>1584</v>
      </c>
      <c r="E1015" s="161"/>
      <c r="F1015" s="161"/>
      <c r="G1015" s="163">
        <f t="shared" si="85"/>
        <v>2774.9003</v>
      </c>
      <c r="H1015" s="163">
        <v>23.4</v>
      </c>
      <c r="I1015" s="163">
        <v>1438.3</v>
      </c>
      <c r="J1015" s="176">
        <v>25396.8730251609</v>
      </c>
      <c r="K1015" s="176">
        <f t="shared" si="86"/>
        <v>2959949.2574605</v>
      </c>
      <c r="L1015" s="163" t="s">
        <v>3452</v>
      </c>
      <c r="M1015" s="161" t="s">
        <v>3317</v>
      </c>
      <c r="N1015" s="161" t="s">
        <v>1299</v>
      </c>
      <c r="O1015" s="161"/>
      <c r="P1015" s="49" t="s">
        <v>25</v>
      </c>
      <c r="Q1015" s="166" t="s">
        <v>3453</v>
      </c>
      <c r="R1015" s="151"/>
    </row>
    <row r="1016" ht="30" spans="1:18">
      <c r="A1016" s="162" t="s">
        <v>43</v>
      </c>
      <c r="B1016" s="101" t="s">
        <v>306</v>
      </c>
      <c r="C1016" s="85" t="s">
        <v>3454</v>
      </c>
      <c r="D1016" s="162" t="s">
        <v>1587</v>
      </c>
      <c r="E1016" s="161"/>
      <c r="F1016" s="161"/>
      <c r="G1016" s="163">
        <f t="shared" si="85"/>
        <v>2791.2003</v>
      </c>
      <c r="H1016" s="163">
        <v>16.3</v>
      </c>
      <c r="I1016" s="163">
        <v>1386</v>
      </c>
      <c r="J1016" s="176">
        <v>17690.9842012873</v>
      </c>
      <c r="K1016" s="176">
        <f t="shared" si="86"/>
        <v>2977640.24166179</v>
      </c>
      <c r="L1016" s="163" t="s">
        <v>3455</v>
      </c>
      <c r="M1016" s="161" t="s">
        <v>3317</v>
      </c>
      <c r="N1016" s="161" t="s">
        <v>1299</v>
      </c>
      <c r="O1016" s="161"/>
      <c r="P1016" s="49" t="s">
        <v>25</v>
      </c>
      <c r="Q1016" s="166" t="s">
        <v>3456</v>
      </c>
      <c r="R1016" s="151"/>
    </row>
    <row r="1017" spans="1:18">
      <c r="A1017" s="162" t="s">
        <v>43</v>
      </c>
      <c r="B1017" s="101" t="s">
        <v>306</v>
      </c>
      <c r="C1017" s="85" t="s">
        <v>3457</v>
      </c>
      <c r="D1017" s="162" t="s">
        <v>1591</v>
      </c>
      <c r="E1017" s="161"/>
      <c r="F1017" s="161"/>
      <c r="G1017" s="163">
        <f t="shared" si="85"/>
        <v>2803.9003</v>
      </c>
      <c r="H1017" s="163">
        <v>12.7</v>
      </c>
      <c r="I1017" s="163">
        <v>1360.7</v>
      </c>
      <c r="J1017" s="176">
        <v>13783.7729666472</v>
      </c>
      <c r="K1017" s="176">
        <f t="shared" si="86"/>
        <v>2991424.01462844</v>
      </c>
      <c r="L1017" s="163"/>
      <c r="M1017" s="161" t="s">
        <v>3317</v>
      </c>
      <c r="N1017" s="161" t="s">
        <v>1299</v>
      </c>
      <c r="O1017" s="161"/>
      <c r="P1017" s="49" t="s">
        <v>25</v>
      </c>
      <c r="Q1017" s="166" t="s">
        <v>3458</v>
      </c>
      <c r="R1017" s="151"/>
    </row>
    <row r="1018" spans="1:18">
      <c r="A1018" s="162" t="s">
        <v>43</v>
      </c>
      <c r="B1018" s="101" t="s">
        <v>306</v>
      </c>
      <c r="C1018" s="85" t="s">
        <v>3459</v>
      </c>
      <c r="D1018" s="162" t="s">
        <v>1594</v>
      </c>
      <c r="E1018" s="161"/>
      <c r="F1018" s="161"/>
      <c r="G1018" s="163">
        <f t="shared" si="85"/>
        <v>2819.0003</v>
      </c>
      <c r="H1018" s="163">
        <v>15.1</v>
      </c>
      <c r="I1018" s="163">
        <v>1286</v>
      </c>
      <c r="J1018" s="176">
        <v>16388.5804564073</v>
      </c>
      <c r="K1018" s="176">
        <f t="shared" si="86"/>
        <v>3007812.59508484</v>
      </c>
      <c r="L1018" s="163"/>
      <c r="M1018" s="161" t="s">
        <v>3317</v>
      </c>
      <c r="N1018" s="161" t="s">
        <v>1299</v>
      </c>
      <c r="O1018" s="161"/>
      <c r="P1018" s="49" t="s">
        <v>25</v>
      </c>
      <c r="Q1018" s="166" t="s">
        <v>3460</v>
      </c>
      <c r="R1018" s="151"/>
    </row>
    <row r="1019" ht="30" spans="1:18">
      <c r="A1019" s="162" t="s">
        <v>43</v>
      </c>
      <c r="B1019" s="101" t="s">
        <v>306</v>
      </c>
      <c r="C1019" s="85" t="s">
        <v>3461</v>
      </c>
      <c r="D1019" s="162" t="s">
        <v>1597</v>
      </c>
      <c r="E1019" s="161"/>
      <c r="F1019" s="161"/>
      <c r="G1019" s="163">
        <f t="shared" si="85"/>
        <v>2839.7003</v>
      </c>
      <c r="H1019" s="163">
        <v>20.7</v>
      </c>
      <c r="I1019" s="163">
        <v>1298.1</v>
      </c>
      <c r="J1019" s="176">
        <v>22466.4645991808</v>
      </c>
      <c r="K1019" s="176">
        <f t="shared" si="86"/>
        <v>3030279.05968403</v>
      </c>
      <c r="L1019" s="163" t="s">
        <v>3462</v>
      </c>
      <c r="M1019" s="161" t="s">
        <v>3317</v>
      </c>
      <c r="N1019" s="161" t="s">
        <v>1299</v>
      </c>
      <c r="O1019" s="161"/>
      <c r="P1019" s="49" t="s">
        <v>25</v>
      </c>
      <c r="Q1019" s="166" t="s">
        <v>3463</v>
      </c>
      <c r="R1019" s="151"/>
    </row>
    <row r="1020" ht="30" spans="1:18">
      <c r="A1020" s="162" t="s">
        <v>43</v>
      </c>
      <c r="B1020" s="101" t="s">
        <v>306</v>
      </c>
      <c r="C1020" s="135" t="s">
        <v>2508</v>
      </c>
      <c r="D1020" s="162" t="s">
        <v>2508</v>
      </c>
      <c r="E1020" s="161"/>
      <c r="F1020" s="161"/>
      <c r="G1020" s="163">
        <f t="shared" si="85"/>
        <v>2863.3003</v>
      </c>
      <c r="H1020" s="163">
        <v>23.6</v>
      </c>
      <c r="I1020" s="163" t="s">
        <v>3464</v>
      </c>
      <c r="J1020" s="176">
        <v>25613.9403159743</v>
      </c>
      <c r="K1020" s="176">
        <f t="shared" si="86"/>
        <v>3055893</v>
      </c>
      <c r="L1020" s="163" t="s">
        <v>3423</v>
      </c>
      <c r="M1020" s="161" t="s">
        <v>3317</v>
      </c>
      <c r="N1020" s="161"/>
      <c r="O1020" s="161"/>
      <c r="P1020" s="49"/>
      <c r="Q1020" s="166" t="s">
        <v>3465</v>
      </c>
      <c r="R1020" s="151"/>
    </row>
    <row r="1021" spans="1:18">
      <c r="A1021" s="162" t="s">
        <v>43</v>
      </c>
      <c r="B1021" s="101" t="s">
        <v>306</v>
      </c>
      <c r="C1021" s="85" t="s">
        <v>3466</v>
      </c>
      <c r="D1021" s="162" t="s">
        <v>1602</v>
      </c>
      <c r="E1021" s="161"/>
      <c r="F1021" s="161"/>
      <c r="G1021" s="163">
        <f t="shared" si="85"/>
        <v>2883.1003</v>
      </c>
      <c r="H1021" s="163">
        <v>19.8</v>
      </c>
      <c r="I1021" s="163">
        <v>1004</v>
      </c>
      <c r="J1021" s="176">
        <v>22279.3210475267</v>
      </c>
      <c r="K1021" s="176">
        <f t="shared" si="86"/>
        <v>3078172.32104753</v>
      </c>
      <c r="L1021" s="163"/>
      <c r="M1021" s="161" t="s">
        <v>3317</v>
      </c>
      <c r="N1021" s="161" t="s">
        <v>1299</v>
      </c>
      <c r="O1021" s="161"/>
      <c r="P1021" s="49" t="s">
        <v>25</v>
      </c>
      <c r="Q1021" s="166" t="s">
        <v>3467</v>
      </c>
      <c r="R1021" s="151"/>
    </row>
    <row r="1022" ht="30" spans="1:18">
      <c r="A1022" s="162" t="s">
        <v>43</v>
      </c>
      <c r="B1022" s="101" t="s">
        <v>306</v>
      </c>
      <c r="C1022" s="85" t="s">
        <v>3468</v>
      </c>
      <c r="D1022" s="162" t="s">
        <v>1605</v>
      </c>
      <c r="E1022" s="161"/>
      <c r="F1022" s="161"/>
      <c r="G1022" s="163">
        <f t="shared" si="85"/>
        <v>2902.3003</v>
      </c>
      <c r="H1022" s="163">
        <v>19.2</v>
      </c>
      <c r="I1022" s="163">
        <v>1257.9</v>
      </c>
      <c r="J1022" s="176">
        <v>21604.1901066925</v>
      </c>
      <c r="K1022" s="176">
        <f t="shared" si="86"/>
        <v>3099776.51115422</v>
      </c>
      <c r="L1022" s="163" t="s">
        <v>3469</v>
      </c>
      <c r="M1022" s="161" t="s">
        <v>3317</v>
      </c>
      <c r="N1022" s="161" t="s">
        <v>1299</v>
      </c>
      <c r="O1022" s="161"/>
      <c r="P1022" s="49" t="s">
        <v>25</v>
      </c>
      <c r="Q1022" s="166" t="s">
        <v>3470</v>
      </c>
      <c r="R1022" s="151"/>
    </row>
    <row r="1023" ht="30" spans="1:18">
      <c r="A1023" s="162" t="s">
        <v>43</v>
      </c>
      <c r="B1023" s="101" t="s">
        <v>306</v>
      </c>
      <c r="C1023" s="85" t="s">
        <v>3471</v>
      </c>
      <c r="D1023" s="162" t="s">
        <v>3472</v>
      </c>
      <c r="E1023" s="161"/>
      <c r="F1023" s="161"/>
      <c r="G1023" s="163">
        <f t="shared" si="85"/>
        <v>2924.8003</v>
      </c>
      <c r="H1023" s="163">
        <v>22.5</v>
      </c>
      <c r="I1023" s="163">
        <v>1306.5</v>
      </c>
      <c r="J1023" s="176">
        <v>25317.4102812803</v>
      </c>
      <c r="K1023" s="176">
        <f t="shared" si="86"/>
        <v>3125093.9214355</v>
      </c>
      <c r="L1023" s="163" t="s">
        <v>3473</v>
      </c>
      <c r="M1023" s="161" t="s">
        <v>3317</v>
      </c>
      <c r="N1023" s="161" t="s">
        <v>1299</v>
      </c>
      <c r="O1023" s="161"/>
      <c r="P1023" s="49" t="s">
        <v>25</v>
      </c>
      <c r="Q1023" s="166" t="s">
        <v>3474</v>
      </c>
      <c r="R1023" s="151"/>
    </row>
    <row r="1024" spans="1:18">
      <c r="A1024" s="162" t="s">
        <v>43</v>
      </c>
      <c r="B1024" s="101" t="s">
        <v>306</v>
      </c>
      <c r="C1024" s="85" t="s">
        <v>3475</v>
      </c>
      <c r="D1024" s="162" t="s">
        <v>1611</v>
      </c>
      <c r="E1024" s="161"/>
      <c r="F1024" s="161"/>
      <c r="G1024" s="163">
        <f t="shared" si="85"/>
        <v>2945.4003</v>
      </c>
      <c r="H1024" s="163">
        <v>20.6</v>
      </c>
      <c r="I1024" s="163">
        <v>923.1</v>
      </c>
      <c r="J1024" s="176">
        <v>23179.4956353055</v>
      </c>
      <c r="K1024" s="176">
        <f t="shared" si="86"/>
        <v>3148273.41707081</v>
      </c>
      <c r="L1024" s="163"/>
      <c r="M1024" s="161" t="s">
        <v>3317</v>
      </c>
      <c r="N1024" s="161" t="s">
        <v>1299</v>
      </c>
      <c r="O1024" s="161"/>
      <c r="P1024" s="49" t="s">
        <v>25</v>
      </c>
      <c r="Q1024" s="166" t="s">
        <v>3476</v>
      </c>
      <c r="R1024" s="151"/>
    </row>
    <row r="1025" spans="1:18">
      <c r="A1025" s="162" t="s">
        <v>43</v>
      </c>
      <c r="B1025" s="101" t="s">
        <v>306</v>
      </c>
      <c r="C1025" s="85" t="s">
        <v>3477</v>
      </c>
      <c r="D1025" s="162" t="s">
        <v>3477</v>
      </c>
      <c r="E1025" s="161"/>
      <c r="F1025" s="161"/>
      <c r="G1025" s="163">
        <f t="shared" si="85"/>
        <v>2966.4003</v>
      </c>
      <c r="H1025" s="163">
        <v>21</v>
      </c>
      <c r="I1025" s="163">
        <v>681</v>
      </c>
      <c r="J1025" s="176">
        <v>23629.582929195</v>
      </c>
      <c r="K1025" s="176">
        <f t="shared" si="86"/>
        <v>3171903</v>
      </c>
      <c r="L1025" s="163"/>
      <c r="M1025" s="161" t="s">
        <v>3317</v>
      </c>
      <c r="N1025" s="161"/>
      <c r="O1025" s="161"/>
      <c r="P1025" s="49" t="s">
        <v>14</v>
      </c>
      <c r="Q1025" s="166" t="s">
        <v>3478</v>
      </c>
      <c r="R1025" s="151"/>
    </row>
    <row r="1026" spans="1:18">
      <c r="A1026" s="162" t="s">
        <v>43</v>
      </c>
      <c r="B1026" s="101" t="s">
        <v>306</v>
      </c>
      <c r="C1026" s="85" t="s">
        <v>3479</v>
      </c>
      <c r="D1026" s="162" t="s">
        <v>1614</v>
      </c>
      <c r="E1026" s="161"/>
      <c r="F1026" s="161"/>
      <c r="G1026" s="163">
        <f t="shared" si="85"/>
        <v>2981.9003</v>
      </c>
      <c r="H1026" s="163">
        <v>15.5</v>
      </c>
      <c r="I1026" s="163">
        <v>544.8</v>
      </c>
      <c r="J1026" s="176">
        <v>16874.6160635481</v>
      </c>
      <c r="K1026" s="176">
        <f t="shared" si="86"/>
        <v>3188777.61606355</v>
      </c>
      <c r="L1026" s="163"/>
      <c r="M1026" s="161" t="s">
        <v>3317</v>
      </c>
      <c r="N1026" s="161" t="s">
        <v>1299</v>
      </c>
      <c r="O1026" s="161"/>
      <c r="P1026" s="49" t="s">
        <v>25</v>
      </c>
      <c r="Q1026" s="166" t="s">
        <v>3480</v>
      </c>
      <c r="R1026" s="151"/>
    </row>
    <row r="1027" ht="60" spans="1:18">
      <c r="A1027" s="162" t="s">
        <v>43</v>
      </c>
      <c r="B1027" s="101" t="s">
        <v>306</v>
      </c>
      <c r="C1027" s="85" t="s">
        <v>3481</v>
      </c>
      <c r="D1027" s="162" t="s">
        <v>1617</v>
      </c>
      <c r="E1027" s="161"/>
      <c r="F1027" s="161"/>
      <c r="G1027" s="163">
        <f t="shared" si="85"/>
        <v>2995.7003</v>
      </c>
      <c r="H1027" s="163">
        <v>13.8</v>
      </c>
      <c r="I1027" s="163">
        <v>514.2</v>
      </c>
      <c r="J1027" s="176">
        <v>15023.8517210944</v>
      </c>
      <c r="K1027" s="176">
        <f t="shared" si="86"/>
        <v>3203801.46778464</v>
      </c>
      <c r="L1027" s="163" t="s">
        <v>3482</v>
      </c>
      <c r="M1027" s="161" t="s">
        <v>3317</v>
      </c>
      <c r="N1027" s="161" t="s">
        <v>1299</v>
      </c>
      <c r="O1027" s="161"/>
      <c r="P1027" s="49" t="s">
        <v>25</v>
      </c>
      <c r="Q1027" s="166" t="s">
        <v>3483</v>
      </c>
      <c r="R1027" s="151"/>
    </row>
    <row r="1028" spans="1:18">
      <c r="A1028" s="162" t="s">
        <v>43</v>
      </c>
      <c r="B1028" s="101" t="s">
        <v>306</v>
      </c>
      <c r="C1028" s="85" t="s">
        <v>3484</v>
      </c>
      <c r="D1028" s="162" t="s">
        <v>1620</v>
      </c>
      <c r="E1028" s="161"/>
      <c r="F1028" s="161"/>
      <c r="G1028" s="163">
        <f t="shared" si="85"/>
        <v>3016.3003</v>
      </c>
      <c r="H1028" s="163">
        <v>20.6</v>
      </c>
      <c r="I1028" s="163">
        <v>546.9</v>
      </c>
      <c r="J1028" s="176">
        <v>22426.9090909091</v>
      </c>
      <c r="K1028" s="176">
        <f t="shared" si="86"/>
        <v>3226228.37687555</v>
      </c>
      <c r="L1028" s="163"/>
      <c r="M1028" s="161" t="s">
        <v>3317</v>
      </c>
      <c r="N1028" s="161" t="s">
        <v>1299</v>
      </c>
      <c r="O1028" s="161"/>
      <c r="P1028" s="49" t="s">
        <v>25</v>
      </c>
      <c r="Q1028" s="166" t="s">
        <v>3485</v>
      </c>
      <c r="R1028" s="151"/>
    </row>
    <row r="1029" ht="30" spans="1:18">
      <c r="A1029" s="162" t="s">
        <v>43</v>
      </c>
      <c r="B1029" s="101" t="s">
        <v>306</v>
      </c>
      <c r="C1029" s="85" t="s">
        <v>3486</v>
      </c>
      <c r="D1029" s="162" t="s">
        <v>1623</v>
      </c>
      <c r="E1029" s="161"/>
      <c r="F1029" s="161"/>
      <c r="G1029" s="163">
        <f t="shared" si="85"/>
        <v>3034.0003</v>
      </c>
      <c r="H1029" s="163">
        <v>17.7</v>
      </c>
      <c r="I1029" s="163">
        <v>528.5</v>
      </c>
      <c r="J1029" s="176">
        <v>19269.7228596646</v>
      </c>
      <c r="K1029" s="176">
        <f t="shared" si="86"/>
        <v>3245498.09973522</v>
      </c>
      <c r="L1029" s="163" t="s">
        <v>3487</v>
      </c>
      <c r="M1029" s="161" t="s">
        <v>3317</v>
      </c>
      <c r="N1029" s="161" t="s">
        <v>1299</v>
      </c>
      <c r="O1029" s="161"/>
      <c r="P1029" s="49" t="s">
        <v>25</v>
      </c>
      <c r="Q1029" s="166" t="s">
        <v>3488</v>
      </c>
      <c r="R1029" s="151"/>
    </row>
    <row r="1030" spans="1:18">
      <c r="A1030" s="162" t="s">
        <v>43</v>
      </c>
      <c r="B1030" s="101" t="s">
        <v>306</v>
      </c>
      <c r="C1030" s="85" t="s">
        <v>3489</v>
      </c>
      <c r="D1030" s="162" t="s">
        <v>1628</v>
      </c>
      <c r="E1030" s="161"/>
      <c r="F1030" s="161"/>
      <c r="G1030" s="163">
        <f t="shared" si="85"/>
        <v>3053.7003</v>
      </c>
      <c r="H1030" s="163">
        <v>19.7</v>
      </c>
      <c r="I1030" s="163">
        <v>560.7</v>
      </c>
      <c r="J1030" s="176">
        <v>21447.092674316</v>
      </c>
      <c r="K1030" s="176">
        <f t="shared" si="86"/>
        <v>3266945.19240953</v>
      </c>
      <c r="L1030" s="163"/>
      <c r="M1030" s="161" t="s">
        <v>3317</v>
      </c>
      <c r="N1030" s="161" t="s">
        <v>1299</v>
      </c>
      <c r="O1030" s="161"/>
      <c r="P1030" s="49" t="s">
        <v>25</v>
      </c>
      <c r="Q1030" s="166" t="s">
        <v>3490</v>
      </c>
      <c r="R1030" s="151"/>
    </row>
    <row r="1031" spans="1:18">
      <c r="A1031" s="162" t="s">
        <v>43</v>
      </c>
      <c r="B1031" s="101" t="s">
        <v>306</v>
      </c>
      <c r="C1031" s="85" t="s">
        <v>3491</v>
      </c>
      <c r="D1031" s="162" t="s">
        <v>1631</v>
      </c>
      <c r="E1031" s="161"/>
      <c r="F1031" s="161"/>
      <c r="G1031" s="163">
        <f t="shared" si="85"/>
        <v>3066.4003</v>
      </c>
      <c r="H1031" s="163">
        <v>12.7</v>
      </c>
      <c r="I1031" s="163">
        <v>505.7</v>
      </c>
      <c r="J1031" s="176">
        <v>13826.2983230362</v>
      </c>
      <c r="K1031" s="176">
        <f t="shared" si="86"/>
        <v>3280771.49073257</v>
      </c>
      <c r="L1031" s="163"/>
      <c r="M1031" s="161" t="s">
        <v>3317</v>
      </c>
      <c r="N1031" s="161" t="s">
        <v>1299</v>
      </c>
      <c r="O1031" s="161"/>
      <c r="P1031" s="49" t="s">
        <v>25</v>
      </c>
      <c r="Q1031" s="166" t="s">
        <v>3492</v>
      </c>
      <c r="R1031" s="151"/>
    </row>
    <row r="1032" spans="1:18">
      <c r="A1032" s="162" t="s">
        <v>43</v>
      </c>
      <c r="B1032" s="101" t="s">
        <v>306</v>
      </c>
      <c r="C1032" s="85" t="s">
        <v>3493</v>
      </c>
      <c r="D1032" s="162" t="s">
        <v>3494</v>
      </c>
      <c r="E1032" s="161"/>
      <c r="F1032" s="161"/>
      <c r="G1032" s="163">
        <f t="shared" ref="G1032:G1069" si="87">G1031+H1032</f>
        <v>3068.6003</v>
      </c>
      <c r="H1032" s="163">
        <v>2.2</v>
      </c>
      <c r="I1032" s="163">
        <v>496.5</v>
      </c>
      <c r="J1032" s="176">
        <v>2395.1067961165</v>
      </c>
      <c r="K1032" s="176">
        <f t="shared" ref="K1032:K1070" si="88">K1031+J1032</f>
        <v>3283166.59752869</v>
      </c>
      <c r="L1032" s="163"/>
      <c r="M1032" s="161" t="s">
        <v>3317</v>
      </c>
      <c r="N1032" s="161" t="s">
        <v>1299</v>
      </c>
      <c r="O1032" s="161"/>
      <c r="P1032" s="49" t="s">
        <v>25</v>
      </c>
      <c r="Q1032" s="166" t="s">
        <v>3495</v>
      </c>
      <c r="R1032" s="151"/>
    </row>
    <row r="1033" spans="1:18">
      <c r="A1033" s="162" t="s">
        <v>43</v>
      </c>
      <c r="B1033" s="101" t="s">
        <v>306</v>
      </c>
      <c r="C1033" s="85" t="s">
        <v>3496</v>
      </c>
      <c r="D1033" s="162" t="s">
        <v>3496</v>
      </c>
      <c r="E1033" s="161"/>
      <c r="F1033" s="161"/>
      <c r="G1033" s="163">
        <f t="shared" si="87"/>
        <v>3079.7003</v>
      </c>
      <c r="H1033" s="163">
        <v>11.1</v>
      </c>
      <c r="I1033" s="163">
        <v>464.4</v>
      </c>
      <c r="J1033" s="176">
        <v>12084.4024713151</v>
      </c>
      <c r="K1033" s="176">
        <f t="shared" si="88"/>
        <v>3295251</v>
      </c>
      <c r="L1033" s="163"/>
      <c r="M1033" s="161" t="s">
        <v>3317</v>
      </c>
      <c r="N1033" s="161"/>
      <c r="O1033" s="161"/>
      <c r="P1033" s="49" t="s">
        <v>14</v>
      </c>
      <c r="Q1033" s="166" t="s">
        <v>3497</v>
      </c>
      <c r="R1033" s="151"/>
    </row>
    <row r="1034" spans="1:18">
      <c r="A1034" s="162" t="s">
        <v>43</v>
      </c>
      <c r="B1034" s="101" t="s">
        <v>306</v>
      </c>
      <c r="C1034" s="85" t="s">
        <v>3498</v>
      </c>
      <c r="D1034" s="162" t="s">
        <v>1636</v>
      </c>
      <c r="E1034" s="161"/>
      <c r="F1034" s="161"/>
      <c r="G1034" s="163">
        <f t="shared" si="87"/>
        <v>3101.6003</v>
      </c>
      <c r="H1034" s="163">
        <v>21.9</v>
      </c>
      <c r="I1034" s="163">
        <v>382.4</v>
      </c>
      <c r="J1034" s="176">
        <v>23734.9101338432</v>
      </c>
      <c r="K1034" s="176">
        <f t="shared" si="88"/>
        <v>3318985.91013384</v>
      </c>
      <c r="L1034" s="163"/>
      <c r="M1034" s="161" t="s">
        <v>3317</v>
      </c>
      <c r="N1034" s="161" t="s">
        <v>1299</v>
      </c>
      <c r="O1034" s="161"/>
      <c r="P1034" s="49" t="s">
        <v>25</v>
      </c>
      <c r="Q1034" s="166" t="s">
        <v>3499</v>
      </c>
      <c r="R1034" s="151"/>
    </row>
    <row r="1035" spans="1:18">
      <c r="A1035" s="162" t="s">
        <v>43</v>
      </c>
      <c r="B1035" s="101" t="s">
        <v>306</v>
      </c>
      <c r="C1035" s="85" t="s">
        <v>3500</v>
      </c>
      <c r="D1035" s="162" t="s">
        <v>1639</v>
      </c>
      <c r="E1035" s="161"/>
      <c r="F1035" s="161"/>
      <c r="G1035" s="163">
        <f t="shared" si="87"/>
        <v>3122.5003</v>
      </c>
      <c r="H1035" s="163">
        <v>20.9</v>
      </c>
      <c r="I1035" s="163">
        <v>356.6</v>
      </c>
      <c r="J1035" s="176">
        <v>22651.1242829828</v>
      </c>
      <c r="K1035" s="176">
        <f t="shared" si="88"/>
        <v>3341637.03441683</v>
      </c>
      <c r="L1035" s="163"/>
      <c r="M1035" s="161" t="s">
        <v>3317</v>
      </c>
      <c r="N1035" s="161" t="s">
        <v>1299</v>
      </c>
      <c r="O1035" s="161"/>
      <c r="P1035" s="49" t="s">
        <v>25</v>
      </c>
      <c r="Q1035" s="166" t="s">
        <v>3501</v>
      </c>
      <c r="R1035" s="151"/>
    </row>
    <row r="1036" spans="1:18">
      <c r="A1036" s="162" t="s">
        <v>43</v>
      </c>
      <c r="B1036" s="101" t="s">
        <v>306</v>
      </c>
      <c r="C1036" s="85" t="s">
        <v>3502</v>
      </c>
      <c r="D1036" s="162" t="s">
        <v>3502</v>
      </c>
      <c r="E1036" s="161"/>
      <c r="F1036" s="161"/>
      <c r="G1036" s="163">
        <f t="shared" si="87"/>
        <v>3132.0003</v>
      </c>
      <c r="H1036" s="163">
        <v>9.5</v>
      </c>
      <c r="I1036" s="163">
        <v>347.8</v>
      </c>
      <c r="J1036" s="176">
        <v>10295.965583174</v>
      </c>
      <c r="K1036" s="176">
        <f t="shared" si="88"/>
        <v>3351933</v>
      </c>
      <c r="L1036" s="163"/>
      <c r="M1036" s="161" t="s">
        <v>3317</v>
      </c>
      <c r="N1036" s="161"/>
      <c r="O1036" s="161"/>
      <c r="P1036" s="49" t="s">
        <v>14</v>
      </c>
      <c r="Q1036" s="166" t="s">
        <v>3503</v>
      </c>
      <c r="R1036" s="151"/>
    </row>
    <row r="1037" spans="1:18">
      <c r="A1037" s="162" t="s">
        <v>43</v>
      </c>
      <c r="B1037" s="101" t="s">
        <v>306</v>
      </c>
      <c r="C1037" s="85" t="s">
        <v>3504</v>
      </c>
      <c r="D1037" s="162" t="s">
        <v>1646</v>
      </c>
      <c r="E1037" s="161"/>
      <c r="F1037" s="161"/>
      <c r="G1037" s="163">
        <f t="shared" si="87"/>
        <v>3152.2003</v>
      </c>
      <c r="H1037" s="163">
        <v>20.2</v>
      </c>
      <c r="I1037" s="163">
        <v>567.7</v>
      </c>
      <c r="J1037" s="176">
        <v>22254.3427041499</v>
      </c>
      <c r="K1037" s="176">
        <f t="shared" si="88"/>
        <v>3374187.34270415</v>
      </c>
      <c r="L1037" s="163"/>
      <c r="M1037" s="161" t="s">
        <v>3317</v>
      </c>
      <c r="N1037" s="161" t="s">
        <v>1299</v>
      </c>
      <c r="O1037" s="161"/>
      <c r="P1037" s="49" t="s">
        <v>25</v>
      </c>
      <c r="Q1037" s="166" t="s">
        <v>3505</v>
      </c>
      <c r="R1037" s="151"/>
    </row>
    <row r="1038" ht="45" spans="1:18">
      <c r="A1038" s="162" t="s">
        <v>43</v>
      </c>
      <c r="B1038" s="101" t="s">
        <v>306</v>
      </c>
      <c r="C1038" s="85" t="s">
        <v>3506</v>
      </c>
      <c r="D1038" s="162" t="s">
        <v>1649</v>
      </c>
      <c r="E1038" s="161"/>
      <c r="F1038" s="161"/>
      <c r="G1038" s="163">
        <f t="shared" si="87"/>
        <v>3172.2003</v>
      </c>
      <c r="H1038" s="163">
        <v>20</v>
      </c>
      <c r="I1038" s="163">
        <v>1010.6</v>
      </c>
      <c r="J1038" s="176">
        <v>22034.0026773762</v>
      </c>
      <c r="K1038" s="176">
        <f t="shared" si="88"/>
        <v>3396221.34538153</v>
      </c>
      <c r="L1038" s="163" t="s">
        <v>3507</v>
      </c>
      <c r="M1038" s="161" t="s">
        <v>3317</v>
      </c>
      <c r="N1038" s="161" t="s">
        <v>1299</v>
      </c>
      <c r="O1038" s="161"/>
      <c r="P1038" s="49" t="s">
        <v>25</v>
      </c>
      <c r="Q1038" s="166" t="s">
        <v>3508</v>
      </c>
      <c r="R1038" s="151"/>
    </row>
    <row r="1039" spans="1:18">
      <c r="A1039" s="162" t="s">
        <v>43</v>
      </c>
      <c r="B1039" s="101" t="s">
        <v>306</v>
      </c>
      <c r="C1039" s="85" t="s">
        <v>3509</v>
      </c>
      <c r="D1039" s="162" t="s">
        <v>1652</v>
      </c>
      <c r="E1039" s="161"/>
      <c r="F1039" s="161"/>
      <c r="G1039" s="163">
        <f t="shared" si="87"/>
        <v>3190.6003</v>
      </c>
      <c r="H1039" s="163">
        <v>18.4</v>
      </c>
      <c r="I1039" s="163">
        <v>733.5</v>
      </c>
      <c r="J1039" s="176">
        <v>20271.2824631861</v>
      </c>
      <c r="K1039" s="176">
        <f t="shared" si="88"/>
        <v>3416492.62784471</v>
      </c>
      <c r="L1039" s="163"/>
      <c r="M1039" s="161" t="s">
        <v>3317</v>
      </c>
      <c r="N1039" s="161" t="s">
        <v>1299</v>
      </c>
      <c r="O1039" s="161"/>
      <c r="P1039" s="49" t="s">
        <v>25</v>
      </c>
      <c r="Q1039" s="166" t="s">
        <v>3510</v>
      </c>
      <c r="R1039" s="151"/>
    </row>
    <row r="1040" spans="1:18">
      <c r="A1040" s="162" t="s">
        <v>43</v>
      </c>
      <c r="B1040" s="101" t="s">
        <v>306</v>
      </c>
      <c r="C1040" s="85" t="s">
        <v>3511</v>
      </c>
      <c r="D1040" s="162" t="s">
        <v>1656</v>
      </c>
      <c r="E1040" s="161"/>
      <c r="F1040" s="161"/>
      <c r="G1040" s="163">
        <f t="shared" si="87"/>
        <v>3204.6003</v>
      </c>
      <c r="H1040" s="163">
        <v>14</v>
      </c>
      <c r="I1040" s="163">
        <v>1298.9</v>
      </c>
      <c r="J1040" s="176">
        <v>15423.8018741633</v>
      </c>
      <c r="K1040" s="176">
        <f t="shared" si="88"/>
        <v>3431916.42971888</v>
      </c>
      <c r="L1040" s="163"/>
      <c r="M1040" s="161" t="s">
        <v>3317</v>
      </c>
      <c r="N1040" s="161" t="s">
        <v>1299</v>
      </c>
      <c r="O1040" s="161"/>
      <c r="P1040" s="49" t="s">
        <v>25</v>
      </c>
      <c r="Q1040" s="166" t="s">
        <v>3512</v>
      </c>
      <c r="R1040" s="151"/>
    </row>
    <row r="1041" spans="1:18">
      <c r="A1041" s="162" t="s">
        <v>43</v>
      </c>
      <c r="B1041" s="101" t="s">
        <v>306</v>
      </c>
      <c r="C1041" s="85" t="s">
        <v>3513</v>
      </c>
      <c r="D1041" s="162" t="s">
        <v>3514</v>
      </c>
      <c r="E1041" s="161"/>
      <c r="F1041" s="161"/>
      <c r="G1041" s="163">
        <f t="shared" si="87"/>
        <v>3226.9003</v>
      </c>
      <c r="H1041" s="163">
        <v>22.3</v>
      </c>
      <c r="I1041" s="163">
        <v>1000</v>
      </c>
      <c r="J1041" s="176">
        <v>24567.9129852744</v>
      </c>
      <c r="K1041" s="176">
        <f t="shared" si="88"/>
        <v>3456484.34270415</v>
      </c>
      <c r="L1041" s="163"/>
      <c r="M1041" s="161" t="s">
        <v>3317</v>
      </c>
      <c r="N1041" s="161" t="s">
        <v>1299</v>
      </c>
      <c r="O1041" s="161"/>
      <c r="P1041" s="49" t="s">
        <v>25</v>
      </c>
      <c r="Q1041" s="166" t="s">
        <v>3515</v>
      </c>
      <c r="R1041" s="151"/>
    </row>
    <row r="1042" spans="1:18">
      <c r="A1042" s="162" t="s">
        <v>43</v>
      </c>
      <c r="B1042" s="101" t="s">
        <v>306</v>
      </c>
      <c r="C1042" s="85" t="s">
        <v>3516</v>
      </c>
      <c r="D1042" s="162" t="s">
        <v>1668</v>
      </c>
      <c r="E1042" s="161"/>
      <c r="F1042" s="161"/>
      <c r="G1042" s="163">
        <f t="shared" si="87"/>
        <v>3243.4003</v>
      </c>
      <c r="H1042" s="163">
        <v>16.5</v>
      </c>
      <c r="I1042" s="163">
        <v>833.1</v>
      </c>
      <c r="J1042" s="176">
        <v>18178.0522088353</v>
      </c>
      <c r="K1042" s="176">
        <f t="shared" si="88"/>
        <v>3474662.39491299</v>
      </c>
      <c r="L1042" s="163"/>
      <c r="M1042" s="161" t="s">
        <v>3317</v>
      </c>
      <c r="N1042" s="161" t="s">
        <v>1299</v>
      </c>
      <c r="O1042" s="161"/>
      <c r="P1042" s="49" t="s">
        <v>25</v>
      </c>
      <c r="Q1042" s="166" t="s">
        <v>3517</v>
      </c>
      <c r="R1042" s="151"/>
    </row>
    <row r="1043" spans="1:18">
      <c r="A1043" s="162" t="s">
        <v>43</v>
      </c>
      <c r="B1043" s="101" t="s">
        <v>306</v>
      </c>
      <c r="C1043" s="85" t="s">
        <v>3518</v>
      </c>
      <c r="D1043" s="162" t="s">
        <v>1671</v>
      </c>
      <c r="E1043" s="161"/>
      <c r="F1043" s="161"/>
      <c r="G1043" s="163">
        <f t="shared" si="87"/>
        <v>3259.0003</v>
      </c>
      <c r="H1043" s="163">
        <v>15.6</v>
      </c>
      <c r="I1043" s="163">
        <v>842.1</v>
      </c>
      <c r="J1043" s="176">
        <v>17186.5220883534</v>
      </c>
      <c r="K1043" s="176">
        <f t="shared" si="88"/>
        <v>3491848.91700134</v>
      </c>
      <c r="L1043" s="163"/>
      <c r="M1043" s="161" t="s">
        <v>3317</v>
      </c>
      <c r="N1043" s="161" t="s">
        <v>1299</v>
      </c>
      <c r="O1043" s="161"/>
      <c r="P1043" s="49" t="s">
        <v>25</v>
      </c>
      <c r="Q1043" s="166" t="s">
        <v>3519</v>
      </c>
      <c r="R1043" s="151"/>
    </row>
    <row r="1044" spans="1:18">
      <c r="A1044" s="162" t="s">
        <v>43</v>
      </c>
      <c r="B1044" s="101" t="s">
        <v>306</v>
      </c>
      <c r="C1044" s="85" t="s">
        <v>3520</v>
      </c>
      <c r="D1044" s="162" t="s">
        <v>3520</v>
      </c>
      <c r="E1044" s="161"/>
      <c r="F1044" s="161"/>
      <c r="G1044" s="163">
        <f t="shared" si="87"/>
        <v>3281.4003</v>
      </c>
      <c r="H1044" s="163">
        <v>22.4</v>
      </c>
      <c r="I1044" s="163">
        <v>664</v>
      </c>
      <c r="J1044" s="176">
        <v>24678.0829986613</v>
      </c>
      <c r="K1044" s="176">
        <f t="shared" si="88"/>
        <v>3516527</v>
      </c>
      <c r="L1044" s="163"/>
      <c r="M1044" s="161" t="s">
        <v>3317</v>
      </c>
      <c r="N1044" s="161"/>
      <c r="O1044" s="161"/>
      <c r="P1044" s="49" t="s">
        <v>15</v>
      </c>
      <c r="Q1044" s="166" t="s">
        <v>3521</v>
      </c>
      <c r="R1044" s="151"/>
    </row>
    <row r="1045" ht="30" spans="1:18">
      <c r="A1045" s="162" t="s">
        <v>43</v>
      </c>
      <c r="B1045" s="101" t="s">
        <v>306</v>
      </c>
      <c r="C1045" s="85" t="s">
        <v>3522</v>
      </c>
      <c r="D1045" s="162" t="s">
        <v>1674</v>
      </c>
      <c r="E1045" s="161"/>
      <c r="F1045" s="161"/>
      <c r="G1045" s="163">
        <f t="shared" si="87"/>
        <v>3295.3003</v>
      </c>
      <c r="H1045" s="163">
        <v>13.9</v>
      </c>
      <c r="I1045" s="163">
        <v>626.1</v>
      </c>
      <c r="J1045" s="176">
        <v>15325.8418201517</v>
      </c>
      <c r="K1045" s="176">
        <f t="shared" si="88"/>
        <v>3531852.84182015</v>
      </c>
      <c r="L1045" s="163" t="s">
        <v>3523</v>
      </c>
      <c r="M1045" s="161" t="s">
        <v>3317</v>
      </c>
      <c r="N1045" s="161" t="s">
        <v>1299</v>
      </c>
      <c r="O1045" s="161"/>
      <c r="P1045" s="49" t="s">
        <v>25</v>
      </c>
      <c r="Q1045" s="166" t="s">
        <v>3524</v>
      </c>
      <c r="R1045" s="151"/>
    </row>
    <row r="1046" spans="1:18">
      <c r="A1046" s="162" t="s">
        <v>43</v>
      </c>
      <c r="B1046" s="101" t="s">
        <v>306</v>
      </c>
      <c r="C1046" s="85" t="s">
        <v>3525</v>
      </c>
      <c r="D1046" s="162" t="s">
        <v>1682</v>
      </c>
      <c r="E1046" s="161"/>
      <c r="F1046" s="161"/>
      <c r="G1046" s="163">
        <f t="shared" si="87"/>
        <v>3311.0003</v>
      </c>
      <c r="H1046" s="163">
        <v>15.7</v>
      </c>
      <c r="I1046" s="163">
        <v>548.4</v>
      </c>
      <c r="J1046" s="176">
        <v>17310.4832069339</v>
      </c>
      <c r="K1046" s="176">
        <f t="shared" si="88"/>
        <v>3549163.32502709</v>
      </c>
      <c r="L1046" s="163"/>
      <c r="M1046" s="161" t="s">
        <v>3317</v>
      </c>
      <c r="N1046" s="161" t="s">
        <v>1299</v>
      </c>
      <c r="O1046" s="161"/>
      <c r="P1046" s="49" t="s">
        <v>25</v>
      </c>
      <c r="Q1046" s="166" t="s">
        <v>3526</v>
      </c>
      <c r="R1046" s="151"/>
    </row>
    <row r="1047" spans="1:18">
      <c r="A1047" s="162" t="s">
        <v>43</v>
      </c>
      <c r="B1047" s="101" t="s">
        <v>306</v>
      </c>
      <c r="C1047" s="85" t="s">
        <v>3527</v>
      </c>
      <c r="D1047" s="162" t="s">
        <v>1685</v>
      </c>
      <c r="E1047" s="161"/>
      <c r="F1047" s="161"/>
      <c r="G1047" s="163">
        <f t="shared" si="87"/>
        <v>3333.5003</v>
      </c>
      <c r="H1047" s="163">
        <v>22.5</v>
      </c>
      <c r="I1047" s="163">
        <v>608.7</v>
      </c>
      <c r="J1047" s="176">
        <v>24808.0173347779</v>
      </c>
      <c r="K1047" s="176">
        <f t="shared" si="88"/>
        <v>3573971.34236186</v>
      </c>
      <c r="L1047" s="163"/>
      <c r="M1047" s="161" t="s">
        <v>3317</v>
      </c>
      <c r="N1047" s="161" t="s">
        <v>1299</v>
      </c>
      <c r="O1047" s="161"/>
      <c r="P1047" s="49" t="s">
        <v>25</v>
      </c>
      <c r="Q1047" s="166" t="s">
        <v>3528</v>
      </c>
      <c r="R1047" s="151"/>
    </row>
    <row r="1048" spans="1:18">
      <c r="A1048" s="162" t="s">
        <v>43</v>
      </c>
      <c r="B1048" s="101" t="s">
        <v>306</v>
      </c>
      <c r="C1048" s="85" t="s">
        <v>3529</v>
      </c>
      <c r="D1048" s="162" t="s">
        <v>1688</v>
      </c>
      <c r="E1048" s="161"/>
      <c r="F1048" s="161"/>
      <c r="G1048" s="163">
        <f t="shared" si="87"/>
        <v>3354.5003</v>
      </c>
      <c r="H1048" s="163">
        <v>21</v>
      </c>
      <c r="I1048" s="163">
        <v>469.6</v>
      </c>
      <c r="J1048" s="176">
        <v>23154.1495124594</v>
      </c>
      <c r="K1048" s="176">
        <f t="shared" si="88"/>
        <v>3597125.49187432</v>
      </c>
      <c r="L1048" s="163"/>
      <c r="M1048" s="161" t="s">
        <v>3317</v>
      </c>
      <c r="N1048" s="161" t="s">
        <v>1299</v>
      </c>
      <c r="O1048" s="161"/>
      <c r="P1048" s="49" t="s">
        <v>25</v>
      </c>
      <c r="Q1048" s="166" t="s">
        <v>3530</v>
      </c>
      <c r="R1048" s="151"/>
    </row>
    <row r="1049" spans="1:18">
      <c r="A1049" s="162" t="s">
        <v>43</v>
      </c>
      <c r="B1049" s="101" t="s">
        <v>306</v>
      </c>
      <c r="C1049" s="85" t="s">
        <v>3531</v>
      </c>
      <c r="D1049" s="162" t="s">
        <v>1695</v>
      </c>
      <c r="E1049" s="161"/>
      <c r="F1049" s="161"/>
      <c r="G1049" s="163">
        <f t="shared" si="87"/>
        <v>3364.8003</v>
      </c>
      <c r="H1049" s="163">
        <v>10.3</v>
      </c>
      <c r="I1049" s="163">
        <v>503.7</v>
      </c>
      <c r="J1049" s="176">
        <v>11356.5590465872</v>
      </c>
      <c r="K1049" s="176">
        <f t="shared" si="88"/>
        <v>3608482.05092091</v>
      </c>
      <c r="L1049" s="163"/>
      <c r="M1049" s="161" t="s">
        <v>3317</v>
      </c>
      <c r="N1049" s="161" t="s">
        <v>1299</v>
      </c>
      <c r="O1049" s="161"/>
      <c r="P1049" s="49" t="s">
        <v>25</v>
      </c>
      <c r="Q1049" s="166" t="s">
        <v>3532</v>
      </c>
      <c r="R1049" s="151"/>
    </row>
    <row r="1050" spans="1:18">
      <c r="A1050" s="162" t="s">
        <v>43</v>
      </c>
      <c r="B1050" s="101" t="s">
        <v>306</v>
      </c>
      <c r="C1050" s="85" t="s">
        <v>3533</v>
      </c>
      <c r="D1050" s="162" t="s">
        <v>3533</v>
      </c>
      <c r="E1050" s="161"/>
      <c r="F1050" s="161"/>
      <c r="G1050" s="163">
        <f t="shared" si="87"/>
        <v>3373.7003</v>
      </c>
      <c r="H1050" s="163">
        <v>8.9</v>
      </c>
      <c r="I1050" s="163">
        <v>542.5</v>
      </c>
      <c r="J1050" s="176">
        <v>9812.94907908993</v>
      </c>
      <c r="K1050" s="176">
        <f t="shared" si="88"/>
        <v>3618295</v>
      </c>
      <c r="L1050" s="163"/>
      <c r="M1050" s="161" t="s">
        <v>3317</v>
      </c>
      <c r="N1050" s="161"/>
      <c r="O1050" s="161"/>
      <c r="P1050" s="49" t="s">
        <v>14</v>
      </c>
      <c r="Q1050" s="166" t="s">
        <v>3534</v>
      </c>
      <c r="R1050" s="151"/>
    </row>
    <row r="1051" spans="1:18">
      <c r="A1051" s="162" t="s">
        <v>43</v>
      </c>
      <c r="B1051" s="101" t="s">
        <v>306</v>
      </c>
      <c r="C1051" s="85" t="s">
        <v>3535</v>
      </c>
      <c r="D1051" s="162" t="s">
        <v>1698</v>
      </c>
      <c r="E1051" s="161"/>
      <c r="F1051" s="161"/>
      <c r="G1051" s="163">
        <f t="shared" si="87"/>
        <v>3383.8003</v>
      </c>
      <c r="H1051" s="163">
        <v>10.1</v>
      </c>
      <c r="I1051" s="163">
        <v>482.7</v>
      </c>
      <c r="J1051" s="176">
        <v>11275.4680851064</v>
      </c>
      <c r="K1051" s="176">
        <f t="shared" si="88"/>
        <v>3629570.46808511</v>
      </c>
      <c r="L1051" s="163"/>
      <c r="M1051" s="161" t="s">
        <v>3317</v>
      </c>
      <c r="N1051" s="161" t="s">
        <v>1299</v>
      </c>
      <c r="O1051" s="161"/>
      <c r="P1051" s="49" t="s">
        <v>25</v>
      </c>
      <c r="Q1051" s="166" t="s">
        <v>3536</v>
      </c>
      <c r="R1051" s="151"/>
    </row>
    <row r="1052" spans="1:18">
      <c r="A1052" s="162" t="s">
        <v>43</v>
      </c>
      <c r="B1052" s="101" t="s">
        <v>306</v>
      </c>
      <c r="C1052" s="85" t="s">
        <v>3537</v>
      </c>
      <c r="D1052" s="162" t="s">
        <v>3537</v>
      </c>
      <c r="E1052" s="161"/>
      <c r="F1052" s="161"/>
      <c r="G1052" s="163">
        <f t="shared" si="87"/>
        <v>3397.2003</v>
      </c>
      <c r="H1052" s="163">
        <v>13.4</v>
      </c>
      <c r="I1052" s="163">
        <v>411.2</v>
      </c>
      <c r="J1052" s="176">
        <v>14959.5319148936</v>
      </c>
      <c r="K1052" s="176">
        <f t="shared" si="88"/>
        <v>3644530</v>
      </c>
      <c r="L1052" s="163"/>
      <c r="M1052" s="161" t="s">
        <v>3317</v>
      </c>
      <c r="N1052" s="161"/>
      <c r="O1052" s="161"/>
      <c r="P1052" s="49" t="s">
        <v>14</v>
      </c>
      <c r="Q1052" s="166" t="s">
        <v>3538</v>
      </c>
      <c r="R1052" s="151"/>
    </row>
    <row r="1053" spans="1:18">
      <c r="A1053" s="162" t="s">
        <v>43</v>
      </c>
      <c r="B1053" s="101" t="s">
        <v>306</v>
      </c>
      <c r="C1053" s="85" t="s">
        <v>3539</v>
      </c>
      <c r="D1053" s="162" t="s">
        <v>1703</v>
      </c>
      <c r="E1053" s="161"/>
      <c r="F1053" s="161"/>
      <c r="G1053" s="163">
        <f t="shared" si="87"/>
        <v>3419.8003</v>
      </c>
      <c r="H1053" s="163">
        <v>22.6</v>
      </c>
      <c r="I1053" s="163">
        <v>321.5</v>
      </c>
      <c r="J1053" s="176">
        <v>23875.5644090305</v>
      </c>
      <c r="K1053" s="176">
        <f t="shared" si="88"/>
        <v>3668405.56440903</v>
      </c>
      <c r="L1053" s="163" t="s">
        <v>3540</v>
      </c>
      <c r="M1053" s="161" t="s">
        <v>3317</v>
      </c>
      <c r="N1053" s="161" t="s">
        <v>1299</v>
      </c>
      <c r="O1053" s="161"/>
      <c r="P1053" s="49" t="s">
        <v>25</v>
      </c>
      <c r="Q1053" s="166" t="s">
        <v>3541</v>
      </c>
      <c r="R1053" s="151"/>
    </row>
    <row r="1054" spans="1:18">
      <c r="A1054" s="162" t="s">
        <v>43</v>
      </c>
      <c r="B1054" s="101" t="s">
        <v>306</v>
      </c>
      <c r="C1054" s="85" t="s">
        <v>3542</v>
      </c>
      <c r="D1054" s="162" t="s">
        <v>1706</v>
      </c>
      <c r="E1054" s="161"/>
      <c r="F1054" s="161"/>
      <c r="G1054" s="163">
        <f t="shared" si="87"/>
        <v>3436.4003</v>
      </c>
      <c r="H1054" s="163">
        <v>16.6</v>
      </c>
      <c r="I1054" s="163">
        <v>272.7</v>
      </c>
      <c r="J1054" s="176">
        <v>17536.9189907038</v>
      </c>
      <c r="K1054" s="176">
        <f t="shared" si="88"/>
        <v>3685942.48339973</v>
      </c>
      <c r="L1054" s="163"/>
      <c r="M1054" s="161" t="s">
        <v>3317</v>
      </c>
      <c r="N1054" s="161" t="s">
        <v>1299</v>
      </c>
      <c r="O1054" s="161"/>
      <c r="P1054" s="49" t="s">
        <v>25</v>
      </c>
      <c r="Q1054" s="166" t="s">
        <v>3543</v>
      </c>
      <c r="R1054" s="151"/>
    </row>
    <row r="1055" spans="1:18">
      <c r="A1055" s="162" t="s">
        <v>43</v>
      </c>
      <c r="B1055" s="101" t="s">
        <v>306</v>
      </c>
      <c r="C1055" s="85" t="s">
        <v>3544</v>
      </c>
      <c r="D1055" s="162" t="s">
        <v>1709</v>
      </c>
      <c r="E1055" s="161"/>
      <c r="F1055" s="161"/>
      <c r="G1055" s="163">
        <f t="shared" si="87"/>
        <v>3459.5003</v>
      </c>
      <c r="H1055" s="163">
        <v>23.1</v>
      </c>
      <c r="I1055" s="163">
        <v>294</v>
      </c>
      <c r="J1055" s="176">
        <v>24403.7848605578</v>
      </c>
      <c r="K1055" s="176">
        <f t="shared" si="88"/>
        <v>3710346.26826029</v>
      </c>
      <c r="L1055" s="163"/>
      <c r="M1055" s="161" t="s">
        <v>3317</v>
      </c>
      <c r="N1055" s="161" t="s">
        <v>1299</v>
      </c>
      <c r="O1055" s="161"/>
      <c r="P1055" s="49" t="s">
        <v>25</v>
      </c>
      <c r="Q1055" s="166" t="s">
        <v>3545</v>
      </c>
      <c r="R1055" s="151"/>
    </row>
    <row r="1056" spans="1:18">
      <c r="A1056" s="162" t="s">
        <v>43</v>
      </c>
      <c r="B1056" s="101" t="s">
        <v>306</v>
      </c>
      <c r="C1056" s="85" t="s">
        <v>3546</v>
      </c>
      <c r="D1056" s="162" t="s">
        <v>3546</v>
      </c>
      <c r="E1056" s="161"/>
      <c r="F1056" s="161"/>
      <c r="G1056" s="163">
        <f t="shared" si="87"/>
        <v>3472.5003</v>
      </c>
      <c r="H1056" s="163">
        <v>13</v>
      </c>
      <c r="I1056" s="163">
        <v>236.9</v>
      </c>
      <c r="J1056" s="176">
        <v>13733.7317397078</v>
      </c>
      <c r="K1056" s="176">
        <f t="shared" si="88"/>
        <v>3724080</v>
      </c>
      <c r="L1056" s="163"/>
      <c r="M1056" s="161" t="s">
        <v>3317</v>
      </c>
      <c r="N1056" s="161"/>
      <c r="O1056" s="161"/>
      <c r="P1056" s="49" t="s">
        <v>15</v>
      </c>
      <c r="Q1056" s="166" t="s">
        <v>3547</v>
      </c>
      <c r="R1056" s="151"/>
    </row>
    <row r="1057" spans="1:18">
      <c r="A1057" s="162" t="s">
        <v>43</v>
      </c>
      <c r="B1057" s="101" t="s">
        <v>306</v>
      </c>
      <c r="C1057" s="85" t="s">
        <v>3548</v>
      </c>
      <c r="D1057" s="162" t="s">
        <v>1712</v>
      </c>
      <c r="E1057" s="161"/>
      <c r="F1057" s="161"/>
      <c r="G1057" s="163">
        <f t="shared" si="87"/>
        <v>3488.4003</v>
      </c>
      <c r="H1057" s="163">
        <v>15.9</v>
      </c>
      <c r="I1057" s="163">
        <v>195.4</v>
      </c>
      <c r="J1057" s="176">
        <v>17570.6780786919</v>
      </c>
      <c r="K1057" s="176">
        <f t="shared" si="88"/>
        <v>3741650.67807869</v>
      </c>
      <c r="L1057" s="163"/>
      <c r="M1057" s="161" t="s">
        <v>3317</v>
      </c>
      <c r="N1057" s="161" t="s">
        <v>1299</v>
      </c>
      <c r="O1057" s="161"/>
      <c r="P1057" s="49" t="s">
        <v>25</v>
      </c>
      <c r="Q1057" s="166" t="s">
        <v>3549</v>
      </c>
      <c r="R1057" s="151"/>
    </row>
    <row r="1058" spans="1:18">
      <c r="A1058" s="162" t="s">
        <v>43</v>
      </c>
      <c r="B1058" s="101" t="s">
        <v>306</v>
      </c>
      <c r="C1058" s="85" t="s">
        <v>3550</v>
      </c>
      <c r="D1058" s="162" t="s">
        <v>1715</v>
      </c>
      <c r="E1058" s="161"/>
      <c r="F1058" s="161"/>
      <c r="G1058" s="163">
        <f t="shared" si="87"/>
        <v>3502.1003</v>
      </c>
      <c r="H1058" s="163">
        <v>13.7</v>
      </c>
      <c r="I1058" s="163">
        <v>147.6</v>
      </c>
      <c r="J1058" s="176">
        <v>15139.515074093</v>
      </c>
      <c r="K1058" s="176">
        <f t="shared" si="88"/>
        <v>3756790.19315279</v>
      </c>
      <c r="L1058" s="163"/>
      <c r="M1058" s="161" t="s">
        <v>3317</v>
      </c>
      <c r="N1058" s="161" t="s">
        <v>1299</v>
      </c>
      <c r="O1058" s="161"/>
      <c r="P1058" s="49" t="s">
        <v>25</v>
      </c>
      <c r="Q1058" s="166" t="s">
        <v>3551</v>
      </c>
      <c r="R1058" s="151"/>
    </row>
    <row r="1059" spans="1:18">
      <c r="A1059" s="162" t="s">
        <v>43</v>
      </c>
      <c r="B1059" s="101" t="s">
        <v>306</v>
      </c>
      <c r="C1059" s="85" t="s">
        <v>3552</v>
      </c>
      <c r="D1059" s="162" t="s">
        <v>3553</v>
      </c>
      <c r="E1059" s="161"/>
      <c r="F1059" s="161"/>
      <c r="G1059" s="163">
        <f t="shared" si="87"/>
        <v>3505.2003</v>
      </c>
      <c r="H1059" s="163">
        <v>3.1</v>
      </c>
      <c r="I1059" s="163">
        <v>154</v>
      </c>
      <c r="J1059" s="176">
        <v>3425.72968829842</v>
      </c>
      <c r="K1059" s="176">
        <f t="shared" si="88"/>
        <v>3760215.92284108</v>
      </c>
      <c r="L1059" s="163"/>
      <c r="M1059" s="161" t="s">
        <v>3317</v>
      </c>
      <c r="N1059" s="161" t="s">
        <v>1299</v>
      </c>
      <c r="O1059" s="161"/>
      <c r="P1059" s="49" t="s">
        <v>25</v>
      </c>
      <c r="Q1059" s="166" t="s">
        <v>3554</v>
      </c>
      <c r="R1059" s="151"/>
    </row>
    <row r="1060" spans="1:18">
      <c r="A1060" s="162" t="s">
        <v>43</v>
      </c>
      <c r="B1060" s="101" t="s">
        <v>306</v>
      </c>
      <c r="C1060" s="85" t="s">
        <v>3555</v>
      </c>
      <c r="D1060" s="162" t="s">
        <v>1718</v>
      </c>
      <c r="E1060" s="161"/>
      <c r="F1060" s="161"/>
      <c r="G1060" s="163">
        <f t="shared" si="87"/>
        <v>3525.2003</v>
      </c>
      <c r="H1060" s="163">
        <v>20</v>
      </c>
      <c r="I1060" s="163">
        <v>165.5</v>
      </c>
      <c r="J1060" s="176">
        <v>22101.4818599898</v>
      </c>
      <c r="K1060" s="176">
        <f t="shared" si="88"/>
        <v>3782317.40470107</v>
      </c>
      <c r="L1060" s="163"/>
      <c r="M1060" s="161" t="s">
        <v>3317</v>
      </c>
      <c r="N1060" s="161" t="s">
        <v>1299</v>
      </c>
      <c r="O1060" s="161"/>
      <c r="P1060" s="49" t="s">
        <v>25</v>
      </c>
      <c r="Q1060" s="166" t="s">
        <v>3556</v>
      </c>
      <c r="R1060" s="151"/>
    </row>
    <row r="1061" spans="1:18">
      <c r="A1061" s="162" t="s">
        <v>43</v>
      </c>
      <c r="B1061" s="101" t="s">
        <v>306</v>
      </c>
      <c r="C1061" s="85" t="s">
        <v>3557</v>
      </c>
      <c r="D1061" s="162" t="s">
        <v>1723</v>
      </c>
      <c r="E1061" s="161"/>
      <c r="F1061" s="161"/>
      <c r="G1061" s="163">
        <f t="shared" si="87"/>
        <v>3531.6003</v>
      </c>
      <c r="H1061" s="163">
        <v>6.4</v>
      </c>
      <c r="I1061" s="163">
        <v>132.8</v>
      </c>
      <c r="J1061" s="176">
        <v>7072.47419519673</v>
      </c>
      <c r="K1061" s="176">
        <f t="shared" si="88"/>
        <v>3789389.87889627</v>
      </c>
      <c r="L1061" s="163"/>
      <c r="M1061" s="161" t="s">
        <v>3317</v>
      </c>
      <c r="N1061" s="161" t="s">
        <v>1299</v>
      </c>
      <c r="O1061" s="161"/>
      <c r="P1061" s="49" t="s">
        <v>25</v>
      </c>
      <c r="Q1061" s="166" t="s">
        <v>3556</v>
      </c>
      <c r="R1061" s="151"/>
    </row>
    <row r="1062" ht="45" spans="1:18">
      <c r="A1062" s="162" t="s">
        <v>43</v>
      </c>
      <c r="B1062" s="101" t="s">
        <v>306</v>
      </c>
      <c r="C1062" s="85" t="s">
        <v>3558</v>
      </c>
      <c r="D1062" s="162" t="s">
        <v>1728</v>
      </c>
      <c r="E1062" s="161"/>
      <c r="F1062" s="161"/>
      <c r="G1062" s="163">
        <f t="shared" si="87"/>
        <v>3548.1003</v>
      </c>
      <c r="H1062" s="163">
        <v>16.5</v>
      </c>
      <c r="I1062" s="163">
        <v>109.5</v>
      </c>
      <c r="J1062" s="176">
        <v>18233.7225344916</v>
      </c>
      <c r="K1062" s="176">
        <f t="shared" si="88"/>
        <v>3807623.60143076</v>
      </c>
      <c r="L1062" s="163" t="s">
        <v>3559</v>
      </c>
      <c r="M1062" s="161" t="s">
        <v>3317</v>
      </c>
      <c r="N1062" s="161" t="s">
        <v>1299</v>
      </c>
      <c r="O1062" s="161"/>
      <c r="P1062" s="49" t="s">
        <v>25</v>
      </c>
      <c r="Q1062" s="166" t="s">
        <v>3560</v>
      </c>
      <c r="R1062" s="151"/>
    </row>
    <row r="1063" spans="1:18">
      <c r="A1063" s="162" t="s">
        <v>43</v>
      </c>
      <c r="B1063" s="101" t="s">
        <v>306</v>
      </c>
      <c r="C1063" s="85" t="s">
        <v>3561</v>
      </c>
      <c r="D1063" s="162" t="s">
        <v>1731</v>
      </c>
      <c r="E1063" s="161"/>
      <c r="F1063" s="161"/>
      <c r="G1063" s="163">
        <f t="shared" si="87"/>
        <v>3565.4003</v>
      </c>
      <c r="H1063" s="163">
        <v>17.3</v>
      </c>
      <c r="I1063" s="163">
        <v>91.7</v>
      </c>
      <c r="J1063" s="176">
        <v>19117.7818088912</v>
      </c>
      <c r="K1063" s="176">
        <f t="shared" si="88"/>
        <v>3826741.38323965</v>
      </c>
      <c r="L1063" s="163"/>
      <c r="M1063" s="161" t="s">
        <v>3317</v>
      </c>
      <c r="N1063" s="161" t="s">
        <v>1299</v>
      </c>
      <c r="O1063" s="161"/>
      <c r="P1063" s="49" t="s">
        <v>25</v>
      </c>
      <c r="Q1063" s="166" t="s">
        <v>3562</v>
      </c>
      <c r="R1063" s="151"/>
    </row>
    <row r="1064" spans="1:18">
      <c r="A1064" s="162" t="s">
        <v>43</v>
      </c>
      <c r="B1064" s="101" t="s">
        <v>306</v>
      </c>
      <c r="C1064" s="85" t="s">
        <v>3563</v>
      </c>
      <c r="D1064" s="162" t="s">
        <v>1737</v>
      </c>
      <c r="E1064" s="161"/>
      <c r="F1064" s="161"/>
      <c r="G1064" s="163">
        <f t="shared" si="87"/>
        <v>3588.7003</v>
      </c>
      <c r="H1064" s="163">
        <v>23.3</v>
      </c>
      <c r="I1064" s="163">
        <v>83.9</v>
      </c>
      <c r="J1064" s="176">
        <v>25748.2263668881</v>
      </c>
      <c r="K1064" s="176">
        <f t="shared" si="88"/>
        <v>3852489.60960654</v>
      </c>
      <c r="L1064" s="163"/>
      <c r="M1064" s="161" t="s">
        <v>3317</v>
      </c>
      <c r="N1064" s="161" t="s">
        <v>1299</v>
      </c>
      <c r="O1064" s="161"/>
      <c r="P1064" s="49" t="s">
        <v>25</v>
      </c>
      <c r="Q1064" s="166" t="s">
        <v>3564</v>
      </c>
      <c r="R1064" s="151"/>
    </row>
    <row r="1065" spans="1:18">
      <c r="A1065" s="162" t="s">
        <v>43</v>
      </c>
      <c r="B1065" s="101" t="s">
        <v>306</v>
      </c>
      <c r="C1065" s="85" t="s">
        <v>3565</v>
      </c>
      <c r="D1065" s="162" t="s">
        <v>1742</v>
      </c>
      <c r="E1065" s="161"/>
      <c r="F1065" s="161"/>
      <c r="G1065" s="163">
        <f t="shared" si="87"/>
        <v>3610.8003</v>
      </c>
      <c r="H1065" s="163">
        <v>22.1</v>
      </c>
      <c r="I1065" s="163">
        <v>78.5</v>
      </c>
      <c r="J1065" s="176">
        <v>24422.1374552887</v>
      </c>
      <c r="K1065" s="176">
        <f t="shared" si="88"/>
        <v>3876911.74706183</v>
      </c>
      <c r="L1065" s="163"/>
      <c r="M1065" s="161" t="s">
        <v>3317</v>
      </c>
      <c r="N1065" s="161" t="s">
        <v>1299</v>
      </c>
      <c r="O1065" s="161"/>
      <c r="P1065" s="49" t="s">
        <v>25</v>
      </c>
      <c r="Q1065" s="166" t="s">
        <v>3566</v>
      </c>
      <c r="R1065" s="151"/>
    </row>
    <row r="1066" spans="1:18">
      <c r="A1066" s="162" t="s">
        <v>43</v>
      </c>
      <c r="B1066" s="101" t="s">
        <v>306</v>
      </c>
      <c r="C1066" s="85" t="s">
        <v>3567</v>
      </c>
      <c r="D1066" s="162" t="s">
        <v>1748</v>
      </c>
      <c r="E1066" s="161"/>
      <c r="F1066" s="161"/>
      <c r="G1066" s="163">
        <f t="shared" si="87"/>
        <v>3622.2003</v>
      </c>
      <c r="H1066" s="163">
        <v>11.4</v>
      </c>
      <c r="I1066" s="163">
        <v>98.2</v>
      </c>
      <c r="J1066" s="176">
        <v>12597.8446601942</v>
      </c>
      <c r="K1066" s="176">
        <f t="shared" si="88"/>
        <v>3889509.59172202</v>
      </c>
      <c r="L1066" s="163"/>
      <c r="M1066" s="161" t="s">
        <v>3317</v>
      </c>
      <c r="N1066" s="161" t="s">
        <v>1299</v>
      </c>
      <c r="O1066" s="161"/>
      <c r="P1066" s="49" t="s">
        <v>25</v>
      </c>
      <c r="Q1066" s="166" t="s">
        <v>3568</v>
      </c>
      <c r="R1066" s="151"/>
    </row>
    <row r="1067" spans="1:18">
      <c r="A1067" s="162" t="s">
        <v>43</v>
      </c>
      <c r="B1067" s="101" t="s">
        <v>306</v>
      </c>
      <c r="C1067" s="85" t="s">
        <v>3569</v>
      </c>
      <c r="D1067" s="162" t="s">
        <v>2670</v>
      </c>
      <c r="E1067" s="161"/>
      <c r="F1067" s="161"/>
      <c r="G1067" s="163">
        <f t="shared" si="87"/>
        <v>3629.9003</v>
      </c>
      <c r="H1067" s="163">
        <v>7.7</v>
      </c>
      <c r="I1067" s="163">
        <v>110.6</v>
      </c>
      <c r="J1067" s="176">
        <v>8509.07051609607</v>
      </c>
      <c r="K1067" s="176">
        <f t="shared" si="88"/>
        <v>3898018.66223812</v>
      </c>
      <c r="L1067" s="163"/>
      <c r="M1067" s="161" t="s">
        <v>3317</v>
      </c>
      <c r="N1067" s="161" t="s">
        <v>1299</v>
      </c>
      <c r="O1067" s="161"/>
      <c r="P1067" s="49" t="s">
        <v>25</v>
      </c>
      <c r="Q1067" s="166" t="s">
        <v>3570</v>
      </c>
      <c r="R1067" s="151"/>
    </row>
    <row r="1068" spans="1:18">
      <c r="A1068" s="162" t="s">
        <v>43</v>
      </c>
      <c r="B1068" s="101" t="s">
        <v>306</v>
      </c>
      <c r="C1068" s="85" t="s">
        <v>3571</v>
      </c>
      <c r="D1068" s="162" t="s">
        <v>1761</v>
      </c>
      <c r="E1068" s="161"/>
      <c r="F1068" s="161"/>
      <c r="G1068" s="163">
        <f t="shared" si="87"/>
        <v>3644.8003</v>
      </c>
      <c r="H1068" s="163">
        <v>14.9</v>
      </c>
      <c r="I1068" s="163">
        <v>135.3</v>
      </c>
      <c r="J1068" s="176">
        <v>16465.6039856924</v>
      </c>
      <c r="K1068" s="176">
        <f t="shared" si="88"/>
        <v>3914484.26622381</v>
      </c>
      <c r="L1068" s="163"/>
      <c r="M1068" s="161" t="s">
        <v>3317</v>
      </c>
      <c r="N1068" s="161" t="s">
        <v>1299</v>
      </c>
      <c r="O1068" s="161"/>
      <c r="P1068" s="49" t="s">
        <v>25</v>
      </c>
      <c r="Q1068" s="166" t="s">
        <v>3572</v>
      </c>
      <c r="R1068" s="151"/>
    </row>
    <row r="1069" ht="45" spans="1:18">
      <c r="A1069" s="162" t="s">
        <v>43</v>
      </c>
      <c r="B1069" s="101" t="s">
        <v>306</v>
      </c>
      <c r="C1069" s="85" t="s">
        <v>3573</v>
      </c>
      <c r="D1069" s="162" t="s">
        <v>1764</v>
      </c>
      <c r="E1069" s="161"/>
      <c r="F1069" s="161"/>
      <c r="G1069" s="163">
        <f t="shared" si="87"/>
        <v>3652.4003</v>
      </c>
      <c r="H1069" s="163">
        <v>7.6</v>
      </c>
      <c r="I1069" s="163">
        <v>123.8</v>
      </c>
      <c r="J1069" s="176">
        <v>8398.56310679612</v>
      </c>
      <c r="K1069" s="176">
        <f t="shared" si="88"/>
        <v>3922882.82933061</v>
      </c>
      <c r="L1069" s="163" t="s">
        <v>3574</v>
      </c>
      <c r="M1069" s="161" t="s">
        <v>3317</v>
      </c>
      <c r="N1069" s="161" t="s">
        <v>1299</v>
      </c>
      <c r="O1069" s="161"/>
      <c r="P1069" s="49" t="s">
        <v>25</v>
      </c>
      <c r="Q1069" s="166" t="s">
        <v>3575</v>
      </c>
      <c r="R1069" s="151"/>
    </row>
    <row r="1070" spans="1:18">
      <c r="A1070" s="162" t="s">
        <v>43</v>
      </c>
      <c r="B1070" s="101" t="s">
        <v>306</v>
      </c>
      <c r="C1070" s="135" t="s">
        <v>245</v>
      </c>
      <c r="D1070" s="161" t="s">
        <v>245</v>
      </c>
      <c r="E1070" s="161" t="s">
        <v>2204</v>
      </c>
      <c r="F1070" s="161"/>
      <c r="G1070" s="163">
        <f t="shared" ref="G1070:G1084" si="89">G1069+H1070</f>
        <v>3668.2003</v>
      </c>
      <c r="H1070" s="163">
        <v>15.8</v>
      </c>
      <c r="I1070" s="163">
        <v>159.4</v>
      </c>
      <c r="J1070" s="176">
        <v>17460.1706693919</v>
      </c>
      <c r="K1070" s="176">
        <f t="shared" si="88"/>
        <v>3940343</v>
      </c>
      <c r="L1070" s="163"/>
      <c r="M1070" s="161" t="s">
        <v>3317</v>
      </c>
      <c r="N1070" s="161"/>
      <c r="O1070" s="161"/>
      <c r="P1070" s="49"/>
      <c r="Q1070" s="166" t="s">
        <v>2626</v>
      </c>
      <c r="R1070" s="151"/>
    </row>
    <row r="1071" spans="1:18">
      <c r="A1071" s="162" t="s">
        <v>43</v>
      </c>
      <c r="B1071" s="101" t="s">
        <v>306</v>
      </c>
      <c r="C1071" s="85" t="s">
        <v>3576</v>
      </c>
      <c r="D1071" s="161" t="s">
        <v>1771</v>
      </c>
      <c r="E1071" s="161" t="s">
        <v>2204</v>
      </c>
      <c r="F1071" s="161"/>
      <c r="G1071" s="163">
        <f t="shared" si="89"/>
        <v>3684.5003</v>
      </c>
      <c r="H1071" s="163">
        <v>16.3</v>
      </c>
      <c r="I1071" s="176">
        <v>139</v>
      </c>
      <c r="J1071" s="176">
        <v>17665.8</v>
      </c>
      <c r="K1071" s="176">
        <f t="shared" ref="K1071:K1084" si="90">K1070+J1071</f>
        <v>3958008.8</v>
      </c>
      <c r="L1071" s="163"/>
      <c r="M1071" s="161" t="s">
        <v>3317</v>
      </c>
      <c r="N1071" s="161" t="s">
        <v>1299</v>
      </c>
      <c r="O1071" s="161" t="s">
        <v>25</v>
      </c>
      <c r="P1071" s="49" t="s">
        <v>25</v>
      </c>
      <c r="Q1071" s="166" t="s">
        <v>3577</v>
      </c>
      <c r="R1071" s="151"/>
    </row>
    <row r="1072" spans="1:18">
      <c r="A1072" s="162" t="s">
        <v>43</v>
      </c>
      <c r="B1072" s="101" t="s">
        <v>306</v>
      </c>
      <c r="C1072" s="85" t="s">
        <v>3578</v>
      </c>
      <c r="D1072" s="161" t="s">
        <v>1774</v>
      </c>
      <c r="E1072" s="161" t="s">
        <v>2204</v>
      </c>
      <c r="F1072" s="161"/>
      <c r="G1072" s="163">
        <f t="shared" si="89"/>
        <v>3705.1003</v>
      </c>
      <c r="H1072" s="163">
        <v>20.6</v>
      </c>
      <c r="I1072" s="176">
        <v>130</v>
      </c>
      <c r="J1072" s="176">
        <v>22326.1</v>
      </c>
      <c r="K1072" s="176">
        <f t="shared" si="90"/>
        <v>3980334.9</v>
      </c>
      <c r="L1072" s="163"/>
      <c r="M1072" s="161" t="s">
        <v>3317</v>
      </c>
      <c r="N1072" s="161" t="s">
        <v>1299</v>
      </c>
      <c r="O1072" s="161" t="s">
        <v>25</v>
      </c>
      <c r="P1072" s="49" t="s">
        <v>25</v>
      </c>
      <c r="Q1072" s="166" t="s">
        <v>3579</v>
      </c>
      <c r="R1072" s="151"/>
    </row>
    <row r="1073" spans="1:18">
      <c r="A1073" s="162" t="s">
        <v>43</v>
      </c>
      <c r="B1073" s="101" t="s">
        <v>306</v>
      </c>
      <c r="C1073" s="85" t="s">
        <v>3580</v>
      </c>
      <c r="D1073" s="161" t="s">
        <v>3581</v>
      </c>
      <c r="E1073" s="161" t="s">
        <v>2204</v>
      </c>
      <c r="F1073" s="161"/>
      <c r="G1073" s="163">
        <f t="shared" si="89"/>
        <v>3718.6003</v>
      </c>
      <c r="H1073" s="163">
        <v>13.5</v>
      </c>
      <c r="I1073" s="176">
        <v>135</v>
      </c>
      <c r="J1073" s="176">
        <v>14414.4</v>
      </c>
      <c r="K1073" s="176">
        <f t="shared" si="90"/>
        <v>3994749.3</v>
      </c>
      <c r="L1073" s="163"/>
      <c r="M1073" s="161" t="s">
        <v>3317</v>
      </c>
      <c r="N1073" s="161" t="s">
        <v>1299</v>
      </c>
      <c r="O1073" s="161" t="s">
        <v>25</v>
      </c>
      <c r="P1073" s="49" t="s">
        <v>25</v>
      </c>
      <c r="Q1073" s="166" t="s">
        <v>3582</v>
      </c>
      <c r="R1073" s="151"/>
    </row>
    <row r="1074" spans="1:18">
      <c r="A1074" s="162" t="s">
        <v>43</v>
      </c>
      <c r="B1074" s="101" t="s">
        <v>306</v>
      </c>
      <c r="C1074" s="85" t="s">
        <v>3583</v>
      </c>
      <c r="D1074" s="161" t="s">
        <v>3584</v>
      </c>
      <c r="E1074" s="161" t="s">
        <v>2204</v>
      </c>
      <c r="F1074" s="161"/>
      <c r="G1074" s="163">
        <f t="shared" si="89"/>
        <v>3735.2003</v>
      </c>
      <c r="H1074" s="163">
        <v>16.6</v>
      </c>
      <c r="I1074" s="176">
        <v>139</v>
      </c>
      <c r="J1074" s="176">
        <v>17990.9</v>
      </c>
      <c r="K1074" s="176">
        <f t="shared" si="90"/>
        <v>4012740.2</v>
      </c>
      <c r="L1074" s="163"/>
      <c r="M1074" s="161" t="s">
        <v>3317</v>
      </c>
      <c r="N1074" s="161" t="s">
        <v>1299</v>
      </c>
      <c r="O1074" s="161" t="s">
        <v>25</v>
      </c>
      <c r="P1074" s="49" t="s">
        <v>25</v>
      </c>
      <c r="Q1074" s="166" t="s">
        <v>3585</v>
      </c>
      <c r="R1074" s="151"/>
    </row>
    <row r="1075" spans="1:18">
      <c r="A1075" s="162" t="s">
        <v>43</v>
      </c>
      <c r="B1075" s="101" t="s">
        <v>306</v>
      </c>
      <c r="C1075" s="85" t="s">
        <v>3586</v>
      </c>
      <c r="D1075" s="161" t="s">
        <v>3587</v>
      </c>
      <c r="E1075" s="161" t="s">
        <v>2204</v>
      </c>
      <c r="F1075" s="161"/>
      <c r="G1075" s="163">
        <f t="shared" si="89"/>
        <v>3750.0003</v>
      </c>
      <c r="H1075" s="163">
        <v>14.8</v>
      </c>
      <c r="I1075" s="176">
        <v>199</v>
      </c>
      <c r="J1075" s="176">
        <v>16040.1</v>
      </c>
      <c r="K1075" s="176">
        <f t="shared" si="90"/>
        <v>4028780.3</v>
      </c>
      <c r="L1075" s="163"/>
      <c r="M1075" s="161" t="s">
        <v>3317</v>
      </c>
      <c r="N1075" s="161" t="s">
        <v>1299</v>
      </c>
      <c r="O1075" s="161" t="s">
        <v>25</v>
      </c>
      <c r="P1075" s="49" t="s">
        <v>25</v>
      </c>
      <c r="Q1075" s="166" t="s">
        <v>3588</v>
      </c>
      <c r="R1075" s="151"/>
    </row>
    <row r="1076" spans="1:18">
      <c r="A1076" s="162" t="s">
        <v>43</v>
      </c>
      <c r="B1076" s="101" t="s">
        <v>306</v>
      </c>
      <c r="C1076" s="85" t="s">
        <v>3589</v>
      </c>
      <c r="D1076" s="161" t="s">
        <v>1790</v>
      </c>
      <c r="E1076" s="161" t="s">
        <v>2204</v>
      </c>
      <c r="F1076" s="161"/>
      <c r="G1076" s="163">
        <f t="shared" si="89"/>
        <v>3765.5003</v>
      </c>
      <c r="H1076" s="163">
        <v>15.5</v>
      </c>
      <c r="I1076" s="176">
        <v>189</v>
      </c>
      <c r="J1076" s="176">
        <v>16798.8</v>
      </c>
      <c r="K1076" s="176">
        <f t="shared" si="90"/>
        <v>4045579.1</v>
      </c>
      <c r="L1076" s="163"/>
      <c r="M1076" s="161" t="s">
        <v>3317</v>
      </c>
      <c r="N1076" s="161" t="s">
        <v>1299</v>
      </c>
      <c r="O1076" s="161" t="s">
        <v>25</v>
      </c>
      <c r="P1076" s="49" t="s">
        <v>25</v>
      </c>
      <c r="Q1076" s="166" t="s">
        <v>3590</v>
      </c>
      <c r="R1076" s="151"/>
    </row>
    <row r="1077" spans="1:18">
      <c r="A1077" s="162" t="s">
        <v>43</v>
      </c>
      <c r="B1077" s="101" t="s">
        <v>306</v>
      </c>
      <c r="C1077" s="85" t="s">
        <v>3591</v>
      </c>
      <c r="D1077" s="161" t="s">
        <v>1793</v>
      </c>
      <c r="E1077" s="161" t="s">
        <v>2204</v>
      </c>
      <c r="F1077" s="161"/>
      <c r="G1077" s="163">
        <f t="shared" si="89"/>
        <v>3788.6003</v>
      </c>
      <c r="H1077" s="163">
        <v>23.1</v>
      </c>
      <c r="I1077" s="176">
        <v>91</v>
      </c>
      <c r="J1077" s="176">
        <v>25252.3</v>
      </c>
      <c r="K1077" s="176">
        <f t="shared" si="90"/>
        <v>4070831.4</v>
      </c>
      <c r="L1077" s="163"/>
      <c r="M1077" s="161" t="s">
        <v>3317</v>
      </c>
      <c r="N1077" s="161" t="s">
        <v>1299</v>
      </c>
      <c r="O1077" s="161" t="s">
        <v>25</v>
      </c>
      <c r="P1077" s="49" t="s">
        <v>25</v>
      </c>
      <c r="Q1077" s="166" t="s">
        <v>3592</v>
      </c>
      <c r="R1077" s="151"/>
    </row>
    <row r="1078" spans="1:18">
      <c r="A1078" s="162" t="s">
        <v>43</v>
      </c>
      <c r="B1078" s="101" t="s">
        <v>306</v>
      </c>
      <c r="C1078" s="85" t="s">
        <v>3593</v>
      </c>
      <c r="D1078" s="161" t="s">
        <v>3594</v>
      </c>
      <c r="E1078" s="161" t="s">
        <v>2204</v>
      </c>
      <c r="F1078" s="161"/>
      <c r="G1078" s="163">
        <f t="shared" si="89"/>
        <v>3808.3003</v>
      </c>
      <c r="H1078" s="163">
        <v>19.7</v>
      </c>
      <c r="I1078" s="176">
        <v>77</v>
      </c>
      <c r="J1078" s="176">
        <v>21350.7</v>
      </c>
      <c r="K1078" s="176">
        <f t="shared" si="90"/>
        <v>4092182.1</v>
      </c>
      <c r="L1078" s="163"/>
      <c r="M1078" s="161" t="s">
        <v>3317</v>
      </c>
      <c r="N1078" s="161" t="s">
        <v>1299</v>
      </c>
      <c r="O1078" s="161" t="s">
        <v>25</v>
      </c>
      <c r="P1078" s="49" t="s">
        <v>25</v>
      </c>
      <c r="Q1078" s="166" t="s">
        <v>3595</v>
      </c>
      <c r="R1078" s="151"/>
    </row>
    <row r="1079" spans="1:18">
      <c r="A1079" s="162" t="s">
        <v>43</v>
      </c>
      <c r="B1079" s="101" t="s">
        <v>306</v>
      </c>
      <c r="C1079" s="135" t="s">
        <v>3596</v>
      </c>
      <c r="D1079" s="161" t="s">
        <v>3596</v>
      </c>
      <c r="E1079" s="161" t="s">
        <v>2204</v>
      </c>
      <c r="F1079" s="161"/>
      <c r="G1079" s="163">
        <f t="shared" si="89"/>
        <v>3831.6003</v>
      </c>
      <c r="H1079" s="163">
        <v>23.3</v>
      </c>
      <c r="I1079" s="176">
        <v>56</v>
      </c>
      <c r="J1079" s="176">
        <v>25252.3</v>
      </c>
      <c r="K1079" s="176">
        <f t="shared" si="90"/>
        <v>4117434.4</v>
      </c>
      <c r="L1079" s="163"/>
      <c r="M1079" s="161" t="s">
        <v>3317</v>
      </c>
      <c r="N1079" s="161"/>
      <c r="O1079" s="161"/>
      <c r="P1079" s="49"/>
      <c r="Q1079" s="166" t="s">
        <v>3597</v>
      </c>
      <c r="R1079" s="151"/>
    </row>
    <row r="1080" spans="1:18">
      <c r="A1080" s="162" t="s">
        <v>43</v>
      </c>
      <c r="B1080" s="101" t="s">
        <v>306</v>
      </c>
      <c r="C1080" s="85" t="s">
        <v>3598</v>
      </c>
      <c r="D1080" s="161" t="s">
        <v>3599</v>
      </c>
      <c r="E1080" s="161" t="s">
        <v>2204</v>
      </c>
      <c r="F1080" s="161"/>
      <c r="G1080" s="163">
        <f t="shared" si="89"/>
        <v>3853.4003</v>
      </c>
      <c r="H1080" s="163">
        <v>21.8</v>
      </c>
      <c r="I1080" s="176">
        <v>55</v>
      </c>
      <c r="J1080" s="176">
        <v>23626.6</v>
      </c>
      <c r="K1080" s="176">
        <f t="shared" si="90"/>
        <v>4141061</v>
      </c>
      <c r="L1080" s="163"/>
      <c r="M1080" s="161" t="s">
        <v>3317</v>
      </c>
      <c r="N1080" s="161" t="s">
        <v>1299</v>
      </c>
      <c r="O1080" s="161" t="s">
        <v>25</v>
      </c>
      <c r="P1080" s="49" t="s">
        <v>25</v>
      </c>
      <c r="Q1080" s="166" t="s">
        <v>3600</v>
      </c>
      <c r="R1080" s="151"/>
    </row>
    <row r="1081" spans="1:18">
      <c r="A1081" s="162" t="s">
        <v>43</v>
      </c>
      <c r="B1081" s="101" t="s">
        <v>306</v>
      </c>
      <c r="C1081" s="85" t="s">
        <v>3601</v>
      </c>
      <c r="D1081" s="161" t="s">
        <v>3602</v>
      </c>
      <c r="E1081" s="161" t="s">
        <v>2204</v>
      </c>
      <c r="F1081" s="161"/>
      <c r="G1081" s="163">
        <f t="shared" si="89"/>
        <v>3870.4003</v>
      </c>
      <c r="H1081" s="163">
        <v>17</v>
      </c>
      <c r="I1081" s="176">
        <v>24</v>
      </c>
      <c r="J1081" s="176">
        <v>18424.4</v>
      </c>
      <c r="K1081" s="176">
        <f t="shared" si="90"/>
        <v>4159485.4</v>
      </c>
      <c r="L1081" s="163"/>
      <c r="M1081" s="161" t="s">
        <v>3317</v>
      </c>
      <c r="N1081" s="161" t="s">
        <v>1299</v>
      </c>
      <c r="O1081" s="161" t="s">
        <v>25</v>
      </c>
      <c r="P1081" s="49" t="s">
        <v>25</v>
      </c>
      <c r="Q1081" s="166" t="s">
        <v>3603</v>
      </c>
      <c r="R1081" s="151"/>
    </row>
    <row r="1082" spans="1:18">
      <c r="A1082" s="162" t="s">
        <v>43</v>
      </c>
      <c r="B1082" s="101" t="s">
        <v>306</v>
      </c>
      <c r="C1082" s="85" t="s">
        <v>3604</v>
      </c>
      <c r="D1082" s="161" t="s">
        <v>3605</v>
      </c>
      <c r="E1082" s="161" t="s">
        <v>2204</v>
      </c>
      <c r="F1082" s="161"/>
      <c r="G1082" s="163">
        <f t="shared" si="89"/>
        <v>3885.9003</v>
      </c>
      <c r="H1082" s="163">
        <v>15.5</v>
      </c>
      <c r="I1082" s="176">
        <v>24</v>
      </c>
      <c r="J1082" s="176">
        <v>16798.8</v>
      </c>
      <c r="K1082" s="176">
        <f t="shared" si="90"/>
        <v>4176284.2</v>
      </c>
      <c r="L1082" s="163"/>
      <c r="M1082" s="161" t="s">
        <v>3317</v>
      </c>
      <c r="N1082" s="161" t="s">
        <v>1299</v>
      </c>
      <c r="O1082" s="161" t="s">
        <v>25</v>
      </c>
      <c r="P1082" s="49" t="s">
        <v>25</v>
      </c>
      <c r="Q1082" s="166" t="s">
        <v>3606</v>
      </c>
      <c r="R1082" s="151"/>
    </row>
    <row r="1083" spans="1:18">
      <c r="A1083" s="162" t="s">
        <v>43</v>
      </c>
      <c r="B1083" s="101" t="s">
        <v>306</v>
      </c>
      <c r="C1083" s="85" t="s">
        <v>3607</v>
      </c>
      <c r="D1083" s="161" t="s">
        <v>3608</v>
      </c>
      <c r="E1083" s="161" t="s">
        <v>2204</v>
      </c>
      <c r="F1083" s="161"/>
      <c r="G1083" s="163">
        <f t="shared" si="89"/>
        <v>3901.6003</v>
      </c>
      <c r="H1083" s="163">
        <v>15.7</v>
      </c>
      <c r="I1083" s="176">
        <v>26</v>
      </c>
      <c r="J1083" s="176">
        <v>17015.5</v>
      </c>
      <c r="K1083" s="176">
        <f t="shared" si="90"/>
        <v>4193299.7</v>
      </c>
      <c r="L1083" s="163"/>
      <c r="M1083" s="161" t="s">
        <v>3317</v>
      </c>
      <c r="N1083" s="161" t="s">
        <v>1299</v>
      </c>
      <c r="O1083" s="161" t="s">
        <v>25</v>
      </c>
      <c r="P1083" s="49" t="s">
        <v>25</v>
      </c>
      <c r="Q1083" s="166" t="s">
        <v>3609</v>
      </c>
      <c r="R1083" s="151"/>
    </row>
    <row r="1084" spans="1:18">
      <c r="A1084" s="162" t="s">
        <v>43</v>
      </c>
      <c r="B1084" s="101" t="s">
        <v>306</v>
      </c>
      <c r="C1084" s="85" t="s">
        <v>307</v>
      </c>
      <c r="D1084" s="161" t="s">
        <v>307</v>
      </c>
      <c r="E1084" s="161" t="s">
        <v>2204</v>
      </c>
      <c r="F1084" s="161"/>
      <c r="G1084" s="163">
        <f t="shared" si="89"/>
        <v>3917.1003</v>
      </c>
      <c r="H1084" s="163">
        <v>15.5</v>
      </c>
      <c r="I1084" s="176">
        <v>25</v>
      </c>
      <c r="J1084" s="176">
        <v>16798.8</v>
      </c>
      <c r="K1084" s="176">
        <f t="shared" si="90"/>
        <v>4210098.5</v>
      </c>
      <c r="L1084" s="163"/>
      <c r="M1084" s="161" t="s">
        <v>3317</v>
      </c>
      <c r="N1084" s="161"/>
      <c r="O1084" s="161" t="s">
        <v>15</v>
      </c>
      <c r="P1084" s="49" t="s">
        <v>15</v>
      </c>
      <c r="Q1084" s="166" t="s">
        <v>3610</v>
      </c>
      <c r="R1084" s="151"/>
    </row>
    <row r="1085" spans="1:18">
      <c r="A1085" s="162" t="s">
        <v>43</v>
      </c>
      <c r="B1085" s="101" t="s">
        <v>318</v>
      </c>
      <c r="C1085" s="135" t="s">
        <v>307</v>
      </c>
      <c r="D1085" s="161" t="s">
        <v>307</v>
      </c>
      <c r="E1085" s="161" t="s">
        <v>2204</v>
      </c>
      <c r="F1085" s="161"/>
      <c r="G1085" s="163">
        <v>0</v>
      </c>
      <c r="H1085" s="163">
        <v>0</v>
      </c>
      <c r="I1085" s="176">
        <v>25</v>
      </c>
      <c r="J1085" s="176">
        <v>0</v>
      </c>
      <c r="K1085" s="176">
        <v>0</v>
      </c>
      <c r="L1085" s="163"/>
      <c r="M1085" s="161" t="s">
        <v>3317</v>
      </c>
      <c r="N1085" s="161"/>
      <c r="O1085" s="161"/>
      <c r="P1085" s="49"/>
      <c r="Q1085" s="166" t="s">
        <v>3610</v>
      </c>
      <c r="R1085" s="151"/>
    </row>
    <row r="1086" spans="1:18">
      <c r="A1086" s="162" t="s">
        <v>43</v>
      </c>
      <c r="B1086" s="101" t="s">
        <v>318</v>
      </c>
      <c r="C1086" s="135" t="s">
        <v>825</v>
      </c>
      <c r="D1086" s="161" t="s">
        <v>3611</v>
      </c>
      <c r="E1086" s="161" t="s">
        <v>2204</v>
      </c>
      <c r="F1086" s="161"/>
      <c r="G1086" s="163">
        <v>19.02</v>
      </c>
      <c r="H1086" s="163">
        <v>19.02</v>
      </c>
      <c r="I1086" s="176">
        <v>31</v>
      </c>
      <c r="J1086" s="176">
        <v>21459.1</v>
      </c>
      <c r="K1086" s="176">
        <v>21459.1</v>
      </c>
      <c r="L1086" s="163"/>
      <c r="M1086" s="161" t="s">
        <v>3317</v>
      </c>
      <c r="N1086" s="161"/>
      <c r="O1086" s="161"/>
      <c r="P1086" s="49"/>
      <c r="Q1086" s="166"/>
      <c r="R1086" s="151"/>
    </row>
    <row r="1087" spans="1:18">
      <c r="A1087" s="162" t="s">
        <v>43</v>
      </c>
      <c r="B1087" s="101" t="s">
        <v>309</v>
      </c>
      <c r="C1087" s="135" t="s">
        <v>204</v>
      </c>
      <c r="D1087" s="161" t="s">
        <v>204</v>
      </c>
      <c r="E1087" s="161" t="s">
        <v>1689</v>
      </c>
      <c r="F1087" s="161" t="s">
        <v>2707</v>
      </c>
      <c r="G1087" s="163">
        <v>0</v>
      </c>
      <c r="H1087" s="163">
        <v>0</v>
      </c>
      <c r="I1087" s="176">
        <v>92</v>
      </c>
      <c r="J1087" s="176">
        <v>0</v>
      </c>
      <c r="K1087" s="176">
        <v>0</v>
      </c>
      <c r="L1087" s="163"/>
      <c r="M1087" s="161" t="s">
        <v>2232</v>
      </c>
      <c r="N1087" s="161"/>
      <c r="O1087" s="161"/>
      <c r="P1087" s="49"/>
      <c r="Q1087" s="166" t="s">
        <v>2720</v>
      </c>
      <c r="R1087" s="151"/>
    </row>
    <row r="1088" spans="1:18">
      <c r="A1088" s="162" t="s">
        <v>43</v>
      </c>
      <c r="B1088" s="101" t="s">
        <v>309</v>
      </c>
      <c r="C1088" s="87" t="s">
        <v>3612</v>
      </c>
      <c r="D1088" s="161" t="s">
        <v>3613</v>
      </c>
      <c r="E1088" s="161" t="s">
        <v>1689</v>
      </c>
      <c r="F1088" s="161" t="s">
        <v>2707</v>
      </c>
      <c r="G1088" s="163">
        <v>20.9649</v>
      </c>
      <c r="H1088" s="163">
        <f>G1088-G1087</f>
        <v>20.9649</v>
      </c>
      <c r="I1088" s="173">
        <v>53</v>
      </c>
      <c r="J1088" s="176">
        <v>24258.5063940588</v>
      </c>
      <c r="K1088" s="176">
        <f>J1088+K1087</f>
        <v>24258.5063940588</v>
      </c>
      <c r="L1088" s="163"/>
      <c r="M1088" s="161" t="s">
        <v>3317</v>
      </c>
      <c r="N1088" s="161" t="s">
        <v>1299</v>
      </c>
      <c r="O1088" s="161" t="s">
        <v>25</v>
      </c>
      <c r="P1088" s="49" t="s">
        <v>25</v>
      </c>
      <c r="Q1088" s="166" t="s">
        <v>3614</v>
      </c>
      <c r="R1088" s="151"/>
    </row>
    <row r="1089" spans="1:18">
      <c r="A1089" s="162" t="s">
        <v>43</v>
      </c>
      <c r="B1089" s="101" t="s">
        <v>309</v>
      </c>
      <c r="C1089" s="87" t="s">
        <v>3615</v>
      </c>
      <c r="D1089" s="161" t="s">
        <v>3616</v>
      </c>
      <c r="E1089" s="161" t="s">
        <v>1689</v>
      </c>
      <c r="F1089" s="161" t="s">
        <v>2707</v>
      </c>
      <c r="G1089" s="163">
        <v>43.7456</v>
      </c>
      <c r="H1089" s="163">
        <f>G1089-G1088</f>
        <v>22.7807</v>
      </c>
      <c r="I1089" s="173">
        <v>55</v>
      </c>
      <c r="J1089" s="173">
        <v>26124.5453474479</v>
      </c>
      <c r="K1089" s="176">
        <f>J1089+K1088</f>
        <v>50383.0517415067</v>
      </c>
      <c r="L1089" s="174"/>
      <c r="M1089" s="161" t="s">
        <v>3317</v>
      </c>
      <c r="N1089" s="161" t="s">
        <v>1299</v>
      </c>
      <c r="O1089" s="161" t="s">
        <v>25</v>
      </c>
      <c r="P1089" s="49" t="s">
        <v>25</v>
      </c>
      <c r="Q1089" s="166" t="s">
        <v>3617</v>
      </c>
      <c r="R1089" s="151"/>
    </row>
    <row r="1090" spans="1:18">
      <c r="A1090" s="162" t="s">
        <v>43</v>
      </c>
      <c r="B1090" s="101" t="s">
        <v>309</v>
      </c>
      <c r="C1090" s="87" t="s">
        <v>3618</v>
      </c>
      <c r="D1090" s="161" t="s">
        <v>2776</v>
      </c>
      <c r="E1090" s="161" t="s">
        <v>1689</v>
      </c>
      <c r="F1090" s="161" t="s">
        <v>2732</v>
      </c>
      <c r="G1090" s="163">
        <v>65.8392</v>
      </c>
      <c r="H1090" s="163">
        <f>G1090-G1089</f>
        <v>22.0936</v>
      </c>
      <c r="I1090" s="176">
        <v>85</v>
      </c>
      <c r="J1090" s="173">
        <v>25246.4093693825</v>
      </c>
      <c r="K1090" s="176">
        <f>J1090+K1089</f>
        <v>75629.4611108892</v>
      </c>
      <c r="L1090" s="163"/>
      <c r="M1090" s="161" t="s">
        <v>3317</v>
      </c>
      <c r="N1090" s="161" t="s">
        <v>1299</v>
      </c>
      <c r="O1090" s="161" t="s">
        <v>25</v>
      </c>
      <c r="P1090" s="49" t="s">
        <v>25</v>
      </c>
      <c r="Q1090" s="166" t="s">
        <v>3619</v>
      </c>
      <c r="R1090" s="151"/>
    </row>
    <row r="1091" spans="1:18">
      <c r="A1091" s="162" t="s">
        <v>43</v>
      </c>
      <c r="B1091" s="101" t="s">
        <v>309</v>
      </c>
      <c r="C1091" s="87" t="s">
        <v>3620</v>
      </c>
      <c r="D1091" s="161" t="s">
        <v>3621</v>
      </c>
      <c r="E1091" s="161" t="s">
        <v>1689</v>
      </c>
      <c r="F1091" s="161" t="s">
        <v>2732</v>
      </c>
      <c r="G1091" s="163">
        <v>88.2469</v>
      </c>
      <c r="H1091" s="163">
        <f t="shared" ref="H1091:H1097" si="91">G1091-G1090</f>
        <v>22.4077</v>
      </c>
      <c r="I1091" s="176">
        <v>463</v>
      </c>
      <c r="J1091" s="176">
        <v>26582.2737260146</v>
      </c>
      <c r="K1091" s="176">
        <f t="shared" ref="K1091:K1101" si="92">J1091+K1090</f>
        <v>102211.734836904</v>
      </c>
      <c r="L1091" s="163"/>
      <c r="M1091" s="161" t="s">
        <v>3317</v>
      </c>
      <c r="N1091" s="161" t="s">
        <v>1299</v>
      </c>
      <c r="O1091" s="161" t="s">
        <v>25</v>
      </c>
      <c r="P1091" s="49" t="s">
        <v>25</v>
      </c>
      <c r="Q1091" s="166" t="s">
        <v>3622</v>
      </c>
      <c r="R1091" s="151"/>
    </row>
    <row r="1092" spans="1:18">
      <c r="A1092" s="162" t="s">
        <v>43</v>
      </c>
      <c r="B1092" s="101" t="s">
        <v>309</v>
      </c>
      <c r="C1092" s="87" t="s">
        <v>3623</v>
      </c>
      <c r="D1092" s="161" t="s">
        <v>3624</v>
      </c>
      <c r="E1092" s="161" t="s">
        <v>1689</v>
      </c>
      <c r="F1092" s="161" t="s">
        <v>2732</v>
      </c>
      <c r="G1092" s="163">
        <v>110.9</v>
      </c>
      <c r="H1092" s="163">
        <f t="shared" si="91"/>
        <v>22.6531</v>
      </c>
      <c r="I1092" s="176">
        <v>160</v>
      </c>
      <c r="J1092" s="176">
        <v>25136.6423721243</v>
      </c>
      <c r="K1092" s="176">
        <f t="shared" si="92"/>
        <v>127348.377209028</v>
      </c>
      <c r="L1092" s="174"/>
      <c r="M1092" s="161" t="s">
        <v>3317</v>
      </c>
      <c r="N1092" s="161" t="s">
        <v>1299</v>
      </c>
      <c r="O1092" s="161" t="s">
        <v>25</v>
      </c>
      <c r="P1092" s="49" t="s">
        <v>25</v>
      </c>
      <c r="Q1092" s="166" t="s">
        <v>3625</v>
      </c>
      <c r="R1092" s="151"/>
    </row>
    <row r="1093" spans="1:18">
      <c r="A1093" s="162" t="s">
        <v>43</v>
      </c>
      <c r="B1093" s="101" t="s">
        <v>309</v>
      </c>
      <c r="C1093" s="87" t="s">
        <v>3626</v>
      </c>
      <c r="D1093" s="161" t="s">
        <v>3627</v>
      </c>
      <c r="E1093" s="161" t="s">
        <v>1689</v>
      </c>
      <c r="F1093" s="161" t="s">
        <v>2732</v>
      </c>
      <c r="G1093" s="163">
        <v>125.0238</v>
      </c>
      <c r="H1093" s="163">
        <f t="shared" si="91"/>
        <v>14.1238</v>
      </c>
      <c r="I1093" s="173">
        <v>144</v>
      </c>
      <c r="J1093" s="173">
        <v>15367.3796161458</v>
      </c>
      <c r="K1093" s="176">
        <f t="shared" si="92"/>
        <v>142715.756825174</v>
      </c>
      <c r="L1093" s="174"/>
      <c r="M1093" s="161" t="s">
        <v>3317</v>
      </c>
      <c r="N1093" s="161" t="s">
        <v>1299</v>
      </c>
      <c r="O1093" s="161" t="s">
        <v>25</v>
      </c>
      <c r="P1093" s="49" t="s">
        <v>25</v>
      </c>
      <c r="Q1093" s="166" t="s">
        <v>3628</v>
      </c>
      <c r="R1093" s="151"/>
    </row>
    <row r="1094" spans="1:18">
      <c r="A1094" s="162" t="s">
        <v>43</v>
      </c>
      <c r="B1094" s="101" t="s">
        <v>309</v>
      </c>
      <c r="C1094" s="87" t="s">
        <v>3629</v>
      </c>
      <c r="D1094" s="161" t="s">
        <v>3630</v>
      </c>
      <c r="E1094" s="161" t="s">
        <v>1689</v>
      </c>
      <c r="F1094" s="161" t="s">
        <v>2732</v>
      </c>
      <c r="G1094" s="163">
        <v>140.5119</v>
      </c>
      <c r="H1094" s="163">
        <f t="shared" si="91"/>
        <v>15.4881</v>
      </c>
      <c r="I1094" s="173">
        <v>183</v>
      </c>
      <c r="J1094" s="176">
        <v>17562.7195613095</v>
      </c>
      <c r="K1094" s="176">
        <f t="shared" si="92"/>
        <v>160278.476386483</v>
      </c>
      <c r="L1094" s="163"/>
      <c r="M1094" s="161" t="s">
        <v>3317</v>
      </c>
      <c r="N1094" s="161" t="s">
        <v>1299</v>
      </c>
      <c r="O1094" s="161" t="s">
        <v>25</v>
      </c>
      <c r="P1094" s="49" t="s">
        <v>25</v>
      </c>
      <c r="Q1094" s="166" t="s">
        <v>3631</v>
      </c>
      <c r="R1094" s="151"/>
    </row>
    <row r="1095" spans="1:18">
      <c r="A1095" s="162" t="s">
        <v>43</v>
      </c>
      <c r="B1095" s="101" t="s">
        <v>309</v>
      </c>
      <c r="C1095" s="87" t="s">
        <v>3632</v>
      </c>
      <c r="D1095" s="161" t="s">
        <v>3632</v>
      </c>
      <c r="E1095" s="161" t="s">
        <v>1689</v>
      </c>
      <c r="F1095" s="161" t="s">
        <v>2732</v>
      </c>
      <c r="G1095" s="163">
        <v>163.4201</v>
      </c>
      <c r="H1095" s="163">
        <f t="shared" si="91"/>
        <v>22.9082</v>
      </c>
      <c r="I1095" s="176">
        <v>235</v>
      </c>
      <c r="J1095" s="176">
        <v>25905.0113529316</v>
      </c>
      <c r="K1095" s="176">
        <f t="shared" si="92"/>
        <v>186183.487739415</v>
      </c>
      <c r="L1095" s="163"/>
      <c r="M1095" s="161" t="s">
        <v>3317</v>
      </c>
      <c r="N1095" s="161" t="s">
        <v>1331</v>
      </c>
      <c r="O1095" s="161" t="s">
        <v>14</v>
      </c>
      <c r="P1095" s="49" t="s">
        <v>14</v>
      </c>
      <c r="Q1095" s="166" t="s">
        <v>3633</v>
      </c>
      <c r="R1095" s="151"/>
    </row>
    <row r="1096" spans="1:18">
      <c r="A1096" s="162" t="s">
        <v>43</v>
      </c>
      <c r="B1096" s="101" t="s">
        <v>309</v>
      </c>
      <c r="C1096" s="87" t="s">
        <v>3634</v>
      </c>
      <c r="D1096" s="161" t="s">
        <v>3635</v>
      </c>
      <c r="E1096" s="161" t="s">
        <v>1689</v>
      </c>
      <c r="F1096" s="161" t="s">
        <v>2732</v>
      </c>
      <c r="G1096" s="163">
        <v>172.6243</v>
      </c>
      <c r="H1096" s="163">
        <f t="shared" si="91"/>
        <v>9.20420000000001</v>
      </c>
      <c r="I1096" s="176">
        <v>150</v>
      </c>
      <c r="J1096" s="173">
        <v>12623.2046846912</v>
      </c>
      <c r="K1096" s="176">
        <f t="shared" si="92"/>
        <v>198806.692424106</v>
      </c>
      <c r="L1096" s="174"/>
      <c r="M1096" s="161" t="s">
        <v>3317</v>
      </c>
      <c r="N1096" s="161" t="s">
        <v>1299</v>
      </c>
      <c r="O1096" s="161" t="s">
        <v>25</v>
      </c>
      <c r="P1096" s="49" t="s">
        <v>25</v>
      </c>
      <c r="Q1096" s="166" t="s">
        <v>3636</v>
      </c>
      <c r="R1096" s="151"/>
    </row>
    <row r="1097" spans="1:18">
      <c r="A1097" s="162" t="s">
        <v>43</v>
      </c>
      <c r="B1097" s="101" t="s">
        <v>309</v>
      </c>
      <c r="C1097" s="87" t="s">
        <v>3637</v>
      </c>
      <c r="D1097" s="161" t="s">
        <v>3638</v>
      </c>
      <c r="E1097" s="161" t="s">
        <v>1689</v>
      </c>
      <c r="F1097" s="161" t="s">
        <v>2732</v>
      </c>
      <c r="G1097" s="163">
        <v>192.0191</v>
      </c>
      <c r="H1097" s="163">
        <f t="shared" si="91"/>
        <v>19.3948</v>
      </c>
      <c r="I1097" s="176">
        <v>209</v>
      </c>
      <c r="J1097" s="176">
        <v>26234.3123447061</v>
      </c>
      <c r="K1097" s="176">
        <f t="shared" si="92"/>
        <v>225041.004768812</v>
      </c>
      <c r="L1097" s="163"/>
      <c r="M1097" s="161" t="s">
        <v>3317</v>
      </c>
      <c r="N1097" s="161" t="s">
        <v>1299</v>
      </c>
      <c r="O1097" s="161" t="s">
        <v>25</v>
      </c>
      <c r="P1097" s="49" t="s">
        <v>25</v>
      </c>
      <c r="Q1097" s="166" t="s">
        <v>3639</v>
      </c>
      <c r="R1097" s="151"/>
    </row>
    <row r="1098" spans="1:18">
      <c r="A1098" s="162" t="s">
        <v>43</v>
      </c>
      <c r="B1098" s="101" t="s">
        <v>309</v>
      </c>
      <c r="C1098" s="87" t="s">
        <v>3640</v>
      </c>
      <c r="D1098" s="161" t="s">
        <v>3640</v>
      </c>
      <c r="E1098" s="161" t="s">
        <v>1689</v>
      </c>
      <c r="F1098" s="161" t="s">
        <v>2732</v>
      </c>
      <c r="G1098" s="163">
        <v>211.5895</v>
      </c>
      <c r="H1098" s="163">
        <f t="shared" ref="H1098:H1116" si="93">G1098-G1097</f>
        <v>19.5704</v>
      </c>
      <c r="I1098" s="173">
        <v>195</v>
      </c>
      <c r="J1098" s="173">
        <v>10427.8647395275</v>
      </c>
      <c r="K1098" s="176">
        <f>J1098+K1099</f>
        <v>260934.812872239</v>
      </c>
      <c r="L1098" s="174"/>
      <c r="M1098" s="161" t="s">
        <v>3317</v>
      </c>
      <c r="N1098" s="161" t="s">
        <v>1331</v>
      </c>
      <c r="O1098" s="161" t="s">
        <v>14</v>
      </c>
      <c r="P1098" s="49" t="s">
        <v>14</v>
      </c>
      <c r="Q1098" s="166" t="s">
        <v>3641</v>
      </c>
      <c r="R1098" s="151"/>
    </row>
    <row r="1099" spans="1:18">
      <c r="A1099" s="162" t="s">
        <v>43</v>
      </c>
      <c r="B1099" s="101" t="s">
        <v>309</v>
      </c>
      <c r="C1099" s="87" t="s">
        <v>3642</v>
      </c>
      <c r="D1099" s="161" t="s">
        <v>3643</v>
      </c>
      <c r="E1099" s="161" t="s">
        <v>1689</v>
      </c>
      <c r="F1099" s="161" t="s">
        <v>2732</v>
      </c>
      <c r="G1099" s="163">
        <v>219.6902</v>
      </c>
      <c r="H1099" s="163">
        <f t="shared" si="93"/>
        <v>8.10070000000002</v>
      </c>
      <c r="I1099" s="173">
        <v>359</v>
      </c>
      <c r="J1099" s="173">
        <v>25465.9433638988</v>
      </c>
      <c r="K1099" s="176">
        <f>J1099+K1097</f>
        <v>250506.948132711</v>
      </c>
      <c r="L1099" s="163"/>
      <c r="M1099" s="161" t="s">
        <v>3317</v>
      </c>
      <c r="N1099" s="161" t="s">
        <v>1299</v>
      </c>
      <c r="O1099" s="161" t="s">
        <v>25</v>
      </c>
      <c r="P1099" s="49" t="s">
        <v>25</v>
      </c>
      <c r="Q1099" s="166" t="s">
        <v>3644</v>
      </c>
      <c r="R1099" s="151"/>
    </row>
    <row r="1100" spans="1:18">
      <c r="A1100" s="162" t="s">
        <v>43</v>
      </c>
      <c r="B1100" s="101" t="s">
        <v>309</v>
      </c>
      <c r="C1100" s="87" t="s">
        <v>3645</v>
      </c>
      <c r="D1100" s="161" t="s">
        <v>3646</v>
      </c>
      <c r="E1100" s="161" t="s">
        <v>3647</v>
      </c>
      <c r="F1100" s="161" t="s">
        <v>3648</v>
      </c>
      <c r="G1100" s="163">
        <v>238.5764</v>
      </c>
      <c r="H1100" s="163">
        <f t="shared" si="93"/>
        <v>18.8862</v>
      </c>
      <c r="I1100" s="176">
        <v>554</v>
      </c>
      <c r="J1100" s="176">
        <v>14817.7136</v>
      </c>
      <c r="K1100" s="176">
        <f>J1100+K1098</f>
        <v>275752.526472239</v>
      </c>
      <c r="L1100" s="174"/>
      <c r="M1100" s="161" t="s">
        <v>3317</v>
      </c>
      <c r="N1100" s="161" t="s">
        <v>1299</v>
      </c>
      <c r="O1100" s="161" t="s">
        <v>25</v>
      </c>
      <c r="P1100" s="49" t="s">
        <v>25</v>
      </c>
      <c r="Q1100" s="166" t="s">
        <v>3649</v>
      </c>
      <c r="R1100" s="151"/>
    </row>
    <row r="1101" spans="1:18">
      <c r="A1101" s="162" t="s">
        <v>43</v>
      </c>
      <c r="B1101" s="101" t="s">
        <v>309</v>
      </c>
      <c r="C1101" s="87" t="s">
        <v>3650</v>
      </c>
      <c r="D1101" s="161" t="s">
        <v>3651</v>
      </c>
      <c r="E1101" s="161" t="s">
        <v>3647</v>
      </c>
      <c r="F1101" s="161" t="s">
        <v>3648</v>
      </c>
      <c r="G1101" s="163">
        <v>272.0362</v>
      </c>
      <c r="H1101" s="163">
        <f t="shared" si="93"/>
        <v>33.4598</v>
      </c>
      <c r="I1101" s="176">
        <v>283</v>
      </c>
      <c r="J1101" s="176">
        <v>26247.4684</v>
      </c>
      <c r="K1101" s="176">
        <f t="shared" si="92"/>
        <v>301999.994872239</v>
      </c>
      <c r="L1101" s="163"/>
      <c r="M1101" s="161" t="s">
        <v>3317</v>
      </c>
      <c r="N1101" s="161" t="s">
        <v>1299</v>
      </c>
      <c r="O1101" s="161" t="s">
        <v>25</v>
      </c>
      <c r="P1101" s="49" t="s">
        <v>25</v>
      </c>
      <c r="Q1101" s="166" t="s">
        <v>3652</v>
      </c>
      <c r="R1101" s="151"/>
    </row>
    <row r="1102" spans="1:18">
      <c r="A1102" s="162" t="s">
        <v>43</v>
      </c>
      <c r="B1102" s="101" t="s">
        <v>309</v>
      </c>
      <c r="C1102" s="87" t="s">
        <v>3653</v>
      </c>
      <c r="D1102" s="162" t="s">
        <v>3653</v>
      </c>
      <c r="E1102" s="161" t="s">
        <v>3647</v>
      </c>
      <c r="F1102" s="161" t="s">
        <v>3648</v>
      </c>
      <c r="G1102" s="163">
        <v>272.0362</v>
      </c>
      <c r="H1102" s="163">
        <f t="shared" si="93"/>
        <v>0</v>
      </c>
      <c r="I1102" s="176" t="s">
        <v>147</v>
      </c>
      <c r="J1102" s="176" t="s">
        <v>147</v>
      </c>
      <c r="K1102" s="176" t="s">
        <v>147</v>
      </c>
      <c r="L1102" s="163"/>
      <c r="M1102" s="161"/>
      <c r="N1102" s="161"/>
      <c r="O1102" s="161" t="s">
        <v>14</v>
      </c>
      <c r="P1102" s="49" t="s">
        <v>14</v>
      </c>
      <c r="Q1102" s="166" t="s">
        <v>3652</v>
      </c>
      <c r="R1102" s="151"/>
    </row>
    <row r="1103" spans="1:18">
      <c r="A1103" s="162" t="s">
        <v>43</v>
      </c>
      <c r="B1103" s="101" t="s">
        <v>309</v>
      </c>
      <c r="C1103" s="87" t="s">
        <v>3654</v>
      </c>
      <c r="D1103" s="161" t="s">
        <v>3655</v>
      </c>
      <c r="E1103" s="161" t="s">
        <v>3647</v>
      </c>
      <c r="F1103" s="161" t="s">
        <v>3648</v>
      </c>
      <c r="G1103" s="163">
        <v>298.9202</v>
      </c>
      <c r="H1103" s="163">
        <f t="shared" si="93"/>
        <v>26.884</v>
      </c>
      <c r="I1103" s="176">
        <v>264</v>
      </c>
      <c r="J1103" s="173">
        <v>29146.6334</v>
      </c>
      <c r="K1103" s="176">
        <f>J1103+K1101</f>
        <v>331146.628272239</v>
      </c>
      <c r="L1103" s="163"/>
      <c r="M1103" s="161" t="s">
        <v>3317</v>
      </c>
      <c r="N1103" s="161" t="s">
        <v>1299</v>
      </c>
      <c r="O1103" s="161" t="s">
        <v>25</v>
      </c>
      <c r="P1103" s="49" t="s">
        <v>25</v>
      </c>
      <c r="Q1103" s="166" t="s">
        <v>3656</v>
      </c>
      <c r="R1103" s="151"/>
    </row>
    <row r="1104" spans="1:18">
      <c r="A1104" s="162" t="s">
        <v>43</v>
      </c>
      <c r="B1104" s="101" t="s">
        <v>309</v>
      </c>
      <c r="C1104" s="87" t="s">
        <v>3657</v>
      </c>
      <c r="D1104" s="161" t="s">
        <v>3658</v>
      </c>
      <c r="E1104" s="161" t="s">
        <v>3647</v>
      </c>
      <c r="F1104" s="161" t="s">
        <v>3648</v>
      </c>
      <c r="G1104" s="163">
        <v>322.1713</v>
      </c>
      <c r="H1104" s="163">
        <f t="shared" si="93"/>
        <v>23.2511</v>
      </c>
      <c r="I1104" s="173">
        <v>385</v>
      </c>
      <c r="J1104" s="176">
        <v>25212.4394</v>
      </c>
      <c r="K1104" s="176">
        <f t="shared" ref="K1104:K1116" si="94">J1104+K1103</f>
        <v>356359.067672239</v>
      </c>
      <c r="L1104" s="174"/>
      <c r="M1104" s="161" t="s">
        <v>3317</v>
      </c>
      <c r="N1104" s="161" t="s">
        <v>1901</v>
      </c>
      <c r="O1104" s="161" t="s">
        <v>25</v>
      </c>
      <c r="P1104" s="49" t="s">
        <v>25</v>
      </c>
      <c r="Q1104" s="166" t="s">
        <v>3659</v>
      </c>
      <c r="R1104" s="151"/>
    </row>
    <row r="1105" spans="1:18">
      <c r="A1105" s="162" t="s">
        <v>43</v>
      </c>
      <c r="B1105" s="101" t="s">
        <v>309</v>
      </c>
      <c r="C1105" s="87" t="s">
        <v>3660</v>
      </c>
      <c r="D1105" s="161" t="s">
        <v>3661</v>
      </c>
      <c r="E1105" s="161" t="s">
        <v>3647</v>
      </c>
      <c r="F1105" s="161" t="s">
        <v>3648</v>
      </c>
      <c r="G1105" s="163">
        <v>345.3454</v>
      </c>
      <c r="H1105" s="163">
        <f t="shared" si="93"/>
        <v>23.1741</v>
      </c>
      <c r="I1105" s="173">
        <v>511</v>
      </c>
      <c r="J1105" s="176">
        <v>25121.4002</v>
      </c>
      <c r="K1105" s="176">
        <f t="shared" si="94"/>
        <v>381480.467872239</v>
      </c>
      <c r="L1105" s="163"/>
      <c r="M1105" s="161" t="s">
        <v>3317</v>
      </c>
      <c r="N1105" s="161" t="s">
        <v>1299</v>
      </c>
      <c r="O1105" s="161" t="s">
        <v>25</v>
      </c>
      <c r="P1105" s="49" t="s">
        <v>25</v>
      </c>
      <c r="Q1105" s="166" t="s">
        <v>3662</v>
      </c>
      <c r="R1105" s="151"/>
    </row>
    <row r="1106" spans="1:18">
      <c r="A1106" s="162" t="s">
        <v>43</v>
      </c>
      <c r="B1106" s="101" t="s">
        <v>309</v>
      </c>
      <c r="C1106" s="87" t="s">
        <v>3663</v>
      </c>
      <c r="D1106" s="161" t="s">
        <v>3664</v>
      </c>
      <c r="E1106" s="161" t="s">
        <v>3647</v>
      </c>
      <c r="F1106" s="161" t="s">
        <v>3648</v>
      </c>
      <c r="G1106" s="163">
        <v>364.8346</v>
      </c>
      <c r="H1106" s="163">
        <f t="shared" si="93"/>
        <v>19.4892</v>
      </c>
      <c r="I1106" s="176">
        <v>494</v>
      </c>
      <c r="J1106" s="173">
        <v>21127.5972</v>
      </c>
      <c r="K1106" s="176">
        <f t="shared" si="94"/>
        <v>402608.065072239</v>
      </c>
      <c r="L1106" s="163"/>
      <c r="M1106" s="161" t="s">
        <v>3317</v>
      </c>
      <c r="N1106" s="161" t="s">
        <v>1901</v>
      </c>
      <c r="O1106" s="161" t="s">
        <v>25</v>
      </c>
      <c r="P1106" s="49" t="s">
        <v>25</v>
      </c>
      <c r="Q1106" s="166" t="s">
        <v>3665</v>
      </c>
      <c r="R1106" s="151"/>
    </row>
    <row r="1107" spans="1:18">
      <c r="A1107" s="162" t="s">
        <v>43</v>
      </c>
      <c r="B1107" s="101" t="s">
        <v>309</v>
      </c>
      <c r="C1107" s="87" t="s">
        <v>3666</v>
      </c>
      <c r="D1107" s="161" t="s">
        <v>3667</v>
      </c>
      <c r="E1107" s="161" t="s">
        <v>3647</v>
      </c>
      <c r="F1107" s="161" t="s">
        <v>3648</v>
      </c>
      <c r="G1107" s="163">
        <v>377.1569</v>
      </c>
      <c r="H1107" s="163">
        <f t="shared" si="93"/>
        <v>12.3223</v>
      </c>
      <c r="I1107" s="176">
        <v>805</v>
      </c>
      <c r="J1107" s="176">
        <v>13355.6674</v>
      </c>
      <c r="K1107" s="176">
        <f t="shared" si="94"/>
        <v>415963.732472239</v>
      </c>
      <c r="L1107" s="174"/>
      <c r="M1107" s="161" t="s">
        <v>3317</v>
      </c>
      <c r="N1107" s="161" t="s">
        <v>1901</v>
      </c>
      <c r="O1107" s="161" t="s">
        <v>25</v>
      </c>
      <c r="P1107" s="49" t="s">
        <v>25</v>
      </c>
      <c r="Q1107" s="166" t="s">
        <v>3668</v>
      </c>
      <c r="R1107" s="151"/>
    </row>
    <row r="1108" spans="1:18">
      <c r="A1108" s="162" t="s">
        <v>43</v>
      </c>
      <c r="B1108" s="101" t="s">
        <v>309</v>
      </c>
      <c r="C1108" s="87" t="s">
        <v>3669</v>
      </c>
      <c r="D1108" s="161" t="s">
        <v>3669</v>
      </c>
      <c r="E1108" s="161" t="s">
        <v>3647</v>
      </c>
      <c r="F1108" s="161" t="s">
        <v>3648</v>
      </c>
      <c r="G1108" s="163">
        <v>403.0002</v>
      </c>
      <c r="H1108" s="163">
        <f t="shared" si="93"/>
        <v>25.8433</v>
      </c>
      <c r="I1108" s="176">
        <v>399</v>
      </c>
      <c r="J1108" s="173">
        <v>27975.0456</v>
      </c>
      <c r="K1108" s="176">
        <f t="shared" si="94"/>
        <v>443938.778072239</v>
      </c>
      <c r="L1108" s="174"/>
      <c r="M1108" s="161" t="s">
        <v>3317</v>
      </c>
      <c r="N1108" s="161" t="s">
        <v>1331</v>
      </c>
      <c r="O1108" s="161" t="s">
        <v>14</v>
      </c>
      <c r="P1108" s="49" t="s">
        <v>14</v>
      </c>
      <c r="Q1108" s="166" t="s">
        <v>3670</v>
      </c>
      <c r="R1108" s="151"/>
    </row>
    <row r="1109" spans="1:18">
      <c r="A1109" s="162" t="s">
        <v>43</v>
      </c>
      <c r="B1109" s="101" t="s">
        <v>309</v>
      </c>
      <c r="C1109" s="87" t="s">
        <v>3671</v>
      </c>
      <c r="D1109" s="161" t="s">
        <v>3672</v>
      </c>
      <c r="E1109" s="161" t="s">
        <v>3647</v>
      </c>
      <c r="F1109" s="161" t="s">
        <v>3648</v>
      </c>
      <c r="G1109" s="163">
        <v>416.6095</v>
      </c>
      <c r="H1109" s="163">
        <f t="shared" si="93"/>
        <v>13.6093</v>
      </c>
      <c r="I1109" s="173">
        <v>476</v>
      </c>
      <c r="J1109" s="173">
        <v>15031.2222</v>
      </c>
      <c r="K1109" s="176">
        <f t="shared" si="94"/>
        <v>458970.000272239</v>
      </c>
      <c r="L1109" s="163"/>
      <c r="M1109" s="161" t="s">
        <v>3317</v>
      </c>
      <c r="N1109" s="161" t="s">
        <v>1901</v>
      </c>
      <c r="O1109" s="161" t="s">
        <v>25</v>
      </c>
      <c r="P1109" s="49" t="s">
        <v>25</v>
      </c>
      <c r="Q1109" s="166" t="s">
        <v>3673</v>
      </c>
      <c r="R1109" s="151"/>
    </row>
    <row r="1110" spans="1:18">
      <c r="A1110" s="162" t="s">
        <v>43</v>
      </c>
      <c r="B1110" s="101" t="s">
        <v>309</v>
      </c>
      <c r="C1110" s="87" t="s">
        <v>3674</v>
      </c>
      <c r="D1110" s="161" t="s">
        <v>3675</v>
      </c>
      <c r="E1110" s="161" t="s">
        <v>3647</v>
      </c>
      <c r="F1110" s="161" t="s">
        <v>3648</v>
      </c>
      <c r="G1110" s="163">
        <v>433.18</v>
      </c>
      <c r="H1110" s="163">
        <f t="shared" si="93"/>
        <v>16.5705</v>
      </c>
      <c r="I1110" s="173">
        <v>662</v>
      </c>
      <c r="J1110" s="176">
        <v>18440.857</v>
      </c>
      <c r="K1110" s="176">
        <f t="shared" si="94"/>
        <v>477410.857272239</v>
      </c>
      <c r="L1110" s="163"/>
      <c r="M1110" s="161" t="s">
        <v>3317</v>
      </c>
      <c r="N1110" s="161" t="s">
        <v>1901</v>
      </c>
      <c r="O1110" s="161" t="s">
        <v>25</v>
      </c>
      <c r="P1110" s="49" t="s">
        <v>25</v>
      </c>
      <c r="Q1110" s="166" t="s">
        <v>3676</v>
      </c>
      <c r="R1110" s="151"/>
    </row>
    <row r="1111" spans="1:18">
      <c r="A1111" s="162" t="s">
        <v>43</v>
      </c>
      <c r="B1111" s="101" t="s">
        <v>309</v>
      </c>
      <c r="C1111" s="87" t="s">
        <v>3677</v>
      </c>
      <c r="D1111" s="161" t="s">
        <v>3678</v>
      </c>
      <c r="E1111" s="161" t="s">
        <v>3647</v>
      </c>
      <c r="F1111" s="161" t="s">
        <v>3679</v>
      </c>
      <c r="G1111" s="163">
        <v>456.1427</v>
      </c>
      <c r="H1111" s="163">
        <f t="shared" si="93"/>
        <v>22.9627</v>
      </c>
      <c r="I1111" s="176">
        <v>413</v>
      </c>
      <c r="J1111" s="176">
        <v>25604.775</v>
      </c>
      <c r="K1111" s="176">
        <f t="shared" si="94"/>
        <v>503015.632272239</v>
      </c>
      <c r="L1111" s="174"/>
      <c r="M1111" s="161" t="s">
        <v>3317</v>
      </c>
      <c r="N1111" s="161" t="s">
        <v>1901</v>
      </c>
      <c r="O1111" s="161" t="s">
        <v>25</v>
      </c>
      <c r="P1111" s="49" t="s">
        <v>25</v>
      </c>
      <c r="Q1111" s="166" t="s">
        <v>3680</v>
      </c>
      <c r="R1111" s="151"/>
    </row>
    <row r="1112" spans="1:18">
      <c r="A1112" s="162" t="s">
        <v>43</v>
      </c>
      <c r="B1112" s="101" t="s">
        <v>309</v>
      </c>
      <c r="C1112" s="87" t="s">
        <v>3681</v>
      </c>
      <c r="D1112" s="161" t="s">
        <v>3682</v>
      </c>
      <c r="E1112" s="161" t="s">
        <v>3647</v>
      </c>
      <c r="F1112" s="161" t="s">
        <v>3679</v>
      </c>
      <c r="G1112" s="163">
        <v>479.5213</v>
      </c>
      <c r="H1112" s="163">
        <f t="shared" si="93"/>
        <v>23.3786</v>
      </c>
      <c r="I1112" s="176">
        <v>77</v>
      </c>
      <c r="J1112" s="173">
        <v>25912.5742</v>
      </c>
      <c r="K1112" s="176">
        <f t="shared" si="94"/>
        <v>528928.206472239</v>
      </c>
      <c r="L1112" s="163"/>
      <c r="M1112" s="161" t="s">
        <v>3317</v>
      </c>
      <c r="N1112" s="161" t="s">
        <v>1901</v>
      </c>
      <c r="O1112" s="161" t="s">
        <v>25</v>
      </c>
      <c r="P1112" s="49" t="s">
        <v>25</v>
      </c>
      <c r="Q1112" s="166" t="s">
        <v>3683</v>
      </c>
      <c r="R1112" s="151"/>
    </row>
    <row r="1113" spans="1:18">
      <c r="A1113" s="162" t="s">
        <v>43</v>
      </c>
      <c r="B1113" s="101" t="s">
        <v>309</v>
      </c>
      <c r="C1113" s="87" t="s">
        <v>3684</v>
      </c>
      <c r="D1113" s="161" t="s">
        <v>3684</v>
      </c>
      <c r="E1113" s="161" t="s">
        <v>3647</v>
      </c>
      <c r="F1113" s="161" t="s">
        <v>3679</v>
      </c>
      <c r="G1113" s="163">
        <v>500.8703</v>
      </c>
      <c r="H1113" s="163">
        <f t="shared" si="93"/>
        <v>21.349</v>
      </c>
      <c r="I1113" s="176">
        <v>36</v>
      </c>
      <c r="J1113" s="176">
        <v>23831.6782</v>
      </c>
      <c r="K1113" s="176">
        <f t="shared" si="94"/>
        <v>552759.884672239</v>
      </c>
      <c r="L1113" s="163"/>
      <c r="M1113" s="161" t="s">
        <v>3317</v>
      </c>
      <c r="N1113" s="161" t="s">
        <v>1331</v>
      </c>
      <c r="O1113" s="161" t="s">
        <v>14</v>
      </c>
      <c r="P1113" s="49" t="s">
        <v>14</v>
      </c>
      <c r="Q1113" s="166" t="s">
        <v>3685</v>
      </c>
      <c r="R1113" s="151"/>
    </row>
    <row r="1114" spans="1:18">
      <c r="A1114" s="162" t="s">
        <v>43</v>
      </c>
      <c r="B1114" s="101" t="s">
        <v>309</v>
      </c>
      <c r="C1114" s="87" t="s">
        <v>3686</v>
      </c>
      <c r="D1114" s="161" t="s">
        <v>3687</v>
      </c>
      <c r="E1114" s="161" t="s">
        <v>3647</v>
      </c>
      <c r="F1114" s="161" t="s">
        <v>3679</v>
      </c>
      <c r="G1114" s="163">
        <v>510.7371</v>
      </c>
      <c r="H1114" s="163">
        <f t="shared" si="93"/>
        <v>9.86680000000001</v>
      </c>
      <c r="I1114" s="173">
        <v>8</v>
      </c>
      <c r="J1114" s="176">
        <v>7508.0654</v>
      </c>
      <c r="K1114" s="176">
        <f t="shared" si="94"/>
        <v>560267.950072239</v>
      </c>
      <c r="L1114" s="174"/>
      <c r="M1114" s="161" t="s">
        <v>3317</v>
      </c>
      <c r="N1114" s="161" t="s">
        <v>1299</v>
      </c>
      <c r="O1114" s="161" t="s">
        <v>25</v>
      </c>
      <c r="P1114" s="49" t="s">
        <v>25</v>
      </c>
      <c r="Q1114" s="166" t="s">
        <v>3688</v>
      </c>
      <c r="R1114" s="151"/>
    </row>
    <row r="1115" spans="1:18">
      <c r="A1115" s="162" t="s">
        <v>43</v>
      </c>
      <c r="B1115" s="101" t="s">
        <v>309</v>
      </c>
      <c r="C1115" s="87" t="s">
        <v>3689</v>
      </c>
      <c r="D1115" s="161" t="s">
        <v>3690</v>
      </c>
      <c r="E1115" s="161" t="s">
        <v>3647</v>
      </c>
      <c r="F1115" s="161" t="s">
        <v>3679</v>
      </c>
      <c r="G1115" s="163">
        <v>518.6269</v>
      </c>
      <c r="H1115" s="163">
        <f t="shared" si="93"/>
        <v>7.88979999999998</v>
      </c>
      <c r="I1115" s="173">
        <v>110</v>
      </c>
      <c r="J1115" s="173">
        <v>6058.1345</v>
      </c>
      <c r="K1115" s="176">
        <f t="shared" si="94"/>
        <v>566326.084572239</v>
      </c>
      <c r="L1115" s="174"/>
      <c r="M1115" s="161" t="s">
        <v>3317</v>
      </c>
      <c r="N1115" s="161" t="s">
        <v>1299</v>
      </c>
      <c r="O1115" s="161" t="s">
        <v>25</v>
      </c>
      <c r="P1115" s="49" t="s">
        <v>25</v>
      </c>
      <c r="Q1115" s="166" t="s">
        <v>3691</v>
      </c>
      <c r="R1115" s="151"/>
    </row>
    <row r="1116" spans="1:18">
      <c r="A1116" s="162" t="s">
        <v>43</v>
      </c>
      <c r="B1116" s="101" t="s">
        <v>309</v>
      </c>
      <c r="C1116" s="87" t="s">
        <v>3692</v>
      </c>
      <c r="D1116" s="161" t="s">
        <v>3693</v>
      </c>
      <c r="E1116" s="161" t="s">
        <v>3647</v>
      </c>
      <c r="F1116" s="161" t="s">
        <v>3679</v>
      </c>
      <c r="G1116" s="163">
        <v>533.0778</v>
      </c>
      <c r="H1116" s="163">
        <f t="shared" si="93"/>
        <v>14.4509</v>
      </c>
      <c r="I1116" s="176">
        <v>110</v>
      </c>
      <c r="J1116" s="176">
        <v>11075.1784</v>
      </c>
      <c r="K1116" s="176">
        <f t="shared" si="94"/>
        <v>577401.262972239</v>
      </c>
      <c r="L1116" s="163"/>
      <c r="M1116" s="161" t="s">
        <v>3317</v>
      </c>
      <c r="N1116" s="161" t="s">
        <v>1901</v>
      </c>
      <c r="O1116" s="161" t="s">
        <v>25</v>
      </c>
      <c r="P1116" s="49" t="s">
        <v>25</v>
      </c>
      <c r="Q1116" s="166" t="s">
        <v>3694</v>
      </c>
      <c r="R1116" s="151"/>
    </row>
    <row r="1117" ht="30" spans="1:18">
      <c r="A1117" s="162" t="s">
        <v>43</v>
      </c>
      <c r="B1117" s="101" t="s">
        <v>309</v>
      </c>
      <c r="C1117" s="87" t="s">
        <v>3695</v>
      </c>
      <c r="D1117" s="49" t="s">
        <v>3695</v>
      </c>
      <c r="E1117" s="161" t="s">
        <v>3647</v>
      </c>
      <c r="F1117" s="161" t="s">
        <v>3679</v>
      </c>
      <c r="G1117" s="163"/>
      <c r="H1117" s="163"/>
      <c r="I1117" s="173"/>
      <c r="J1117" s="173"/>
      <c r="K1117" s="176"/>
      <c r="L1117" s="174" t="s">
        <v>3696</v>
      </c>
      <c r="M1117" s="161" t="s">
        <v>3317</v>
      </c>
      <c r="N1117" s="161"/>
      <c r="O1117" s="161"/>
      <c r="P1117" s="49" t="s">
        <v>14</v>
      </c>
      <c r="Q1117" s="166"/>
      <c r="R1117" s="151"/>
    </row>
    <row r="1118" spans="1:18">
      <c r="A1118" s="162" t="s">
        <v>43</v>
      </c>
      <c r="B1118" s="101" t="s">
        <v>309</v>
      </c>
      <c r="C1118" s="87" t="s">
        <v>3697</v>
      </c>
      <c r="D1118" s="161" t="s">
        <v>3697</v>
      </c>
      <c r="E1118" s="161" t="s">
        <v>3647</v>
      </c>
      <c r="F1118" s="161" t="s">
        <v>3679</v>
      </c>
      <c r="G1118" s="163">
        <v>548.8004</v>
      </c>
      <c r="H1118" s="163">
        <f>G1118-G1116</f>
        <v>15.7225999999999</v>
      </c>
      <c r="I1118" s="176">
        <v>23</v>
      </c>
      <c r="J1118" s="173">
        <v>11985.2018</v>
      </c>
      <c r="K1118" s="176">
        <f>J1118+K1116</f>
        <v>589386.464772239</v>
      </c>
      <c r="L1118" s="163"/>
      <c r="M1118" s="161" t="s">
        <v>3317</v>
      </c>
      <c r="N1118" s="161" t="s">
        <v>1331</v>
      </c>
      <c r="O1118" s="161" t="s">
        <v>14</v>
      </c>
      <c r="P1118" s="49" t="s">
        <v>14</v>
      </c>
      <c r="Q1118" s="166" t="s">
        <v>3698</v>
      </c>
      <c r="R1118" s="151"/>
    </row>
    <row r="1119" spans="1:18">
      <c r="A1119" s="162" t="s">
        <v>43</v>
      </c>
      <c r="B1119" s="101" t="s">
        <v>309</v>
      </c>
      <c r="C1119" s="87" t="s">
        <v>3699</v>
      </c>
      <c r="D1119" s="161" t="s">
        <v>3700</v>
      </c>
      <c r="E1119" s="161" t="s">
        <v>3647</v>
      </c>
      <c r="F1119" s="161" t="s">
        <v>3679</v>
      </c>
      <c r="G1119" s="163">
        <v>557.9786</v>
      </c>
      <c r="H1119" s="163">
        <f t="shared" ref="H1119:H1136" si="95">G1119-G1118</f>
        <v>9.17820000000006</v>
      </c>
      <c r="I1119" s="176">
        <v>44</v>
      </c>
      <c r="J1119" s="173">
        <v>6952.5192</v>
      </c>
      <c r="K1119" s="176">
        <f>J1119+K1118</f>
        <v>596338.983972239</v>
      </c>
      <c r="L1119" s="174"/>
      <c r="M1119" s="161" t="s">
        <v>3317</v>
      </c>
      <c r="N1119" s="161" t="s">
        <v>1299</v>
      </c>
      <c r="O1119" s="161" t="s">
        <v>25</v>
      </c>
      <c r="P1119" s="49" t="s">
        <v>25</v>
      </c>
      <c r="Q1119" s="166" t="s">
        <v>3701</v>
      </c>
      <c r="R1119" s="151"/>
    </row>
    <row r="1120" spans="1:18">
      <c r="A1120" s="162" t="s">
        <v>43</v>
      </c>
      <c r="B1120" s="101" t="s">
        <v>309</v>
      </c>
      <c r="C1120" s="87" t="s">
        <v>3702</v>
      </c>
      <c r="D1120" s="161" t="s">
        <v>3702</v>
      </c>
      <c r="E1120" s="161" t="s">
        <v>3647</v>
      </c>
      <c r="F1120" s="161" t="s">
        <v>3679</v>
      </c>
      <c r="G1120" s="163">
        <v>568.4704</v>
      </c>
      <c r="H1120" s="163">
        <f t="shared" si="95"/>
        <v>10.4918</v>
      </c>
      <c r="I1120" s="173">
        <v>45</v>
      </c>
      <c r="J1120" s="176">
        <v>7939.9914</v>
      </c>
      <c r="K1120" s="176">
        <f>J1120+K1119</f>
        <v>604278.975372239</v>
      </c>
      <c r="L1120" s="163"/>
      <c r="M1120" s="161" t="s">
        <v>3317</v>
      </c>
      <c r="N1120" s="161" t="s">
        <v>1331</v>
      </c>
      <c r="O1120" s="161" t="s">
        <v>14</v>
      </c>
      <c r="P1120" s="49" t="s">
        <v>14</v>
      </c>
      <c r="Q1120" s="166" t="s">
        <v>3703</v>
      </c>
      <c r="R1120" s="151"/>
    </row>
    <row r="1121" spans="1:18">
      <c r="A1121" s="162" t="s">
        <v>43</v>
      </c>
      <c r="B1121" s="101" t="s">
        <v>309</v>
      </c>
      <c r="C1121" s="87" t="s">
        <v>3704</v>
      </c>
      <c r="D1121" s="161" t="s">
        <v>3705</v>
      </c>
      <c r="E1121" s="161" t="s">
        <v>3647</v>
      </c>
      <c r="F1121" s="161" t="s">
        <v>3679</v>
      </c>
      <c r="G1121" s="163">
        <v>582.7728</v>
      </c>
      <c r="H1121" s="163">
        <f t="shared" si="95"/>
        <v>14.3023999999999</v>
      </c>
      <c r="I1121" s="173">
        <v>43</v>
      </c>
      <c r="J1121" s="176">
        <v>10997.7296</v>
      </c>
      <c r="K1121" s="176">
        <f>J1121+K1120</f>
        <v>615276.704972239</v>
      </c>
      <c r="L1121" s="163"/>
      <c r="M1121" s="161" t="s">
        <v>3317</v>
      </c>
      <c r="N1121" s="161" t="s">
        <v>1299</v>
      </c>
      <c r="O1121" s="161" t="s">
        <v>25</v>
      </c>
      <c r="P1121" s="49" t="s">
        <v>25</v>
      </c>
      <c r="Q1121" s="166" t="s">
        <v>3706</v>
      </c>
      <c r="R1121" s="151"/>
    </row>
    <row r="1122" spans="1:18">
      <c r="A1122" s="162" t="s">
        <v>43</v>
      </c>
      <c r="B1122" s="101" t="s">
        <v>309</v>
      </c>
      <c r="C1122" s="87" t="s">
        <v>3707</v>
      </c>
      <c r="D1122" s="161" t="s">
        <v>3708</v>
      </c>
      <c r="E1122" s="161" t="s">
        <v>3647</v>
      </c>
      <c r="F1122" s="161" t="s">
        <v>3679</v>
      </c>
      <c r="G1122" s="163">
        <v>596.6527</v>
      </c>
      <c r="H1122" s="163">
        <f t="shared" si="95"/>
        <v>13.8799</v>
      </c>
      <c r="I1122" s="176">
        <v>134</v>
      </c>
      <c r="J1122" s="173">
        <v>10633.5713</v>
      </c>
      <c r="K1122" s="176">
        <f>J1122+K1121</f>
        <v>625910.276272239</v>
      </c>
      <c r="L1122" s="174"/>
      <c r="M1122" s="161" t="s">
        <v>3317</v>
      </c>
      <c r="N1122" s="161" t="s">
        <v>1901</v>
      </c>
      <c r="O1122" s="161" t="s">
        <v>25</v>
      </c>
      <c r="P1122" s="49" t="s">
        <v>25</v>
      </c>
      <c r="Q1122" s="166" t="s">
        <v>3709</v>
      </c>
      <c r="R1122" s="151"/>
    </row>
    <row r="1123" spans="1:18">
      <c r="A1123" s="162" t="s">
        <v>43</v>
      </c>
      <c r="B1123" s="101" t="s">
        <v>309</v>
      </c>
      <c r="C1123" s="87" t="s">
        <v>3710</v>
      </c>
      <c r="D1123" s="161" t="s">
        <v>3711</v>
      </c>
      <c r="E1123" s="161" t="s">
        <v>3647</v>
      </c>
      <c r="F1123" s="161" t="s">
        <v>3679</v>
      </c>
      <c r="G1123" s="163">
        <v>611.7695</v>
      </c>
      <c r="H1123" s="163">
        <f t="shared" si="95"/>
        <v>15.1168</v>
      </c>
      <c r="I1123" s="176">
        <v>68</v>
      </c>
      <c r="J1123" s="176">
        <v>11577.8509</v>
      </c>
      <c r="K1123" s="176">
        <f>J1123+K1122</f>
        <v>637488.127172239</v>
      </c>
      <c r="L1123" s="174"/>
      <c r="M1123" s="161" t="s">
        <v>3317</v>
      </c>
      <c r="N1123" s="161" t="s">
        <v>1901</v>
      </c>
      <c r="O1123" s="161" t="s">
        <v>25</v>
      </c>
      <c r="P1123" s="49" t="s">
        <v>25</v>
      </c>
      <c r="Q1123" s="166" t="s">
        <v>3712</v>
      </c>
      <c r="R1123" s="151"/>
    </row>
    <row r="1124" ht="45" spans="1:18">
      <c r="A1124" s="162" t="s">
        <v>43</v>
      </c>
      <c r="B1124" s="101" t="s">
        <v>309</v>
      </c>
      <c r="C1124" s="87" t="s">
        <v>3713</v>
      </c>
      <c r="D1124" s="161" t="s">
        <v>3713</v>
      </c>
      <c r="E1124" s="161" t="s">
        <v>3647</v>
      </c>
      <c r="F1124" s="161" t="s">
        <v>3679</v>
      </c>
      <c r="G1124" s="163">
        <v>612.2995</v>
      </c>
      <c r="H1124" s="163">
        <f t="shared" si="95"/>
        <v>0.529999999999973</v>
      </c>
      <c r="I1124" s="176" t="s">
        <v>147</v>
      </c>
      <c r="J1124" s="176" t="s">
        <v>147</v>
      </c>
      <c r="K1124" s="176" t="s">
        <v>147</v>
      </c>
      <c r="L1124" s="174" t="s">
        <v>3714</v>
      </c>
      <c r="M1124" s="161" t="s">
        <v>3317</v>
      </c>
      <c r="N1124" s="161"/>
      <c r="O1124" s="161" t="s">
        <v>15</v>
      </c>
      <c r="P1124" s="49" t="s">
        <v>15</v>
      </c>
      <c r="Q1124" s="166" t="s">
        <v>3712</v>
      </c>
      <c r="R1124" s="151"/>
    </row>
    <row r="1125" spans="1:18">
      <c r="A1125" s="162" t="s">
        <v>43</v>
      </c>
      <c r="B1125" s="101" t="s">
        <v>309</v>
      </c>
      <c r="C1125" s="87" t="s">
        <v>3715</v>
      </c>
      <c r="D1125" s="161" t="s">
        <v>3716</v>
      </c>
      <c r="E1125" s="161" t="s">
        <v>3647</v>
      </c>
      <c r="F1125" s="161" t="s">
        <v>3679</v>
      </c>
      <c r="G1125" s="163">
        <v>622.4379</v>
      </c>
      <c r="H1125" s="163">
        <f t="shared" si="95"/>
        <v>10.1384</v>
      </c>
      <c r="I1125" s="176">
        <v>139</v>
      </c>
      <c r="J1125" s="176">
        <v>8235.6373</v>
      </c>
      <c r="K1125" s="176">
        <f>J1125+K1123</f>
        <v>645723.764472238</v>
      </c>
      <c r="L1125" s="163"/>
      <c r="M1125" s="161" t="s">
        <v>3317</v>
      </c>
      <c r="N1125" s="161" t="s">
        <v>1901</v>
      </c>
      <c r="O1125" s="161" t="s">
        <v>25</v>
      </c>
      <c r="P1125" s="49" t="s">
        <v>25</v>
      </c>
      <c r="Q1125" s="166" t="s">
        <v>3717</v>
      </c>
      <c r="R1125" s="151"/>
    </row>
    <row r="1126" spans="1:18">
      <c r="A1126" s="162" t="s">
        <v>43</v>
      </c>
      <c r="B1126" s="101" t="s">
        <v>309</v>
      </c>
      <c r="C1126" s="87" t="s">
        <v>3718</v>
      </c>
      <c r="D1126" s="161" t="s">
        <v>3718</v>
      </c>
      <c r="E1126" s="161" t="s">
        <v>3647</v>
      </c>
      <c r="F1126" s="161" t="s">
        <v>3679</v>
      </c>
      <c r="G1126" s="163">
        <v>636.1003</v>
      </c>
      <c r="H1126" s="163">
        <f t="shared" si="95"/>
        <v>13.6623999999999</v>
      </c>
      <c r="I1126" s="173">
        <v>28</v>
      </c>
      <c r="J1126" s="173">
        <v>10451.1198</v>
      </c>
      <c r="K1126" s="176">
        <f t="shared" ref="K1126:K1136" si="96">J1126+K1125</f>
        <v>656174.884272238</v>
      </c>
      <c r="L1126" s="163"/>
      <c r="M1126" s="161" t="s">
        <v>3317</v>
      </c>
      <c r="N1126" s="161" t="s">
        <v>1331</v>
      </c>
      <c r="O1126" s="161" t="s">
        <v>14</v>
      </c>
      <c r="P1126" s="49" t="s">
        <v>14</v>
      </c>
      <c r="Q1126" s="166" t="s">
        <v>3719</v>
      </c>
      <c r="R1126" s="151"/>
    </row>
    <row r="1127" spans="1:18">
      <c r="A1127" s="162" t="s">
        <v>43</v>
      </c>
      <c r="B1127" s="101" t="s">
        <v>309</v>
      </c>
      <c r="C1127" s="87" t="s">
        <v>3720</v>
      </c>
      <c r="D1127" s="161" t="s">
        <v>3721</v>
      </c>
      <c r="E1127" s="161" t="s">
        <v>3647</v>
      </c>
      <c r="F1127" s="161" t="s">
        <v>3679</v>
      </c>
      <c r="G1127" s="163">
        <v>653.423</v>
      </c>
      <c r="H1127" s="163">
        <f t="shared" si="95"/>
        <v>17.3227000000001</v>
      </c>
      <c r="I1127" s="173">
        <v>24</v>
      </c>
      <c r="J1127" s="176">
        <v>13187.1476</v>
      </c>
      <c r="K1127" s="176">
        <f t="shared" si="96"/>
        <v>669362.031872238</v>
      </c>
      <c r="L1127" s="174"/>
      <c r="M1127" s="161" t="s">
        <v>3317</v>
      </c>
      <c r="N1127" s="161" t="s">
        <v>1901</v>
      </c>
      <c r="O1127" s="161" t="s">
        <v>25</v>
      </c>
      <c r="P1127" s="49" t="s">
        <v>25</v>
      </c>
      <c r="Q1127" s="166" t="s">
        <v>3722</v>
      </c>
      <c r="R1127" s="151"/>
    </row>
    <row r="1128" spans="1:18">
      <c r="A1128" s="162" t="s">
        <v>43</v>
      </c>
      <c r="B1128" s="101" t="s">
        <v>309</v>
      </c>
      <c r="C1128" s="87" t="s">
        <v>3723</v>
      </c>
      <c r="D1128" s="161" t="s">
        <v>3724</v>
      </c>
      <c r="E1128" s="161" t="s">
        <v>3647</v>
      </c>
      <c r="F1128" s="161" t="s">
        <v>3679</v>
      </c>
      <c r="G1128" s="163">
        <v>669.4679</v>
      </c>
      <c r="H1128" s="163">
        <f t="shared" si="95"/>
        <v>16.0449</v>
      </c>
      <c r="I1128" s="176">
        <v>65</v>
      </c>
      <c r="J1128" s="173">
        <v>12199.6754</v>
      </c>
      <c r="K1128" s="176">
        <f t="shared" si="96"/>
        <v>681561.707272238</v>
      </c>
      <c r="L1128" s="163"/>
      <c r="M1128" s="161" t="s">
        <v>3317</v>
      </c>
      <c r="N1128" s="161" t="s">
        <v>1901</v>
      </c>
      <c r="O1128" s="161" t="s">
        <v>25</v>
      </c>
      <c r="P1128" s="49" t="s">
        <v>25</v>
      </c>
      <c r="Q1128" s="166" t="s">
        <v>3725</v>
      </c>
      <c r="R1128" s="151"/>
    </row>
    <row r="1129" spans="1:18">
      <c r="A1129" s="162" t="s">
        <v>43</v>
      </c>
      <c r="B1129" s="101" t="s">
        <v>309</v>
      </c>
      <c r="C1129" s="87" t="s">
        <v>3726</v>
      </c>
      <c r="D1129" s="161" t="s">
        <v>3727</v>
      </c>
      <c r="E1129" s="161" t="s">
        <v>3647</v>
      </c>
      <c r="F1129" s="161" t="s">
        <v>3679</v>
      </c>
      <c r="G1129" s="163">
        <v>685.1917</v>
      </c>
      <c r="H1129" s="163">
        <f t="shared" si="95"/>
        <v>15.7238</v>
      </c>
      <c r="I1129" s="176">
        <v>500</v>
      </c>
      <c r="J1129" s="173">
        <v>11963.6055</v>
      </c>
      <c r="K1129" s="176">
        <f t="shared" si="96"/>
        <v>693525.312772238</v>
      </c>
      <c r="L1129" s="163"/>
      <c r="M1129" s="161" t="s">
        <v>3317</v>
      </c>
      <c r="N1129" s="161" t="s">
        <v>1901</v>
      </c>
      <c r="O1129" s="161" t="s">
        <v>25</v>
      </c>
      <c r="P1129" s="49" t="s">
        <v>25</v>
      </c>
      <c r="Q1129" s="166" t="s">
        <v>3728</v>
      </c>
      <c r="R1129" s="151"/>
    </row>
    <row r="1130" spans="1:18">
      <c r="A1130" s="162" t="s">
        <v>43</v>
      </c>
      <c r="B1130" s="101" t="s">
        <v>309</v>
      </c>
      <c r="C1130" s="135" t="s">
        <v>3729</v>
      </c>
      <c r="D1130" s="161" t="s">
        <v>3729</v>
      </c>
      <c r="E1130" s="161" t="s">
        <v>3647</v>
      </c>
      <c r="F1130" s="161" t="s">
        <v>3730</v>
      </c>
      <c r="G1130" s="163">
        <v>697.1602</v>
      </c>
      <c r="H1130" s="163">
        <f t="shared" si="95"/>
        <v>11.9685000000001</v>
      </c>
      <c r="I1130" s="176">
        <v>86</v>
      </c>
      <c r="J1130" s="176">
        <v>9128.5326</v>
      </c>
      <c r="K1130" s="176">
        <f t="shared" si="96"/>
        <v>702653.845372238</v>
      </c>
      <c r="L1130" s="174" t="s">
        <v>3731</v>
      </c>
      <c r="M1130" s="161" t="s">
        <v>3317</v>
      </c>
      <c r="N1130" s="161" t="s">
        <v>1331</v>
      </c>
      <c r="O1130" s="161"/>
      <c r="P1130" s="49"/>
      <c r="Q1130" s="166" t="s">
        <v>3732</v>
      </c>
      <c r="R1130" s="151"/>
    </row>
    <row r="1131" spans="1:18">
      <c r="A1131" s="162" t="s">
        <v>43</v>
      </c>
      <c r="B1131" s="101" t="s">
        <v>309</v>
      </c>
      <c r="C1131" s="87" t="s">
        <v>3733</v>
      </c>
      <c r="D1131" s="161" t="s">
        <v>3734</v>
      </c>
      <c r="E1131" s="161" t="s">
        <v>3647</v>
      </c>
      <c r="F1131" s="161" t="s">
        <v>3730</v>
      </c>
      <c r="G1131" s="163">
        <v>718.49</v>
      </c>
      <c r="H1131" s="163">
        <f t="shared" si="95"/>
        <v>21.3298</v>
      </c>
      <c r="I1131" s="173">
        <v>80</v>
      </c>
      <c r="J1131" s="176">
        <v>16240.4176</v>
      </c>
      <c r="K1131" s="176">
        <f t="shared" si="96"/>
        <v>718894.262972238</v>
      </c>
      <c r="L1131" s="174"/>
      <c r="M1131" s="161" t="s">
        <v>3317</v>
      </c>
      <c r="N1131" s="161" t="s">
        <v>1901</v>
      </c>
      <c r="O1131" s="161" t="s">
        <v>25</v>
      </c>
      <c r="P1131" s="49" t="s">
        <v>25</v>
      </c>
      <c r="Q1131" s="166" t="s">
        <v>3735</v>
      </c>
      <c r="R1131" s="151"/>
    </row>
    <row r="1132" spans="1:18">
      <c r="A1132" s="162" t="s">
        <v>43</v>
      </c>
      <c r="B1132" s="101" t="s">
        <v>309</v>
      </c>
      <c r="C1132" s="87" t="s">
        <v>3736</v>
      </c>
      <c r="D1132" s="161" t="s">
        <v>3737</v>
      </c>
      <c r="E1132" s="161" t="s">
        <v>3647</v>
      </c>
      <c r="F1132" s="161" t="s">
        <v>3730</v>
      </c>
      <c r="G1132" s="163">
        <v>742.0575</v>
      </c>
      <c r="H1132" s="163">
        <f t="shared" si="95"/>
        <v>23.5675</v>
      </c>
      <c r="I1132" s="173">
        <v>488</v>
      </c>
      <c r="J1132" s="173">
        <v>17916.7373</v>
      </c>
      <c r="K1132" s="176">
        <f t="shared" si="96"/>
        <v>736811.000272239</v>
      </c>
      <c r="L1132" s="163"/>
      <c r="M1132" s="161" t="s">
        <v>3317</v>
      </c>
      <c r="N1132" s="161" t="s">
        <v>1901</v>
      </c>
      <c r="O1132" s="161" t="s">
        <v>25</v>
      </c>
      <c r="P1132" s="49" t="s">
        <v>25</v>
      </c>
      <c r="Q1132" s="166" t="s">
        <v>3738</v>
      </c>
      <c r="R1132" s="151"/>
    </row>
    <row r="1133" spans="1:18">
      <c r="A1133" s="162" t="s">
        <v>43</v>
      </c>
      <c r="B1133" s="101" t="s">
        <v>309</v>
      </c>
      <c r="C1133" s="87" t="s">
        <v>3739</v>
      </c>
      <c r="D1133" s="161" t="s">
        <v>3739</v>
      </c>
      <c r="E1133" s="161" t="s">
        <v>3647</v>
      </c>
      <c r="F1133" s="161" t="s">
        <v>3730</v>
      </c>
      <c r="G1133" s="163">
        <v>763.6102</v>
      </c>
      <c r="H1133" s="163">
        <f t="shared" si="95"/>
        <v>21.5527</v>
      </c>
      <c r="I1133" s="176">
        <v>204</v>
      </c>
      <c r="J1133" s="176">
        <v>16436.2737</v>
      </c>
      <c r="K1133" s="176">
        <f t="shared" si="96"/>
        <v>753247.273972239</v>
      </c>
      <c r="L1133" s="163"/>
      <c r="M1133" s="161" t="s">
        <v>3317</v>
      </c>
      <c r="N1133" s="161" t="s">
        <v>1331</v>
      </c>
      <c r="O1133" s="161" t="s">
        <v>14</v>
      </c>
      <c r="P1133" s="49" t="s">
        <v>14</v>
      </c>
      <c r="Q1133" s="166" t="s">
        <v>3740</v>
      </c>
      <c r="R1133" s="151"/>
    </row>
    <row r="1134" spans="1:18">
      <c r="A1134" s="162" t="s">
        <v>43</v>
      </c>
      <c r="B1134" s="101" t="s">
        <v>309</v>
      </c>
      <c r="C1134" s="87" t="s">
        <v>3741</v>
      </c>
      <c r="D1134" s="161" t="s">
        <v>3742</v>
      </c>
      <c r="E1134" s="161" t="s">
        <v>3647</v>
      </c>
      <c r="F1134" s="161" t="s">
        <v>3730</v>
      </c>
      <c r="G1134" s="163">
        <v>779.0207</v>
      </c>
      <c r="H1134" s="163">
        <f t="shared" si="95"/>
        <v>15.4105000000001</v>
      </c>
      <c r="I1134" s="176">
        <v>495</v>
      </c>
      <c r="J1134" s="176">
        <v>11650.0868</v>
      </c>
      <c r="K1134" s="176">
        <f t="shared" si="96"/>
        <v>764897.360772239</v>
      </c>
      <c r="L1134" s="174"/>
      <c r="M1134" s="161" t="s">
        <v>3317</v>
      </c>
      <c r="N1134" s="161" t="s">
        <v>1901</v>
      </c>
      <c r="O1134" s="161" t="s">
        <v>25</v>
      </c>
      <c r="P1134" s="49" t="s">
        <v>25</v>
      </c>
      <c r="Q1134" s="166" t="s">
        <v>3743</v>
      </c>
      <c r="R1134" s="151"/>
    </row>
    <row r="1135" spans="1:18">
      <c r="A1135" s="162" t="s">
        <v>43</v>
      </c>
      <c r="B1135" s="101" t="s">
        <v>309</v>
      </c>
      <c r="C1135" s="87" t="s">
        <v>3744</v>
      </c>
      <c r="D1135" s="161" t="s">
        <v>3744</v>
      </c>
      <c r="E1135" s="161" t="s">
        <v>3647</v>
      </c>
      <c r="F1135" s="161" t="s">
        <v>3730</v>
      </c>
      <c r="G1135" s="163">
        <v>801.9402</v>
      </c>
      <c r="H1135" s="163">
        <f t="shared" si="95"/>
        <v>22.9195</v>
      </c>
      <c r="I1135" s="176">
        <v>129</v>
      </c>
      <c r="J1135" s="173">
        <v>17437.8952</v>
      </c>
      <c r="K1135" s="176">
        <f t="shared" si="96"/>
        <v>782335.255972239</v>
      </c>
      <c r="L1135" s="163"/>
      <c r="M1135" s="161" t="s">
        <v>3317</v>
      </c>
      <c r="N1135" s="161" t="s">
        <v>1331</v>
      </c>
      <c r="O1135" s="161" t="s">
        <v>14</v>
      </c>
      <c r="P1135" s="49" t="s">
        <v>14</v>
      </c>
      <c r="Q1135" s="166" t="s">
        <v>3745</v>
      </c>
      <c r="R1135" s="151"/>
    </row>
    <row r="1136" spans="1:18">
      <c r="A1136" s="162" t="s">
        <v>43</v>
      </c>
      <c r="B1136" s="101" t="s">
        <v>309</v>
      </c>
      <c r="C1136" s="87" t="s">
        <v>310</v>
      </c>
      <c r="D1136" s="161" t="s">
        <v>310</v>
      </c>
      <c r="E1136" s="161" t="s">
        <v>3647</v>
      </c>
      <c r="F1136" s="161" t="s">
        <v>3730</v>
      </c>
      <c r="G1136" s="163">
        <v>812.4902</v>
      </c>
      <c r="H1136" s="163">
        <f t="shared" si="95"/>
        <v>10.55</v>
      </c>
      <c r="I1136" s="173">
        <v>124</v>
      </c>
      <c r="J1136" s="176">
        <v>8032.3342</v>
      </c>
      <c r="K1136" s="176">
        <f t="shared" si="96"/>
        <v>790367.590172239</v>
      </c>
      <c r="L1136" s="163"/>
      <c r="M1136" s="161" t="s">
        <v>3317</v>
      </c>
      <c r="N1136" s="161" t="s">
        <v>1331</v>
      </c>
      <c r="O1136" s="161" t="s">
        <v>14</v>
      </c>
      <c r="P1136" s="49" t="s">
        <v>14</v>
      </c>
      <c r="Q1136" s="166" t="s">
        <v>3746</v>
      </c>
      <c r="R1136" s="151"/>
    </row>
    <row r="1137" spans="1:18">
      <c r="A1137" s="162" t="s">
        <v>43</v>
      </c>
      <c r="B1137" s="101" t="s">
        <v>313</v>
      </c>
      <c r="C1137" s="83" t="s">
        <v>314</v>
      </c>
      <c r="D1137" s="161" t="s">
        <v>314</v>
      </c>
      <c r="E1137" s="161" t="s">
        <v>1291</v>
      </c>
      <c r="F1137" s="161" t="s">
        <v>2230</v>
      </c>
      <c r="G1137" s="163">
        <v>0</v>
      </c>
      <c r="H1137" s="163">
        <v>0</v>
      </c>
      <c r="I1137" s="176">
        <v>689</v>
      </c>
      <c r="J1137" s="176">
        <v>0</v>
      </c>
      <c r="K1137" s="176">
        <v>0</v>
      </c>
      <c r="L1137" s="163"/>
      <c r="M1137" s="161" t="s">
        <v>3747</v>
      </c>
      <c r="N1137" s="161" t="s">
        <v>1331</v>
      </c>
      <c r="O1137" s="161" t="s">
        <v>15</v>
      </c>
      <c r="P1137" s="49" t="s">
        <v>15</v>
      </c>
      <c r="Q1137" s="166" t="s">
        <v>3748</v>
      </c>
      <c r="R1137" s="151"/>
    </row>
    <row r="1138" spans="1:18">
      <c r="A1138" s="162" t="s">
        <v>43</v>
      </c>
      <c r="B1138" s="101" t="s">
        <v>313</v>
      </c>
      <c r="C1138" s="83" t="s">
        <v>3749</v>
      </c>
      <c r="D1138" s="161" t="s">
        <v>1298</v>
      </c>
      <c r="E1138" s="161" t="s">
        <v>1291</v>
      </c>
      <c r="F1138" s="161" t="s">
        <v>2230</v>
      </c>
      <c r="G1138" s="163">
        <v>10.791363</v>
      </c>
      <c r="H1138" s="163">
        <f>G1138-G1137</f>
        <v>10.791363</v>
      </c>
      <c r="I1138" s="176">
        <v>580</v>
      </c>
      <c r="J1138" s="176">
        <v>17560</v>
      </c>
      <c r="K1138" s="176">
        <v>17560</v>
      </c>
      <c r="L1138" s="163"/>
      <c r="M1138" s="161" t="s">
        <v>3747</v>
      </c>
      <c r="N1138" s="161" t="s">
        <v>1299</v>
      </c>
      <c r="O1138" s="161" t="s">
        <v>25</v>
      </c>
      <c r="P1138" s="49" t="s">
        <v>25</v>
      </c>
      <c r="Q1138" s="166" t="s">
        <v>3750</v>
      </c>
      <c r="R1138" s="151"/>
    </row>
    <row r="1139" spans="1:18">
      <c r="A1139" s="162" t="s">
        <v>43</v>
      </c>
      <c r="B1139" s="101" t="s">
        <v>313</v>
      </c>
      <c r="C1139" s="83" t="s">
        <v>3751</v>
      </c>
      <c r="D1139" s="161" t="s">
        <v>1302</v>
      </c>
      <c r="E1139" s="161" t="s">
        <v>1291</v>
      </c>
      <c r="F1139" s="161" t="s">
        <v>2230</v>
      </c>
      <c r="G1139" s="163">
        <v>32.254859</v>
      </c>
      <c r="H1139" s="163">
        <f>G1139-G1138</f>
        <v>21.463496</v>
      </c>
      <c r="I1139" s="173">
        <v>596</v>
      </c>
      <c r="J1139" s="173">
        <v>23048</v>
      </c>
      <c r="K1139" s="173">
        <v>40608</v>
      </c>
      <c r="L1139" s="174"/>
      <c r="M1139" s="161" t="s">
        <v>3747</v>
      </c>
      <c r="N1139" s="161" t="s">
        <v>1299</v>
      </c>
      <c r="O1139" s="161" t="s">
        <v>25</v>
      </c>
      <c r="P1139" s="49" t="s">
        <v>25</v>
      </c>
      <c r="Q1139" s="166" t="s">
        <v>3752</v>
      </c>
      <c r="R1139" s="151"/>
    </row>
    <row r="1140" ht="30" spans="1:18">
      <c r="A1140" s="162" t="s">
        <v>43</v>
      </c>
      <c r="B1140" s="101" t="s">
        <v>313</v>
      </c>
      <c r="C1140" s="135" t="s">
        <v>201</v>
      </c>
      <c r="D1140" s="161" t="s">
        <v>2229</v>
      </c>
      <c r="E1140" s="161" t="s">
        <v>1291</v>
      </c>
      <c r="F1140" s="161" t="s">
        <v>2230</v>
      </c>
      <c r="G1140" s="163">
        <v>65</v>
      </c>
      <c r="H1140" s="163">
        <f>G1140-G1139</f>
        <v>32.745141</v>
      </c>
      <c r="I1140" s="176">
        <v>631</v>
      </c>
      <c r="J1140" s="176">
        <v>35120</v>
      </c>
      <c r="K1140" s="176">
        <v>75728</v>
      </c>
      <c r="L1140" s="163" t="s">
        <v>3753</v>
      </c>
      <c r="M1140" s="161" t="s">
        <v>2232</v>
      </c>
      <c r="N1140" s="161"/>
      <c r="O1140" s="161"/>
      <c r="P1140" s="49"/>
      <c r="Q1140" s="166" t="s">
        <v>2233</v>
      </c>
      <c r="R1140" s="151"/>
    </row>
    <row r="1141" spans="1:18">
      <c r="A1141" s="162" t="s">
        <v>43</v>
      </c>
      <c r="B1141" s="101" t="s">
        <v>315</v>
      </c>
      <c r="C1141" s="135" t="s">
        <v>3334</v>
      </c>
      <c r="D1141" s="161" t="s">
        <v>1352</v>
      </c>
      <c r="E1141" s="161" t="s">
        <v>1291</v>
      </c>
      <c r="F1141" s="161" t="s">
        <v>2277</v>
      </c>
      <c r="G1141" s="163">
        <v>0</v>
      </c>
      <c r="H1141" s="163">
        <v>0</v>
      </c>
      <c r="I1141" s="176"/>
      <c r="J1141" s="176"/>
      <c r="K1141" s="176"/>
      <c r="L1141" s="163"/>
      <c r="M1141" s="161" t="s">
        <v>3317</v>
      </c>
      <c r="N1141" s="161"/>
      <c r="O1141" s="161"/>
      <c r="P1141" s="49"/>
      <c r="Q1141" s="166"/>
      <c r="R1141" s="151"/>
    </row>
    <row r="1142" spans="1:18">
      <c r="A1142" s="162" t="s">
        <v>43</v>
      </c>
      <c r="B1142" s="101" t="s">
        <v>315</v>
      </c>
      <c r="C1142" s="135" t="s">
        <v>317</v>
      </c>
      <c r="D1142" s="161" t="s">
        <v>317</v>
      </c>
      <c r="E1142" s="161" t="s">
        <v>1291</v>
      </c>
      <c r="F1142" s="161"/>
      <c r="G1142" s="163">
        <v>1.76</v>
      </c>
      <c r="H1142" s="163">
        <v>1.76</v>
      </c>
      <c r="I1142" s="176"/>
      <c r="J1142" s="176"/>
      <c r="K1142" s="176"/>
      <c r="L1142" s="163"/>
      <c r="M1142" s="161" t="s">
        <v>3317</v>
      </c>
      <c r="N1142" s="161" t="s">
        <v>1331</v>
      </c>
      <c r="O1142" s="161"/>
      <c r="P1142" s="49"/>
      <c r="Q1142" s="166"/>
      <c r="R1142" s="151"/>
    </row>
    <row r="1143" ht="75" spans="1:18">
      <c r="A1143" s="162" t="s">
        <v>43</v>
      </c>
      <c r="B1143" s="101" t="s">
        <v>320</v>
      </c>
      <c r="C1143" s="85" t="s">
        <v>321</v>
      </c>
      <c r="D1143" s="161" t="s">
        <v>321</v>
      </c>
      <c r="E1143" s="161" t="s">
        <v>2939</v>
      </c>
      <c r="F1143" s="161" t="s">
        <v>3754</v>
      </c>
      <c r="G1143" s="171">
        <v>0</v>
      </c>
      <c r="H1143" s="163">
        <v>0</v>
      </c>
      <c r="I1143" s="185">
        <v>65</v>
      </c>
      <c r="J1143" s="176">
        <v>0</v>
      </c>
      <c r="K1143" s="176">
        <v>0</v>
      </c>
      <c r="L1143" s="163" t="s">
        <v>3755</v>
      </c>
      <c r="M1143" s="161" t="s">
        <v>3756</v>
      </c>
      <c r="N1143" s="161" t="s">
        <v>1331</v>
      </c>
      <c r="O1143" s="161" t="s">
        <v>14</v>
      </c>
      <c r="P1143" s="49" t="s">
        <v>14</v>
      </c>
      <c r="Q1143" s="166" t="s">
        <v>3757</v>
      </c>
      <c r="R1143" s="151"/>
    </row>
    <row r="1144" spans="1:18">
      <c r="A1144" s="162" t="s">
        <v>43</v>
      </c>
      <c r="B1144" s="101" t="s">
        <v>320</v>
      </c>
      <c r="C1144" s="85" t="s">
        <v>3758</v>
      </c>
      <c r="D1144" s="161" t="s">
        <v>1899</v>
      </c>
      <c r="E1144" s="161" t="s">
        <v>2939</v>
      </c>
      <c r="F1144" s="161" t="s">
        <v>3754</v>
      </c>
      <c r="G1144" s="171">
        <v>14.0989</v>
      </c>
      <c r="H1144" s="163">
        <f>G1144-G1143</f>
        <v>14.0989</v>
      </c>
      <c r="I1144" s="185">
        <v>73.27</v>
      </c>
      <c r="J1144" s="176">
        <v>2767</v>
      </c>
      <c r="K1144" s="176">
        <v>2767</v>
      </c>
      <c r="L1144" s="163"/>
      <c r="M1144" s="161" t="s">
        <v>3756</v>
      </c>
      <c r="N1144" s="161" t="s">
        <v>1901</v>
      </c>
      <c r="O1144" s="161" t="s">
        <v>25</v>
      </c>
      <c r="P1144" s="49" t="s">
        <v>25</v>
      </c>
      <c r="Q1144" s="166" t="s">
        <v>3759</v>
      </c>
      <c r="R1144" s="151"/>
    </row>
    <row r="1145" spans="1:18">
      <c r="A1145" s="162" t="s">
        <v>43</v>
      </c>
      <c r="B1145" s="101" t="s">
        <v>320</v>
      </c>
      <c r="C1145" s="85" t="s">
        <v>3760</v>
      </c>
      <c r="D1145" s="161" t="s">
        <v>1302</v>
      </c>
      <c r="E1145" s="161" t="s">
        <v>2939</v>
      </c>
      <c r="F1145" s="161" t="s">
        <v>3754</v>
      </c>
      <c r="G1145" s="171">
        <v>29.808</v>
      </c>
      <c r="H1145" s="163">
        <f>G1145-G1144</f>
        <v>15.7091</v>
      </c>
      <c r="I1145" s="185">
        <v>194.7</v>
      </c>
      <c r="J1145" s="176">
        <v>3101</v>
      </c>
      <c r="K1145" s="176">
        <v>5868</v>
      </c>
      <c r="L1145" s="163"/>
      <c r="M1145" s="161" t="s">
        <v>3756</v>
      </c>
      <c r="N1145" s="161" t="s">
        <v>1299</v>
      </c>
      <c r="O1145" s="161" t="s">
        <v>25</v>
      </c>
      <c r="P1145" s="49" t="s">
        <v>25</v>
      </c>
      <c r="Q1145" s="166" t="s">
        <v>3761</v>
      </c>
      <c r="R1145" s="151"/>
    </row>
    <row r="1146" spans="1:18">
      <c r="A1146" s="162" t="s">
        <v>43</v>
      </c>
      <c r="B1146" s="101" t="s">
        <v>320</v>
      </c>
      <c r="C1146" s="85" t="s">
        <v>322</v>
      </c>
      <c r="D1146" s="161" t="s">
        <v>322</v>
      </c>
      <c r="E1146" s="161" t="s">
        <v>2939</v>
      </c>
      <c r="F1146" s="161" t="s">
        <v>3754</v>
      </c>
      <c r="G1146" s="171">
        <v>44.87</v>
      </c>
      <c r="H1146" s="163">
        <f>G1146-G1145</f>
        <v>15.062</v>
      </c>
      <c r="I1146" s="185">
        <v>28.5</v>
      </c>
      <c r="J1146" s="176">
        <v>2963</v>
      </c>
      <c r="K1146" s="176">
        <v>8831</v>
      </c>
      <c r="L1146" s="163"/>
      <c r="M1146" s="161" t="s">
        <v>3756</v>
      </c>
      <c r="N1146" s="161" t="s">
        <v>1331</v>
      </c>
      <c r="O1146" s="161" t="s">
        <v>14</v>
      </c>
      <c r="P1146" s="49" t="s">
        <v>14</v>
      </c>
      <c r="Q1146" s="166" t="s">
        <v>3762</v>
      </c>
      <c r="R1146" s="151"/>
    </row>
    <row r="1147" spans="1:18">
      <c r="A1147" s="162" t="s">
        <v>43</v>
      </c>
      <c r="B1147" s="101" t="s">
        <v>323</v>
      </c>
      <c r="C1147" s="135" t="s">
        <v>321</v>
      </c>
      <c r="D1147" s="162" t="s">
        <v>321</v>
      </c>
      <c r="E1147" s="161" t="s">
        <v>2939</v>
      </c>
      <c r="F1147" s="161" t="s">
        <v>3754</v>
      </c>
      <c r="G1147" s="171">
        <v>0</v>
      </c>
      <c r="H1147" s="171">
        <v>0</v>
      </c>
      <c r="I1147" s="185" t="s">
        <v>147</v>
      </c>
      <c r="J1147" s="185">
        <v>0</v>
      </c>
      <c r="K1147" s="185">
        <v>0</v>
      </c>
      <c r="L1147" s="163"/>
      <c r="M1147" s="161"/>
      <c r="N1147" s="161"/>
      <c r="O1147" s="161"/>
      <c r="P1147" s="49"/>
      <c r="Q1147" s="166"/>
      <c r="R1147" s="151"/>
    </row>
    <row r="1148" spans="1:18">
      <c r="A1148" s="162" t="s">
        <v>43</v>
      </c>
      <c r="B1148" s="101" t="s">
        <v>323</v>
      </c>
      <c r="C1148" s="135" t="s">
        <v>324</v>
      </c>
      <c r="D1148" s="162" t="s">
        <v>324</v>
      </c>
      <c r="E1148" s="161" t="s">
        <v>2939</v>
      </c>
      <c r="F1148" s="161" t="s">
        <v>3754</v>
      </c>
      <c r="G1148" s="171">
        <v>9.25</v>
      </c>
      <c r="H1148" s="171">
        <v>9.25</v>
      </c>
      <c r="I1148" s="185" t="s">
        <v>147</v>
      </c>
      <c r="J1148" s="185">
        <v>4576.6</v>
      </c>
      <c r="K1148" s="185">
        <v>4576.6</v>
      </c>
      <c r="L1148" s="163"/>
      <c r="M1148" s="161"/>
      <c r="N1148" s="161"/>
      <c r="O1148" s="161"/>
      <c r="P1148" s="49"/>
      <c r="Q1148" s="166"/>
      <c r="R1148" s="151"/>
    </row>
    <row r="1149" spans="1:18">
      <c r="A1149" s="162" t="s">
        <v>43</v>
      </c>
      <c r="B1149" s="101" t="s">
        <v>326</v>
      </c>
      <c r="C1149" s="135" t="s">
        <v>3713</v>
      </c>
      <c r="D1149" s="161" t="s">
        <v>3713</v>
      </c>
      <c r="E1149" s="161" t="s">
        <v>3647</v>
      </c>
      <c r="F1149" s="161" t="s">
        <v>3679</v>
      </c>
      <c r="G1149" s="163">
        <v>0</v>
      </c>
      <c r="H1149" s="163">
        <v>0</v>
      </c>
      <c r="I1149" s="185" t="s">
        <v>147</v>
      </c>
      <c r="J1149" s="185" t="s">
        <v>147</v>
      </c>
      <c r="K1149" s="185" t="s">
        <v>147</v>
      </c>
      <c r="L1149" s="163"/>
      <c r="M1149" s="161" t="s">
        <v>3317</v>
      </c>
      <c r="N1149" s="161"/>
      <c r="O1149" s="161"/>
      <c r="P1149" s="49"/>
      <c r="Q1149" s="166" t="s">
        <v>3712</v>
      </c>
      <c r="R1149" s="151"/>
    </row>
    <row r="1150" spans="1:18">
      <c r="A1150" s="162" t="s">
        <v>43</v>
      </c>
      <c r="B1150" s="101" t="s">
        <v>326</v>
      </c>
      <c r="C1150" s="87" t="s">
        <v>328</v>
      </c>
      <c r="D1150" s="161" t="s">
        <v>328</v>
      </c>
      <c r="E1150" s="161" t="s">
        <v>3647</v>
      </c>
      <c r="F1150" s="161" t="s">
        <v>3679</v>
      </c>
      <c r="G1150" s="171">
        <v>8.9</v>
      </c>
      <c r="H1150" s="171">
        <v>8.9</v>
      </c>
      <c r="I1150" s="185" t="s">
        <v>147</v>
      </c>
      <c r="J1150" s="185" t="s">
        <v>147</v>
      </c>
      <c r="K1150" s="185" t="s">
        <v>147</v>
      </c>
      <c r="L1150" s="163"/>
      <c r="M1150" s="161">
        <v>0</v>
      </c>
      <c r="N1150" s="161"/>
      <c r="O1150" s="161" t="s">
        <v>15</v>
      </c>
      <c r="P1150" s="49" t="s">
        <v>15</v>
      </c>
      <c r="Q1150" s="166" t="s">
        <v>3763</v>
      </c>
      <c r="R1150" s="151"/>
    </row>
    <row r="1151" spans="1:18">
      <c r="A1151" s="162" t="s">
        <v>43</v>
      </c>
      <c r="B1151" s="101" t="s">
        <v>329</v>
      </c>
      <c r="C1151" s="135" t="s">
        <v>310</v>
      </c>
      <c r="D1151" s="161" t="s">
        <v>310</v>
      </c>
      <c r="E1151" s="161" t="s">
        <v>3647</v>
      </c>
      <c r="F1151" s="161" t="s">
        <v>3730</v>
      </c>
      <c r="G1151" s="163">
        <v>0</v>
      </c>
      <c r="H1151" s="163">
        <v>0</v>
      </c>
      <c r="I1151" s="185" t="s">
        <v>147</v>
      </c>
      <c r="J1151" s="185">
        <v>0</v>
      </c>
      <c r="K1151" s="185">
        <v>0</v>
      </c>
      <c r="L1151" s="163"/>
      <c r="M1151" s="161" t="s">
        <v>3317</v>
      </c>
      <c r="N1151" s="161"/>
      <c r="O1151" s="161"/>
      <c r="P1151" s="49"/>
      <c r="Q1151" s="166" t="s">
        <v>3746</v>
      </c>
      <c r="R1151" s="151"/>
    </row>
    <row r="1152" spans="1:18">
      <c r="A1152" s="162" t="s">
        <v>43</v>
      </c>
      <c r="B1152" s="101" t="s">
        <v>329</v>
      </c>
      <c r="C1152" s="135" t="s">
        <v>330</v>
      </c>
      <c r="D1152" s="161" t="s">
        <v>330</v>
      </c>
      <c r="E1152" s="161" t="s">
        <v>3764</v>
      </c>
      <c r="F1152" s="161"/>
      <c r="G1152" s="163">
        <v>21.6</v>
      </c>
      <c r="H1152" s="163">
        <v>21.6</v>
      </c>
      <c r="I1152" s="185" t="s">
        <v>147</v>
      </c>
      <c r="J1152" s="185">
        <v>10336</v>
      </c>
      <c r="K1152" s="185">
        <v>10336</v>
      </c>
      <c r="L1152" s="163"/>
      <c r="M1152" s="161">
        <v>0</v>
      </c>
      <c r="N1152" s="161"/>
      <c r="O1152" s="161"/>
      <c r="P1152" s="49"/>
      <c r="Q1152" s="166"/>
      <c r="R1152" s="151"/>
    </row>
    <row r="1153" spans="1:18">
      <c r="A1153" s="162" t="s">
        <v>43</v>
      </c>
      <c r="B1153" s="101" t="s">
        <v>331</v>
      </c>
      <c r="C1153" s="135" t="s">
        <v>114</v>
      </c>
      <c r="D1153" s="161" t="s">
        <v>1504</v>
      </c>
      <c r="E1153" s="161" t="s">
        <v>1491</v>
      </c>
      <c r="F1153" s="161" t="s">
        <v>114</v>
      </c>
      <c r="G1153" s="163">
        <v>0</v>
      </c>
      <c r="H1153" s="163">
        <v>0</v>
      </c>
      <c r="I1153" s="185">
        <v>1279</v>
      </c>
      <c r="J1153" s="176">
        <v>0</v>
      </c>
      <c r="K1153" s="176">
        <v>0</v>
      </c>
      <c r="L1153" s="163" t="s">
        <v>3765</v>
      </c>
      <c r="M1153" s="161" t="s">
        <v>1294</v>
      </c>
      <c r="N1153" s="161"/>
      <c r="O1153" s="161"/>
      <c r="P1153" s="49"/>
      <c r="Q1153" s="166" t="s">
        <v>1503</v>
      </c>
      <c r="R1153" s="151"/>
    </row>
    <row r="1154" spans="1:18">
      <c r="A1154" s="162" t="s">
        <v>43</v>
      </c>
      <c r="B1154" s="101" t="s">
        <v>331</v>
      </c>
      <c r="C1154" s="86" t="s">
        <v>3766</v>
      </c>
      <c r="D1154" s="161" t="s">
        <v>1899</v>
      </c>
      <c r="E1154" s="161" t="s">
        <v>1491</v>
      </c>
      <c r="F1154" s="161" t="s">
        <v>114</v>
      </c>
      <c r="G1154" s="163">
        <v>21.94</v>
      </c>
      <c r="H1154" s="163">
        <f>G1154-G1153</f>
        <v>21.94</v>
      </c>
      <c r="I1154" s="185">
        <v>1254.5</v>
      </c>
      <c r="J1154" s="176">
        <v>23778.3663125</v>
      </c>
      <c r="K1154" s="176">
        <v>23778.3663125</v>
      </c>
      <c r="L1154" s="163"/>
      <c r="M1154" s="161" t="s">
        <v>3767</v>
      </c>
      <c r="N1154" s="161" t="s">
        <v>1901</v>
      </c>
      <c r="O1154" s="161" t="s">
        <v>25</v>
      </c>
      <c r="P1154" s="49" t="s">
        <v>25</v>
      </c>
      <c r="Q1154" s="166" t="s">
        <v>2844</v>
      </c>
      <c r="R1154" s="151"/>
    </row>
    <row r="1155" spans="1:18">
      <c r="A1155" s="162" t="s">
        <v>43</v>
      </c>
      <c r="B1155" s="101" t="s">
        <v>331</v>
      </c>
      <c r="C1155" s="86" t="s">
        <v>3768</v>
      </c>
      <c r="D1155" s="161" t="s">
        <v>1904</v>
      </c>
      <c r="E1155" s="161" t="s">
        <v>1491</v>
      </c>
      <c r="F1155" s="161" t="s">
        <v>114</v>
      </c>
      <c r="G1155" s="163">
        <v>38.56</v>
      </c>
      <c r="H1155" s="163">
        <f t="shared" ref="H1155:H1168" si="97">G1155-G1154</f>
        <v>16.62</v>
      </c>
      <c r="I1155" s="185">
        <v>1222.2</v>
      </c>
      <c r="J1155" s="176">
        <v>18012.6001875</v>
      </c>
      <c r="K1155" s="176">
        <v>41790.9665</v>
      </c>
      <c r="L1155" s="163"/>
      <c r="M1155" s="161" t="s">
        <v>3767</v>
      </c>
      <c r="N1155" s="161" t="s">
        <v>1901</v>
      </c>
      <c r="O1155" s="161" t="s">
        <v>25</v>
      </c>
      <c r="P1155" s="49" t="s">
        <v>25</v>
      </c>
      <c r="Q1155" s="166" t="s">
        <v>1511</v>
      </c>
      <c r="R1155" s="151"/>
    </row>
    <row r="1156" spans="1:18">
      <c r="A1156" s="162" t="s">
        <v>43</v>
      </c>
      <c r="B1156" s="101" t="s">
        <v>331</v>
      </c>
      <c r="C1156" s="86" t="s">
        <v>3769</v>
      </c>
      <c r="D1156" s="161" t="s">
        <v>2847</v>
      </c>
      <c r="E1156" s="161" t="s">
        <v>1491</v>
      </c>
      <c r="F1156" s="161" t="s">
        <v>114</v>
      </c>
      <c r="G1156" s="163">
        <v>61.61</v>
      </c>
      <c r="H1156" s="163">
        <f t="shared" si="97"/>
        <v>23.05</v>
      </c>
      <c r="I1156" s="185">
        <v>1202.2</v>
      </c>
      <c r="J1156" s="176">
        <v>24981.37390625</v>
      </c>
      <c r="K1156" s="176">
        <v>66772.34040625</v>
      </c>
      <c r="L1156" s="163"/>
      <c r="M1156" s="161" t="s">
        <v>3767</v>
      </c>
      <c r="N1156" s="161" t="s">
        <v>1901</v>
      </c>
      <c r="O1156" s="161" t="s">
        <v>25</v>
      </c>
      <c r="P1156" s="49" t="s">
        <v>25</v>
      </c>
      <c r="Q1156" s="166" t="s">
        <v>2848</v>
      </c>
      <c r="R1156" s="151"/>
    </row>
    <row r="1157" spans="1:18">
      <c r="A1157" s="162" t="s">
        <v>43</v>
      </c>
      <c r="B1157" s="101" t="s">
        <v>331</v>
      </c>
      <c r="C1157" s="86" t="s">
        <v>3770</v>
      </c>
      <c r="D1157" s="161" t="s">
        <v>2820</v>
      </c>
      <c r="E1157" s="161" t="s">
        <v>1491</v>
      </c>
      <c r="F1157" s="161" t="s">
        <v>114</v>
      </c>
      <c r="G1157" s="163">
        <v>80.12</v>
      </c>
      <c r="H1157" s="163">
        <f t="shared" si="97"/>
        <v>18.51</v>
      </c>
      <c r="I1157" s="185">
        <v>1199.4</v>
      </c>
      <c r="J1157" s="176">
        <v>20060.96446875</v>
      </c>
      <c r="K1157" s="176">
        <v>86833.304875</v>
      </c>
      <c r="L1157" s="163"/>
      <c r="M1157" s="161" t="s">
        <v>3767</v>
      </c>
      <c r="N1157" s="161" t="s">
        <v>1901</v>
      </c>
      <c r="O1157" s="161" t="s">
        <v>25</v>
      </c>
      <c r="P1157" s="49" t="s">
        <v>25</v>
      </c>
      <c r="Q1157" s="166" t="s">
        <v>2850</v>
      </c>
      <c r="R1157" s="151"/>
    </row>
    <row r="1158" spans="1:18">
      <c r="A1158" s="162" t="s">
        <v>43</v>
      </c>
      <c r="B1158" s="101" t="s">
        <v>331</v>
      </c>
      <c r="C1158" s="86" t="s">
        <v>3771</v>
      </c>
      <c r="D1158" s="161" t="s">
        <v>1311</v>
      </c>
      <c r="E1158" s="161" t="s">
        <v>1491</v>
      </c>
      <c r="F1158" s="161" t="s">
        <v>1520</v>
      </c>
      <c r="G1158" s="163">
        <v>108.75</v>
      </c>
      <c r="H1158" s="163">
        <f t="shared" si="97"/>
        <v>28.63</v>
      </c>
      <c r="I1158" s="185">
        <v>1356.3</v>
      </c>
      <c r="J1158" s="176">
        <v>31028.92559375</v>
      </c>
      <c r="K1158" s="176">
        <v>117862.23046875</v>
      </c>
      <c r="L1158" s="163"/>
      <c r="M1158" s="161" t="s">
        <v>3767</v>
      </c>
      <c r="N1158" s="161" t="s">
        <v>1299</v>
      </c>
      <c r="O1158" s="161" t="s">
        <v>25</v>
      </c>
      <c r="P1158" s="49" t="s">
        <v>25</v>
      </c>
      <c r="Q1158" s="166" t="s">
        <v>1521</v>
      </c>
      <c r="R1158" s="151"/>
    </row>
    <row r="1159" spans="1:18">
      <c r="A1159" s="162" t="s">
        <v>43</v>
      </c>
      <c r="B1159" s="101" t="s">
        <v>331</v>
      </c>
      <c r="C1159" s="86" t="s">
        <v>3772</v>
      </c>
      <c r="D1159" s="161" t="s">
        <v>2258</v>
      </c>
      <c r="E1159" s="161" t="s">
        <v>1491</v>
      </c>
      <c r="F1159" s="161" t="s">
        <v>1520</v>
      </c>
      <c r="G1159" s="163">
        <v>130.99</v>
      </c>
      <c r="H1159" s="163">
        <f t="shared" si="97"/>
        <v>22.24</v>
      </c>
      <c r="I1159" s="185">
        <v>1293.4</v>
      </c>
      <c r="J1159" s="176">
        <v>24103.5035</v>
      </c>
      <c r="K1159" s="176">
        <v>141965.73396875</v>
      </c>
      <c r="L1159" s="163"/>
      <c r="M1159" s="161" t="s">
        <v>3767</v>
      </c>
      <c r="N1159" s="161" t="s">
        <v>1901</v>
      </c>
      <c r="O1159" s="161" t="s">
        <v>25</v>
      </c>
      <c r="P1159" s="49" t="s">
        <v>25</v>
      </c>
      <c r="Q1159" s="166" t="s">
        <v>3773</v>
      </c>
      <c r="R1159" s="151"/>
    </row>
    <row r="1160" spans="1:18">
      <c r="A1160" s="162" t="s">
        <v>43</v>
      </c>
      <c r="B1160" s="101" t="s">
        <v>331</v>
      </c>
      <c r="C1160" s="86" t="s">
        <v>3774</v>
      </c>
      <c r="D1160" s="161" t="s">
        <v>2261</v>
      </c>
      <c r="E1160" s="161" t="s">
        <v>1491</v>
      </c>
      <c r="F1160" s="161" t="s">
        <v>1520</v>
      </c>
      <c r="G1160" s="163">
        <v>164.21</v>
      </c>
      <c r="H1160" s="163">
        <f t="shared" si="97"/>
        <v>33.22</v>
      </c>
      <c r="I1160" s="185">
        <v>1361.6</v>
      </c>
      <c r="J1160" s="176">
        <v>36003.5245625</v>
      </c>
      <c r="K1160" s="176">
        <v>177969.25853125</v>
      </c>
      <c r="L1160" s="163"/>
      <c r="M1160" s="161" t="s">
        <v>3767</v>
      </c>
      <c r="N1160" s="161" t="s">
        <v>1901</v>
      </c>
      <c r="O1160" s="161" t="s">
        <v>25</v>
      </c>
      <c r="P1160" s="49" t="s">
        <v>25</v>
      </c>
      <c r="Q1160" s="166" t="s">
        <v>2856</v>
      </c>
      <c r="R1160" s="151"/>
    </row>
    <row r="1161" spans="1:18">
      <c r="A1161" s="162" t="s">
        <v>43</v>
      </c>
      <c r="B1161" s="101" t="s">
        <v>331</v>
      </c>
      <c r="C1161" s="86" t="s">
        <v>3775</v>
      </c>
      <c r="D1161" s="161" t="s">
        <v>2827</v>
      </c>
      <c r="E1161" s="161" t="s">
        <v>1491</v>
      </c>
      <c r="F1161" s="161" t="s">
        <v>1520</v>
      </c>
      <c r="G1161" s="163">
        <v>197.22</v>
      </c>
      <c r="H1161" s="163">
        <f t="shared" si="97"/>
        <v>33.01</v>
      </c>
      <c r="I1161" s="185">
        <v>1558.4</v>
      </c>
      <c r="J1161" s="176">
        <v>35775.92853125</v>
      </c>
      <c r="K1161" s="176">
        <v>213745.1870625</v>
      </c>
      <c r="L1161" s="163"/>
      <c r="M1161" s="161" t="s">
        <v>3767</v>
      </c>
      <c r="N1161" s="161" t="s">
        <v>1901</v>
      </c>
      <c r="O1161" s="161" t="s">
        <v>25</v>
      </c>
      <c r="P1161" s="49" t="s">
        <v>25</v>
      </c>
      <c r="Q1161" s="166" t="s">
        <v>1532</v>
      </c>
      <c r="R1161" s="151"/>
    </row>
    <row r="1162" spans="1:18">
      <c r="A1162" s="162" t="s">
        <v>43</v>
      </c>
      <c r="B1162" s="101" t="s">
        <v>331</v>
      </c>
      <c r="C1162" s="135" t="s">
        <v>1533</v>
      </c>
      <c r="D1162" s="161" t="s">
        <v>1534</v>
      </c>
      <c r="E1162" s="161" t="s">
        <v>1491</v>
      </c>
      <c r="F1162" s="161" t="s">
        <v>1520</v>
      </c>
      <c r="G1162" s="163">
        <v>212.15</v>
      </c>
      <c r="H1162" s="163">
        <f t="shared" si="97"/>
        <v>14.93</v>
      </c>
      <c r="I1162" s="185">
        <v>1550</v>
      </c>
      <c r="J1162" s="176">
        <v>16180.99403125</v>
      </c>
      <c r="K1162" s="176">
        <v>229926.18109375</v>
      </c>
      <c r="L1162" s="163" t="s">
        <v>3776</v>
      </c>
      <c r="M1162" s="161" t="s">
        <v>1294</v>
      </c>
      <c r="N1162" s="161"/>
      <c r="O1162" s="161"/>
      <c r="P1162" s="49"/>
      <c r="Q1162" s="166" t="s">
        <v>1535</v>
      </c>
      <c r="R1162" s="151"/>
    </row>
    <row r="1163" spans="1:18">
      <c r="A1163" s="162" t="s">
        <v>43</v>
      </c>
      <c r="B1163" s="101" t="s">
        <v>331</v>
      </c>
      <c r="C1163" s="86" t="s">
        <v>3777</v>
      </c>
      <c r="D1163" s="161" t="s">
        <v>2266</v>
      </c>
      <c r="E1163" s="161" t="s">
        <v>1491</v>
      </c>
      <c r="F1163" s="161" t="s">
        <v>1538</v>
      </c>
      <c r="G1163" s="163">
        <v>242.97</v>
      </c>
      <c r="H1163" s="163">
        <f t="shared" si="97"/>
        <v>30.82</v>
      </c>
      <c r="I1163" s="185">
        <v>1416.8</v>
      </c>
      <c r="J1163" s="176">
        <v>33402.4270625</v>
      </c>
      <c r="K1163" s="176">
        <v>263328.60815625</v>
      </c>
      <c r="L1163" s="163"/>
      <c r="M1163" s="161" t="s">
        <v>3767</v>
      </c>
      <c r="N1163" s="161" t="s">
        <v>1901</v>
      </c>
      <c r="O1163" s="161" t="s">
        <v>25</v>
      </c>
      <c r="P1163" s="49" t="s">
        <v>25</v>
      </c>
      <c r="Q1163" s="166" t="s">
        <v>1539</v>
      </c>
      <c r="R1163" s="151"/>
    </row>
    <row r="1164" spans="1:18">
      <c r="A1164" s="162" t="s">
        <v>43</v>
      </c>
      <c r="B1164" s="101" t="s">
        <v>331</v>
      </c>
      <c r="C1164" s="86" t="s">
        <v>3778</v>
      </c>
      <c r="D1164" s="161" t="s">
        <v>2270</v>
      </c>
      <c r="E1164" s="161" t="s">
        <v>1491</v>
      </c>
      <c r="F1164" s="161" t="s">
        <v>1538</v>
      </c>
      <c r="G1164" s="163">
        <v>267.87</v>
      </c>
      <c r="H1164" s="163">
        <f t="shared" si="97"/>
        <v>24.9</v>
      </c>
      <c r="I1164" s="185">
        <v>1414.2</v>
      </c>
      <c r="J1164" s="176">
        <v>26986.3865625</v>
      </c>
      <c r="K1164" s="176">
        <v>290314.99471875</v>
      </c>
      <c r="L1164" s="163"/>
      <c r="M1164" s="161" t="s">
        <v>3767</v>
      </c>
      <c r="N1164" s="161" t="s">
        <v>1901</v>
      </c>
      <c r="O1164" s="161" t="s">
        <v>25</v>
      </c>
      <c r="P1164" s="49" t="s">
        <v>25</v>
      </c>
      <c r="Q1164" s="166" t="s">
        <v>3779</v>
      </c>
      <c r="R1164" s="151"/>
    </row>
    <row r="1165" spans="1:18">
      <c r="A1165" s="162" t="s">
        <v>43</v>
      </c>
      <c r="B1165" s="101" t="s">
        <v>331</v>
      </c>
      <c r="C1165" s="86" t="s">
        <v>3780</v>
      </c>
      <c r="D1165" s="161" t="s">
        <v>2832</v>
      </c>
      <c r="E1165" s="161" t="s">
        <v>1491</v>
      </c>
      <c r="F1165" s="161" t="s">
        <v>1538</v>
      </c>
      <c r="G1165" s="163">
        <v>297.17</v>
      </c>
      <c r="H1165" s="163">
        <f t="shared" si="97"/>
        <v>29.3</v>
      </c>
      <c r="I1165" s="185">
        <v>1408.9</v>
      </c>
      <c r="J1165" s="176">
        <v>31755.0653125</v>
      </c>
      <c r="K1165" s="176">
        <v>322070.06003125</v>
      </c>
      <c r="L1165" s="163"/>
      <c r="M1165" s="161" t="s">
        <v>3767</v>
      </c>
      <c r="N1165" s="161" t="s">
        <v>1901</v>
      </c>
      <c r="O1165" s="161" t="s">
        <v>25</v>
      </c>
      <c r="P1165" s="49" t="s">
        <v>25</v>
      </c>
      <c r="Q1165" s="166" t="s">
        <v>3781</v>
      </c>
      <c r="R1165" s="151"/>
    </row>
    <row r="1166" spans="1:18">
      <c r="A1166" s="162" t="s">
        <v>43</v>
      </c>
      <c r="B1166" s="101" t="s">
        <v>331</v>
      </c>
      <c r="C1166" s="86" t="s">
        <v>3782</v>
      </c>
      <c r="D1166" s="161" t="s">
        <v>1344</v>
      </c>
      <c r="E1166" s="161" t="s">
        <v>1491</v>
      </c>
      <c r="F1166" s="161" t="s">
        <v>1538</v>
      </c>
      <c r="G1166" s="163">
        <v>327.82</v>
      </c>
      <c r="H1166" s="163">
        <f t="shared" si="97"/>
        <v>30.65</v>
      </c>
      <c r="I1166" s="185">
        <v>1373.8</v>
      </c>
      <c r="J1166" s="176">
        <v>33218.18265625</v>
      </c>
      <c r="K1166" s="176">
        <v>355288.2426875</v>
      </c>
      <c r="L1166" s="163"/>
      <c r="M1166" s="161" t="s">
        <v>3767</v>
      </c>
      <c r="N1166" s="161" t="s">
        <v>1299</v>
      </c>
      <c r="O1166" s="161" t="s">
        <v>25</v>
      </c>
      <c r="P1166" s="49" t="s">
        <v>25</v>
      </c>
      <c r="Q1166" s="166" t="s">
        <v>3783</v>
      </c>
      <c r="R1166" s="151"/>
    </row>
    <row r="1167" spans="1:18">
      <c r="A1167" s="162" t="s">
        <v>43</v>
      </c>
      <c r="B1167" s="101" t="s">
        <v>331</v>
      </c>
      <c r="C1167" s="86" t="s">
        <v>3784</v>
      </c>
      <c r="D1167" s="161" t="s">
        <v>1346</v>
      </c>
      <c r="E1167" s="161" t="s">
        <v>1491</v>
      </c>
      <c r="F1167" s="161" t="s">
        <v>1538</v>
      </c>
      <c r="G1167" s="163">
        <v>344.42</v>
      </c>
      <c r="H1167" s="163">
        <f t="shared" si="97"/>
        <v>16.6</v>
      </c>
      <c r="I1167" s="185">
        <v>1348.7</v>
      </c>
      <c r="J1167" s="176">
        <v>17990.924375</v>
      </c>
      <c r="K1167" s="176">
        <v>373279.1670625</v>
      </c>
      <c r="L1167" s="163"/>
      <c r="M1167" s="161" t="s">
        <v>3767</v>
      </c>
      <c r="N1167" s="161" t="s">
        <v>1299</v>
      </c>
      <c r="O1167" s="161" t="s">
        <v>25</v>
      </c>
      <c r="P1167" s="49" t="s">
        <v>25</v>
      </c>
      <c r="Q1167" s="166" t="s">
        <v>3785</v>
      </c>
      <c r="R1167" s="151"/>
    </row>
    <row r="1168" spans="1:18">
      <c r="A1168" s="162" t="s">
        <v>43</v>
      </c>
      <c r="B1168" s="101" t="s">
        <v>331</v>
      </c>
      <c r="C1168" s="135" t="s">
        <v>244</v>
      </c>
      <c r="D1168" s="161" t="s">
        <v>1552</v>
      </c>
      <c r="E1168" s="161" t="s">
        <v>1491</v>
      </c>
      <c r="F1168" s="161" t="s">
        <v>1538</v>
      </c>
      <c r="G1168" s="163">
        <v>375.15</v>
      </c>
      <c r="H1168" s="163">
        <f t="shared" si="97"/>
        <v>30.73</v>
      </c>
      <c r="I1168" s="185">
        <v>1332</v>
      </c>
      <c r="J1168" s="176">
        <v>34854.7065</v>
      </c>
      <c r="K1168" s="176">
        <v>408133.8735625</v>
      </c>
      <c r="L1168" s="163" t="s">
        <v>3776</v>
      </c>
      <c r="M1168" s="161" t="s">
        <v>1294</v>
      </c>
      <c r="N1168" s="161"/>
      <c r="O1168" s="161"/>
      <c r="P1168" s="49"/>
      <c r="Q1168" s="166" t="s">
        <v>1554</v>
      </c>
      <c r="R1168" s="151"/>
    </row>
    <row r="1169" spans="1:18">
      <c r="A1169" s="162" t="s">
        <v>43</v>
      </c>
      <c r="B1169" s="101" t="s">
        <v>332</v>
      </c>
      <c r="C1169" s="135" t="s">
        <v>333</v>
      </c>
      <c r="D1169" s="161" t="s">
        <v>2258</v>
      </c>
      <c r="E1169" s="161" t="s">
        <v>2750</v>
      </c>
      <c r="F1169" s="161" t="s">
        <v>2777</v>
      </c>
      <c r="G1169" s="163">
        <v>0</v>
      </c>
      <c r="H1169" s="163">
        <v>0</v>
      </c>
      <c r="I1169" s="185">
        <v>7</v>
      </c>
      <c r="J1169" s="176">
        <v>0</v>
      </c>
      <c r="K1169" s="176">
        <v>0</v>
      </c>
      <c r="L1169" s="163"/>
      <c r="M1169" s="161" t="s">
        <v>3275</v>
      </c>
      <c r="N1169" s="161"/>
      <c r="O1169" s="161"/>
      <c r="P1169" s="49"/>
      <c r="Q1169" s="166" t="s">
        <v>3282</v>
      </c>
      <c r="R1169" s="151"/>
    </row>
    <row r="1170" spans="1:18">
      <c r="A1170" s="162" t="s">
        <v>43</v>
      </c>
      <c r="B1170" s="101" t="s">
        <v>332</v>
      </c>
      <c r="C1170" s="87" t="s">
        <v>3786</v>
      </c>
      <c r="D1170" s="161" t="s">
        <v>3786</v>
      </c>
      <c r="E1170" s="161" t="s">
        <v>2750</v>
      </c>
      <c r="F1170" s="161" t="s">
        <v>2777</v>
      </c>
      <c r="G1170" s="163">
        <v>0.95</v>
      </c>
      <c r="H1170" s="163">
        <f>G1170-G1169</f>
        <v>0.95</v>
      </c>
      <c r="I1170" s="185">
        <v>7</v>
      </c>
      <c r="J1170" s="176">
        <v>451.4</v>
      </c>
      <c r="K1170" s="176">
        <v>451.4</v>
      </c>
      <c r="L1170" s="163"/>
      <c r="M1170" s="161" t="s">
        <v>3787</v>
      </c>
      <c r="N1170" s="161" t="s">
        <v>1331</v>
      </c>
      <c r="O1170" s="161" t="s">
        <v>15</v>
      </c>
      <c r="P1170" s="49" t="s">
        <v>15</v>
      </c>
      <c r="Q1170" s="166" t="s">
        <v>3788</v>
      </c>
      <c r="R1170" s="151"/>
    </row>
    <row r="1171" spans="1:18">
      <c r="A1171" s="162" t="s">
        <v>43</v>
      </c>
      <c r="B1171" s="101" t="s">
        <v>332</v>
      </c>
      <c r="C1171" s="87" t="s">
        <v>3789</v>
      </c>
      <c r="D1171" s="161" t="s">
        <v>1899</v>
      </c>
      <c r="E1171" s="161" t="s">
        <v>2750</v>
      </c>
      <c r="F1171" s="161" t="s">
        <v>3284</v>
      </c>
      <c r="G1171" s="163">
        <v>22.5332</v>
      </c>
      <c r="H1171" s="163">
        <f t="shared" ref="H1171:H1190" si="98">G1171-G1170</f>
        <v>21.5832</v>
      </c>
      <c r="I1171" s="185">
        <v>42</v>
      </c>
      <c r="J1171" s="176">
        <v>10382</v>
      </c>
      <c r="K1171" s="176">
        <v>10833.4</v>
      </c>
      <c r="L1171" s="163"/>
      <c r="M1171" s="161" t="s">
        <v>3787</v>
      </c>
      <c r="N1171" s="161" t="s">
        <v>1901</v>
      </c>
      <c r="O1171" s="161" t="s">
        <v>25</v>
      </c>
      <c r="P1171" s="49" t="s">
        <v>25</v>
      </c>
      <c r="Q1171" s="166" t="s">
        <v>3790</v>
      </c>
      <c r="R1171" s="151"/>
    </row>
    <row r="1172" spans="1:18">
      <c r="A1172" s="162" t="s">
        <v>43</v>
      </c>
      <c r="B1172" s="101" t="s">
        <v>332</v>
      </c>
      <c r="C1172" s="87" t="s">
        <v>3791</v>
      </c>
      <c r="D1172" s="161" t="s">
        <v>1904</v>
      </c>
      <c r="E1172" s="161" t="s">
        <v>2750</v>
      </c>
      <c r="F1172" s="161" t="s">
        <v>3284</v>
      </c>
      <c r="G1172" s="163">
        <v>39.8027</v>
      </c>
      <c r="H1172" s="163">
        <f t="shared" si="98"/>
        <v>17.2695</v>
      </c>
      <c r="I1172" s="185">
        <v>72</v>
      </c>
      <c r="J1172" s="176">
        <v>8125</v>
      </c>
      <c r="K1172" s="176">
        <v>18958.4</v>
      </c>
      <c r="L1172" s="163"/>
      <c r="M1172" s="161" t="s">
        <v>3787</v>
      </c>
      <c r="N1172" s="161" t="s">
        <v>1901</v>
      </c>
      <c r="O1172" s="161" t="s">
        <v>25</v>
      </c>
      <c r="P1172" s="49" t="s">
        <v>25</v>
      </c>
      <c r="Q1172" s="166" t="s">
        <v>3790</v>
      </c>
      <c r="R1172" s="151"/>
    </row>
    <row r="1173" spans="1:18">
      <c r="A1173" s="162" t="s">
        <v>43</v>
      </c>
      <c r="B1173" s="101" t="s">
        <v>332</v>
      </c>
      <c r="C1173" s="87" t="s">
        <v>3792</v>
      </c>
      <c r="D1173" s="161" t="s">
        <v>1305</v>
      </c>
      <c r="E1173" s="161" t="s">
        <v>2750</v>
      </c>
      <c r="F1173" s="161" t="s">
        <v>3284</v>
      </c>
      <c r="G1173" s="163">
        <v>64.4555</v>
      </c>
      <c r="H1173" s="163">
        <f t="shared" si="98"/>
        <v>24.6528</v>
      </c>
      <c r="I1173" s="185">
        <v>101</v>
      </c>
      <c r="J1173" s="176">
        <v>11403.6</v>
      </c>
      <c r="K1173" s="176">
        <v>30362</v>
      </c>
      <c r="L1173" s="163"/>
      <c r="M1173" s="161" t="s">
        <v>3787</v>
      </c>
      <c r="N1173" s="161" t="s">
        <v>1299</v>
      </c>
      <c r="O1173" s="161" t="s">
        <v>25</v>
      </c>
      <c r="P1173" s="49" t="s">
        <v>25</v>
      </c>
      <c r="Q1173" s="166" t="s">
        <v>3793</v>
      </c>
      <c r="R1173" s="151"/>
    </row>
    <row r="1174" spans="1:18">
      <c r="A1174" s="162" t="s">
        <v>43</v>
      </c>
      <c r="B1174" s="101" t="s">
        <v>332</v>
      </c>
      <c r="C1174" s="87" t="s">
        <v>3794</v>
      </c>
      <c r="D1174" s="161" t="s">
        <v>2820</v>
      </c>
      <c r="E1174" s="161" t="s">
        <v>2750</v>
      </c>
      <c r="F1174" s="161" t="s">
        <v>3284</v>
      </c>
      <c r="G1174" s="163">
        <v>84.8592</v>
      </c>
      <c r="H1174" s="163">
        <f t="shared" si="98"/>
        <v>20.4037</v>
      </c>
      <c r="I1174" s="185">
        <v>65</v>
      </c>
      <c r="J1174" s="176">
        <v>9835.6</v>
      </c>
      <c r="K1174" s="176">
        <v>40197.5</v>
      </c>
      <c r="L1174" s="163"/>
      <c r="M1174" s="161" t="s">
        <v>3787</v>
      </c>
      <c r="N1174" s="161" t="s">
        <v>1901</v>
      </c>
      <c r="O1174" s="161" t="s">
        <v>25</v>
      </c>
      <c r="P1174" s="49" t="s">
        <v>25</v>
      </c>
      <c r="Q1174" s="166" t="s">
        <v>3795</v>
      </c>
      <c r="R1174" s="151"/>
    </row>
    <row r="1175" spans="1:18">
      <c r="A1175" s="162" t="s">
        <v>43</v>
      </c>
      <c r="B1175" s="101" t="s">
        <v>332</v>
      </c>
      <c r="C1175" s="87" t="s">
        <v>3796</v>
      </c>
      <c r="D1175" s="161" t="s">
        <v>3796</v>
      </c>
      <c r="E1175" s="161" t="s">
        <v>2750</v>
      </c>
      <c r="F1175" s="161" t="s">
        <v>3284</v>
      </c>
      <c r="G1175" s="163">
        <v>101.4</v>
      </c>
      <c r="H1175" s="163">
        <f t="shared" si="98"/>
        <v>16.5408</v>
      </c>
      <c r="I1175" s="185">
        <v>47</v>
      </c>
      <c r="J1175" s="176">
        <v>7982.5</v>
      </c>
      <c r="K1175" s="176">
        <v>48180</v>
      </c>
      <c r="L1175" s="163"/>
      <c r="M1175" s="161" t="s">
        <v>3787</v>
      </c>
      <c r="N1175" s="161" t="s">
        <v>1331</v>
      </c>
      <c r="O1175" s="161" t="s">
        <v>15</v>
      </c>
      <c r="P1175" s="49" t="s">
        <v>15</v>
      </c>
      <c r="Q1175" s="166" t="s">
        <v>3797</v>
      </c>
      <c r="R1175" s="151"/>
    </row>
    <row r="1176" spans="1:18">
      <c r="A1176" s="162" t="s">
        <v>43</v>
      </c>
      <c r="B1176" s="101" t="s">
        <v>332</v>
      </c>
      <c r="C1176" s="87" t="s">
        <v>3798</v>
      </c>
      <c r="D1176" s="161" t="s">
        <v>2252</v>
      </c>
      <c r="E1176" s="161" t="s">
        <v>2750</v>
      </c>
      <c r="F1176" s="161" t="s">
        <v>3284</v>
      </c>
      <c r="G1176" s="163">
        <v>113.3829</v>
      </c>
      <c r="H1176" s="163">
        <f t="shared" si="98"/>
        <v>11.9829</v>
      </c>
      <c r="I1176" s="185">
        <v>47</v>
      </c>
      <c r="J1176" s="176">
        <v>5606.7</v>
      </c>
      <c r="K1176" s="176">
        <v>53786.7</v>
      </c>
      <c r="L1176" s="163"/>
      <c r="M1176" s="161" t="s">
        <v>3787</v>
      </c>
      <c r="N1176" s="161" t="s">
        <v>1901</v>
      </c>
      <c r="O1176" s="161" t="s">
        <v>25</v>
      </c>
      <c r="P1176" s="49" t="s">
        <v>25</v>
      </c>
      <c r="Q1176" s="166" t="s">
        <v>3799</v>
      </c>
      <c r="R1176" s="151"/>
    </row>
    <row r="1177" spans="1:18">
      <c r="A1177" s="162" t="s">
        <v>43</v>
      </c>
      <c r="B1177" s="101" t="s">
        <v>332</v>
      </c>
      <c r="C1177" s="87" t="s">
        <v>3800</v>
      </c>
      <c r="D1177" s="161" t="s">
        <v>2258</v>
      </c>
      <c r="E1177" s="161" t="s">
        <v>2750</v>
      </c>
      <c r="F1177" s="161" t="s">
        <v>3284</v>
      </c>
      <c r="G1177" s="163">
        <v>126.8527</v>
      </c>
      <c r="H1177" s="163">
        <f t="shared" si="98"/>
        <v>13.4698</v>
      </c>
      <c r="I1177" s="185">
        <v>41</v>
      </c>
      <c r="J1177" s="176">
        <v>6462</v>
      </c>
      <c r="K1177" s="176">
        <v>60248.8</v>
      </c>
      <c r="L1177" s="163"/>
      <c r="M1177" s="161" t="s">
        <v>3787</v>
      </c>
      <c r="N1177" s="161" t="s">
        <v>1901</v>
      </c>
      <c r="O1177" s="161" t="s">
        <v>25</v>
      </c>
      <c r="P1177" s="49" t="s">
        <v>25</v>
      </c>
      <c r="Q1177" s="166" t="s">
        <v>3801</v>
      </c>
      <c r="R1177" s="151"/>
    </row>
    <row r="1178" spans="1:18">
      <c r="A1178" s="162" t="s">
        <v>43</v>
      </c>
      <c r="B1178" s="101" t="s">
        <v>332</v>
      </c>
      <c r="C1178" s="87" t="s">
        <v>3802</v>
      </c>
      <c r="D1178" s="161" t="s">
        <v>1321</v>
      </c>
      <c r="E1178" s="161" t="s">
        <v>2750</v>
      </c>
      <c r="F1178" s="161" t="s">
        <v>3284</v>
      </c>
      <c r="G1178" s="163">
        <v>145.7778</v>
      </c>
      <c r="H1178" s="163">
        <f t="shared" si="98"/>
        <v>18.9251</v>
      </c>
      <c r="I1178" s="185">
        <v>84</v>
      </c>
      <c r="J1178" s="176">
        <v>9217.9</v>
      </c>
      <c r="K1178" s="176">
        <v>69466.6</v>
      </c>
      <c r="L1178" s="163"/>
      <c r="M1178" s="161" t="s">
        <v>3787</v>
      </c>
      <c r="N1178" s="161" t="s">
        <v>1299</v>
      </c>
      <c r="O1178" s="161" t="s">
        <v>25</v>
      </c>
      <c r="P1178" s="49" t="s">
        <v>25</v>
      </c>
      <c r="Q1178" s="166" t="s">
        <v>3803</v>
      </c>
      <c r="R1178" s="151"/>
    </row>
    <row r="1179" spans="1:18">
      <c r="A1179" s="162" t="s">
        <v>43</v>
      </c>
      <c r="B1179" s="101" t="s">
        <v>332</v>
      </c>
      <c r="C1179" s="87" t="s">
        <v>3804</v>
      </c>
      <c r="D1179" s="161" t="s">
        <v>2827</v>
      </c>
      <c r="E1179" s="161" t="s">
        <v>2750</v>
      </c>
      <c r="F1179" s="161" t="s">
        <v>3284</v>
      </c>
      <c r="G1179" s="163">
        <v>164.3203</v>
      </c>
      <c r="H1179" s="163">
        <f t="shared" si="98"/>
        <v>18.5425</v>
      </c>
      <c r="I1179" s="185">
        <v>157</v>
      </c>
      <c r="J1179" s="176">
        <v>8790.2</v>
      </c>
      <c r="K1179" s="176">
        <v>78256.9</v>
      </c>
      <c r="L1179" s="163"/>
      <c r="M1179" s="161" t="s">
        <v>3787</v>
      </c>
      <c r="N1179" s="161" t="s">
        <v>1901</v>
      </c>
      <c r="O1179" s="161" t="s">
        <v>25</v>
      </c>
      <c r="P1179" s="49" t="s">
        <v>25</v>
      </c>
      <c r="Q1179" s="166" t="s">
        <v>3805</v>
      </c>
      <c r="R1179" s="151"/>
    </row>
    <row r="1180" spans="1:18">
      <c r="A1180" s="162" t="s">
        <v>43</v>
      </c>
      <c r="B1180" s="101" t="s">
        <v>332</v>
      </c>
      <c r="C1180" s="87" t="s">
        <v>3806</v>
      </c>
      <c r="D1180" s="161" t="s">
        <v>2266</v>
      </c>
      <c r="E1180" s="161" t="s">
        <v>2750</v>
      </c>
      <c r="F1180" s="161" t="s">
        <v>3284</v>
      </c>
      <c r="G1180" s="163">
        <v>187.4238</v>
      </c>
      <c r="H1180" s="163">
        <f t="shared" si="98"/>
        <v>23.1035</v>
      </c>
      <c r="I1180" s="185">
        <v>338</v>
      </c>
      <c r="J1180" s="176">
        <v>10880.9</v>
      </c>
      <c r="K1180" s="176">
        <v>89137.8</v>
      </c>
      <c r="L1180" s="163"/>
      <c r="M1180" s="161" t="s">
        <v>3787</v>
      </c>
      <c r="N1180" s="161" t="s">
        <v>1901</v>
      </c>
      <c r="O1180" s="161" t="s">
        <v>25</v>
      </c>
      <c r="P1180" s="49" t="s">
        <v>25</v>
      </c>
      <c r="Q1180" s="166" t="s">
        <v>3807</v>
      </c>
      <c r="R1180" s="151"/>
    </row>
    <row r="1181" spans="1:18">
      <c r="A1181" s="162" t="s">
        <v>43</v>
      </c>
      <c r="B1181" s="101" t="s">
        <v>332</v>
      </c>
      <c r="C1181" s="87" t="s">
        <v>3808</v>
      </c>
      <c r="D1181" s="161" t="s">
        <v>1334</v>
      </c>
      <c r="E1181" s="161" t="s">
        <v>2750</v>
      </c>
      <c r="F1181" s="161" t="s">
        <v>3809</v>
      </c>
      <c r="G1181" s="163">
        <v>211.2747</v>
      </c>
      <c r="H1181" s="163">
        <f t="shared" si="98"/>
        <v>23.8509</v>
      </c>
      <c r="I1181" s="185">
        <v>193</v>
      </c>
      <c r="J1181" s="176">
        <v>11356</v>
      </c>
      <c r="K1181" s="176">
        <v>100493.8</v>
      </c>
      <c r="L1181" s="163"/>
      <c r="M1181" s="161" t="s">
        <v>3787</v>
      </c>
      <c r="N1181" s="161" t="s">
        <v>1299</v>
      </c>
      <c r="O1181" s="161" t="s">
        <v>25</v>
      </c>
      <c r="P1181" s="49" t="s">
        <v>25</v>
      </c>
      <c r="Q1181" s="166" t="s">
        <v>3810</v>
      </c>
      <c r="R1181" s="151"/>
    </row>
    <row r="1182" spans="1:18">
      <c r="A1182" s="162" t="s">
        <v>43</v>
      </c>
      <c r="B1182" s="101" t="s">
        <v>332</v>
      </c>
      <c r="C1182" s="87" t="s">
        <v>3811</v>
      </c>
      <c r="D1182" s="161" t="s">
        <v>2832</v>
      </c>
      <c r="E1182" s="161" t="s">
        <v>2750</v>
      </c>
      <c r="F1182" s="161" t="s">
        <v>3809</v>
      </c>
      <c r="G1182" s="163">
        <v>231.811</v>
      </c>
      <c r="H1182" s="163">
        <f t="shared" si="98"/>
        <v>20.5363</v>
      </c>
      <c r="I1182" s="185">
        <v>181</v>
      </c>
      <c r="J1182" s="176">
        <v>9693</v>
      </c>
      <c r="K1182" s="176">
        <v>110186.8</v>
      </c>
      <c r="L1182" s="163"/>
      <c r="M1182" s="161" t="s">
        <v>3787</v>
      </c>
      <c r="N1182" s="161" t="s">
        <v>1901</v>
      </c>
      <c r="O1182" s="161" t="s">
        <v>25</v>
      </c>
      <c r="P1182" s="49" t="s">
        <v>25</v>
      </c>
      <c r="Q1182" s="166" t="s">
        <v>3812</v>
      </c>
      <c r="R1182" s="151"/>
    </row>
    <row r="1183" spans="1:18">
      <c r="A1183" s="162" t="s">
        <v>43</v>
      </c>
      <c r="B1183" s="101" t="s">
        <v>332</v>
      </c>
      <c r="C1183" s="87" t="s">
        <v>3813</v>
      </c>
      <c r="D1183" s="161" t="s">
        <v>2835</v>
      </c>
      <c r="E1183" s="161" t="s">
        <v>2750</v>
      </c>
      <c r="F1183" s="161" t="s">
        <v>3809</v>
      </c>
      <c r="G1183" s="163">
        <v>248.2577</v>
      </c>
      <c r="H1183" s="163">
        <f t="shared" si="98"/>
        <v>16.4467</v>
      </c>
      <c r="I1183" s="185">
        <v>278</v>
      </c>
      <c r="J1183" s="176">
        <v>8077.5</v>
      </c>
      <c r="K1183" s="176">
        <v>118264.3</v>
      </c>
      <c r="L1183" s="163"/>
      <c r="M1183" s="161" t="s">
        <v>3787</v>
      </c>
      <c r="N1183" s="161" t="s">
        <v>1901</v>
      </c>
      <c r="O1183" s="161" t="s">
        <v>25</v>
      </c>
      <c r="P1183" s="49" t="s">
        <v>25</v>
      </c>
      <c r="Q1183" s="166" t="s">
        <v>3814</v>
      </c>
      <c r="R1183" s="151"/>
    </row>
    <row r="1184" spans="1:18">
      <c r="A1184" s="162" t="s">
        <v>43</v>
      </c>
      <c r="B1184" s="101" t="s">
        <v>332</v>
      </c>
      <c r="C1184" s="87" t="s">
        <v>3815</v>
      </c>
      <c r="D1184" s="161" t="s">
        <v>1346</v>
      </c>
      <c r="E1184" s="161" t="s">
        <v>2750</v>
      </c>
      <c r="F1184" s="161" t="s">
        <v>3809</v>
      </c>
      <c r="G1184" s="163">
        <v>273.0436</v>
      </c>
      <c r="H1184" s="163">
        <f t="shared" si="98"/>
        <v>24.7859</v>
      </c>
      <c r="I1184" s="185">
        <v>72</v>
      </c>
      <c r="J1184" s="176">
        <v>11451.1</v>
      </c>
      <c r="K1184" s="176">
        <v>129715.4</v>
      </c>
      <c r="L1184" s="163"/>
      <c r="M1184" s="161" t="s">
        <v>3787</v>
      </c>
      <c r="N1184" s="161" t="s">
        <v>1299</v>
      </c>
      <c r="O1184" s="161" t="s">
        <v>25</v>
      </c>
      <c r="P1184" s="49" t="s">
        <v>25</v>
      </c>
      <c r="Q1184" s="166" t="s">
        <v>3816</v>
      </c>
      <c r="R1184" s="151"/>
    </row>
    <row r="1185" spans="1:18">
      <c r="A1185" s="162" t="s">
        <v>43</v>
      </c>
      <c r="B1185" s="101" t="s">
        <v>332</v>
      </c>
      <c r="C1185" s="87" t="s">
        <v>3817</v>
      </c>
      <c r="D1185" s="161" t="s">
        <v>2283</v>
      </c>
      <c r="E1185" s="161" t="s">
        <v>2750</v>
      </c>
      <c r="F1185" s="161" t="s">
        <v>3809</v>
      </c>
      <c r="G1185" s="163">
        <v>286.9759</v>
      </c>
      <c r="H1185" s="163">
        <f t="shared" si="98"/>
        <v>13.9323</v>
      </c>
      <c r="I1185" s="185">
        <v>81</v>
      </c>
      <c r="J1185" s="176">
        <v>6794.6</v>
      </c>
      <c r="K1185" s="176">
        <v>136510</v>
      </c>
      <c r="L1185" s="163"/>
      <c r="M1185" s="161" t="s">
        <v>3787</v>
      </c>
      <c r="N1185" s="161" t="s">
        <v>1901</v>
      </c>
      <c r="O1185" s="161" t="s">
        <v>25</v>
      </c>
      <c r="P1185" s="49" t="s">
        <v>25</v>
      </c>
      <c r="Q1185" s="166" t="s">
        <v>3818</v>
      </c>
      <c r="R1185" s="151"/>
    </row>
    <row r="1186" spans="1:18">
      <c r="A1186" s="162" t="s">
        <v>43</v>
      </c>
      <c r="B1186" s="101" t="s">
        <v>332</v>
      </c>
      <c r="C1186" s="87" t="s">
        <v>3819</v>
      </c>
      <c r="D1186" s="161" t="s">
        <v>2286</v>
      </c>
      <c r="E1186" s="161" t="s">
        <v>2750</v>
      </c>
      <c r="F1186" s="161" t="s">
        <v>3809</v>
      </c>
      <c r="G1186" s="163">
        <v>303.4041</v>
      </c>
      <c r="H1186" s="163">
        <f t="shared" si="98"/>
        <v>16.4282</v>
      </c>
      <c r="I1186" s="185">
        <v>35</v>
      </c>
      <c r="J1186" s="176">
        <v>7554.9</v>
      </c>
      <c r="K1186" s="176">
        <v>144064.9</v>
      </c>
      <c r="L1186" s="163"/>
      <c r="M1186" s="161" t="s">
        <v>3787</v>
      </c>
      <c r="N1186" s="161" t="s">
        <v>1901</v>
      </c>
      <c r="O1186" s="161" t="s">
        <v>25</v>
      </c>
      <c r="P1186" s="49" t="s">
        <v>25</v>
      </c>
      <c r="Q1186" s="166" t="s">
        <v>3820</v>
      </c>
      <c r="R1186" s="151"/>
    </row>
    <row r="1187" spans="1:18">
      <c r="A1187" s="162" t="s">
        <v>43</v>
      </c>
      <c r="B1187" s="101" t="s">
        <v>332</v>
      </c>
      <c r="C1187" s="87" t="s">
        <v>1009</v>
      </c>
      <c r="D1187" s="161" t="s">
        <v>1009</v>
      </c>
      <c r="E1187" s="161" t="s">
        <v>2750</v>
      </c>
      <c r="F1187" s="161" t="s">
        <v>3809</v>
      </c>
      <c r="G1187" s="163">
        <v>328.4998</v>
      </c>
      <c r="H1187" s="163">
        <f t="shared" si="98"/>
        <v>25.0957</v>
      </c>
      <c r="I1187" s="185">
        <v>45</v>
      </c>
      <c r="J1187" s="176">
        <v>12021.2</v>
      </c>
      <c r="K1187" s="176">
        <v>156086.1</v>
      </c>
      <c r="L1187" s="163"/>
      <c r="M1187" s="161" t="s">
        <v>3787</v>
      </c>
      <c r="N1187" s="161" t="s">
        <v>1331</v>
      </c>
      <c r="O1187" s="161" t="s">
        <v>15</v>
      </c>
      <c r="P1187" s="49" t="s">
        <v>15</v>
      </c>
      <c r="Q1187" s="166" t="s">
        <v>3821</v>
      </c>
      <c r="R1187" s="151"/>
    </row>
    <row r="1188" spans="1:18">
      <c r="A1188" s="162" t="s">
        <v>43</v>
      </c>
      <c r="B1188" s="101" t="s">
        <v>332</v>
      </c>
      <c r="C1188" s="87" t="s">
        <v>3822</v>
      </c>
      <c r="D1188" s="161" t="s">
        <v>2294</v>
      </c>
      <c r="E1188" s="161" t="s">
        <v>2750</v>
      </c>
      <c r="F1188" s="161" t="s">
        <v>3809</v>
      </c>
      <c r="G1188" s="163">
        <v>343.6171</v>
      </c>
      <c r="H1188" s="163">
        <f t="shared" si="98"/>
        <v>15.1173</v>
      </c>
      <c r="I1188" s="185">
        <v>58</v>
      </c>
      <c r="J1188" s="176">
        <v>6604.6</v>
      </c>
      <c r="K1188" s="176">
        <v>162690.7</v>
      </c>
      <c r="L1188" s="163"/>
      <c r="M1188" s="161" t="s">
        <v>3787</v>
      </c>
      <c r="N1188" s="161" t="s">
        <v>1901</v>
      </c>
      <c r="O1188" s="161" t="s">
        <v>25</v>
      </c>
      <c r="P1188" s="49" t="s">
        <v>25</v>
      </c>
      <c r="Q1188" s="166" t="s">
        <v>3823</v>
      </c>
      <c r="R1188" s="151"/>
    </row>
    <row r="1189" spans="1:18">
      <c r="A1189" s="162" t="s">
        <v>43</v>
      </c>
      <c r="B1189" s="101" t="s">
        <v>332</v>
      </c>
      <c r="C1189" s="87" t="s">
        <v>3824</v>
      </c>
      <c r="D1189" s="161" t="s">
        <v>2297</v>
      </c>
      <c r="E1189" s="161" t="s">
        <v>2750</v>
      </c>
      <c r="F1189" s="161" t="s">
        <v>3809</v>
      </c>
      <c r="G1189" s="163">
        <v>366.1448</v>
      </c>
      <c r="H1189" s="163">
        <f t="shared" si="98"/>
        <v>22.5277</v>
      </c>
      <c r="I1189" s="185">
        <v>390</v>
      </c>
      <c r="J1189" s="176">
        <v>9693</v>
      </c>
      <c r="K1189" s="176">
        <v>172383.7</v>
      </c>
      <c r="L1189" s="163"/>
      <c r="M1189" s="161" t="s">
        <v>3787</v>
      </c>
      <c r="N1189" s="161" t="s">
        <v>1901</v>
      </c>
      <c r="O1189" s="161" t="s">
        <v>25</v>
      </c>
      <c r="P1189" s="49" t="s">
        <v>25</v>
      </c>
      <c r="Q1189" s="166" t="s">
        <v>3825</v>
      </c>
      <c r="R1189" s="151"/>
    </row>
    <row r="1190" spans="1:18">
      <c r="A1190" s="162" t="s">
        <v>43</v>
      </c>
      <c r="B1190" s="101" t="s">
        <v>332</v>
      </c>
      <c r="C1190" s="87" t="s">
        <v>334</v>
      </c>
      <c r="D1190" s="161" t="s">
        <v>334</v>
      </c>
      <c r="E1190" s="161" t="s">
        <v>2750</v>
      </c>
      <c r="F1190" s="161" t="s">
        <v>3809</v>
      </c>
      <c r="G1190" s="163">
        <v>379.9998</v>
      </c>
      <c r="H1190" s="163">
        <f t="shared" si="98"/>
        <v>13.855</v>
      </c>
      <c r="I1190" s="185">
        <v>172</v>
      </c>
      <c r="J1190" s="176">
        <v>8172.5</v>
      </c>
      <c r="K1190" s="176">
        <v>180556.2</v>
      </c>
      <c r="L1190" s="163"/>
      <c r="M1190" s="161" t="s">
        <v>3787</v>
      </c>
      <c r="N1190" s="161" t="s">
        <v>1331</v>
      </c>
      <c r="O1190" s="161" t="s">
        <v>15</v>
      </c>
      <c r="P1190" s="49" t="s">
        <v>15</v>
      </c>
      <c r="Q1190" s="166" t="s">
        <v>3826</v>
      </c>
      <c r="R1190" s="151"/>
    </row>
    <row r="1191" s="152" customFormat="1" ht="60" spans="1:18">
      <c r="A1191" s="161" t="s">
        <v>45</v>
      </c>
      <c r="B1191" s="101" t="s">
        <v>335</v>
      </c>
      <c r="C1191" s="135" t="s">
        <v>243</v>
      </c>
      <c r="D1191" s="186" t="s">
        <v>243</v>
      </c>
      <c r="E1191" s="161" t="s">
        <v>1291</v>
      </c>
      <c r="F1191" s="161"/>
      <c r="G1191" s="185">
        <v>0</v>
      </c>
      <c r="H1191" s="185">
        <v>0</v>
      </c>
      <c r="I1191" s="185">
        <v>623</v>
      </c>
      <c r="J1191" s="185">
        <v>0</v>
      </c>
      <c r="K1191" s="185">
        <v>0</v>
      </c>
      <c r="L1191" s="163" t="s">
        <v>3827</v>
      </c>
      <c r="M1191" s="161"/>
      <c r="N1191" s="161"/>
      <c r="O1191" s="161"/>
      <c r="P1191" s="49"/>
      <c r="Q1191" s="166"/>
      <c r="R1191" s="151"/>
    </row>
    <row r="1192" s="152" customFormat="1" spans="1:18">
      <c r="A1192" s="161" t="s">
        <v>45</v>
      </c>
      <c r="B1192" s="101" t="s">
        <v>335</v>
      </c>
      <c r="C1192" s="83" t="s">
        <v>3828</v>
      </c>
      <c r="D1192" s="186" t="s">
        <v>3829</v>
      </c>
      <c r="E1192" s="161" t="s">
        <v>1291</v>
      </c>
      <c r="F1192" s="161"/>
      <c r="G1192" s="185">
        <f>G1191+H1192</f>
        <v>23.2</v>
      </c>
      <c r="H1192" s="185">
        <v>23.2</v>
      </c>
      <c r="I1192" s="185">
        <v>395</v>
      </c>
      <c r="J1192" s="185">
        <v>25643.5581896552</v>
      </c>
      <c r="K1192" s="185">
        <v>25563</v>
      </c>
      <c r="L1192" s="163"/>
      <c r="M1192" s="161"/>
      <c r="N1192" s="161" t="s">
        <v>1299</v>
      </c>
      <c r="O1192" s="161"/>
      <c r="P1192" s="49" t="s">
        <v>25</v>
      </c>
      <c r="Q1192" s="166"/>
      <c r="R1192" s="151"/>
    </row>
    <row r="1193" s="152" customFormat="1" spans="1:18">
      <c r="A1193" s="161" t="s">
        <v>45</v>
      </c>
      <c r="B1193" s="101" t="s">
        <v>335</v>
      </c>
      <c r="C1193" s="83" t="s">
        <v>3830</v>
      </c>
      <c r="D1193" s="186" t="s">
        <v>3831</v>
      </c>
      <c r="E1193" s="161" t="s">
        <v>1291</v>
      </c>
      <c r="F1193" s="161"/>
      <c r="G1193" s="185">
        <f t="shared" ref="G1193:G1224" si="99">G1192+H1193</f>
        <v>47</v>
      </c>
      <c r="H1193" s="185">
        <v>23.8</v>
      </c>
      <c r="I1193" s="185">
        <v>417</v>
      </c>
      <c r="J1193" s="185">
        <v>26193.849137931</v>
      </c>
      <c r="K1193" s="185">
        <v>51674</v>
      </c>
      <c r="L1193" s="163"/>
      <c r="M1193" s="161"/>
      <c r="N1193" s="161" t="s">
        <v>1299</v>
      </c>
      <c r="O1193" s="161"/>
      <c r="P1193" s="49" t="s">
        <v>25</v>
      </c>
      <c r="Q1193" s="166"/>
      <c r="R1193" s="151"/>
    </row>
    <row r="1194" s="152" customFormat="1" spans="1:18">
      <c r="A1194" s="161" t="s">
        <v>45</v>
      </c>
      <c r="B1194" s="101" t="s">
        <v>335</v>
      </c>
      <c r="C1194" s="83" t="s">
        <v>3832</v>
      </c>
      <c r="D1194" s="186" t="s">
        <v>3833</v>
      </c>
      <c r="E1194" s="161" t="s">
        <v>1291</v>
      </c>
      <c r="F1194" s="161"/>
      <c r="G1194" s="185">
        <f t="shared" si="99"/>
        <v>71.6</v>
      </c>
      <c r="H1194" s="185">
        <v>24.6</v>
      </c>
      <c r="I1194" s="185">
        <v>461</v>
      </c>
      <c r="J1194" s="185">
        <v>27184.3728448276</v>
      </c>
      <c r="K1194" s="185">
        <v>78773</v>
      </c>
      <c r="L1194" s="163"/>
      <c r="M1194" s="161"/>
      <c r="N1194" s="161" t="s">
        <v>1299</v>
      </c>
      <c r="O1194" s="161"/>
      <c r="P1194" s="49" t="s">
        <v>25</v>
      </c>
      <c r="Q1194" s="166"/>
      <c r="R1194" s="151"/>
    </row>
    <row r="1195" s="152" customFormat="1" ht="60" spans="1:18">
      <c r="A1195" s="161" t="s">
        <v>45</v>
      </c>
      <c r="B1195" s="101" t="s">
        <v>335</v>
      </c>
      <c r="C1195" s="135" t="s">
        <v>2328</v>
      </c>
      <c r="D1195" s="186" t="s">
        <v>2329</v>
      </c>
      <c r="E1195" s="161" t="s">
        <v>1291</v>
      </c>
      <c r="F1195" s="161"/>
      <c r="G1195" s="185">
        <f t="shared" si="99"/>
        <v>92.5</v>
      </c>
      <c r="H1195" s="185">
        <v>20.9</v>
      </c>
      <c r="I1195" s="185">
        <v>666</v>
      </c>
      <c r="J1195" s="185">
        <v>23112.2198275862</v>
      </c>
      <c r="K1195" s="185">
        <v>101812</v>
      </c>
      <c r="L1195" s="163" t="s">
        <v>3834</v>
      </c>
      <c r="M1195" s="161"/>
      <c r="N1195" s="161" t="s">
        <v>1295</v>
      </c>
      <c r="O1195" s="161"/>
      <c r="P1195" s="49"/>
      <c r="Q1195" s="166"/>
      <c r="R1195" s="151"/>
    </row>
    <row r="1196" s="152" customFormat="1" spans="1:18">
      <c r="A1196" s="161" t="s">
        <v>45</v>
      </c>
      <c r="B1196" s="101" t="s">
        <v>335</v>
      </c>
      <c r="C1196" s="83" t="s">
        <v>3835</v>
      </c>
      <c r="D1196" s="186" t="s">
        <v>3836</v>
      </c>
      <c r="E1196" s="161" t="s">
        <v>1291</v>
      </c>
      <c r="F1196" s="161"/>
      <c r="G1196" s="185">
        <f t="shared" si="99"/>
        <v>124.5</v>
      </c>
      <c r="H1196" s="185">
        <v>32</v>
      </c>
      <c r="I1196" s="185">
        <v>772</v>
      </c>
      <c r="J1196" s="185">
        <v>35009.2803149606</v>
      </c>
      <c r="K1196" s="185">
        <v>136591</v>
      </c>
      <c r="L1196" s="163"/>
      <c r="M1196" s="161"/>
      <c r="N1196" s="161" t="s">
        <v>1299</v>
      </c>
      <c r="O1196" s="161"/>
      <c r="P1196" s="49" t="s">
        <v>25</v>
      </c>
      <c r="Q1196" s="166"/>
      <c r="R1196" s="151"/>
    </row>
    <row r="1197" s="152" customFormat="1" spans="1:18">
      <c r="A1197" s="161" t="s">
        <v>45</v>
      </c>
      <c r="B1197" s="101" t="s">
        <v>335</v>
      </c>
      <c r="C1197" s="83" t="s">
        <v>3837</v>
      </c>
      <c r="D1197" s="186" t="s">
        <v>3838</v>
      </c>
      <c r="E1197" s="161" t="s">
        <v>1291</v>
      </c>
      <c r="F1197" s="161"/>
      <c r="G1197" s="185">
        <f t="shared" si="99"/>
        <v>156.5</v>
      </c>
      <c r="H1197" s="185">
        <v>32</v>
      </c>
      <c r="I1197" s="185">
        <v>725</v>
      </c>
      <c r="J1197" s="185">
        <v>35340.5984251968</v>
      </c>
      <c r="K1197" s="185">
        <v>171698</v>
      </c>
      <c r="L1197" s="163"/>
      <c r="M1197" s="161"/>
      <c r="N1197" s="161" t="s">
        <v>1299</v>
      </c>
      <c r="O1197" s="161"/>
      <c r="P1197" s="49" t="s">
        <v>25</v>
      </c>
      <c r="Q1197" s="166"/>
      <c r="R1197" s="151"/>
    </row>
    <row r="1198" s="152" customFormat="1" ht="45" spans="1:18">
      <c r="A1198" s="161" t="s">
        <v>45</v>
      </c>
      <c r="B1198" s="101" t="s">
        <v>335</v>
      </c>
      <c r="C1198" s="83" t="s">
        <v>3839</v>
      </c>
      <c r="D1198" s="186" t="s">
        <v>3840</v>
      </c>
      <c r="E1198" s="161" t="s">
        <v>1291</v>
      </c>
      <c r="F1198" s="161"/>
      <c r="G1198" s="185">
        <f t="shared" si="99"/>
        <v>188.5</v>
      </c>
      <c r="H1198" s="185">
        <v>32</v>
      </c>
      <c r="I1198" s="185">
        <v>780</v>
      </c>
      <c r="J1198" s="185">
        <v>35340.5984251968</v>
      </c>
      <c r="K1198" s="185">
        <v>206806</v>
      </c>
      <c r="L1198" s="163" t="s">
        <v>3841</v>
      </c>
      <c r="M1198" s="161"/>
      <c r="N1198" s="161" t="s">
        <v>2239</v>
      </c>
      <c r="O1198" s="161"/>
      <c r="P1198" s="49" t="s">
        <v>25</v>
      </c>
      <c r="Q1198" s="166"/>
      <c r="R1198" s="151"/>
    </row>
    <row r="1199" s="152" customFormat="1" spans="1:18">
      <c r="A1199" s="161" t="s">
        <v>45</v>
      </c>
      <c r="B1199" s="101" t="s">
        <v>335</v>
      </c>
      <c r="C1199" s="83" t="s">
        <v>3842</v>
      </c>
      <c r="D1199" s="186" t="s">
        <v>3843</v>
      </c>
      <c r="E1199" s="161" t="s">
        <v>1291</v>
      </c>
      <c r="F1199" s="161"/>
      <c r="G1199" s="185">
        <f t="shared" si="99"/>
        <v>219</v>
      </c>
      <c r="H1199" s="185">
        <v>30.5</v>
      </c>
      <c r="I1199" s="185">
        <v>757</v>
      </c>
      <c r="J1199" s="185">
        <v>34015.325984252</v>
      </c>
      <c r="K1199" s="185">
        <v>240597</v>
      </c>
      <c r="L1199" s="163"/>
      <c r="M1199" s="161"/>
      <c r="N1199" s="161" t="s">
        <v>1299</v>
      </c>
      <c r="O1199" s="161"/>
      <c r="P1199" s="49" t="s">
        <v>25</v>
      </c>
      <c r="Q1199" s="166"/>
      <c r="R1199" s="151"/>
    </row>
    <row r="1200" s="152" customFormat="1" spans="1:18">
      <c r="A1200" s="161" t="s">
        <v>45</v>
      </c>
      <c r="B1200" s="101" t="s">
        <v>335</v>
      </c>
      <c r="C1200" s="83" t="s">
        <v>3844</v>
      </c>
      <c r="D1200" s="186" t="s">
        <v>3845</v>
      </c>
      <c r="E1200" s="161" t="s">
        <v>1291</v>
      </c>
      <c r="F1200" s="161"/>
      <c r="G1200" s="185">
        <f t="shared" si="99"/>
        <v>250.9</v>
      </c>
      <c r="H1200" s="185">
        <v>31.9</v>
      </c>
      <c r="I1200" s="185">
        <v>637</v>
      </c>
      <c r="J1200" s="185">
        <v>35340.5984251968</v>
      </c>
      <c r="K1200" s="185">
        <v>275705</v>
      </c>
      <c r="L1200" s="163"/>
      <c r="M1200" s="161"/>
      <c r="N1200" s="161" t="s">
        <v>1299</v>
      </c>
      <c r="O1200" s="161"/>
      <c r="P1200" s="49" t="s">
        <v>25</v>
      </c>
      <c r="Q1200" s="166"/>
      <c r="R1200" s="151"/>
    </row>
    <row r="1201" s="152" customFormat="1" ht="45" spans="1:18">
      <c r="A1201" s="161" t="s">
        <v>45</v>
      </c>
      <c r="B1201" s="101" t="s">
        <v>335</v>
      </c>
      <c r="C1201" s="135" t="s">
        <v>2346</v>
      </c>
      <c r="D1201" s="186" t="s">
        <v>2347</v>
      </c>
      <c r="E1201" s="161" t="s">
        <v>1291</v>
      </c>
      <c r="F1201" s="161"/>
      <c r="G1201" s="185">
        <f t="shared" si="99"/>
        <v>282.8</v>
      </c>
      <c r="H1201" s="185">
        <v>31.9</v>
      </c>
      <c r="I1201" s="185">
        <v>727</v>
      </c>
      <c r="J1201" s="185">
        <v>35340.5984251968</v>
      </c>
      <c r="K1201" s="185">
        <v>310812</v>
      </c>
      <c r="L1201" s="163" t="s">
        <v>3846</v>
      </c>
      <c r="M1201" s="161"/>
      <c r="N1201" s="161" t="s">
        <v>1295</v>
      </c>
      <c r="O1201" s="161"/>
      <c r="P1201" s="49"/>
      <c r="Q1201" s="166"/>
      <c r="R1201" s="151"/>
    </row>
    <row r="1202" s="152" customFormat="1" spans="1:18">
      <c r="A1202" s="161" t="s">
        <v>45</v>
      </c>
      <c r="B1202" s="101" t="s">
        <v>335</v>
      </c>
      <c r="C1202" s="83" t="s">
        <v>3847</v>
      </c>
      <c r="D1202" s="186" t="s">
        <v>3848</v>
      </c>
      <c r="E1202" s="161" t="s">
        <v>1291</v>
      </c>
      <c r="F1202" s="161"/>
      <c r="G1202" s="185">
        <f t="shared" si="99"/>
        <v>314.6</v>
      </c>
      <c r="H1202" s="185">
        <v>31.8</v>
      </c>
      <c r="I1202" s="185">
        <v>712</v>
      </c>
      <c r="J1202" s="185">
        <v>34713.2540540541</v>
      </c>
      <c r="K1202" s="185">
        <v>345920</v>
      </c>
      <c r="L1202" s="163"/>
      <c r="M1202" s="161"/>
      <c r="N1202" s="161" t="s">
        <v>1299</v>
      </c>
      <c r="O1202" s="161"/>
      <c r="P1202" s="49" t="s">
        <v>25</v>
      </c>
      <c r="Q1202" s="166"/>
      <c r="R1202" s="151"/>
    </row>
    <row r="1203" s="152" customFormat="1" spans="1:18">
      <c r="A1203" s="161" t="s">
        <v>45</v>
      </c>
      <c r="B1203" s="101" t="s">
        <v>335</v>
      </c>
      <c r="C1203" s="83" t="s">
        <v>3849</v>
      </c>
      <c r="D1203" s="186" t="s">
        <v>3850</v>
      </c>
      <c r="E1203" s="161" t="s">
        <v>1291</v>
      </c>
      <c r="F1203" s="161"/>
      <c r="G1203" s="185">
        <f t="shared" si="99"/>
        <v>344.3</v>
      </c>
      <c r="H1203" s="185">
        <v>29.7</v>
      </c>
      <c r="I1203" s="185">
        <v>652</v>
      </c>
      <c r="J1203" s="185">
        <v>32435.1967567567</v>
      </c>
      <c r="K1203" s="185">
        <v>378724</v>
      </c>
      <c r="L1203" s="163"/>
      <c r="M1203" s="161"/>
      <c r="N1203" s="161" t="s">
        <v>1299</v>
      </c>
      <c r="O1203" s="161"/>
      <c r="P1203" s="49" t="s">
        <v>25</v>
      </c>
      <c r="Q1203" s="166"/>
      <c r="R1203" s="151"/>
    </row>
    <row r="1204" s="152" customFormat="1" ht="45" spans="1:18">
      <c r="A1204" s="161" t="s">
        <v>45</v>
      </c>
      <c r="B1204" s="101" t="s">
        <v>335</v>
      </c>
      <c r="C1204" s="83" t="s">
        <v>3851</v>
      </c>
      <c r="D1204" s="186" t="s">
        <v>3852</v>
      </c>
      <c r="E1204" s="161" t="s">
        <v>1291</v>
      </c>
      <c r="F1204" s="161"/>
      <c r="G1204" s="185">
        <f t="shared" si="99"/>
        <v>374.4</v>
      </c>
      <c r="H1204" s="185">
        <v>30.1</v>
      </c>
      <c r="I1204" s="185">
        <v>705</v>
      </c>
      <c r="J1204" s="185">
        <v>32760.6335135135</v>
      </c>
      <c r="K1204" s="185">
        <v>411856</v>
      </c>
      <c r="L1204" s="163" t="s">
        <v>3853</v>
      </c>
      <c r="M1204" s="161"/>
      <c r="N1204" s="161" t="s">
        <v>2239</v>
      </c>
      <c r="O1204" s="161"/>
      <c r="P1204" s="49" t="s">
        <v>25</v>
      </c>
      <c r="Q1204" s="166"/>
      <c r="R1204" s="151"/>
    </row>
    <row r="1205" s="152" customFormat="1" spans="1:18">
      <c r="A1205" s="161" t="s">
        <v>45</v>
      </c>
      <c r="B1205" s="101" t="s">
        <v>335</v>
      </c>
      <c r="C1205" s="83" t="s">
        <v>3854</v>
      </c>
      <c r="D1205" s="186" t="s">
        <v>3855</v>
      </c>
      <c r="E1205" s="161" t="s">
        <v>1291</v>
      </c>
      <c r="F1205" s="161"/>
      <c r="G1205" s="185">
        <f t="shared" si="99"/>
        <v>394.9</v>
      </c>
      <c r="H1205" s="185">
        <v>20.5</v>
      </c>
      <c r="I1205" s="185">
        <v>695</v>
      </c>
      <c r="J1205" s="185">
        <v>22346.6572972973</v>
      </c>
      <c r="K1205" s="185">
        <v>434457</v>
      </c>
      <c r="L1205" s="163"/>
      <c r="M1205" s="161"/>
      <c r="N1205" s="161" t="s">
        <v>1299</v>
      </c>
      <c r="O1205" s="161"/>
      <c r="P1205" s="49" t="s">
        <v>25</v>
      </c>
      <c r="Q1205" s="166"/>
      <c r="R1205" s="151"/>
    </row>
    <row r="1206" s="152" customFormat="1" spans="1:18">
      <c r="A1206" s="161" t="s">
        <v>45</v>
      </c>
      <c r="B1206" s="101" t="s">
        <v>335</v>
      </c>
      <c r="C1206" s="83" t="s">
        <v>3856</v>
      </c>
      <c r="D1206" s="186" t="s">
        <v>3857</v>
      </c>
      <c r="E1206" s="161" t="s">
        <v>1291</v>
      </c>
      <c r="F1206" s="161"/>
      <c r="G1206" s="185">
        <f t="shared" si="99"/>
        <v>405.9</v>
      </c>
      <c r="H1206" s="185">
        <v>11</v>
      </c>
      <c r="I1206" s="185">
        <v>633</v>
      </c>
      <c r="J1206" s="185">
        <v>12041.16</v>
      </c>
      <c r="K1206" s="185">
        <v>446635</v>
      </c>
      <c r="L1206" s="163"/>
      <c r="M1206" s="161"/>
      <c r="N1206" s="161" t="s">
        <v>1299</v>
      </c>
      <c r="O1206" s="161"/>
      <c r="P1206" s="49" t="s">
        <v>25</v>
      </c>
      <c r="Q1206" s="166"/>
      <c r="R1206" s="151"/>
    </row>
    <row r="1207" s="152" customFormat="1" spans="1:18">
      <c r="A1207" s="161" t="s">
        <v>45</v>
      </c>
      <c r="B1207" s="101" t="s">
        <v>335</v>
      </c>
      <c r="C1207" s="83" t="s">
        <v>3858</v>
      </c>
      <c r="D1207" s="186" t="s">
        <v>3859</v>
      </c>
      <c r="E1207" s="161" t="s">
        <v>1291</v>
      </c>
      <c r="F1207" s="161"/>
      <c r="G1207" s="185">
        <f t="shared" si="99"/>
        <v>436.9</v>
      </c>
      <c r="H1207" s="185">
        <v>31</v>
      </c>
      <c r="I1207" s="185">
        <v>665</v>
      </c>
      <c r="J1207" s="185">
        <v>33736.9437837837</v>
      </c>
      <c r="K1207" s="185">
        <v>480755</v>
      </c>
      <c r="L1207" s="163"/>
      <c r="M1207" s="161"/>
      <c r="N1207" s="161" t="s">
        <v>1299</v>
      </c>
      <c r="O1207" s="161"/>
      <c r="P1207" s="49" t="s">
        <v>25</v>
      </c>
      <c r="Q1207" s="166"/>
      <c r="R1207" s="151"/>
    </row>
    <row r="1208" s="152" customFormat="1" ht="45" spans="1:18">
      <c r="A1208" s="161" t="s">
        <v>45</v>
      </c>
      <c r="B1208" s="101" t="s">
        <v>335</v>
      </c>
      <c r="C1208" s="135" t="s">
        <v>2362</v>
      </c>
      <c r="D1208" s="186" t="s">
        <v>2363</v>
      </c>
      <c r="E1208" s="161" t="s">
        <v>1291</v>
      </c>
      <c r="F1208" s="161"/>
      <c r="G1208" s="185">
        <f t="shared" si="99"/>
        <v>466.5</v>
      </c>
      <c r="H1208" s="185">
        <v>29.6</v>
      </c>
      <c r="I1208" s="185">
        <v>677</v>
      </c>
      <c r="J1208" s="185">
        <v>32652.1545945946</v>
      </c>
      <c r="K1208" s="185">
        <v>513778</v>
      </c>
      <c r="L1208" s="163" t="s">
        <v>3860</v>
      </c>
      <c r="M1208" s="161"/>
      <c r="N1208" s="161" t="s">
        <v>1295</v>
      </c>
      <c r="O1208" s="161"/>
      <c r="P1208" s="49"/>
      <c r="Q1208" s="166"/>
      <c r="R1208" s="151"/>
    </row>
    <row r="1209" s="152" customFormat="1" spans="1:18">
      <c r="A1209" s="161" t="s">
        <v>45</v>
      </c>
      <c r="B1209" s="101" t="s">
        <v>335</v>
      </c>
      <c r="C1209" s="83" t="s">
        <v>3861</v>
      </c>
      <c r="D1209" s="186" t="s">
        <v>3862</v>
      </c>
      <c r="E1209" s="161" t="s">
        <v>1291</v>
      </c>
      <c r="F1209" s="161"/>
      <c r="G1209" s="185">
        <f t="shared" si="99"/>
        <v>494.3</v>
      </c>
      <c r="H1209" s="185">
        <v>27.8</v>
      </c>
      <c r="I1209" s="185">
        <v>879</v>
      </c>
      <c r="J1209" s="185">
        <v>30700.2413793103</v>
      </c>
      <c r="K1209" s="185">
        <v>544059</v>
      </c>
      <c r="L1209" s="163"/>
      <c r="M1209" s="161"/>
      <c r="N1209" s="161" t="s">
        <v>1299</v>
      </c>
      <c r="O1209" s="161"/>
      <c r="P1209" s="49" t="s">
        <v>25</v>
      </c>
      <c r="Q1209" s="166"/>
      <c r="R1209" s="151"/>
    </row>
    <row r="1210" s="152" customFormat="1" spans="1:18">
      <c r="A1210" s="161" t="s">
        <v>45</v>
      </c>
      <c r="B1210" s="101" t="s">
        <v>335</v>
      </c>
      <c r="C1210" s="83" t="s">
        <v>3863</v>
      </c>
      <c r="D1210" s="186" t="s">
        <v>3864</v>
      </c>
      <c r="E1210" s="161" t="s">
        <v>1291</v>
      </c>
      <c r="F1210" s="161"/>
      <c r="G1210" s="185">
        <f t="shared" si="99"/>
        <v>519.3</v>
      </c>
      <c r="H1210" s="185">
        <v>25</v>
      </c>
      <c r="I1210" s="185">
        <v>1093</v>
      </c>
      <c r="J1210" s="185">
        <v>28030.6551724138</v>
      </c>
      <c r="K1210" s="185">
        <v>571706</v>
      </c>
      <c r="L1210" s="163"/>
      <c r="M1210" s="161"/>
      <c r="N1210" s="161" t="s">
        <v>1299</v>
      </c>
      <c r="O1210" s="161"/>
      <c r="P1210" s="49" t="s">
        <v>25</v>
      </c>
      <c r="Q1210" s="166"/>
      <c r="R1210" s="151"/>
    </row>
    <row r="1211" s="152" customFormat="1" ht="45" spans="1:18">
      <c r="A1211" s="161" t="s">
        <v>45</v>
      </c>
      <c r="B1211" s="101" t="s">
        <v>335</v>
      </c>
      <c r="C1211" s="83" t="s">
        <v>3865</v>
      </c>
      <c r="D1211" s="186" t="s">
        <v>3866</v>
      </c>
      <c r="E1211" s="161" t="s">
        <v>1291</v>
      </c>
      <c r="F1211" s="161"/>
      <c r="G1211" s="185">
        <f t="shared" si="99"/>
        <v>547.6</v>
      </c>
      <c r="H1211" s="185">
        <v>28.3</v>
      </c>
      <c r="I1211" s="185">
        <v>1359</v>
      </c>
      <c r="J1211" s="185">
        <v>31590.1034482758</v>
      </c>
      <c r="K1211" s="185">
        <v>602864</v>
      </c>
      <c r="L1211" s="163" t="s">
        <v>3867</v>
      </c>
      <c r="M1211" s="161"/>
      <c r="N1211" s="161" t="s">
        <v>2239</v>
      </c>
      <c r="O1211" s="161"/>
      <c r="P1211" s="49" t="s">
        <v>25</v>
      </c>
      <c r="Q1211" s="166"/>
      <c r="R1211" s="151"/>
    </row>
    <row r="1212" s="149" customFormat="1" spans="1:18">
      <c r="A1212" s="161" t="s">
        <v>45</v>
      </c>
      <c r="B1212" s="101" t="s">
        <v>335</v>
      </c>
      <c r="C1212" s="135" t="s">
        <v>3868</v>
      </c>
      <c r="D1212" s="186" t="s">
        <v>3869</v>
      </c>
      <c r="E1212" s="164" t="s">
        <v>1291</v>
      </c>
      <c r="F1212" s="161"/>
      <c r="G1212" s="185">
        <f t="shared" si="99"/>
        <v>574.2</v>
      </c>
      <c r="H1212" s="163">
        <v>26.6</v>
      </c>
      <c r="I1212" s="185">
        <v>1525</v>
      </c>
      <c r="J1212" s="185"/>
      <c r="K1212" s="185">
        <v>632157</v>
      </c>
      <c r="L1212" s="163"/>
      <c r="M1212" s="161"/>
      <c r="N1212" s="161" t="s">
        <v>1299</v>
      </c>
      <c r="O1212" s="161"/>
      <c r="P1212" s="49"/>
      <c r="Q1212" s="166"/>
      <c r="R1212" s="151"/>
    </row>
    <row r="1213" s="149" customFormat="1" ht="60" spans="1:18">
      <c r="A1213" s="161" t="s">
        <v>45</v>
      </c>
      <c r="B1213" s="101" t="s">
        <v>335</v>
      </c>
      <c r="C1213" s="135" t="s">
        <v>111</v>
      </c>
      <c r="D1213" s="186" t="s">
        <v>1383</v>
      </c>
      <c r="E1213" s="164" t="s">
        <v>1291</v>
      </c>
      <c r="F1213" s="161"/>
      <c r="G1213" s="185">
        <f t="shared" si="99"/>
        <v>602.8</v>
      </c>
      <c r="H1213" s="163">
        <v>28.6</v>
      </c>
      <c r="I1213" s="185">
        <v>1623</v>
      </c>
      <c r="J1213" s="185"/>
      <c r="K1213" s="185">
        <v>664412</v>
      </c>
      <c r="L1213" s="163" t="s">
        <v>3870</v>
      </c>
      <c r="M1213" s="161"/>
      <c r="N1213" s="161" t="s">
        <v>1295</v>
      </c>
      <c r="O1213" s="161"/>
      <c r="P1213" s="49"/>
      <c r="Q1213" s="166"/>
      <c r="R1213" s="151"/>
    </row>
    <row r="1214" s="149" customFormat="1" ht="30" spans="1:18">
      <c r="A1214" s="161" t="s">
        <v>45</v>
      </c>
      <c r="B1214" s="101" t="s">
        <v>337</v>
      </c>
      <c r="C1214" s="135" t="s">
        <v>3871</v>
      </c>
      <c r="D1214" s="186" t="s">
        <v>3872</v>
      </c>
      <c r="E1214" s="164" t="s">
        <v>1384</v>
      </c>
      <c r="F1214" s="161"/>
      <c r="G1214" s="185">
        <f t="shared" si="99"/>
        <v>634.8</v>
      </c>
      <c r="H1214" s="163">
        <v>32</v>
      </c>
      <c r="I1214" s="185">
        <v>1751</v>
      </c>
      <c r="J1214" s="185"/>
      <c r="K1214" s="185">
        <v>699520</v>
      </c>
      <c r="L1214" s="163" t="s">
        <v>3873</v>
      </c>
      <c r="M1214" s="161"/>
      <c r="N1214" s="161" t="s">
        <v>1299</v>
      </c>
      <c r="O1214" s="161"/>
      <c r="P1214" s="49"/>
      <c r="Q1214" s="166"/>
      <c r="R1214" s="151"/>
    </row>
    <row r="1215" s="149" customFormat="1" spans="1:18">
      <c r="A1215" s="161" t="s">
        <v>45</v>
      </c>
      <c r="B1215" s="101" t="s">
        <v>337</v>
      </c>
      <c r="C1215" s="135" t="s">
        <v>3874</v>
      </c>
      <c r="D1215" s="186" t="s">
        <v>3875</v>
      </c>
      <c r="E1215" s="164" t="s">
        <v>1384</v>
      </c>
      <c r="F1215" s="161"/>
      <c r="G1215" s="185">
        <f t="shared" si="99"/>
        <v>666.2</v>
      </c>
      <c r="H1215" s="163">
        <v>31.4</v>
      </c>
      <c r="I1215" s="185">
        <v>1821</v>
      </c>
      <c r="J1215" s="185"/>
      <c r="K1215" s="185">
        <v>733311</v>
      </c>
      <c r="L1215" s="163"/>
      <c r="M1215" s="161"/>
      <c r="N1215" s="161" t="s">
        <v>1299</v>
      </c>
      <c r="O1215" s="161"/>
      <c r="P1215" s="49"/>
      <c r="Q1215" s="166"/>
      <c r="R1215" s="151"/>
    </row>
    <row r="1216" s="149" customFormat="1" spans="1:18">
      <c r="A1216" s="161" t="s">
        <v>45</v>
      </c>
      <c r="B1216" s="101" t="s">
        <v>337</v>
      </c>
      <c r="C1216" s="135" t="s">
        <v>3876</v>
      </c>
      <c r="D1216" s="186" t="s">
        <v>3877</v>
      </c>
      <c r="E1216" s="164" t="s">
        <v>1384</v>
      </c>
      <c r="F1216" s="161"/>
      <c r="G1216" s="185">
        <f t="shared" si="99"/>
        <v>685.3</v>
      </c>
      <c r="H1216" s="163">
        <v>19.1</v>
      </c>
      <c r="I1216" s="185">
        <v>1748</v>
      </c>
      <c r="J1216" s="185"/>
      <c r="K1216" s="185">
        <v>754485</v>
      </c>
      <c r="L1216" s="163"/>
      <c r="M1216" s="161"/>
      <c r="N1216" s="161" t="s">
        <v>1299</v>
      </c>
      <c r="O1216" s="161"/>
      <c r="P1216" s="49"/>
      <c r="Q1216" s="166"/>
      <c r="R1216" s="151"/>
    </row>
    <row r="1217" s="149" customFormat="1" ht="45" spans="1:18">
      <c r="A1217" s="161" t="s">
        <v>45</v>
      </c>
      <c r="B1217" s="101" t="s">
        <v>337</v>
      </c>
      <c r="C1217" s="135" t="s">
        <v>3878</v>
      </c>
      <c r="D1217" s="186" t="s">
        <v>3879</v>
      </c>
      <c r="E1217" s="164" t="s">
        <v>1384</v>
      </c>
      <c r="F1217" s="161"/>
      <c r="G1217" s="185">
        <f t="shared" si="99"/>
        <v>704.6</v>
      </c>
      <c r="H1217" s="163">
        <v>19.3</v>
      </c>
      <c r="I1217" s="185">
        <v>16473</v>
      </c>
      <c r="J1217" s="185"/>
      <c r="K1217" s="185">
        <v>776318</v>
      </c>
      <c r="L1217" s="163" t="s">
        <v>3880</v>
      </c>
      <c r="M1217" s="161"/>
      <c r="N1217" s="161" t="s">
        <v>2239</v>
      </c>
      <c r="O1217" s="161"/>
      <c r="P1217" s="49"/>
      <c r="Q1217" s="166"/>
      <c r="R1217" s="151"/>
    </row>
    <row r="1218" s="149" customFormat="1" spans="1:18">
      <c r="A1218" s="161" t="s">
        <v>45</v>
      </c>
      <c r="B1218" s="101" t="s">
        <v>337</v>
      </c>
      <c r="C1218" s="135" t="s">
        <v>3881</v>
      </c>
      <c r="D1218" s="186" t="s">
        <v>3882</v>
      </c>
      <c r="E1218" s="164" t="s">
        <v>1384</v>
      </c>
      <c r="F1218" s="161"/>
      <c r="G1218" s="185">
        <f t="shared" si="99"/>
        <v>736.6</v>
      </c>
      <c r="H1218" s="163">
        <v>32</v>
      </c>
      <c r="I1218" s="185">
        <v>1541</v>
      </c>
      <c r="J1218" s="185"/>
      <c r="K1218" s="185">
        <v>811425</v>
      </c>
      <c r="L1218" s="163"/>
      <c r="M1218" s="161"/>
      <c r="N1218" s="161" t="s">
        <v>1299</v>
      </c>
      <c r="O1218" s="161"/>
      <c r="P1218" s="49"/>
      <c r="Q1218" s="166"/>
      <c r="R1218" s="151"/>
    </row>
    <row r="1219" s="149" customFormat="1" ht="30" spans="1:18">
      <c r="A1219" s="161" t="s">
        <v>45</v>
      </c>
      <c r="B1219" s="101" t="s">
        <v>337</v>
      </c>
      <c r="C1219" s="135" t="s">
        <v>3883</v>
      </c>
      <c r="D1219" s="186" t="s">
        <v>3884</v>
      </c>
      <c r="E1219" s="164" t="s">
        <v>1384</v>
      </c>
      <c r="F1219" s="161"/>
      <c r="G1219" s="185">
        <f t="shared" si="99"/>
        <v>768.3</v>
      </c>
      <c r="H1219" s="163">
        <v>31.7</v>
      </c>
      <c r="I1219" s="185">
        <v>1417</v>
      </c>
      <c r="J1219" s="185"/>
      <c r="K1219" s="185">
        <v>845875</v>
      </c>
      <c r="L1219" s="163" t="s">
        <v>3885</v>
      </c>
      <c r="M1219" s="161"/>
      <c r="N1219" s="161" t="s">
        <v>1299</v>
      </c>
      <c r="O1219" s="161"/>
      <c r="P1219" s="49"/>
      <c r="Q1219" s="166"/>
      <c r="R1219" s="151"/>
    </row>
    <row r="1220" s="149" customFormat="1" ht="45" spans="1:18">
      <c r="A1220" s="161" t="s">
        <v>45</v>
      </c>
      <c r="B1220" s="101" t="s">
        <v>337</v>
      </c>
      <c r="C1220" s="135" t="s">
        <v>2381</v>
      </c>
      <c r="D1220" s="186" t="s">
        <v>2382</v>
      </c>
      <c r="E1220" s="164" t="s">
        <v>1384</v>
      </c>
      <c r="F1220" s="161"/>
      <c r="G1220" s="185">
        <f t="shared" si="99"/>
        <v>800.3</v>
      </c>
      <c r="H1220" s="163">
        <v>32</v>
      </c>
      <c r="I1220" s="185">
        <v>1376</v>
      </c>
      <c r="J1220" s="185"/>
      <c r="K1220" s="185">
        <v>880982</v>
      </c>
      <c r="L1220" s="163" t="s">
        <v>3886</v>
      </c>
      <c r="M1220" s="161"/>
      <c r="N1220" s="161" t="s">
        <v>1295</v>
      </c>
      <c r="O1220" s="161"/>
      <c r="P1220" s="49"/>
      <c r="Q1220" s="166"/>
      <c r="R1220" s="151"/>
    </row>
    <row r="1221" s="149" customFormat="1" spans="1:18">
      <c r="A1221" s="161" t="s">
        <v>45</v>
      </c>
      <c r="B1221" s="101" t="s">
        <v>337</v>
      </c>
      <c r="C1221" s="135" t="s">
        <v>3887</v>
      </c>
      <c r="D1221" s="186" t="s">
        <v>3888</v>
      </c>
      <c r="E1221" s="164" t="s">
        <v>1384</v>
      </c>
      <c r="F1221" s="161"/>
      <c r="G1221" s="185">
        <f t="shared" si="99"/>
        <v>817.2</v>
      </c>
      <c r="H1221" s="163">
        <v>16.9</v>
      </c>
      <c r="I1221" s="185">
        <v>1445</v>
      </c>
      <c r="J1221" s="185"/>
      <c r="K1221" s="185">
        <v>899743</v>
      </c>
      <c r="L1221" s="163"/>
      <c r="M1221" s="161"/>
      <c r="N1221" s="161" t="s">
        <v>1299</v>
      </c>
      <c r="O1221" s="161"/>
      <c r="P1221" s="49"/>
      <c r="Q1221" s="166"/>
      <c r="R1221" s="151"/>
    </row>
    <row r="1222" s="149" customFormat="1" spans="1:18">
      <c r="A1222" s="161" t="s">
        <v>45</v>
      </c>
      <c r="B1222" s="101" t="s">
        <v>337</v>
      </c>
      <c r="C1222" s="135" t="s">
        <v>3889</v>
      </c>
      <c r="D1222" s="186" t="s">
        <v>3890</v>
      </c>
      <c r="E1222" s="164" t="s">
        <v>1384</v>
      </c>
      <c r="F1222" s="161"/>
      <c r="G1222" s="185">
        <f t="shared" si="99"/>
        <v>839.5</v>
      </c>
      <c r="H1222" s="163">
        <v>22.3</v>
      </c>
      <c r="I1222" s="185">
        <v>1515</v>
      </c>
      <c r="J1222" s="185"/>
      <c r="K1222" s="185">
        <v>924318</v>
      </c>
      <c r="L1222" s="163"/>
      <c r="M1222" s="161"/>
      <c r="N1222" s="161" t="s">
        <v>1299</v>
      </c>
      <c r="O1222" s="161"/>
      <c r="P1222" s="49"/>
      <c r="Q1222" s="166"/>
      <c r="R1222" s="151"/>
    </row>
    <row r="1223" s="149" customFormat="1" spans="1:18">
      <c r="A1223" s="161" t="s">
        <v>45</v>
      </c>
      <c r="B1223" s="101" t="s">
        <v>337</v>
      </c>
      <c r="C1223" s="135" t="s">
        <v>3891</v>
      </c>
      <c r="D1223" s="186" t="s">
        <v>3892</v>
      </c>
      <c r="E1223" s="164" t="s">
        <v>1384</v>
      </c>
      <c r="F1223" s="161"/>
      <c r="G1223" s="185">
        <f t="shared" si="99"/>
        <v>855.2</v>
      </c>
      <c r="H1223" s="163">
        <v>15.7</v>
      </c>
      <c r="I1223" s="185">
        <v>1559</v>
      </c>
      <c r="J1223" s="185"/>
      <c r="K1223" s="185">
        <v>941543</v>
      </c>
      <c r="L1223" s="163"/>
      <c r="M1223" s="161"/>
      <c r="N1223" s="161" t="s">
        <v>1299</v>
      </c>
      <c r="O1223" s="161"/>
      <c r="P1223" s="49"/>
      <c r="Q1223" s="166"/>
      <c r="R1223" s="151"/>
    </row>
    <row r="1224" s="149" customFormat="1" spans="1:18">
      <c r="A1224" s="161" t="s">
        <v>45</v>
      </c>
      <c r="B1224" s="101" t="s">
        <v>337</v>
      </c>
      <c r="C1224" s="135" t="s">
        <v>3893</v>
      </c>
      <c r="D1224" s="186" t="s">
        <v>3894</v>
      </c>
      <c r="E1224" s="164" t="s">
        <v>1384</v>
      </c>
      <c r="F1224" s="161"/>
      <c r="G1224" s="185">
        <f t="shared" si="99"/>
        <v>879.8</v>
      </c>
      <c r="H1224" s="163">
        <v>24.6</v>
      </c>
      <c r="I1224" s="185">
        <v>1579</v>
      </c>
      <c r="J1224" s="185"/>
      <c r="K1224" s="185">
        <v>968642</v>
      </c>
      <c r="L1224" s="163"/>
      <c r="M1224" s="161"/>
      <c r="N1224" s="161" t="s">
        <v>1299</v>
      </c>
      <c r="O1224" s="161"/>
      <c r="P1224" s="49"/>
      <c r="Q1224" s="166"/>
      <c r="R1224" s="151"/>
    </row>
    <row r="1225" s="149" customFormat="1" ht="45" spans="1:18">
      <c r="A1225" s="161" t="s">
        <v>45</v>
      </c>
      <c r="B1225" s="101" t="s">
        <v>337</v>
      </c>
      <c r="C1225" s="135" t="s">
        <v>3895</v>
      </c>
      <c r="D1225" s="186" t="s">
        <v>3896</v>
      </c>
      <c r="E1225" s="164" t="s">
        <v>1384</v>
      </c>
      <c r="F1225" s="161"/>
      <c r="G1225" s="185">
        <f t="shared" ref="G1225:G1260" si="100">G1224+H1225</f>
        <v>898.5</v>
      </c>
      <c r="H1225" s="163">
        <v>18.7</v>
      </c>
      <c r="I1225" s="185">
        <v>1709</v>
      </c>
      <c r="J1225" s="185"/>
      <c r="K1225" s="185">
        <v>989267</v>
      </c>
      <c r="L1225" s="163" t="s">
        <v>3897</v>
      </c>
      <c r="M1225" s="161"/>
      <c r="N1225" s="161" t="s">
        <v>2239</v>
      </c>
      <c r="O1225" s="161"/>
      <c r="P1225" s="49"/>
      <c r="Q1225" s="166"/>
      <c r="R1225" s="151"/>
    </row>
    <row r="1226" s="149" customFormat="1" spans="1:18">
      <c r="A1226" s="161" t="s">
        <v>45</v>
      </c>
      <c r="B1226" s="101" t="s">
        <v>337</v>
      </c>
      <c r="C1226" s="135" t="s">
        <v>3898</v>
      </c>
      <c r="D1226" s="186" t="s">
        <v>3899</v>
      </c>
      <c r="E1226" s="164" t="s">
        <v>1384</v>
      </c>
      <c r="F1226" s="161"/>
      <c r="G1226" s="185">
        <f t="shared" si="100"/>
        <v>922.5</v>
      </c>
      <c r="H1226" s="163">
        <v>24</v>
      </c>
      <c r="I1226" s="185">
        <v>1799</v>
      </c>
      <c r="J1226" s="185"/>
      <c r="K1226" s="185">
        <v>1015708</v>
      </c>
      <c r="L1226" s="163"/>
      <c r="M1226" s="161"/>
      <c r="N1226" s="161" t="s">
        <v>1299</v>
      </c>
      <c r="O1226" s="161"/>
      <c r="P1226" s="49"/>
      <c r="Q1226" s="166"/>
      <c r="R1226" s="151"/>
    </row>
    <row r="1227" s="149" customFormat="1" spans="1:18">
      <c r="A1227" s="161" t="s">
        <v>45</v>
      </c>
      <c r="B1227" s="101" t="s">
        <v>337</v>
      </c>
      <c r="C1227" s="135" t="s">
        <v>3900</v>
      </c>
      <c r="D1227" s="186" t="s">
        <v>3901</v>
      </c>
      <c r="E1227" s="164" t="s">
        <v>1384</v>
      </c>
      <c r="F1227" s="161"/>
      <c r="G1227" s="185">
        <f t="shared" si="100"/>
        <v>954.5</v>
      </c>
      <c r="H1227" s="163">
        <v>32</v>
      </c>
      <c r="I1227" s="185">
        <v>1769</v>
      </c>
      <c r="J1227" s="185"/>
      <c r="K1227" s="185">
        <v>1050815</v>
      </c>
      <c r="L1227" s="163"/>
      <c r="M1227" s="161"/>
      <c r="N1227" s="161" t="s">
        <v>1299</v>
      </c>
      <c r="O1227" s="161"/>
      <c r="P1227" s="49"/>
      <c r="Q1227" s="166"/>
      <c r="R1227" s="151"/>
    </row>
    <row r="1228" s="149" customFormat="1" ht="60" spans="1:18">
      <c r="A1228" s="161" t="s">
        <v>45</v>
      </c>
      <c r="B1228" s="101" t="s">
        <v>337</v>
      </c>
      <c r="C1228" s="135" t="s">
        <v>214</v>
      </c>
      <c r="D1228" s="186" t="s">
        <v>2398</v>
      </c>
      <c r="E1228" s="164" t="s">
        <v>1384</v>
      </c>
      <c r="F1228" s="161"/>
      <c r="G1228" s="185">
        <f t="shared" si="100"/>
        <v>983.3</v>
      </c>
      <c r="H1228" s="163">
        <v>28.8</v>
      </c>
      <c r="I1228" s="185">
        <v>1637</v>
      </c>
      <c r="J1228" s="185"/>
      <c r="K1228" s="185">
        <v>1083400</v>
      </c>
      <c r="L1228" s="163" t="s">
        <v>3902</v>
      </c>
      <c r="M1228" s="161"/>
      <c r="N1228" s="161" t="s">
        <v>1295</v>
      </c>
      <c r="O1228" s="161"/>
      <c r="P1228" s="49"/>
      <c r="Q1228" s="166"/>
      <c r="R1228" s="151"/>
    </row>
    <row r="1229" s="149" customFormat="1" ht="30" spans="1:18">
      <c r="A1229" s="161" t="s">
        <v>45</v>
      </c>
      <c r="B1229" s="101" t="s">
        <v>337</v>
      </c>
      <c r="C1229" s="135" t="s">
        <v>3903</v>
      </c>
      <c r="D1229" s="186" t="s">
        <v>3904</v>
      </c>
      <c r="E1229" s="164" t="s">
        <v>1384</v>
      </c>
      <c r="F1229" s="161"/>
      <c r="G1229" s="185">
        <f t="shared" si="100"/>
        <v>1008.9</v>
      </c>
      <c r="H1229" s="163">
        <v>25.6</v>
      </c>
      <c r="I1229" s="185">
        <v>1681</v>
      </c>
      <c r="J1229" s="185"/>
      <c r="K1229" s="185">
        <v>1110169</v>
      </c>
      <c r="L1229" s="163" t="s">
        <v>3905</v>
      </c>
      <c r="M1229" s="161"/>
      <c r="N1229" s="161" t="s">
        <v>1299</v>
      </c>
      <c r="O1229" s="161"/>
      <c r="P1229" s="49"/>
      <c r="Q1229" s="166"/>
      <c r="R1229" s="151"/>
    </row>
    <row r="1230" s="149" customFormat="1" spans="1:18">
      <c r="A1230" s="161" t="s">
        <v>45</v>
      </c>
      <c r="B1230" s="101" t="s">
        <v>337</v>
      </c>
      <c r="C1230" s="135" t="s">
        <v>3906</v>
      </c>
      <c r="D1230" s="186" t="s">
        <v>3907</v>
      </c>
      <c r="E1230" s="164" t="s">
        <v>1384</v>
      </c>
      <c r="F1230" s="161"/>
      <c r="G1230" s="185">
        <f t="shared" si="100"/>
        <v>1038.6</v>
      </c>
      <c r="H1230" s="163">
        <v>29.7</v>
      </c>
      <c r="I1230" s="185">
        <v>1625</v>
      </c>
      <c r="J1230" s="185"/>
      <c r="K1230" s="185">
        <v>1142863</v>
      </c>
      <c r="L1230" s="163"/>
      <c r="M1230" s="161"/>
      <c r="N1230" s="161" t="s">
        <v>1299</v>
      </c>
      <c r="O1230" s="161"/>
      <c r="P1230" s="49"/>
      <c r="Q1230" s="166"/>
      <c r="R1230" s="151"/>
    </row>
    <row r="1231" s="149" customFormat="1" ht="30" spans="1:18">
      <c r="A1231" s="161" t="s">
        <v>45</v>
      </c>
      <c r="B1231" s="101" t="s">
        <v>337</v>
      </c>
      <c r="C1231" s="135" t="s">
        <v>3908</v>
      </c>
      <c r="D1231" s="186" t="s">
        <v>3909</v>
      </c>
      <c r="E1231" s="164" t="s">
        <v>1384</v>
      </c>
      <c r="F1231" s="161"/>
      <c r="G1231" s="185">
        <f t="shared" si="100"/>
        <v>1070.6</v>
      </c>
      <c r="H1231" s="163">
        <v>32</v>
      </c>
      <c r="I1231" s="185">
        <v>1638</v>
      </c>
      <c r="J1231" s="185"/>
      <c r="K1231" s="185">
        <v>1177971</v>
      </c>
      <c r="L1231" s="163" t="s">
        <v>3910</v>
      </c>
      <c r="M1231" s="161"/>
      <c r="N1231" s="161" t="s">
        <v>1299</v>
      </c>
      <c r="O1231" s="161"/>
      <c r="P1231" s="49"/>
      <c r="Q1231" s="166"/>
      <c r="R1231" s="151"/>
    </row>
    <row r="1232" s="149" customFormat="1" ht="45" spans="1:18">
      <c r="A1232" s="161" t="s">
        <v>45</v>
      </c>
      <c r="B1232" s="101" t="s">
        <v>337</v>
      </c>
      <c r="C1232" s="135" t="s">
        <v>3911</v>
      </c>
      <c r="D1232" s="186" t="s">
        <v>3912</v>
      </c>
      <c r="E1232" s="164" t="s">
        <v>1384</v>
      </c>
      <c r="F1232" s="161"/>
      <c r="G1232" s="185">
        <f t="shared" si="100"/>
        <v>1097.7</v>
      </c>
      <c r="H1232" s="163">
        <v>27.1</v>
      </c>
      <c r="I1232" s="185">
        <v>1532</v>
      </c>
      <c r="J1232" s="185"/>
      <c r="K1232" s="185">
        <v>1207922</v>
      </c>
      <c r="L1232" s="163" t="s">
        <v>3913</v>
      </c>
      <c r="M1232" s="161"/>
      <c r="N1232" s="161" t="s">
        <v>2239</v>
      </c>
      <c r="O1232" s="161"/>
      <c r="P1232" s="49"/>
      <c r="Q1232" s="166"/>
      <c r="R1232" s="151"/>
    </row>
    <row r="1233" s="149" customFormat="1" ht="30" spans="1:18">
      <c r="A1233" s="161" t="s">
        <v>45</v>
      </c>
      <c r="B1233" s="101" t="s">
        <v>337</v>
      </c>
      <c r="C1233" s="135" t="s">
        <v>3914</v>
      </c>
      <c r="D1233" s="186" t="s">
        <v>3915</v>
      </c>
      <c r="E1233" s="164" t="s">
        <v>1384</v>
      </c>
      <c r="F1233" s="161"/>
      <c r="G1233" s="185">
        <f t="shared" si="100"/>
        <v>1125.4</v>
      </c>
      <c r="H1233" s="163">
        <v>27.7</v>
      </c>
      <c r="I1233" s="185">
        <v>1570</v>
      </c>
      <c r="J1233" s="185"/>
      <c r="K1233" s="185">
        <v>1238531</v>
      </c>
      <c r="L1233" s="163" t="s">
        <v>3916</v>
      </c>
      <c r="M1233" s="161"/>
      <c r="N1233" s="161" t="s">
        <v>1299</v>
      </c>
      <c r="O1233" s="161"/>
      <c r="P1233" s="49"/>
      <c r="Q1233" s="166"/>
      <c r="R1233" s="151"/>
    </row>
    <row r="1234" s="149" customFormat="1" spans="1:18">
      <c r="A1234" s="161" t="s">
        <v>45</v>
      </c>
      <c r="B1234" s="101" t="s">
        <v>337</v>
      </c>
      <c r="C1234" s="135" t="s">
        <v>3917</v>
      </c>
      <c r="D1234" s="186" t="s">
        <v>3918</v>
      </c>
      <c r="E1234" s="164" t="s">
        <v>1384</v>
      </c>
      <c r="F1234" s="161"/>
      <c r="G1234" s="185">
        <f t="shared" si="100"/>
        <v>1157.1</v>
      </c>
      <c r="H1234" s="163">
        <v>31.7</v>
      </c>
      <c r="I1234" s="185">
        <v>1509</v>
      </c>
      <c r="J1234" s="185"/>
      <c r="K1234" s="185">
        <v>1273420</v>
      </c>
      <c r="L1234" s="163"/>
      <c r="M1234" s="161"/>
      <c r="N1234" s="161" t="s">
        <v>1299</v>
      </c>
      <c r="O1234" s="161"/>
      <c r="P1234" s="49"/>
      <c r="Q1234" s="166"/>
      <c r="R1234" s="151"/>
    </row>
    <row r="1235" s="149" customFormat="1" spans="1:18">
      <c r="A1235" s="161" t="s">
        <v>45</v>
      </c>
      <c r="B1235" s="101" t="s">
        <v>337</v>
      </c>
      <c r="C1235" s="135" t="s">
        <v>3919</v>
      </c>
      <c r="D1235" s="186" t="s">
        <v>3920</v>
      </c>
      <c r="E1235" s="164" t="s">
        <v>1384</v>
      </c>
      <c r="F1235" s="161"/>
      <c r="G1235" s="185">
        <f t="shared" si="100"/>
        <v>1171.1</v>
      </c>
      <c r="H1235" s="163">
        <v>14</v>
      </c>
      <c r="I1235" s="185">
        <v>1505</v>
      </c>
      <c r="J1235" s="185"/>
      <c r="K1235" s="185">
        <v>1288779</v>
      </c>
      <c r="L1235" s="163"/>
      <c r="M1235" s="161"/>
      <c r="N1235" s="161" t="s">
        <v>1299</v>
      </c>
      <c r="O1235" s="161"/>
      <c r="P1235" s="49"/>
      <c r="Q1235" s="166"/>
      <c r="R1235" s="151"/>
    </row>
    <row r="1236" s="149" customFormat="1" ht="45" spans="1:18">
      <c r="A1236" s="161" t="s">
        <v>45</v>
      </c>
      <c r="B1236" s="101" t="s">
        <v>337</v>
      </c>
      <c r="C1236" s="135" t="s">
        <v>220</v>
      </c>
      <c r="D1236" s="186" t="s">
        <v>2417</v>
      </c>
      <c r="E1236" s="164" t="s">
        <v>1384</v>
      </c>
      <c r="F1236" s="161"/>
      <c r="G1236" s="185">
        <f t="shared" si="100"/>
        <v>1183.3</v>
      </c>
      <c r="H1236" s="163">
        <v>12.2</v>
      </c>
      <c r="I1236" s="185">
        <v>1457</v>
      </c>
      <c r="J1236" s="185"/>
      <c r="K1236" s="185">
        <v>1302274</v>
      </c>
      <c r="L1236" s="163" t="s">
        <v>3921</v>
      </c>
      <c r="M1236" s="161"/>
      <c r="N1236" s="161" t="s">
        <v>1295</v>
      </c>
      <c r="O1236" s="161"/>
      <c r="P1236" s="49"/>
      <c r="Q1236" s="166"/>
      <c r="R1236" s="151"/>
    </row>
    <row r="1237" s="149" customFormat="1" spans="1:18">
      <c r="A1237" s="161" t="s">
        <v>45</v>
      </c>
      <c r="B1237" s="101" t="s">
        <v>337</v>
      </c>
      <c r="C1237" s="135" t="s">
        <v>3922</v>
      </c>
      <c r="D1237" s="186" t="s">
        <v>3923</v>
      </c>
      <c r="E1237" s="164" t="s">
        <v>1384</v>
      </c>
      <c r="F1237" s="161"/>
      <c r="G1237" s="185">
        <f t="shared" si="100"/>
        <v>1203.5</v>
      </c>
      <c r="H1237" s="163">
        <v>20.2</v>
      </c>
      <c r="I1237" s="185">
        <v>1450</v>
      </c>
      <c r="J1237" s="185"/>
      <c r="K1237" s="185">
        <v>1323667</v>
      </c>
      <c r="L1237" s="163"/>
      <c r="M1237" s="161"/>
      <c r="N1237" s="161" t="s">
        <v>1299</v>
      </c>
      <c r="O1237" s="161"/>
      <c r="P1237" s="49"/>
      <c r="Q1237" s="166"/>
      <c r="R1237" s="151"/>
    </row>
    <row r="1238" s="149" customFormat="1" spans="1:18">
      <c r="A1238" s="161" t="s">
        <v>45</v>
      </c>
      <c r="B1238" s="101" t="s">
        <v>337</v>
      </c>
      <c r="C1238" s="135" t="s">
        <v>3924</v>
      </c>
      <c r="D1238" s="186" t="s">
        <v>3925</v>
      </c>
      <c r="E1238" s="164" t="s">
        <v>1384</v>
      </c>
      <c r="F1238" s="161"/>
      <c r="G1238" s="185">
        <f t="shared" si="100"/>
        <v>1220.8</v>
      </c>
      <c r="H1238" s="163">
        <v>17.3</v>
      </c>
      <c r="I1238" s="185">
        <v>1488</v>
      </c>
      <c r="J1238" s="185"/>
      <c r="K1238" s="185">
        <v>1342209</v>
      </c>
      <c r="L1238" s="163"/>
      <c r="M1238" s="161"/>
      <c r="N1238" s="161" t="s">
        <v>1299</v>
      </c>
      <c r="O1238" s="161"/>
      <c r="P1238" s="49"/>
      <c r="Q1238" s="166"/>
      <c r="R1238" s="151"/>
    </row>
    <row r="1239" s="149" customFormat="1" spans="1:18">
      <c r="A1239" s="161" t="s">
        <v>45</v>
      </c>
      <c r="B1239" s="101" t="s">
        <v>337</v>
      </c>
      <c r="C1239" s="135" t="s">
        <v>3926</v>
      </c>
      <c r="D1239" s="186" t="s">
        <v>3927</v>
      </c>
      <c r="E1239" s="164" t="s">
        <v>1384</v>
      </c>
      <c r="F1239" s="161"/>
      <c r="G1239" s="185">
        <f t="shared" si="100"/>
        <v>1251.6</v>
      </c>
      <c r="H1239" s="163">
        <v>30.8</v>
      </c>
      <c r="I1239" s="185">
        <v>1742</v>
      </c>
      <c r="J1239" s="185"/>
      <c r="K1239" s="185">
        <v>1377316</v>
      </c>
      <c r="L1239" s="163"/>
      <c r="M1239" s="161"/>
      <c r="N1239" s="161" t="s">
        <v>1299</v>
      </c>
      <c r="O1239" s="161"/>
      <c r="P1239" s="49"/>
      <c r="Q1239" s="166"/>
      <c r="R1239" s="151"/>
    </row>
    <row r="1240" s="149" customFormat="1" ht="45" spans="1:18">
      <c r="A1240" s="161" t="s">
        <v>45</v>
      </c>
      <c r="B1240" s="101" t="s">
        <v>337</v>
      </c>
      <c r="C1240" s="135" t="s">
        <v>3928</v>
      </c>
      <c r="D1240" s="186" t="s">
        <v>3929</v>
      </c>
      <c r="E1240" s="164" t="s">
        <v>1384</v>
      </c>
      <c r="F1240" s="161"/>
      <c r="G1240" s="185">
        <f t="shared" si="100"/>
        <v>1282.6</v>
      </c>
      <c r="H1240" s="163">
        <v>31</v>
      </c>
      <c r="I1240" s="185">
        <v>1840</v>
      </c>
      <c r="J1240" s="185"/>
      <c r="K1240" s="185">
        <v>1411546</v>
      </c>
      <c r="L1240" s="163" t="s">
        <v>3930</v>
      </c>
      <c r="M1240" s="161"/>
      <c r="N1240" s="161" t="s">
        <v>2239</v>
      </c>
      <c r="O1240" s="161"/>
      <c r="P1240" s="49"/>
      <c r="Q1240" s="166"/>
      <c r="R1240" s="151"/>
    </row>
    <row r="1241" s="149" customFormat="1" spans="1:18">
      <c r="A1241" s="161" t="s">
        <v>45</v>
      </c>
      <c r="B1241" s="101" t="s">
        <v>337</v>
      </c>
      <c r="C1241" s="135" t="s">
        <v>3931</v>
      </c>
      <c r="D1241" s="186" t="s">
        <v>3932</v>
      </c>
      <c r="E1241" s="164" t="s">
        <v>1384</v>
      </c>
      <c r="F1241" s="161"/>
      <c r="G1241" s="185">
        <f t="shared" si="100"/>
        <v>1312.8</v>
      </c>
      <c r="H1241" s="163">
        <v>30.2</v>
      </c>
      <c r="I1241" s="185">
        <v>2201</v>
      </c>
      <c r="J1241" s="185"/>
      <c r="K1241" s="185">
        <v>1444789</v>
      </c>
      <c r="L1241" s="163"/>
      <c r="M1241" s="161"/>
      <c r="N1241" s="161" t="s">
        <v>1299</v>
      </c>
      <c r="O1241" s="161"/>
      <c r="P1241" s="49"/>
      <c r="Q1241" s="166"/>
      <c r="R1241" s="151"/>
    </row>
    <row r="1242" s="149" customFormat="1" ht="45" spans="1:18">
      <c r="A1242" s="161" t="s">
        <v>45</v>
      </c>
      <c r="B1242" s="101" t="s">
        <v>337</v>
      </c>
      <c r="C1242" s="135" t="s">
        <v>2430</v>
      </c>
      <c r="D1242" s="186" t="s">
        <v>2431</v>
      </c>
      <c r="E1242" s="164" t="s">
        <v>1384</v>
      </c>
      <c r="F1242" s="161"/>
      <c r="G1242" s="185">
        <f t="shared" si="100"/>
        <v>1344.4</v>
      </c>
      <c r="H1242" s="163">
        <v>31.6</v>
      </c>
      <c r="I1242" s="185">
        <v>2262</v>
      </c>
      <c r="J1242" s="185"/>
      <c r="K1242" s="185">
        <v>1479677</v>
      </c>
      <c r="L1242" s="163" t="s">
        <v>3933</v>
      </c>
      <c r="M1242" s="161"/>
      <c r="N1242" s="161" t="s">
        <v>1295</v>
      </c>
      <c r="O1242" s="161"/>
      <c r="P1242" s="49"/>
      <c r="Q1242" s="166"/>
      <c r="R1242" s="151"/>
    </row>
    <row r="1243" s="149" customFormat="1" spans="1:18">
      <c r="A1243" s="161" t="s">
        <v>45</v>
      </c>
      <c r="B1243" s="101" t="s">
        <v>337</v>
      </c>
      <c r="C1243" s="135" t="s">
        <v>3934</v>
      </c>
      <c r="D1243" s="186" t="s">
        <v>3935</v>
      </c>
      <c r="E1243" s="164" t="s">
        <v>1384</v>
      </c>
      <c r="F1243" s="161"/>
      <c r="G1243" s="185">
        <f t="shared" si="100"/>
        <v>1359.4</v>
      </c>
      <c r="H1243" s="163">
        <v>15</v>
      </c>
      <c r="I1243" s="185">
        <v>2158</v>
      </c>
      <c r="J1243" s="185"/>
      <c r="K1243" s="185">
        <v>1496134</v>
      </c>
      <c r="L1243" s="163"/>
      <c r="M1243" s="161"/>
      <c r="N1243" s="161" t="s">
        <v>1299</v>
      </c>
      <c r="O1243" s="161"/>
      <c r="P1243" s="49"/>
      <c r="Q1243" s="166"/>
      <c r="R1243" s="151"/>
    </row>
    <row r="1244" s="149" customFormat="1" spans="1:18">
      <c r="A1244" s="161" t="s">
        <v>45</v>
      </c>
      <c r="B1244" s="101" t="s">
        <v>337</v>
      </c>
      <c r="C1244" s="135" t="s">
        <v>3936</v>
      </c>
      <c r="D1244" s="186" t="s">
        <v>3937</v>
      </c>
      <c r="E1244" s="164" t="s">
        <v>1384</v>
      </c>
      <c r="F1244" s="161"/>
      <c r="G1244" s="185">
        <f t="shared" si="100"/>
        <v>1374.9</v>
      </c>
      <c r="H1244" s="163">
        <v>15.5</v>
      </c>
      <c r="I1244" s="185">
        <v>2114</v>
      </c>
      <c r="J1244" s="185"/>
      <c r="K1244" s="185">
        <v>1513249</v>
      </c>
      <c r="L1244" s="163"/>
      <c r="M1244" s="161"/>
      <c r="N1244" s="161" t="s">
        <v>1299</v>
      </c>
      <c r="O1244" s="161"/>
      <c r="P1244" s="49"/>
      <c r="Q1244" s="166"/>
      <c r="R1244" s="151"/>
    </row>
    <row r="1245" s="149" customFormat="1" spans="1:18">
      <c r="A1245" s="161" t="s">
        <v>45</v>
      </c>
      <c r="B1245" s="101" t="s">
        <v>337</v>
      </c>
      <c r="C1245" s="135" t="s">
        <v>3938</v>
      </c>
      <c r="D1245" s="186" t="s">
        <v>3939</v>
      </c>
      <c r="E1245" s="164" t="s">
        <v>1384</v>
      </c>
      <c r="F1245" s="161"/>
      <c r="G1245" s="185">
        <f t="shared" si="100"/>
        <v>1396.2</v>
      </c>
      <c r="H1245" s="163">
        <v>21.3</v>
      </c>
      <c r="I1245" s="185">
        <v>1998</v>
      </c>
      <c r="J1245" s="185"/>
      <c r="K1245" s="185">
        <v>1536727</v>
      </c>
      <c r="L1245" s="163"/>
      <c r="M1245" s="161"/>
      <c r="N1245" s="161" t="s">
        <v>1299</v>
      </c>
      <c r="O1245" s="161"/>
      <c r="P1245" s="49"/>
      <c r="Q1245" s="166"/>
      <c r="R1245" s="151"/>
    </row>
    <row r="1246" s="149" customFormat="1" spans="1:18">
      <c r="A1246" s="161" t="s">
        <v>45</v>
      </c>
      <c r="B1246" s="101" t="s">
        <v>337</v>
      </c>
      <c r="C1246" s="135" t="s">
        <v>3940</v>
      </c>
      <c r="D1246" s="186" t="s">
        <v>3941</v>
      </c>
      <c r="E1246" s="164" t="s">
        <v>1384</v>
      </c>
      <c r="F1246" s="161"/>
      <c r="G1246" s="185">
        <f t="shared" si="100"/>
        <v>1414.9</v>
      </c>
      <c r="H1246" s="163">
        <v>18.7</v>
      </c>
      <c r="I1246" s="185">
        <v>1717</v>
      </c>
      <c r="J1246" s="185"/>
      <c r="K1246" s="185">
        <v>1557353</v>
      </c>
      <c r="L1246" s="163"/>
      <c r="M1246" s="161"/>
      <c r="N1246" s="161" t="s">
        <v>1299</v>
      </c>
      <c r="O1246" s="161"/>
      <c r="P1246" s="49"/>
      <c r="Q1246" s="166"/>
      <c r="R1246" s="151"/>
    </row>
    <row r="1247" s="149" customFormat="1" spans="1:18">
      <c r="A1247" s="161" t="s">
        <v>45</v>
      </c>
      <c r="B1247" s="101" t="s">
        <v>337</v>
      </c>
      <c r="C1247" s="135" t="s">
        <v>3942</v>
      </c>
      <c r="D1247" s="186" t="s">
        <v>3943</v>
      </c>
      <c r="E1247" s="164" t="s">
        <v>1384</v>
      </c>
      <c r="F1247" s="161"/>
      <c r="G1247" s="185">
        <f t="shared" si="100"/>
        <v>1438.5</v>
      </c>
      <c r="H1247" s="163">
        <v>23.6</v>
      </c>
      <c r="I1247" s="185">
        <v>1537</v>
      </c>
      <c r="J1247" s="185"/>
      <c r="K1247" s="185">
        <v>1583354</v>
      </c>
      <c r="L1247" s="163"/>
      <c r="M1247" s="161"/>
      <c r="N1247" s="161" t="s">
        <v>1299</v>
      </c>
      <c r="O1247" s="161"/>
      <c r="P1247" s="49"/>
      <c r="Q1247" s="166"/>
      <c r="R1247" s="151"/>
    </row>
    <row r="1248" s="149" customFormat="1" spans="1:18">
      <c r="A1248" s="161" t="s">
        <v>45</v>
      </c>
      <c r="B1248" s="101" t="s">
        <v>337</v>
      </c>
      <c r="C1248" s="135" t="s">
        <v>3944</v>
      </c>
      <c r="D1248" s="186" t="s">
        <v>3945</v>
      </c>
      <c r="E1248" s="164" t="s">
        <v>1384</v>
      </c>
      <c r="F1248" s="161"/>
      <c r="G1248" s="185">
        <f t="shared" si="100"/>
        <v>1460</v>
      </c>
      <c r="H1248" s="163">
        <v>21.5</v>
      </c>
      <c r="I1248" s="185">
        <v>1438</v>
      </c>
      <c r="J1248" s="185"/>
      <c r="K1248" s="185">
        <v>1607162</v>
      </c>
      <c r="L1248" s="163"/>
      <c r="M1248" s="161"/>
      <c r="N1248" s="161" t="s">
        <v>1295</v>
      </c>
      <c r="O1248" s="161"/>
      <c r="P1248" s="49"/>
      <c r="Q1248" s="166"/>
      <c r="R1248" s="151"/>
    </row>
    <row r="1249" s="149" customFormat="1" spans="1:18">
      <c r="A1249" s="161" t="s">
        <v>45</v>
      </c>
      <c r="B1249" s="101" t="s">
        <v>337</v>
      </c>
      <c r="C1249" s="135" t="s">
        <v>3946</v>
      </c>
      <c r="D1249" s="186" t="s">
        <v>3947</v>
      </c>
      <c r="E1249" s="164" t="s">
        <v>1384</v>
      </c>
      <c r="F1249" s="161"/>
      <c r="G1249" s="185">
        <f t="shared" si="100"/>
        <v>1491.1</v>
      </c>
      <c r="H1249" s="163">
        <v>31.1</v>
      </c>
      <c r="I1249" s="185">
        <v>1511</v>
      </c>
      <c r="J1249" s="185"/>
      <c r="K1249" s="185">
        <v>1640624</v>
      </c>
      <c r="L1249" s="163"/>
      <c r="M1249" s="161"/>
      <c r="N1249" s="161" t="s">
        <v>1299</v>
      </c>
      <c r="O1249" s="161"/>
      <c r="P1249" s="49"/>
      <c r="Q1249" s="166"/>
      <c r="R1249" s="151"/>
    </row>
    <row r="1250" s="149" customFormat="1" spans="1:18">
      <c r="A1250" s="161" t="s">
        <v>45</v>
      </c>
      <c r="B1250" s="101" t="s">
        <v>337</v>
      </c>
      <c r="C1250" s="135" t="s">
        <v>3948</v>
      </c>
      <c r="D1250" s="186" t="s">
        <v>3949</v>
      </c>
      <c r="E1250" s="164" t="s">
        <v>1384</v>
      </c>
      <c r="F1250" s="161"/>
      <c r="G1250" s="185">
        <f t="shared" si="100"/>
        <v>1522.9</v>
      </c>
      <c r="H1250" s="163">
        <v>31.8</v>
      </c>
      <c r="I1250" s="185">
        <v>1628</v>
      </c>
      <c r="J1250" s="185"/>
      <c r="K1250" s="185">
        <v>1673318</v>
      </c>
      <c r="L1250" s="163"/>
      <c r="M1250" s="161"/>
      <c r="N1250" s="161" t="s">
        <v>1299</v>
      </c>
      <c r="O1250" s="161"/>
      <c r="P1250" s="49"/>
      <c r="Q1250" s="166"/>
      <c r="R1250" s="151"/>
    </row>
    <row r="1251" s="149" customFormat="1" spans="1:18">
      <c r="A1251" s="161" t="s">
        <v>45</v>
      </c>
      <c r="B1251" s="101" t="s">
        <v>337</v>
      </c>
      <c r="C1251" s="135" t="s">
        <v>3950</v>
      </c>
      <c r="D1251" s="186" t="s">
        <v>3951</v>
      </c>
      <c r="E1251" s="164" t="s">
        <v>1384</v>
      </c>
      <c r="F1251" s="161"/>
      <c r="G1251" s="185">
        <f t="shared" si="100"/>
        <v>1553.8</v>
      </c>
      <c r="H1251" s="163">
        <v>30.9</v>
      </c>
      <c r="I1251" s="185">
        <v>1725</v>
      </c>
      <c r="J1251" s="185"/>
      <c r="K1251" s="185">
        <v>1705902</v>
      </c>
      <c r="L1251" s="163"/>
      <c r="M1251" s="161"/>
      <c r="N1251" s="161" t="s">
        <v>1299</v>
      </c>
      <c r="O1251" s="161"/>
      <c r="P1251" s="49"/>
      <c r="Q1251" s="166"/>
      <c r="R1251" s="151"/>
    </row>
    <row r="1252" s="149" customFormat="1" spans="1:18">
      <c r="A1252" s="161" t="s">
        <v>45</v>
      </c>
      <c r="B1252" s="101" t="s">
        <v>337</v>
      </c>
      <c r="C1252" s="135" t="s">
        <v>3952</v>
      </c>
      <c r="D1252" s="186" t="s">
        <v>3953</v>
      </c>
      <c r="E1252" s="164" t="s">
        <v>1384</v>
      </c>
      <c r="F1252" s="161"/>
      <c r="G1252" s="185">
        <f t="shared" si="100"/>
        <v>1575.6</v>
      </c>
      <c r="H1252" s="163">
        <v>21.8</v>
      </c>
      <c r="I1252" s="185">
        <v>1766</v>
      </c>
      <c r="J1252" s="185"/>
      <c r="K1252" s="185">
        <v>1728831</v>
      </c>
      <c r="L1252" s="163"/>
      <c r="M1252" s="161"/>
      <c r="N1252" s="161" t="s">
        <v>1299</v>
      </c>
      <c r="O1252" s="161"/>
      <c r="P1252" s="49"/>
      <c r="Q1252" s="166"/>
      <c r="R1252" s="151"/>
    </row>
    <row r="1253" s="149" customFormat="1" ht="45" spans="1:18">
      <c r="A1253" s="161" t="s">
        <v>45</v>
      </c>
      <c r="B1253" s="101" t="s">
        <v>337</v>
      </c>
      <c r="C1253" s="135" t="s">
        <v>462</v>
      </c>
      <c r="D1253" s="186" t="s">
        <v>3954</v>
      </c>
      <c r="E1253" s="164" t="s">
        <v>1384</v>
      </c>
      <c r="F1253" s="161"/>
      <c r="G1253" s="185">
        <f t="shared" si="100"/>
        <v>1592.7</v>
      </c>
      <c r="H1253" s="163">
        <v>17.1</v>
      </c>
      <c r="I1253" s="185">
        <v>1842</v>
      </c>
      <c r="J1253" s="185"/>
      <c r="K1253" s="185">
        <v>1747702</v>
      </c>
      <c r="L1253" s="163" t="s">
        <v>3955</v>
      </c>
      <c r="M1253" s="161"/>
      <c r="N1253" s="161" t="s">
        <v>1295</v>
      </c>
      <c r="O1253" s="161"/>
      <c r="P1253" s="49"/>
      <c r="Q1253" s="166"/>
      <c r="R1253" s="151"/>
    </row>
    <row r="1254" s="149" customFormat="1" spans="1:18">
      <c r="A1254" s="161" t="s">
        <v>45</v>
      </c>
      <c r="B1254" s="101" t="s">
        <v>337</v>
      </c>
      <c r="C1254" s="135" t="s">
        <v>3956</v>
      </c>
      <c r="D1254" s="186" t="s">
        <v>3957</v>
      </c>
      <c r="E1254" s="164" t="s">
        <v>1384</v>
      </c>
      <c r="F1254" s="161"/>
      <c r="G1254" s="185">
        <f t="shared" si="100"/>
        <v>1623.8</v>
      </c>
      <c r="H1254" s="163">
        <v>31.1</v>
      </c>
      <c r="I1254" s="185">
        <v>1855</v>
      </c>
      <c r="J1254" s="185"/>
      <c r="K1254" s="185">
        <v>1781712</v>
      </c>
      <c r="L1254" s="163"/>
      <c r="M1254" s="161"/>
      <c r="N1254" s="161" t="s">
        <v>1299</v>
      </c>
      <c r="O1254" s="161"/>
      <c r="P1254" s="49"/>
      <c r="Q1254" s="166"/>
      <c r="R1254" s="151"/>
    </row>
    <row r="1255" s="149" customFormat="1" spans="1:18">
      <c r="A1255" s="161" t="s">
        <v>45</v>
      </c>
      <c r="B1255" s="101" t="s">
        <v>337</v>
      </c>
      <c r="C1255" s="135" t="s">
        <v>3958</v>
      </c>
      <c r="D1255" s="186" t="s">
        <v>3959</v>
      </c>
      <c r="E1255" s="164" t="s">
        <v>1384</v>
      </c>
      <c r="F1255" s="161"/>
      <c r="G1255" s="185">
        <f t="shared" si="100"/>
        <v>1655.3</v>
      </c>
      <c r="H1255" s="163">
        <v>31.5</v>
      </c>
      <c r="I1255" s="185">
        <v>1693</v>
      </c>
      <c r="J1255" s="185"/>
      <c r="K1255" s="185">
        <v>1816271</v>
      </c>
      <c r="L1255" s="163"/>
      <c r="M1255" s="161"/>
      <c r="N1255" s="161" t="s">
        <v>1299</v>
      </c>
      <c r="O1255" s="161"/>
      <c r="P1255" s="49"/>
      <c r="Q1255" s="166"/>
      <c r="R1255" s="151"/>
    </row>
    <row r="1256" s="149" customFormat="1" spans="1:18">
      <c r="A1256" s="161" t="s">
        <v>45</v>
      </c>
      <c r="B1256" s="101" t="s">
        <v>340</v>
      </c>
      <c r="C1256" s="135" t="s">
        <v>3960</v>
      </c>
      <c r="D1256" s="186" t="s">
        <v>3961</v>
      </c>
      <c r="E1256" s="164" t="s">
        <v>1491</v>
      </c>
      <c r="F1256" s="161"/>
      <c r="G1256" s="185">
        <f t="shared" si="100"/>
        <v>1674</v>
      </c>
      <c r="H1256" s="163">
        <v>18.7</v>
      </c>
      <c r="I1256" s="185">
        <v>1732</v>
      </c>
      <c r="J1256" s="185"/>
      <c r="K1256" s="185">
        <v>1836897</v>
      </c>
      <c r="L1256" s="163"/>
      <c r="M1256" s="161"/>
      <c r="N1256" s="161" t="s">
        <v>1299</v>
      </c>
      <c r="O1256" s="161"/>
      <c r="P1256" s="49"/>
      <c r="Q1256" s="166"/>
      <c r="R1256" s="151"/>
    </row>
    <row r="1257" s="149" customFormat="1" ht="30" spans="1:18">
      <c r="A1257" s="161" t="s">
        <v>45</v>
      </c>
      <c r="B1257" s="101" t="s">
        <v>340</v>
      </c>
      <c r="C1257" s="135" t="s">
        <v>3962</v>
      </c>
      <c r="D1257" s="186" t="s">
        <v>3963</v>
      </c>
      <c r="E1257" s="164" t="s">
        <v>1491</v>
      </c>
      <c r="F1257" s="161"/>
      <c r="G1257" s="185">
        <f t="shared" si="100"/>
        <v>1701</v>
      </c>
      <c r="H1257" s="163">
        <v>27</v>
      </c>
      <c r="I1257" s="185">
        <v>1714</v>
      </c>
      <c r="J1257" s="185"/>
      <c r="K1257" s="185">
        <v>1866629</v>
      </c>
      <c r="L1257" s="163" t="s">
        <v>3964</v>
      </c>
      <c r="M1257" s="161"/>
      <c r="N1257" s="161" t="s">
        <v>1299</v>
      </c>
      <c r="O1257" s="161"/>
      <c r="P1257" s="49"/>
      <c r="Q1257" s="166"/>
      <c r="R1257" s="151"/>
    </row>
    <row r="1258" s="149" customFormat="1" ht="30" spans="1:18">
      <c r="A1258" s="161" t="s">
        <v>45</v>
      </c>
      <c r="B1258" s="101" t="s">
        <v>340</v>
      </c>
      <c r="C1258" s="135" t="s">
        <v>3965</v>
      </c>
      <c r="D1258" s="186" t="s">
        <v>3966</v>
      </c>
      <c r="E1258" s="164" t="s">
        <v>1491</v>
      </c>
      <c r="F1258" s="161"/>
      <c r="G1258" s="185">
        <f t="shared" si="100"/>
        <v>1728.7</v>
      </c>
      <c r="H1258" s="163">
        <v>27.7</v>
      </c>
      <c r="I1258" s="185">
        <v>1287</v>
      </c>
      <c r="J1258" s="185"/>
      <c r="K1258" s="185">
        <v>1896800</v>
      </c>
      <c r="L1258" s="163" t="s">
        <v>3967</v>
      </c>
      <c r="M1258" s="161"/>
      <c r="N1258" s="161" t="s">
        <v>1299</v>
      </c>
      <c r="O1258" s="161"/>
      <c r="P1258" s="49"/>
      <c r="Q1258" s="166"/>
      <c r="R1258" s="151"/>
    </row>
    <row r="1259" s="149" customFormat="1" ht="30" spans="1:18">
      <c r="A1259" s="161" t="s">
        <v>45</v>
      </c>
      <c r="B1259" s="101" t="s">
        <v>340</v>
      </c>
      <c r="C1259" s="135" t="s">
        <v>3968</v>
      </c>
      <c r="D1259" s="186" t="s">
        <v>3969</v>
      </c>
      <c r="E1259" s="164" t="s">
        <v>1491</v>
      </c>
      <c r="F1259" s="161"/>
      <c r="G1259" s="185">
        <f t="shared" si="100"/>
        <v>1736.3</v>
      </c>
      <c r="H1259" s="163">
        <v>7.6</v>
      </c>
      <c r="I1259" s="185">
        <v>1275</v>
      </c>
      <c r="J1259" s="185"/>
      <c r="K1259" s="185">
        <v>1905247</v>
      </c>
      <c r="L1259" s="163" t="s">
        <v>3970</v>
      </c>
      <c r="M1259" s="161"/>
      <c r="N1259" s="161" t="s">
        <v>1299</v>
      </c>
      <c r="O1259" s="161"/>
      <c r="P1259" s="49"/>
      <c r="Q1259" s="166"/>
      <c r="R1259" s="151"/>
    </row>
    <row r="1260" s="149" customFormat="1" ht="90" spans="1:18">
      <c r="A1260" s="161" t="s">
        <v>45</v>
      </c>
      <c r="B1260" s="101" t="s">
        <v>340</v>
      </c>
      <c r="C1260" s="135" t="s">
        <v>114</v>
      </c>
      <c r="D1260" s="186" t="s">
        <v>1504</v>
      </c>
      <c r="E1260" s="164" t="s">
        <v>1491</v>
      </c>
      <c r="F1260" s="161"/>
      <c r="G1260" s="185">
        <f t="shared" si="100"/>
        <v>1745</v>
      </c>
      <c r="H1260" s="163">
        <v>8.7</v>
      </c>
      <c r="I1260" s="185">
        <v>1254</v>
      </c>
      <c r="J1260" s="185"/>
      <c r="K1260" s="185">
        <v>1914463</v>
      </c>
      <c r="L1260" s="163" t="s">
        <v>3971</v>
      </c>
      <c r="M1260" s="161"/>
      <c r="N1260" s="161" t="s">
        <v>1295</v>
      </c>
      <c r="O1260" s="161"/>
      <c r="P1260" s="49"/>
      <c r="Q1260" s="166"/>
      <c r="R1260" s="151"/>
    </row>
    <row r="1261" spans="1:18">
      <c r="A1261" s="101" t="s">
        <v>44</v>
      </c>
      <c r="B1261" s="101" t="s">
        <v>44</v>
      </c>
      <c r="C1261" s="135" t="s">
        <v>344</v>
      </c>
      <c r="D1261" s="101" t="s">
        <v>344</v>
      </c>
      <c r="E1261" s="161" t="s">
        <v>2750</v>
      </c>
      <c r="F1261" s="161" t="s">
        <v>3284</v>
      </c>
      <c r="G1261" s="163">
        <v>0</v>
      </c>
      <c r="H1261" s="163">
        <v>0</v>
      </c>
      <c r="I1261" s="185">
        <v>10</v>
      </c>
      <c r="J1261" s="163">
        <v>0</v>
      </c>
      <c r="K1261" s="173">
        <v>0</v>
      </c>
      <c r="L1261" s="163"/>
      <c r="M1261" s="161" t="s">
        <v>3972</v>
      </c>
      <c r="N1261" s="161" t="s">
        <v>1331</v>
      </c>
      <c r="O1261" s="161"/>
      <c r="P1261" s="49"/>
      <c r="Q1261" s="166"/>
      <c r="R1261" s="151"/>
    </row>
    <row r="1262" spans="1:18">
      <c r="A1262" s="101" t="s">
        <v>44</v>
      </c>
      <c r="B1262" s="101" t="s">
        <v>44</v>
      </c>
      <c r="C1262" s="87" t="s">
        <v>3973</v>
      </c>
      <c r="D1262" s="161" t="s">
        <v>1298</v>
      </c>
      <c r="E1262" s="161" t="s">
        <v>2750</v>
      </c>
      <c r="F1262" s="161" t="s">
        <v>3284</v>
      </c>
      <c r="G1262" s="163">
        <v>8.13</v>
      </c>
      <c r="H1262" s="163">
        <v>8.13</v>
      </c>
      <c r="I1262" s="185">
        <v>87</v>
      </c>
      <c r="J1262" s="176">
        <v>5200.58</v>
      </c>
      <c r="K1262" s="173">
        <f t="shared" ref="K1262:K1268" si="101">K1261+J1262</f>
        <v>5200.58</v>
      </c>
      <c r="L1262" s="163"/>
      <c r="M1262" s="161" t="s">
        <v>3972</v>
      </c>
      <c r="N1262" s="161" t="s">
        <v>1299</v>
      </c>
      <c r="O1262" s="161" t="s">
        <v>25</v>
      </c>
      <c r="P1262" s="49" t="s">
        <v>25</v>
      </c>
      <c r="Q1262" s="166"/>
      <c r="R1262" s="151"/>
    </row>
    <row r="1263" spans="1:18">
      <c r="A1263" s="101" t="s">
        <v>44</v>
      </c>
      <c r="B1263" s="101" t="s">
        <v>44</v>
      </c>
      <c r="C1263" s="87" t="s">
        <v>3974</v>
      </c>
      <c r="D1263" s="161" t="s">
        <v>1302</v>
      </c>
      <c r="E1263" s="161" t="s">
        <v>2750</v>
      </c>
      <c r="F1263" s="161" t="s">
        <v>3284</v>
      </c>
      <c r="G1263" s="163">
        <v>15.43</v>
      </c>
      <c r="H1263" s="163">
        <v>7.3</v>
      </c>
      <c r="I1263" s="185">
        <v>65</v>
      </c>
      <c r="J1263" s="176">
        <v>5236</v>
      </c>
      <c r="K1263" s="173">
        <f t="shared" si="101"/>
        <v>10436.58</v>
      </c>
      <c r="L1263" s="163"/>
      <c r="M1263" s="161" t="s">
        <v>3972</v>
      </c>
      <c r="N1263" s="161" t="s">
        <v>1299</v>
      </c>
      <c r="O1263" s="161" t="s">
        <v>25</v>
      </c>
      <c r="P1263" s="49" t="s">
        <v>25</v>
      </c>
      <c r="Q1263" s="166"/>
      <c r="R1263" s="151"/>
    </row>
    <row r="1264" spans="1:18">
      <c r="A1264" s="101" t="s">
        <v>44</v>
      </c>
      <c r="B1264" s="101" t="s">
        <v>44</v>
      </c>
      <c r="C1264" s="87" t="s">
        <v>3975</v>
      </c>
      <c r="D1264" s="161" t="s">
        <v>1305</v>
      </c>
      <c r="E1264" s="161" t="s">
        <v>2750</v>
      </c>
      <c r="F1264" s="161" t="s">
        <v>3284</v>
      </c>
      <c r="G1264" s="163">
        <v>23.45</v>
      </c>
      <c r="H1264" s="163">
        <v>8.02</v>
      </c>
      <c r="I1264" s="185">
        <v>63</v>
      </c>
      <c r="J1264" s="176">
        <v>5134.36</v>
      </c>
      <c r="K1264" s="173">
        <f t="shared" si="101"/>
        <v>15570.94</v>
      </c>
      <c r="L1264" s="163"/>
      <c r="M1264" s="161" t="s">
        <v>3972</v>
      </c>
      <c r="N1264" s="161" t="s">
        <v>1299</v>
      </c>
      <c r="O1264" s="161" t="s">
        <v>25</v>
      </c>
      <c r="P1264" s="49" t="s">
        <v>25</v>
      </c>
      <c r="Q1264" s="166"/>
      <c r="R1264" s="151"/>
    </row>
    <row r="1265" spans="1:18">
      <c r="A1265" s="101" t="s">
        <v>44</v>
      </c>
      <c r="B1265" s="101" t="s">
        <v>44</v>
      </c>
      <c r="C1265" s="87" t="s">
        <v>3976</v>
      </c>
      <c r="D1265" s="161" t="s">
        <v>1307</v>
      </c>
      <c r="E1265" s="161" t="s">
        <v>2750</v>
      </c>
      <c r="F1265" s="161" t="s">
        <v>3284</v>
      </c>
      <c r="G1265" s="163">
        <v>31.36</v>
      </c>
      <c r="H1265" s="163">
        <v>7.91</v>
      </c>
      <c r="I1265" s="185">
        <v>49</v>
      </c>
      <c r="J1265" s="176">
        <v>5142.06</v>
      </c>
      <c r="K1265" s="173">
        <f t="shared" si="101"/>
        <v>20713</v>
      </c>
      <c r="L1265" s="163"/>
      <c r="M1265" s="161" t="s">
        <v>3972</v>
      </c>
      <c r="N1265" s="161" t="s">
        <v>1299</v>
      </c>
      <c r="O1265" s="161" t="s">
        <v>25</v>
      </c>
      <c r="P1265" s="49" t="s">
        <v>25</v>
      </c>
      <c r="Q1265" s="166"/>
      <c r="R1265" s="151"/>
    </row>
    <row r="1266" spans="1:18">
      <c r="A1266" s="101" t="s">
        <v>44</v>
      </c>
      <c r="B1266" s="101" t="s">
        <v>44</v>
      </c>
      <c r="C1266" s="87" t="s">
        <v>3977</v>
      </c>
      <c r="D1266" s="161" t="s">
        <v>1311</v>
      </c>
      <c r="E1266" s="161" t="s">
        <v>2750</v>
      </c>
      <c r="F1266" s="161" t="s">
        <v>3284</v>
      </c>
      <c r="G1266" s="163">
        <v>46.65</v>
      </c>
      <c r="H1266" s="163">
        <v>15.29</v>
      </c>
      <c r="I1266" s="185">
        <v>61</v>
      </c>
      <c r="J1266" s="176">
        <v>6118.42</v>
      </c>
      <c r="K1266" s="173">
        <f t="shared" si="101"/>
        <v>26831.42</v>
      </c>
      <c r="L1266" s="163"/>
      <c r="M1266" s="161" t="s">
        <v>3972</v>
      </c>
      <c r="N1266" s="161" t="s">
        <v>1299</v>
      </c>
      <c r="O1266" s="161" t="s">
        <v>25</v>
      </c>
      <c r="P1266" s="49" t="s">
        <v>25</v>
      </c>
      <c r="Q1266" s="166"/>
      <c r="R1266" s="151"/>
    </row>
    <row r="1267" spans="1:18">
      <c r="A1267" s="101" t="s">
        <v>44</v>
      </c>
      <c r="B1267" s="101" t="s">
        <v>44</v>
      </c>
      <c r="C1267" s="87" t="s">
        <v>3978</v>
      </c>
      <c r="D1267" s="161" t="s">
        <v>3978</v>
      </c>
      <c r="E1267" s="161" t="s">
        <v>2750</v>
      </c>
      <c r="F1267" s="161" t="s">
        <v>3284</v>
      </c>
      <c r="G1267" s="163">
        <v>64</v>
      </c>
      <c r="H1267" s="163">
        <v>17.35</v>
      </c>
      <c r="I1267" s="185">
        <v>86</v>
      </c>
      <c r="J1267" s="176">
        <v>5570.18</v>
      </c>
      <c r="K1267" s="173">
        <f t="shared" si="101"/>
        <v>32401.6</v>
      </c>
      <c r="L1267" s="163"/>
      <c r="M1267" s="161" t="s">
        <v>3972</v>
      </c>
      <c r="N1267" s="161" t="s">
        <v>1331</v>
      </c>
      <c r="O1267" s="161" t="s">
        <v>15</v>
      </c>
      <c r="P1267" s="49" t="s">
        <v>15</v>
      </c>
      <c r="Q1267" s="166"/>
      <c r="R1267" s="151"/>
    </row>
    <row r="1268" ht="30" spans="1:18">
      <c r="A1268" s="101" t="s">
        <v>44</v>
      </c>
      <c r="B1268" s="101" t="s">
        <v>44</v>
      </c>
      <c r="C1268" s="135" t="s">
        <v>345</v>
      </c>
      <c r="D1268" s="161" t="s">
        <v>345</v>
      </c>
      <c r="E1268" s="161" t="s">
        <v>2750</v>
      </c>
      <c r="F1268" s="161" t="s">
        <v>3284</v>
      </c>
      <c r="G1268" s="163">
        <v>64.3</v>
      </c>
      <c r="H1268" s="163">
        <v>0.3</v>
      </c>
      <c r="I1268" s="185">
        <v>31</v>
      </c>
      <c r="J1268" s="176">
        <v>7079.38</v>
      </c>
      <c r="K1268" s="173">
        <f t="shared" si="101"/>
        <v>39480.98</v>
      </c>
      <c r="L1268" s="163"/>
      <c r="M1268" s="161" t="s">
        <v>3972</v>
      </c>
      <c r="N1268" s="161" t="s">
        <v>1331</v>
      </c>
      <c r="O1268" s="161"/>
      <c r="P1268" s="49"/>
      <c r="Q1268" s="166"/>
      <c r="R1268" s="151"/>
    </row>
    <row r="1269" spans="1:18">
      <c r="A1269" s="101" t="s">
        <v>44</v>
      </c>
      <c r="B1269" s="101" t="s">
        <v>346</v>
      </c>
      <c r="C1269" s="135" t="s">
        <v>347</v>
      </c>
      <c r="D1269" s="101" t="s">
        <v>347</v>
      </c>
      <c r="E1269" s="161" t="s">
        <v>2750</v>
      </c>
      <c r="F1269" s="161" t="s">
        <v>3284</v>
      </c>
      <c r="G1269" s="171">
        <v>0</v>
      </c>
      <c r="H1269" s="171">
        <v>0</v>
      </c>
      <c r="I1269" s="185" t="s">
        <v>147</v>
      </c>
      <c r="J1269" s="185">
        <v>0</v>
      </c>
      <c r="K1269" s="185">
        <v>0</v>
      </c>
      <c r="L1269" s="163"/>
      <c r="M1269" s="161"/>
      <c r="N1269" s="161"/>
      <c r="O1269" s="161"/>
      <c r="P1269" s="49"/>
      <c r="Q1269" s="166"/>
      <c r="R1269" s="151"/>
    </row>
    <row r="1270" spans="1:18">
      <c r="A1270" s="101" t="s">
        <v>44</v>
      </c>
      <c r="B1270" s="101" t="s">
        <v>346</v>
      </c>
      <c r="C1270" s="135" t="s">
        <v>348</v>
      </c>
      <c r="D1270" s="101" t="s">
        <v>348</v>
      </c>
      <c r="E1270" s="161" t="s">
        <v>2750</v>
      </c>
      <c r="F1270" s="161" t="s">
        <v>3284</v>
      </c>
      <c r="G1270" s="171">
        <v>0.3</v>
      </c>
      <c r="H1270" s="171">
        <v>0.3</v>
      </c>
      <c r="I1270" s="185" t="s">
        <v>147</v>
      </c>
      <c r="J1270" s="185">
        <v>78.7711726475331</v>
      </c>
      <c r="K1270" s="185">
        <v>78.7711726475331</v>
      </c>
      <c r="L1270" s="163"/>
      <c r="M1270" s="161"/>
      <c r="N1270" s="161"/>
      <c r="O1270" s="161"/>
      <c r="P1270" s="49"/>
      <c r="Q1270" s="166"/>
      <c r="R1270" s="151"/>
    </row>
    <row r="1271" spans="1:18">
      <c r="A1271" s="101" t="s">
        <v>44</v>
      </c>
      <c r="B1271" s="101" t="s">
        <v>349</v>
      </c>
      <c r="C1271" s="135" t="s">
        <v>347</v>
      </c>
      <c r="D1271" s="101" t="s">
        <v>347</v>
      </c>
      <c r="E1271" s="161" t="s">
        <v>2750</v>
      </c>
      <c r="F1271" s="161" t="s">
        <v>3284</v>
      </c>
      <c r="G1271" s="171">
        <v>0</v>
      </c>
      <c r="H1271" s="171">
        <v>0</v>
      </c>
      <c r="I1271" s="185" t="s">
        <v>147</v>
      </c>
      <c r="J1271" s="185">
        <v>0</v>
      </c>
      <c r="K1271" s="185">
        <v>0</v>
      </c>
      <c r="L1271" s="163"/>
      <c r="M1271" s="161"/>
      <c r="N1271" s="161"/>
      <c r="O1271" s="161"/>
      <c r="P1271" s="49"/>
      <c r="Q1271" s="166"/>
      <c r="R1271" s="151"/>
    </row>
    <row r="1272" spans="1:18">
      <c r="A1272" s="101" t="s">
        <v>44</v>
      </c>
      <c r="B1272" s="101" t="s">
        <v>349</v>
      </c>
      <c r="C1272" s="135" t="s">
        <v>344</v>
      </c>
      <c r="D1272" s="101" t="s">
        <v>344</v>
      </c>
      <c r="E1272" s="161" t="s">
        <v>2750</v>
      </c>
      <c r="F1272" s="161" t="s">
        <v>3284</v>
      </c>
      <c r="G1272" s="171">
        <v>1.9</v>
      </c>
      <c r="H1272" s="171">
        <v>1.9</v>
      </c>
      <c r="I1272" s="185" t="s">
        <v>147</v>
      </c>
      <c r="J1272" s="185">
        <v>775.305809564162</v>
      </c>
      <c r="K1272" s="185">
        <v>775.305809564162</v>
      </c>
      <c r="L1272" s="163"/>
      <c r="M1272" s="161"/>
      <c r="N1272" s="161"/>
      <c r="O1272" s="161"/>
      <c r="P1272" s="49"/>
      <c r="Q1272" s="166"/>
      <c r="R1272" s="151"/>
    </row>
    <row r="1273" spans="1:18">
      <c r="A1273" s="162" t="s">
        <v>46</v>
      </c>
      <c r="B1273" s="101" t="s">
        <v>350</v>
      </c>
      <c r="C1273" s="84" t="s">
        <v>351</v>
      </c>
      <c r="D1273" s="161" t="s">
        <v>351</v>
      </c>
      <c r="E1273" s="161" t="s">
        <v>2048</v>
      </c>
      <c r="F1273" s="161" t="s">
        <v>1538</v>
      </c>
      <c r="G1273" s="171">
        <v>0</v>
      </c>
      <c r="H1273" s="163">
        <v>0</v>
      </c>
      <c r="I1273" s="176">
        <v>1326.06</v>
      </c>
      <c r="J1273" s="176">
        <v>0</v>
      </c>
      <c r="K1273" s="176">
        <v>0</v>
      </c>
      <c r="L1273" s="163"/>
      <c r="M1273" s="161" t="s">
        <v>3979</v>
      </c>
      <c r="N1273" s="161" t="s">
        <v>1331</v>
      </c>
      <c r="O1273" s="161" t="s">
        <v>14</v>
      </c>
      <c r="P1273" s="49" t="s">
        <v>14</v>
      </c>
      <c r="Q1273" s="166" t="s">
        <v>3980</v>
      </c>
      <c r="R1273" s="151"/>
    </row>
    <row r="1274" spans="1:18">
      <c r="A1274" s="162" t="s">
        <v>46</v>
      </c>
      <c r="B1274" s="101" t="s">
        <v>350</v>
      </c>
      <c r="C1274" s="84" t="s">
        <v>3981</v>
      </c>
      <c r="D1274" s="161" t="s">
        <v>3982</v>
      </c>
      <c r="E1274" s="161" t="s">
        <v>2048</v>
      </c>
      <c r="F1274" s="161" t="s">
        <v>1538</v>
      </c>
      <c r="G1274" s="171">
        <v>23.6173</v>
      </c>
      <c r="H1274" s="163">
        <f>G1274-G1273</f>
        <v>23.6173</v>
      </c>
      <c r="I1274" s="176">
        <v>1221.97</v>
      </c>
      <c r="J1274" s="176">
        <v>7812.71971552822</v>
      </c>
      <c r="K1274" s="176">
        <v>7812.71971552822</v>
      </c>
      <c r="L1274" s="163"/>
      <c r="M1274" s="161" t="s">
        <v>3979</v>
      </c>
      <c r="N1274" s="161" t="s">
        <v>1299</v>
      </c>
      <c r="O1274" s="161" t="s">
        <v>25</v>
      </c>
      <c r="P1274" s="49" t="s">
        <v>25</v>
      </c>
      <c r="Q1274" s="166" t="s">
        <v>3983</v>
      </c>
      <c r="R1274" s="151"/>
    </row>
    <row r="1275" spans="1:18">
      <c r="A1275" s="162" t="s">
        <v>46</v>
      </c>
      <c r="B1275" s="101" t="s">
        <v>350</v>
      </c>
      <c r="C1275" s="84" t="s">
        <v>3984</v>
      </c>
      <c r="D1275" s="161" t="s">
        <v>3985</v>
      </c>
      <c r="E1275" s="161" t="s">
        <v>2048</v>
      </c>
      <c r="F1275" s="161" t="s">
        <v>1538</v>
      </c>
      <c r="G1275" s="171">
        <v>37.5656</v>
      </c>
      <c r="H1275" s="163">
        <f t="shared" ref="H1275:H1291" si="102">G1275-G1274</f>
        <v>13.9483</v>
      </c>
      <c r="I1275" s="173">
        <v>1128.67</v>
      </c>
      <c r="J1275" s="173">
        <v>4614.15100764227</v>
      </c>
      <c r="K1275" s="176">
        <v>12426.8707231705</v>
      </c>
      <c r="L1275" s="163"/>
      <c r="M1275" s="161" t="s">
        <v>3979</v>
      </c>
      <c r="N1275" s="161" t="s">
        <v>1299</v>
      </c>
      <c r="O1275" s="161" t="s">
        <v>25</v>
      </c>
      <c r="P1275" s="49" t="s">
        <v>25</v>
      </c>
      <c r="Q1275" s="166" t="s">
        <v>3986</v>
      </c>
      <c r="R1275" s="151"/>
    </row>
    <row r="1276" spans="1:18">
      <c r="A1276" s="162" t="s">
        <v>46</v>
      </c>
      <c r="B1276" s="101" t="s">
        <v>350</v>
      </c>
      <c r="C1276" s="84" t="s">
        <v>3987</v>
      </c>
      <c r="D1276" s="161" t="s">
        <v>3988</v>
      </c>
      <c r="E1276" s="161" t="s">
        <v>2048</v>
      </c>
      <c r="F1276" s="161" t="s">
        <v>3989</v>
      </c>
      <c r="G1276" s="171">
        <v>60.6522</v>
      </c>
      <c r="H1276" s="163">
        <f t="shared" si="102"/>
        <v>23.0866</v>
      </c>
      <c r="I1276" s="176">
        <v>1043.33</v>
      </c>
      <c r="J1276" s="176">
        <v>7637.13451954205</v>
      </c>
      <c r="K1276" s="176">
        <v>20064.0052427125</v>
      </c>
      <c r="L1276" s="163"/>
      <c r="M1276" s="161" t="s">
        <v>3979</v>
      </c>
      <c r="N1276" s="161" t="s">
        <v>1299</v>
      </c>
      <c r="O1276" s="161" t="s">
        <v>25</v>
      </c>
      <c r="P1276" s="49" t="s">
        <v>25</v>
      </c>
      <c r="Q1276" s="166" t="s">
        <v>3990</v>
      </c>
      <c r="R1276" s="151"/>
    </row>
    <row r="1277" spans="1:18">
      <c r="A1277" s="162" t="s">
        <v>46</v>
      </c>
      <c r="B1277" s="101" t="s">
        <v>350</v>
      </c>
      <c r="C1277" s="84" t="s">
        <v>3991</v>
      </c>
      <c r="D1277" s="161" t="s">
        <v>3992</v>
      </c>
      <c r="E1277" s="161" t="s">
        <v>2048</v>
      </c>
      <c r="F1277" s="161" t="s">
        <v>3989</v>
      </c>
      <c r="G1277" s="171">
        <v>83.1332</v>
      </c>
      <c r="H1277" s="163">
        <f t="shared" si="102"/>
        <v>22.481</v>
      </c>
      <c r="I1277" s="173">
        <v>1156.44</v>
      </c>
      <c r="J1277" s="173">
        <v>7436.82086609703</v>
      </c>
      <c r="K1277" s="176">
        <v>27500.8261088096</v>
      </c>
      <c r="L1277" s="163"/>
      <c r="M1277" s="161" t="s">
        <v>3979</v>
      </c>
      <c r="N1277" s="161" t="s">
        <v>1299</v>
      </c>
      <c r="O1277" s="161" t="s">
        <v>25</v>
      </c>
      <c r="P1277" s="49" t="s">
        <v>25</v>
      </c>
      <c r="Q1277" s="166" t="s">
        <v>3993</v>
      </c>
      <c r="R1277" s="151"/>
    </row>
    <row r="1278" ht="30" spans="1:18">
      <c r="A1278" s="162" t="s">
        <v>46</v>
      </c>
      <c r="B1278" s="101" t="s">
        <v>350</v>
      </c>
      <c r="C1278" s="84" t="s">
        <v>381</v>
      </c>
      <c r="D1278" s="161" t="s">
        <v>3994</v>
      </c>
      <c r="E1278" s="161" t="s">
        <v>2048</v>
      </c>
      <c r="F1278" s="161" t="s">
        <v>3989</v>
      </c>
      <c r="G1278" s="171">
        <v>101</v>
      </c>
      <c r="H1278" s="163">
        <f t="shared" si="102"/>
        <v>17.8668</v>
      </c>
      <c r="I1278" s="176">
        <v>1190.11</v>
      </c>
      <c r="J1278" s="176">
        <v>5910.4056062391</v>
      </c>
      <c r="K1278" s="176">
        <v>33411.2317150487</v>
      </c>
      <c r="L1278" s="163" t="s">
        <v>3995</v>
      </c>
      <c r="M1278" s="161" t="s">
        <v>3979</v>
      </c>
      <c r="N1278" s="161" t="s">
        <v>1295</v>
      </c>
      <c r="O1278" s="161" t="s">
        <v>6</v>
      </c>
      <c r="P1278" s="49" t="s">
        <v>6</v>
      </c>
      <c r="Q1278" s="166" t="s">
        <v>3996</v>
      </c>
      <c r="R1278" s="151"/>
    </row>
    <row r="1279" spans="1:18">
      <c r="A1279" s="162" t="s">
        <v>46</v>
      </c>
      <c r="B1279" s="101" t="s">
        <v>350</v>
      </c>
      <c r="C1279" s="135" t="s">
        <v>3997</v>
      </c>
      <c r="D1279" s="162" t="s">
        <v>3998</v>
      </c>
      <c r="E1279" s="161" t="s">
        <v>2048</v>
      </c>
      <c r="F1279" s="161" t="s">
        <v>3999</v>
      </c>
      <c r="G1279" s="171">
        <v>131</v>
      </c>
      <c r="H1279" s="163">
        <f t="shared" si="102"/>
        <v>30</v>
      </c>
      <c r="I1279" s="176">
        <v>1187</v>
      </c>
      <c r="J1279" s="176">
        <v>9932.99600119664</v>
      </c>
      <c r="K1279" s="176">
        <v>43344.2277162453</v>
      </c>
      <c r="L1279" s="163"/>
      <c r="M1279" s="161"/>
      <c r="N1279" s="161"/>
      <c r="O1279" s="161"/>
      <c r="P1279" s="49"/>
      <c r="Q1279" s="166"/>
      <c r="R1279" s="151"/>
    </row>
    <row r="1280" spans="1:18">
      <c r="A1280" s="162" t="s">
        <v>46</v>
      </c>
      <c r="B1280" s="101" t="s">
        <v>350</v>
      </c>
      <c r="C1280" s="84" t="s">
        <v>4000</v>
      </c>
      <c r="D1280" s="161" t="s">
        <v>4000</v>
      </c>
      <c r="E1280" s="161" t="s">
        <v>2048</v>
      </c>
      <c r="F1280" s="161" t="s">
        <v>3999</v>
      </c>
      <c r="G1280" s="171">
        <v>131</v>
      </c>
      <c r="H1280" s="163">
        <f t="shared" si="102"/>
        <v>0</v>
      </c>
      <c r="I1280" s="173"/>
      <c r="J1280" s="173"/>
      <c r="K1280" s="173"/>
      <c r="L1280" s="163"/>
      <c r="M1280" s="161" t="s">
        <v>3979</v>
      </c>
      <c r="N1280" s="161" t="s">
        <v>1331</v>
      </c>
      <c r="O1280" s="161" t="s">
        <v>14</v>
      </c>
      <c r="P1280" s="49" t="s">
        <v>14</v>
      </c>
      <c r="Q1280" s="166" t="s">
        <v>4001</v>
      </c>
      <c r="R1280" s="151"/>
    </row>
    <row r="1281" spans="1:18">
      <c r="A1281" s="162" t="s">
        <v>46</v>
      </c>
      <c r="B1281" s="101" t="s">
        <v>350</v>
      </c>
      <c r="C1281" s="84" t="s">
        <v>4002</v>
      </c>
      <c r="D1281" s="161" t="s">
        <v>4003</v>
      </c>
      <c r="E1281" s="161" t="s">
        <v>2048</v>
      </c>
      <c r="F1281" s="161" t="s">
        <v>3999</v>
      </c>
      <c r="G1281" s="171">
        <v>159</v>
      </c>
      <c r="H1281" s="163">
        <f t="shared" si="102"/>
        <v>28</v>
      </c>
      <c r="I1281" s="173">
        <v>1186.9</v>
      </c>
      <c r="J1281" s="173">
        <v>9716.26436222625</v>
      </c>
      <c r="K1281" s="176">
        <v>53060.4920784716</v>
      </c>
      <c r="L1281" s="163"/>
      <c r="M1281" s="161" t="s">
        <v>3979</v>
      </c>
      <c r="N1281" s="161"/>
      <c r="O1281" s="161" t="s">
        <v>26</v>
      </c>
      <c r="P1281" s="49" t="s">
        <v>26</v>
      </c>
      <c r="Q1281" s="166"/>
      <c r="R1281" s="151"/>
    </row>
    <row r="1282" spans="1:18">
      <c r="A1282" s="162" t="s">
        <v>46</v>
      </c>
      <c r="B1282" s="101" t="s">
        <v>350</v>
      </c>
      <c r="C1282" s="84" t="s">
        <v>4004</v>
      </c>
      <c r="D1282" s="161" t="s">
        <v>4004</v>
      </c>
      <c r="E1282" s="161" t="s">
        <v>2048</v>
      </c>
      <c r="F1282" s="161" t="s">
        <v>3999</v>
      </c>
      <c r="G1282" s="171">
        <v>159</v>
      </c>
      <c r="H1282" s="163">
        <f t="shared" si="102"/>
        <v>0</v>
      </c>
      <c r="I1282" s="173"/>
      <c r="J1282" s="173"/>
      <c r="K1282" s="173"/>
      <c r="L1282" s="163"/>
      <c r="M1282" s="161" t="s">
        <v>3979</v>
      </c>
      <c r="N1282" s="161"/>
      <c r="O1282" s="161" t="s">
        <v>16</v>
      </c>
      <c r="P1282" s="49" t="s">
        <v>16</v>
      </c>
      <c r="Q1282" s="166" t="s">
        <v>4005</v>
      </c>
      <c r="R1282" s="151"/>
    </row>
    <row r="1283" spans="1:18">
      <c r="A1283" s="162" t="s">
        <v>46</v>
      </c>
      <c r="B1283" s="101" t="s">
        <v>350</v>
      </c>
      <c r="C1283" s="135" t="s">
        <v>4006</v>
      </c>
      <c r="D1283" s="161" t="s">
        <v>4007</v>
      </c>
      <c r="E1283" s="161" t="s">
        <v>2048</v>
      </c>
      <c r="F1283" s="161" t="s">
        <v>3999</v>
      </c>
      <c r="G1283" s="171">
        <v>184</v>
      </c>
      <c r="H1283" s="163">
        <f t="shared" si="102"/>
        <v>25</v>
      </c>
      <c r="I1283" s="176">
        <v>1272.9</v>
      </c>
      <c r="J1283" s="176">
        <v>8104.98661296964</v>
      </c>
      <c r="K1283" s="176">
        <v>61165.4786914412</v>
      </c>
      <c r="L1283" s="163"/>
      <c r="M1283" s="161"/>
      <c r="N1283" s="161"/>
      <c r="O1283" s="161"/>
      <c r="P1283" s="49"/>
      <c r="Q1283" s="166"/>
      <c r="R1283" s="151"/>
    </row>
    <row r="1284" spans="1:18">
      <c r="A1284" s="162" t="s">
        <v>46</v>
      </c>
      <c r="B1284" s="101" t="s">
        <v>350</v>
      </c>
      <c r="C1284" s="84" t="s">
        <v>4008</v>
      </c>
      <c r="D1284" s="161" t="s">
        <v>4008</v>
      </c>
      <c r="E1284" s="161" t="s">
        <v>2048</v>
      </c>
      <c r="F1284" s="161" t="s">
        <v>3999</v>
      </c>
      <c r="G1284" s="171">
        <v>184</v>
      </c>
      <c r="H1284" s="163">
        <f t="shared" si="102"/>
        <v>0</v>
      </c>
      <c r="I1284" s="173"/>
      <c r="J1284" s="173"/>
      <c r="K1284" s="173"/>
      <c r="L1284" s="163"/>
      <c r="M1284" s="161" t="s">
        <v>3979</v>
      </c>
      <c r="N1284" s="161" t="s">
        <v>1331</v>
      </c>
      <c r="O1284" s="161" t="s">
        <v>14</v>
      </c>
      <c r="P1284" s="49" t="s">
        <v>14</v>
      </c>
      <c r="Q1284" s="166" t="s">
        <v>4009</v>
      </c>
      <c r="R1284" s="151"/>
    </row>
    <row r="1285" spans="1:18">
      <c r="A1285" s="162" t="s">
        <v>46</v>
      </c>
      <c r="B1285" s="101" t="s">
        <v>350</v>
      </c>
      <c r="C1285" s="84" t="s">
        <v>4010</v>
      </c>
      <c r="D1285" s="161" t="s">
        <v>4011</v>
      </c>
      <c r="E1285" s="161" t="s">
        <v>2048</v>
      </c>
      <c r="F1285" s="161" t="s">
        <v>3999</v>
      </c>
      <c r="G1285" s="171">
        <v>197.1113</v>
      </c>
      <c r="H1285" s="163">
        <f t="shared" si="102"/>
        <v>13.1113</v>
      </c>
      <c r="I1285" s="173">
        <v>1114.49</v>
      </c>
      <c r="J1285" s="173">
        <v>4227.10688266328</v>
      </c>
      <c r="K1285" s="176">
        <v>65392.5855741045</v>
      </c>
      <c r="L1285" s="163"/>
      <c r="M1285" s="161" t="s">
        <v>3979</v>
      </c>
      <c r="N1285" s="161" t="s">
        <v>1299</v>
      </c>
      <c r="O1285" s="161" t="s">
        <v>25</v>
      </c>
      <c r="P1285" s="49" t="s">
        <v>25</v>
      </c>
      <c r="Q1285" s="166" t="s">
        <v>4012</v>
      </c>
      <c r="R1285" s="151"/>
    </row>
    <row r="1286" spans="1:18">
      <c r="A1286" s="162" t="s">
        <v>46</v>
      </c>
      <c r="B1286" s="101" t="s">
        <v>350</v>
      </c>
      <c r="C1286" s="84" t="s">
        <v>4013</v>
      </c>
      <c r="D1286" s="161" t="s">
        <v>4013</v>
      </c>
      <c r="E1286" s="161" t="s">
        <v>2048</v>
      </c>
      <c r="F1286" s="161" t="s">
        <v>3999</v>
      </c>
      <c r="G1286" s="171">
        <v>214</v>
      </c>
      <c r="H1286" s="163">
        <f t="shared" si="102"/>
        <v>16.8887</v>
      </c>
      <c r="I1286" s="173">
        <v>931.34</v>
      </c>
      <c r="J1286" s="173">
        <v>5444.94869978614</v>
      </c>
      <c r="K1286" s="173">
        <v>70837.5342738906</v>
      </c>
      <c r="L1286" s="163"/>
      <c r="M1286" s="161" t="s">
        <v>3979</v>
      </c>
      <c r="N1286" s="161" t="s">
        <v>1331</v>
      </c>
      <c r="O1286" s="161" t="s">
        <v>14</v>
      </c>
      <c r="P1286" s="49" t="s">
        <v>14</v>
      </c>
      <c r="Q1286" s="166" t="s">
        <v>4014</v>
      </c>
      <c r="R1286" s="151"/>
    </row>
    <row r="1287" spans="1:18">
      <c r="A1287" s="162" t="s">
        <v>46</v>
      </c>
      <c r="B1287" s="101" t="s">
        <v>350</v>
      </c>
      <c r="C1287" s="84" t="s">
        <v>4015</v>
      </c>
      <c r="D1287" s="161" t="s">
        <v>4016</v>
      </c>
      <c r="E1287" s="161" t="s">
        <v>2048</v>
      </c>
      <c r="F1287" s="161" t="s">
        <v>3999</v>
      </c>
      <c r="G1287" s="171">
        <v>218.1988</v>
      </c>
      <c r="H1287" s="163">
        <f t="shared" si="102"/>
        <v>4.19880000000001</v>
      </c>
      <c r="I1287" s="176">
        <v>959.789</v>
      </c>
      <c r="J1287" s="176">
        <v>1357.43659932566</v>
      </c>
      <c r="K1287" s="176">
        <v>72194.9708732163</v>
      </c>
      <c r="L1287" s="172"/>
      <c r="M1287" s="161" t="s">
        <v>3979</v>
      </c>
      <c r="N1287" s="161" t="s">
        <v>1299</v>
      </c>
      <c r="O1287" s="161" t="s">
        <v>25</v>
      </c>
      <c r="P1287" s="49" t="s">
        <v>25</v>
      </c>
      <c r="Q1287" s="166" t="s">
        <v>4017</v>
      </c>
      <c r="R1287" s="151"/>
    </row>
    <row r="1288" spans="1:18">
      <c r="A1288" s="162" t="s">
        <v>46</v>
      </c>
      <c r="B1288" s="101" t="s">
        <v>350</v>
      </c>
      <c r="C1288" s="84" t="s">
        <v>4018</v>
      </c>
      <c r="D1288" s="161" t="s">
        <v>4019</v>
      </c>
      <c r="E1288" s="161" t="s">
        <v>2048</v>
      </c>
      <c r="F1288" s="161" t="s">
        <v>3999</v>
      </c>
      <c r="G1288" s="171">
        <v>231.1664</v>
      </c>
      <c r="H1288" s="163">
        <f t="shared" si="102"/>
        <v>12.9676</v>
      </c>
      <c r="I1288" s="176">
        <v>1107.11</v>
      </c>
      <c r="J1288" s="176">
        <v>4192.33552765988</v>
      </c>
      <c r="K1288" s="176">
        <v>76387.3064008762</v>
      </c>
      <c r="L1288" s="163"/>
      <c r="M1288" s="161" t="s">
        <v>3979</v>
      </c>
      <c r="N1288" s="161" t="s">
        <v>1299</v>
      </c>
      <c r="O1288" s="161" t="s">
        <v>25</v>
      </c>
      <c r="P1288" s="49" t="s">
        <v>25</v>
      </c>
      <c r="Q1288" s="166" t="s">
        <v>4020</v>
      </c>
      <c r="R1288" s="151"/>
    </row>
    <row r="1289" spans="1:18">
      <c r="A1289" s="162" t="s">
        <v>46</v>
      </c>
      <c r="B1289" s="101" t="s">
        <v>350</v>
      </c>
      <c r="C1289" s="84" t="s">
        <v>4021</v>
      </c>
      <c r="D1289" s="161" t="s">
        <v>4022</v>
      </c>
      <c r="E1289" s="161" t="s">
        <v>2048</v>
      </c>
      <c r="F1289" s="161" t="s">
        <v>3999</v>
      </c>
      <c r="G1289" s="171">
        <v>252.748</v>
      </c>
      <c r="H1289" s="163">
        <f t="shared" si="102"/>
        <v>21.5816</v>
      </c>
      <c r="I1289" s="173">
        <v>1027.62</v>
      </c>
      <c r="J1289" s="173">
        <v>6977.16827573863</v>
      </c>
      <c r="K1289" s="176">
        <v>83364.4746766148</v>
      </c>
      <c r="L1289" s="163"/>
      <c r="M1289" s="161" t="s">
        <v>3979</v>
      </c>
      <c r="N1289" s="161" t="s">
        <v>1299</v>
      </c>
      <c r="O1289" s="161" t="s">
        <v>25</v>
      </c>
      <c r="P1289" s="49" t="s">
        <v>25</v>
      </c>
      <c r="Q1289" s="166" t="s">
        <v>4023</v>
      </c>
      <c r="R1289" s="151"/>
    </row>
    <row r="1290" spans="1:18">
      <c r="A1290" s="162" t="s">
        <v>46</v>
      </c>
      <c r="B1290" s="101" t="s">
        <v>350</v>
      </c>
      <c r="C1290" s="84" t="s">
        <v>4024</v>
      </c>
      <c r="D1290" s="161" t="s">
        <v>4025</v>
      </c>
      <c r="E1290" s="161" t="s">
        <v>2048</v>
      </c>
      <c r="F1290" s="161" t="s">
        <v>3999</v>
      </c>
      <c r="G1290" s="171">
        <v>269.1392</v>
      </c>
      <c r="H1290" s="163">
        <f t="shared" si="102"/>
        <v>16.3912</v>
      </c>
      <c r="I1290" s="176">
        <v>1099.43</v>
      </c>
      <c r="J1290" s="176">
        <v>5299.15294423966</v>
      </c>
      <c r="K1290" s="176">
        <v>88663.6276208545</v>
      </c>
      <c r="L1290" s="163"/>
      <c r="M1290" s="161" t="s">
        <v>3979</v>
      </c>
      <c r="N1290" s="161" t="s">
        <v>1299</v>
      </c>
      <c r="O1290" s="161" t="s">
        <v>25</v>
      </c>
      <c r="P1290" s="49" t="s">
        <v>25</v>
      </c>
      <c r="Q1290" s="166" t="s">
        <v>4026</v>
      </c>
      <c r="R1290" s="151"/>
    </row>
    <row r="1291" spans="1:18">
      <c r="A1291" s="162" t="s">
        <v>46</v>
      </c>
      <c r="B1291" s="101" t="s">
        <v>350</v>
      </c>
      <c r="C1291" s="84" t="s">
        <v>4027</v>
      </c>
      <c r="D1291" s="161" t="s">
        <v>4027</v>
      </c>
      <c r="E1291" s="161" t="s">
        <v>2048</v>
      </c>
      <c r="F1291" s="161" t="s">
        <v>3999</v>
      </c>
      <c r="G1291" s="171">
        <v>269.1392</v>
      </c>
      <c r="H1291" s="163">
        <f t="shared" si="102"/>
        <v>0</v>
      </c>
      <c r="I1291" s="176" t="s">
        <v>147</v>
      </c>
      <c r="J1291" s="176" t="s">
        <v>147</v>
      </c>
      <c r="K1291" s="176" t="s">
        <v>147</v>
      </c>
      <c r="L1291" s="163"/>
      <c r="M1291" s="161" t="s">
        <v>3979</v>
      </c>
      <c r="N1291" s="161"/>
      <c r="O1291" s="161"/>
      <c r="P1291" s="49" t="s">
        <v>14</v>
      </c>
      <c r="Q1291" s="166" t="s">
        <v>4026</v>
      </c>
      <c r="R1291" s="151"/>
    </row>
    <row r="1292" spans="1:18">
      <c r="A1292" s="162" t="s">
        <v>46</v>
      </c>
      <c r="B1292" s="101" t="s">
        <v>350</v>
      </c>
      <c r="C1292" s="84" t="s">
        <v>4028</v>
      </c>
      <c r="D1292" s="161" t="s">
        <v>4028</v>
      </c>
      <c r="E1292" s="161" t="s">
        <v>2048</v>
      </c>
      <c r="F1292" s="161" t="s">
        <v>3999</v>
      </c>
      <c r="G1292" s="171">
        <v>282</v>
      </c>
      <c r="H1292" s="163">
        <f>G1292-G1290</f>
        <v>12.8608</v>
      </c>
      <c r="I1292" s="173">
        <v>1089.14</v>
      </c>
      <c r="J1292" s="173">
        <v>4157.79077227922</v>
      </c>
      <c r="K1292" s="176">
        <v>92821.4183931337</v>
      </c>
      <c r="L1292" s="163"/>
      <c r="M1292" s="161" t="s">
        <v>3979</v>
      </c>
      <c r="N1292" s="161" t="s">
        <v>1331</v>
      </c>
      <c r="O1292" s="161" t="s">
        <v>14</v>
      </c>
      <c r="P1292" s="49" t="s">
        <v>14</v>
      </c>
      <c r="Q1292" s="166" t="s">
        <v>4029</v>
      </c>
      <c r="R1292" s="151"/>
    </row>
    <row r="1293" spans="1:18">
      <c r="A1293" s="162" t="s">
        <v>46</v>
      </c>
      <c r="B1293" s="101" t="s">
        <v>350</v>
      </c>
      <c r="C1293" s="84" t="s">
        <v>4030</v>
      </c>
      <c r="D1293" s="161" t="s">
        <v>4031</v>
      </c>
      <c r="E1293" s="161" t="s">
        <v>2048</v>
      </c>
      <c r="F1293" s="161" t="s">
        <v>4032</v>
      </c>
      <c r="G1293" s="171">
        <v>288.6417</v>
      </c>
      <c r="H1293" s="163">
        <f t="shared" ref="H1293:H1307" si="103">G1293-G1292</f>
        <v>6.64170000000001</v>
      </c>
      <c r="I1293" s="176">
        <v>903.32</v>
      </c>
      <c r="J1293" s="176">
        <v>2169.67</v>
      </c>
      <c r="K1293" s="176">
        <v>94991.0883931337</v>
      </c>
      <c r="L1293" s="163"/>
      <c r="M1293" s="161" t="s">
        <v>3979</v>
      </c>
      <c r="N1293" s="161" t="s">
        <v>1299</v>
      </c>
      <c r="O1293" s="161" t="s">
        <v>25</v>
      </c>
      <c r="P1293" s="49" t="s">
        <v>25</v>
      </c>
      <c r="Q1293" s="166" t="s">
        <v>4033</v>
      </c>
      <c r="R1293" s="151"/>
    </row>
    <row r="1294" spans="1:18">
      <c r="A1294" s="162" t="s">
        <v>46</v>
      </c>
      <c r="B1294" s="101" t="s">
        <v>350</v>
      </c>
      <c r="C1294" s="84" t="s">
        <v>4034</v>
      </c>
      <c r="D1294" s="161" t="s">
        <v>4035</v>
      </c>
      <c r="E1294" s="161" t="s">
        <v>2048</v>
      </c>
      <c r="F1294" s="161" t="s">
        <v>4032</v>
      </c>
      <c r="G1294" s="171">
        <v>309.0268</v>
      </c>
      <c r="H1294" s="163">
        <f t="shared" si="103"/>
        <v>20.3851</v>
      </c>
      <c r="I1294" s="176">
        <v>1409.25</v>
      </c>
      <c r="J1294" s="176">
        <v>6659.23017584518</v>
      </c>
      <c r="K1294" s="176">
        <v>101650.318568979</v>
      </c>
      <c r="L1294" s="163"/>
      <c r="M1294" s="161" t="s">
        <v>3979</v>
      </c>
      <c r="N1294" s="161" t="s">
        <v>1299</v>
      </c>
      <c r="O1294" s="161" t="s">
        <v>25</v>
      </c>
      <c r="P1294" s="49" t="s">
        <v>25</v>
      </c>
      <c r="Q1294" s="166" t="s">
        <v>4036</v>
      </c>
      <c r="R1294" s="151"/>
    </row>
    <row r="1295" spans="1:18">
      <c r="A1295" s="162" t="s">
        <v>46</v>
      </c>
      <c r="B1295" s="101" t="s">
        <v>350</v>
      </c>
      <c r="C1295" s="84" t="s">
        <v>4037</v>
      </c>
      <c r="D1295" s="161" t="s">
        <v>4038</v>
      </c>
      <c r="E1295" s="161" t="s">
        <v>2048</v>
      </c>
      <c r="F1295" s="161" t="s">
        <v>4032</v>
      </c>
      <c r="G1295" s="171">
        <v>338.3479</v>
      </c>
      <c r="H1295" s="163">
        <f t="shared" si="103"/>
        <v>29.3211</v>
      </c>
      <c r="I1295" s="173">
        <v>1272.8</v>
      </c>
      <c r="J1295" s="173">
        <v>9673.93525245972</v>
      </c>
      <c r="K1295" s="176">
        <v>111324.253821439</v>
      </c>
      <c r="L1295" s="163"/>
      <c r="M1295" s="161" t="s">
        <v>3979</v>
      </c>
      <c r="N1295" s="161" t="s">
        <v>1299</v>
      </c>
      <c r="O1295" s="161" t="s">
        <v>25</v>
      </c>
      <c r="P1295" s="49" t="s">
        <v>25</v>
      </c>
      <c r="Q1295" s="166" t="s">
        <v>4039</v>
      </c>
      <c r="R1295" s="151"/>
    </row>
    <row r="1296" spans="1:18">
      <c r="A1296" s="162" t="s">
        <v>46</v>
      </c>
      <c r="B1296" s="101" t="s">
        <v>350</v>
      </c>
      <c r="C1296" s="84" t="s">
        <v>4040</v>
      </c>
      <c r="D1296" s="161" t="s">
        <v>4041</v>
      </c>
      <c r="E1296" s="161" t="s">
        <v>2048</v>
      </c>
      <c r="F1296" s="161" t="s">
        <v>4032</v>
      </c>
      <c r="G1296" s="171">
        <v>368.5679</v>
      </c>
      <c r="H1296" s="163">
        <f t="shared" si="103"/>
        <v>30.22</v>
      </c>
      <c r="I1296" s="176">
        <v>1349.9</v>
      </c>
      <c r="J1296" s="176">
        <v>9970.49968622374</v>
      </c>
      <c r="K1296" s="176">
        <v>121294.753507662</v>
      </c>
      <c r="L1296" s="163"/>
      <c r="M1296" s="161" t="s">
        <v>3979</v>
      </c>
      <c r="N1296" s="161" t="s">
        <v>1299</v>
      </c>
      <c r="O1296" s="161" t="s">
        <v>25</v>
      </c>
      <c r="P1296" s="49" t="s">
        <v>25</v>
      </c>
      <c r="Q1296" s="166" t="s">
        <v>4042</v>
      </c>
      <c r="R1296" s="151"/>
    </row>
    <row r="1297" spans="1:18">
      <c r="A1297" s="162" t="s">
        <v>46</v>
      </c>
      <c r="B1297" s="101" t="s">
        <v>350</v>
      </c>
      <c r="C1297" s="84" t="s">
        <v>4043</v>
      </c>
      <c r="D1297" s="161" t="s">
        <v>4043</v>
      </c>
      <c r="E1297" s="161" t="s">
        <v>2048</v>
      </c>
      <c r="F1297" s="161" t="s">
        <v>4032</v>
      </c>
      <c r="G1297" s="171">
        <v>393.9999</v>
      </c>
      <c r="H1297" s="163">
        <f t="shared" si="103"/>
        <v>25.432</v>
      </c>
      <c r="I1297" s="173">
        <v>1543.43</v>
      </c>
      <c r="J1297" s="173">
        <v>8390.79654979455</v>
      </c>
      <c r="K1297" s="176">
        <v>129685.550057457</v>
      </c>
      <c r="L1297" s="163"/>
      <c r="M1297" s="161" t="s">
        <v>3979</v>
      </c>
      <c r="N1297" s="161"/>
      <c r="O1297" s="161" t="s">
        <v>15</v>
      </c>
      <c r="P1297" s="49" t="s">
        <v>15</v>
      </c>
      <c r="Q1297" s="166"/>
      <c r="R1297" s="151"/>
    </row>
    <row r="1298" ht="45" spans="1:18">
      <c r="A1298" s="162" t="s">
        <v>46</v>
      </c>
      <c r="B1298" s="101" t="s">
        <v>350</v>
      </c>
      <c r="C1298" s="84" t="s">
        <v>4044</v>
      </c>
      <c r="D1298" s="161" t="s">
        <v>4044</v>
      </c>
      <c r="E1298" s="161" t="s">
        <v>2048</v>
      </c>
      <c r="F1298" s="161" t="s">
        <v>4032</v>
      </c>
      <c r="G1298" s="171">
        <v>393.9999</v>
      </c>
      <c r="H1298" s="163">
        <f t="shared" si="103"/>
        <v>0</v>
      </c>
      <c r="I1298" s="176" t="s">
        <v>147</v>
      </c>
      <c r="J1298" s="176" t="s">
        <v>147</v>
      </c>
      <c r="K1298" s="176" t="s">
        <v>147</v>
      </c>
      <c r="L1298" s="163" t="s">
        <v>4045</v>
      </c>
      <c r="M1298" s="161" t="s">
        <v>3979</v>
      </c>
      <c r="N1298" s="161" t="s">
        <v>1331</v>
      </c>
      <c r="O1298" s="161" t="s">
        <v>16</v>
      </c>
      <c r="P1298" s="49" t="s">
        <v>16</v>
      </c>
      <c r="Q1298" s="166" t="s">
        <v>4046</v>
      </c>
      <c r="R1298" s="151"/>
    </row>
    <row r="1299" ht="45" spans="1:18">
      <c r="A1299" s="162" t="s">
        <v>46</v>
      </c>
      <c r="B1299" s="101" t="s">
        <v>350</v>
      </c>
      <c r="C1299" s="84" t="s">
        <v>4047</v>
      </c>
      <c r="D1299" s="161" t="s">
        <v>4047</v>
      </c>
      <c r="E1299" s="161" t="s">
        <v>2048</v>
      </c>
      <c r="F1299" s="161" t="s">
        <v>4032</v>
      </c>
      <c r="G1299" s="171">
        <v>393.9999</v>
      </c>
      <c r="H1299" s="163">
        <f t="shared" si="103"/>
        <v>0</v>
      </c>
      <c r="I1299" s="176" t="s">
        <v>147</v>
      </c>
      <c r="J1299" s="176" t="s">
        <v>147</v>
      </c>
      <c r="K1299" s="176" t="s">
        <v>147</v>
      </c>
      <c r="L1299" s="163" t="s">
        <v>4045</v>
      </c>
      <c r="M1299" s="161" t="s">
        <v>3979</v>
      </c>
      <c r="N1299" s="161"/>
      <c r="O1299" s="161" t="s">
        <v>16</v>
      </c>
      <c r="P1299" s="49" t="s">
        <v>16</v>
      </c>
      <c r="Q1299" s="166"/>
      <c r="R1299" s="151"/>
    </row>
    <row r="1300" spans="1:18">
      <c r="A1300" s="162" t="s">
        <v>46</v>
      </c>
      <c r="B1300" s="101" t="s">
        <v>350</v>
      </c>
      <c r="C1300" s="84" t="s">
        <v>4048</v>
      </c>
      <c r="D1300" s="161" t="s">
        <v>4048</v>
      </c>
      <c r="E1300" s="161" t="s">
        <v>2048</v>
      </c>
      <c r="F1300" s="161" t="s">
        <v>4032</v>
      </c>
      <c r="G1300" s="171">
        <v>425.9999</v>
      </c>
      <c r="H1300" s="163">
        <f t="shared" si="103"/>
        <v>32</v>
      </c>
      <c r="I1300" s="176">
        <v>1073.16</v>
      </c>
      <c r="J1300" s="176">
        <v>10768.7679598172</v>
      </c>
      <c r="K1300" s="176">
        <v>140454.318017274</v>
      </c>
      <c r="L1300" s="163"/>
      <c r="M1300" s="161" t="s">
        <v>3979</v>
      </c>
      <c r="N1300" s="161" t="s">
        <v>1331</v>
      </c>
      <c r="O1300" s="161" t="s">
        <v>14</v>
      </c>
      <c r="P1300" s="49" t="s">
        <v>14</v>
      </c>
      <c r="Q1300" s="166" t="s">
        <v>4049</v>
      </c>
      <c r="R1300" s="151"/>
    </row>
    <row r="1301" spans="1:18">
      <c r="A1301" s="162" t="s">
        <v>46</v>
      </c>
      <c r="B1301" s="101" t="s">
        <v>350</v>
      </c>
      <c r="C1301" s="84" t="s">
        <v>4050</v>
      </c>
      <c r="D1301" s="161" t="s">
        <v>4051</v>
      </c>
      <c r="E1301" s="161" t="s">
        <v>2048</v>
      </c>
      <c r="F1301" s="161" t="s">
        <v>4032</v>
      </c>
      <c r="G1301" s="171">
        <v>456.6741</v>
      </c>
      <c r="H1301" s="163">
        <f t="shared" si="103"/>
        <v>30.6742</v>
      </c>
      <c r="I1301" s="176">
        <v>1022.22</v>
      </c>
      <c r="J1301" s="176">
        <v>10040.489165389</v>
      </c>
      <c r="K1301" s="176">
        <v>150494.807182663</v>
      </c>
      <c r="L1301" s="163"/>
      <c r="M1301" s="161" t="s">
        <v>3979</v>
      </c>
      <c r="N1301" s="161" t="s">
        <v>1299</v>
      </c>
      <c r="O1301" s="161" t="s">
        <v>25</v>
      </c>
      <c r="P1301" s="49" t="s">
        <v>25</v>
      </c>
      <c r="Q1301" s="166" t="s">
        <v>4052</v>
      </c>
      <c r="R1301" s="151"/>
    </row>
    <row r="1302" spans="1:18">
      <c r="A1302" s="162" t="s">
        <v>46</v>
      </c>
      <c r="B1302" s="101" t="s">
        <v>350</v>
      </c>
      <c r="C1302" s="84" t="s">
        <v>4053</v>
      </c>
      <c r="D1302" s="161" t="s">
        <v>4053</v>
      </c>
      <c r="E1302" s="161" t="s">
        <v>2048</v>
      </c>
      <c r="F1302" s="161" t="s">
        <v>4054</v>
      </c>
      <c r="G1302" s="171">
        <v>489.9999</v>
      </c>
      <c r="H1302" s="163">
        <f t="shared" si="103"/>
        <v>33.3258</v>
      </c>
      <c r="I1302" s="173">
        <v>1027.7</v>
      </c>
      <c r="J1302" s="173">
        <v>10908.452808887</v>
      </c>
      <c r="K1302" s="176">
        <v>161403.25999155</v>
      </c>
      <c r="L1302" s="163"/>
      <c r="M1302" s="161" t="s">
        <v>3979</v>
      </c>
      <c r="N1302" s="161" t="s">
        <v>1331</v>
      </c>
      <c r="O1302" s="161" t="s">
        <v>14</v>
      </c>
      <c r="P1302" s="49" t="s">
        <v>14</v>
      </c>
      <c r="Q1302" s="166" t="s">
        <v>4055</v>
      </c>
      <c r="R1302" s="151"/>
    </row>
    <row r="1303" spans="1:18">
      <c r="A1303" s="162" t="s">
        <v>46</v>
      </c>
      <c r="B1303" s="101" t="s">
        <v>350</v>
      </c>
      <c r="C1303" s="84" t="s">
        <v>4056</v>
      </c>
      <c r="D1303" s="161" t="s">
        <v>4057</v>
      </c>
      <c r="E1303" s="161" t="s">
        <v>2048</v>
      </c>
      <c r="F1303" s="161" t="s">
        <v>4054</v>
      </c>
      <c r="G1303" s="171">
        <v>510.3747</v>
      </c>
      <c r="H1303" s="163">
        <f t="shared" si="103"/>
        <v>20.3748</v>
      </c>
      <c r="I1303" s="176">
        <v>1047.5</v>
      </c>
      <c r="J1303" s="176">
        <v>6789.34408271103</v>
      </c>
      <c r="K1303" s="176">
        <v>168192.604074261</v>
      </c>
      <c r="L1303" s="163"/>
      <c r="M1303" s="161" t="s">
        <v>3979</v>
      </c>
      <c r="N1303" s="161" t="s">
        <v>1299</v>
      </c>
      <c r="O1303" s="161" t="s">
        <v>25</v>
      </c>
      <c r="P1303" s="49" t="s">
        <v>25</v>
      </c>
      <c r="Q1303" s="166" t="s">
        <v>4058</v>
      </c>
      <c r="R1303" s="151"/>
    </row>
    <row r="1304" spans="1:18">
      <c r="A1304" s="162" t="s">
        <v>46</v>
      </c>
      <c r="B1304" s="101" t="s">
        <v>350</v>
      </c>
      <c r="C1304" s="84" t="s">
        <v>4059</v>
      </c>
      <c r="D1304" s="161" t="s">
        <v>4060</v>
      </c>
      <c r="E1304" s="161" t="s">
        <v>2048</v>
      </c>
      <c r="F1304" s="161" t="s">
        <v>4054</v>
      </c>
      <c r="G1304" s="171">
        <v>535.3355</v>
      </c>
      <c r="H1304" s="163">
        <f t="shared" si="103"/>
        <v>24.9608</v>
      </c>
      <c r="I1304" s="173">
        <v>1129.6</v>
      </c>
      <c r="J1304" s="173">
        <v>8317.49907917746</v>
      </c>
      <c r="K1304" s="176">
        <v>176510.103153439</v>
      </c>
      <c r="L1304" s="163"/>
      <c r="M1304" s="161" t="s">
        <v>3979</v>
      </c>
      <c r="N1304" s="161" t="s">
        <v>1299</v>
      </c>
      <c r="O1304" s="161" t="s">
        <v>25</v>
      </c>
      <c r="P1304" s="49" t="s">
        <v>25</v>
      </c>
      <c r="Q1304" s="166" t="s">
        <v>4061</v>
      </c>
      <c r="R1304" s="151"/>
    </row>
    <row r="1305" spans="1:18">
      <c r="A1305" s="162" t="s">
        <v>46</v>
      </c>
      <c r="B1305" s="101" t="s">
        <v>350</v>
      </c>
      <c r="C1305" s="84" t="s">
        <v>4062</v>
      </c>
      <c r="D1305" s="161" t="s">
        <v>4063</v>
      </c>
      <c r="E1305" s="161" t="s">
        <v>2048</v>
      </c>
      <c r="F1305" s="161" t="s">
        <v>4054</v>
      </c>
      <c r="G1305" s="171">
        <v>536.6044</v>
      </c>
      <c r="H1305" s="163">
        <f t="shared" si="103"/>
        <v>1.26890000000003</v>
      </c>
      <c r="I1305" s="176">
        <v>1233.23</v>
      </c>
      <c r="J1305" s="176">
        <v>422.833375783279</v>
      </c>
      <c r="K1305" s="176">
        <v>176932.936529222</v>
      </c>
      <c r="L1305" s="163"/>
      <c r="M1305" s="161" t="s">
        <v>3979</v>
      </c>
      <c r="N1305" s="161" t="s">
        <v>1299</v>
      </c>
      <c r="O1305" s="161" t="s">
        <v>25</v>
      </c>
      <c r="P1305" s="49" t="s">
        <v>25</v>
      </c>
      <c r="Q1305" s="166" t="s">
        <v>4064</v>
      </c>
      <c r="R1305" s="151"/>
    </row>
    <row r="1306" spans="1:18">
      <c r="A1306" s="162" t="s">
        <v>46</v>
      </c>
      <c r="B1306" s="101" t="s">
        <v>350</v>
      </c>
      <c r="C1306" s="84" t="s">
        <v>4065</v>
      </c>
      <c r="D1306" s="161" t="s">
        <v>4066</v>
      </c>
      <c r="E1306" s="161" t="s">
        <v>2048</v>
      </c>
      <c r="F1306" s="161" t="s">
        <v>4054</v>
      </c>
      <c r="G1306" s="171">
        <v>557.7226</v>
      </c>
      <c r="H1306" s="163">
        <f t="shared" si="103"/>
        <v>21.1182</v>
      </c>
      <c r="I1306" s="176">
        <v>1383</v>
      </c>
      <c r="J1306" s="176">
        <v>7037.08178884747</v>
      </c>
      <c r="K1306" s="176">
        <v>183970.018318069</v>
      </c>
      <c r="L1306" s="163"/>
      <c r="M1306" s="161" t="s">
        <v>3979</v>
      </c>
      <c r="N1306" s="161" t="s">
        <v>1299</v>
      </c>
      <c r="O1306" s="161" t="s">
        <v>25</v>
      </c>
      <c r="P1306" s="49" t="s">
        <v>25</v>
      </c>
      <c r="Q1306" s="166" t="s">
        <v>4067</v>
      </c>
      <c r="R1306" s="151"/>
    </row>
    <row r="1307" spans="1:18">
      <c r="A1307" s="162" t="s">
        <v>46</v>
      </c>
      <c r="B1307" s="101" t="s">
        <v>350</v>
      </c>
      <c r="C1307" s="84" t="s">
        <v>4068</v>
      </c>
      <c r="D1307" s="161" t="s">
        <v>4069</v>
      </c>
      <c r="E1307" s="161" t="s">
        <v>2048</v>
      </c>
      <c r="F1307" s="161" t="s">
        <v>4054</v>
      </c>
      <c r="G1307" s="171">
        <v>578.1752</v>
      </c>
      <c r="H1307" s="163">
        <f t="shared" si="103"/>
        <v>20.4526</v>
      </c>
      <c r="I1307" s="173">
        <v>1092</v>
      </c>
      <c r="J1307" s="173">
        <v>6815.26438762029</v>
      </c>
      <c r="K1307" s="176">
        <v>190785.28270569</v>
      </c>
      <c r="L1307" s="163"/>
      <c r="M1307" s="161" t="s">
        <v>3979</v>
      </c>
      <c r="N1307" s="161" t="s">
        <v>1299</v>
      </c>
      <c r="O1307" s="161" t="s">
        <v>25</v>
      </c>
      <c r="P1307" s="49" t="s">
        <v>25</v>
      </c>
      <c r="Q1307" s="166" t="s">
        <v>4070</v>
      </c>
      <c r="R1307" s="151"/>
    </row>
    <row r="1308" spans="1:18">
      <c r="A1308" s="162" t="s">
        <v>46</v>
      </c>
      <c r="B1308" s="101" t="s">
        <v>350</v>
      </c>
      <c r="C1308" s="84" t="s">
        <v>4071</v>
      </c>
      <c r="D1308" s="161" t="s">
        <v>4071</v>
      </c>
      <c r="E1308" s="161" t="s">
        <v>2048</v>
      </c>
      <c r="F1308" s="161" t="s">
        <v>4054</v>
      </c>
      <c r="G1308" s="171">
        <v>603.9999</v>
      </c>
      <c r="H1308" s="163">
        <f t="shared" ref="H1308:H1327" si="104">G1308-G1307</f>
        <v>25.8247</v>
      </c>
      <c r="I1308" s="176">
        <v>943</v>
      </c>
      <c r="J1308" s="176">
        <v>8605.3917161413</v>
      </c>
      <c r="K1308" s="176">
        <v>199390.674421831</v>
      </c>
      <c r="L1308" s="163"/>
      <c r="M1308" s="161" t="s">
        <v>3979</v>
      </c>
      <c r="N1308" s="161" t="s">
        <v>1331</v>
      </c>
      <c r="O1308" s="161" t="s">
        <v>14</v>
      </c>
      <c r="P1308" s="49" t="s">
        <v>14</v>
      </c>
      <c r="Q1308" s="166" t="s">
        <v>4072</v>
      </c>
      <c r="R1308" s="151"/>
    </row>
    <row r="1309" spans="1:18">
      <c r="A1309" s="162" t="s">
        <v>46</v>
      </c>
      <c r="B1309" s="101" t="s">
        <v>350</v>
      </c>
      <c r="C1309" s="84" t="s">
        <v>4073</v>
      </c>
      <c r="D1309" s="161" t="s">
        <v>4074</v>
      </c>
      <c r="E1309" s="161" t="s">
        <v>2048</v>
      </c>
      <c r="F1309" s="161" t="s">
        <v>4054</v>
      </c>
      <c r="G1309" s="171">
        <v>615.655</v>
      </c>
      <c r="H1309" s="163">
        <f t="shared" si="104"/>
        <v>11.6550999999999</v>
      </c>
      <c r="I1309" s="173">
        <v>1081</v>
      </c>
      <c r="J1309" s="173">
        <v>3397.46952208371</v>
      </c>
      <c r="K1309" s="176">
        <v>202788.143943915</v>
      </c>
      <c r="L1309" s="163"/>
      <c r="M1309" s="161" t="s">
        <v>3979</v>
      </c>
      <c r="N1309" s="161" t="s">
        <v>1299</v>
      </c>
      <c r="O1309" s="161" t="s">
        <v>25</v>
      </c>
      <c r="P1309" s="49" t="s">
        <v>25</v>
      </c>
      <c r="Q1309" s="166" t="s">
        <v>4075</v>
      </c>
      <c r="R1309" s="151"/>
    </row>
    <row r="1310" spans="1:18">
      <c r="A1310" s="162" t="s">
        <v>46</v>
      </c>
      <c r="B1310" s="101" t="s">
        <v>350</v>
      </c>
      <c r="C1310" s="84" t="s">
        <v>4076</v>
      </c>
      <c r="D1310" s="161" t="s">
        <v>4077</v>
      </c>
      <c r="E1310" s="161" t="s">
        <v>2048</v>
      </c>
      <c r="F1310" s="161" t="s">
        <v>4054</v>
      </c>
      <c r="G1310" s="171">
        <v>617.504</v>
      </c>
      <c r="H1310" s="163">
        <f t="shared" si="104"/>
        <v>1.84900000000005</v>
      </c>
      <c r="I1310" s="176">
        <v>1193</v>
      </c>
      <c r="J1310" s="176">
        <v>533.664511792236</v>
      </c>
      <c r="K1310" s="176">
        <v>203321.808455707</v>
      </c>
      <c r="L1310" s="163"/>
      <c r="M1310" s="161" t="s">
        <v>3979</v>
      </c>
      <c r="N1310" s="161" t="s">
        <v>1299</v>
      </c>
      <c r="O1310" s="161" t="s">
        <v>25</v>
      </c>
      <c r="P1310" s="49" t="s">
        <v>25</v>
      </c>
      <c r="Q1310" s="166" t="s">
        <v>4075</v>
      </c>
      <c r="R1310" s="151"/>
    </row>
    <row r="1311" spans="1:18">
      <c r="A1311" s="162" t="s">
        <v>46</v>
      </c>
      <c r="B1311" s="101" t="s">
        <v>350</v>
      </c>
      <c r="C1311" s="84" t="s">
        <v>4078</v>
      </c>
      <c r="D1311" s="161" t="s">
        <v>4079</v>
      </c>
      <c r="E1311" s="161" t="s">
        <v>2048</v>
      </c>
      <c r="F1311" s="161" t="s">
        <v>4080</v>
      </c>
      <c r="G1311" s="171">
        <v>636.7049</v>
      </c>
      <c r="H1311" s="163">
        <f t="shared" si="104"/>
        <v>19.2008999999999</v>
      </c>
      <c r="I1311" s="176">
        <v>1108</v>
      </c>
      <c r="J1311" s="176">
        <v>5558.437</v>
      </c>
      <c r="K1311" s="176">
        <v>208880.245455707</v>
      </c>
      <c r="L1311" s="163"/>
      <c r="M1311" s="161" t="s">
        <v>3979</v>
      </c>
      <c r="N1311" s="161" t="s">
        <v>1299</v>
      </c>
      <c r="O1311" s="161" t="s">
        <v>25</v>
      </c>
      <c r="P1311" s="49" t="s">
        <v>25</v>
      </c>
      <c r="Q1311" s="166" t="s">
        <v>4081</v>
      </c>
      <c r="R1311" s="151"/>
    </row>
    <row r="1312" spans="1:18">
      <c r="A1312" s="162" t="s">
        <v>46</v>
      </c>
      <c r="B1312" s="101" t="s">
        <v>350</v>
      </c>
      <c r="C1312" s="84" t="s">
        <v>4082</v>
      </c>
      <c r="D1312" s="161" t="s">
        <v>4082</v>
      </c>
      <c r="E1312" s="161" t="s">
        <v>2048</v>
      </c>
      <c r="F1312" s="161" t="s">
        <v>4080</v>
      </c>
      <c r="G1312" s="171">
        <v>653.9198</v>
      </c>
      <c r="H1312" s="163">
        <f t="shared" si="104"/>
        <v>17.2149000000001</v>
      </c>
      <c r="I1312" s="173">
        <v>841</v>
      </c>
      <c r="J1312" s="173">
        <v>4968.59506335106</v>
      </c>
      <c r="K1312" s="176">
        <v>213848.840519058</v>
      </c>
      <c r="L1312" s="163"/>
      <c r="M1312" s="161" t="s">
        <v>3979</v>
      </c>
      <c r="N1312" s="161"/>
      <c r="O1312" s="161" t="s">
        <v>14</v>
      </c>
      <c r="P1312" s="49" t="s">
        <v>14</v>
      </c>
      <c r="Q1312" s="166" t="s">
        <v>4083</v>
      </c>
      <c r="R1312" s="151"/>
    </row>
    <row r="1313" spans="1:18">
      <c r="A1313" s="162" t="s">
        <v>46</v>
      </c>
      <c r="B1313" s="101" t="s">
        <v>350</v>
      </c>
      <c r="C1313" s="84" t="s">
        <v>4084</v>
      </c>
      <c r="D1313" s="161" t="s">
        <v>4085</v>
      </c>
      <c r="E1313" s="161" t="s">
        <v>2048</v>
      </c>
      <c r="F1313" s="161" t="s">
        <v>4080</v>
      </c>
      <c r="G1313" s="171">
        <v>673.6208</v>
      </c>
      <c r="H1313" s="163">
        <f t="shared" si="104"/>
        <v>19.701</v>
      </c>
      <c r="I1313" s="176">
        <v>707</v>
      </c>
      <c r="J1313" s="176">
        <v>6855.6626695813</v>
      </c>
      <c r="K1313" s="176">
        <v>220704.503188639</v>
      </c>
      <c r="L1313" s="163"/>
      <c r="M1313" s="161" t="s">
        <v>3979</v>
      </c>
      <c r="N1313" s="161" t="s">
        <v>1299</v>
      </c>
      <c r="O1313" s="161" t="s">
        <v>25</v>
      </c>
      <c r="P1313" s="49" t="s">
        <v>25</v>
      </c>
      <c r="Q1313" s="166" t="s">
        <v>4086</v>
      </c>
      <c r="R1313" s="151"/>
    </row>
    <row r="1314" spans="1:18">
      <c r="A1314" s="162" t="s">
        <v>46</v>
      </c>
      <c r="B1314" s="101" t="s">
        <v>350</v>
      </c>
      <c r="C1314" s="84" t="s">
        <v>4087</v>
      </c>
      <c r="D1314" s="161" t="s">
        <v>4088</v>
      </c>
      <c r="E1314" s="161" t="s">
        <v>2048</v>
      </c>
      <c r="F1314" s="161" t="s">
        <v>4080</v>
      </c>
      <c r="G1314" s="171">
        <v>676.029</v>
      </c>
      <c r="H1314" s="163">
        <f t="shared" si="104"/>
        <v>2.40819999999997</v>
      </c>
      <c r="I1314" s="173">
        <v>701</v>
      </c>
      <c r="J1314" s="173">
        <v>850.727595690861</v>
      </c>
      <c r="K1314" s="176">
        <v>221555.23078433</v>
      </c>
      <c r="L1314" s="163"/>
      <c r="M1314" s="161" t="s">
        <v>3979</v>
      </c>
      <c r="N1314" s="161" t="s">
        <v>1299</v>
      </c>
      <c r="O1314" s="161" t="s">
        <v>25</v>
      </c>
      <c r="P1314" s="49" t="s">
        <v>25</v>
      </c>
      <c r="Q1314" s="166" t="s">
        <v>4089</v>
      </c>
      <c r="R1314" s="151"/>
    </row>
    <row r="1315" spans="1:18">
      <c r="A1315" s="162" t="s">
        <v>46</v>
      </c>
      <c r="B1315" s="101" t="s">
        <v>350</v>
      </c>
      <c r="C1315" s="84" t="s">
        <v>4090</v>
      </c>
      <c r="D1315" s="161" t="s">
        <v>4091</v>
      </c>
      <c r="E1315" s="161" t="s">
        <v>2048</v>
      </c>
      <c r="F1315" s="161" t="s">
        <v>4080</v>
      </c>
      <c r="G1315" s="171">
        <v>682.672</v>
      </c>
      <c r="H1315" s="163">
        <f t="shared" si="104"/>
        <v>6.64300000000003</v>
      </c>
      <c r="I1315" s="176">
        <v>717</v>
      </c>
      <c r="J1315" s="176">
        <v>2369.69931745497</v>
      </c>
      <c r="K1315" s="176">
        <v>223924.930101785</v>
      </c>
      <c r="L1315" s="163"/>
      <c r="M1315" s="161" t="s">
        <v>3979</v>
      </c>
      <c r="N1315" s="161" t="s">
        <v>1299</v>
      </c>
      <c r="O1315" s="161" t="s">
        <v>25</v>
      </c>
      <c r="P1315" s="49" t="s">
        <v>25</v>
      </c>
      <c r="Q1315" s="166" t="s">
        <v>4092</v>
      </c>
      <c r="R1315" s="151"/>
    </row>
    <row r="1316" spans="1:18">
      <c r="A1316" s="162" t="s">
        <v>46</v>
      </c>
      <c r="B1316" s="101" t="s">
        <v>350</v>
      </c>
      <c r="C1316" s="84" t="s">
        <v>4093</v>
      </c>
      <c r="D1316" s="161" t="s">
        <v>4093</v>
      </c>
      <c r="E1316" s="161" t="s">
        <v>2048</v>
      </c>
      <c r="F1316" s="161" t="s">
        <v>4080</v>
      </c>
      <c r="G1316" s="171">
        <v>707.2225</v>
      </c>
      <c r="H1316" s="163">
        <f t="shared" si="104"/>
        <v>24.5504999999999</v>
      </c>
      <c r="I1316" s="176">
        <v>529</v>
      </c>
      <c r="J1316" s="176">
        <v>8845.04617188019</v>
      </c>
      <c r="K1316" s="176">
        <v>232769.976273665</v>
      </c>
      <c r="L1316" s="163"/>
      <c r="M1316" s="161" t="s">
        <v>3979</v>
      </c>
      <c r="N1316" s="161" t="s">
        <v>1331</v>
      </c>
      <c r="O1316" s="161" t="s">
        <v>15</v>
      </c>
      <c r="P1316" s="49" t="s">
        <v>15</v>
      </c>
      <c r="Q1316" s="166" t="s">
        <v>4094</v>
      </c>
      <c r="R1316" s="151"/>
    </row>
    <row r="1317" spans="1:18">
      <c r="A1317" s="162" t="s">
        <v>46</v>
      </c>
      <c r="B1317" s="101" t="s">
        <v>350</v>
      </c>
      <c r="C1317" s="84" t="s">
        <v>4095</v>
      </c>
      <c r="D1317" s="161" t="s">
        <v>4096</v>
      </c>
      <c r="E1317" s="161" t="s">
        <v>2048</v>
      </c>
      <c r="F1317" s="161" t="s">
        <v>4080</v>
      </c>
      <c r="G1317" s="171">
        <v>732.7346</v>
      </c>
      <c r="H1317" s="163">
        <f t="shared" si="104"/>
        <v>25.5121</v>
      </c>
      <c r="I1317" s="173">
        <v>125</v>
      </c>
      <c r="J1317" s="173">
        <v>9191.4914707004</v>
      </c>
      <c r="K1317" s="176">
        <v>241961.467744366</v>
      </c>
      <c r="L1317" s="163"/>
      <c r="M1317" s="161" t="s">
        <v>3979</v>
      </c>
      <c r="N1317" s="161" t="s">
        <v>1299</v>
      </c>
      <c r="O1317" s="161" t="s">
        <v>25</v>
      </c>
      <c r="P1317" s="49" t="s">
        <v>25</v>
      </c>
      <c r="Q1317" s="166" t="s">
        <v>4097</v>
      </c>
      <c r="R1317" s="151"/>
    </row>
    <row r="1318" spans="1:18">
      <c r="A1318" s="162" t="s">
        <v>46</v>
      </c>
      <c r="B1318" s="101" t="s">
        <v>350</v>
      </c>
      <c r="C1318" s="84" t="s">
        <v>4098</v>
      </c>
      <c r="D1318" s="161" t="s">
        <v>4099</v>
      </c>
      <c r="E1318" s="161" t="s">
        <v>2048</v>
      </c>
      <c r="F1318" s="161" t="s">
        <v>4080</v>
      </c>
      <c r="G1318" s="171">
        <v>754.2197</v>
      </c>
      <c r="H1318" s="163">
        <f t="shared" si="104"/>
        <v>21.4851</v>
      </c>
      <c r="I1318" s="176">
        <v>85</v>
      </c>
      <c r="J1318" s="176">
        <v>7740.62655183969</v>
      </c>
      <c r="K1318" s="176">
        <v>249702.094296205</v>
      </c>
      <c r="L1318" s="163"/>
      <c r="M1318" s="161" t="s">
        <v>3979</v>
      </c>
      <c r="N1318" s="161" t="s">
        <v>1299</v>
      </c>
      <c r="O1318" s="161" t="s">
        <v>25</v>
      </c>
      <c r="P1318" s="49" t="s">
        <v>25</v>
      </c>
      <c r="Q1318" s="166" t="s">
        <v>4100</v>
      </c>
      <c r="R1318" s="151"/>
    </row>
    <row r="1319" ht="45" spans="1:18">
      <c r="A1319" s="162" t="s">
        <v>46</v>
      </c>
      <c r="B1319" s="101" t="s">
        <v>350</v>
      </c>
      <c r="C1319" s="135" t="s">
        <v>4101</v>
      </c>
      <c r="D1319" s="161" t="s">
        <v>4101</v>
      </c>
      <c r="E1319" s="161" t="s">
        <v>2048</v>
      </c>
      <c r="F1319" s="161" t="s">
        <v>4080</v>
      </c>
      <c r="G1319" s="171">
        <v>754.2197</v>
      </c>
      <c r="H1319" s="163">
        <f t="shared" si="104"/>
        <v>0</v>
      </c>
      <c r="I1319" s="176" t="s">
        <v>147</v>
      </c>
      <c r="J1319" s="176" t="s">
        <v>147</v>
      </c>
      <c r="K1319" s="176" t="s">
        <v>147</v>
      </c>
      <c r="L1319" s="163" t="s">
        <v>4102</v>
      </c>
      <c r="M1319" s="161" t="s">
        <v>3979</v>
      </c>
      <c r="N1319" s="161"/>
      <c r="O1319" s="161"/>
      <c r="P1319" s="49"/>
      <c r="Q1319" s="166"/>
      <c r="R1319" s="151"/>
    </row>
    <row r="1320" spans="1:18">
      <c r="A1320" s="162" t="s">
        <v>46</v>
      </c>
      <c r="B1320" s="101" t="s">
        <v>350</v>
      </c>
      <c r="C1320" s="84" t="s">
        <v>4103</v>
      </c>
      <c r="D1320" s="161" t="s">
        <v>4104</v>
      </c>
      <c r="E1320" s="161" t="s">
        <v>2048</v>
      </c>
      <c r="F1320" s="161" t="s">
        <v>4080</v>
      </c>
      <c r="G1320" s="171">
        <v>776.6697</v>
      </c>
      <c r="H1320" s="163">
        <f t="shared" si="104"/>
        <v>22.45</v>
      </c>
      <c r="I1320" s="173">
        <v>53</v>
      </c>
      <c r="J1320" s="173">
        <v>7362.56488853579</v>
      </c>
      <c r="K1320" s="176">
        <v>257064.659184741</v>
      </c>
      <c r="L1320" s="163"/>
      <c r="M1320" s="161" t="s">
        <v>3979</v>
      </c>
      <c r="N1320" s="161" t="s">
        <v>1299</v>
      </c>
      <c r="O1320" s="161" t="s">
        <v>25</v>
      </c>
      <c r="P1320" s="49" t="s">
        <v>25</v>
      </c>
      <c r="Q1320" s="166"/>
      <c r="R1320" s="151"/>
    </row>
    <row r="1321" ht="45" spans="1:18">
      <c r="A1321" s="162" t="s">
        <v>46</v>
      </c>
      <c r="B1321" s="101" t="s">
        <v>350</v>
      </c>
      <c r="C1321" s="84" t="s">
        <v>4105</v>
      </c>
      <c r="D1321" s="161" t="s">
        <v>4105</v>
      </c>
      <c r="E1321" s="161" t="s">
        <v>2048</v>
      </c>
      <c r="F1321" s="161" t="s">
        <v>4080</v>
      </c>
      <c r="G1321" s="171">
        <v>788.9628</v>
      </c>
      <c r="H1321" s="163">
        <f t="shared" si="104"/>
        <v>12.2931</v>
      </c>
      <c r="I1321" s="176" t="s">
        <v>147</v>
      </c>
      <c r="J1321" s="176" t="s">
        <v>147</v>
      </c>
      <c r="K1321" s="176" t="s">
        <v>147</v>
      </c>
      <c r="L1321" s="163" t="s">
        <v>4106</v>
      </c>
      <c r="M1321" s="161" t="s">
        <v>3979</v>
      </c>
      <c r="N1321" s="161" t="s">
        <v>1331</v>
      </c>
      <c r="O1321" s="161" t="s">
        <v>16</v>
      </c>
      <c r="P1321" s="49" t="s">
        <v>16</v>
      </c>
      <c r="Q1321" s="166" t="s">
        <v>4107</v>
      </c>
      <c r="R1321" s="151"/>
    </row>
    <row r="1322" ht="30" spans="1:18">
      <c r="A1322" s="162" t="s">
        <v>46</v>
      </c>
      <c r="B1322" s="101" t="s">
        <v>350</v>
      </c>
      <c r="C1322" s="84" t="s">
        <v>356</v>
      </c>
      <c r="D1322" s="161" t="s">
        <v>356</v>
      </c>
      <c r="E1322" s="161" t="s">
        <v>2048</v>
      </c>
      <c r="F1322" s="161" t="s">
        <v>4108</v>
      </c>
      <c r="G1322" s="171">
        <v>804.6697</v>
      </c>
      <c r="H1322" s="163">
        <f t="shared" si="104"/>
        <v>15.7069</v>
      </c>
      <c r="I1322" s="176">
        <v>35.07</v>
      </c>
      <c r="J1322" s="176">
        <v>9064.1</v>
      </c>
      <c r="K1322" s="176">
        <v>266128.759184741</v>
      </c>
      <c r="L1322" s="163" t="s">
        <v>4109</v>
      </c>
      <c r="M1322" s="161" t="s">
        <v>3979</v>
      </c>
      <c r="N1322" s="161" t="s">
        <v>1331</v>
      </c>
      <c r="O1322" s="161" t="s">
        <v>14</v>
      </c>
      <c r="P1322" s="49" t="s">
        <v>14</v>
      </c>
      <c r="Q1322" s="166" t="s">
        <v>4110</v>
      </c>
      <c r="R1322" s="151"/>
    </row>
    <row r="1323" spans="1:18">
      <c r="A1323" s="162" t="s">
        <v>46</v>
      </c>
      <c r="B1323" s="101" t="s">
        <v>350</v>
      </c>
      <c r="C1323" s="84" t="s">
        <v>4111</v>
      </c>
      <c r="D1323" s="161" t="s">
        <v>4112</v>
      </c>
      <c r="E1323" s="161" t="s">
        <v>2048</v>
      </c>
      <c r="F1323" s="161" t="s">
        <v>4108</v>
      </c>
      <c r="G1323" s="171">
        <v>821.8321</v>
      </c>
      <c r="H1323" s="163">
        <f t="shared" si="104"/>
        <v>17.1623999999999</v>
      </c>
      <c r="I1323" s="176">
        <v>48.87</v>
      </c>
      <c r="J1323" s="176">
        <v>5484.04128961736</v>
      </c>
      <c r="K1323" s="176">
        <v>271612.800474359</v>
      </c>
      <c r="L1323" s="163"/>
      <c r="M1323" s="161" t="s">
        <v>3979</v>
      </c>
      <c r="N1323" s="161" t="s">
        <v>1299</v>
      </c>
      <c r="O1323" s="161" t="s">
        <v>25</v>
      </c>
      <c r="P1323" s="49" t="s">
        <v>25</v>
      </c>
      <c r="Q1323" s="166" t="s">
        <v>4113</v>
      </c>
      <c r="R1323" s="151"/>
    </row>
    <row r="1324" spans="1:18">
      <c r="A1324" s="162" t="s">
        <v>46</v>
      </c>
      <c r="B1324" s="101" t="s">
        <v>350</v>
      </c>
      <c r="C1324" s="84" t="s">
        <v>4114</v>
      </c>
      <c r="D1324" s="161" t="s">
        <v>4115</v>
      </c>
      <c r="E1324" s="161" t="s">
        <v>2048</v>
      </c>
      <c r="F1324" s="161" t="s">
        <v>4108</v>
      </c>
      <c r="G1324" s="171">
        <v>828.0448</v>
      </c>
      <c r="H1324" s="163">
        <f t="shared" si="104"/>
        <v>6.21270000000004</v>
      </c>
      <c r="I1324" s="173">
        <v>46.5092</v>
      </c>
      <c r="J1324" s="173">
        <v>1985.20677653882</v>
      </c>
      <c r="K1324" s="176">
        <v>273598.007250897</v>
      </c>
      <c r="L1324" s="163"/>
      <c r="M1324" s="161" t="s">
        <v>3979</v>
      </c>
      <c r="N1324" s="161" t="s">
        <v>1299</v>
      </c>
      <c r="O1324" s="161" t="s">
        <v>25</v>
      </c>
      <c r="P1324" s="49" t="s">
        <v>25</v>
      </c>
      <c r="Q1324" s="166" t="s">
        <v>4116</v>
      </c>
      <c r="R1324" s="151"/>
    </row>
    <row r="1325" spans="1:18">
      <c r="A1325" s="162" t="s">
        <v>46</v>
      </c>
      <c r="B1325" s="101" t="s">
        <v>350</v>
      </c>
      <c r="C1325" s="84" t="s">
        <v>4117</v>
      </c>
      <c r="D1325" s="161" t="s">
        <v>4118</v>
      </c>
      <c r="E1325" s="161" t="s">
        <v>2048</v>
      </c>
      <c r="F1325" s="161" t="s">
        <v>4108</v>
      </c>
      <c r="G1325" s="171">
        <v>835.6697</v>
      </c>
      <c r="H1325" s="163">
        <f t="shared" si="104"/>
        <v>7.62490000000003</v>
      </c>
      <c r="I1325" s="176">
        <v>58.2821</v>
      </c>
      <c r="J1325" s="176">
        <v>2436.46019579018</v>
      </c>
      <c r="K1325" s="176">
        <v>276034.467446688</v>
      </c>
      <c r="L1325" s="163"/>
      <c r="M1325" s="161" t="s">
        <v>3979</v>
      </c>
      <c r="N1325" s="161" t="s">
        <v>1299</v>
      </c>
      <c r="O1325" s="161" t="s">
        <v>25</v>
      </c>
      <c r="P1325" s="49" t="s">
        <v>25</v>
      </c>
      <c r="Q1325" s="166" t="s">
        <v>4119</v>
      </c>
      <c r="R1325" s="151"/>
    </row>
    <row r="1326" ht="30" spans="1:18">
      <c r="A1326" s="162" t="s">
        <v>46</v>
      </c>
      <c r="B1326" s="101" t="s">
        <v>350</v>
      </c>
      <c r="C1326" s="84" t="s">
        <v>4120</v>
      </c>
      <c r="D1326" s="161" t="s">
        <v>4120</v>
      </c>
      <c r="E1326" s="161" t="s">
        <v>2048</v>
      </c>
      <c r="F1326" s="161" t="s">
        <v>4108</v>
      </c>
      <c r="G1326" s="171">
        <v>835.6697</v>
      </c>
      <c r="H1326" s="163">
        <f t="shared" si="104"/>
        <v>0</v>
      </c>
      <c r="I1326" s="176"/>
      <c r="J1326" s="176"/>
      <c r="K1326" s="176"/>
      <c r="L1326" s="163" t="s">
        <v>4121</v>
      </c>
      <c r="M1326" s="161"/>
      <c r="N1326" s="161"/>
      <c r="O1326" s="161" t="s">
        <v>16</v>
      </c>
      <c r="P1326" s="49" t="s">
        <v>16</v>
      </c>
      <c r="Q1326" s="166"/>
      <c r="R1326" s="151"/>
    </row>
    <row r="1327" spans="1:18">
      <c r="A1327" s="162" t="s">
        <v>46</v>
      </c>
      <c r="B1327" s="101" t="s">
        <v>350</v>
      </c>
      <c r="C1327" s="84" t="s">
        <v>352</v>
      </c>
      <c r="D1327" s="161" t="s">
        <v>352</v>
      </c>
      <c r="E1327" s="161" t="s">
        <v>2048</v>
      </c>
      <c r="F1327" s="161" t="s">
        <v>4108</v>
      </c>
      <c r="G1327" s="171">
        <v>855.4997</v>
      </c>
      <c r="H1327" s="163">
        <f t="shared" si="104"/>
        <v>19.8299999999999</v>
      </c>
      <c r="I1327" s="173">
        <v>63.6642</v>
      </c>
      <c r="J1327" s="173">
        <v>3254.50174650911</v>
      </c>
      <c r="K1327" s="176">
        <v>279288.969193197</v>
      </c>
      <c r="L1327" s="163"/>
      <c r="M1327" s="161" t="s">
        <v>3979</v>
      </c>
      <c r="N1327" s="161" t="s">
        <v>1331</v>
      </c>
      <c r="O1327" s="161" t="s">
        <v>14</v>
      </c>
      <c r="P1327" s="49" t="s">
        <v>14</v>
      </c>
      <c r="Q1327" s="166" t="s">
        <v>4122</v>
      </c>
      <c r="R1327" s="151"/>
    </row>
    <row r="1328" spans="1:18">
      <c r="A1328" s="162" t="s">
        <v>46</v>
      </c>
      <c r="B1328" s="101" t="s">
        <v>354</v>
      </c>
      <c r="C1328" s="135" t="s">
        <v>244</v>
      </c>
      <c r="D1328" s="161" t="s">
        <v>1552</v>
      </c>
      <c r="E1328" s="161" t="s">
        <v>2048</v>
      </c>
      <c r="F1328" s="161" t="s">
        <v>1538</v>
      </c>
      <c r="G1328" s="163">
        <v>0</v>
      </c>
      <c r="H1328" s="163">
        <v>0</v>
      </c>
      <c r="I1328" s="176"/>
      <c r="J1328" s="176"/>
      <c r="K1328" s="176"/>
      <c r="L1328" s="163"/>
      <c r="M1328" s="161" t="s">
        <v>1294</v>
      </c>
      <c r="N1328" s="161"/>
      <c r="O1328" s="161"/>
      <c r="P1328" s="49"/>
      <c r="Q1328" s="166" t="s">
        <v>1554</v>
      </c>
      <c r="R1328" s="151"/>
    </row>
    <row r="1329" spans="1:18">
      <c r="A1329" s="162" t="s">
        <v>46</v>
      </c>
      <c r="B1329" s="101" t="s">
        <v>354</v>
      </c>
      <c r="C1329" s="135" t="s">
        <v>351</v>
      </c>
      <c r="D1329" s="161" t="s">
        <v>351</v>
      </c>
      <c r="E1329" s="161" t="s">
        <v>2048</v>
      </c>
      <c r="F1329" s="161" t="s">
        <v>1538</v>
      </c>
      <c r="G1329" s="163">
        <v>0.78</v>
      </c>
      <c r="H1329" s="163">
        <v>0.78</v>
      </c>
      <c r="I1329" s="176"/>
      <c r="J1329" s="176"/>
      <c r="K1329" s="176"/>
      <c r="L1329" s="163"/>
      <c r="M1329" s="161" t="s">
        <v>3979</v>
      </c>
      <c r="N1329" s="161" t="s">
        <v>1331</v>
      </c>
      <c r="O1329" s="161"/>
      <c r="P1329" s="49"/>
      <c r="Q1329" s="166" t="s">
        <v>3980</v>
      </c>
      <c r="R1329" s="151"/>
    </row>
    <row r="1330" spans="1:18">
      <c r="A1330" s="162" t="s">
        <v>46</v>
      </c>
      <c r="B1330" s="101" t="s">
        <v>355</v>
      </c>
      <c r="C1330" s="135" t="s">
        <v>356</v>
      </c>
      <c r="D1330" s="161" t="s">
        <v>356</v>
      </c>
      <c r="E1330" s="161" t="s">
        <v>2048</v>
      </c>
      <c r="F1330" s="161" t="s">
        <v>4108</v>
      </c>
      <c r="G1330" s="163">
        <v>0</v>
      </c>
      <c r="H1330" s="163">
        <v>0</v>
      </c>
      <c r="I1330" s="176">
        <v>35.07</v>
      </c>
      <c r="J1330" s="176">
        <v>0</v>
      </c>
      <c r="K1330" s="176">
        <v>0</v>
      </c>
      <c r="L1330" s="163"/>
      <c r="M1330" s="161" t="s">
        <v>3979</v>
      </c>
      <c r="N1330" s="161"/>
      <c r="O1330" s="161"/>
      <c r="P1330" s="49"/>
      <c r="Q1330" s="166" t="s">
        <v>4110</v>
      </c>
      <c r="R1330" s="151"/>
    </row>
    <row r="1331" spans="1:18">
      <c r="A1331" s="162" t="s">
        <v>46</v>
      </c>
      <c r="B1331" s="101" t="s">
        <v>355</v>
      </c>
      <c r="C1331" s="84" t="s">
        <v>4123</v>
      </c>
      <c r="D1331" s="161" t="s">
        <v>4124</v>
      </c>
      <c r="E1331" s="161" t="s">
        <v>2048</v>
      </c>
      <c r="F1331" s="161" t="s">
        <v>4080</v>
      </c>
      <c r="G1331" s="163">
        <v>11</v>
      </c>
      <c r="H1331" s="163">
        <v>11</v>
      </c>
      <c r="I1331" s="176">
        <v>33</v>
      </c>
      <c r="J1331" s="176">
        <v>3665.379</v>
      </c>
      <c r="K1331" s="176">
        <v>3665.379</v>
      </c>
      <c r="L1331" s="163"/>
      <c r="M1331" s="161" t="s">
        <v>4125</v>
      </c>
      <c r="N1331" s="161" t="s">
        <v>1299</v>
      </c>
      <c r="O1331" s="161" t="s">
        <v>25</v>
      </c>
      <c r="P1331" s="49" t="s">
        <v>25</v>
      </c>
      <c r="Q1331" s="166"/>
      <c r="R1331" s="151"/>
    </row>
    <row r="1332" spans="1:18">
      <c r="A1332" s="162" t="s">
        <v>46</v>
      </c>
      <c r="B1332" s="101" t="s">
        <v>355</v>
      </c>
      <c r="C1332" s="84" t="s">
        <v>4126</v>
      </c>
      <c r="D1332" s="161" t="s">
        <v>4126</v>
      </c>
      <c r="E1332" s="161" t="s">
        <v>2048</v>
      </c>
      <c r="F1332" s="161" t="s">
        <v>4080</v>
      </c>
      <c r="G1332" s="163" t="s">
        <v>147</v>
      </c>
      <c r="H1332" s="163" t="s">
        <v>147</v>
      </c>
      <c r="I1332" s="176" t="s">
        <v>147</v>
      </c>
      <c r="J1332" s="176" t="s">
        <v>147</v>
      </c>
      <c r="K1332" s="176" t="s">
        <v>147</v>
      </c>
      <c r="L1332" s="163"/>
      <c r="M1332" s="161" t="s">
        <v>4125</v>
      </c>
      <c r="N1332" s="161" t="s">
        <v>1331</v>
      </c>
      <c r="O1332" s="161" t="s">
        <v>14</v>
      </c>
      <c r="P1332" s="49" t="s">
        <v>14</v>
      </c>
      <c r="Q1332" s="166" t="s">
        <v>4127</v>
      </c>
      <c r="R1332" s="151"/>
    </row>
    <row r="1333" ht="45" spans="1:18">
      <c r="A1333" s="162" t="s">
        <v>46</v>
      </c>
      <c r="B1333" s="101" t="s">
        <v>355</v>
      </c>
      <c r="C1333" s="135" t="s">
        <v>4128</v>
      </c>
      <c r="D1333" s="161" t="s">
        <v>4128</v>
      </c>
      <c r="E1333" s="161" t="s">
        <v>2048</v>
      </c>
      <c r="F1333" s="161" t="s">
        <v>4080</v>
      </c>
      <c r="G1333" s="163" t="s">
        <v>147</v>
      </c>
      <c r="H1333" s="163" t="s">
        <v>147</v>
      </c>
      <c r="I1333" s="176" t="s">
        <v>147</v>
      </c>
      <c r="J1333" s="176" t="s">
        <v>147</v>
      </c>
      <c r="K1333" s="176" t="s">
        <v>147</v>
      </c>
      <c r="L1333" s="163" t="s">
        <v>4129</v>
      </c>
      <c r="M1333" s="161" t="s">
        <v>4125</v>
      </c>
      <c r="N1333" s="161"/>
      <c r="O1333" s="161"/>
      <c r="P1333" s="49"/>
      <c r="Q1333" s="166"/>
      <c r="R1333" s="151"/>
    </row>
    <row r="1334" spans="1:18">
      <c r="A1334" s="162" t="s">
        <v>46</v>
      </c>
      <c r="B1334" s="101" t="s">
        <v>355</v>
      </c>
      <c r="C1334" s="84" t="s">
        <v>4130</v>
      </c>
      <c r="D1334" s="161" t="s">
        <v>4131</v>
      </c>
      <c r="E1334" s="161" t="s">
        <v>2048</v>
      </c>
      <c r="F1334" s="161" t="s">
        <v>4132</v>
      </c>
      <c r="G1334" s="171">
        <v>28.9528</v>
      </c>
      <c r="H1334" s="163">
        <f>G1334-G1331</f>
        <v>17.9528</v>
      </c>
      <c r="I1334" s="173">
        <v>23.682</v>
      </c>
      <c r="J1334" s="173">
        <v>5999.608</v>
      </c>
      <c r="K1334" s="176">
        <v>9664.987</v>
      </c>
      <c r="L1334" s="163"/>
      <c r="M1334" s="161" t="s">
        <v>4125</v>
      </c>
      <c r="N1334" s="161" t="s">
        <v>1299</v>
      </c>
      <c r="O1334" s="161" t="s">
        <v>25</v>
      </c>
      <c r="P1334" s="49" t="s">
        <v>25</v>
      </c>
      <c r="Q1334" s="166" t="s">
        <v>4133</v>
      </c>
      <c r="R1334" s="151"/>
    </row>
    <row r="1335" spans="1:18">
      <c r="A1335" s="162" t="s">
        <v>46</v>
      </c>
      <c r="B1335" s="101" t="s">
        <v>355</v>
      </c>
      <c r="C1335" s="84" t="s">
        <v>4134</v>
      </c>
      <c r="D1335" s="161" t="s">
        <v>4135</v>
      </c>
      <c r="E1335" s="161" t="s">
        <v>2048</v>
      </c>
      <c r="F1335" s="161" t="s">
        <v>4132</v>
      </c>
      <c r="G1335" s="171">
        <v>47.233</v>
      </c>
      <c r="H1335" s="163">
        <f>G1335-G1334</f>
        <v>18.2802</v>
      </c>
      <c r="I1335" s="176">
        <v>15.793</v>
      </c>
      <c r="J1335" s="176">
        <v>6109.02280336819</v>
      </c>
      <c r="K1335" s="176">
        <v>15774.0098033682</v>
      </c>
      <c r="L1335" s="163"/>
      <c r="M1335" s="161" t="s">
        <v>4125</v>
      </c>
      <c r="N1335" s="161" t="s">
        <v>1299</v>
      </c>
      <c r="O1335" s="161" t="s">
        <v>25</v>
      </c>
      <c r="P1335" s="49" t="s">
        <v>25</v>
      </c>
      <c r="Q1335" s="166" t="s">
        <v>4136</v>
      </c>
      <c r="R1335" s="151"/>
    </row>
    <row r="1336" ht="30" spans="1:18">
      <c r="A1336" s="162" t="s">
        <v>46</v>
      </c>
      <c r="B1336" s="101" t="s">
        <v>355</v>
      </c>
      <c r="C1336" s="135" t="s">
        <v>357</v>
      </c>
      <c r="D1336" s="161" t="s">
        <v>357</v>
      </c>
      <c r="E1336" s="161" t="s">
        <v>2048</v>
      </c>
      <c r="F1336" s="161" t="s">
        <v>4132</v>
      </c>
      <c r="G1336" s="171">
        <v>63.9999</v>
      </c>
      <c r="H1336" s="163">
        <f>G1336-G1335</f>
        <v>16.7669</v>
      </c>
      <c r="I1336" s="173">
        <v>11.1764</v>
      </c>
      <c r="J1336" s="173">
        <v>5603.30373276079</v>
      </c>
      <c r="K1336" s="176">
        <v>21377.313536129</v>
      </c>
      <c r="L1336" s="174" t="s">
        <v>4109</v>
      </c>
      <c r="M1336" s="161" t="s">
        <v>4125</v>
      </c>
      <c r="N1336" s="161"/>
      <c r="O1336" s="161"/>
      <c r="P1336" s="49"/>
      <c r="Q1336" s="166" t="s">
        <v>4137</v>
      </c>
      <c r="R1336" s="151"/>
    </row>
    <row r="1337" spans="1:18">
      <c r="A1337" s="162" t="s">
        <v>47</v>
      </c>
      <c r="B1337" s="101" t="s">
        <v>358</v>
      </c>
      <c r="C1337" s="135" t="s">
        <v>244</v>
      </c>
      <c r="D1337" s="161" t="s">
        <v>1552</v>
      </c>
      <c r="E1337" s="161" t="s">
        <v>2048</v>
      </c>
      <c r="F1337" s="161" t="s">
        <v>1538</v>
      </c>
      <c r="G1337" s="171">
        <v>0</v>
      </c>
      <c r="H1337" s="163">
        <v>0</v>
      </c>
      <c r="I1337" s="176">
        <v>1326.06</v>
      </c>
      <c r="J1337" s="176"/>
      <c r="K1337" s="176">
        <v>0</v>
      </c>
      <c r="L1337" s="163"/>
      <c r="M1337" s="161" t="s">
        <v>1294</v>
      </c>
      <c r="N1337" s="161"/>
      <c r="O1337" s="161"/>
      <c r="P1337" s="49"/>
      <c r="Q1337" s="166" t="s">
        <v>1554</v>
      </c>
      <c r="R1337" s="151"/>
    </row>
    <row r="1338" spans="1:18">
      <c r="A1338" s="162" t="s">
        <v>47</v>
      </c>
      <c r="B1338" s="101" t="s">
        <v>358</v>
      </c>
      <c r="C1338" s="84" t="s">
        <v>4138</v>
      </c>
      <c r="D1338" s="161" t="s">
        <v>4139</v>
      </c>
      <c r="E1338" s="161" t="s">
        <v>2048</v>
      </c>
      <c r="F1338" s="161" t="s">
        <v>1538</v>
      </c>
      <c r="G1338" s="171">
        <v>24.6476</v>
      </c>
      <c r="H1338" s="163">
        <f>G1338-G1337</f>
        <v>24.6476</v>
      </c>
      <c r="I1338" s="176">
        <v>1217.89</v>
      </c>
      <c r="J1338" s="176"/>
      <c r="K1338" s="176">
        <f t="shared" ref="K1338:K1343" si="105">J1338+K1337</f>
        <v>0</v>
      </c>
      <c r="L1338" s="163"/>
      <c r="M1338" s="161" t="s">
        <v>4140</v>
      </c>
      <c r="N1338" s="161" t="s">
        <v>1299</v>
      </c>
      <c r="O1338" s="161" t="s">
        <v>25</v>
      </c>
      <c r="P1338" s="49" t="s">
        <v>25</v>
      </c>
      <c r="Q1338" s="166" t="s">
        <v>4141</v>
      </c>
      <c r="R1338" s="151"/>
    </row>
    <row r="1339" spans="1:18">
      <c r="A1339" s="162" t="s">
        <v>47</v>
      </c>
      <c r="B1339" s="101" t="s">
        <v>358</v>
      </c>
      <c r="C1339" s="84" t="s">
        <v>4142</v>
      </c>
      <c r="D1339" s="161" t="s">
        <v>4143</v>
      </c>
      <c r="E1339" s="161" t="s">
        <v>2048</v>
      </c>
      <c r="F1339" s="161" t="s">
        <v>1538</v>
      </c>
      <c r="G1339" s="171">
        <v>52.3391</v>
      </c>
      <c r="H1339" s="163">
        <f t="shared" ref="H1339:H1354" si="106">G1339-G1338</f>
        <v>27.6915</v>
      </c>
      <c r="I1339" s="173">
        <v>1128.64</v>
      </c>
      <c r="J1339" s="173"/>
      <c r="K1339" s="176">
        <f t="shared" si="105"/>
        <v>0</v>
      </c>
      <c r="L1339" s="163"/>
      <c r="M1339" s="161" t="s">
        <v>4140</v>
      </c>
      <c r="N1339" s="161" t="s">
        <v>1299</v>
      </c>
      <c r="O1339" s="161" t="s">
        <v>25</v>
      </c>
      <c r="P1339" s="49" t="s">
        <v>25</v>
      </c>
      <c r="Q1339" s="166" t="s">
        <v>4144</v>
      </c>
      <c r="R1339" s="151"/>
    </row>
    <row r="1340" spans="1:18">
      <c r="A1340" s="162" t="s">
        <v>47</v>
      </c>
      <c r="B1340" s="101" t="s">
        <v>358</v>
      </c>
      <c r="C1340" s="84" t="s">
        <v>4145</v>
      </c>
      <c r="D1340" s="161" t="s">
        <v>4146</v>
      </c>
      <c r="E1340" s="161" t="s">
        <v>2048</v>
      </c>
      <c r="F1340" s="161" t="s">
        <v>3989</v>
      </c>
      <c r="G1340" s="171">
        <v>81.8249</v>
      </c>
      <c r="H1340" s="163">
        <f t="shared" si="106"/>
        <v>29.4858</v>
      </c>
      <c r="I1340" s="176">
        <v>1157.87</v>
      </c>
      <c r="J1340" s="176"/>
      <c r="K1340" s="176">
        <f t="shared" si="105"/>
        <v>0</v>
      </c>
      <c r="L1340" s="163"/>
      <c r="M1340" s="161" t="s">
        <v>4140</v>
      </c>
      <c r="N1340" s="161" t="s">
        <v>1299</v>
      </c>
      <c r="O1340" s="161" t="s">
        <v>25</v>
      </c>
      <c r="P1340" s="49" t="s">
        <v>25</v>
      </c>
      <c r="Q1340" s="166" t="s">
        <v>4147</v>
      </c>
      <c r="R1340" s="151"/>
    </row>
    <row r="1341" ht="30" spans="1:18">
      <c r="A1341" s="162" t="s">
        <v>47</v>
      </c>
      <c r="B1341" s="101" t="s">
        <v>358</v>
      </c>
      <c r="C1341" s="135" t="s">
        <v>381</v>
      </c>
      <c r="D1341" s="161" t="s">
        <v>3994</v>
      </c>
      <c r="E1341" s="161" t="s">
        <v>2048</v>
      </c>
      <c r="F1341" s="161" t="s">
        <v>3989</v>
      </c>
      <c r="G1341" s="171">
        <v>113</v>
      </c>
      <c r="H1341" s="163">
        <f t="shared" si="106"/>
        <v>31.1751</v>
      </c>
      <c r="I1341" s="173">
        <v>1186.7</v>
      </c>
      <c r="J1341" s="173">
        <v>86423</v>
      </c>
      <c r="K1341" s="176">
        <f t="shared" si="105"/>
        <v>86423</v>
      </c>
      <c r="L1341" s="174" t="s">
        <v>3995</v>
      </c>
      <c r="M1341" s="161" t="s">
        <v>3979</v>
      </c>
      <c r="N1341" s="161"/>
      <c r="O1341" s="161"/>
      <c r="P1341" s="49"/>
      <c r="Q1341" s="166" t="s">
        <v>3996</v>
      </c>
      <c r="R1341" s="151"/>
    </row>
    <row r="1342" spans="1:18">
      <c r="A1342" s="162" t="s">
        <v>47</v>
      </c>
      <c r="B1342" s="101" t="s">
        <v>358</v>
      </c>
      <c r="C1342" s="84" t="s">
        <v>4148</v>
      </c>
      <c r="D1342" s="161" t="s">
        <v>1298</v>
      </c>
      <c r="E1342" s="161" t="s">
        <v>2048</v>
      </c>
      <c r="F1342" s="161" t="s">
        <v>3989</v>
      </c>
      <c r="G1342" s="171">
        <v>133.1259</v>
      </c>
      <c r="H1342" s="163">
        <f t="shared" si="106"/>
        <v>20.1259</v>
      </c>
      <c r="I1342" s="176">
        <v>1111.4</v>
      </c>
      <c r="J1342" s="176"/>
      <c r="K1342" s="176">
        <f t="shared" si="105"/>
        <v>86423</v>
      </c>
      <c r="L1342" s="163"/>
      <c r="M1342" s="161" t="s">
        <v>4140</v>
      </c>
      <c r="N1342" s="161" t="s">
        <v>1299</v>
      </c>
      <c r="O1342" s="161" t="s">
        <v>25</v>
      </c>
      <c r="P1342" s="49" t="s">
        <v>25</v>
      </c>
      <c r="Q1342" s="166" t="s">
        <v>4149</v>
      </c>
      <c r="R1342" s="151"/>
    </row>
    <row r="1343" spans="1:18">
      <c r="A1343" s="162" t="s">
        <v>47</v>
      </c>
      <c r="B1343" s="101" t="s">
        <v>358</v>
      </c>
      <c r="C1343" s="84" t="s">
        <v>4150</v>
      </c>
      <c r="D1343" s="161" t="s">
        <v>1302</v>
      </c>
      <c r="E1343" s="161" t="s">
        <v>2048</v>
      </c>
      <c r="F1343" s="161" t="s">
        <v>4151</v>
      </c>
      <c r="G1343" s="171">
        <v>161.1456</v>
      </c>
      <c r="H1343" s="163">
        <f t="shared" si="106"/>
        <v>28.0197</v>
      </c>
      <c r="I1343" s="176">
        <v>1334.714</v>
      </c>
      <c r="J1343" s="176"/>
      <c r="K1343" s="176">
        <f t="shared" si="105"/>
        <v>86423</v>
      </c>
      <c r="L1343" s="163"/>
      <c r="M1343" s="161" t="s">
        <v>4140</v>
      </c>
      <c r="N1343" s="161" t="s">
        <v>1299</v>
      </c>
      <c r="O1343" s="161" t="s">
        <v>25</v>
      </c>
      <c r="P1343" s="49" t="s">
        <v>25</v>
      </c>
      <c r="Q1343" s="166" t="s">
        <v>4152</v>
      </c>
      <c r="R1343" s="151"/>
    </row>
    <row r="1344" spans="1:18">
      <c r="A1344" s="162" t="s">
        <v>47</v>
      </c>
      <c r="B1344" s="101" t="s">
        <v>358</v>
      </c>
      <c r="C1344" s="84" t="s">
        <v>4153</v>
      </c>
      <c r="D1344" s="161" t="s">
        <v>4153</v>
      </c>
      <c r="E1344" s="161" t="s">
        <v>2048</v>
      </c>
      <c r="F1344" s="161" t="s">
        <v>4151</v>
      </c>
      <c r="G1344" s="171">
        <v>167.442</v>
      </c>
      <c r="H1344" s="163">
        <f t="shared" si="106"/>
        <v>6.29640000000001</v>
      </c>
      <c r="I1344" s="176" t="s">
        <v>147</v>
      </c>
      <c r="J1344" s="176"/>
      <c r="K1344" s="176" t="s">
        <v>147</v>
      </c>
      <c r="L1344" s="163"/>
      <c r="M1344" s="161" t="s">
        <v>4140</v>
      </c>
      <c r="N1344" s="161"/>
      <c r="O1344" s="161" t="s">
        <v>14</v>
      </c>
      <c r="P1344" s="49" t="s">
        <v>14</v>
      </c>
      <c r="Q1344" s="166" t="s">
        <v>4152</v>
      </c>
      <c r="R1344" s="151"/>
    </row>
    <row r="1345" spans="1:18">
      <c r="A1345" s="162" t="s">
        <v>47</v>
      </c>
      <c r="B1345" s="101" t="s">
        <v>358</v>
      </c>
      <c r="C1345" s="84" t="s">
        <v>4154</v>
      </c>
      <c r="D1345" s="161" t="s">
        <v>1305</v>
      </c>
      <c r="E1345" s="161" t="s">
        <v>2048</v>
      </c>
      <c r="F1345" s="161" t="s">
        <v>4151</v>
      </c>
      <c r="G1345" s="171">
        <v>191.0001</v>
      </c>
      <c r="H1345" s="163">
        <f t="shared" si="106"/>
        <v>23.5581</v>
      </c>
      <c r="I1345" s="173">
        <v>970.685</v>
      </c>
      <c r="J1345" s="173"/>
      <c r="K1345" s="176">
        <f>J1345+K1343</f>
        <v>86423</v>
      </c>
      <c r="L1345" s="163"/>
      <c r="M1345" s="161" t="s">
        <v>4140</v>
      </c>
      <c r="N1345" s="161" t="s">
        <v>1299</v>
      </c>
      <c r="O1345" s="161" t="s">
        <v>25</v>
      </c>
      <c r="P1345" s="49" t="s">
        <v>25</v>
      </c>
      <c r="Q1345" s="166" t="s">
        <v>4155</v>
      </c>
      <c r="R1345" s="151"/>
    </row>
    <row r="1346" spans="1:18">
      <c r="A1346" s="162" t="s">
        <v>47</v>
      </c>
      <c r="B1346" s="101" t="s">
        <v>358</v>
      </c>
      <c r="C1346" s="84" t="s">
        <v>4156</v>
      </c>
      <c r="D1346" s="49" t="s">
        <v>4156</v>
      </c>
      <c r="E1346" s="161" t="s">
        <v>2048</v>
      </c>
      <c r="F1346" s="161" t="s">
        <v>4151</v>
      </c>
      <c r="G1346" s="171">
        <v>196.169302</v>
      </c>
      <c r="H1346" s="163">
        <f t="shared" si="106"/>
        <v>5.16920199999998</v>
      </c>
      <c r="I1346" s="173"/>
      <c r="J1346" s="173"/>
      <c r="K1346" s="176"/>
      <c r="L1346" s="163" t="s">
        <v>2183</v>
      </c>
      <c r="M1346" s="161" t="s">
        <v>4140</v>
      </c>
      <c r="N1346" s="161"/>
      <c r="O1346" s="161" t="s">
        <v>15</v>
      </c>
      <c r="P1346" s="49" t="s">
        <v>15</v>
      </c>
      <c r="Q1346" s="166"/>
      <c r="R1346" s="151"/>
    </row>
    <row r="1347" spans="1:18">
      <c r="A1347" s="162" t="s">
        <v>47</v>
      </c>
      <c r="B1347" s="101" t="s">
        <v>358</v>
      </c>
      <c r="C1347" s="84" t="s">
        <v>4157</v>
      </c>
      <c r="D1347" s="161" t="s">
        <v>1307</v>
      </c>
      <c r="E1347" s="161" t="s">
        <v>2048</v>
      </c>
      <c r="F1347" s="161" t="s">
        <v>4151</v>
      </c>
      <c r="G1347" s="171">
        <v>203.364502</v>
      </c>
      <c r="H1347" s="163">
        <f t="shared" si="106"/>
        <v>7.1952</v>
      </c>
      <c r="I1347" s="176">
        <v>921</v>
      </c>
      <c r="J1347" s="176"/>
      <c r="K1347" s="176">
        <f>J1347+K1345</f>
        <v>86423</v>
      </c>
      <c r="L1347" s="163"/>
      <c r="M1347" s="161" t="s">
        <v>4140</v>
      </c>
      <c r="N1347" s="161" t="s">
        <v>1299</v>
      </c>
      <c r="O1347" s="161" t="s">
        <v>25</v>
      </c>
      <c r="P1347" s="49" t="s">
        <v>25</v>
      </c>
      <c r="Q1347" s="166" t="s">
        <v>4158</v>
      </c>
      <c r="R1347" s="151"/>
    </row>
    <row r="1348" spans="1:18">
      <c r="A1348" s="162" t="s">
        <v>47</v>
      </c>
      <c r="B1348" s="101" t="s">
        <v>358</v>
      </c>
      <c r="C1348" s="84" t="s">
        <v>4159</v>
      </c>
      <c r="D1348" s="161" t="s">
        <v>1311</v>
      </c>
      <c r="E1348" s="161" t="s">
        <v>2048</v>
      </c>
      <c r="F1348" s="161" t="s">
        <v>4151</v>
      </c>
      <c r="G1348" s="171">
        <v>226.227202</v>
      </c>
      <c r="H1348" s="163">
        <f t="shared" si="106"/>
        <v>22.8627</v>
      </c>
      <c r="I1348" s="173">
        <v>1072.613</v>
      </c>
      <c r="J1348" s="173"/>
      <c r="K1348" s="176">
        <f>J1348+K1347</f>
        <v>86423</v>
      </c>
      <c r="L1348" s="163"/>
      <c r="M1348" s="161" t="s">
        <v>4140</v>
      </c>
      <c r="N1348" s="161" t="s">
        <v>1299</v>
      </c>
      <c r="O1348" s="161" t="s">
        <v>25</v>
      </c>
      <c r="P1348" s="49" t="s">
        <v>25</v>
      </c>
      <c r="Q1348" s="166" t="s">
        <v>4160</v>
      </c>
      <c r="R1348" s="151"/>
    </row>
    <row r="1349" spans="1:18">
      <c r="A1349" s="162" t="s">
        <v>47</v>
      </c>
      <c r="B1349" s="101" t="s">
        <v>358</v>
      </c>
      <c r="C1349" s="84" t="s">
        <v>4161</v>
      </c>
      <c r="D1349" s="161" t="s">
        <v>1318</v>
      </c>
      <c r="E1349" s="161" t="s">
        <v>2048</v>
      </c>
      <c r="F1349" s="161" t="s">
        <v>4151</v>
      </c>
      <c r="G1349" s="171">
        <v>244.821302</v>
      </c>
      <c r="H1349" s="163">
        <f t="shared" si="106"/>
        <v>18.5941</v>
      </c>
      <c r="I1349" s="176">
        <v>901.019</v>
      </c>
      <c r="J1349" s="176"/>
      <c r="K1349" s="176">
        <f>J1349+K1348</f>
        <v>86423</v>
      </c>
      <c r="L1349" s="163"/>
      <c r="M1349" s="161" t="s">
        <v>4140</v>
      </c>
      <c r="N1349" s="161" t="s">
        <v>1299</v>
      </c>
      <c r="O1349" s="161" t="s">
        <v>25</v>
      </c>
      <c r="P1349" s="49" t="s">
        <v>25</v>
      </c>
      <c r="Q1349" s="166" t="s">
        <v>4162</v>
      </c>
      <c r="R1349" s="151"/>
    </row>
    <row r="1350" spans="1:18">
      <c r="A1350" s="162" t="s">
        <v>47</v>
      </c>
      <c r="B1350" s="101" t="s">
        <v>358</v>
      </c>
      <c r="C1350" s="84" t="s">
        <v>4163</v>
      </c>
      <c r="D1350" s="161" t="s">
        <v>1321</v>
      </c>
      <c r="E1350" s="161" t="s">
        <v>2048</v>
      </c>
      <c r="F1350" s="161" t="s">
        <v>4164</v>
      </c>
      <c r="G1350" s="171">
        <v>263.398002</v>
      </c>
      <c r="H1350" s="163">
        <f t="shared" si="106"/>
        <v>18.5767</v>
      </c>
      <c r="I1350" s="176">
        <v>815.1</v>
      </c>
      <c r="J1350" s="176"/>
      <c r="K1350" s="176">
        <f>J1350+K1349</f>
        <v>86423</v>
      </c>
      <c r="L1350" s="163"/>
      <c r="M1350" s="161" t="s">
        <v>4140</v>
      </c>
      <c r="N1350" s="161" t="s">
        <v>1299</v>
      </c>
      <c r="O1350" s="161" t="s">
        <v>25</v>
      </c>
      <c r="P1350" s="49" t="s">
        <v>25</v>
      </c>
      <c r="Q1350" s="166" t="s">
        <v>4165</v>
      </c>
      <c r="R1350" s="151"/>
    </row>
    <row r="1351" ht="45" spans="1:18">
      <c r="A1351" s="162" t="s">
        <v>47</v>
      </c>
      <c r="B1351" s="101" t="s">
        <v>358</v>
      </c>
      <c r="C1351" s="84" t="s">
        <v>4166</v>
      </c>
      <c r="D1351" s="161" t="s">
        <v>4166</v>
      </c>
      <c r="E1351" s="161" t="s">
        <v>2048</v>
      </c>
      <c r="F1351" s="161" t="s">
        <v>4164</v>
      </c>
      <c r="G1351" s="171">
        <v>278.169302</v>
      </c>
      <c r="H1351" s="163">
        <f t="shared" si="106"/>
        <v>14.7713</v>
      </c>
      <c r="I1351" s="176" t="s">
        <v>147</v>
      </c>
      <c r="J1351" s="176">
        <v>121387</v>
      </c>
      <c r="K1351" s="176" t="s">
        <v>147</v>
      </c>
      <c r="L1351" s="163" t="s">
        <v>4167</v>
      </c>
      <c r="M1351" s="161" t="s">
        <v>4140</v>
      </c>
      <c r="N1351" s="161" t="s">
        <v>1331</v>
      </c>
      <c r="O1351" s="161" t="s">
        <v>16</v>
      </c>
      <c r="P1351" s="49" t="s">
        <v>16</v>
      </c>
      <c r="Q1351" s="166" t="s">
        <v>4168</v>
      </c>
      <c r="R1351" s="151"/>
    </row>
    <row r="1352" spans="1:18">
      <c r="A1352" s="162" t="s">
        <v>47</v>
      </c>
      <c r="B1352" s="101" t="s">
        <v>358</v>
      </c>
      <c r="C1352" s="84" t="s">
        <v>4169</v>
      </c>
      <c r="D1352" s="161" t="s">
        <v>1324</v>
      </c>
      <c r="E1352" s="161" t="s">
        <v>2048</v>
      </c>
      <c r="F1352" s="161" t="s">
        <v>4164</v>
      </c>
      <c r="G1352" s="171">
        <v>285.163002</v>
      </c>
      <c r="H1352" s="163">
        <f t="shared" si="106"/>
        <v>6.99369999999999</v>
      </c>
      <c r="I1352" s="176">
        <v>1002.2</v>
      </c>
      <c r="J1352" s="176"/>
      <c r="K1352" s="176">
        <f>J1352+K1350</f>
        <v>86423</v>
      </c>
      <c r="L1352" s="163"/>
      <c r="M1352" s="161" t="s">
        <v>4140</v>
      </c>
      <c r="N1352" s="161" t="s">
        <v>1299</v>
      </c>
      <c r="O1352" s="161" t="s">
        <v>25</v>
      </c>
      <c r="P1352" s="49" t="s">
        <v>25</v>
      </c>
      <c r="Q1352" s="166" t="s">
        <v>4170</v>
      </c>
      <c r="R1352" s="151"/>
    </row>
    <row r="1353" spans="1:18">
      <c r="A1353" s="162" t="s">
        <v>47</v>
      </c>
      <c r="B1353" s="101" t="s">
        <v>358</v>
      </c>
      <c r="C1353" s="84" t="s">
        <v>4171</v>
      </c>
      <c r="D1353" s="161" t="s">
        <v>1327</v>
      </c>
      <c r="E1353" s="161" t="s">
        <v>2048</v>
      </c>
      <c r="F1353" s="161" t="s">
        <v>4164</v>
      </c>
      <c r="G1353" s="171">
        <v>290.245802</v>
      </c>
      <c r="H1353" s="163">
        <f t="shared" si="106"/>
        <v>5.08280000000002</v>
      </c>
      <c r="I1353" s="173">
        <v>1057.7</v>
      </c>
      <c r="J1353" s="176"/>
      <c r="K1353" s="176">
        <f>J1353+K1352</f>
        <v>86423</v>
      </c>
      <c r="L1353" s="163"/>
      <c r="M1353" s="161" t="s">
        <v>4140</v>
      </c>
      <c r="N1353" s="161" t="s">
        <v>1299</v>
      </c>
      <c r="O1353" s="161" t="s">
        <v>25</v>
      </c>
      <c r="P1353" s="49" t="s">
        <v>25</v>
      </c>
      <c r="Q1353" s="166" t="s">
        <v>4172</v>
      </c>
      <c r="R1353" s="151"/>
    </row>
    <row r="1354" ht="45" spans="1:18">
      <c r="A1354" s="162" t="s">
        <v>47</v>
      </c>
      <c r="B1354" s="101" t="s">
        <v>358</v>
      </c>
      <c r="C1354" s="84" t="s">
        <v>4173</v>
      </c>
      <c r="D1354" s="161" t="s">
        <v>4173</v>
      </c>
      <c r="E1354" s="161" t="s">
        <v>2048</v>
      </c>
      <c r="F1354" s="161" t="s">
        <v>4164</v>
      </c>
      <c r="G1354" s="171">
        <v>291.055433</v>
      </c>
      <c r="H1354" s="163">
        <f t="shared" si="106"/>
        <v>0.809630999999968</v>
      </c>
      <c r="I1354" s="173">
        <v>1057.7</v>
      </c>
      <c r="J1354" s="176">
        <v>9167</v>
      </c>
      <c r="K1354" s="176" t="s">
        <v>147</v>
      </c>
      <c r="L1354" s="163" t="s">
        <v>4174</v>
      </c>
      <c r="M1354" s="161" t="s">
        <v>4140</v>
      </c>
      <c r="N1354" s="161" t="s">
        <v>1331</v>
      </c>
      <c r="O1354" s="161" t="s">
        <v>6</v>
      </c>
      <c r="P1354" s="49" t="s">
        <v>6</v>
      </c>
      <c r="Q1354" s="166" t="s">
        <v>4175</v>
      </c>
      <c r="R1354" s="151"/>
    </row>
    <row r="1355" spans="1:18">
      <c r="A1355" s="162" t="s">
        <v>47</v>
      </c>
      <c r="B1355" s="101" t="s">
        <v>358</v>
      </c>
      <c r="C1355" s="84" t="s">
        <v>4176</v>
      </c>
      <c r="D1355" s="161" t="s">
        <v>1334</v>
      </c>
      <c r="E1355" s="161" t="s">
        <v>2048</v>
      </c>
      <c r="F1355" s="161" t="s">
        <v>4164</v>
      </c>
      <c r="G1355" s="171">
        <v>309.641702</v>
      </c>
      <c r="H1355" s="163">
        <f t="shared" ref="H1355:H1374" si="107">G1355-G1354</f>
        <v>18.586269</v>
      </c>
      <c r="I1355" s="176">
        <v>1282.1</v>
      </c>
      <c r="J1355" s="176"/>
      <c r="K1355" s="176">
        <f>J1355+K1353</f>
        <v>86423</v>
      </c>
      <c r="L1355" s="163"/>
      <c r="M1355" s="161" t="s">
        <v>4140</v>
      </c>
      <c r="N1355" s="161" t="s">
        <v>1299</v>
      </c>
      <c r="O1355" s="161" t="s">
        <v>25</v>
      </c>
      <c r="P1355" s="49" t="s">
        <v>25</v>
      </c>
      <c r="Q1355" s="166" t="s">
        <v>4177</v>
      </c>
      <c r="R1355" s="151"/>
    </row>
    <row r="1356" spans="1:18">
      <c r="A1356" s="162" t="s">
        <v>47</v>
      </c>
      <c r="B1356" s="101" t="s">
        <v>358</v>
      </c>
      <c r="C1356" s="84" t="s">
        <v>4178</v>
      </c>
      <c r="D1356" s="161" t="s">
        <v>1338</v>
      </c>
      <c r="E1356" s="161" t="s">
        <v>2048</v>
      </c>
      <c r="F1356" s="161" t="s">
        <v>4164</v>
      </c>
      <c r="G1356" s="171">
        <v>328.933802</v>
      </c>
      <c r="H1356" s="163">
        <f t="shared" si="107"/>
        <v>19.2921</v>
      </c>
      <c r="I1356" s="176">
        <v>1571.2</v>
      </c>
      <c r="J1356" s="176"/>
      <c r="K1356" s="176">
        <f t="shared" ref="K1356:K1363" si="108">J1356+K1355</f>
        <v>86423</v>
      </c>
      <c r="L1356" s="163"/>
      <c r="M1356" s="161" t="s">
        <v>4140</v>
      </c>
      <c r="N1356" s="161" t="s">
        <v>1299</v>
      </c>
      <c r="O1356" s="161" t="s">
        <v>25</v>
      </c>
      <c r="P1356" s="49" t="s">
        <v>25</v>
      </c>
      <c r="Q1356" s="166" t="s">
        <v>4179</v>
      </c>
      <c r="R1356" s="151"/>
    </row>
    <row r="1357" spans="1:18">
      <c r="A1357" s="162" t="s">
        <v>47</v>
      </c>
      <c r="B1357" s="101" t="s">
        <v>358</v>
      </c>
      <c r="C1357" s="84" t="s">
        <v>4180</v>
      </c>
      <c r="D1357" s="161" t="s">
        <v>4180</v>
      </c>
      <c r="E1357" s="161" t="s">
        <v>2048</v>
      </c>
      <c r="F1357" s="161" t="s">
        <v>4181</v>
      </c>
      <c r="G1357" s="171">
        <v>345.169302</v>
      </c>
      <c r="H1357" s="163">
        <f t="shared" si="107"/>
        <v>16.2355</v>
      </c>
      <c r="I1357" s="173">
        <v>1236.1</v>
      </c>
      <c r="J1357" s="176">
        <v>41796</v>
      </c>
      <c r="K1357" s="176">
        <f t="shared" si="108"/>
        <v>128219</v>
      </c>
      <c r="L1357" s="163"/>
      <c r="M1357" s="161" t="s">
        <v>4140</v>
      </c>
      <c r="N1357" s="161" t="s">
        <v>1331</v>
      </c>
      <c r="O1357" s="161" t="s">
        <v>14</v>
      </c>
      <c r="P1357" s="49" t="s">
        <v>14</v>
      </c>
      <c r="Q1357" s="166" t="s">
        <v>4182</v>
      </c>
      <c r="R1357" s="151"/>
    </row>
    <row r="1358" spans="1:18">
      <c r="A1358" s="162" t="s">
        <v>47</v>
      </c>
      <c r="B1358" s="101" t="s">
        <v>358</v>
      </c>
      <c r="C1358" s="84" t="s">
        <v>4183</v>
      </c>
      <c r="D1358" s="161" t="s">
        <v>1344</v>
      </c>
      <c r="E1358" s="161" t="s">
        <v>2048</v>
      </c>
      <c r="F1358" s="161" t="s">
        <v>4181</v>
      </c>
      <c r="G1358" s="171">
        <v>366.823402</v>
      </c>
      <c r="H1358" s="163">
        <f t="shared" si="107"/>
        <v>21.6541</v>
      </c>
      <c r="I1358" s="176">
        <v>1189.2</v>
      </c>
      <c r="J1358" s="176"/>
      <c r="K1358" s="176">
        <f t="shared" si="108"/>
        <v>128219</v>
      </c>
      <c r="L1358" s="163"/>
      <c r="M1358" s="161" t="s">
        <v>4140</v>
      </c>
      <c r="N1358" s="161" t="s">
        <v>1299</v>
      </c>
      <c r="O1358" s="161" t="s">
        <v>25</v>
      </c>
      <c r="P1358" s="49" t="s">
        <v>25</v>
      </c>
      <c r="Q1358" s="166" t="s">
        <v>4184</v>
      </c>
      <c r="R1358" s="151"/>
    </row>
    <row r="1359" spans="1:18">
      <c r="A1359" s="162" t="s">
        <v>47</v>
      </c>
      <c r="B1359" s="101" t="s">
        <v>358</v>
      </c>
      <c r="C1359" s="84" t="s">
        <v>4185</v>
      </c>
      <c r="D1359" s="161" t="s">
        <v>4186</v>
      </c>
      <c r="E1359" s="161" t="s">
        <v>2048</v>
      </c>
      <c r="F1359" s="161" t="s">
        <v>4181</v>
      </c>
      <c r="G1359" s="171">
        <v>384.563202</v>
      </c>
      <c r="H1359" s="163">
        <f t="shared" si="107"/>
        <v>17.7398</v>
      </c>
      <c r="I1359" s="173">
        <v>1298.2</v>
      </c>
      <c r="J1359" s="176"/>
      <c r="K1359" s="176">
        <f t="shared" si="108"/>
        <v>128219</v>
      </c>
      <c r="L1359" s="163"/>
      <c r="M1359" s="161" t="s">
        <v>4140</v>
      </c>
      <c r="N1359" s="161" t="s">
        <v>2239</v>
      </c>
      <c r="O1359" s="161" t="s">
        <v>25</v>
      </c>
      <c r="P1359" s="49" t="s">
        <v>25</v>
      </c>
      <c r="Q1359" s="166" t="s">
        <v>4187</v>
      </c>
      <c r="R1359" s="151"/>
    </row>
    <row r="1360" spans="1:18">
      <c r="A1360" s="162" t="s">
        <v>47</v>
      </c>
      <c r="B1360" s="101" t="s">
        <v>358</v>
      </c>
      <c r="C1360" s="84" t="s">
        <v>4188</v>
      </c>
      <c r="D1360" s="161" t="s">
        <v>1349</v>
      </c>
      <c r="E1360" s="161" t="s">
        <v>2048</v>
      </c>
      <c r="F1360" s="161" t="s">
        <v>4181</v>
      </c>
      <c r="G1360" s="171">
        <v>399.934202</v>
      </c>
      <c r="H1360" s="163">
        <f t="shared" si="107"/>
        <v>15.371</v>
      </c>
      <c r="I1360" s="176">
        <v>1404.1</v>
      </c>
      <c r="J1360" s="176"/>
      <c r="K1360" s="176">
        <f t="shared" si="108"/>
        <v>128219</v>
      </c>
      <c r="L1360" s="163"/>
      <c r="M1360" s="161" t="s">
        <v>4140</v>
      </c>
      <c r="N1360" s="161" t="s">
        <v>1299</v>
      </c>
      <c r="O1360" s="161" t="s">
        <v>25</v>
      </c>
      <c r="P1360" s="49" t="s">
        <v>25</v>
      </c>
      <c r="Q1360" s="166" t="s">
        <v>4189</v>
      </c>
      <c r="R1360" s="151"/>
    </row>
    <row r="1361" spans="1:18">
      <c r="A1361" s="162" t="s">
        <v>47</v>
      </c>
      <c r="B1361" s="101" t="s">
        <v>358</v>
      </c>
      <c r="C1361" s="84" t="s">
        <v>4190</v>
      </c>
      <c r="D1361" s="161" t="s">
        <v>1352</v>
      </c>
      <c r="E1361" s="161" t="s">
        <v>2048</v>
      </c>
      <c r="F1361" s="161" t="s">
        <v>4191</v>
      </c>
      <c r="G1361" s="171">
        <v>422.999702</v>
      </c>
      <c r="H1361" s="163">
        <f t="shared" si="107"/>
        <v>23.0655</v>
      </c>
      <c r="I1361" s="176">
        <v>994.9</v>
      </c>
      <c r="J1361" s="176"/>
      <c r="K1361" s="176">
        <f t="shared" si="108"/>
        <v>128219</v>
      </c>
      <c r="L1361" s="163"/>
      <c r="M1361" s="161" t="s">
        <v>4140</v>
      </c>
      <c r="N1361" s="161" t="s">
        <v>1299</v>
      </c>
      <c r="O1361" s="161" t="s">
        <v>25</v>
      </c>
      <c r="P1361" s="49" t="s">
        <v>25</v>
      </c>
      <c r="Q1361" s="166" t="s">
        <v>4192</v>
      </c>
      <c r="R1361" s="151"/>
    </row>
    <row r="1362" spans="1:18">
      <c r="A1362" s="162" t="s">
        <v>47</v>
      </c>
      <c r="B1362" s="101" t="s">
        <v>358</v>
      </c>
      <c r="C1362" s="84" t="s">
        <v>4193</v>
      </c>
      <c r="D1362" s="161" t="s">
        <v>1354</v>
      </c>
      <c r="E1362" s="161" t="s">
        <v>2048</v>
      </c>
      <c r="F1362" s="161" t="s">
        <v>4191</v>
      </c>
      <c r="G1362" s="171">
        <v>442.176202</v>
      </c>
      <c r="H1362" s="163">
        <f t="shared" si="107"/>
        <v>19.1765</v>
      </c>
      <c r="I1362" s="173">
        <v>886.5</v>
      </c>
      <c r="J1362" s="176"/>
      <c r="K1362" s="176">
        <f t="shared" si="108"/>
        <v>128219</v>
      </c>
      <c r="L1362" s="163"/>
      <c r="M1362" s="161" t="s">
        <v>4140</v>
      </c>
      <c r="N1362" s="161" t="s">
        <v>1299</v>
      </c>
      <c r="O1362" s="161" t="s">
        <v>25</v>
      </c>
      <c r="P1362" s="49" t="s">
        <v>25</v>
      </c>
      <c r="Q1362" s="166" t="s">
        <v>4194</v>
      </c>
      <c r="R1362" s="151"/>
    </row>
    <row r="1363" ht="30" spans="1:18">
      <c r="A1363" s="162" t="s">
        <v>47</v>
      </c>
      <c r="B1363" s="101" t="s">
        <v>358</v>
      </c>
      <c r="C1363" s="84" t="s">
        <v>4195</v>
      </c>
      <c r="D1363" s="161" t="s">
        <v>4196</v>
      </c>
      <c r="E1363" s="161" t="s">
        <v>2048</v>
      </c>
      <c r="F1363" s="161" t="s">
        <v>4191</v>
      </c>
      <c r="G1363" s="171">
        <v>462.169302</v>
      </c>
      <c r="H1363" s="163">
        <f t="shared" si="107"/>
        <v>19.9931</v>
      </c>
      <c r="I1363" s="176">
        <v>987.2</v>
      </c>
      <c r="J1363" s="176">
        <v>88345</v>
      </c>
      <c r="K1363" s="176">
        <f t="shared" si="108"/>
        <v>216564</v>
      </c>
      <c r="L1363" s="163" t="s">
        <v>4197</v>
      </c>
      <c r="M1363" s="161" t="s">
        <v>4140</v>
      </c>
      <c r="N1363" s="161" t="s">
        <v>1295</v>
      </c>
      <c r="O1363" s="161" t="s">
        <v>6</v>
      </c>
      <c r="P1363" s="49" t="s">
        <v>6</v>
      </c>
      <c r="Q1363" s="166" t="s">
        <v>4198</v>
      </c>
      <c r="R1363" s="151"/>
    </row>
    <row r="1364" spans="1:18">
      <c r="A1364" s="162" t="s">
        <v>47</v>
      </c>
      <c r="B1364" s="101" t="s">
        <v>358</v>
      </c>
      <c r="C1364" s="84" t="s">
        <v>4199</v>
      </c>
      <c r="D1364" s="162" t="s">
        <v>4199</v>
      </c>
      <c r="E1364" s="161" t="s">
        <v>2048</v>
      </c>
      <c r="F1364" s="161" t="s">
        <v>4191</v>
      </c>
      <c r="G1364" s="171">
        <v>462.169302</v>
      </c>
      <c r="H1364" s="163">
        <f t="shared" si="107"/>
        <v>0</v>
      </c>
      <c r="I1364" s="176"/>
      <c r="J1364" s="176"/>
      <c r="K1364" s="176"/>
      <c r="L1364" s="163" t="s">
        <v>4200</v>
      </c>
      <c r="M1364" s="161"/>
      <c r="N1364" s="161"/>
      <c r="O1364" s="161" t="s">
        <v>16</v>
      </c>
      <c r="P1364" s="49" t="s">
        <v>16</v>
      </c>
      <c r="Q1364" s="166"/>
      <c r="R1364" s="151"/>
    </row>
    <row r="1365" spans="1:18">
      <c r="A1365" s="162" t="s">
        <v>47</v>
      </c>
      <c r="B1365" s="101" t="s">
        <v>358</v>
      </c>
      <c r="C1365" s="84" t="s">
        <v>4201</v>
      </c>
      <c r="D1365" s="161" t="s">
        <v>1356</v>
      </c>
      <c r="E1365" s="161" t="s">
        <v>2048</v>
      </c>
      <c r="F1365" s="161" t="s">
        <v>4191</v>
      </c>
      <c r="G1365" s="171">
        <v>489.509002</v>
      </c>
      <c r="H1365" s="163">
        <f t="shared" si="107"/>
        <v>27.3397</v>
      </c>
      <c r="I1365" s="173">
        <v>1251.5</v>
      </c>
      <c r="J1365" s="176"/>
      <c r="K1365" s="176">
        <f>J1365+K1363</f>
        <v>216564</v>
      </c>
      <c r="L1365" s="163"/>
      <c r="M1365" s="161" t="s">
        <v>4140</v>
      </c>
      <c r="N1365" s="161" t="s">
        <v>1299</v>
      </c>
      <c r="O1365" s="161" t="s">
        <v>25</v>
      </c>
      <c r="P1365" s="49" t="s">
        <v>25</v>
      </c>
      <c r="Q1365" s="166" t="s">
        <v>4202</v>
      </c>
      <c r="R1365" s="151"/>
    </row>
    <row r="1366" spans="1:18">
      <c r="A1366" s="162" t="s">
        <v>47</v>
      </c>
      <c r="B1366" s="101" t="s">
        <v>358</v>
      </c>
      <c r="C1366" s="84" t="s">
        <v>4203</v>
      </c>
      <c r="D1366" s="161" t="s">
        <v>1358</v>
      </c>
      <c r="E1366" s="161" t="s">
        <v>2048</v>
      </c>
      <c r="F1366" s="161" t="s">
        <v>4204</v>
      </c>
      <c r="G1366" s="171">
        <v>505.792802</v>
      </c>
      <c r="H1366" s="163">
        <f t="shared" si="107"/>
        <v>16.2838</v>
      </c>
      <c r="I1366" s="176">
        <v>1235.1</v>
      </c>
      <c r="J1366" s="176"/>
      <c r="K1366" s="176">
        <f t="shared" ref="K1366:K1375" si="109">J1366+K1365</f>
        <v>216564</v>
      </c>
      <c r="L1366" s="163"/>
      <c r="M1366" s="161" t="s">
        <v>4140</v>
      </c>
      <c r="N1366" s="161" t="s">
        <v>1299</v>
      </c>
      <c r="O1366" s="161" t="s">
        <v>25</v>
      </c>
      <c r="P1366" s="49" t="s">
        <v>25</v>
      </c>
      <c r="Q1366" s="166" t="s">
        <v>4205</v>
      </c>
      <c r="R1366" s="151"/>
    </row>
    <row r="1367" spans="1:18">
      <c r="A1367" s="162" t="s">
        <v>47</v>
      </c>
      <c r="B1367" s="101" t="s">
        <v>358</v>
      </c>
      <c r="C1367" s="84" t="s">
        <v>4206</v>
      </c>
      <c r="D1367" s="161" t="s">
        <v>1361</v>
      </c>
      <c r="E1367" s="161" t="s">
        <v>2048</v>
      </c>
      <c r="F1367" s="161" t="s">
        <v>4204</v>
      </c>
      <c r="G1367" s="171">
        <v>527.779002</v>
      </c>
      <c r="H1367" s="163">
        <f t="shared" si="107"/>
        <v>21.9862</v>
      </c>
      <c r="I1367" s="176">
        <v>1225.4</v>
      </c>
      <c r="J1367" s="176"/>
      <c r="K1367" s="176">
        <f t="shared" si="109"/>
        <v>216564</v>
      </c>
      <c r="L1367" s="163"/>
      <c r="M1367" s="161" t="s">
        <v>4140</v>
      </c>
      <c r="N1367" s="161" t="s">
        <v>1299</v>
      </c>
      <c r="O1367" s="161" t="s">
        <v>25</v>
      </c>
      <c r="P1367" s="49" t="s">
        <v>25</v>
      </c>
      <c r="Q1367" s="166" t="s">
        <v>4207</v>
      </c>
      <c r="R1367" s="151"/>
    </row>
    <row r="1368" spans="1:18">
      <c r="A1368" s="162" t="s">
        <v>47</v>
      </c>
      <c r="B1368" s="101" t="s">
        <v>358</v>
      </c>
      <c r="C1368" s="84" t="s">
        <v>4208</v>
      </c>
      <c r="D1368" s="161" t="s">
        <v>4208</v>
      </c>
      <c r="E1368" s="161" t="s">
        <v>2048</v>
      </c>
      <c r="F1368" s="161" t="s">
        <v>4204</v>
      </c>
      <c r="G1368" s="171">
        <v>536.169302</v>
      </c>
      <c r="H1368" s="163">
        <f t="shared" si="107"/>
        <v>8.39030000000002</v>
      </c>
      <c r="I1368" s="173">
        <v>1078.3</v>
      </c>
      <c r="J1368" s="176">
        <v>55943</v>
      </c>
      <c r="K1368" s="176">
        <f t="shared" si="109"/>
        <v>272507</v>
      </c>
      <c r="L1368" s="163"/>
      <c r="M1368" s="161" t="s">
        <v>4140</v>
      </c>
      <c r="N1368" s="161" t="s">
        <v>1331</v>
      </c>
      <c r="O1368" s="161" t="s">
        <v>14</v>
      </c>
      <c r="P1368" s="49" t="s">
        <v>14</v>
      </c>
      <c r="Q1368" s="166" t="s">
        <v>4209</v>
      </c>
      <c r="R1368" s="151"/>
    </row>
    <row r="1369" spans="1:18">
      <c r="A1369" s="162" t="s">
        <v>47</v>
      </c>
      <c r="B1369" s="101" t="s">
        <v>358</v>
      </c>
      <c r="C1369" s="84" t="s">
        <v>4210</v>
      </c>
      <c r="D1369" s="161" t="s">
        <v>4211</v>
      </c>
      <c r="E1369" s="161" t="s">
        <v>2048</v>
      </c>
      <c r="F1369" s="161" t="s">
        <v>4204</v>
      </c>
      <c r="G1369" s="171">
        <v>556.792502</v>
      </c>
      <c r="H1369" s="163">
        <f t="shared" si="107"/>
        <v>20.6232</v>
      </c>
      <c r="I1369" s="176">
        <v>950.1</v>
      </c>
      <c r="J1369" s="176"/>
      <c r="K1369" s="176">
        <f t="shared" si="109"/>
        <v>272507</v>
      </c>
      <c r="L1369" s="163"/>
      <c r="M1369" s="161" t="s">
        <v>4140</v>
      </c>
      <c r="N1369" s="161" t="s">
        <v>2239</v>
      </c>
      <c r="O1369" s="161" t="s">
        <v>25</v>
      </c>
      <c r="P1369" s="49" t="s">
        <v>25</v>
      </c>
      <c r="Q1369" s="166" t="s">
        <v>4212</v>
      </c>
      <c r="R1369" s="151"/>
    </row>
    <row r="1370" spans="1:18">
      <c r="A1370" s="162" t="s">
        <v>47</v>
      </c>
      <c r="B1370" s="101" t="s">
        <v>358</v>
      </c>
      <c r="C1370" s="84" t="s">
        <v>4213</v>
      </c>
      <c r="D1370" s="161" t="s">
        <v>1365</v>
      </c>
      <c r="E1370" s="161" t="s">
        <v>2048</v>
      </c>
      <c r="F1370" s="161" t="s">
        <v>4204</v>
      </c>
      <c r="G1370" s="171">
        <v>576.295202</v>
      </c>
      <c r="H1370" s="163">
        <f t="shared" si="107"/>
        <v>19.5027</v>
      </c>
      <c r="I1370" s="173">
        <v>1057.2</v>
      </c>
      <c r="J1370" s="176"/>
      <c r="K1370" s="176">
        <f t="shared" si="109"/>
        <v>272507</v>
      </c>
      <c r="L1370" s="163"/>
      <c r="M1370" s="161" t="s">
        <v>4140</v>
      </c>
      <c r="N1370" s="161" t="s">
        <v>1299</v>
      </c>
      <c r="O1370" s="161" t="s">
        <v>25</v>
      </c>
      <c r="P1370" s="49" t="s">
        <v>25</v>
      </c>
      <c r="Q1370" s="166" t="s">
        <v>4214</v>
      </c>
      <c r="R1370" s="151"/>
    </row>
    <row r="1371" spans="1:18">
      <c r="A1371" s="162" t="s">
        <v>47</v>
      </c>
      <c r="B1371" s="101" t="s">
        <v>358</v>
      </c>
      <c r="C1371" s="84" t="s">
        <v>4215</v>
      </c>
      <c r="D1371" s="161" t="s">
        <v>1367</v>
      </c>
      <c r="E1371" s="161" t="s">
        <v>2048</v>
      </c>
      <c r="F1371" s="161" t="s">
        <v>4204</v>
      </c>
      <c r="G1371" s="171">
        <v>577.295202</v>
      </c>
      <c r="H1371" s="163">
        <f t="shared" si="107"/>
        <v>1</v>
      </c>
      <c r="I1371" s="173">
        <v>1058.2</v>
      </c>
      <c r="J1371" s="176"/>
      <c r="K1371" s="176">
        <f t="shared" si="109"/>
        <v>272507</v>
      </c>
      <c r="L1371" s="163"/>
      <c r="M1371" s="161" t="s">
        <v>4140</v>
      </c>
      <c r="N1371" s="161" t="s">
        <v>1299</v>
      </c>
      <c r="O1371" s="161" t="s">
        <v>25</v>
      </c>
      <c r="P1371" s="49" t="s">
        <v>25</v>
      </c>
      <c r="Q1371" s="166" t="s">
        <v>4216</v>
      </c>
      <c r="R1371" s="151"/>
    </row>
    <row r="1372" spans="1:18">
      <c r="A1372" s="162" t="s">
        <v>47</v>
      </c>
      <c r="B1372" s="101" t="s">
        <v>358</v>
      </c>
      <c r="C1372" s="84" t="s">
        <v>4217</v>
      </c>
      <c r="D1372" s="161" t="s">
        <v>1370</v>
      </c>
      <c r="E1372" s="161" t="s">
        <v>2048</v>
      </c>
      <c r="F1372" s="161" t="s">
        <v>4204</v>
      </c>
      <c r="G1372" s="171">
        <v>578.295202</v>
      </c>
      <c r="H1372" s="163">
        <f t="shared" si="107"/>
        <v>1</v>
      </c>
      <c r="I1372" s="173">
        <v>1059.2</v>
      </c>
      <c r="J1372" s="176"/>
      <c r="K1372" s="176">
        <f t="shared" si="109"/>
        <v>272507</v>
      </c>
      <c r="L1372" s="163"/>
      <c r="M1372" s="161" t="s">
        <v>4140</v>
      </c>
      <c r="N1372" s="161" t="s">
        <v>1299</v>
      </c>
      <c r="O1372" s="161" t="s">
        <v>25</v>
      </c>
      <c r="P1372" s="49" t="s">
        <v>25</v>
      </c>
      <c r="Q1372" s="166" t="s">
        <v>4218</v>
      </c>
      <c r="R1372" s="151"/>
    </row>
    <row r="1373" spans="1:18">
      <c r="A1373" s="162" t="s">
        <v>47</v>
      </c>
      <c r="B1373" s="101" t="s">
        <v>358</v>
      </c>
      <c r="C1373" s="84" t="s">
        <v>4219</v>
      </c>
      <c r="D1373" s="161" t="s">
        <v>3343</v>
      </c>
      <c r="E1373" s="161" t="s">
        <v>2048</v>
      </c>
      <c r="F1373" s="161" t="s">
        <v>4204</v>
      </c>
      <c r="G1373" s="171">
        <v>579.295202</v>
      </c>
      <c r="H1373" s="163">
        <f t="shared" si="107"/>
        <v>1</v>
      </c>
      <c r="I1373" s="173">
        <v>1060.2</v>
      </c>
      <c r="J1373" s="176"/>
      <c r="K1373" s="176">
        <f t="shared" si="109"/>
        <v>272507</v>
      </c>
      <c r="L1373" s="163"/>
      <c r="M1373" s="161" t="s">
        <v>4140</v>
      </c>
      <c r="N1373" s="161" t="s">
        <v>1299</v>
      </c>
      <c r="O1373" s="161" t="s">
        <v>25</v>
      </c>
      <c r="P1373" s="49" t="s">
        <v>25</v>
      </c>
      <c r="Q1373" s="166" t="s">
        <v>4220</v>
      </c>
      <c r="R1373" s="151"/>
    </row>
    <row r="1374" spans="1:18">
      <c r="A1374" s="162" t="s">
        <v>47</v>
      </c>
      <c r="B1374" s="101" t="s">
        <v>358</v>
      </c>
      <c r="C1374" s="84" t="s">
        <v>4221</v>
      </c>
      <c r="D1374" s="161" t="s">
        <v>1374</v>
      </c>
      <c r="E1374" s="161" t="s">
        <v>2048</v>
      </c>
      <c r="F1374" s="161" t="s">
        <v>4204</v>
      </c>
      <c r="G1374" s="171">
        <v>580.295202</v>
      </c>
      <c r="H1374" s="163">
        <f t="shared" si="107"/>
        <v>1</v>
      </c>
      <c r="I1374" s="173">
        <v>1061.2</v>
      </c>
      <c r="J1374" s="176"/>
      <c r="K1374" s="176">
        <f t="shared" si="109"/>
        <v>272507</v>
      </c>
      <c r="L1374" s="163"/>
      <c r="M1374" s="161" t="s">
        <v>4140</v>
      </c>
      <c r="N1374" s="161" t="s">
        <v>1299</v>
      </c>
      <c r="O1374" s="161" t="s">
        <v>25</v>
      </c>
      <c r="P1374" s="49" t="s">
        <v>25</v>
      </c>
      <c r="Q1374" s="166" t="s">
        <v>4222</v>
      </c>
      <c r="R1374" s="151"/>
    </row>
    <row r="1375" spans="1:18">
      <c r="A1375" s="162" t="s">
        <v>47</v>
      </c>
      <c r="B1375" s="101" t="s">
        <v>358</v>
      </c>
      <c r="C1375" s="84" t="s">
        <v>763</v>
      </c>
      <c r="D1375" s="161" t="s">
        <v>763</v>
      </c>
      <c r="E1375" s="161" t="s">
        <v>2048</v>
      </c>
      <c r="F1375" s="161" t="s">
        <v>2049</v>
      </c>
      <c r="G1375" s="171">
        <v>631.169402</v>
      </c>
      <c r="H1375" s="163">
        <f t="shared" ref="H1374:H1398" si="110">G1375-G1374</f>
        <v>50.8742</v>
      </c>
      <c r="I1375" s="173">
        <v>88</v>
      </c>
      <c r="J1375" s="176">
        <v>70707</v>
      </c>
      <c r="K1375" s="176">
        <f t="shared" si="109"/>
        <v>343214</v>
      </c>
      <c r="L1375" s="163"/>
      <c r="M1375" s="161" t="s">
        <v>4140</v>
      </c>
      <c r="N1375" s="161" t="s">
        <v>1331</v>
      </c>
      <c r="O1375" s="161" t="s">
        <v>14</v>
      </c>
      <c r="P1375" s="49" t="s">
        <v>14</v>
      </c>
      <c r="Q1375" s="166" t="s">
        <v>4223</v>
      </c>
      <c r="R1375" s="151"/>
    </row>
    <row r="1376" spans="1:18">
      <c r="A1376" s="162" t="s">
        <v>47</v>
      </c>
      <c r="B1376" s="101" t="s">
        <v>358</v>
      </c>
      <c r="C1376" s="84" t="s">
        <v>4224</v>
      </c>
      <c r="D1376" s="49" t="s">
        <v>4224</v>
      </c>
      <c r="E1376" s="161" t="s">
        <v>2048</v>
      </c>
      <c r="F1376" s="161" t="s">
        <v>2049</v>
      </c>
      <c r="G1376" s="171">
        <v>631.169402</v>
      </c>
      <c r="H1376" s="163">
        <f t="shared" si="110"/>
        <v>0</v>
      </c>
      <c r="I1376" s="176" t="s">
        <v>147</v>
      </c>
      <c r="J1376" s="176"/>
      <c r="K1376" s="176" t="s">
        <v>147</v>
      </c>
      <c r="L1376" s="163" t="s">
        <v>4225</v>
      </c>
      <c r="M1376" s="161"/>
      <c r="N1376" s="161"/>
      <c r="O1376" s="161" t="s">
        <v>16</v>
      </c>
      <c r="P1376" s="49" t="s">
        <v>16</v>
      </c>
      <c r="Q1376" s="166"/>
      <c r="R1376" s="151"/>
    </row>
    <row r="1377" spans="1:18">
      <c r="A1377" s="162" t="s">
        <v>47</v>
      </c>
      <c r="B1377" s="101" t="s">
        <v>358</v>
      </c>
      <c r="C1377" s="84" t="s">
        <v>4226</v>
      </c>
      <c r="D1377" s="49" t="s">
        <v>4226</v>
      </c>
      <c r="E1377" s="161" t="s">
        <v>2048</v>
      </c>
      <c r="F1377" s="161" t="s">
        <v>2049</v>
      </c>
      <c r="G1377" s="171">
        <v>631.169402</v>
      </c>
      <c r="H1377" s="163">
        <f t="shared" si="110"/>
        <v>0</v>
      </c>
      <c r="I1377" s="176" t="s">
        <v>147</v>
      </c>
      <c r="J1377" s="176"/>
      <c r="K1377" s="176" t="s">
        <v>147</v>
      </c>
      <c r="L1377" s="163" t="s">
        <v>4225</v>
      </c>
      <c r="M1377" s="161"/>
      <c r="N1377" s="161"/>
      <c r="O1377" s="161" t="s">
        <v>16</v>
      </c>
      <c r="P1377" s="49" t="s">
        <v>16</v>
      </c>
      <c r="Q1377" s="166"/>
      <c r="R1377" s="151"/>
    </row>
    <row r="1378" spans="1:18">
      <c r="A1378" s="162" t="s">
        <v>47</v>
      </c>
      <c r="B1378" s="101" t="s">
        <v>358</v>
      </c>
      <c r="C1378" s="84" t="s">
        <v>4227</v>
      </c>
      <c r="D1378" s="161" t="s">
        <v>4228</v>
      </c>
      <c r="E1378" s="161" t="s">
        <v>2048</v>
      </c>
      <c r="F1378" s="161" t="s">
        <v>2049</v>
      </c>
      <c r="G1378" s="171">
        <v>654.152802</v>
      </c>
      <c r="H1378" s="163">
        <f t="shared" si="110"/>
        <v>22.9834</v>
      </c>
      <c r="I1378" s="176">
        <v>78</v>
      </c>
      <c r="J1378" s="176"/>
      <c r="K1378" s="176">
        <f>J1378+K1375</f>
        <v>343214</v>
      </c>
      <c r="L1378" s="163"/>
      <c r="M1378" s="161" t="s">
        <v>4140</v>
      </c>
      <c r="N1378" s="161" t="s">
        <v>1901</v>
      </c>
      <c r="O1378" s="161" t="s">
        <v>25</v>
      </c>
      <c r="P1378" s="49" t="s">
        <v>25</v>
      </c>
      <c r="Q1378" s="166" t="s">
        <v>4229</v>
      </c>
      <c r="R1378" s="151"/>
    </row>
    <row r="1379" spans="1:18">
      <c r="A1379" s="162" t="s">
        <v>47</v>
      </c>
      <c r="B1379" s="101" t="s">
        <v>358</v>
      </c>
      <c r="C1379" s="84" t="s">
        <v>4230</v>
      </c>
      <c r="D1379" s="161" t="s">
        <v>4230</v>
      </c>
      <c r="E1379" s="161" t="s">
        <v>2048</v>
      </c>
      <c r="F1379" s="161" t="s">
        <v>2049</v>
      </c>
      <c r="G1379" s="171">
        <v>660.169402</v>
      </c>
      <c r="H1379" s="163">
        <f t="shared" si="110"/>
        <v>6.01660000000004</v>
      </c>
      <c r="I1379" s="176">
        <v>73</v>
      </c>
      <c r="J1379" s="176">
        <v>21364</v>
      </c>
      <c r="K1379" s="176">
        <f>J1379+K1378</f>
        <v>364578</v>
      </c>
      <c r="L1379" s="163"/>
      <c r="M1379" s="161" t="s">
        <v>4140</v>
      </c>
      <c r="N1379" s="161" t="s">
        <v>1331</v>
      </c>
      <c r="O1379" s="161" t="s">
        <v>14</v>
      </c>
      <c r="P1379" s="49" t="s">
        <v>14</v>
      </c>
      <c r="Q1379" s="166" t="s">
        <v>4231</v>
      </c>
      <c r="R1379" s="151"/>
    </row>
    <row r="1380" ht="30" spans="1:18">
      <c r="A1380" s="162" t="s">
        <v>47</v>
      </c>
      <c r="B1380" s="101" t="s">
        <v>358</v>
      </c>
      <c r="C1380" s="84" t="s">
        <v>4232</v>
      </c>
      <c r="D1380" s="161" t="s">
        <v>4233</v>
      </c>
      <c r="E1380" s="161" t="s">
        <v>2048</v>
      </c>
      <c r="F1380" s="161" t="s">
        <v>2049</v>
      </c>
      <c r="G1380" s="171">
        <v>667.169402</v>
      </c>
      <c r="H1380" s="163">
        <f t="shared" si="110"/>
        <v>7</v>
      </c>
      <c r="I1380" s="173">
        <v>60.7</v>
      </c>
      <c r="J1380" s="176">
        <v>4897</v>
      </c>
      <c r="K1380" s="176">
        <f>J1380+K1379</f>
        <v>369475</v>
      </c>
      <c r="L1380" s="174" t="s">
        <v>4197</v>
      </c>
      <c r="M1380" s="161" t="s">
        <v>4140</v>
      </c>
      <c r="N1380" s="161" t="s">
        <v>1295</v>
      </c>
      <c r="O1380" s="161" t="s">
        <v>6</v>
      </c>
      <c r="P1380" s="49" t="s">
        <v>6</v>
      </c>
      <c r="Q1380" s="166" t="s">
        <v>4234</v>
      </c>
      <c r="R1380" s="151"/>
    </row>
    <row r="1381" ht="30" spans="1:18">
      <c r="A1381" s="162" t="s">
        <v>47</v>
      </c>
      <c r="B1381" s="101" t="s">
        <v>358</v>
      </c>
      <c r="C1381" s="84" t="s">
        <v>4235</v>
      </c>
      <c r="D1381" s="161" t="s">
        <v>4235</v>
      </c>
      <c r="E1381" s="161" t="s">
        <v>2048</v>
      </c>
      <c r="F1381" s="161" t="s">
        <v>2049</v>
      </c>
      <c r="G1381" s="171">
        <v>667.169402</v>
      </c>
      <c r="H1381" s="163">
        <f t="shared" si="110"/>
        <v>0</v>
      </c>
      <c r="I1381" s="176" t="s">
        <v>147</v>
      </c>
      <c r="J1381" s="176"/>
      <c r="K1381" s="176" t="s">
        <v>147</v>
      </c>
      <c r="L1381" s="174" t="s">
        <v>4236</v>
      </c>
      <c r="M1381" s="161"/>
      <c r="N1381" s="161"/>
      <c r="O1381" s="161" t="s">
        <v>16</v>
      </c>
      <c r="P1381" s="49" t="s">
        <v>16</v>
      </c>
      <c r="Q1381" s="166"/>
      <c r="R1381" s="151"/>
    </row>
    <row r="1382" ht="30" spans="1:18">
      <c r="A1382" s="162" t="s">
        <v>47</v>
      </c>
      <c r="B1382" s="101" t="s">
        <v>358</v>
      </c>
      <c r="C1382" s="84" t="s">
        <v>4237</v>
      </c>
      <c r="D1382" s="161" t="s">
        <v>4237</v>
      </c>
      <c r="E1382" s="161" t="s">
        <v>2048</v>
      </c>
      <c r="F1382" s="161" t="s">
        <v>2049</v>
      </c>
      <c r="G1382" s="171">
        <v>667.169402</v>
      </c>
      <c r="H1382" s="163">
        <f t="shared" si="110"/>
        <v>0</v>
      </c>
      <c r="I1382" s="176" t="s">
        <v>147</v>
      </c>
      <c r="J1382" s="176"/>
      <c r="K1382" s="176" t="s">
        <v>147</v>
      </c>
      <c r="L1382" s="174" t="s">
        <v>4236</v>
      </c>
      <c r="M1382" s="161"/>
      <c r="N1382" s="161"/>
      <c r="O1382" s="161" t="s">
        <v>16</v>
      </c>
      <c r="P1382" s="49" t="s">
        <v>16</v>
      </c>
      <c r="Q1382" s="166"/>
      <c r="R1382" s="151"/>
    </row>
    <row r="1383" spans="1:18">
      <c r="A1383" s="162" t="s">
        <v>47</v>
      </c>
      <c r="B1383" s="101" t="s">
        <v>358</v>
      </c>
      <c r="C1383" s="84" t="s">
        <v>4238</v>
      </c>
      <c r="D1383" s="161" t="s">
        <v>1380</v>
      </c>
      <c r="E1383" s="161" t="s">
        <v>2048</v>
      </c>
      <c r="F1383" s="161" t="s">
        <v>2049</v>
      </c>
      <c r="G1383" s="171">
        <v>688.123702</v>
      </c>
      <c r="H1383" s="163">
        <f t="shared" si="110"/>
        <v>20.9543</v>
      </c>
      <c r="I1383" s="176">
        <v>46.66</v>
      </c>
      <c r="J1383" s="176"/>
      <c r="K1383" s="176">
        <f>J1383+K1380</f>
        <v>369475</v>
      </c>
      <c r="L1383" s="163"/>
      <c r="M1383" s="161" t="s">
        <v>4140</v>
      </c>
      <c r="N1383" s="161" t="s">
        <v>1299</v>
      </c>
      <c r="O1383" s="161" t="s">
        <v>25</v>
      </c>
      <c r="P1383" s="49" t="s">
        <v>25</v>
      </c>
      <c r="Q1383" s="166" t="s">
        <v>4239</v>
      </c>
      <c r="R1383" s="151"/>
    </row>
    <row r="1384" spans="1:18">
      <c r="A1384" s="162" t="s">
        <v>47</v>
      </c>
      <c r="B1384" s="101" t="s">
        <v>358</v>
      </c>
      <c r="C1384" s="84" t="s">
        <v>4240</v>
      </c>
      <c r="D1384" s="161" t="s">
        <v>1389</v>
      </c>
      <c r="E1384" s="161" t="s">
        <v>2048</v>
      </c>
      <c r="F1384" s="161" t="s">
        <v>4241</v>
      </c>
      <c r="G1384" s="171">
        <v>704.985002</v>
      </c>
      <c r="H1384" s="163">
        <f t="shared" si="110"/>
        <v>16.8613</v>
      </c>
      <c r="I1384" s="173">
        <v>38</v>
      </c>
      <c r="J1384" s="176"/>
      <c r="K1384" s="176">
        <f t="shared" ref="K1384:K1389" si="111">J1384+K1383</f>
        <v>369475</v>
      </c>
      <c r="L1384" s="163"/>
      <c r="M1384" s="161" t="s">
        <v>4140</v>
      </c>
      <c r="N1384" s="161" t="s">
        <v>1299</v>
      </c>
      <c r="O1384" s="161" t="s">
        <v>25</v>
      </c>
      <c r="P1384" s="49" t="s">
        <v>25</v>
      </c>
      <c r="Q1384" s="166" t="s">
        <v>4242</v>
      </c>
      <c r="R1384" s="151"/>
    </row>
    <row r="1385" spans="1:18">
      <c r="A1385" s="162" t="s">
        <v>47</v>
      </c>
      <c r="B1385" s="101" t="s">
        <v>358</v>
      </c>
      <c r="C1385" s="84" t="s">
        <v>4243</v>
      </c>
      <c r="D1385" s="161" t="s">
        <v>1391</v>
      </c>
      <c r="E1385" s="161" t="s">
        <v>2048</v>
      </c>
      <c r="F1385" s="161" t="s">
        <v>4241</v>
      </c>
      <c r="G1385" s="171">
        <v>721.354502</v>
      </c>
      <c r="H1385" s="163">
        <f t="shared" si="110"/>
        <v>16.3695</v>
      </c>
      <c r="I1385" s="176">
        <v>33</v>
      </c>
      <c r="J1385" s="176"/>
      <c r="K1385" s="176">
        <f t="shared" si="111"/>
        <v>369475</v>
      </c>
      <c r="L1385" s="163"/>
      <c r="M1385" s="161" t="s">
        <v>4140</v>
      </c>
      <c r="N1385" s="161" t="s">
        <v>1299</v>
      </c>
      <c r="O1385" s="161" t="s">
        <v>25</v>
      </c>
      <c r="P1385" s="49" t="s">
        <v>25</v>
      </c>
      <c r="Q1385" s="166" t="s">
        <v>4244</v>
      </c>
      <c r="R1385" s="151"/>
    </row>
    <row r="1386" ht="30" spans="1:18">
      <c r="A1386" s="162" t="s">
        <v>47</v>
      </c>
      <c r="B1386" s="101" t="s">
        <v>358</v>
      </c>
      <c r="C1386" s="135" t="s">
        <v>163</v>
      </c>
      <c r="D1386" s="161" t="s">
        <v>163</v>
      </c>
      <c r="E1386" s="161" t="s">
        <v>2048</v>
      </c>
      <c r="F1386" s="161" t="s">
        <v>4241</v>
      </c>
      <c r="G1386" s="171">
        <v>732.169402</v>
      </c>
      <c r="H1386" s="163">
        <f t="shared" si="110"/>
        <v>10.8149</v>
      </c>
      <c r="I1386" s="176">
        <v>29.5</v>
      </c>
      <c r="J1386" s="176">
        <v>48456</v>
      </c>
      <c r="K1386" s="176">
        <f t="shared" si="111"/>
        <v>417931</v>
      </c>
      <c r="L1386" s="163" t="s">
        <v>4197</v>
      </c>
      <c r="M1386" s="161" t="s">
        <v>1913</v>
      </c>
      <c r="N1386" s="161" t="s">
        <v>1295</v>
      </c>
      <c r="O1386" s="161"/>
      <c r="P1386" s="49"/>
      <c r="Q1386" s="166" t="s">
        <v>2051</v>
      </c>
      <c r="R1386" s="151"/>
    </row>
    <row r="1387" spans="1:18">
      <c r="A1387" s="162" t="s">
        <v>47</v>
      </c>
      <c r="B1387" s="101" t="s">
        <v>358</v>
      </c>
      <c r="C1387" s="84" t="s">
        <v>4245</v>
      </c>
      <c r="D1387" s="161" t="s">
        <v>1394</v>
      </c>
      <c r="E1387" s="161" t="s">
        <v>2048</v>
      </c>
      <c r="F1387" s="161" t="s">
        <v>4241</v>
      </c>
      <c r="G1387" s="171">
        <v>753.539802</v>
      </c>
      <c r="H1387" s="163">
        <f t="shared" si="110"/>
        <v>21.3704</v>
      </c>
      <c r="I1387" s="173">
        <v>32</v>
      </c>
      <c r="J1387" s="176"/>
      <c r="K1387" s="176">
        <f t="shared" si="111"/>
        <v>417931</v>
      </c>
      <c r="L1387" s="163"/>
      <c r="M1387" s="161" t="s">
        <v>4140</v>
      </c>
      <c r="N1387" s="161" t="s">
        <v>1299</v>
      </c>
      <c r="O1387" s="161" t="s">
        <v>25</v>
      </c>
      <c r="P1387" s="49" t="s">
        <v>25</v>
      </c>
      <c r="Q1387" s="166" t="s">
        <v>4246</v>
      </c>
      <c r="R1387" s="151"/>
    </row>
    <row r="1388" spans="1:18">
      <c r="A1388" s="162" t="s">
        <v>47</v>
      </c>
      <c r="B1388" s="101" t="s">
        <v>358</v>
      </c>
      <c r="C1388" s="84" t="s">
        <v>4247</v>
      </c>
      <c r="D1388" s="161" t="s">
        <v>1396</v>
      </c>
      <c r="E1388" s="161" t="s">
        <v>2048</v>
      </c>
      <c r="F1388" s="161" t="s">
        <v>4241</v>
      </c>
      <c r="G1388" s="171">
        <v>770.298702</v>
      </c>
      <c r="H1388" s="163">
        <f t="shared" si="110"/>
        <v>16.7589</v>
      </c>
      <c r="I1388" s="176">
        <v>13</v>
      </c>
      <c r="J1388" s="176"/>
      <c r="K1388" s="176">
        <f t="shared" si="111"/>
        <v>417931</v>
      </c>
      <c r="L1388" s="163"/>
      <c r="M1388" s="161" t="s">
        <v>4140</v>
      </c>
      <c r="N1388" s="161" t="s">
        <v>1299</v>
      </c>
      <c r="O1388" s="161" t="s">
        <v>25</v>
      </c>
      <c r="P1388" s="49" t="s">
        <v>25</v>
      </c>
      <c r="Q1388" s="166" t="s">
        <v>4248</v>
      </c>
      <c r="R1388" s="151"/>
    </row>
    <row r="1389" spans="1:18">
      <c r="A1389" s="162" t="s">
        <v>47</v>
      </c>
      <c r="B1389" s="101" t="s">
        <v>358</v>
      </c>
      <c r="C1389" s="84" t="s">
        <v>4249</v>
      </c>
      <c r="D1389" s="161" t="s">
        <v>1402</v>
      </c>
      <c r="E1389" s="161" t="s">
        <v>2048</v>
      </c>
      <c r="F1389" s="161" t="s">
        <v>4241</v>
      </c>
      <c r="G1389" s="171">
        <v>786.661502</v>
      </c>
      <c r="H1389" s="163">
        <f t="shared" si="110"/>
        <v>16.3628</v>
      </c>
      <c r="I1389" s="173">
        <v>28.62</v>
      </c>
      <c r="J1389" s="176">
        <v>55492</v>
      </c>
      <c r="K1389" s="176">
        <f t="shared" si="111"/>
        <v>473423</v>
      </c>
      <c r="L1389" s="163"/>
      <c r="M1389" s="161" t="s">
        <v>4140</v>
      </c>
      <c r="N1389" s="161" t="s">
        <v>1299</v>
      </c>
      <c r="O1389" s="161" t="s">
        <v>25</v>
      </c>
      <c r="P1389" s="49" t="s">
        <v>25</v>
      </c>
      <c r="Q1389" s="166" t="s">
        <v>4250</v>
      </c>
      <c r="R1389" s="151"/>
    </row>
    <row r="1390" spans="1:18">
      <c r="A1390" s="162" t="s">
        <v>47</v>
      </c>
      <c r="B1390" s="101" t="s">
        <v>358</v>
      </c>
      <c r="C1390" s="84" t="s">
        <v>4251</v>
      </c>
      <c r="D1390" s="161" t="s">
        <v>1405</v>
      </c>
      <c r="E1390" s="161" t="s">
        <v>2048</v>
      </c>
      <c r="F1390" s="161" t="s">
        <v>4241</v>
      </c>
      <c r="G1390" s="171">
        <v>805.169402</v>
      </c>
      <c r="H1390" s="163">
        <f t="shared" si="110"/>
        <v>18.5078999999999</v>
      </c>
      <c r="I1390" s="176">
        <v>7.29</v>
      </c>
      <c r="J1390" s="176"/>
      <c r="K1390" s="176">
        <f>J1390+K1388</f>
        <v>417931</v>
      </c>
      <c r="L1390" s="163"/>
      <c r="M1390" s="161" t="s">
        <v>4140</v>
      </c>
      <c r="N1390" s="161" t="s">
        <v>1299</v>
      </c>
      <c r="O1390" s="161" t="s">
        <v>25</v>
      </c>
      <c r="P1390" s="49" t="s">
        <v>25</v>
      </c>
      <c r="Q1390" s="166"/>
      <c r="R1390" s="151"/>
    </row>
    <row r="1391" spans="1:18">
      <c r="A1391" s="162" t="s">
        <v>47</v>
      </c>
      <c r="B1391" s="101" t="s">
        <v>358</v>
      </c>
      <c r="C1391" s="84" t="s">
        <v>4252</v>
      </c>
      <c r="D1391" s="161" t="s">
        <v>1409</v>
      </c>
      <c r="E1391" s="161" t="s">
        <v>2048</v>
      </c>
      <c r="F1391" s="161" t="s">
        <v>4241</v>
      </c>
      <c r="G1391" s="171">
        <v>825.865402</v>
      </c>
      <c r="H1391" s="163">
        <f t="shared" si="110"/>
        <v>20.696</v>
      </c>
      <c r="I1391" s="176">
        <v>10</v>
      </c>
      <c r="J1391" s="176"/>
      <c r="K1391" s="176">
        <f>K1390+J1391</f>
        <v>417931</v>
      </c>
      <c r="L1391" s="163"/>
      <c r="M1391" s="161" t="s">
        <v>4140</v>
      </c>
      <c r="N1391" s="161" t="s">
        <v>1299</v>
      </c>
      <c r="O1391" s="161" t="s">
        <v>25</v>
      </c>
      <c r="P1391" s="49" t="s">
        <v>25</v>
      </c>
      <c r="Q1391" s="166" t="s">
        <v>4253</v>
      </c>
      <c r="R1391" s="151"/>
    </row>
    <row r="1392" spans="1:18">
      <c r="A1392" s="162" t="s">
        <v>47</v>
      </c>
      <c r="B1392" s="101" t="s">
        <v>358</v>
      </c>
      <c r="C1392" s="84" t="s">
        <v>4254</v>
      </c>
      <c r="D1392" s="161" t="s">
        <v>1412</v>
      </c>
      <c r="E1392" s="161" t="s">
        <v>2048</v>
      </c>
      <c r="F1392" s="161" t="s">
        <v>4255</v>
      </c>
      <c r="G1392" s="171">
        <v>847.169402</v>
      </c>
      <c r="H1392" s="163">
        <f t="shared" si="110"/>
        <v>21.304</v>
      </c>
      <c r="I1392" s="173">
        <v>6.32</v>
      </c>
      <c r="J1392" s="176"/>
      <c r="K1392" s="176">
        <f>J1392+K1391</f>
        <v>417931</v>
      </c>
      <c r="L1392" s="163"/>
      <c r="M1392" s="161" t="s">
        <v>4140</v>
      </c>
      <c r="N1392" s="161" t="s">
        <v>1299</v>
      </c>
      <c r="O1392" s="161" t="s">
        <v>25</v>
      </c>
      <c r="P1392" s="49" t="s">
        <v>25</v>
      </c>
      <c r="Q1392" s="166"/>
      <c r="R1392" s="151"/>
    </row>
    <row r="1393" spans="1:18">
      <c r="A1393" s="162" t="s">
        <v>47</v>
      </c>
      <c r="B1393" s="101" t="s">
        <v>358</v>
      </c>
      <c r="C1393" s="84" t="s">
        <v>4256</v>
      </c>
      <c r="D1393" s="161" t="s">
        <v>4256</v>
      </c>
      <c r="E1393" s="161" t="s">
        <v>2048</v>
      </c>
      <c r="F1393" s="161" t="s">
        <v>4255</v>
      </c>
      <c r="G1393" s="171">
        <v>851.181677</v>
      </c>
      <c r="H1393" s="163">
        <f t="shared" si="110"/>
        <v>4.01227500000005</v>
      </c>
      <c r="I1393" s="163" t="s">
        <v>147</v>
      </c>
      <c r="J1393" s="176">
        <v>31649</v>
      </c>
      <c r="K1393" s="176" t="s">
        <v>147</v>
      </c>
      <c r="L1393" s="174" t="s">
        <v>4257</v>
      </c>
      <c r="M1393" s="161" t="s">
        <v>4140</v>
      </c>
      <c r="N1393" s="161" t="s">
        <v>1331</v>
      </c>
      <c r="O1393" s="161" t="s">
        <v>16</v>
      </c>
      <c r="P1393" s="49" t="s">
        <v>16</v>
      </c>
      <c r="Q1393" s="166" t="s">
        <v>4258</v>
      </c>
      <c r="R1393" s="151"/>
    </row>
    <row r="1394" spans="1:18">
      <c r="A1394" s="162" t="s">
        <v>47</v>
      </c>
      <c r="B1394" s="101" t="s">
        <v>358</v>
      </c>
      <c r="C1394" s="84" t="s">
        <v>4259</v>
      </c>
      <c r="D1394" s="161" t="s">
        <v>4259</v>
      </c>
      <c r="E1394" s="161" t="s">
        <v>2048</v>
      </c>
      <c r="F1394" s="161" t="s">
        <v>4255</v>
      </c>
      <c r="G1394" s="171">
        <v>862.169402</v>
      </c>
      <c r="H1394" s="163">
        <f t="shared" si="110"/>
        <v>10.987725</v>
      </c>
      <c r="I1394" s="176">
        <v>7.63</v>
      </c>
      <c r="J1394" s="176">
        <v>11538</v>
      </c>
      <c r="K1394" s="176">
        <f>J1394+K1392</f>
        <v>429469</v>
      </c>
      <c r="L1394" s="163"/>
      <c r="M1394" s="161" t="s">
        <v>4140</v>
      </c>
      <c r="N1394" s="161" t="s">
        <v>1331</v>
      </c>
      <c r="O1394" s="161" t="s">
        <v>14</v>
      </c>
      <c r="P1394" s="49" t="s">
        <v>14</v>
      </c>
      <c r="Q1394" s="166" t="s">
        <v>4260</v>
      </c>
      <c r="R1394" s="151"/>
    </row>
    <row r="1395" spans="1:18">
      <c r="A1395" s="162" t="s">
        <v>47</v>
      </c>
      <c r="B1395" s="101" t="s">
        <v>358</v>
      </c>
      <c r="C1395" s="84" t="s">
        <v>4261</v>
      </c>
      <c r="D1395" s="161" t="s">
        <v>1421</v>
      </c>
      <c r="E1395" s="161" t="s">
        <v>2048</v>
      </c>
      <c r="F1395" s="161" t="s">
        <v>4255</v>
      </c>
      <c r="G1395" s="171">
        <v>871.831202</v>
      </c>
      <c r="H1395" s="163">
        <f t="shared" si="110"/>
        <v>9.66179999999997</v>
      </c>
      <c r="I1395" s="173">
        <v>8.38</v>
      </c>
      <c r="J1395" s="176"/>
      <c r="K1395" s="176">
        <f>J1395+K1394</f>
        <v>429469</v>
      </c>
      <c r="L1395" s="163"/>
      <c r="M1395" s="161" t="s">
        <v>4140</v>
      </c>
      <c r="N1395" s="161" t="s">
        <v>1299</v>
      </c>
      <c r="O1395" s="161" t="s">
        <v>25</v>
      </c>
      <c r="P1395" s="49" t="s">
        <v>25</v>
      </c>
      <c r="Q1395" s="166" t="s">
        <v>4262</v>
      </c>
      <c r="R1395" s="151"/>
    </row>
    <row r="1396" spans="1:18">
      <c r="A1396" s="162" t="s">
        <v>47</v>
      </c>
      <c r="B1396" s="101" t="s">
        <v>358</v>
      </c>
      <c r="C1396" s="84" t="s">
        <v>4263</v>
      </c>
      <c r="D1396" s="161" t="s">
        <v>4263</v>
      </c>
      <c r="E1396" s="161" t="s">
        <v>2048</v>
      </c>
      <c r="F1396" s="161"/>
      <c r="G1396" s="171">
        <v>871.831202</v>
      </c>
      <c r="H1396" s="163">
        <f t="shared" si="110"/>
        <v>0</v>
      </c>
      <c r="I1396" s="176" t="s">
        <v>147</v>
      </c>
      <c r="J1396" s="176"/>
      <c r="K1396" s="176" t="s">
        <v>147</v>
      </c>
      <c r="L1396" s="163" t="s">
        <v>4264</v>
      </c>
      <c r="M1396" s="161"/>
      <c r="N1396" s="161"/>
      <c r="O1396" s="161" t="s">
        <v>16</v>
      </c>
      <c r="P1396" s="49" t="s">
        <v>16</v>
      </c>
      <c r="Q1396" s="166"/>
      <c r="R1396" s="151"/>
    </row>
    <row r="1397" spans="1:18">
      <c r="A1397" s="162" t="s">
        <v>47</v>
      </c>
      <c r="B1397" s="101" t="s">
        <v>358</v>
      </c>
      <c r="C1397" s="135" t="s">
        <v>557</v>
      </c>
      <c r="D1397" s="161" t="s">
        <v>557</v>
      </c>
      <c r="E1397" s="161" t="s">
        <v>2048</v>
      </c>
      <c r="F1397" s="161"/>
      <c r="G1397" s="171">
        <v>880.669402</v>
      </c>
      <c r="H1397" s="163">
        <f t="shared" si="110"/>
        <v>8.83820000000003</v>
      </c>
      <c r="I1397" s="176"/>
      <c r="J1397" s="176"/>
      <c r="K1397" s="176"/>
      <c r="L1397" s="163"/>
      <c r="M1397" s="161"/>
      <c r="N1397" s="161"/>
      <c r="O1397" s="161"/>
      <c r="P1397" s="49"/>
      <c r="Q1397" s="166"/>
      <c r="R1397" s="151"/>
    </row>
    <row r="1398" ht="30" spans="1:18">
      <c r="A1398" s="162" t="s">
        <v>47</v>
      </c>
      <c r="B1398" s="101" t="s">
        <v>358</v>
      </c>
      <c r="C1398" s="84" t="s">
        <v>357</v>
      </c>
      <c r="D1398" s="161" t="s">
        <v>357</v>
      </c>
      <c r="E1398" s="161" t="s">
        <v>2048</v>
      </c>
      <c r="F1398" s="161" t="s">
        <v>4132</v>
      </c>
      <c r="G1398" s="171">
        <v>886.169402</v>
      </c>
      <c r="H1398" s="163">
        <f t="shared" si="110"/>
        <v>5.5</v>
      </c>
      <c r="I1398" s="173">
        <v>11.176</v>
      </c>
      <c r="J1398" s="176">
        <v>18370</v>
      </c>
      <c r="K1398" s="176">
        <f>J1398+K1395</f>
        <v>447839</v>
      </c>
      <c r="L1398" s="163" t="s">
        <v>4197</v>
      </c>
      <c r="M1398" s="161" t="s">
        <v>4125</v>
      </c>
      <c r="N1398" s="161" t="s">
        <v>1295</v>
      </c>
      <c r="O1398" s="161" t="s">
        <v>14</v>
      </c>
      <c r="P1398" s="49" t="s">
        <v>14</v>
      </c>
      <c r="Q1398" s="166" t="s">
        <v>4137</v>
      </c>
      <c r="R1398" s="151"/>
    </row>
    <row r="1399" spans="1:18">
      <c r="A1399" s="162" t="s">
        <v>47</v>
      </c>
      <c r="B1399" s="101" t="s">
        <v>358</v>
      </c>
      <c r="C1399" s="84" t="s">
        <v>4265</v>
      </c>
      <c r="D1399" s="161" t="s">
        <v>1424</v>
      </c>
      <c r="E1399" s="161" t="s">
        <v>2048</v>
      </c>
      <c r="F1399" s="161" t="s">
        <v>4132</v>
      </c>
      <c r="G1399" s="171">
        <v>897.255802</v>
      </c>
      <c r="H1399" s="163">
        <f t="shared" ref="H1399:H1406" si="112">G1399-G1398</f>
        <v>11.0864</v>
      </c>
      <c r="I1399" s="176">
        <v>20.27</v>
      </c>
      <c r="J1399" s="176"/>
      <c r="K1399" s="176">
        <f>J1399+K1398</f>
        <v>447839</v>
      </c>
      <c r="L1399" s="163"/>
      <c r="M1399" s="161" t="s">
        <v>4140</v>
      </c>
      <c r="N1399" s="161" t="s">
        <v>1299</v>
      </c>
      <c r="O1399" s="161" t="s">
        <v>25</v>
      </c>
      <c r="P1399" s="49" t="s">
        <v>25</v>
      </c>
      <c r="Q1399" s="166" t="s">
        <v>4266</v>
      </c>
      <c r="R1399" s="151"/>
    </row>
    <row r="1400" spans="1:18">
      <c r="A1400" s="162" t="s">
        <v>47</v>
      </c>
      <c r="B1400" s="101" t="s">
        <v>358</v>
      </c>
      <c r="C1400" s="84" t="s">
        <v>4267</v>
      </c>
      <c r="D1400" s="161" t="s">
        <v>1427</v>
      </c>
      <c r="E1400" s="161" t="s">
        <v>2048</v>
      </c>
      <c r="F1400" s="161" t="s">
        <v>4132</v>
      </c>
      <c r="G1400" s="171">
        <v>910.241302</v>
      </c>
      <c r="H1400" s="163">
        <f t="shared" si="112"/>
        <v>12.9855</v>
      </c>
      <c r="I1400" s="176">
        <v>23.28</v>
      </c>
      <c r="J1400" s="176"/>
      <c r="K1400" s="176">
        <f>J1400+K1399</f>
        <v>447839</v>
      </c>
      <c r="L1400" s="163"/>
      <c r="M1400" s="161" t="s">
        <v>4140</v>
      </c>
      <c r="N1400" s="161" t="s">
        <v>1299</v>
      </c>
      <c r="O1400" s="161" t="s">
        <v>25</v>
      </c>
      <c r="P1400" s="49" t="s">
        <v>25</v>
      </c>
      <c r="Q1400" s="166" t="s">
        <v>4268</v>
      </c>
      <c r="R1400" s="151"/>
    </row>
    <row r="1401" spans="1:18">
      <c r="A1401" s="162" t="s">
        <v>47</v>
      </c>
      <c r="B1401" s="101" t="s">
        <v>358</v>
      </c>
      <c r="C1401" s="84" t="s">
        <v>4269</v>
      </c>
      <c r="D1401" s="161" t="s">
        <v>1430</v>
      </c>
      <c r="E1401" s="161" t="s">
        <v>2048</v>
      </c>
      <c r="F1401" s="161" t="s">
        <v>4270</v>
      </c>
      <c r="G1401" s="171">
        <v>928.634402</v>
      </c>
      <c r="H1401" s="163">
        <f t="shared" si="112"/>
        <v>18.3931</v>
      </c>
      <c r="I1401" s="173">
        <v>17.7</v>
      </c>
      <c r="J1401" s="176"/>
      <c r="K1401" s="176">
        <f>J1401+K1400</f>
        <v>447839</v>
      </c>
      <c r="L1401" s="163"/>
      <c r="M1401" s="161" t="s">
        <v>4140</v>
      </c>
      <c r="N1401" s="161" t="s">
        <v>1299</v>
      </c>
      <c r="O1401" s="161" t="s">
        <v>25</v>
      </c>
      <c r="P1401" s="49" t="s">
        <v>25</v>
      </c>
      <c r="Q1401" s="166" t="s">
        <v>4271</v>
      </c>
      <c r="R1401" s="151"/>
    </row>
    <row r="1402" spans="1:18">
      <c r="A1402" s="162" t="s">
        <v>47</v>
      </c>
      <c r="B1402" s="101" t="s">
        <v>358</v>
      </c>
      <c r="C1402" s="84" t="s">
        <v>4272</v>
      </c>
      <c r="D1402" s="161" t="s">
        <v>4272</v>
      </c>
      <c r="E1402" s="161" t="s">
        <v>2048</v>
      </c>
      <c r="F1402" s="161" t="s">
        <v>4270</v>
      </c>
      <c r="G1402" s="171">
        <v>934.169302</v>
      </c>
      <c r="H1402" s="163">
        <f t="shared" si="112"/>
        <v>5.53489999999999</v>
      </c>
      <c r="I1402" s="176">
        <v>16.2</v>
      </c>
      <c r="J1402" s="176">
        <v>34641</v>
      </c>
      <c r="K1402" s="176">
        <f>J1402+K1401</f>
        <v>482480</v>
      </c>
      <c r="L1402" s="163"/>
      <c r="M1402" s="161" t="s">
        <v>4140</v>
      </c>
      <c r="N1402" s="161" t="s">
        <v>1331</v>
      </c>
      <c r="O1402" s="161" t="s">
        <v>14</v>
      </c>
      <c r="P1402" s="49" t="s">
        <v>14</v>
      </c>
      <c r="Q1402" s="166" t="s">
        <v>4273</v>
      </c>
      <c r="R1402" s="151"/>
    </row>
    <row r="1403" spans="1:18">
      <c r="A1403" s="162" t="s">
        <v>47</v>
      </c>
      <c r="B1403" s="101" t="s">
        <v>358</v>
      </c>
      <c r="C1403" s="84" t="s">
        <v>4274</v>
      </c>
      <c r="D1403" s="161" t="s">
        <v>1433</v>
      </c>
      <c r="E1403" s="161" t="s">
        <v>2048</v>
      </c>
      <c r="F1403" s="161" t="s">
        <v>4270</v>
      </c>
      <c r="G1403" s="171">
        <v>943.122202</v>
      </c>
      <c r="H1403" s="163">
        <f t="shared" si="112"/>
        <v>8.9529</v>
      </c>
      <c r="I1403" s="173">
        <v>18.3</v>
      </c>
      <c r="J1403" s="176"/>
      <c r="K1403" s="176">
        <v>710585.0705</v>
      </c>
      <c r="L1403" s="163"/>
      <c r="M1403" s="161" t="s">
        <v>4140</v>
      </c>
      <c r="N1403" s="161" t="s">
        <v>1299</v>
      </c>
      <c r="O1403" s="161" t="s">
        <v>25</v>
      </c>
      <c r="P1403" s="49" t="s">
        <v>25</v>
      </c>
      <c r="Q1403" s="166" t="s">
        <v>4275</v>
      </c>
      <c r="R1403" s="151"/>
    </row>
    <row r="1404" spans="1:18">
      <c r="A1404" s="162" t="s">
        <v>47</v>
      </c>
      <c r="B1404" s="101" t="s">
        <v>358</v>
      </c>
      <c r="C1404" s="84" t="s">
        <v>4276</v>
      </c>
      <c r="D1404" s="161" t="s">
        <v>1436</v>
      </c>
      <c r="E1404" s="161" t="s">
        <v>2048</v>
      </c>
      <c r="F1404" s="161" t="s">
        <v>4270</v>
      </c>
      <c r="G1404" s="171">
        <v>962.169302</v>
      </c>
      <c r="H1404" s="163">
        <f t="shared" si="112"/>
        <v>19.0471</v>
      </c>
      <c r="I1404" s="163" t="s">
        <v>147</v>
      </c>
      <c r="J1404" s="176"/>
      <c r="K1404" s="163" t="s">
        <v>147</v>
      </c>
      <c r="L1404" s="163"/>
      <c r="M1404" s="161" t="s">
        <v>4140</v>
      </c>
      <c r="N1404" s="161" t="s">
        <v>1299</v>
      </c>
      <c r="O1404" s="161" t="s">
        <v>25</v>
      </c>
      <c r="P1404" s="49" t="s">
        <v>25</v>
      </c>
      <c r="Q1404" s="166"/>
      <c r="R1404" s="151"/>
    </row>
    <row r="1405" spans="1:18">
      <c r="A1405" s="162" t="s">
        <v>47</v>
      </c>
      <c r="B1405" s="101" t="s">
        <v>358</v>
      </c>
      <c r="C1405" s="84" t="s">
        <v>396</v>
      </c>
      <c r="D1405" s="161" t="s">
        <v>396</v>
      </c>
      <c r="E1405" s="161" t="s">
        <v>2048</v>
      </c>
      <c r="F1405" s="161" t="s">
        <v>4270</v>
      </c>
      <c r="G1405" s="171">
        <v>962.369302</v>
      </c>
      <c r="H1405" s="163">
        <f t="shared" si="112"/>
        <v>0.199999999999932</v>
      </c>
      <c r="I1405" s="176">
        <v>18.7</v>
      </c>
      <c r="J1405" s="176">
        <v>21034</v>
      </c>
      <c r="K1405" s="176">
        <v>724933.3592</v>
      </c>
      <c r="L1405" s="163"/>
      <c r="M1405" s="161" t="s">
        <v>4140</v>
      </c>
      <c r="N1405" s="161" t="s">
        <v>1331</v>
      </c>
      <c r="O1405" s="161" t="s">
        <v>14</v>
      </c>
      <c r="P1405" s="49" t="s">
        <v>14</v>
      </c>
      <c r="Q1405" s="166" t="s">
        <v>4277</v>
      </c>
      <c r="R1405" s="151"/>
    </row>
    <row r="1406" spans="1:18">
      <c r="A1406" s="162" t="s">
        <v>47</v>
      </c>
      <c r="B1406" s="101" t="s">
        <v>358</v>
      </c>
      <c r="C1406" s="84" t="s">
        <v>359</v>
      </c>
      <c r="D1406" s="161" t="s">
        <v>359</v>
      </c>
      <c r="E1406" s="161" t="s">
        <v>2048</v>
      </c>
      <c r="F1406" s="161" t="s">
        <v>4270</v>
      </c>
      <c r="G1406" s="171">
        <v>974.969302</v>
      </c>
      <c r="H1406" s="163">
        <f t="shared" si="112"/>
        <v>12.6</v>
      </c>
      <c r="I1406" s="176">
        <v>18.3</v>
      </c>
      <c r="J1406" s="176">
        <v>9799</v>
      </c>
      <c r="K1406" s="176">
        <v>734563.5925</v>
      </c>
      <c r="L1406" s="163"/>
      <c r="M1406" s="161" t="s">
        <v>4140</v>
      </c>
      <c r="N1406" s="161" t="s">
        <v>1331</v>
      </c>
      <c r="O1406" s="161" t="s">
        <v>14</v>
      </c>
      <c r="P1406" s="49" t="s">
        <v>14</v>
      </c>
      <c r="Q1406" s="166" t="s">
        <v>4278</v>
      </c>
      <c r="R1406" s="151"/>
    </row>
    <row r="1407" spans="1:18">
      <c r="A1407" s="162" t="s">
        <v>47</v>
      </c>
      <c r="B1407" s="101" t="s">
        <v>361</v>
      </c>
      <c r="C1407" s="84" t="s">
        <v>362</v>
      </c>
      <c r="D1407" s="161" t="s">
        <v>4279</v>
      </c>
      <c r="E1407" s="161" t="s">
        <v>2048</v>
      </c>
      <c r="F1407" s="161" t="s">
        <v>4241</v>
      </c>
      <c r="G1407" s="171">
        <v>0</v>
      </c>
      <c r="H1407" s="171">
        <v>0</v>
      </c>
      <c r="I1407" s="176"/>
      <c r="J1407" s="187"/>
      <c r="K1407" s="176"/>
      <c r="L1407" s="163"/>
      <c r="M1407" s="161" t="s">
        <v>4140</v>
      </c>
      <c r="N1407" s="161" t="s">
        <v>1295</v>
      </c>
      <c r="O1407" s="161" t="s">
        <v>16</v>
      </c>
      <c r="P1407" s="49" t="s">
        <v>14</v>
      </c>
      <c r="Q1407" s="166" t="s">
        <v>4280</v>
      </c>
      <c r="R1407" s="151"/>
    </row>
    <row r="1408" spans="1:18">
      <c r="A1408" s="162" t="s">
        <v>47</v>
      </c>
      <c r="B1408" s="101" t="s">
        <v>361</v>
      </c>
      <c r="C1408" s="135" t="s">
        <v>4281</v>
      </c>
      <c r="D1408" s="161" t="s">
        <v>4281</v>
      </c>
      <c r="E1408" s="161" t="s">
        <v>2048</v>
      </c>
      <c r="F1408" s="161" t="s">
        <v>4241</v>
      </c>
      <c r="G1408" s="171">
        <v>1.5</v>
      </c>
      <c r="H1408" s="171">
        <v>1.5</v>
      </c>
      <c r="I1408" s="176"/>
      <c r="J1408" s="176"/>
      <c r="K1408" s="176"/>
      <c r="L1408" s="163" t="s">
        <v>4257</v>
      </c>
      <c r="M1408" s="161" t="s">
        <v>4140</v>
      </c>
      <c r="N1408" s="161" t="s">
        <v>1331</v>
      </c>
      <c r="O1408" s="161" t="s">
        <v>16</v>
      </c>
      <c r="P1408" s="49"/>
      <c r="Q1408" s="166" t="s">
        <v>4282</v>
      </c>
      <c r="R1408" s="151"/>
    </row>
    <row r="1409" spans="1:18">
      <c r="A1409" s="162" t="s">
        <v>47</v>
      </c>
      <c r="B1409" s="101" t="s">
        <v>366</v>
      </c>
      <c r="C1409" s="135" t="s">
        <v>357</v>
      </c>
      <c r="D1409" s="161" t="s">
        <v>357</v>
      </c>
      <c r="E1409" s="161" t="s">
        <v>2048</v>
      </c>
      <c r="F1409" s="161" t="s">
        <v>4132</v>
      </c>
      <c r="G1409" s="163">
        <v>0</v>
      </c>
      <c r="H1409" s="163">
        <v>0</v>
      </c>
      <c r="I1409" s="176">
        <v>11.1764</v>
      </c>
      <c r="J1409" s="176">
        <v>0</v>
      </c>
      <c r="K1409" s="176">
        <v>0</v>
      </c>
      <c r="L1409" s="163" t="s">
        <v>4283</v>
      </c>
      <c r="M1409" s="161" t="s">
        <v>4125</v>
      </c>
      <c r="N1409" s="161"/>
      <c r="O1409" s="161"/>
      <c r="P1409" s="49"/>
      <c r="Q1409" s="166" t="s">
        <v>4137</v>
      </c>
      <c r="R1409" s="151"/>
    </row>
    <row r="1410" spans="1:18">
      <c r="A1410" s="162" t="s">
        <v>47</v>
      </c>
      <c r="B1410" s="101" t="s">
        <v>366</v>
      </c>
      <c r="C1410" s="84" t="s">
        <v>4284</v>
      </c>
      <c r="D1410" s="161" t="s">
        <v>4285</v>
      </c>
      <c r="E1410" s="161" t="s">
        <v>2048</v>
      </c>
      <c r="F1410" s="161" t="s">
        <v>4132</v>
      </c>
      <c r="G1410" s="171">
        <v>20.9273</v>
      </c>
      <c r="H1410" s="163">
        <f>G1410-G1409</f>
        <v>20.9273</v>
      </c>
      <c r="I1410" s="176">
        <v>13.4958</v>
      </c>
      <c r="J1410" s="176">
        <v>7804.69071409147</v>
      </c>
      <c r="K1410" s="176">
        <f>J1410+K1409</f>
        <v>7804.69071409147</v>
      </c>
      <c r="L1410" s="163"/>
      <c r="M1410" s="161" t="s">
        <v>4286</v>
      </c>
      <c r="N1410" s="161" t="s">
        <v>1299</v>
      </c>
      <c r="O1410" s="161" t="s">
        <v>25</v>
      </c>
      <c r="P1410" s="49" t="s">
        <v>25</v>
      </c>
      <c r="Q1410" s="166" t="s">
        <v>4287</v>
      </c>
      <c r="R1410" s="151"/>
    </row>
    <row r="1411" spans="1:18">
      <c r="A1411" s="162" t="s">
        <v>47</v>
      </c>
      <c r="B1411" s="101" t="s">
        <v>366</v>
      </c>
      <c r="C1411" s="84" t="s">
        <v>4288</v>
      </c>
      <c r="D1411" s="161" t="s">
        <v>4289</v>
      </c>
      <c r="E1411" s="161" t="s">
        <v>2048</v>
      </c>
      <c r="F1411" s="161" t="s">
        <v>4132</v>
      </c>
      <c r="G1411" s="171">
        <v>37.3663</v>
      </c>
      <c r="H1411" s="163">
        <f>G1411-G1410</f>
        <v>16.439</v>
      </c>
      <c r="I1411" s="176">
        <v>1.87930909090909</v>
      </c>
      <c r="J1411" s="176">
        <v>6130.80130145386</v>
      </c>
      <c r="K1411" s="176">
        <f>J1411+K1410</f>
        <v>13935.4920155453</v>
      </c>
      <c r="L1411" s="163"/>
      <c r="M1411" s="161" t="s">
        <v>4286</v>
      </c>
      <c r="N1411" s="161" t="s">
        <v>1299</v>
      </c>
      <c r="O1411" s="161" t="s">
        <v>25</v>
      </c>
      <c r="P1411" s="49" t="s">
        <v>25</v>
      </c>
      <c r="Q1411" s="166" t="s">
        <v>4290</v>
      </c>
      <c r="R1411" s="151"/>
    </row>
    <row r="1412" spans="1:18">
      <c r="A1412" s="162" t="s">
        <v>47</v>
      </c>
      <c r="B1412" s="101" t="s">
        <v>366</v>
      </c>
      <c r="C1412" s="84" t="s">
        <v>376</v>
      </c>
      <c r="D1412" s="161" t="s">
        <v>376</v>
      </c>
      <c r="E1412" s="161" t="s">
        <v>2048</v>
      </c>
      <c r="F1412" s="161" t="s">
        <v>4132</v>
      </c>
      <c r="G1412" s="171">
        <v>62</v>
      </c>
      <c r="H1412" s="163">
        <f>G1412-G1411</f>
        <v>24.6337</v>
      </c>
      <c r="I1412" s="176">
        <v>0.582878571428571</v>
      </c>
      <c r="J1412" s="176">
        <v>9186.943</v>
      </c>
      <c r="K1412" s="176">
        <f>J1412+K1411</f>
        <v>23122.4350155453</v>
      </c>
      <c r="L1412" s="163"/>
      <c r="M1412" s="161" t="s">
        <v>4286</v>
      </c>
      <c r="N1412" s="161" t="s">
        <v>1331</v>
      </c>
      <c r="O1412" s="161" t="s">
        <v>14</v>
      </c>
      <c r="P1412" s="49" t="s">
        <v>14</v>
      </c>
      <c r="Q1412" s="166" t="s">
        <v>4291</v>
      </c>
      <c r="R1412" s="151"/>
    </row>
    <row r="1413" spans="1:18">
      <c r="A1413" s="162" t="s">
        <v>47</v>
      </c>
      <c r="B1413" s="101" t="s">
        <v>366</v>
      </c>
      <c r="C1413" s="84" t="s">
        <v>367</v>
      </c>
      <c r="D1413" s="161" t="s">
        <v>367</v>
      </c>
      <c r="E1413" s="161" t="s">
        <v>2048</v>
      </c>
      <c r="F1413" s="161" t="s">
        <v>4132</v>
      </c>
      <c r="G1413" s="171">
        <v>108</v>
      </c>
      <c r="H1413" s="163">
        <f>G1413-G1412</f>
        <v>46</v>
      </c>
      <c r="I1413" s="173">
        <v>2.88347857142857</v>
      </c>
      <c r="J1413" s="173">
        <v>17230.9019019897</v>
      </c>
      <c r="K1413" s="176">
        <f>J1413+K1412</f>
        <v>40353.336917535</v>
      </c>
      <c r="L1413" s="174"/>
      <c r="M1413" s="161" t="s">
        <v>4286</v>
      </c>
      <c r="N1413" s="161" t="s">
        <v>1331</v>
      </c>
      <c r="O1413" s="161" t="s">
        <v>14</v>
      </c>
      <c r="P1413" s="49" t="s">
        <v>14</v>
      </c>
      <c r="Q1413" s="166" t="s">
        <v>4292</v>
      </c>
      <c r="R1413" s="151"/>
    </row>
    <row r="1414" spans="1:18">
      <c r="A1414" s="162" t="s">
        <v>47</v>
      </c>
      <c r="B1414" s="101" t="s">
        <v>364</v>
      </c>
      <c r="C1414" s="135" t="s">
        <v>357</v>
      </c>
      <c r="D1414" s="161" t="s">
        <v>357</v>
      </c>
      <c r="E1414" s="161" t="s">
        <v>2048</v>
      </c>
      <c r="F1414" s="161" t="s">
        <v>4132</v>
      </c>
      <c r="G1414" s="171">
        <v>0</v>
      </c>
      <c r="H1414" s="163">
        <v>0</v>
      </c>
      <c r="I1414" s="176">
        <v>11.176</v>
      </c>
      <c r="J1414" s="176">
        <v>0</v>
      </c>
      <c r="K1414" s="176">
        <v>0</v>
      </c>
      <c r="L1414" s="163" t="s">
        <v>4283</v>
      </c>
      <c r="M1414" s="161" t="s">
        <v>4125</v>
      </c>
      <c r="N1414" s="161"/>
      <c r="O1414" s="161"/>
      <c r="P1414" s="49"/>
      <c r="Q1414" s="166" t="s">
        <v>4137</v>
      </c>
      <c r="R1414" s="151"/>
    </row>
    <row r="1415" spans="1:18">
      <c r="A1415" s="162" t="s">
        <v>47</v>
      </c>
      <c r="B1415" s="101" t="s">
        <v>364</v>
      </c>
      <c r="C1415" s="84" t="s">
        <v>4293</v>
      </c>
      <c r="D1415" s="161" t="s">
        <v>4294</v>
      </c>
      <c r="E1415" s="161" t="s">
        <v>2048</v>
      </c>
      <c r="F1415" s="161" t="s">
        <v>4132</v>
      </c>
      <c r="G1415" s="171">
        <v>21.9678</v>
      </c>
      <c r="H1415" s="163">
        <f>G1415-G1414</f>
        <v>21.9678</v>
      </c>
      <c r="I1415" s="176">
        <v>23.28</v>
      </c>
      <c r="J1415" s="176">
        <v>8976.33933572417</v>
      </c>
      <c r="K1415" s="176">
        <f>K1414+J1415</f>
        <v>8976.33933572417</v>
      </c>
      <c r="L1415" s="163"/>
      <c r="M1415" s="161" t="s">
        <v>4295</v>
      </c>
      <c r="N1415" s="161" t="s">
        <v>1299</v>
      </c>
      <c r="O1415" s="161" t="s">
        <v>25</v>
      </c>
      <c r="P1415" s="49" t="s">
        <v>25</v>
      </c>
      <c r="Q1415" s="166" t="s">
        <v>4268</v>
      </c>
      <c r="R1415" s="151"/>
    </row>
    <row r="1416" spans="1:18">
      <c r="A1416" s="162" t="s">
        <v>47</v>
      </c>
      <c r="B1416" s="101" t="s">
        <v>364</v>
      </c>
      <c r="C1416" s="84" t="s">
        <v>4296</v>
      </c>
      <c r="D1416" s="161" t="s">
        <v>4297</v>
      </c>
      <c r="E1416" s="161" t="s">
        <v>2048</v>
      </c>
      <c r="F1416" s="161" t="s">
        <v>4132</v>
      </c>
      <c r="G1416" s="171">
        <v>42.3466</v>
      </c>
      <c r="H1416" s="163">
        <f>G1416-G1415</f>
        <v>20.3788</v>
      </c>
      <c r="I1416" s="173">
        <v>21.3769</v>
      </c>
      <c r="J1416" s="173">
        <v>8327.077</v>
      </c>
      <c r="K1416" s="176">
        <f>K1415+J1416</f>
        <v>17303.4163357242</v>
      </c>
      <c r="L1416" s="174"/>
      <c r="M1416" s="161" t="s">
        <v>4295</v>
      </c>
      <c r="N1416" s="161" t="s">
        <v>1299</v>
      </c>
      <c r="O1416" s="161" t="s">
        <v>25</v>
      </c>
      <c r="P1416" s="49" t="s">
        <v>25</v>
      </c>
      <c r="Q1416" s="166" t="s">
        <v>4298</v>
      </c>
      <c r="R1416" s="151"/>
    </row>
    <row r="1417" spans="1:18">
      <c r="A1417" s="162" t="s">
        <v>47</v>
      </c>
      <c r="B1417" s="101" t="s">
        <v>364</v>
      </c>
      <c r="C1417" s="84" t="s">
        <v>4299</v>
      </c>
      <c r="D1417" s="161" t="s">
        <v>4299</v>
      </c>
      <c r="E1417" s="161" t="s">
        <v>2048</v>
      </c>
      <c r="F1417" s="161" t="s">
        <v>4132</v>
      </c>
      <c r="G1417" s="171">
        <v>46.9999</v>
      </c>
      <c r="H1417" s="163">
        <f>G1417-G1416</f>
        <v>4.65329999999999</v>
      </c>
      <c r="I1417" s="176">
        <v>23.0471</v>
      </c>
      <c r="J1417" s="176">
        <v>1901.40225489457</v>
      </c>
      <c r="K1417" s="176">
        <f>K1416+J1417</f>
        <v>19204.8185906187</v>
      </c>
      <c r="L1417" s="163"/>
      <c r="M1417" s="161" t="s">
        <v>4295</v>
      </c>
      <c r="N1417" s="161" t="s">
        <v>1331</v>
      </c>
      <c r="O1417" s="161" t="s">
        <v>14</v>
      </c>
      <c r="P1417" s="49" t="s">
        <v>14</v>
      </c>
      <c r="Q1417" s="166" t="s">
        <v>4300</v>
      </c>
      <c r="R1417" s="151"/>
    </row>
    <row r="1418" spans="1:18">
      <c r="A1418" s="162" t="s">
        <v>47</v>
      </c>
      <c r="B1418" s="101" t="s">
        <v>364</v>
      </c>
      <c r="C1418" s="84" t="s">
        <v>365</v>
      </c>
      <c r="D1418" s="161" t="s">
        <v>365</v>
      </c>
      <c r="E1418" s="161" t="s">
        <v>2048</v>
      </c>
      <c r="F1418" s="161" t="s">
        <v>4132</v>
      </c>
      <c r="G1418" s="171">
        <v>57.9999</v>
      </c>
      <c r="H1418" s="163">
        <f>G1418-G1417</f>
        <v>11</v>
      </c>
      <c r="I1418" s="176">
        <v>24.8876</v>
      </c>
      <c r="J1418" s="176">
        <v>3599.30865507247</v>
      </c>
      <c r="K1418" s="176">
        <f>K1417+J1418</f>
        <v>22804.1272456912</v>
      </c>
      <c r="L1418" s="163"/>
      <c r="M1418" s="161" t="s">
        <v>4295</v>
      </c>
      <c r="N1418" s="161" t="s">
        <v>1331</v>
      </c>
      <c r="O1418" s="161" t="s">
        <v>14</v>
      </c>
      <c r="P1418" s="49" t="s">
        <v>14</v>
      </c>
      <c r="Q1418" s="166" t="s">
        <v>4301</v>
      </c>
      <c r="R1418" s="151"/>
    </row>
    <row r="1419" spans="1:18">
      <c r="A1419" s="162" t="s">
        <v>47</v>
      </c>
      <c r="B1419" s="101" t="s">
        <v>368</v>
      </c>
      <c r="C1419" s="135" t="s">
        <v>357</v>
      </c>
      <c r="D1419" s="161" t="s">
        <v>357</v>
      </c>
      <c r="E1419" s="161" t="s">
        <v>2048</v>
      </c>
      <c r="F1419" s="161" t="s">
        <v>4132</v>
      </c>
      <c r="G1419" s="171">
        <v>0</v>
      </c>
      <c r="H1419" s="163">
        <v>0</v>
      </c>
      <c r="I1419" s="176">
        <v>11.1764</v>
      </c>
      <c r="J1419" s="176">
        <v>0</v>
      </c>
      <c r="K1419" s="176">
        <v>0</v>
      </c>
      <c r="L1419" s="163" t="s">
        <v>4283</v>
      </c>
      <c r="M1419" s="161" t="s">
        <v>4125</v>
      </c>
      <c r="N1419" s="161"/>
      <c r="O1419" s="161"/>
      <c r="P1419" s="49"/>
      <c r="Q1419" s="166" t="s">
        <v>4137</v>
      </c>
      <c r="R1419" s="151"/>
    </row>
    <row r="1420" spans="1:18">
      <c r="A1420" s="162" t="s">
        <v>47</v>
      </c>
      <c r="B1420" s="101" t="s">
        <v>368</v>
      </c>
      <c r="C1420" s="84" t="s">
        <v>4302</v>
      </c>
      <c r="D1420" s="161" t="s">
        <v>4303</v>
      </c>
      <c r="E1420" s="161" t="s">
        <v>2048</v>
      </c>
      <c r="F1420" s="161" t="s">
        <v>4132</v>
      </c>
      <c r="G1420" s="171">
        <v>20.9273</v>
      </c>
      <c r="H1420" s="163">
        <f>G1420-G1419</f>
        <v>20.9273</v>
      </c>
      <c r="I1420" s="176">
        <v>10.6784</v>
      </c>
      <c r="J1420" s="176">
        <v>0</v>
      </c>
      <c r="K1420" s="176">
        <f>K1419+J1420</f>
        <v>0</v>
      </c>
      <c r="L1420" s="163"/>
      <c r="M1420" s="161" t="s">
        <v>4304</v>
      </c>
      <c r="N1420" s="161" t="s">
        <v>1299</v>
      </c>
      <c r="O1420" s="161" t="s">
        <v>25</v>
      </c>
      <c r="P1420" s="49" t="s">
        <v>25</v>
      </c>
      <c r="Q1420" s="166" t="s">
        <v>4305</v>
      </c>
      <c r="R1420" s="151"/>
    </row>
    <row r="1421" spans="1:18">
      <c r="A1421" s="162" t="s">
        <v>47</v>
      </c>
      <c r="B1421" s="101" t="s">
        <v>368</v>
      </c>
      <c r="C1421" s="84" t="s">
        <v>4306</v>
      </c>
      <c r="D1421" s="161" t="s">
        <v>4307</v>
      </c>
      <c r="E1421" s="161" t="s">
        <v>2048</v>
      </c>
      <c r="F1421" s="161" t="s">
        <v>4132</v>
      </c>
      <c r="G1421" s="171">
        <v>37.3663</v>
      </c>
      <c r="H1421" s="163">
        <f>G1421-G1420</f>
        <v>16.439</v>
      </c>
      <c r="I1421" s="173">
        <v>1.87930909090909</v>
      </c>
      <c r="J1421" s="173">
        <v>0</v>
      </c>
      <c r="K1421" s="176">
        <f>K1420+J1421</f>
        <v>0</v>
      </c>
      <c r="L1421" s="174"/>
      <c r="M1421" s="161" t="s">
        <v>4304</v>
      </c>
      <c r="N1421" s="161" t="s">
        <v>1299</v>
      </c>
      <c r="O1421" s="161" t="s">
        <v>25</v>
      </c>
      <c r="P1421" s="49" t="s">
        <v>25</v>
      </c>
      <c r="Q1421" s="166" t="s">
        <v>4290</v>
      </c>
      <c r="R1421" s="151"/>
    </row>
    <row r="1422" spans="1:18">
      <c r="A1422" s="162" t="s">
        <v>47</v>
      </c>
      <c r="B1422" s="101" t="s">
        <v>368</v>
      </c>
      <c r="C1422" s="135" t="s">
        <v>376</v>
      </c>
      <c r="D1422" s="161" t="s">
        <v>376</v>
      </c>
      <c r="E1422" s="161" t="s">
        <v>2048</v>
      </c>
      <c r="F1422" s="161" t="s">
        <v>4132</v>
      </c>
      <c r="G1422" s="171">
        <v>62</v>
      </c>
      <c r="H1422" s="163">
        <f>G1422-G1421</f>
        <v>24.6337</v>
      </c>
      <c r="I1422" s="176">
        <v>0.582878571428571</v>
      </c>
      <c r="J1422" s="176">
        <v>23759</v>
      </c>
      <c r="K1422" s="176">
        <f>K1421+J1422</f>
        <v>23759</v>
      </c>
      <c r="L1422" s="163"/>
      <c r="M1422" s="161" t="s">
        <v>4286</v>
      </c>
      <c r="N1422" s="161" t="s">
        <v>1331</v>
      </c>
      <c r="O1422" s="161"/>
      <c r="P1422" s="49"/>
      <c r="Q1422" s="166" t="s">
        <v>4291</v>
      </c>
      <c r="R1422" s="151"/>
    </row>
    <row r="1423" spans="1:18">
      <c r="A1423" s="162" t="s">
        <v>47</v>
      </c>
      <c r="B1423" s="101" t="s">
        <v>368</v>
      </c>
      <c r="C1423" s="135" t="s">
        <v>367</v>
      </c>
      <c r="D1423" s="161" t="s">
        <v>367</v>
      </c>
      <c r="E1423" s="161" t="s">
        <v>2048</v>
      </c>
      <c r="F1423" s="161" t="s">
        <v>4132</v>
      </c>
      <c r="G1423" s="171">
        <v>108</v>
      </c>
      <c r="H1423" s="163">
        <f>G1423-G1422</f>
        <v>46</v>
      </c>
      <c r="I1423" s="176">
        <v>2.88347857142857</v>
      </c>
      <c r="J1423" s="176">
        <v>17734</v>
      </c>
      <c r="K1423" s="176">
        <f>K1422+J1423</f>
        <v>41493</v>
      </c>
      <c r="L1423" s="163" t="s">
        <v>4308</v>
      </c>
      <c r="M1423" s="161" t="s">
        <v>4286</v>
      </c>
      <c r="N1423" s="161"/>
      <c r="O1423" s="161"/>
      <c r="P1423" s="49"/>
      <c r="Q1423" s="166" t="s">
        <v>4292</v>
      </c>
      <c r="R1423" s="151"/>
    </row>
    <row r="1424" spans="1:18">
      <c r="A1424" s="162" t="s">
        <v>47</v>
      </c>
      <c r="B1424" s="101" t="s">
        <v>369</v>
      </c>
      <c r="C1424" s="84" t="s">
        <v>370</v>
      </c>
      <c r="D1424" s="161" t="s">
        <v>370</v>
      </c>
      <c r="E1424" s="161" t="s">
        <v>2048</v>
      </c>
      <c r="F1424" s="161" t="s">
        <v>4132</v>
      </c>
      <c r="G1424" s="171">
        <v>0</v>
      </c>
      <c r="H1424" s="163">
        <v>0</v>
      </c>
      <c r="I1424" s="176">
        <v>9.866</v>
      </c>
      <c r="J1424" s="163">
        <v>0</v>
      </c>
      <c r="K1424" s="176">
        <v>0</v>
      </c>
      <c r="L1424" s="163"/>
      <c r="M1424" s="161" t="s">
        <v>4309</v>
      </c>
      <c r="N1424" s="161" t="s">
        <v>1331</v>
      </c>
      <c r="O1424" s="161" t="s">
        <v>14</v>
      </c>
      <c r="P1424" s="49" t="s">
        <v>14</v>
      </c>
      <c r="Q1424" s="166" t="s">
        <v>4310</v>
      </c>
      <c r="R1424" s="151"/>
    </row>
    <row r="1425" spans="1:18">
      <c r="A1425" s="162" t="s">
        <v>47</v>
      </c>
      <c r="B1425" s="101" t="s">
        <v>369</v>
      </c>
      <c r="C1425" s="84" t="s">
        <v>4311</v>
      </c>
      <c r="D1425" s="161" t="s">
        <v>4311</v>
      </c>
      <c r="E1425" s="161" t="s">
        <v>2048</v>
      </c>
      <c r="F1425" s="161"/>
      <c r="G1425" s="171">
        <v>0</v>
      </c>
      <c r="H1425" s="163">
        <f>G1425-G1424</f>
        <v>0</v>
      </c>
      <c r="I1425" s="176"/>
      <c r="J1425" s="163"/>
      <c r="K1425" s="176"/>
      <c r="L1425" s="163"/>
      <c r="M1425" s="161" t="s">
        <v>4309</v>
      </c>
      <c r="N1425" s="161"/>
      <c r="O1425" s="161" t="s">
        <v>16</v>
      </c>
      <c r="P1425" s="49" t="s">
        <v>16</v>
      </c>
      <c r="Q1425" s="166"/>
      <c r="R1425" s="151"/>
    </row>
    <row r="1426" spans="1:18">
      <c r="A1426" s="162" t="s">
        <v>47</v>
      </c>
      <c r="B1426" s="101" t="s">
        <v>369</v>
      </c>
      <c r="C1426" s="84" t="s">
        <v>4312</v>
      </c>
      <c r="D1426" s="161" t="s">
        <v>1298</v>
      </c>
      <c r="E1426" s="161" t="s">
        <v>2048</v>
      </c>
      <c r="F1426" s="161" t="s">
        <v>4132</v>
      </c>
      <c r="G1426" s="171">
        <v>9.0315</v>
      </c>
      <c r="H1426" s="163">
        <f t="shared" ref="H1426:H1436" si="113">G1426-G1425</f>
        <v>9.0315</v>
      </c>
      <c r="I1426" s="176">
        <v>6.461</v>
      </c>
      <c r="J1426" s="176">
        <v>7003.39267307404</v>
      </c>
      <c r="K1426" s="176">
        <f>K1424+J1426</f>
        <v>7003.39267307404</v>
      </c>
      <c r="L1426" s="163"/>
      <c r="M1426" s="161" t="s">
        <v>4309</v>
      </c>
      <c r="N1426" s="161" t="s">
        <v>1299</v>
      </c>
      <c r="O1426" s="161" t="s">
        <v>25</v>
      </c>
      <c r="P1426" s="49" t="s">
        <v>25</v>
      </c>
      <c r="Q1426" s="166" t="s">
        <v>4313</v>
      </c>
      <c r="R1426" s="151"/>
    </row>
    <row r="1427" spans="1:18">
      <c r="A1427" s="162" t="s">
        <v>47</v>
      </c>
      <c r="B1427" s="101" t="s">
        <v>369</v>
      </c>
      <c r="C1427" s="135" t="s">
        <v>4259</v>
      </c>
      <c r="D1427" s="161" t="s">
        <v>4259</v>
      </c>
      <c r="E1427" s="161" t="s">
        <v>2048</v>
      </c>
      <c r="F1427" s="161" t="s">
        <v>4255</v>
      </c>
      <c r="G1427" s="171">
        <v>23</v>
      </c>
      <c r="H1427" s="163">
        <f t="shared" si="113"/>
        <v>13.9685</v>
      </c>
      <c r="I1427" s="176">
        <v>4.456</v>
      </c>
      <c r="J1427" s="176">
        <v>10831.817285061</v>
      </c>
      <c r="K1427" s="176">
        <f>K1426+J1427</f>
        <v>17835.209958135</v>
      </c>
      <c r="L1427" s="163"/>
      <c r="M1427" s="161" t="s">
        <v>4140</v>
      </c>
      <c r="N1427" s="161" t="s">
        <v>1331</v>
      </c>
      <c r="O1427" s="161"/>
      <c r="P1427" s="49"/>
      <c r="Q1427" s="166" t="s">
        <v>4260</v>
      </c>
      <c r="R1427" s="151"/>
    </row>
    <row r="1428" spans="1:18">
      <c r="A1428" s="162" t="s">
        <v>47</v>
      </c>
      <c r="B1428" s="101" t="s">
        <v>369</v>
      </c>
      <c r="C1428" s="84" t="s">
        <v>4314</v>
      </c>
      <c r="D1428" s="161" t="s">
        <v>1302</v>
      </c>
      <c r="E1428" s="161" t="s">
        <v>2048</v>
      </c>
      <c r="F1428" s="161" t="s">
        <v>4255</v>
      </c>
      <c r="G1428" s="171">
        <v>38.2533</v>
      </c>
      <c r="H1428" s="163">
        <f t="shared" si="113"/>
        <v>15.2533</v>
      </c>
      <c r="I1428" s="176">
        <v>2.863</v>
      </c>
      <c r="J1428" s="176">
        <v>11342.1719212646</v>
      </c>
      <c r="K1428" s="176">
        <f>K1427+J1428</f>
        <v>29177.3818793996</v>
      </c>
      <c r="L1428" s="163"/>
      <c r="M1428" s="161" t="s">
        <v>4309</v>
      </c>
      <c r="N1428" s="161" t="s">
        <v>1299</v>
      </c>
      <c r="O1428" s="161" t="s">
        <v>25</v>
      </c>
      <c r="P1428" s="49" t="s">
        <v>25</v>
      </c>
      <c r="Q1428" s="166" t="s">
        <v>4315</v>
      </c>
      <c r="R1428" s="151"/>
    </row>
    <row r="1429" spans="1:18">
      <c r="A1429" s="162" t="s">
        <v>47</v>
      </c>
      <c r="B1429" s="101" t="s">
        <v>369</v>
      </c>
      <c r="C1429" s="84" t="s">
        <v>4316</v>
      </c>
      <c r="D1429" s="161" t="s">
        <v>1305</v>
      </c>
      <c r="E1429" s="161" t="s">
        <v>2048</v>
      </c>
      <c r="F1429" s="161" t="s">
        <v>4317</v>
      </c>
      <c r="G1429" s="171">
        <v>58.5023</v>
      </c>
      <c r="H1429" s="163">
        <f t="shared" si="113"/>
        <v>20.249</v>
      </c>
      <c r="I1429" s="176">
        <v>1.015</v>
      </c>
      <c r="J1429" s="176">
        <v>15056.8875</v>
      </c>
      <c r="K1429" s="176">
        <f>K1428+J1429</f>
        <v>44234.2693793996</v>
      </c>
      <c r="L1429" s="163"/>
      <c r="M1429" s="161" t="s">
        <v>4309</v>
      </c>
      <c r="N1429" s="161" t="s">
        <v>1299</v>
      </c>
      <c r="O1429" s="161" t="s">
        <v>25</v>
      </c>
      <c r="P1429" s="49" t="s">
        <v>25</v>
      </c>
      <c r="Q1429" s="166" t="s">
        <v>4318</v>
      </c>
      <c r="R1429" s="151"/>
    </row>
    <row r="1430" spans="1:18">
      <c r="A1430" s="162" t="s">
        <v>47</v>
      </c>
      <c r="B1430" s="101" t="s">
        <v>369</v>
      </c>
      <c r="C1430" s="84" t="s">
        <v>4319</v>
      </c>
      <c r="D1430" s="161" t="s">
        <v>1307</v>
      </c>
      <c r="E1430" s="161" t="s">
        <v>2048</v>
      </c>
      <c r="F1430" s="161" t="s">
        <v>4317</v>
      </c>
      <c r="G1430" s="171">
        <v>78.9999</v>
      </c>
      <c r="H1430" s="163">
        <f t="shared" si="113"/>
        <v>20.4976</v>
      </c>
      <c r="I1430" s="176">
        <v>0.827</v>
      </c>
      <c r="J1430" s="176">
        <v>15241.7399285552</v>
      </c>
      <c r="K1430" s="176">
        <f>K1429+J1430</f>
        <v>59476.0093079548</v>
      </c>
      <c r="L1430" s="163"/>
      <c r="M1430" s="161" t="s">
        <v>4309</v>
      </c>
      <c r="N1430" s="161" t="s">
        <v>1299</v>
      </c>
      <c r="O1430" s="161" t="s">
        <v>25</v>
      </c>
      <c r="P1430" s="49" t="s">
        <v>25</v>
      </c>
      <c r="Q1430" s="166" t="s">
        <v>4320</v>
      </c>
      <c r="R1430" s="151"/>
    </row>
    <row r="1431" spans="1:18">
      <c r="A1431" s="162" t="s">
        <v>47</v>
      </c>
      <c r="B1431" s="101" t="s">
        <v>369</v>
      </c>
      <c r="C1431" s="84" t="s">
        <v>4321</v>
      </c>
      <c r="D1431" s="161" t="s">
        <v>4321</v>
      </c>
      <c r="E1431" s="161" t="s">
        <v>2048</v>
      </c>
      <c r="F1431" s="161" t="s">
        <v>4317</v>
      </c>
      <c r="G1431" s="171">
        <v>79.1429</v>
      </c>
      <c r="H1431" s="163">
        <f t="shared" si="113"/>
        <v>0.143000000000001</v>
      </c>
      <c r="I1431" s="176"/>
      <c r="J1431" s="176"/>
      <c r="K1431" s="176"/>
      <c r="L1431" s="163"/>
      <c r="M1431" s="161"/>
      <c r="N1431" s="161"/>
      <c r="O1431" s="161" t="s">
        <v>16</v>
      </c>
      <c r="P1431" s="49" t="s">
        <v>16</v>
      </c>
      <c r="Q1431" s="166"/>
      <c r="R1431" s="151"/>
    </row>
    <row r="1432" spans="1:18">
      <c r="A1432" s="162" t="s">
        <v>47</v>
      </c>
      <c r="B1432" s="101" t="s">
        <v>369</v>
      </c>
      <c r="C1432" s="84" t="s">
        <v>4322</v>
      </c>
      <c r="D1432" s="161" t="s">
        <v>4322</v>
      </c>
      <c r="E1432" s="161" t="s">
        <v>2048</v>
      </c>
      <c r="F1432" s="161" t="s">
        <v>4317</v>
      </c>
      <c r="G1432" s="171">
        <v>103.9999</v>
      </c>
      <c r="H1432" s="163">
        <f t="shared" si="113"/>
        <v>24.857</v>
      </c>
      <c r="I1432" s="176">
        <v>2.183</v>
      </c>
      <c r="J1432" s="176">
        <v>16179.6180755663</v>
      </c>
      <c r="K1432" s="176">
        <f>K1430+J1432</f>
        <v>75655.6273835211</v>
      </c>
      <c r="L1432" s="163"/>
      <c r="M1432" s="161" t="s">
        <v>4309</v>
      </c>
      <c r="N1432" s="161" t="s">
        <v>1331</v>
      </c>
      <c r="O1432" s="161" t="s">
        <v>14</v>
      </c>
      <c r="P1432" s="49" t="s">
        <v>14</v>
      </c>
      <c r="Q1432" s="166" t="s">
        <v>4323</v>
      </c>
      <c r="R1432" s="151"/>
    </row>
    <row r="1433" spans="1:18">
      <c r="A1433" s="162" t="s">
        <v>47</v>
      </c>
      <c r="B1433" s="101" t="s">
        <v>369</v>
      </c>
      <c r="C1433" s="84" t="s">
        <v>4324</v>
      </c>
      <c r="D1433" s="161" t="s">
        <v>1311</v>
      </c>
      <c r="E1433" s="161" t="s">
        <v>2048</v>
      </c>
      <c r="F1433" s="161" t="s">
        <v>4317</v>
      </c>
      <c r="G1433" s="171">
        <v>119.9999</v>
      </c>
      <c r="H1433" s="163">
        <f t="shared" si="113"/>
        <v>16</v>
      </c>
      <c r="I1433" s="176"/>
      <c r="J1433" s="176"/>
      <c r="K1433" s="176"/>
      <c r="L1433" s="163"/>
      <c r="M1433" s="161"/>
      <c r="N1433" s="161" t="s">
        <v>1299</v>
      </c>
      <c r="O1433" s="161" t="s">
        <v>25</v>
      </c>
      <c r="P1433" s="49" t="s">
        <v>25</v>
      </c>
      <c r="Q1433" s="166"/>
      <c r="R1433" s="151"/>
    </row>
    <row r="1434" spans="1:18">
      <c r="A1434" s="162" t="s">
        <v>47</v>
      </c>
      <c r="B1434" s="101" t="s">
        <v>369</v>
      </c>
      <c r="C1434" s="84" t="s">
        <v>4325</v>
      </c>
      <c r="D1434" s="161" t="s">
        <v>4325</v>
      </c>
      <c r="E1434" s="161" t="s">
        <v>2048</v>
      </c>
      <c r="F1434" s="161" t="s">
        <v>4317</v>
      </c>
      <c r="G1434" s="171">
        <v>120.3493</v>
      </c>
      <c r="H1434" s="163">
        <f t="shared" si="113"/>
        <v>0.349400000000003</v>
      </c>
      <c r="I1434" s="176">
        <v>0.203</v>
      </c>
      <c r="J1434" s="176">
        <v>11943.36828082</v>
      </c>
      <c r="K1434" s="176">
        <f>K1432+J1434</f>
        <v>87598.9956643411</v>
      </c>
      <c r="L1434" s="163" t="s">
        <v>2884</v>
      </c>
      <c r="M1434" s="161" t="s">
        <v>4309</v>
      </c>
      <c r="N1434" s="161" t="s">
        <v>1331</v>
      </c>
      <c r="O1434" s="161" t="s">
        <v>16</v>
      </c>
      <c r="P1434" s="49" t="s">
        <v>16</v>
      </c>
      <c r="Q1434" s="166" t="s">
        <v>4326</v>
      </c>
      <c r="R1434" s="151"/>
    </row>
    <row r="1435" spans="1:18">
      <c r="A1435" s="162" t="s">
        <v>47</v>
      </c>
      <c r="B1435" s="101" t="s">
        <v>369</v>
      </c>
      <c r="C1435" s="84" t="s">
        <v>4327</v>
      </c>
      <c r="D1435" s="161" t="s">
        <v>4327</v>
      </c>
      <c r="E1435" s="161" t="s">
        <v>2048</v>
      </c>
      <c r="F1435" s="161" t="s">
        <v>4328</v>
      </c>
      <c r="G1435" s="171">
        <v>133.9999</v>
      </c>
      <c r="H1435" s="163">
        <f t="shared" si="113"/>
        <v>13.6506</v>
      </c>
      <c r="I1435" s="176">
        <v>0.373</v>
      </c>
      <c r="J1435" s="176">
        <v>10355.913361851</v>
      </c>
      <c r="K1435" s="176">
        <f>K1434+J1435</f>
        <v>97954.9090261921</v>
      </c>
      <c r="L1435" s="163"/>
      <c r="M1435" s="161" t="s">
        <v>4309</v>
      </c>
      <c r="N1435" s="161" t="s">
        <v>1331</v>
      </c>
      <c r="O1435" s="161" t="s">
        <v>14</v>
      </c>
      <c r="P1435" s="49" t="s">
        <v>14</v>
      </c>
      <c r="Q1435" s="166" t="s">
        <v>4329</v>
      </c>
      <c r="R1435" s="151"/>
    </row>
    <row r="1436" spans="1:18">
      <c r="A1436" s="162" t="s">
        <v>47</v>
      </c>
      <c r="B1436" s="101" t="s">
        <v>369</v>
      </c>
      <c r="C1436" s="84" t="s">
        <v>371</v>
      </c>
      <c r="D1436" s="161" t="s">
        <v>371</v>
      </c>
      <c r="E1436" s="161" t="s">
        <v>2048</v>
      </c>
      <c r="F1436" s="161" t="s">
        <v>4328</v>
      </c>
      <c r="G1436" s="171">
        <v>164.9999</v>
      </c>
      <c r="H1436" s="163">
        <f t="shared" si="113"/>
        <v>31</v>
      </c>
      <c r="I1436" s="176">
        <v>2.241</v>
      </c>
      <c r="J1436" s="176">
        <v>23308.0695362442</v>
      </c>
      <c r="K1436" s="176">
        <f>K1435+J1436</f>
        <v>121262.978562436</v>
      </c>
      <c r="L1436" s="163"/>
      <c r="M1436" s="161" t="s">
        <v>4309</v>
      </c>
      <c r="N1436" s="161" t="s">
        <v>1331</v>
      </c>
      <c r="O1436" s="161" t="s">
        <v>14</v>
      </c>
      <c r="P1436" s="49" t="s">
        <v>14</v>
      </c>
      <c r="Q1436" s="166" t="s">
        <v>4330</v>
      </c>
      <c r="R1436" s="151"/>
    </row>
    <row r="1437" spans="1:18">
      <c r="A1437" s="162" t="s">
        <v>47</v>
      </c>
      <c r="B1437" s="101" t="s">
        <v>378</v>
      </c>
      <c r="C1437" s="135" t="s">
        <v>367</v>
      </c>
      <c r="D1437" s="161" t="s">
        <v>367</v>
      </c>
      <c r="E1437" s="161" t="s">
        <v>2048</v>
      </c>
      <c r="F1437" s="161" t="s">
        <v>4328</v>
      </c>
      <c r="G1437" s="163">
        <v>0</v>
      </c>
      <c r="H1437" s="163">
        <v>0</v>
      </c>
      <c r="I1437" s="176"/>
      <c r="J1437" s="176"/>
      <c r="K1437" s="176"/>
      <c r="L1437" s="163"/>
      <c r="M1437" s="161" t="s">
        <v>4286</v>
      </c>
      <c r="N1437" s="161" t="s">
        <v>1331</v>
      </c>
      <c r="O1437" s="161"/>
      <c r="P1437" s="49"/>
      <c r="Q1437" s="166" t="s">
        <v>4292</v>
      </c>
      <c r="R1437" s="151"/>
    </row>
    <row r="1438" spans="1:18">
      <c r="A1438" s="162" t="s">
        <v>47</v>
      </c>
      <c r="B1438" s="101" t="s">
        <v>378</v>
      </c>
      <c r="C1438" s="135" t="s">
        <v>379</v>
      </c>
      <c r="D1438" s="161" t="e">
        <v>#N/A</v>
      </c>
      <c r="E1438" s="161" t="s">
        <v>2048</v>
      </c>
      <c r="F1438" s="161"/>
      <c r="G1438" s="163">
        <v>2.81</v>
      </c>
      <c r="H1438" s="163">
        <v>2.81</v>
      </c>
      <c r="I1438" s="176"/>
      <c r="J1438" s="176"/>
      <c r="K1438" s="176"/>
      <c r="L1438" s="163"/>
      <c r="M1438" s="161" t="e">
        <v>#N/A</v>
      </c>
      <c r="N1438" s="161"/>
      <c r="O1438" s="161"/>
      <c r="P1438" s="49"/>
      <c r="Q1438" s="166" t="e">
        <v>#N/A</v>
      </c>
      <c r="R1438" s="151"/>
    </row>
    <row r="1439" spans="1:18">
      <c r="A1439" s="162" t="s">
        <v>47</v>
      </c>
      <c r="B1439" s="101" t="s">
        <v>378</v>
      </c>
      <c r="C1439" s="135" t="s">
        <v>367</v>
      </c>
      <c r="D1439" s="161" t="s">
        <v>367</v>
      </c>
      <c r="E1439" s="161" t="s">
        <v>2048</v>
      </c>
      <c r="F1439" s="161" t="s">
        <v>4328</v>
      </c>
      <c r="G1439" s="163">
        <v>0</v>
      </c>
      <c r="H1439" s="163">
        <v>0</v>
      </c>
      <c r="I1439" s="176"/>
      <c r="J1439" s="176"/>
      <c r="K1439" s="176"/>
      <c r="L1439" s="163"/>
      <c r="M1439" s="161" t="s">
        <v>4286</v>
      </c>
      <c r="N1439" s="161"/>
      <c r="O1439" s="161"/>
      <c r="P1439" s="49"/>
      <c r="Q1439" s="166" t="s">
        <v>4292</v>
      </c>
      <c r="R1439" s="151"/>
    </row>
    <row r="1440" spans="1:18">
      <c r="A1440" s="162" t="s">
        <v>47</v>
      </c>
      <c r="B1440" s="101" t="s">
        <v>378</v>
      </c>
      <c r="C1440" s="135" t="s">
        <v>4331</v>
      </c>
      <c r="D1440" s="161" t="e">
        <v>#N/A</v>
      </c>
      <c r="E1440" s="161" t="s">
        <v>2048</v>
      </c>
      <c r="F1440" s="161"/>
      <c r="G1440" s="163">
        <v>0.9</v>
      </c>
      <c r="H1440" s="163">
        <v>0.9</v>
      </c>
      <c r="I1440" s="176"/>
      <c r="J1440" s="176"/>
      <c r="K1440" s="176"/>
      <c r="L1440" s="163"/>
      <c r="M1440" s="161" t="e">
        <v>#N/A</v>
      </c>
      <c r="N1440" s="161"/>
      <c r="O1440" s="161"/>
      <c r="P1440" s="49"/>
      <c r="Q1440" s="166" t="e">
        <v>#N/A</v>
      </c>
      <c r="R1440" s="151"/>
    </row>
    <row r="1441" spans="1:18">
      <c r="A1441" s="162" t="s">
        <v>47</v>
      </c>
      <c r="B1441" s="101" t="s">
        <v>378</v>
      </c>
      <c r="C1441" s="135" t="s">
        <v>367</v>
      </c>
      <c r="D1441" s="161" t="s">
        <v>367</v>
      </c>
      <c r="E1441" s="161" t="s">
        <v>2048</v>
      </c>
      <c r="F1441" s="161" t="s">
        <v>4328</v>
      </c>
      <c r="G1441" s="163">
        <v>0</v>
      </c>
      <c r="H1441" s="163">
        <v>0</v>
      </c>
      <c r="I1441" s="176"/>
      <c r="J1441" s="176"/>
      <c r="K1441" s="176"/>
      <c r="L1441" s="163"/>
      <c r="M1441" s="161" t="s">
        <v>4286</v>
      </c>
      <c r="N1441" s="161"/>
      <c r="O1441" s="161"/>
      <c r="P1441" s="49"/>
      <c r="Q1441" s="166" t="s">
        <v>4292</v>
      </c>
      <c r="R1441" s="151"/>
    </row>
    <row r="1442" spans="1:18">
      <c r="A1442" s="162" t="s">
        <v>47</v>
      </c>
      <c r="B1442" s="101" t="s">
        <v>378</v>
      </c>
      <c r="C1442" s="135" t="s">
        <v>4332</v>
      </c>
      <c r="D1442" s="161" t="e">
        <v>#N/A</v>
      </c>
      <c r="E1442" s="161" t="s">
        <v>2048</v>
      </c>
      <c r="F1442" s="161"/>
      <c r="G1442" s="163">
        <v>0.8</v>
      </c>
      <c r="H1442" s="163">
        <v>0.8</v>
      </c>
      <c r="I1442" s="176"/>
      <c r="J1442" s="176"/>
      <c r="K1442" s="176"/>
      <c r="L1442" s="163"/>
      <c r="M1442" s="161" t="e">
        <v>#N/A</v>
      </c>
      <c r="N1442" s="161"/>
      <c r="O1442" s="161"/>
      <c r="P1442" s="49"/>
      <c r="Q1442" s="166" t="e">
        <v>#N/A</v>
      </c>
      <c r="R1442" s="151"/>
    </row>
    <row r="1443" spans="1:18">
      <c r="A1443" s="162" t="s">
        <v>47</v>
      </c>
      <c r="B1443" s="101" t="s">
        <v>378</v>
      </c>
      <c r="C1443" s="135" t="s">
        <v>367</v>
      </c>
      <c r="D1443" s="161" t="s">
        <v>367</v>
      </c>
      <c r="E1443" s="161" t="s">
        <v>2048</v>
      </c>
      <c r="F1443" s="161" t="s">
        <v>4328</v>
      </c>
      <c r="G1443" s="163">
        <v>0</v>
      </c>
      <c r="H1443" s="163">
        <v>0</v>
      </c>
      <c r="I1443" s="176"/>
      <c r="J1443" s="176"/>
      <c r="K1443" s="176"/>
      <c r="L1443" s="163"/>
      <c r="M1443" s="161" t="s">
        <v>4286</v>
      </c>
      <c r="N1443" s="161"/>
      <c r="O1443" s="161"/>
      <c r="P1443" s="49"/>
      <c r="Q1443" s="166" t="s">
        <v>4292</v>
      </c>
      <c r="R1443" s="151"/>
    </row>
    <row r="1444" spans="1:18">
      <c r="A1444" s="162" t="s">
        <v>47</v>
      </c>
      <c r="B1444" s="101" t="s">
        <v>378</v>
      </c>
      <c r="C1444" s="135" t="s">
        <v>4333</v>
      </c>
      <c r="D1444" s="161" t="e">
        <v>#N/A</v>
      </c>
      <c r="E1444" s="161" t="s">
        <v>2048</v>
      </c>
      <c r="F1444" s="161"/>
      <c r="G1444" s="163">
        <v>9.176</v>
      </c>
      <c r="H1444" s="163">
        <v>9.176</v>
      </c>
      <c r="I1444" s="176"/>
      <c r="J1444" s="176"/>
      <c r="K1444" s="176"/>
      <c r="L1444" s="163"/>
      <c r="M1444" s="161" t="e">
        <v>#N/A</v>
      </c>
      <c r="N1444" s="161"/>
      <c r="O1444" s="161"/>
      <c r="P1444" s="49"/>
      <c r="Q1444" s="166" t="e">
        <v>#N/A</v>
      </c>
      <c r="R1444" s="151"/>
    </row>
    <row r="1445" spans="1:18">
      <c r="A1445" s="162" t="s">
        <v>47</v>
      </c>
      <c r="B1445" s="101" t="s">
        <v>378</v>
      </c>
      <c r="C1445" s="135" t="s">
        <v>367</v>
      </c>
      <c r="D1445" s="161" t="s">
        <v>367</v>
      </c>
      <c r="E1445" s="161" t="s">
        <v>2048</v>
      </c>
      <c r="F1445" s="161" t="s">
        <v>4328</v>
      </c>
      <c r="G1445" s="163">
        <v>0</v>
      </c>
      <c r="H1445" s="163">
        <v>0</v>
      </c>
      <c r="I1445" s="176"/>
      <c r="J1445" s="176"/>
      <c r="K1445" s="176"/>
      <c r="L1445" s="163"/>
      <c r="M1445" s="161" t="s">
        <v>4286</v>
      </c>
      <c r="N1445" s="161"/>
      <c r="O1445" s="161"/>
      <c r="P1445" s="49"/>
      <c r="Q1445" s="166" t="s">
        <v>4292</v>
      </c>
      <c r="R1445" s="151"/>
    </row>
    <row r="1446" spans="1:18">
      <c r="A1446" s="162" t="s">
        <v>47</v>
      </c>
      <c r="B1446" s="101" t="s">
        <v>378</v>
      </c>
      <c r="C1446" s="135" t="s">
        <v>4334</v>
      </c>
      <c r="D1446" s="161" t="e">
        <v>#N/A</v>
      </c>
      <c r="E1446" s="161" t="s">
        <v>2048</v>
      </c>
      <c r="F1446" s="161"/>
      <c r="G1446" s="163">
        <v>9.2</v>
      </c>
      <c r="H1446" s="163">
        <v>9.2</v>
      </c>
      <c r="I1446" s="176"/>
      <c r="J1446" s="176"/>
      <c r="K1446" s="176"/>
      <c r="L1446" s="163"/>
      <c r="M1446" s="161" t="e">
        <v>#N/A</v>
      </c>
      <c r="N1446" s="161"/>
      <c r="O1446" s="161"/>
      <c r="P1446" s="49"/>
      <c r="Q1446" s="166" t="e">
        <v>#N/A</v>
      </c>
      <c r="R1446" s="151"/>
    </row>
    <row r="1447" spans="1:18">
      <c r="A1447" s="162" t="s">
        <v>47</v>
      </c>
      <c r="B1447" s="101" t="s">
        <v>375</v>
      </c>
      <c r="C1447" s="135" t="s">
        <v>376</v>
      </c>
      <c r="D1447" s="161" t="s">
        <v>376</v>
      </c>
      <c r="E1447" s="161" t="s">
        <v>2048</v>
      </c>
      <c r="F1447" s="161" t="s">
        <v>4317</v>
      </c>
      <c r="G1447" s="163">
        <v>0</v>
      </c>
      <c r="H1447" s="163">
        <v>0</v>
      </c>
      <c r="I1447" s="176" t="s">
        <v>147</v>
      </c>
      <c r="J1447" s="176">
        <v>0</v>
      </c>
      <c r="K1447" s="176">
        <v>0</v>
      </c>
      <c r="L1447" s="163"/>
      <c r="M1447" s="161" t="s">
        <v>4286</v>
      </c>
      <c r="N1447" s="161" t="s">
        <v>1331</v>
      </c>
      <c r="O1447" s="161"/>
      <c r="P1447" s="49"/>
      <c r="Q1447" s="166" t="s">
        <v>4291</v>
      </c>
      <c r="R1447" s="151"/>
    </row>
    <row r="1448" spans="1:18">
      <c r="A1448" s="162" t="s">
        <v>47</v>
      </c>
      <c r="B1448" s="101" t="s">
        <v>375</v>
      </c>
      <c r="C1448" s="84" t="s">
        <v>377</v>
      </c>
      <c r="D1448" s="161" t="s">
        <v>377</v>
      </c>
      <c r="E1448" s="161" t="s">
        <v>2048</v>
      </c>
      <c r="F1448" s="161" t="s">
        <v>4317</v>
      </c>
      <c r="G1448" s="163">
        <v>11.605</v>
      </c>
      <c r="H1448" s="163">
        <v>11.605</v>
      </c>
      <c r="I1448" s="173">
        <v>1.48</v>
      </c>
      <c r="J1448" s="173">
        <v>3670.58400767265</v>
      </c>
      <c r="K1448" s="173">
        <v>3670.58400767265</v>
      </c>
      <c r="L1448" s="174" t="s">
        <v>147</v>
      </c>
      <c r="M1448" s="161">
        <v>0</v>
      </c>
      <c r="N1448" s="161" t="s">
        <v>1331</v>
      </c>
      <c r="O1448" s="161" t="s">
        <v>14</v>
      </c>
      <c r="P1448" s="49" t="s">
        <v>14</v>
      </c>
      <c r="Q1448" s="166" t="s">
        <v>4335</v>
      </c>
      <c r="R1448" s="151"/>
    </row>
    <row r="1449" spans="1:18">
      <c r="A1449" s="162" t="s">
        <v>47</v>
      </c>
      <c r="B1449" s="101" t="s">
        <v>373</v>
      </c>
      <c r="C1449" s="135" t="s">
        <v>357</v>
      </c>
      <c r="D1449" s="161" t="s">
        <v>357</v>
      </c>
      <c r="E1449" s="161" t="s">
        <v>2048</v>
      </c>
      <c r="F1449" s="161" t="s">
        <v>4132</v>
      </c>
      <c r="G1449" s="163">
        <v>0</v>
      </c>
      <c r="H1449" s="163">
        <v>0</v>
      </c>
      <c r="I1449" s="176" t="s">
        <v>147</v>
      </c>
      <c r="J1449" s="176">
        <v>0</v>
      </c>
      <c r="K1449" s="176">
        <v>0</v>
      </c>
      <c r="L1449" s="163" t="s">
        <v>4283</v>
      </c>
      <c r="M1449" s="161" t="s">
        <v>4125</v>
      </c>
      <c r="N1449" s="161"/>
      <c r="O1449" s="161"/>
      <c r="P1449" s="49"/>
      <c r="Q1449" s="166" t="s">
        <v>4137</v>
      </c>
      <c r="R1449" s="151"/>
    </row>
    <row r="1450" spans="1:18">
      <c r="A1450" s="162" t="s">
        <v>47</v>
      </c>
      <c r="B1450" s="101" t="s">
        <v>373</v>
      </c>
      <c r="C1450" s="135" t="s">
        <v>374</v>
      </c>
      <c r="D1450" s="161" t="s">
        <v>374</v>
      </c>
      <c r="E1450" s="161" t="s">
        <v>2048</v>
      </c>
      <c r="F1450" s="161" t="s">
        <v>4132</v>
      </c>
      <c r="G1450" s="163">
        <v>12.5</v>
      </c>
      <c r="H1450" s="163">
        <v>12.5</v>
      </c>
      <c r="I1450" s="176" t="s">
        <v>147</v>
      </c>
      <c r="J1450" s="173">
        <v>2762.5755325</v>
      </c>
      <c r="K1450" s="173">
        <v>2762.5755325</v>
      </c>
      <c r="L1450" s="163"/>
      <c r="M1450" s="161">
        <v>0</v>
      </c>
      <c r="N1450" s="161" t="s">
        <v>1331</v>
      </c>
      <c r="O1450" s="161" t="s">
        <v>14</v>
      </c>
      <c r="P1450" s="49"/>
      <c r="Q1450" s="166" t="s">
        <v>4336</v>
      </c>
      <c r="R1450" s="151"/>
    </row>
    <row r="1451" ht="30" spans="1:18">
      <c r="A1451" s="188" t="s">
        <v>48</v>
      </c>
      <c r="B1451" s="101" t="s">
        <v>380</v>
      </c>
      <c r="C1451" s="135" t="s">
        <v>381</v>
      </c>
      <c r="D1451" s="161" t="s">
        <v>3994</v>
      </c>
      <c r="E1451" s="161" t="s">
        <v>2048</v>
      </c>
      <c r="F1451" s="161" t="s">
        <v>3989</v>
      </c>
      <c r="G1451" s="163">
        <v>0</v>
      </c>
      <c r="H1451" s="163">
        <v>0</v>
      </c>
      <c r="I1451" s="176">
        <v>1187.32</v>
      </c>
      <c r="J1451" s="176">
        <v>0</v>
      </c>
      <c r="K1451" s="176">
        <v>0</v>
      </c>
      <c r="L1451" s="163" t="s">
        <v>4337</v>
      </c>
      <c r="M1451" s="161" t="s">
        <v>3979</v>
      </c>
      <c r="N1451" s="161"/>
      <c r="O1451" s="161"/>
      <c r="P1451" s="49"/>
      <c r="Q1451" s="166" t="s">
        <v>3996</v>
      </c>
      <c r="R1451" s="151"/>
    </row>
    <row r="1452" spans="1:18">
      <c r="A1452" s="188" t="s">
        <v>48</v>
      </c>
      <c r="B1452" s="101" t="s">
        <v>380</v>
      </c>
      <c r="C1452" s="84" t="s">
        <v>4338</v>
      </c>
      <c r="D1452" s="161" t="s">
        <v>1298</v>
      </c>
      <c r="E1452" s="161" t="s">
        <v>2048</v>
      </c>
      <c r="F1452" s="161" t="s">
        <v>3989</v>
      </c>
      <c r="G1452" s="163">
        <v>28.3485</v>
      </c>
      <c r="H1452" s="163">
        <f>G1452-G1451</f>
        <v>28.3485</v>
      </c>
      <c r="I1452" s="176">
        <v>1117.66</v>
      </c>
      <c r="J1452" s="176"/>
      <c r="K1452" s="173">
        <f>K1451+J1452</f>
        <v>0</v>
      </c>
      <c r="L1452" s="174"/>
      <c r="M1452" s="161" t="s">
        <v>4339</v>
      </c>
      <c r="N1452" s="161" t="s">
        <v>1299</v>
      </c>
      <c r="O1452" s="161" t="s">
        <v>25</v>
      </c>
      <c r="P1452" s="49" t="s">
        <v>25</v>
      </c>
      <c r="Q1452" s="166" t="s">
        <v>4340</v>
      </c>
      <c r="R1452" s="151"/>
    </row>
    <row r="1453" spans="1:18">
      <c r="A1453" s="188" t="s">
        <v>48</v>
      </c>
      <c r="B1453" s="101" t="s">
        <v>380</v>
      </c>
      <c r="C1453" s="84" t="s">
        <v>4341</v>
      </c>
      <c r="D1453" s="161" t="s">
        <v>1302</v>
      </c>
      <c r="E1453" s="161" t="s">
        <v>2048</v>
      </c>
      <c r="F1453" s="161" t="s">
        <v>4342</v>
      </c>
      <c r="G1453" s="163">
        <v>45.8042</v>
      </c>
      <c r="H1453" s="163">
        <f>G1453-G1452</f>
        <v>17.4557</v>
      </c>
      <c r="I1453" s="176">
        <v>1165.99</v>
      </c>
      <c r="J1453" s="176"/>
      <c r="K1453" s="173">
        <f>K1452+J1453</f>
        <v>0</v>
      </c>
      <c r="L1453" s="174"/>
      <c r="M1453" s="161" t="s">
        <v>4339</v>
      </c>
      <c r="N1453" s="161" t="s">
        <v>1299</v>
      </c>
      <c r="O1453" s="161" t="s">
        <v>25</v>
      </c>
      <c r="P1453" s="49" t="s">
        <v>25</v>
      </c>
      <c r="Q1453" s="166" t="s">
        <v>4343</v>
      </c>
      <c r="R1453" s="151"/>
    </row>
    <row r="1454" spans="1:18">
      <c r="A1454" s="188" t="s">
        <v>48</v>
      </c>
      <c r="B1454" s="101" t="s">
        <v>380</v>
      </c>
      <c r="C1454" s="84" t="s">
        <v>4344</v>
      </c>
      <c r="D1454" s="161" t="s">
        <v>1305</v>
      </c>
      <c r="E1454" s="161" t="s">
        <v>2048</v>
      </c>
      <c r="F1454" s="161" t="s">
        <v>4342</v>
      </c>
      <c r="G1454" s="163">
        <v>69</v>
      </c>
      <c r="H1454" s="163">
        <f>G1454-G1453</f>
        <v>23.1958</v>
      </c>
      <c r="I1454" s="173">
        <v>1253.23</v>
      </c>
      <c r="J1454" s="176"/>
      <c r="K1454" s="173">
        <f t="shared" ref="K1454:K1485" si="114">K1453+J1454</f>
        <v>0</v>
      </c>
      <c r="L1454" s="174"/>
      <c r="M1454" s="161" t="s">
        <v>4339</v>
      </c>
      <c r="N1454" s="161" t="s">
        <v>1299</v>
      </c>
      <c r="O1454" s="161" t="s">
        <v>25</v>
      </c>
      <c r="P1454" s="49" t="s">
        <v>25</v>
      </c>
      <c r="Q1454" s="166" t="s">
        <v>4345</v>
      </c>
      <c r="R1454" s="151"/>
    </row>
    <row r="1455" spans="1:18">
      <c r="A1455" s="188" t="s">
        <v>48</v>
      </c>
      <c r="B1455" s="101" t="s">
        <v>380</v>
      </c>
      <c r="C1455" s="84" t="s">
        <v>4346</v>
      </c>
      <c r="D1455" s="189" t="s">
        <v>4346</v>
      </c>
      <c r="E1455" s="161" t="s">
        <v>2048</v>
      </c>
      <c r="F1455" s="161"/>
      <c r="G1455" s="163">
        <v>69</v>
      </c>
      <c r="H1455" s="163">
        <f t="shared" ref="H1455:H1503" si="115">G1455-G1454</f>
        <v>0</v>
      </c>
      <c r="I1455" s="173"/>
      <c r="J1455" s="176"/>
      <c r="K1455" s="173">
        <f t="shared" si="114"/>
        <v>0</v>
      </c>
      <c r="L1455" s="174" t="s">
        <v>2183</v>
      </c>
      <c r="M1455" s="161" t="s">
        <v>4339</v>
      </c>
      <c r="N1455" s="161"/>
      <c r="O1455" s="161" t="s">
        <v>16</v>
      </c>
      <c r="P1455" s="49" t="s">
        <v>16</v>
      </c>
      <c r="Q1455" s="166"/>
      <c r="R1455" s="151"/>
    </row>
    <row r="1456" spans="1:18">
      <c r="A1456" s="188" t="s">
        <v>48</v>
      </c>
      <c r="B1456" s="101" t="s">
        <v>380</v>
      </c>
      <c r="C1456" s="84" t="s">
        <v>4347</v>
      </c>
      <c r="D1456" s="161" t="s">
        <v>1307</v>
      </c>
      <c r="E1456" s="161" t="s">
        <v>2048</v>
      </c>
      <c r="F1456" s="161" t="s">
        <v>4342</v>
      </c>
      <c r="G1456" s="163">
        <v>87.5238</v>
      </c>
      <c r="H1456" s="163">
        <f t="shared" si="115"/>
        <v>18.5238</v>
      </c>
      <c r="I1456" s="173">
        <v>932.89</v>
      </c>
      <c r="J1456" s="176"/>
      <c r="K1456" s="173">
        <f t="shared" si="114"/>
        <v>0</v>
      </c>
      <c r="L1456" s="174"/>
      <c r="M1456" s="161" t="s">
        <v>4339</v>
      </c>
      <c r="N1456" s="161" t="s">
        <v>1299</v>
      </c>
      <c r="O1456" s="161" t="s">
        <v>25</v>
      </c>
      <c r="P1456" s="49" t="s">
        <v>25</v>
      </c>
      <c r="Q1456" s="166" t="s">
        <v>4348</v>
      </c>
      <c r="R1456" s="151"/>
    </row>
    <row r="1457" spans="1:18">
      <c r="A1457" s="188" t="s">
        <v>48</v>
      </c>
      <c r="B1457" s="101" t="s">
        <v>380</v>
      </c>
      <c r="C1457" s="84" t="s">
        <v>4349</v>
      </c>
      <c r="D1457" s="161" t="s">
        <v>1311</v>
      </c>
      <c r="E1457" s="161" t="s">
        <v>2048</v>
      </c>
      <c r="F1457" s="161" t="s">
        <v>4342</v>
      </c>
      <c r="G1457" s="163">
        <v>107.2054</v>
      </c>
      <c r="H1457" s="163">
        <f t="shared" si="115"/>
        <v>19.6816</v>
      </c>
      <c r="I1457" s="176">
        <v>1008.46</v>
      </c>
      <c r="J1457" s="176"/>
      <c r="K1457" s="173">
        <f t="shared" si="114"/>
        <v>0</v>
      </c>
      <c r="L1457" s="174"/>
      <c r="M1457" s="161" t="s">
        <v>4339</v>
      </c>
      <c r="N1457" s="161" t="s">
        <v>1299</v>
      </c>
      <c r="O1457" s="161" t="s">
        <v>25</v>
      </c>
      <c r="P1457" s="49" t="s">
        <v>25</v>
      </c>
      <c r="Q1457" s="166" t="s">
        <v>4350</v>
      </c>
      <c r="R1457" s="151"/>
    </row>
    <row r="1458" spans="1:18">
      <c r="A1458" s="188" t="s">
        <v>48</v>
      </c>
      <c r="B1458" s="101" t="s">
        <v>380</v>
      </c>
      <c r="C1458" s="84" t="s">
        <v>4351</v>
      </c>
      <c r="D1458" s="161" t="s">
        <v>1318</v>
      </c>
      <c r="E1458" s="161" t="s">
        <v>2048</v>
      </c>
      <c r="F1458" s="161" t="s">
        <v>4352</v>
      </c>
      <c r="G1458" s="163">
        <v>117.3438</v>
      </c>
      <c r="H1458" s="163">
        <f t="shared" si="115"/>
        <v>10.1384</v>
      </c>
      <c r="I1458" s="173">
        <v>955.09</v>
      </c>
      <c r="J1458" s="176"/>
      <c r="K1458" s="173">
        <f t="shared" si="114"/>
        <v>0</v>
      </c>
      <c r="L1458" s="174"/>
      <c r="M1458" s="161" t="s">
        <v>4339</v>
      </c>
      <c r="N1458" s="161" t="s">
        <v>1299</v>
      </c>
      <c r="O1458" s="161" t="s">
        <v>25</v>
      </c>
      <c r="P1458" s="49" t="s">
        <v>25</v>
      </c>
      <c r="Q1458" s="166" t="s">
        <v>4353</v>
      </c>
      <c r="R1458" s="151"/>
    </row>
    <row r="1459" spans="1:18">
      <c r="A1459" s="188" t="s">
        <v>48</v>
      </c>
      <c r="B1459" s="101" t="s">
        <v>380</v>
      </c>
      <c r="C1459" s="84" t="s">
        <v>4354</v>
      </c>
      <c r="D1459" s="161" t="s">
        <v>4354</v>
      </c>
      <c r="E1459" s="161" t="s">
        <v>2048</v>
      </c>
      <c r="F1459" s="161" t="s">
        <v>4352</v>
      </c>
      <c r="G1459" s="163">
        <v>126.305717</v>
      </c>
      <c r="H1459" s="163">
        <f t="shared" si="115"/>
        <v>8.961917</v>
      </c>
      <c r="I1459" s="173"/>
      <c r="J1459" s="176"/>
      <c r="K1459" s="173">
        <f t="shared" si="114"/>
        <v>0</v>
      </c>
      <c r="L1459" s="174" t="s">
        <v>4257</v>
      </c>
      <c r="M1459" s="161" t="s">
        <v>4339</v>
      </c>
      <c r="N1459" s="161"/>
      <c r="O1459" s="161" t="s">
        <v>16</v>
      </c>
      <c r="P1459" s="49" t="s">
        <v>16</v>
      </c>
      <c r="Q1459" s="166"/>
      <c r="R1459" s="151"/>
    </row>
    <row r="1460" spans="1:18">
      <c r="A1460" s="188" t="s">
        <v>48</v>
      </c>
      <c r="B1460" s="101" t="s">
        <v>380</v>
      </c>
      <c r="C1460" s="84" t="s">
        <v>4355</v>
      </c>
      <c r="D1460" s="161" t="s">
        <v>1321</v>
      </c>
      <c r="E1460" s="161" t="s">
        <v>2048</v>
      </c>
      <c r="F1460" s="161" t="s">
        <v>4352</v>
      </c>
      <c r="G1460" s="163">
        <v>140.9438</v>
      </c>
      <c r="H1460" s="163">
        <f t="shared" si="115"/>
        <v>14.638083</v>
      </c>
      <c r="I1460" s="176">
        <v>1048.35</v>
      </c>
      <c r="J1460" s="176"/>
      <c r="K1460" s="173">
        <f t="shared" si="114"/>
        <v>0</v>
      </c>
      <c r="L1460" s="174"/>
      <c r="M1460" s="161" t="s">
        <v>4339</v>
      </c>
      <c r="N1460" s="161" t="s">
        <v>1299</v>
      </c>
      <c r="O1460" s="161" t="s">
        <v>25</v>
      </c>
      <c r="P1460" s="49" t="s">
        <v>25</v>
      </c>
      <c r="Q1460" s="166" t="s">
        <v>4356</v>
      </c>
      <c r="R1460" s="151"/>
    </row>
    <row r="1461" spans="1:18">
      <c r="A1461" s="188" t="s">
        <v>48</v>
      </c>
      <c r="B1461" s="101" t="s">
        <v>380</v>
      </c>
      <c r="C1461" s="84" t="s">
        <v>4357</v>
      </c>
      <c r="D1461" s="161" t="s">
        <v>4357</v>
      </c>
      <c r="E1461" s="161" t="s">
        <v>2048</v>
      </c>
      <c r="F1461" s="161" t="s">
        <v>4352</v>
      </c>
      <c r="G1461" s="163">
        <v>140.9438</v>
      </c>
      <c r="H1461" s="163">
        <f t="shared" si="115"/>
        <v>0</v>
      </c>
      <c r="I1461" s="176"/>
      <c r="J1461" s="176"/>
      <c r="K1461" s="173">
        <f t="shared" si="114"/>
        <v>0</v>
      </c>
      <c r="L1461" s="174" t="s">
        <v>1025</v>
      </c>
      <c r="M1461" s="161" t="s">
        <v>4339</v>
      </c>
      <c r="N1461" s="161"/>
      <c r="O1461" s="161" t="s">
        <v>16</v>
      </c>
      <c r="P1461" s="49" t="s">
        <v>16</v>
      </c>
      <c r="Q1461" s="166"/>
      <c r="R1461" s="151"/>
    </row>
    <row r="1462" spans="1:18">
      <c r="A1462" s="188" t="s">
        <v>48</v>
      </c>
      <c r="B1462" s="101" t="s">
        <v>380</v>
      </c>
      <c r="C1462" s="84" t="s">
        <v>4358</v>
      </c>
      <c r="D1462" s="161" t="s">
        <v>1324</v>
      </c>
      <c r="E1462" s="161" t="s">
        <v>2048</v>
      </c>
      <c r="F1462" s="161" t="s">
        <v>4352</v>
      </c>
      <c r="G1462" s="163">
        <v>164.9104</v>
      </c>
      <c r="H1462" s="163">
        <f t="shared" si="115"/>
        <v>23.9666</v>
      </c>
      <c r="I1462" s="173">
        <v>1189.71</v>
      </c>
      <c r="J1462" s="176"/>
      <c r="K1462" s="173">
        <f t="shared" si="114"/>
        <v>0</v>
      </c>
      <c r="L1462" s="174"/>
      <c r="M1462" s="161" t="s">
        <v>4339</v>
      </c>
      <c r="N1462" s="161" t="s">
        <v>1299</v>
      </c>
      <c r="O1462" s="161" t="s">
        <v>25</v>
      </c>
      <c r="P1462" s="49" t="s">
        <v>25</v>
      </c>
      <c r="Q1462" s="166" t="s">
        <v>4359</v>
      </c>
      <c r="R1462" s="151"/>
    </row>
    <row r="1463" spans="1:18">
      <c r="A1463" s="188" t="s">
        <v>48</v>
      </c>
      <c r="B1463" s="101" t="s">
        <v>380</v>
      </c>
      <c r="C1463" s="84" t="s">
        <v>4360</v>
      </c>
      <c r="D1463" s="161" t="s">
        <v>4360</v>
      </c>
      <c r="E1463" s="161" t="s">
        <v>2048</v>
      </c>
      <c r="F1463" s="161" t="s">
        <v>4352</v>
      </c>
      <c r="G1463" s="163">
        <v>185.0001</v>
      </c>
      <c r="H1463" s="163">
        <f t="shared" si="115"/>
        <v>20.0897</v>
      </c>
      <c r="I1463" s="176">
        <v>1170.52</v>
      </c>
      <c r="J1463" s="176">
        <v>120440</v>
      </c>
      <c r="K1463" s="173">
        <f t="shared" si="114"/>
        <v>120440</v>
      </c>
      <c r="L1463" s="174"/>
      <c r="M1463" s="161" t="s">
        <v>4339</v>
      </c>
      <c r="N1463" s="161" t="s">
        <v>1331</v>
      </c>
      <c r="O1463" s="161" t="s">
        <v>6</v>
      </c>
      <c r="P1463" s="49" t="s">
        <v>6</v>
      </c>
      <c r="Q1463" s="166" t="s">
        <v>4361</v>
      </c>
      <c r="R1463" s="151"/>
    </row>
    <row r="1464" spans="1:18">
      <c r="A1464" s="188" t="s">
        <v>48</v>
      </c>
      <c r="B1464" s="101" t="s">
        <v>380</v>
      </c>
      <c r="C1464" s="84" t="s">
        <v>4362</v>
      </c>
      <c r="D1464" s="161" t="s">
        <v>4362</v>
      </c>
      <c r="E1464" s="161" t="s">
        <v>2048</v>
      </c>
      <c r="F1464" s="161" t="s">
        <v>4352</v>
      </c>
      <c r="G1464" s="163">
        <v>185.0001</v>
      </c>
      <c r="H1464" s="163">
        <f t="shared" si="115"/>
        <v>0</v>
      </c>
      <c r="I1464" s="176"/>
      <c r="J1464" s="176"/>
      <c r="K1464" s="173">
        <f t="shared" si="114"/>
        <v>120440</v>
      </c>
      <c r="L1464" s="174" t="s">
        <v>4257</v>
      </c>
      <c r="M1464" s="161" t="s">
        <v>4339</v>
      </c>
      <c r="N1464" s="161"/>
      <c r="O1464" s="161" t="s">
        <v>16</v>
      </c>
      <c r="P1464" s="49" t="s">
        <v>16</v>
      </c>
      <c r="Q1464" s="166"/>
      <c r="R1464" s="151"/>
    </row>
    <row r="1465" spans="1:18">
      <c r="A1465" s="188" t="s">
        <v>48</v>
      </c>
      <c r="B1465" s="101" t="s">
        <v>380</v>
      </c>
      <c r="C1465" s="84" t="s">
        <v>4363</v>
      </c>
      <c r="D1465" s="161" t="s">
        <v>1327</v>
      </c>
      <c r="E1465" s="161" t="s">
        <v>2048</v>
      </c>
      <c r="F1465" s="161" t="s">
        <v>4352</v>
      </c>
      <c r="G1465" s="163">
        <v>204.011</v>
      </c>
      <c r="H1465" s="163">
        <f t="shared" si="115"/>
        <v>19.0109</v>
      </c>
      <c r="I1465" s="176">
        <v>1466.8</v>
      </c>
      <c r="J1465" s="176"/>
      <c r="K1465" s="173">
        <f t="shared" si="114"/>
        <v>120440</v>
      </c>
      <c r="L1465" s="174"/>
      <c r="M1465" s="161" t="s">
        <v>4339</v>
      </c>
      <c r="N1465" s="161" t="s">
        <v>1299</v>
      </c>
      <c r="O1465" s="161" t="s">
        <v>25</v>
      </c>
      <c r="P1465" s="49" t="s">
        <v>25</v>
      </c>
      <c r="Q1465" s="166" t="s">
        <v>4364</v>
      </c>
      <c r="R1465" s="151"/>
    </row>
    <row r="1466" spans="1:18">
      <c r="A1466" s="188" t="s">
        <v>48</v>
      </c>
      <c r="B1466" s="101" t="s">
        <v>380</v>
      </c>
      <c r="C1466" s="84" t="s">
        <v>4365</v>
      </c>
      <c r="D1466" s="161" t="s">
        <v>1334</v>
      </c>
      <c r="E1466" s="161" t="s">
        <v>2048</v>
      </c>
      <c r="F1466" s="161" t="s">
        <v>4181</v>
      </c>
      <c r="G1466" s="163">
        <v>225.6864</v>
      </c>
      <c r="H1466" s="163">
        <f t="shared" si="115"/>
        <v>21.6754</v>
      </c>
      <c r="I1466" s="176">
        <v>1277.36</v>
      </c>
      <c r="J1466" s="176"/>
      <c r="K1466" s="173">
        <f t="shared" si="114"/>
        <v>120440</v>
      </c>
      <c r="L1466" s="174"/>
      <c r="M1466" s="161" t="s">
        <v>4339</v>
      </c>
      <c r="N1466" s="161" t="s">
        <v>1299</v>
      </c>
      <c r="O1466" s="161" t="s">
        <v>25</v>
      </c>
      <c r="P1466" s="49" t="s">
        <v>25</v>
      </c>
      <c r="Q1466" s="166" t="s">
        <v>4366</v>
      </c>
      <c r="R1466" s="151"/>
    </row>
    <row r="1467" spans="1:18">
      <c r="A1467" s="188" t="s">
        <v>48</v>
      </c>
      <c r="B1467" s="101" t="s">
        <v>380</v>
      </c>
      <c r="C1467" s="84" t="s">
        <v>4367</v>
      </c>
      <c r="D1467" s="161" t="s">
        <v>1338</v>
      </c>
      <c r="E1467" s="161" t="s">
        <v>2048</v>
      </c>
      <c r="F1467" s="161" t="s">
        <v>4181</v>
      </c>
      <c r="G1467" s="163">
        <v>242.5173</v>
      </c>
      <c r="H1467" s="163">
        <f t="shared" si="115"/>
        <v>16.8309</v>
      </c>
      <c r="I1467" s="176">
        <v>1187.49</v>
      </c>
      <c r="J1467" s="176"/>
      <c r="K1467" s="173">
        <f t="shared" si="114"/>
        <v>120440</v>
      </c>
      <c r="L1467" s="174"/>
      <c r="M1467" s="161" t="s">
        <v>4339</v>
      </c>
      <c r="N1467" s="161" t="s">
        <v>1299</v>
      </c>
      <c r="O1467" s="161" t="s">
        <v>25</v>
      </c>
      <c r="P1467" s="49" t="s">
        <v>25</v>
      </c>
      <c r="Q1467" s="166" t="s">
        <v>4368</v>
      </c>
      <c r="R1467" s="151"/>
    </row>
    <row r="1468" spans="1:18">
      <c r="A1468" s="188" t="s">
        <v>48</v>
      </c>
      <c r="B1468" s="101" t="s">
        <v>380</v>
      </c>
      <c r="C1468" s="84" t="s">
        <v>4369</v>
      </c>
      <c r="D1468" s="161" t="s">
        <v>1344</v>
      </c>
      <c r="E1468" s="161" t="s">
        <v>2048</v>
      </c>
      <c r="F1468" s="161" t="s">
        <v>4181</v>
      </c>
      <c r="G1468" s="163">
        <v>266.3149</v>
      </c>
      <c r="H1468" s="163">
        <f t="shared" si="115"/>
        <v>23.7976</v>
      </c>
      <c r="I1468" s="176">
        <v>1180.08</v>
      </c>
      <c r="J1468" s="176"/>
      <c r="K1468" s="173">
        <f t="shared" si="114"/>
        <v>120440</v>
      </c>
      <c r="L1468" s="174"/>
      <c r="M1468" s="161" t="s">
        <v>4339</v>
      </c>
      <c r="N1468" s="161" t="s">
        <v>1299</v>
      </c>
      <c r="O1468" s="161" t="s">
        <v>25</v>
      </c>
      <c r="P1468" s="49" t="s">
        <v>25</v>
      </c>
      <c r="Q1468" s="166" t="s">
        <v>4370</v>
      </c>
      <c r="R1468" s="151"/>
    </row>
    <row r="1469" ht="45" spans="1:18">
      <c r="A1469" s="188" t="s">
        <v>48</v>
      </c>
      <c r="B1469" s="101" t="s">
        <v>380</v>
      </c>
      <c r="C1469" s="84" t="s">
        <v>4371</v>
      </c>
      <c r="D1469" s="161" t="s">
        <v>4186</v>
      </c>
      <c r="E1469" s="161" t="s">
        <v>2048</v>
      </c>
      <c r="F1469" s="161" t="s">
        <v>4181</v>
      </c>
      <c r="G1469" s="163">
        <v>286.6515</v>
      </c>
      <c r="H1469" s="163">
        <f t="shared" si="115"/>
        <v>20.3366</v>
      </c>
      <c r="I1469" s="176">
        <v>1300.13</v>
      </c>
      <c r="J1469" s="176"/>
      <c r="K1469" s="173">
        <f t="shared" si="114"/>
        <v>120440</v>
      </c>
      <c r="L1469" s="163" t="s">
        <v>4372</v>
      </c>
      <c r="M1469" s="161" t="s">
        <v>4339</v>
      </c>
      <c r="N1469" s="161" t="s">
        <v>2239</v>
      </c>
      <c r="O1469" s="161" t="s">
        <v>25</v>
      </c>
      <c r="P1469" s="49" t="s">
        <v>25</v>
      </c>
      <c r="Q1469" s="166" t="s">
        <v>4187</v>
      </c>
      <c r="R1469" s="151"/>
    </row>
    <row r="1470" spans="1:18">
      <c r="A1470" s="188" t="s">
        <v>48</v>
      </c>
      <c r="B1470" s="101" t="s">
        <v>380</v>
      </c>
      <c r="C1470" s="84" t="s">
        <v>4373</v>
      </c>
      <c r="D1470" s="161" t="s">
        <v>1349</v>
      </c>
      <c r="E1470" s="161" t="s">
        <v>2048</v>
      </c>
      <c r="F1470" s="161" t="s">
        <v>4181</v>
      </c>
      <c r="G1470" s="163">
        <v>302.12</v>
      </c>
      <c r="H1470" s="163">
        <f t="shared" si="115"/>
        <v>15.4685</v>
      </c>
      <c r="I1470" s="173">
        <v>1404.42</v>
      </c>
      <c r="J1470" s="176"/>
      <c r="K1470" s="173">
        <f t="shared" si="114"/>
        <v>120440</v>
      </c>
      <c r="L1470" s="174"/>
      <c r="M1470" s="161" t="s">
        <v>4339</v>
      </c>
      <c r="N1470" s="161" t="s">
        <v>1299</v>
      </c>
      <c r="O1470" s="161" t="s">
        <v>25</v>
      </c>
      <c r="P1470" s="49" t="s">
        <v>25</v>
      </c>
      <c r="Q1470" s="166" t="s">
        <v>4189</v>
      </c>
      <c r="R1470" s="151"/>
    </row>
    <row r="1471" spans="1:18">
      <c r="A1471" s="188" t="s">
        <v>48</v>
      </c>
      <c r="B1471" s="101" t="s">
        <v>380</v>
      </c>
      <c r="C1471" s="84" t="s">
        <v>4374</v>
      </c>
      <c r="D1471" s="161" t="s">
        <v>1352</v>
      </c>
      <c r="E1471" s="161" t="s">
        <v>2048</v>
      </c>
      <c r="F1471" s="161" t="s">
        <v>4191</v>
      </c>
      <c r="G1471" s="163">
        <v>327.0428</v>
      </c>
      <c r="H1471" s="163">
        <f t="shared" si="115"/>
        <v>24.9228</v>
      </c>
      <c r="I1471" s="173">
        <v>1005.23</v>
      </c>
      <c r="J1471" s="176"/>
      <c r="K1471" s="173">
        <f t="shared" si="114"/>
        <v>120440</v>
      </c>
      <c r="L1471" s="174"/>
      <c r="M1471" s="161" t="s">
        <v>4339</v>
      </c>
      <c r="N1471" s="161" t="s">
        <v>1299</v>
      </c>
      <c r="O1471" s="161" t="s">
        <v>25</v>
      </c>
      <c r="P1471" s="49" t="s">
        <v>25</v>
      </c>
      <c r="Q1471" s="166" t="s">
        <v>4375</v>
      </c>
      <c r="R1471" s="151"/>
    </row>
    <row r="1472" spans="1:18">
      <c r="A1472" s="188" t="s">
        <v>48</v>
      </c>
      <c r="B1472" s="101" t="s">
        <v>380</v>
      </c>
      <c r="C1472" s="84" t="s">
        <v>4376</v>
      </c>
      <c r="D1472" s="161" t="s">
        <v>1354</v>
      </c>
      <c r="E1472" s="161" t="s">
        <v>2048</v>
      </c>
      <c r="F1472" s="161" t="s">
        <v>4191</v>
      </c>
      <c r="G1472" s="163">
        <v>345.1224</v>
      </c>
      <c r="H1472" s="163">
        <f t="shared" si="115"/>
        <v>18.0796</v>
      </c>
      <c r="I1472" s="176">
        <v>887.1</v>
      </c>
      <c r="J1472" s="176"/>
      <c r="K1472" s="173">
        <f t="shared" si="114"/>
        <v>120440</v>
      </c>
      <c r="L1472" s="174"/>
      <c r="M1472" s="161" t="s">
        <v>4339</v>
      </c>
      <c r="N1472" s="161" t="s">
        <v>1299</v>
      </c>
      <c r="O1472" s="161" t="s">
        <v>25</v>
      </c>
      <c r="P1472" s="49" t="s">
        <v>25</v>
      </c>
      <c r="Q1472" s="166" t="s">
        <v>4377</v>
      </c>
      <c r="R1472" s="151"/>
    </row>
    <row r="1473" ht="30" spans="1:18">
      <c r="A1473" s="188" t="s">
        <v>48</v>
      </c>
      <c r="B1473" s="101" t="s">
        <v>380</v>
      </c>
      <c r="C1473" s="135" t="s">
        <v>4195</v>
      </c>
      <c r="D1473" s="161" t="s">
        <v>4196</v>
      </c>
      <c r="E1473" s="161" t="s">
        <v>2048</v>
      </c>
      <c r="F1473" s="161" t="s">
        <v>4191</v>
      </c>
      <c r="G1473" s="163">
        <v>365.0001</v>
      </c>
      <c r="H1473" s="163">
        <f t="shared" si="115"/>
        <v>19.8776999999999</v>
      </c>
      <c r="I1473" s="173">
        <v>989.91</v>
      </c>
      <c r="J1473" s="176">
        <v>136019</v>
      </c>
      <c r="K1473" s="173">
        <f t="shared" si="114"/>
        <v>256459</v>
      </c>
      <c r="L1473" s="174" t="s">
        <v>4378</v>
      </c>
      <c r="M1473" s="161" t="s">
        <v>4140</v>
      </c>
      <c r="N1473" s="161"/>
      <c r="O1473" s="161"/>
      <c r="P1473" s="49"/>
      <c r="Q1473" s="166" t="s">
        <v>4198</v>
      </c>
      <c r="R1473" s="151"/>
    </row>
    <row r="1474" spans="1:18">
      <c r="A1474" s="188" t="s">
        <v>48</v>
      </c>
      <c r="B1474" s="101" t="s">
        <v>380</v>
      </c>
      <c r="C1474" s="84" t="s">
        <v>4379</v>
      </c>
      <c r="D1474" s="161" t="s">
        <v>1356</v>
      </c>
      <c r="E1474" s="161" t="s">
        <v>2048</v>
      </c>
      <c r="F1474" s="161" t="s">
        <v>4191</v>
      </c>
      <c r="G1474" s="163">
        <v>390.0897</v>
      </c>
      <c r="H1474" s="163">
        <f t="shared" si="115"/>
        <v>25.0896</v>
      </c>
      <c r="I1474" s="176">
        <v>1274.61</v>
      </c>
      <c r="J1474" s="176"/>
      <c r="K1474" s="173">
        <f t="shared" si="114"/>
        <v>256459</v>
      </c>
      <c r="L1474" s="174"/>
      <c r="M1474" s="161" t="s">
        <v>4339</v>
      </c>
      <c r="N1474" s="161" t="s">
        <v>1299</v>
      </c>
      <c r="O1474" s="161" t="s">
        <v>25</v>
      </c>
      <c r="P1474" s="49" t="s">
        <v>25</v>
      </c>
      <c r="Q1474" s="166" t="s">
        <v>4380</v>
      </c>
      <c r="R1474" s="151"/>
    </row>
    <row r="1475" spans="1:18">
      <c r="A1475" s="188" t="s">
        <v>48</v>
      </c>
      <c r="B1475" s="101" t="s">
        <v>380</v>
      </c>
      <c r="C1475" s="84" t="s">
        <v>4381</v>
      </c>
      <c r="D1475" s="161" t="s">
        <v>1358</v>
      </c>
      <c r="E1475" s="161" t="s">
        <v>2048</v>
      </c>
      <c r="F1475" s="161" t="s">
        <v>4204</v>
      </c>
      <c r="G1475" s="163">
        <v>408.722</v>
      </c>
      <c r="H1475" s="163">
        <f t="shared" si="115"/>
        <v>18.6323</v>
      </c>
      <c r="I1475" s="173">
        <v>1224.777</v>
      </c>
      <c r="J1475" s="176"/>
      <c r="K1475" s="173">
        <f t="shared" si="114"/>
        <v>256459</v>
      </c>
      <c r="L1475" s="174"/>
      <c r="M1475" s="161" t="s">
        <v>4339</v>
      </c>
      <c r="N1475" s="161" t="s">
        <v>1299</v>
      </c>
      <c r="O1475" s="161" t="s">
        <v>25</v>
      </c>
      <c r="P1475" s="49" t="s">
        <v>25</v>
      </c>
      <c r="Q1475" s="166" t="s">
        <v>4205</v>
      </c>
      <c r="R1475" s="151"/>
    </row>
    <row r="1476" spans="1:18">
      <c r="A1476" s="188" t="s">
        <v>48</v>
      </c>
      <c r="B1476" s="101" t="s">
        <v>380</v>
      </c>
      <c r="C1476" s="84" t="s">
        <v>385</v>
      </c>
      <c r="D1476" s="161" t="s">
        <v>1361</v>
      </c>
      <c r="E1476" s="161" t="s">
        <v>2048</v>
      </c>
      <c r="F1476" s="161" t="s">
        <v>4204</v>
      </c>
      <c r="G1476" s="163">
        <v>425.0002</v>
      </c>
      <c r="H1476" s="163">
        <f t="shared" si="115"/>
        <v>16.2782</v>
      </c>
      <c r="I1476" s="176">
        <v>1257.766</v>
      </c>
      <c r="J1476" s="176"/>
      <c r="K1476" s="173">
        <f t="shared" si="114"/>
        <v>256459</v>
      </c>
      <c r="L1476" s="174"/>
      <c r="M1476" s="161"/>
      <c r="N1476" s="161" t="s">
        <v>1299</v>
      </c>
      <c r="O1476" s="161" t="s">
        <v>25</v>
      </c>
      <c r="P1476" s="49" t="s">
        <v>25</v>
      </c>
      <c r="Q1476" s="166"/>
      <c r="R1476" s="151"/>
    </row>
    <row r="1477" spans="1:18">
      <c r="A1477" s="188" t="s">
        <v>48</v>
      </c>
      <c r="B1477" s="101" t="s">
        <v>380</v>
      </c>
      <c r="C1477" s="84" t="s">
        <v>4382</v>
      </c>
      <c r="D1477" s="161" t="s">
        <v>4382</v>
      </c>
      <c r="E1477" s="161" t="s">
        <v>2048</v>
      </c>
      <c r="F1477" s="161" t="s">
        <v>4204</v>
      </c>
      <c r="G1477" s="163">
        <v>425.0002</v>
      </c>
      <c r="H1477" s="163">
        <f t="shared" si="115"/>
        <v>0</v>
      </c>
      <c r="I1477" s="173"/>
      <c r="J1477" s="176">
        <v>45649</v>
      </c>
      <c r="K1477" s="173">
        <f t="shared" si="114"/>
        <v>302108</v>
      </c>
      <c r="L1477" s="174" t="s">
        <v>4383</v>
      </c>
      <c r="M1477" s="161" t="s">
        <v>4339</v>
      </c>
      <c r="N1477" s="161" t="s">
        <v>1331</v>
      </c>
      <c r="O1477" s="161" t="s">
        <v>16</v>
      </c>
      <c r="P1477" s="49" t="s">
        <v>16</v>
      </c>
      <c r="Q1477" s="166" t="s">
        <v>4384</v>
      </c>
      <c r="R1477" s="151"/>
    </row>
    <row r="1478" spans="1:18">
      <c r="A1478" s="188" t="s">
        <v>48</v>
      </c>
      <c r="B1478" s="101" t="s">
        <v>380</v>
      </c>
      <c r="C1478" s="84" t="s">
        <v>4385</v>
      </c>
      <c r="D1478" s="161" t="s">
        <v>1363</v>
      </c>
      <c r="E1478" s="161" t="s">
        <v>2048</v>
      </c>
      <c r="F1478" s="161" t="s">
        <v>4204</v>
      </c>
      <c r="G1478" s="163">
        <v>445.5961</v>
      </c>
      <c r="H1478" s="163">
        <f t="shared" si="115"/>
        <v>20.5959</v>
      </c>
      <c r="I1478" s="176">
        <v>1061.681</v>
      </c>
      <c r="J1478" s="176"/>
      <c r="K1478" s="173">
        <f t="shared" si="114"/>
        <v>302108</v>
      </c>
      <c r="L1478" s="174"/>
      <c r="M1478" s="161" t="s">
        <v>4339</v>
      </c>
      <c r="N1478" s="161" t="s">
        <v>1299</v>
      </c>
      <c r="O1478" s="161" t="s">
        <v>25</v>
      </c>
      <c r="P1478" s="49" t="s">
        <v>25</v>
      </c>
      <c r="Q1478" s="166" t="s">
        <v>4386</v>
      </c>
      <c r="R1478" s="151"/>
    </row>
    <row r="1479" ht="30" spans="1:18">
      <c r="A1479" s="188" t="s">
        <v>48</v>
      </c>
      <c r="B1479" s="101" t="s">
        <v>380</v>
      </c>
      <c r="C1479" s="84" t="s">
        <v>4387</v>
      </c>
      <c r="D1479" s="161" t="s">
        <v>4388</v>
      </c>
      <c r="E1479" s="161" t="s">
        <v>2048</v>
      </c>
      <c r="F1479" s="161" t="s">
        <v>4204</v>
      </c>
      <c r="G1479" s="163">
        <v>462.8868</v>
      </c>
      <c r="H1479" s="163">
        <f t="shared" si="115"/>
        <v>17.2907</v>
      </c>
      <c r="I1479" s="176">
        <v>1053.654</v>
      </c>
      <c r="J1479" s="176"/>
      <c r="K1479" s="173">
        <f t="shared" si="114"/>
        <v>302108</v>
      </c>
      <c r="L1479" s="163" t="s">
        <v>4389</v>
      </c>
      <c r="M1479" s="161" t="s">
        <v>4339</v>
      </c>
      <c r="N1479" s="161" t="s">
        <v>2239</v>
      </c>
      <c r="O1479" s="161" t="s">
        <v>25</v>
      </c>
      <c r="P1479" s="49" t="s">
        <v>25</v>
      </c>
      <c r="Q1479" s="166" t="s">
        <v>4212</v>
      </c>
      <c r="R1479" s="151"/>
    </row>
    <row r="1480" spans="1:18">
      <c r="A1480" s="188" t="s">
        <v>48</v>
      </c>
      <c r="B1480" s="101" t="s">
        <v>380</v>
      </c>
      <c r="C1480" s="84" t="s">
        <v>4390</v>
      </c>
      <c r="D1480" s="161" t="s">
        <v>1367</v>
      </c>
      <c r="E1480" s="161" t="s">
        <v>2048</v>
      </c>
      <c r="F1480" s="161" t="s">
        <v>4204</v>
      </c>
      <c r="G1480" s="163">
        <v>480.992</v>
      </c>
      <c r="H1480" s="163">
        <f t="shared" si="115"/>
        <v>18.1052</v>
      </c>
      <c r="I1480" s="176">
        <v>766.908</v>
      </c>
      <c r="J1480" s="176"/>
      <c r="K1480" s="173">
        <f t="shared" si="114"/>
        <v>302108</v>
      </c>
      <c r="L1480" s="174"/>
      <c r="M1480" s="161" t="s">
        <v>4339</v>
      </c>
      <c r="N1480" s="161" t="s">
        <v>1299</v>
      </c>
      <c r="O1480" s="161" t="s">
        <v>25</v>
      </c>
      <c r="P1480" s="49" t="s">
        <v>25</v>
      </c>
      <c r="Q1480" s="166" t="s">
        <v>4214</v>
      </c>
      <c r="R1480" s="151"/>
    </row>
    <row r="1481" spans="1:18">
      <c r="A1481" s="188" t="s">
        <v>48</v>
      </c>
      <c r="B1481" s="101" t="s">
        <v>380</v>
      </c>
      <c r="C1481" s="84" t="s">
        <v>4391</v>
      </c>
      <c r="D1481" s="161" t="s">
        <v>1370</v>
      </c>
      <c r="E1481" s="161" t="s">
        <v>2048</v>
      </c>
      <c r="F1481" s="161" t="s">
        <v>2049</v>
      </c>
      <c r="G1481" s="163">
        <v>505.9957</v>
      </c>
      <c r="H1481" s="163">
        <f t="shared" si="115"/>
        <v>25.0037</v>
      </c>
      <c r="I1481" s="176">
        <v>400.9</v>
      </c>
      <c r="J1481" s="176"/>
      <c r="K1481" s="173">
        <f t="shared" si="114"/>
        <v>302108</v>
      </c>
      <c r="L1481" s="174"/>
      <c r="M1481" s="161" t="s">
        <v>4339</v>
      </c>
      <c r="N1481" s="161" t="s">
        <v>1299</v>
      </c>
      <c r="O1481" s="161" t="s">
        <v>25</v>
      </c>
      <c r="P1481" s="49" t="s">
        <v>25</v>
      </c>
      <c r="Q1481" s="166" t="s">
        <v>4392</v>
      </c>
      <c r="R1481" s="151"/>
    </row>
    <row r="1482" ht="30" spans="1:18">
      <c r="A1482" s="188" t="s">
        <v>48</v>
      </c>
      <c r="B1482" s="101" t="s">
        <v>380</v>
      </c>
      <c r="C1482" s="84" t="s">
        <v>4393</v>
      </c>
      <c r="D1482" s="161" t="s">
        <v>4394</v>
      </c>
      <c r="E1482" s="161" t="s">
        <v>2048</v>
      </c>
      <c r="F1482" s="161" t="s">
        <v>2049</v>
      </c>
      <c r="G1482" s="163">
        <v>525.0002</v>
      </c>
      <c r="H1482" s="163">
        <f t="shared" si="115"/>
        <v>19.0045</v>
      </c>
      <c r="I1482" s="176">
        <v>567.007</v>
      </c>
      <c r="J1482" s="176"/>
      <c r="K1482" s="173">
        <f t="shared" si="114"/>
        <v>302108</v>
      </c>
      <c r="L1482" s="163" t="s">
        <v>4395</v>
      </c>
      <c r="M1482" s="161" t="s">
        <v>4339</v>
      </c>
      <c r="N1482" s="161" t="s">
        <v>2239</v>
      </c>
      <c r="O1482" s="161" t="s">
        <v>25</v>
      </c>
      <c r="P1482" s="49" t="s">
        <v>25</v>
      </c>
      <c r="Q1482" s="166" t="s">
        <v>4220</v>
      </c>
      <c r="R1482" s="151"/>
    </row>
    <row r="1483" ht="30" spans="1:18">
      <c r="A1483" s="188" t="s">
        <v>48</v>
      </c>
      <c r="B1483" s="101" t="s">
        <v>380</v>
      </c>
      <c r="C1483" s="84" t="s">
        <v>4396</v>
      </c>
      <c r="D1483" s="161" t="s">
        <v>4396</v>
      </c>
      <c r="E1483" s="161" t="s">
        <v>2048</v>
      </c>
      <c r="F1483" s="161" t="s">
        <v>2049</v>
      </c>
      <c r="G1483" s="163">
        <v>525.0002</v>
      </c>
      <c r="H1483" s="163">
        <f t="shared" si="115"/>
        <v>0</v>
      </c>
      <c r="I1483" s="176" t="s">
        <v>147</v>
      </c>
      <c r="J1483" s="176">
        <v>75429</v>
      </c>
      <c r="K1483" s="173">
        <f t="shared" si="114"/>
        <v>377537</v>
      </c>
      <c r="L1483" s="163" t="s">
        <v>4397</v>
      </c>
      <c r="M1483" s="161" t="s">
        <v>4339</v>
      </c>
      <c r="N1483" s="161" t="s">
        <v>1331</v>
      </c>
      <c r="O1483" s="161" t="s">
        <v>14</v>
      </c>
      <c r="P1483" s="49" t="s">
        <v>14</v>
      </c>
      <c r="Q1483" s="166" t="s">
        <v>4398</v>
      </c>
      <c r="R1483" s="151"/>
    </row>
    <row r="1484" spans="1:18">
      <c r="A1484" s="188" t="s">
        <v>48</v>
      </c>
      <c r="B1484" s="101" t="s">
        <v>380</v>
      </c>
      <c r="C1484" s="84" t="s">
        <v>4399</v>
      </c>
      <c r="D1484" s="161" t="s">
        <v>1374</v>
      </c>
      <c r="E1484" s="161" t="s">
        <v>2048</v>
      </c>
      <c r="F1484" s="161" t="s">
        <v>2049</v>
      </c>
      <c r="G1484" s="163">
        <v>535.999</v>
      </c>
      <c r="H1484" s="163">
        <f t="shared" si="115"/>
        <v>10.9988000000001</v>
      </c>
      <c r="I1484" s="173">
        <v>150.3</v>
      </c>
      <c r="J1484" s="176"/>
      <c r="K1484" s="173">
        <f t="shared" si="114"/>
        <v>377537</v>
      </c>
      <c r="L1484" s="174"/>
      <c r="M1484" s="161" t="s">
        <v>4339</v>
      </c>
      <c r="N1484" s="161" t="s">
        <v>1299</v>
      </c>
      <c r="O1484" s="161" t="s">
        <v>25</v>
      </c>
      <c r="P1484" s="49" t="s">
        <v>25</v>
      </c>
      <c r="Q1484" s="166" t="s">
        <v>4222</v>
      </c>
      <c r="R1484" s="151"/>
    </row>
    <row r="1485" spans="1:18">
      <c r="A1485" s="188" t="s">
        <v>48</v>
      </c>
      <c r="B1485" s="101" t="s">
        <v>380</v>
      </c>
      <c r="C1485" s="84" t="s">
        <v>4400</v>
      </c>
      <c r="D1485" s="161" t="s">
        <v>1376</v>
      </c>
      <c r="E1485" s="161" t="s">
        <v>2048</v>
      </c>
      <c r="F1485" s="161" t="s">
        <v>2049</v>
      </c>
      <c r="G1485" s="163">
        <v>546.2911</v>
      </c>
      <c r="H1485" s="163">
        <f t="shared" si="115"/>
        <v>10.2921</v>
      </c>
      <c r="I1485" s="173">
        <v>98.8</v>
      </c>
      <c r="J1485" s="176"/>
      <c r="K1485" s="173">
        <f t="shared" si="114"/>
        <v>377537</v>
      </c>
      <c r="L1485" s="174"/>
      <c r="M1485" s="161" t="s">
        <v>4339</v>
      </c>
      <c r="N1485" s="161" t="s">
        <v>1299</v>
      </c>
      <c r="O1485" s="161" t="s">
        <v>25</v>
      </c>
      <c r="P1485" s="49" t="s">
        <v>25</v>
      </c>
      <c r="Q1485" s="166" t="s">
        <v>4401</v>
      </c>
      <c r="R1485" s="151"/>
    </row>
    <row r="1486" spans="1:18">
      <c r="A1486" s="188" t="s">
        <v>48</v>
      </c>
      <c r="B1486" s="101" t="s">
        <v>380</v>
      </c>
      <c r="C1486" s="84" t="s">
        <v>4402</v>
      </c>
      <c r="D1486" s="188" t="s">
        <v>4402</v>
      </c>
      <c r="E1486" s="161" t="s">
        <v>2048</v>
      </c>
      <c r="F1486" s="161"/>
      <c r="G1486" s="163">
        <v>546.2911</v>
      </c>
      <c r="H1486" s="163">
        <f t="shared" si="115"/>
        <v>0</v>
      </c>
      <c r="I1486" s="163" t="s">
        <v>147</v>
      </c>
      <c r="J1486" s="163" t="s">
        <v>147</v>
      </c>
      <c r="K1486" s="163" t="s">
        <v>147</v>
      </c>
      <c r="L1486" s="174"/>
      <c r="M1486" s="161" t="s">
        <v>4339</v>
      </c>
      <c r="N1486" s="161"/>
      <c r="O1486" s="161"/>
      <c r="P1486" s="49" t="s">
        <v>14</v>
      </c>
      <c r="Q1486" s="166"/>
      <c r="R1486" s="151"/>
    </row>
    <row r="1487" spans="1:18">
      <c r="A1487" s="188" t="s">
        <v>48</v>
      </c>
      <c r="B1487" s="101" t="s">
        <v>380</v>
      </c>
      <c r="C1487" s="84" t="s">
        <v>4403</v>
      </c>
      <c r="D1487" s="161" t="s">
        <v>1378</v>
      </c>
      <c r="E1487" s="161" t="s">
        <v>2048</v>
      </c>
      <c r="F1487" s="161" t="s">
        <v>2049</v>
      </c>
      <c r="G1487" s="163">
        <v>567.3369</v>
      </c>
      <c r="H1487" s="163">
        <f t="shared" si="115"/>
        <v>21.0458</v>
      </c>
      <c r="I1487" s="176">
        <v>78.6</v>
      </c>
      <c r="J1487" s="176"/>
      <c r="K1487" s="173">
        <f>K1485+J1487</f>
        <v>377537</v>
      </c>
      <c r="L1487" s="174"/>
      <c r="M1487" s="161" t="s">
        <v>4339</v>
      </c>
      <c r="N1487" s="161" t="s">
        <v>1299</v>
      </c>
      <c r="O1487" s="161" t="s">
        <v>25</v>
      </c>
      <c r="P1487" s="49" t="s">
        <v>25</v>
      </c>
      <c r="Q1487" s="166" t="s">
        <v>4404</v>
      </c>
      <c r="R1487" s="151"/>
    </row>
    <row r="1488" ht="30" spans="1:18">
      <c r="A1488" s="188" t="s">
        <v>48</v>
      </c>
      <c r="B1488" s="101" t="s">
        <v>380</v>
      </c>
      <c r="C1488" s="135" t="s">
        <v>4232</v>
      </c>
      <c r="D1488" s="161" t="s">
        <v>4233</v>
      </c>
      <c r="E1488" s="161" t="s">
        <v>2048</v>
      </c>
      <c r="F1488" s="161" t="s">
        <v>2049</v>
      </c>
      <c r="G1488" s="163">
        <v>584.0002</v>
      </c>
      <c r="H1488" s="163">
        <f t="shared" si="115"/>
        <v>16.6632999999999</v>
      </c>
      <c r="I1488" s="173">
        <v>60.7</v>
      </c>
      <c r="J1488" s="176">
        <v>44714</v>
      </c>
      <c r="K1488" s="173">
        <f t="shared" ref="K1488:K1501" si="116">K1487+J1488</f>
        <v>422251</v>
      </c>
      <c r="L1488" s="174" t="s">
        <v>4378</v>
      </c>
      <c r="M1488" s="161" t="s">
        <v>4140</v>
      </c>
      <c r="N1488" s="161"/>
      <c r="O1488" s="161"/>
      <c r="P1488" s="49"/>
      <c r="Q1488" s="166" t="s">
        <v>4234</v>
      </c>
      <c r="R1488" s="151"/>
    </row>
    <row r="1489" spans="1:18">
      <c r="A1489" s="188" t="s">
        <v>48</v>
      </c>
      <c r="B1489" s="101" t="s">
        <v>380</v>
      </c>
      <c r="C1489" s="84" t="s">
        <v>4405</v>
      </c>
      <c r="D1489" s="161" t="s">
        <v>1380</v>
      </c>
      <c r="E1489" s="161" t="s">
        <v>2048</v>
      </c>
      <c r="F1489" s="161" t="s">
        <v>2049</v>
      </c>
      <c r="G1489" s="163">
        <v>606.1327</v>
      </c>
      <c r="H1489" s="163">
        <f t="shared" si="115"/>
        <v>22.1325000000001</v>
      </c>
      <c r="I1489" s="176">
        <v>46.66</v>
      </c>
      <c r="J1489" s="176"/>
      <c r="K1489" s="173">
        <f t="shared" si="116"/>
        <v>422251</v>
      </c>
      <c r="L1489" s="174"/>
      <c r="M1489" s="161" t="s">
        <v>4339</v>
      </c>
      <c r="N1489" s="161" t="s">
        <v>1299</v>
      </c>
      <c r="O1489" s="161" t="s">
        <v>25</v>
      </c>
      <c r="P1489" s="49" t="s">
        <v>25</v>
      </c>
      <c r="Q1489" s="166" t="s">
        <v>4239</v>
      </c>
      <c r="R1489" s="151"/>
    </row>
    <row r="1490" spans="1:18">
      <c r="A1490" s="188" t="s">
        <v>48</v>
      </c>
      <c r="B1490" s="101" t="s">
        <v>380</v>
      </c>
      <c r="C1490" s="84" t="s">
        <v>4406</v>
      </c>
      <c r="D1490" s="161" t="s">
        <v>1389</v>
      </c>
      <c r="E1490" s="161" t="s">
        <v>2048</v>
      </c>
      <c r="F1490" s="161" t="s">
        <v>4241</v>
      </c>
      <c r="G1490" s="163">
        <v>622.9002</v>
      </c>
      <c r="H1490" s="163">
        <f t="shared" si="115"/>
        <v>16.7675</v>
      </c>
      <c r="I1490" s="173">
        <v>38</v>
      </c>
      <c r="J1490" s="176"/>
      <c r="K1490" s="173">
        <f t="shared" si="116"/>
        <v>422251</v>
      </c>
      <c r="L1490" s="174"/>
      <c r="M1490" s="161" t="s">
        <v>4339</v>
      </c>
      <c r="N1490" s="161" t="s">
        <v>1299</v>
      </c>
      <c r="O1490" s="161" t="s">
        <v>25</v>
      </c>
      <c r="P1490" s="49" t="s">
        <v>25</v>
      </c>
      <c r="Q1490" s="166" t="s">
        <v>4242</v>
      </c>
      <c r="R1490" s="151"/>
    </row>
    <row r="1491" spans="1:18">
      <c r="A1491" s="188" t="s">
        <v>48</v>
      </c>
      <c r="B1491" s="101" t="s">
        <v>380</v>
      </c>
      <c r="C1491" s="84" t="s">
        <v>4407</v>
      </c>
      <c r="D1491" s="161" t="s">
        <v>4407</v>
      </c>
      <c r="E1491" s="161" t="s">
        <v>2048</v>
      </c>
      <c r="F1491" s="161" t="s">
        <v>4241</v>
      </c>
      <c r="G1491" s="163">
        <v>622.9002</v>
      </c>
      <c r="H1491" s="163">
        <f t="shared" si="115"/>
        <v>0</v>
      </c>
      <c r="I1491" s="176" t="s">
        <v>147</v>
      </c>
      <c r="J1491" s="176"/>
      <c r="K1491" s="173">
        <f t="shared" si="116"/>
        <v>422251</v>
      </c>
      <c r="L1491" s="174" t="s">
        <v>4408</v>
      </c>
      <c r="M1491" s="161"/>
      <c r="N1491" s="161"/>
      <c r="O1491" s="161" t="s">
        <v>14</v>
      </c>
      <c r="P1491" s="49" t="s">
        <v>14</v>
      </c>
      <c r="Q1491" s="166"/>
      <c r="R1491" s="151"/>
    </row>
    <row r="1492" spans="1:18">
      <c r="A1492" s="188" t="s">
        <v>48</v>
      </c>
      <c r="B1492" s="101" t="s">
        <v>380</v>
      </c>
      <c r="C1492" s="84" t="s">
        <v>4409</v>
      </c>
      <c r="D1492" s="161" t="s">
        <v>1391</v>
      </c>
      <c r="E1492" s="161" t="s">
        <v>2048</v>
      </c>
      <c r="F1492" s="161" t="s">
        <v>4241</v>
      </c>
      <c r="G1492" s="163">
        <v>639.8729</v>
      </c>
      <c r="H1492" s="163">
        <f t="shared" si="115"/>
        <v>16.9726999999999</v>
      </c>
      <c r="I1492" s="176">
        <v>33</v>
      </c>
      <c r="J1492" s="176"/>
      <c r="K1492" s="173">
        <f t="shared" si="116"/>
        <v>422251</v>
      </c>
      <c r="L1492" s="174"/>
      <c r="M1492" s="161" t="s">
        <v>4339</v>
      </c>
      <c r="N1492" s="161" t="s">
        <v>1299</v>
      </c>
      <c r="O1492" s="161" t="s">
        <v>25</v>
      </c>
      <c r="P1492" s="49" t="s">
        <v>25</v>
      </c>
      <c r="Q1492" s="166" t="s">
        <v>4244</v>
      </c>
      <c r="R1492" s="151"/>
    </row>
    <row r="1493" ht="45" spans="1:18">
      <c r="A1493" s="188" t="s">
        <v>48</v>
      </c>
      <c r="B1493" s="101" t="s">
        <v>380</v>
      </c>
      <c r="C1493" s="135" t="s">
        <v>163</v>
      </c>
      <c r="D1493" s="161" t="s">
        <v>163</v>
      </c>
      <c r="E1493" s="161" t="s">
        <v>2048</v>
      </c>
      <c r="F1493" s="161" t="s">
        <v>4241</v>
      </c>
      <c r="G1493" s="163">
        <v>651.0002</v>
      </c>
      <c r="H1493" s="163">
        <f t="shared" si="115"/>
        <v>11.1273</v>
      </c>
      <c r="I1493" s="176">
        <v>29.5</v>
      </c>
      <c r="J1493" s="176">
        <v>50457</v>
      </c>
      <c r="K1493" s="173">
        <f t="shared" si="116"/>
        <v>472708</v>
      </c>
      <c r="L1493" s="174" t="s">
        <v>4410</v>
      </c>
      <c r="M1493" s="161" t="s">
        <v>1913</v>
      </c>
      <c r="N1493" s="161"/>
      <c r="O1493" s="161"/>
      <c r="P1493" s="49"/>
      <c r="Q1493" s="166" t="s">
        <v>2051</v>
      </c>
      <c r="R1493" s="151"/>
    </row>
    <row r="1494" spans="1:18">
      <c r="A1494" s="188" t="s">
        <v>48</v>
      </c>
      <c r="B1494" s="101" t="s">
        <v>380</v>
      </c>
      <c r="C1494" s="84" t="s">
        <v>4411</v>
      </c>
      <c r="D1494" s="161" t="s">
        <v>1394</v>
      </c>
      <c r="E1494" s="161" t="s">
        <v>2048</v>
      </c>
      <c r="F1494" s="161" t="s">
        <v>4241</v>
      </c>
      <c r="G1494" s="163">
        <v>672.0849</v>
      </c>
      <c r="H1494" s="163">
        <f t="shared" si="115"/>
        <v>21.0847</v>
      </c>
      <c r="I1494" s="176">
        <v>32</v>
      </c>
      <c r="J1494" s="176"/>
      <c r="K1494" s="173">
        <f t="shared" si="116"/>
        <v>472708</v>
      </c>
      <c r="L1494" s="174"/>
      <c r="M1494" s="161" t="s">
        <v>4339</v>
      </c>
      <c r="N1494" s="161" t="s">
        <v>1299</v>
      </c>
      <c r="O1494" s="161" t="s">
        <v>25</v>
      </c>
      <c r="P1494" s="49" t="s">
        <v>25</v>
      </c>
      <c r="Q1494" s="166" t="s">
        <v>4246</v>
      </c>
      <c r="R1494" s="151"/>
    </row>
    <row r="1495" spans="1:18">
      <c r="A1495" s="188" t="s">
        <v>48</v>
      </c>
      <c r="B1495" s="101" t="s">
        <v>380</v>
      </c>
      <c r="C1495" s="84" t="s">
        <v>4412</v>
      </c>
      <c r="D1495" s="161" t="s">
        <v>1396</v>
      </c>
      <c r="E1495" s="161" t="s">
        <v>2048</v>
      </c>
      <c r="F1495" s="161" t="s">
        <v>4241</v>
      </c>
      <c r="G1495" s="163">
        <v>688.7939</v>
      </c>
      <c r="H1495" s="163">
        <f t="shared" si="115"/>
        <v>16.7090000000001</v>
      </c>
      <c r="I1495" s="176">
        <v>13</v>
      </c>
      <c r="J1495" s="176"/>
      <c r="K1495" s="173">
        <f t="shared" si="116"/>
        <v>472708</v>
      </c>
      <c r="L1495" s="174"/>
      <c r="M1495" s="161" t="s">
        <v>4339</v>
      </c>
      <c r="N1495" s="161" t="s">
        <v>1299</v>
      </c>
      <c r="O1495" s="161" t="s">
        <v>25</v>
      </c>
      <c r="P1495" s="49" t="s">
        <v>25</v>
      </c>
      <c r="Q1495" s="166" t="s">
        <v>4248</v>
      </c>
      <c r="R1495" s="151"/>
    </row>
    <row r="1496" spans="1:18">
      <c r="A1496" s="188" t="s">
        <v>48</v>
      </c>
      <c r="B1496" s="101" t="s">
        <v>380</v>
      </c>
      <c r="C1496" s="84" t="s">
        <v>4413</v>
      </c>
      <c r="D1496" s="161" t="s">
        <v>4413</v>
      </c>
      <c r="E1496" s="161" t="s">
        <v>2048</v>
      </c>
      <c r="F1496" s="161" t="s">
        <v>4241</v>
      </c>
      <c r="G1496" s="163">
        <v>705.0002</v>
      </c>
      <c r="H1496" s="163">
        <f t="shared" si="115"/>
        <v>16.2062999999999</v>
      </c>
      <c r="I1496" s="176">
        <v>28.64</v>
      </c>
      <c r="J1496" s="176">
        <v>40600</v>
      </c>
      <c r="K1496" s="173">
        <f t="shared" si="116"/>
        <v>513308</v>
      </c>
      <c r="L1496" s="174" t="s">
        <v>4414</v>
      </c>
      <c r="M1496" s="161" t="s">
        <v>4339</v>
      </c>
      <c r="N1496" s="161" t="s">
        <v>1331</v>
      </c>
      <c r="O1496" s="161" t="s">
        <v>14</v>
      </c>
      <c r="P1496" s="49" t="s">
        <v>14</v>
      </c>
      <c r="Q1496" s="166" t="s">
        <v>4250</v>
      </c>
      <c r="R1496" s="151"/>
    </row>
    <row r="1497" ht="30" spans="1:18">
      <c r="A1497" s="188" t="s">
        <v>48</v>
      </c>
      <c r="B1497" s="101" t="s">
        <v>380</v>
      </c>
      <c r="C1497" s="84" t="s">
        <v>4415</v>
      </c>
      <c r="D1497" s="161" t="s">
        <v>4416</v>
      </c>
      <c r="E1497" s="161" t="s">
        <v>2048</v>
      </c>
      <c r="F1497" s="161" t="s">
        <v>4241</v>
      </c>
      <c r="G1497" s="163">
        <v>723.7205</v>
      </c>
      <c r="H1497" s="163">
        <f t="shared" si="115"/>
        <v>18.7203000000001</v>
      </c>
      <c r="I1497" s="176">
        <v>9.1</v>
      </c>
      <c r="J1497" s="176"/>
      <c r="K1497" s="173">
        <f t="shared" si="116"/>
        <v>513308</v>
      </c>
      <c r="L1497" s="163" t="s">
        <v>4417</v>
      </c>
      <c r="M1497" s="161" t="s">
        <v>4339</v>
      </c>
      <c r="N1497" s="161" t="s">
        <v>2239</v>
      </c>
      <c r="O1497" s="161" t="s">
        <v>25</v>
      </c>
      <c r="P1497" s="49" t="s">
        <v>25</v>
      </c>
      <c r="Q1497" s="166" t="s">
        <v>4280</v>
      </c>
      <c r="R1497" s="151"/>
    </row>
    <row r="1498" spans="1:18">
      <c r="A1498" s="188" t="s">
        <v>48</v>
      </c>
      <c r="B1498" s="101" t="s">
        <v>380</v>
      </c>
      <c r="C1498" s="84" t="s">
        <v>4418</v>
      </c>
      <c r="D1498" s="161" t="s">
        <v>1409</v>
      </c>
      <c r="E1498" s="161" t="s">
        <v>2048</v>
      </c>
      <c r="F1498" s="161" t="s">
        <v>4241</v>
      </c>
      <c r="G1498" s="163">
        <v>745.2682</v>
      </c>
      <c r="H1498" s="163">
        <f t="shared" si="115"/>
        <v>21.5477</v>
      </c>
      <c r="I1498" s="173">
        <v>10</v>
      </c>
      <c r="J1498" s="176"/>
      <c r="K1498" s="173">
        <f t="shared" si="116"/>
        <v>513308</v>
      </c>
      <c r="L1498" s="174"/>
      <c r="M1498" s="161" t="s">
        <v>4339</v>
      </c>
      <c r="N1498" s="161" t="s">
        <v>1299</v>
      </c>
      <c r="O1498" s="161" t="s">
        <v>25</v>
      </c>
      <c r="P1498" s="49" t="s">
        <v>25</v>
      </c>
      <c r="Q1498" s="166" t="s">
        <v>4253</v>
      </c>
      <c r="R1498" s="151"/>
    </row>
    <row r="1499" spans="1:18">
      <c r="A1499" s="188" t="s">
        <v>48</v>
      </c>
      <c r="B1499" s="101" t="s">
        <v>380</v>
      </c>
      <c r="C1499" s="84" t="s">
        <v>4419</v>
      </c>
      <c r="D1499" s="161" t="s">
        <v>1412</v>
      </c>
      <c r="E1499" s="161" t="s">
        <v>2048</v>
      </c>
      <c r="F1499" s="161" t="s">
        <v>4255</v>
      </c>
      <c r="G1499" s="163">
        <v>766.9496</v>
      </c>
      <c r="H1499" s="163">
        <f t="shared" si="115"/>
        <v>21.6814000000001</v>
      </c>
      <c r="I1499" s="173">
        <v>7.01</v>
      </c>
      <c r="J1499" s="176"/>
      <c r="K1499" s="173">
        <f t="shared" si="116"/>
        <v>513308</v>
      </c>
      <c r="L1499" s="174"/>
      <c r="M1499" s="161" t="s">
        <v>4339</v>
      </c>
      <c r="N1499" s="161" t="s">
        <v>1299</v>
      </c>
      <c r="O1499" s="161" t="s">
        <v>25</v>
      </c>
      <c r="P1499" s="49" t="s">
        <v>25</v>
      </c>
      <c r="Q1499" s="166" t="s">
        <v>4258</v>
      </c>
      <c r="R1499" s="151"/>
    </row>
    <row r="1500" ht="30" spans="1:18">
      <c r="A1500" s="188" t="s">
        <v>48</v>
      </c>
      <c r="B1500" s="101" t="s">
        <v>380</v>
      </c>
      <c r="C1500" s="135" t="s">
        <v>4420</v>
      </c>
      <c r="D1500" s="161" t="s">
        <v>4420</v>
      </c>
      <c r="E1500" s="161" t="s">
        <v>2048</v>
      </c>
      <c r="F1500" s="161" t="s">
        <v>4255</v>
      </c>
      <c r="G1500" s="163">
        <v>785.0001</v>
      </c>
      <c r="H1500" s="163">
        <f t="shared" si="115"/>
        <v>18.0504999999999</v>
      </c>
      <c r="I1500" s="176">
        <v>7.63</v>
      </c>
      <c r="J1500" s="176"/>
      <c r="K1500" s="173">
        <f t="shared" si="116"/>
        <v>513308</v>
      </c>
      <c r="L1500" s="174" t="s">
        <v>4197</v>
      </c>
      <c r="M1500" s="161" t="s">
        <v>4421</v>
      </c>
      <c r="N1500" s="161"/>
      <c r="O1500" s="161"/>
      <c r="P1500" s="49"/>
      <c r="Q1500" s="166"/>
      <c r="R1500" s="151"/>
    </row>
    <row r="1501" spans="1:18">
      <c r="A1501" s="188" t="s">
        <v>48</v>
      </c>
      <c r="B1501" s="101" t="s">
        <v>380</v>
      </c>
      <c r="C1501" s="84" t="s">
        <v>4422</v>
      </c>
      <c r="D1501" s="161" t="s">
        <v>1421</v>
      </c>
      <c r="E1501" s="161" t="s">
        <v>2048</v>
      </c>
      <c r="F1501" s="161" t="s">
        <v>4255</v>
      </c>
      <c r="G1501" s="163">
        <v>794.6969</v>
      </c>
      <c r="H1501" s="163">
        <f t="shared" si="115"/>
        <v>9.69680000000005</v>
      </c>
      <c r="I1501" s="173">
        <v>7.76</v>
      </c>
      <c r="J1501" s="176"/>
      <c r="K1501" s="173">
        <f t="shared" si="116"/>
        <v>513308</v>
      </c>
      <c r="L1501" s="174"/>
      <c r="M1501" s="161" t="s">
        <v>4339</v>
      </c>
      <c r="N1501" s="161" t="s">
        <v>1299</v>
      </c>
      <c r="O1501" s="161" t="s">
        <v>25</v>
      </c>
      <c r="P1501" s="49" t="s">
        <v>25</v>
      </c>
      <c r="Q1501" s="166" t="s">
        <v>4262</v>
      </c>
      <c r="R1501" s="151"/>
    </row>
    <row r="1502" spans="1:18">
      <c r="A1502" s="188" t="s">
        <v>48</v>
      </c>
      <c r="B1502" s="101" t="s">
        <v>380</v>
      </c>
      <c r="C1502" s="135" t="s">
        <v>557</v>
      </c>
      <c r="D1502" s="161" t="s">
        <v>557</v>
      </c>
      <c r="E1502" s="161" t="s">
        <v>2048</v>
      </c>
      <c r="F1502" s="161"/>
      <c r="G1502" s="163">
        <v>803.5001</v>
      </c>
      <c r="H1502" s="163">
        <f t="shared" si="115"/>
        <v>8.80319999999995</v>
      </c>
      <c r="I1502" s="173" t="s">
        <v>147</v>
      </c>
      <c r="J1502" s="173" t="s">
        <v>147</v>
      </c>
      <c r="K1502" s="173" t="s">
        <v>147</v>
      </c>
      <c r="L1502" s="174"/>
      <c r="M1502" s="161"/>
      <c r="N1502" s="161"/>
      <c r="O1502" s="161"/>
      <c r="P1502" s="49"/>
      <c r="Q1502" s="166"/>
      <c r="R1502" s="151"/>
    </row>
    <row r="1503" ht="45" spans="1:18">
      <c r="A1503" s="188" t="s">
        <v>48</v>
      </c>
      <c r="B1503" s="101" t="s">
        <v>380</v>
      </c>
      <c r="C1503" s="135" t="s">
        <v>357</v>
      </c>
      <c r="D1503" s="161" t="s">
        <v>357</v>
      </c>
      <c r="E1503" s="161" t="s">
        <v>2048</v>
      </c>
      <c r="F1503" s="161" t="s">
        <v>4132</v>
      </c>
      <c r="G1503" s="163">
        <v>809.0001</v>
      </c>
      <c r="H1503" s="163">
        <f t="shared" si="115"/>
        <v>5.5</v>
      </c>
      <c r="I1503" s="176">
        <v>11.176</v>
      </c>
      <c r="J1503" s="176">
        <v>78503</v>
      </c>
      <c r="K1503" s="173">
        <f>K1501+J1503</f>
        <v>591811</v>
      </c>
      <c r="L1503" s="174" t="s">
        <v>4423</v>
      </c>
      <c r="M1503" s="161" t="s">
        <v>4125</v>
      </c>
      <c r="N1503" s="161"/>
      <c r="O1503" s="161"/>
      <c r="P1503" s="49"/>
      <c r="Q1503" s="166" t="s">
        <v>4137</v>
      </c>
      <c r="R1503" s="151"/>
    </row>
    <row r="1504" spans="1:18">
      <c r="A1504" s="188" t="s">
        <v>48</v>
      </c>
      <c r="B1504" s="101" t="s">
        <v>380</v>
      </c>
      <c r="C1504" s="84" t="s">
        <v>4424</v>
      </c>
      <c r="D1504" s="161" t="s">
        <v>1424</v>
      </c>
      <c r="E1504" s="161" t="s">
        <v>2048</v>
      </c>
      <c r="F1504" s="161" t="s">
        <v>4132</v>
      </c>
      <c r="G1504" s="163">
        <v>823.4524</v>
      </c>
      <c r="H1504" s="163">
        <f t="shared" ref="H1504:H1508" si="117">G1504-G1503</f>
        <v>14.4523</v>
      </c>
      <c r="I1504" s="173">
        <v>18.83</v>
      </c>
      <c r="J1504" s="176"/>
      <c r="K1504" s="173">
        <f t="shared" ref="K1504:K1508" si="118">K1503+J1504</f>
        <v>591811</v>
      </c>
      <c r="L1504" s="174"/>
      <c r="M1504" s="161" t="s">
        <v>4339</v>
      </c>
      <c r="N1504" s="161" t="s">
        <v>1299</v>
      </c>
      <c r="O1504" s="161" t="s">
        <v>25</v>
      </c>
      <c r="P1504" s="49" t="s">
        <v>25</v>
      </c>
      <c r="Q1504" s="166" t="s">
        <v>4425</v>
      </c>
      <c r="R1504" s="151"/>
    </row>
    <row r="1505" spans="1:18">
      <c r="A1505" s="188" t="s">
        <v>48</v>
      </c>
      <c r="B1505" s="101" t="s">
        <v>380</v>
      </c>
      <c r="C1505" s="84" t="s">
        <v>4426</v>
      </c>
      <c r="D1505" s="161" t="s">
        <v>1427</v>
      </c>
      <c r="E1505" s="161" t="s">
        <v>2048</v>
      </c>
      <c r="F1505" s="161" t="s">
        <v>4132</v>
      </c>
      <c r="G1505" s="163">
        <v>840.6334</v>
      </c>
      <c r="H1505" s="163">
        <f t="shared" si="117"/>
        <v>17.181</v>
      </c>
      <c r="I1505" s="173">
        <v>24.47</v>
      </c>
      <c r="J1505" s="176"/>
      <c r="K1505" s="173">
        <f t="shared" si="118"/>
        <v>591811</v>
      </c>
      <c r="L1505" s="174"/>
      <c r="M1505" s="161" t="s">
        <v>4339</v>
      </c>
      <c r="N1505" s="161" t="s">
        <v>1299</v>
      </c>
      <c r="O1505" s="161" t="s">
        <v>25</v>
      </c>
      <c r="P1505" s="49" t="s">
        <v>25</v>
      </c>
      <c r="Q1505" s="166" t="s">
        <v>4427</v>
      </c>
      <c r="R1505" s="151"/>
    </row>
    <row r="1506" spans="1:18">
      <c r="A1506" s="188" t="s">
        <v>48</v>
      </c>
      <c r="B1506" s="101" t="s">
        <v>380</v>
      </c>
      <c r="C1506" s="84" t="s">
        <v>4428</v>
      </c>
      <c r="D1506" s="161" t="s">
        <v>1430</v>
      </c>
      <c r="E1506" s="161" t="s">
        <v>2048</v>
      </c>
      <c r="F1506" s="161" t="s">
        <v>4080</v>
      </c>
      <c r="G1506" s="163">
        <v>863.5001</v>
      </c>
      <c r="H1506" s="163">
        <f t="shared" si="117"/>
        <v>22.8666999999999</v>
      </c>
      <c r="I1506" s="173">
        <v>25.6</v>
      </c>
      <c r="J1506" s="176"/>
      <c r="K1506" s="173">
        <f t="shared" si="118"/>
        <v>591811</v>
      </c>
      <c r="L1506" s="174"/>
      <c r="M1506" s="161" t="s">
        <v>4339</v>
      </c>
      <c r="N1506" s="161" t="s">
        <v>1299</v>
      </c>
      <c r="O1506" s="161" t="s">
        <v>25</v>
      </c>
      <c r="P1506" s="49" t="s">
        <v>25</v>
      </c>
      <c r="Q1506" s="166"/>
      <c r="R1506" s="151"/>
    </row>
    <row r="1507" spans="1:18">
      <c r="A1507" s="188" t="s">
        <v>48</v>
      </c>
      <c r="B1507" s="101" t="s">
        <v>380</v>
      </c>
      <c r="C1507" s="84" t="s">
        <v>4429</v>
      </c>
      <c r="D1507" s="161" t="s">
        <v>4429</v>
      </c>
      <c r="E1507" s="161" t="s">
        <v>2048</v>
      </c>
      <c r="F1507" s="161" t="s">
        <v>4132</v>
      </c>
      <c r="G1507" s="163">
        <v>863.5001</v>
      </c>
      <c r="H1507" s="163">
        <f t="shared" si="117"/>
        <v>0</v>
      </c>
      <c r="I1507" s="176" t="s">
        <v>147</v>
      </c>
      <c r="J1507" s="176"/>
      <c r="K1507" s="173">
        <f t="shared" si="118"/>
        <v>591811</v>
      </c>
      <c r="L1507" s="174" t="s">
        <v>4257</v>
      </c>
      <c r="M1507" s="161" t="s">
        <v>4339</v>
      </c>
      <c r="N1507" s="161" t="s">
        <v>1331</v>
      </c>
      <c r="O1507" s="161" t="s">
        <v>16</v>
      </c>
      <c r="P1507" s="49" t="s">
        <v>16</v>
      </c>
      <c r="Q1507" s="166" t="s">
        <v>4127</v>
      </c>
      <c r="R1507" s="151"/>
    </row>
    <row r="1508" spans="1:18">
      <c r="A1508" s="188" t="s">
        <v>48</v>
      </c>
      <c r="B1508" s="101" t="s">
        <v>380</v>
      </c>
      <c r="C1508" s="84" t="s">
        <v>4430</v>
      </c>
      <c r="D1508" s="189" t="s">
        <v>4430</v>
      </c>
      <c r="E1508" s="161" t="s">
        <v>2048</v>
      </c>
      <c r="F1508" s="161" t="s">
        <v>4080</v>
      </c>
      <c r="G1508" s="163">
        <v>863.5001</v>
      </c>
      <c r="H1508" s="163">
        <f t="shared" si="117"/>
        <v>0</v>
      </c>
      <c r="I1508" s="176" t="s">
        <v>147</v>
      </c>
      <c r="J1508" s="176"/>
      <c r="K1508" s="173">
        <f t="shared" si="118"/>
        <v>591811</v>
      </c>
      <c r="L1508" s="174"/>
      <c r="M1508" s="161"/>
      <c r="N1508" s="161"/>
      <c r="O1508" s="161"/>
      <c r="P1508" s="49" t="s">
        <v>14</v>
      </c>
      <c r="Q1508" s="166" t="s">
        <v>4127</v>
      </c>
      <c r="R1508" s="151"/>
    </row>
    <row r="1509" ht="30" spans="1:18">
      <c r="A1509" s="188" t="s">
        <v>48</v>
      </c>
      <c r="B1509" s="101" t="s">
        <v>380</v>
      </c>
      <c r="C1509" s="135" t="s">
        <v>356</v>
      </c>
      <c r="D1509" s="161" t="s">
        <v>356</v>
      </c>
      <c r="E1509" s="161" t="s">
        <v>2048</v>
      </c>
      <c r="F1509" s="161" t="s">
        <v>4108</v>
      </c>
      <c r="G1509" s="163">
        <v>879.0001</v>
      </c>
      <c r="H1509" s="163">
        <f>G1509-G1507</f>
        <v>15.5</v>
      </c>
      <c r="I1509" s="173">
        <v>35.07</v>
      </c>
      <c r="J1509" s="176">
        <v>52908</v>
      </c>
      <c r="K1509" s="173">
        <f>K1507+J1509</f>
        <v>644719</v>
      </c>
      <c r="L1509" s="163" t="s">
        <v>4431</v>
      </c>
      <c r="M1509" s="161" t="s">
        <v>3979</v>
      </c>
      <c r="N1509" s="161" t="s">
        <v>1331</v>
      </c>
      <c r="O1509" s="161"/>
      <c r="P1509" s="49"/>
      <c r="Q1509" s="166" t="s">
        <v>4110</v>
      </c>
      <c r="R1509" s="151"/>
    </row>
    <row r="1510" spans="1:18">
      <c r="A1510" s="188" t="s">
        <v>48</v>
      </c>
      <c r="B1510" s="101" t="s">
        <v>380</v>
      </c>
      <c r="C1510" s="84" t="s">
        <v>4432</v>
      </c>
      <c r="D1510" s="161" t="s">
        <v>1433</v>
      </c>
      <c r="E1510" s="161" t="s">
        <v>2048</v>
      </c>
      <c r="F1510" s="161" t="s">
        <v>4108</v>
      </c>
      <c r="G1510" s="163">
        <v>888.1842</v>
      </c>
      <c r="H1510" s="163">
        <f t="shared" ref="H1510:H1521" si="119">G1510-G1509</f>
        <v>9.18410000000006</v>
      </c>
      <c r="I1510" s="173">
        <v>33.86</v>
      </c>
      <c r="J1510" s="176"/>
      <c r="K1510" s="173">
        <f t="shared" ref="K1510:K1521" si="120">K1509+J1510</f>
        <v>644719</v>
      </c>
      <c r="L1510" s="174"/>
      <c r="M1510" s="161" t="s">
        <v>4339</v>
      </c>
      <c r="N1510" s="161" t="s">
        <v>1299</v>
      </c>
      <c r="O1510" s="161" t="s">
        <v>25</v>
      </c>
      <c r="P1510" s="49" t="s">
        <v>25</v>
      </c>
      <c r="Q1510" s="166" t="s">
        <v>4433</v>
      </c>
      <c r="R1510" s="151"/>
    </row>
    <row r="1511" spans="1:18">
      <c r="A1511" s="188" t="s">
        <v>48</v>
      </c>
      <c r="B1511" s="101" t="s">
        <v>380</v>
      </c>
      <c r="C1511" s="84" t="s">
        <v>4434</v>
      </c>
      <c r="D1511" s="161" t="s">
        <v>4434</v>
      </c>
      <c r="E1511" s="161" t="s">
        <v>2048</v>
      </c>
      <c r="F1511" s="161" t="s">
        <v>4108</v>
      </c>
      <c r="G1511" s="163">
        <v>895.0001</v>
      </c>
      <c r="H1511" s="163">
        <f t="shared" si="119"/>
        <v>6.81589999999994</v>
      </c>
      <c r="I1511" s="173">
        <v>45.44</v>
      </c>
      <c r="J1511" s="176">
        <v>11791</v>
      </c>
      <c r="K1511" s="173">
        <f t="shared" si="120"/>
        <v>656510</v>
      </c>
      <c r="L1511" s="174"/>
      <c r="M1511" s="161" t="s">
        <v>4339</v>
      </c>
      <c r="N1511" s="161" t="s">
        <v>1331</v>
      </c>
      <c r="O1511" s="161" t="s">
        <v>14</v>
      </c>
      <c r="P1511" s="49" t="s">
        <v>14</v>
      </c>
      <c r="Q1511" s="166" t="s">
        <v>4435</v>
      </c>
      <c r="R1511" s="151"/>
    </row>
    <row r="1512" spans="1:18">
      <c r="A1512" s="188" t="s">
        <v>48</v>
      </c>
      <c r="B1512" s="101" t="s">
        <v>380</v>
      </c>
      <c r="C1512" s="84" t="s">
        <v>4436</v>
      </c>
      <c r="D1512" s="161" t="s">
        <v>1436</v>
      </c>
      <c r="E1512" s="161" t="s">
        <v>2048</v>
      </c>
      <c r="F1512" s="161" t="s">
        <v>4108</v>
      </c>
      <c r="G1512" s="163">
        <v>902.751</v>
      </c>
      <c r="H1512" s="163">
        <f t="shared" si="119"/>
        <v>7.7509</v>
      </c>
      <c r="I1512" s="173">
        <v>47.81</v>
      </c>
      <c r="J1512" s="176"/>
      <c r="K1512" s="173">
        <f t="shared" si="120"/>
        <v>656510</v>
      </c>
      <c r="L1512" s="174"/>
      <c r="M1512" s="161" t="s">
        <v>4339</v>
      </c>
      <c r="N1512" s="161" t="s">
        <v>1299</v>
      </c>
      <c r="O1512" s="161" t="s">
        <v>25</v>
      </c>
      <c r="P1512" s="49" t="s">
        <v>25</v>
      </c>
      <c r="Q1512" s="166" t="s">
        <v>4437</v>
      </c>
      <c r="R1512" s="151"/>
    </row>
    <row r="1513" spans="1:18">
      <c r="A1513" s="188" t="s">
        <v>48</v>
      </c>
      <c r="B1513" s="101" t="s">
        <v>380</v>
      </c>
      <c r="C1513" s="84" t="s">
        <v>4438</v>
      </c>
      <c r="D1513" s="161" t="s">
        <v>1442</v>
      </c>
      <c r="E1513" s="161" t="s">
        <v>2048</v>
      </c>
      <c r="F1513" s="161" t="s">
        <v>4108</v>
      </c>
      <c r="G1513" s="163">
        <v>911.5001</v>
      </c>
      <c r="H1513" s="163">
        <f t="shared" si="119"/>
        <v>8.7491</v>
      </c>
      <c r="I1513" s="173">
        <v>87.4</v>
      </c>
      <c r="J1513" s="176"/>
      <c r="K1513" s="173">
        <f t="shared" si="120"/>
        <v>656510</v>
      </c>
      <c r="L1513" s="174"/>
      <c r="M1513" s="161" t="s">
        <v>4339</v>
      </c>
      <c r="N1513" s="161" t="s">
        <v>1299</v>
      </c>
      <c r="O1513" s="161" t="s">
        <v>25</v>
      </c>
      <c r="P1513" s="49" t="s">
        <v>25</v>
      </c>
      <c r="Q1513" s="166" t="s">
        <v>4439</v>
      </c>
      <c r="R1513" s="151"/>
    </row>
    <row r="1514" spans="1:18">
      <c r="A1514" s="188" t="s">
        <v>48</v>
      </c>
      <c r="B1514" s="101" t="s">
        <v>380</v>
      </c>
      <c r="C1514" s="84" t="s">
        <v>4440</v>
      </c>
      <c r="D1514" s="161" t="s">
        <v>4440</v>
      </c>
      <c r="E1514" s="161" t="s">
        <v>2048</v>
      </c>
      <c r="F1514" s="161" t="s">
        <v>4108</v>
      </c>
      <c r="G1514" s="163">
        <v>911.5001</v>
      </c>
      <c r="H1514" s="163">
        <f t="shared" si="119"/>
        <v>0</v>
      </c>
      <c r="I1514" s="176" t="s">
        <v>147</v>
      </c>
      <c r="J1514" s="176">
        <v>13877</v>
      </c>
      <c r="K1514" s="173">
        <f t="shared" si="120"/>
        <v>670387</v>
      </c>
      <c r="L1514" s="174" t="s">
        <v>4257</v>
      </c>
      <c r="M1514" s="161" t="s">
        <v>4339</v>
      </c>
      <c r="N1514" s="161"/>
      <c r="O1514" s="161" t="s">
        <v>16</v>
      </c>
      <c r="P1514" s="49" t="s">
        <v>16</v>
      </c>
      <c r="Q1514" s="166" t="s">
        <v>4439</v>
      </c>
      <c r="R1514" s="151"/>
    </row>
    <row r="1515" spans="1:18">
      <c r="A1515" s="188" t="s">
        <v>48</v>
      </c>
      <c r="B1515" s="101" t="s">
        <v>380</v>
      </c>
      <c r="C1515" s="84" t="s">
        <v>4441</v>
      </c>
      <c r="D1515" s="161" t="s">
        <v>1445</v>
      </c>
      <c r="E1515" s="161" t="s">
        <v>2048</v>
      </c>
      <c r="F1515" s="161" t="s">
        <v>4108</v>
      </c>
      <c r="G1515" s="163">
        <v>924.0001</v>
      </c>
      <c r="H1515" s="163">
        <f t="shared" si="119"/>
        <v>12.5</v>
      </c>
      <c r="I1515" s="173">
        <v>229.38</v>
      </c>
      <c r="J1515" s="176"/>
      <c r="K1515" s="173">
        <f t="shared" si="120"/>
        <v>670387</v>
      </c>
      <c r="L1515" s="174"/>
      <c r="M1515" s="161" t="s">
        <v>4339</v>
      </c>
      <c r="N1515" s="161" t="s">
        <v>1299</v>
      </c>
      <c r="O1515" s="161" t="s">
        <v>25</v>
      </c>
      <c r="P1515" s="49" t="s">
        <v>25</v>
      </c>
      <c r="Q1515" s="166" t="s">
        <v>4442</v>
      </c>
      <c r="R1515" s="151"/>
    </row>
    <row r="1516" spans="1:18">
      <c r="A1516" s="188" t="s">
        <v>48</v>
      </c>
      <c r="B1516" s="101" t="s">
        <v>380</v>
      </c>
      <c r="C1516" s="84" t="s">
        <v>4443</v>
      </c>
      <c r="D1516" s="161" t="s">
        <v>4443</v>
      </c>
      <c r="E1516" s="161" t="s">
        <v>2048</v>
      </c>
      <c r="F1516" s="161" t="s">
        <v>4444</v>
      </c>
      <c r="G1516" s="163">
        <v>924.0001</v>
      </c>
      <c r="H1516" s="163">
        <f t="shared" si="119"/>
        <v>0</v>
      </c>
      <c r="I1516" s="176" t="s">
        <v>147</v>
      </c>
      <c r="J1516" s="176"/>
      <c r="K1516" s="173">
        <f t="shared" si="120"/>
        <v>670387</v>
      </c>
      <c r="L1516" s="174" t="s">
        <v>4257</v>
      </c>
      <c r="M1516" s="161" t="s">
        <v>4339</v>
      </c>
      <c r="N1516" s="161" t="s">
        <v>1331</v>
      </c>
      <c r="O1516" s="161" t="s">
        <v>16</v>
      </c>
      <c r="P1516" s="49" t="s">
        <v>16</v>
      </c>
      <c r="Q1516" s="166" t="s">
        <v>4442</v>
      </c>
      <c r="R1516" s="151"/>
    </row>
    <row r="1517" spans="1:18">
      <c r="A1517" s="188" t="s">
        <v>48</v>
      </c>
      <c r="B1517" s="101" t="s">
        <v>380</v>
      </c>
      <c r="C1517" s="84" t="s">
        <v>4445</v>
      </c>
      <c r="D1517" s="161" t="s">
        <v>1448</v>
      </c>
      <c r="E1517" s="161" t="s">
        <v>2048</v>
      </c>
      <c r="F1517" s="161" t="s">
        <v>4108</v>
      </c>
      <c r="G1517" s="163">
        <v>945.9392</v>
      </c>
      <c r="H1517" s="163">
        <f t="shared" si="119"/>
        <v>21.9391000000001</v>
      </c>
      <c r="I1517" s="173">
        <v>170.25</v>
      </c>
      <c r="J1517" s="176"/>
      <c r="K1517" s="173">
        <f t="shared" si="120"/>
        <v>670387</v>
      </c>
      <c r="L1517" s="174"/>
      <c r="M1517" s="161" t="s">
        <v>4339</v>
      </c>
      <c r="N1517" s="161" t="s">
        <v>1299</v>
      </c>
      <c r="O1517" s="161" t="s">
        <v>25</v>
      </c>
      <c r="P1517" s="49" t="s">
        <v>25</v>
      </c>
      <c r="Q1517" s="166" t="s">
        <v>4446</v>
      </c>
      <c r="R1517" s="151"/>
    </row>
    <row r="1518" spans="1:18">
      <c r="A1518" s="188" t="s">
        <v>48</v>
      </c>
      <c r="B1518" s="101" t="s">
        <v>380</v>
      </c>
      <c r="C1518" s="84" t="s">
        <v>4447</v>
      </c>
      <c r="D1518" s="161" t="s">
        <v>1451</v>
      </c>
      <c r="E1518" s="161" t="s">
        <v>2048</v>
      </c>
      <c r="F1518" s="161" t="s">
        <v>4444</v>
      </c>
      <c r="G1518" s="163">
        <v>957.9437</v>
      </c>
      <c r="H1518" s="163">
        <f t="shared" si="119"/>
        <v>12.0045</v>
      </c>
      <c r="I1518" s="173">
        <v>76.16</v>
      </c>
      <c r="J1518" s="176"/>
      <c r="K1518" s="173">
        <f t="shared" si="120"/>
        <v>670387</v>
      </c>
      <c r="L1518" s="174"/>
      <c r="M1518" s="161" t="s">
        <v>4339</v>
      </c>
      <c r="N1518" s="161" t="s">
        <v>1299</v>
      </c>
      <c r="O1518" s="161" t="s">
        <v>25</v>
      </c>
      <c r="P1518" s="49" t="s">
        <v>25</v>
      </c>
      <c r="Q1518" s="166" t="s">
        <v>4448</v>
      </c>
      <c r="R1518" s="151"/>
    </row>
    <row r="1519" spans="1:18">
      <c r="A1519" s="188" t="s">
        <v>48</v>
      </c>
      <c r="B1519" s="101" t="s">
        <v>380</v>
      </c>
      <c r="C1519" s="84" t="s">
        <v>4449</v>
      </c>
      <c r="D1519" s="161" t="s">
        <v>1455</v>
      </c>
      <c r="E1519" s="161" t="s">
        <v>2048</v>
      </c>
      <c r="F1519" s="161" t="s">
        <v>4444</v>
      </c>
      <c r="G1519" s="163">
        <v>966.1708</v>
      </c>
      <c r="H1519" s="163">
        <f t="shared" si="119"/>
        <v>8.22709999999995</v>
      </c>
      <c r="I1519" s="173">
        <v>45.27</v>
      </c>
      <c r="J1519" s="176"/>
      <c r="K1519" s="173">
        <f t="shared" si="120"/>
        <v>670387</v>
      </c>
      <c r="L1519" s="174"/>
      <c r="M1519" s="161" t="s">
        <v>4339</v>
      </c>
      <c r="N1519" s="161" t="s">
        <v>1299</v>
      </c>
      <c r="O1519" s="161" t="s">
        <v>25</v>
      </c>
      <c r="P1519" s="49" t="s">
        <v>25</v>
      </c>
      <c r="Q1519" s="166" t="s">
        <v>4450</v>
      </c>
      <c r="R1519" s="151"/>
    </row>
    <row r="1520" spans="1:18">
      <c r="A1520" s="188" t="s">
        <v>48</v>
      </c>
      <c r="B1520" s="101" t="s">
        <v>380</v>
      </c>
      <c r="C1520" s="84" t="s">
        <v>4451</v>
      </c>
      <c r="D1520" s="161" t="s">
        <v>1460</v>
      </c>
      <c r="E1520" s="161" t="s">
        <v>2048</v>
      </c>
      <c r="F1520" s="161" t="s">
        <v>4444</v>
      </c>
      <c r="G1520" s="163">
        <v>972.6787</v>
      </c>
      <c r="H1520" s="163">
        <f t="shared" si="119"/>
        <v>6.50790000000006</v>
      </c>
      <c r="I1520" s="173">
        <v>50.33</v>
      </c>
      <c r="J1520" s="176"/>
      <c r="K1520" s="173">
        <f t="shared" si="120"/>
        <v>670387</v>
      </c>
      <c r="L1520" s="174"/>
      <c r="M1520" s="161" t="s">
        <v>4339</v>
      </c>
      <c r="N1520" s="161" t="s">
        <v>1299</v>
      </c>
      <c r="O1520" s="161" t="s">
        <v>25</v>
      </c>
      <c r="P1520" s="49" t="s">
        <v>25</v>
      </c>
      <c r="Q1520" s="166" t="s">
        <v>4452</v>
      </c>
      <c r="R1520" s="151"/>
    </row>
    <row r="1521" spans="1:18">
      <c r="A1521" s="188" t="s">
        <v>48</v>
      </c>
      <c r="B1521" s="101" t="s">
        <v>380</v>
      </c>
      <c r="C1521" s="84" t="s">
        <v>382</v>
      </c>
      <c r="D1521" s="161" t="s">
        <v>382</v>
      </c>
      <c r="E1521" s="161" t="s">
        <v>2048</v>
      </c>
      <c r="F1521" s="161" t="s">
        <v>4444</v>
      </c>
      <c r="G1521" s="163">
        <v>981.0001</v>
      </c>
      <c r="H1521" s="163">
        <f t="shared" si="119"/>
        <v>8.32139999999993</v>
      </c>
      <c r="I1521" s="173">
        <v>49.45</v>
      </c>
      <c r="J1521" s="176">
        <v>54074</v>
      </c>
      <c r="K1521" s="173">
        <f t="shared" si="120"/>
        <v>724461</v>
      </c>
      <c r="L1521" s="174"/>
      <c r="M1521" s="161" t="s">
        <v>4339</v>
      </c>
      <c r="N1521" s="161" t="s">
        <v>1331</v>
      </c>
      <c r="O1521" s="161" t="s">
        <v>14</v>
      </c>
      <c r="P1521" s="49" t="s">
        <v>14</v>
      </c>
      <c r="Q1521" s="166" t="s">
        <v>4453</v>
      </c>
      <c r="R1521" s="151"/>
    </row>
    <row r="1522" spans="1:18">
      <c r="A1522" s="188" t="s">
        <v>48</v>
      </c>
      <c r="B1522" s="101" t="s">
        <v>384</v>
      </c>
      <c r="C1522" s="135" t="s">
        <v>385</v>
      </c>
      <c r="D1522" s="189" t="s">
        <v>385</v>
      </c>
      <c r="E1522" s="161" t="s">
        <v>2048</v>
      </c>
      <c r="F1522" s="161" t="s">
        <v>4204</v>
      </c>
      <c r="G1522" s="163">
        <v>0</v>
      </c>
      <c r="H1522" s="163">
        <v>0</v>
      </c>
      <c r="I1522" s="176">
        <v>1257.766</v>
      </c>
      <c r="J1522" s="176" t="s">
        <v>147</v>
      </c>
      <c r="K1522" s="176" t="s">
        <v>147</v>
      </c>
      <c r="L1522" s="174"/>
      <c r="M1522" s="161" t="s">
        <v>4339</v>
      </c>
      <c r="N1522" s="161"/>
      <c r="O1522" s="161"/>
      <c r="P1522" s="49"/>
      <c r="Q1522" s="166"/>
      <c r="R1522" s="151"/>
    </row>
    <row r="1523" spans="1:18">
      <c r="A1523" s="188" t="s">
        <v>48</v>
      </c>
      <c r="B1523" s="101" t="s">
        <v>384</v>
      </c>
      <c r="C1523" s="84" t="s">
        <v>386</v>
      </c>
      <c r="D1523" s="189" t="s">
        <v>386</v>
      </c>
      <c r="E1523" s="161" t="s">
        <v>2048</v>
      </c>
      <c r="F1523" s="161" t="s">
        <v>4204</v>
      </c>
      <c r="G1523" s="163">
        <v>0.8</v>
      </c>
      <c r="H1523" s="163">
        <v>0.8</v>
      </c>
      <c r="I1523" s="176">
        <v>1257.766</v>
      </c>
      <c r="J1523" s="176" t="s">
        <v>147</v>
      </c>
      <c r="K1523" s="176" t="s">
        <v>147</v>
      </c>
      <c r="L1523" s="174"/>
      <c r="M1523" s="161" t="s">
        <v>4339</v>
      </c>
      <c r="N1523" s="161"/>
      <c r="O1523" s="161" t="s">
        <v>14</v>
      </c>
      <c r="P1523" s="49" t="s">
        <v>14</v>
      </c>
      <c r="Q1523" s="166"/>
      <c r="R1523" s="151"/>
    </row>
    <row r="1524" spans="1:18">
      <c r="A1524" s="188" t="s">
        <v>49</v>
      </c>
      <c r="B1524" s="101" t="s">
        <v>387</v>
      </c>
      <c r="C1524" s="135" t="s">
        <v>351</v>
      </c>
      <c r="D1524" s="161" t="s">
        <v>351</v>
      </c>
      <c r="E1524" s="161" t="s">
        <v>2048</v>
      </c>
      <c r="F1524" s="161" t="s">
        <v>1538</v>
      </c>
      <c r="G1524" s="163">
        <v>0</v>
      </c>
      <c r="H1524" s="163">
        <v>0</v>
      </c>
      <c r="I1524" s="172">
        <v>1326.06</v>
      </c>
      <c r="J1524" s="172">
        <v>0</v>
      </c>
      <c r="K1524" s="172">
        <v>0</v>
      </c>
      <c r="L1524" s="174"/>
      <c r="M1524" s="161" t="s">
        <v>3979</v>
      </c>
      <c r="N1524" s="161" t="s">
        <v>1331</v>
      </c>
      <c r="O1524" s="161"/>
      <c r="P1524" s="49"/>
      <c r="Q1524" s="166" t="s">
        <v>3980</v>
      </c>
      <c r="R1524" s="151"/>
    </row>
    <row r="1525" s="148" customFormat="1" spans="1:18">
      <c r="A1525" s="188" t="s">
        <v>49</v>
      </c>
      <c r="B1525" s="101" t="s">
        <v>387</v>
      </c>
      <c r="C1525" s="84" t="s">
        <v>4454</v>
      </c>
      <c r="D1525" s="161" t="s">
        <v>1298</v>
      </c>
      <c r="E1525" s="161" t="s">
        <v>2048</v>
      </c>
      <c r="F1525" s="161" t="s">
        <v>1538</v>
      </c>
      <c r="G1525" s="163">
        <v>16.1817</v>
      </c>
      <c r="H1525" s="163">
        <f>G1525-G1524</f>
        <v>16.1817</v>
      </c>
      <c r="I1525" s="172">
        <v>1786.7</v>
      </c>
      <c r="J1525" s="172">
        <v>17313.296984481</v>
      </c>
      <c r="K1525" s="176">
        <f t="shared" ref="K1525:K1548" si="121">K1524+J1525</f>
        <v>17313.296984481</v>
      </c>
      <c r="L1525" s="172"/>
      <c r="M1525" s="161" t="s">
        <v>4455</v>
      </c>
      <c r="N1525" s="161" t="s">
        <v>1299</v>
      </c>
      <c r="O1525" s="161" t="s">
        <v>25</v>
      </c>
      <c r="P1525" s="49" t="s">
        <v>25</v>
      </c>
      <c r="Q1525" s="166" t="s">
        <v>4456</v>
      </c>
      <c r="R1525" s="167"/>
    </row>
    <row r="1526" s="148" customFormat="1" spans="1:18">
      <c r="A1526" s="188" t="s">
        <v>49</v>
      </c>
      <c r="B1526" s="101" t="s">
        <v>387</v>
      </c>
      <c r="C1526" s="84" t="s">
        <v>4457</v>
      </c>
      <c r="D1526" s="161" t="s">
        <v>4457</v>
      </c>
      <c r="E1526" s="161" t="s">
        <v>2048</v>
      </c>
      <c r="F1526" s="161" t="s">
        <v>1538</v>
      </c>
      <c r="G1526" s="163">
        <v>32.817</v>
      </c>
      <c r="H1526" s="163">
        <f t="shared" ref="H1526:H1551" si="122">G1526-G1525</f>
        <v>16.6353</v>
      </c>
      <c r="I1526" s="172">
        <v>1228.6</v>
      </c>
      <c r="J1526" s="172">
        <v>17798.6990929645</v>
      </c>
      <c r="K1526" s="176">
        <f t="shared" si="121"/>
        <v>35111.9960774455</v>
      </c>
      <c r="L1526" s="172"/>
      <c r="M1526" s="161" t="s">
        <v>4455</v>
      </c>
      <c r="N1526" s="161" t="s">
        <v>1331</v>
      </c>
      <c r="O1526" s="161" t="s">
        <v>6</v>
      </c>
      <c r="P1526" s="49" t="s">
        <v>6</v>
      </c>
      <c r="Q1526" s="166" t="s">
        <v>4141</v>
      </c>
      <c r="R1526" s="167"/>
    </row>
    <row r="1527" s="148" customFormat="1" spans="1:18">
      <c r="A1527" s="188" t="s">
        <v>49</v>
      </c>
      <c r="B1527" s="101" t="s">
        <v>387</v>
      </c>
      <c r="C1527" s="84" t="s">
        <v>4458</v>
      </c>
      <c r="D1527" s="161" t="s">
        <v>1302</v>
      </c>
      <c r="E1527" s="161" t="s">
        <v>2048</v>
      </c>
      <c r="F1527" s="161" t="s">
        <v>4459</v>
      </c>
      <c r="G1527" s="163">
        <v>49.6618</v>
      </c>
      <c r="H1527" s="163">
        <f t="shared" si="122"/>
        <v>16.8448</v>
      </c>
      <c r="I1527" s="172">
        <v>1121</v>
      </c>
      <c r="J1527" s="172">
        <v>27464.49</v>
      </c>
      <c r="K1527" s="176">
        <f t="shared" si="121"/>
        <v>62576.4860774455</v>
      </c>
      <c r="L1527" s="172"/>
      <c r="M1527" s="161" t="s">
        <v>4455</v>
      </c>
      <c r="N1527" s="161" t="s">
        <v>1299</v>
      </c>
      <c r="O1527" s="161" t="s">
        <v>25</v>
      </c>
      <c r="P1527" s="49" t="s">
        <v>25</v>
      </c>
      <c r="Q1527" s="166" t="s">
        <v>4460</v>
      </c>
      <c r="R1527" s="167"/>
    </row>
    <row r="1528" s="148" customFormat="1" spans="1:18">
      <c r="A1528" s="188" t="s">
        <v>49</v>
      </c>
      <c r="B1528" s="101" t="s">
        <v>387</v>
      </c>
      <c r="C1528" s="84" t="s">
        <v>4461</v>
      </c>
      <c r="D1528" s="161" t="s">
        <v>1305</v>
      </c>
      <c r="E1528" s="161" t="s">
        <v>2048</v>
      </c>
      <c r="F1528" s="161" t="s">
        <v>4459</v>
      </c>
      <c r="G1528" s="163">
        <v>70.4776</v>
      </c>
      <c r="H1528" s="163">
        <f t="shared" si="122"/>
        <v>20.8158</v>
      </c>
      <c r="I1528" s="172">
        <v>1204</v>
      </c>
      <c r="J1528" s="172">
        <v>21816.7625088567</v>
      </c>
      <c r="K1528" s="176">
        <f t="shared" si="121"/>
        <v>84393.2485863022</v>
      </c>
      <c r="L1528" s="172"/>
      <c r="M1528" s="161" t="s">
        <v>4455</v>
      </c>
      <c r="N1528" s="161" t="s">
        <v>1299</v>
      </c>
      <c r="O1528" s="161" t="s">
        <v>25</v>
      </c>
      <c r="P1528" s="49" t="s">
        <v>25</v>
      </c>
      <c r="Q1528" s="166" t="s">
        <v>4462</v>
      </c>
      <c r="R1528" s="167"/>
    </row>
    <row r="1529" s="148" customFormat="1" spans="1:18">
      <c r="A1529" s="188" t="s">
        <v>49</v>
      </c>
      <c r="B1529" s="101" t="s">
        <v>387</v>
      </c>
      <c r="C1529" s="84" t="s">
        <v>4463</v>
      </c>
      <c r="D1529" s="161" t="s">
        <v>1307</v>
      </c>
      <c r="E1529" s="161" t="s">
        <v>2048</v>
      </c>
      <c r="F1529" s="161" t="s">
        <v>4459</v>
      </c>
      <c r="G1529" s="163">
        <v>97.7754</v>
      </c>
      <c r="H1529" s="163">
        <f t="shared" si="122"/>
        <v>27.2978</v>
      </c>
      <c r="I1529" s="172">
        <v>1210</v>
      </c>
      <c r="J1529" s="172">
        <v>28610.5103669437</v>
      </c>
      <c r="K1529" s="176">
        <f t="shared" si="121"/>
        <v>113003.758953246</v>
      </c>
      <c r="L1529" s="172"/>
      <c r="M1529" s="161" t="s">
        <v>4455</v>
      </c>
      <c r="N1529" s="161" t="s">
        <v>1299</v>
      </c>
      <c r="O1529" s="161" t="s">
        <v>25</v>
      </c>
      <c r="P1529" s="49" t="s">
        <v>25</v>
      </c>
      <c r="Q1529" s="166" t="s">
        <v>4464</v>
      </c>
      <c r="R1529" s="167"/>
    </row>
    <row r="1530" s="148" customFormat="1" spans="1:18">
      <c r="A1530" s="188" t="s">
        <v>49</v>
      </c>
      <c r="B1530" s="101" t="s">
        <v>387</v>
      </c>
      <c r="C1530" s="84" t="s">
        <v>4465</v>
      </c>
      <c r="D1530" s="161" t="s">
        <v>1311</v>
      </c>
      <c r="E1530" s="161" t="s">
        <v>2048</v>
      </c>
      <c r="F1530" s="161" t="s">
        <v>4459</v>
      </c>
      <c r="G1530" s="163">
        <v>125.7656</v>
      </c>
      <c r="H1530" s="163">
        <f t="shared" si="122"/>
        <v>27.9902</v>
      </c>
      <c r="I1530" s="172">
        <v>1294</v>
      </c>
      <c r="J1530" s="172">
        <v>29336.2473141693</v>
      </c>
      <c r="K1530" s="176">
        <f t="shared" si="121"/>
        <v>142340.006267415</v>
      </c>
      <c r="L1530" s="172"/>
      <c r="M1530" s="161" t="s">
        <v>4455</v>
      </c>
      <c r="N1530" s="161" t="s">
        <v>1299</v>
      </c>
      <c r="O1530" s="161" t="s">
        <v>25</v>
      </c>
      <c r="P1530" s="49" t="s">
        <v>25</v>
      </c>
      <c r="Q1530" s="166" t="s">
        <v>4466</v>
      </c>
      <c r="R1530" s="167"/>
    </row>
    <row r="1531" s="148" customFormat="1" spans="1:18">
      <c r="A1531" s="188" t="s">
        <v>49</v>
      </c>
      <c r="B1531" s="101" t="s">
        <v>387</v>
      </c>
      <c r="C1531" s="84" t="s">
        <v>4467</v>
      </c>
      <c r="D1531" s="161" t="s">
        <v>1318</v>
      </c>
      <c r="E1531" s="161" t="s">
        <v>2048</v>
      </c>
      <c r="F1531" s="161" t="s">
        <v>4459</v>
      </c>
      <c r="G1531" s="163">
        <v>159.295</v>
      </c>
      <c r="H1531" s="163">
        <f t="shared" si="122"/>
        <v>33.5294</v>
      </c>
      <c r="I1531" s="172">
        <v>1370</v>
      </c>
      <c r="J1531" s="172">
        <v>35141.8176800986</v>
      </c>
      <c r="K1531" s="176">
        <f t="shared" si="121"/>
        <v>177481.823947514</v>
      </c>
      <c r="L1531" s="172"/>
      <c r="M1531" s="161" t="s">
        <v>4455</v>
      </c>
      <c r="N1531" s="161" t="s">
        <v>1299</v>
      </c>
      <c r="O1531" s="161" t="s">
        <v>25</v>
      </c>
      <c r="P1531" s="49" t="s">
        <v>25</v>
      </c>
      <c r="Q1531" s="166" t="s">
        <v>4468</v>
      </c>
      <c r="R1531" s="167"/>
    </row>
    <row r="1532" s="148" customFormat="1" spans="1:18">
      <c r="A1532" s="188" t="s">
        <v>49</v>
      </c>
      <c r="B1532" s="101" t="s">
        <v>387</v>
      </c>
      <c r="C1532" s="84" t="s">
        <v>4469</v>
      </c>
      <c r="D1532" s="161" t="s">
        <v>1321</v>
      </c>
      <c r="E1532" s="161" t="s">
        <v>2048</v>
      </c>
      <c r="F1532" s="161" t="s">
        <v>4459</v>
      </c>
      <c r="G1532" s="163">
        <v>186.7906</v>
      </c>
      <c r="H1532" s="163">
        <f t="shared" si="122"/>
        <v>27.4956</v>
      </c>
      <c r="I1532" s="172">
        <v>1315</v>
      </c>
      <c r="J1532" s="172">
        <v>28817.8389195194</v>
      </c>
      <c r="K1532" s="176">
        <f t="shared" si="121"/>
        <v>206299.662867033</v>
      </c>
      <c r="L1532" s="172"/>
      <c r="M1532" s="161" t="s">
        <v>4455</v>
      </c>
      <c r="N1532" s="161" t="s">
        <v>1299</v>
      </c>
      <c r="O1532" s="161" t="s">
        <v>25</v>
      </c>
      <c r="P1532" s="49" t="s">
        <v>25</v>
      </c>
      <c r="Q1532" s="166" t="s">
        <v>4470</v>
      </c>
      <c r="R1532" s="167"/>
    </row>
    <row r="1533" s="148" customFormat="1" spans="1:18">
      <c r="A1533" s="188" t="s">
        <v>49</v>
      </c>
      <c r="B1533" s="101" t="s">
        <v>387</v>
      </c>
      <c r="C1533" s="84" t="s">
        <v>4471</v>
      </c>
      <c r="D1533" s="161" t="s">
        <v>1324</v>
      </c>
      <c r="E1533" s="161" t="s">
        <v>2048</v>
      </c>
      <c r="F1533" s="161" t="s">
        <v>4459</v>
      </c>
      <c r="G1533" s="163">
        <v>217.9787</v>
      </c>
      <c r="H1533" s="163">
        <f t="shared" si="122"/>
        <v>31.1881</v>
      </c>
      <c r="I1533" s="172">
        <v>1322</v>
      </c>
      <c r="J1533" s="172">
        <v>32687.8983022576</v>
      </c>
      <c r="K1533" s="176">
        <f t="shared" si="121"/>
        <v>238987.561169291</v>
      </c>
      <c r="L1533" s="172"/>
      <c r="M1533" s="161" t="s">
        <v>4455</v>
      </c>
      <c r="N1533" s="161" t="s">
        <v>1299</v>
      </c>
      <c r="O1533" s="161" t="s">
        <v>25</v>
      </c>
      <c r="P1533" s="49" t="s">
        <v>25</v>
      </c>
      <c r="Q1533" s="166" t="s">
        <v>4472</v>
      </c>
      <c r="R1533" s="167"/>
    </row>
    <row r="1534" s="148" customFormat="1" spans="1:18">
      <c r="A1534" s="188" t="s">
        <v>49</v>
      </c>
      <c r="B1534" s="101" t="s">
        <v>387</v>
      </c>
      <c r="C1534" s="84" t="s">
        <v>4473</v>
      </c>
      <c r="D1534" s="161" t="s">
        <v>1327</v>
      </c>
      <c r="E1534" s="161" t="s">
        <v>2048</v>
      </c>
      <c r="F1534" s="161" t="s">
        <v>4459</v>
      </c>
      <c r="G1534" s="163">
        <v>242.8049</v>
      </c>
      <c r="H1534" s="163">
        <f t="shared" si="122"/>
        <v>24.8262</v>
      </c>
      <c r="I1534" s="172">
        <v>1347</v>
      </c>
      <c r="J1534" s="172">
        <v>26020.0650861114</v>
      </c>
      <c r="K1534" s="176">
        <f t="shared" si="121"/>
        <v>265007.626255402</v>
      </c>
      <c r="L1534" s="172"/>
      <c r="M1534" s="161" t="s">
        <v>4455</v>
      </c>
      <c r="N1534" s="161" t="s">
        <v>1299</v>
      </c>
      <c r="O1534" s="161" t="s">
        <v>25</v>
      </c>
      <c r="P1534" s="49" t="s">
        <v>25</v>
      </c>
      <c r="Q1534" s="166" t="s">
        <v>4474</v>
      </c>
      <c r="R1534" s="167"/>
    </row>
    <row r="1535" s="148" customFormat="1" spans="1:18">
      <c r="A1535" s="188" t="s">
        <v>49</v>
      </c>
      <c r="B1535" s="101" t="s">
        <v>387</v>
      </c>
      <c r="C1535" s="84" t="s">
        <v>4475</v>
      </c>
      <c r="D1535" s="161" t="s">
        <v>4475</v>
      </c>
      <c r="E1535" s="161" t="s">
        <v>2048</v>
      </c>
      <c r="F1535" s="161" t="s">
        <v>4459</v>
      </c>
      <c r="G1535" s="163">
        <v>262.932</v>
      </c>
      <c r="H1535" s="163">
        <f t="shared" si="122"/>
        <v>20.1271</v>
      </c>
      <c r="I1535" s="172">
        <v>1456</v>
      </c>
      <c r="J1535" s="172">
        <v>21094.9661724128</v>
      </c>
      <c r="K1535" s="176">
        <f t="shared" si="121"/>
        <v>286102.592427815</v>
      </c>
      <c r="L1535" s="172"/>
      <c r="M1535" s="161" t="s">
        <v>4455</v>
      </c>
      <c r="N1535" s="161" t="s">
        <v>1331</v>
      </c>
      <c r="O1535" s="161" t="s">
        <v>6</v>
      </c>
      <c r="P1535" s="49" t="s">
        <v>6</v>
      </c>
      <c r="Q1535" s="166" t="s">
        <v>4476</v>
      </c>
      <c r="R1535" s="167"/>
    </row>
    <row r="1536" s="148" customFormat="1" spans="1:18">
      <c r="A1536" s="188" t="s">
        <v>49</v>
      </c>
      <c r="B1536" s="101" t="s">
        <v>387</v>
      </c>
      <c r="C1536" s="84" t="s">
        <v>4477</v>
      </c>
      <c r="D1536" s="161" t="s">
        <v>1334</v>
      </c>
      <c r="E1536" s="161" t="s">
        <v>2048</v>
      </c>
      <c r="F1536" s="161" t="s">
        <v>4459</v>
      </c>
      <c r="G1536" s="163">
        <v>282.549</v>
      </c>
      <c r="H1536" s="163">
        <f t="shared" si="122"/>
        <v>19.617</v>
      </c>
      <c r="I1536" s="172">
        <v>1522</v>
      </c>
      <c r="J1536" s="172">
        <v>21724.7764931162</v>
      </c>
      <c r="K1536" s="176">
        <f t="shared" si="121"/>
        <v>307827.368920931</v>
      </c>
      <c r="L1536" s="172"/>
      <c r="M1536" s="161" t="s">
        <v>4455</v>
      </c>
      <c r="N1536" s="161" t="s">
        <v>1299</v>
      </c>
      <c r="O1536" s="161" t="s">
        <v>25</v>
      </c>
      <c r="P1536" s="49" t="s">
        <v>25</v>
      </c>
      <c r="Q1536" s="166" t="s">
        <v>4478</v>
      </c>
      <c r="R1536" s="167"/>
    </row>
    <row r="1537" s="148" customFormat="1" spans="1:18">
      <c r="A1537" s="188" t="s">
        <v>49</v>
      </c>
      <c r="B1537" s="101" t="s">
        <v>387</v>
      </c>
      <c r="C1537" s="84" t="s">
        <v>4479</v>
      </c>
      <c r="D1537" s="161" t="s">
        <v>1338</v>
      </c>
      <c r="E1537" s="161" t="s">
        <v>2048</v>
      </c>
      <c r="F1537" s="161" t="s">
        <v>4459</v>
      </c>
      <c r="G1537" s="163">
        <v>304.6096</v>
      </c>
      <c r="H1537" s="163">
        <f t="shared" si="122"/>
        <v>22.0606</v>
      </c>
      <c r="I1537" s="172">
        <v>1512</v>
      </c>
      <c r="J1537" s="172">
        <v>24430.9384675898</v>
      </c>
      <c r="K1537" s="176">
        <f t="shared" si="121"/>
        <v>332258.307388521</v>
      </c>
      <c r="L1537" s="172"/>
      <c r="M1537" s="161" t="s">
        <v>4455</v>
      </c>
      <c r="N1537" s="161" t="s">
        <v>1299</v>
      </c>
      <c r="O1537" s="161" t="s">
        <v>25</v>
      </c>
      <c r="P1537" s="49" t="s">
        <v>25</v>
      </c>
      <c r="Q1537" s="166" t="s">
        <v>4480</v>
      </c>
      <c r="R1537" s="167"/>
    </row>
    <row r="1538" s="148" customFormat="1" spans="1:18">
      <c r="A1538" s="188" t="s">
        <v>49</v>
      </c>
      <c r="B1538" s="101" t="s">
        <v>387</v>
      </c>
      <c r="C1538" s="84" t="s">
        <v>4481</v>
      </c>
      <c r="D1538" s="161" t="s">
        <v>1344</v>
      </c>
      <c r="E1538" s="161" t="s">
        <v>2048</v>
      </c>
      <c r="F1538" s="161" t="s">
        <v>4459</v>
      </c>
      <c r="G1538" s="163">
        <v>320.8</v>
      </c>
      <c r="H1538" s="163">
        <f t="shared" si="122"/>
        <v>16.1904</v>
      </c>
      <c r="I1538" s="172">
        <v>1442</v>
      </c>
      <c r="J1538" s="172">
        <v>17930.0977425126</v>
      </c>
      <c r="K1538" s="176">
        <f t="shared" si="121"/>
        <v>350188.405131034</v>
      </c>
      <c r="L1538" s="172"/>
      <c r="M1538" s="161" t="s">
        <v>4455</v>
      </c>
      <c r="N1538" s="161" t="s">
        <v>1299</v>
      </c>
      <c r="O1538" s="161" t="s">
        <v>25</v>
      </c>
      <c r="P1538" s="49" t="s">
        <v>25</v>
      </c>
      <c r="Q1538" s="166" t="s">
        <v>4482</v>
      </c>
      <c r="R1538" s="167"/>
    </row>
    <row r="1539" s="148" customFormat="1" spans="1:18">
      <c r="A1539" s="188" t="s">
        <v>49</v>
      </c>
      <c r="B1539" s="101" t="s">
        <v>387</v>
      </c>
      <c r="C1539" s="84" t="s">
        <v>4483</v>
      </c>
      <c r="D1539" s="161" t="s">
        <v>1346</v>
      </c>
      <c r="E1539" s="161" t="s">
        <v>2048</v>
      </c>
      <c r="F1539" s="161" t="s">
        <v>4459</v>
      </c>
      <c r="G1539" s="163">
        <v>341.0243</v>
      </c>
      <c r="H1539" s="163">
        <f t="shared" si="122"/>
        <v>20.2243</v>
      </c>
      <c r="I1539" s="172">
        <v>1253</v>
      </c>
      <c r="J1539" s="172">
        <v>22397.3777355343</v>
      </c>
      <c r="K1539" s="176">
        <f t="shared" si="121"/>
        <v>372585.782866568</v>
      </c>
      <c r="L1539" s="172"/>
      <c r="M1539" s="161" t="s">
        <v>4455</v>
      </c>
      <c r="N1539" s="161" t="s">
        <v>1299</v>
      </c>
      <c r="O1539" s="161" t="s">
        <v>25</v>
      </c>
      <c r="P1539" s="49" t="s">
        <v>25</v>
      </c>
      <c r="Q1539" s="166" t="s">
        <v>4484</v>
      </c>
      <c r="R1539" s="167"/>
    </row>
    <row r="1540" s="148" customFormat="1" spans="1:18">
      <c r="A1540" s="188" t="s">
        <v>49</v>
      </c>
      <c r="B1540" s="101" t="s">
        <v>387</v>
      </c>
      <c r="C1540" s="84" t="s">
        <v>4485</v>
      </c>
      <c r="D1540" s="161" t="s">
        <v>1349</v>
      </c>
      <c r="E1540" s="161" t="s">
        <v>2048</v>
      </c>
      <c r="F1540" s="161" t="s">
        <v>4459</v>
      </c>
      <c r="G1540" s="163">
        <v>364.8143</v>
      </c>
      <c r="H1540" s="163">
        <f t="shared" si="122"/>
        <v>23.79</v>
      </c>
      <c r="I1540" s="172">
        <v>1171</v>
      </c>
      <c r="J1540" s="172">
        <v>26346.1612330302</v>
      </c>
      <c r="K1540" s="176">
        <f t="shared" si="121"/>
        <v>398931.944099598</v>
      </c>
      <c r="L1540" s="172"/>
      <c r="M1540" s="161" t="s">
        <v>4455</v>
      </c>
      <c r="N1540" s="161" t="s">
        <v>1299</v>
      </c>
      <c r="O1540" s="161" t="s">
        <v>25</v>
      </c>
      <c r="P1540" s="49" t="s">
        <v>25</v>
      </c>
      <c r="Q1540" s="166" t="s">
        <v>4486</v>
      </c>
      <c r="R1540" s="167"/>
    </row>
    <row r="1541" s="148" customFormat="1" spans="1:18">
      <c r="A1541" s="188" t="s">
        <v>49</v>
      </c>
      <c r="B1541" s="101" t="s">
        <v>387</v>
      </c>
      <c r="C1541" s="84" t="s">
        <v>4487</v>
      </c>
      <c r="D1541" s="161" t="s">
        <v>1352</v>
      </c>
      <c r="E1541" s="161" t="s">
        <v>2048</v>
      </c>
      <c r="F1541" s="161" t="s">
        <v>4459</v>
      </c>
      <c r="G1541" s="163">
        <v>375.6589</v>
      </c>
      <c r="H1541" s="163">
        <f t="shared" si="122"/>
        <v>10.8446</v>
      </c>
      <c r="I1541" s="172">
        <v>1135</v>
      </c>
      <c r="J1541" s="172">
        <v>12009.8483154802</v>
      </c>
      <c r="K1541" s="176">
        <f t="shared" si="121"/>
        <v>410941.792415078</v>
      </c>
      <c r="L1541" s="172"/>
      <c r="M1541" s="161" t="s">
        <v>4455</v>
      </c>
      <c r="N1541" s="161" t="s">
        <v>1299</v>
      </c>
      <c r="O1541" s="161" t="s">
        <v>25</v>
      </c>
      <c r="P1541" s="49" t="s">
        <v>25</v>
      </c>
      <c r="Q1541" s="166" t="s">
        <v>4488</v>
      </c>
      <c r="R1541" s="167"/>
    </row>
    <row r="1542" s="148" customFormat="1" spans="1:18">
      <c r="A1542" s="188" t="s">
        <v>49</v>
      </c>
      <c r="B1542" s="101" t="s">
        <v>387</v>
      </c>
      <c r="C1542" s="84" t="s">
        <v>4489</v>
      </c>
      <c r="D1542" s="161" t="s">
        <v>1354</v>
      </c>
      <c r="E1542" s="161" t="s">
        <v>2048</v>
      </c>
      <c r="F1542" s="161" t="s">
        <v>4459</v>
      </c>
      <c r="G1542" s="163">
        <v>395.2495</v>
      </c>
      <c r="H1542" s="163">
        <f t="shared" si="122"/>
        <v>19.5906</v>
      </c>
      <c r="I1542" s="172">
        <v>1094</v>
      </c>
      <c r="J1542" s="172">
        <v>21695.6227168556</v>
      </c>
      <c r="K1542" s="176">
        <f t="shared" si="121"/>
        <v>432637.415131934</v>
      </c>
      <c r="L1542" s="172"/>
      <c r="M1542" s="161" t="s">
        <v>4455</v>
      </c>
      <c r="N1542" s="161" t="s">
        <v>1299</v>
      </c>
      <c r="O1542" s="161" t="s">
        <v>25</v>
      </c>
      <c r="P1542" s="49" t="s">
        <v>25</v>
      </c>
      <c r="Q1542" s="166" t="s">
        <v>4490</v>
      </c>
      <c r="R1542" s="167"/>
    </row>
    <row r="1543" s="148" customFormat="1" spans="1:18">
      <c r="A1543" s="188" t="s">
        <v>49</v>
      </c>
      <c r="B1543" s="101" t="s">
        <v>387</v>
      </c>
      <c r="C1543" s="84" t="s">
        <v>4491</v>
      </c>
      <c r="D1543" s="161" t="s">
        <v>1356</v>
      </c>
      <c r="E1543" s="161" t="s">
        <v>2048</v>
      </c>
      <c r="F1543" s="161" t="s">
        <v>4492</v>
      </c>
      <c r="G1543" s="163">
        <v>422.0779</v>
      </c>
      <c r="H1543" s="163">
        <f t="shared" si="122"/>
        <v>26.8284</v>
      </c>
      <c r="I1543" s="172">
        <v>1074.94</v>
      </c>
      <c r="J1543" s="172">
        <v>29711.0599824547</v>
      </c>
      <c r="K1543" s="176">
        <f t="shared" si="121"/>
        <v>462348.475114389</v>
      </c>
      <c r="L1543" s="172"/>
      <c r="M1543" s="161" t="s">
        <v>4455</v>
      </c>
      <c r="N1543" s="161" t="s">
        <v>1299</v>
      </c>
      <c r="O1543" s="161" t="s">
        <v>25</v>
      </c>
      <c r="P1543" s="49" t="s">
        <v>25</v>
      </c>
      <c r="Q1543" s="166" t="s">
        <v>4493</v>
      </c>
      <c r="R1543" s="167"/>
    </row>
    <row r="1544" s="148" customFormat="1" spans="1:18">
      <c r="A1544" s="188" t="s">
        <v>49</v>
      </c>
      <c r="B1544" s="101" t="s">
        <v>387</v>
      </c>
      <c r="C1544" s="84" t="s">
        <v>4494</v>
      </c>
      <c r="D1544" s="161" t="s">
        <v>1358</v>
      </c>
      <c r="E1544" s="161" t="s">
        <v>2048</v>
      </c>
      <c r="F1544" s="161" t="s">
        <v>4492</v>
      </c>
      <c r="G1544" s="163">
        <v>445.5804</v>
      </c>
      <c r="H1544" s="163">
        <f t="shared" si="122"/>
        <v>23.5025</v>
      </c>
      <c r="I1544" s="172">
        <v>1022.78</v>
      </c>
      <c r="J1544" s="172">
        <v>26027.8756094411</v>
      </c>
      <c r="K1544" s="176">
        <f t="shared" si="121"/>
        <v>488376.35072383</v>
      </c>
      <c r="L1544" s="172"/>
      <c r="M1544" s="161" t="s">
        <v>4455</v>
      </c>
      <c r="N1544" s="161" t="s">
        <v>1299</v>
      </c>
      <c r="O1544" s="161" t="s">
        <v>25</v>
      </c>
      <c r="P1544" s="49" t="s">
        <v>25</v>
      </c>
      <c r="Q1544" s="166" t="s">
        <v>4495</v>
      </c>
      <c r="R1544" s="167"/>
    </row>
    <row r="1545" s="148" customFormat="1" spans="1:18">
      <c r="A1545" s="188" t="s">
        <v>49</v>
      </c>
      <c r="B1545" s="101" t="s">
        <v>387</v>
      </c>
      <c r="C1545" s="84" t="s">
        <v>4496</v>
      </c>
      <c r="D1545" s="161" t="s">
        <v>1361</v>
      </c>
      <c r="E1545" s="161" t="s">
        <v>2048</v>
      </c>
      <c r="F1545" s="161" t="s">
        <v>4492</v>
      </c>
      <c r="G1545" s="163">
        <v>453.1744</v>
      </c>
      <c r="H1545" s="163">
        <f t="shared" si="122"/>
        <v>7.59399999999999</v>
      </c>
      <c r="I1545" s="172">
        <v>989.36</v>
      </c>
      <c r="J1545" s="172">
        <v>8409.96495210937</v>
      </c>
      <c r="K1545" s="176">
        <f t="shared" si="121"/>
        <v>496786.315675939</v>
      </c>
      <c r="L1545" s="172"/>
      <c r="M1545" s="161" t="s">
        <v>4455</v>
      </c>
      <c r="N1545" s="161" t="s">
        <v>1299</v>
      </c>
      <c r="O1545" s="161" t="s">
        <v>25</v>
      </c>
      <c r="P1545" s="49" t="s">
        <v>25</v>
      </c>
      <c r="Q1545" s="166" t="s">
        <v>4497</v>
      </c>
      <c r="R1545" s="167"/>
    </row>
    <row r="1546" s="148" customFormat="1" spans="1:18">
      <c r="A1546" s="188" t="s">
        <v>49</v>
      </c>
      <c r="B1546" s="101" t="s">
        <v>387</v>
      </c>
      <c r="C1546" s="84" t="s">
        <v>4498</v>
      </c>
      <c r="D1546" s="161" t="s">
        <v>4498</v>
      </c>
      <c r="E1546" s="161" t="s">
        <v>2048</v>
      </c>
      <c r="F1546" s="161" t="s">
        <v>4492</v>
      </c>
      <c r="G1546" s="163">
        <v>475.307</v>
      </c>
      <c r="H1546" s="163">
        <f t="shared" si="122"/>
        <v>22.1326</v>
      </c>
      <c r="I1546" s="172">
        <v>997.45</v>
      </c>
      <c r="J1546" s="172">
        <v>24510.7774391101</v>
      </c>
      <c r="K1546" s="176">
        <f t="shared" si="121"/>
        <v>521297.093115049</v>
      </c>
      <c r="L1546" s="172"/>
      <c r="M1546" s="161" t="s">
        <v>4455</v>
      </c>
      <c r="N1546" s="161" t="s">
        <v>1331</v>
      </c>
      <c r="O1546" s="161" t="s">
        <v>6</v>
      </c>
      <c r="P1546" s="49" t="s">
        <v>6</v>
      </c>
      <c r="Q1546" s="166" t="s">
        <v>4499</v>
      </c>
      <c r="R1546" s="167"/>
    </row>
    <row r="1547" s="148" customFormat="1" spans="1:18">
      <c r="A1547" s="188" t="s">
        <v>49</v>
      </c>
      <c r="B1547" s="101" t="s">
        <v>387</v>
      </c>
      <c r="C1547" s="84" t="s">
        <v>4500</v>
      </c>
      <c r="D1547" s="161" t="s">
        <v>1363</v>
      </c>
      <c r="E1547" s="161" t="s">
        <v>2048</v>
      </c>
      <c r="F1547" s="161" t="s">
        <v>4492</v>
      </c>
      <c r="G1547" s="163">
        <v>495.7698</v>
      </c>
      <c r="H1547" s="163">
        <f t="shared" si="122"/>
        <v>20.4628</v>
      </c>
      <c r="I1547" s="172">
        <v>1008.28</v>
      </c>
      <c r="J1547" s="172">
        <v>21418.1386754506</v>
      </c>
      <c r="K1547" s="176">
        <f t="shared" si="121"/>
        <v>542715.2317905</v>
      </c>
      <c r="L1547" s="172"/>
      <c r="M1547" s="161" t="s">
        <v>4455</v>
      </c>
      <c r="N1547" s="161" t="s">
        <v>1299</v>
      </c>
      <c r="O1547" s="161" t="s">
        <v>25</v>
      </c>
      <c r="P1547" s="49" t="s">
        <v>25</v>
      </c>
      <c r="Q1547" s="166" t="s">
        <v>4501</v>
      </c>
      <c r="R1547" s="167"/>
    </row>
    <row r="1548" s="148" customFormat="1" spans="1:18">
      <c r="A1548" s="188" t="s">
        <v>49</v>
      </c>
      <c r="B1548" s="101" t="s">
        <v>387</v>
      </c>
      <c r="C1548" s="84" t="s">
        <v>4502</v>
      </c>
      <c r="D1548" s="161" t="s">
        <v>1365</v>
      </c>
      <c r="E1548" s="161" t="s">
        <v>2048</v>
      </c>
      <c r="F1548" s="161" t="s">
        <v>4492</v>
      </c>
      <c r="G1548" s="163">
        <v>521.807</v>
      </c>
      <c r="H1548" s="163">
        <f t="shared" si="122"/>
        <v>26.0372</v>
      </c>
      <c r="I1548" s="172">
        <v>1026.74</v>
      </c>
      <c r="J1548" s="172">
        <v>27252.7671031085</v>
      </c>
      <c r="K1548" s="176">
        <f t="shared" si="121"/>
        <v>569967.998893608</v>
      </c>
      <c r="L1548" s="172"/>
      <c r="M1548" s="161" t="s">
        <v>4455</v>
      </c>
      <c r="N1548" s="161" t="s">
        <v>1299</v>
      </c>
      <c r="O1548" s="161" t="s">
        <v>25</v>
      </c>
      <c r="P1548" s="49" t="s">
        <v>25</v>
      </c>
      <c r="Q1548" s="166" t="s">
        <v>4503</v>
      </c>
      <c r="R1548" s="167"/>
    </row>
    <row r="1549" s="148" customFormat="1" spans="1:18">
      <c r="A1549" s="188" t="s">
        <v>49</v>
      </c>
      <c r="B1549" s="101" t="s">
        <v>387</v>
      </c>
      <c r="C1549" s="84" t="s">
        <v>4504</v>
      </c>
      <c r="D1549" s="161" t="s">
        <v>4504</v>
      </c>
      <c r="E1549" s="161" t="s">
        <v>2048</v>
      </c>
      <c r="F1549" s="161" t="s">
        <v>4492</v>
      </c>
      <c r="G1549" s="163">
        <v>521.807</v>
      </c>
      <c r="H1549" s="163">
        <f t="shared" si="122"/>
        <v>0</v>
      </c>
      <c r="I1549" s="176" t="s">
        <v>147</v>
      </c>
      <c r="J1549" s="176" t="s">
        <v>147</v>
      </c>
      <c r="K1549" s="176" t="s">
        <v>147</v>
      </c>
      <c r="L1549" s="172" t="s">
        <v>4257</v>
      </c>
      <c r="M1549" s="161" t="s">
        <v>4455</v>
      </c>
      <c r="N1549" s="161"/>
      <c r="O1549" s="161" t="s">
        <v>16</v>
      </c>
      <c r="P1549" s="49" t="s">
        <v>16</v>
      </c>
      <c r="Q1549" s="166"/>
      <c r="R1549" s="167"/>
    </row>
    <row r="1550" s="148" customFormat="1" spans="1:18">
      <c r="A1550" s="188" t="s">
        <v>49</v>
      </c>
      <c r="B1550" s="101" t="s">
        <v>387</v>
      </c>
      <c r="C1550" s="84" t="s">
        <v>4505</v>
      </c>
      <c r="D1550" s="161" t="s">
        <v>1367</v>
      </c>
      <c r="E1550" s="161" t="s">
        <v>2048</v>
      </c>
      <c r="F1550" s="161" t="s">
        <v>4492</v>
      </c>
      <c r="G1550" s="163">
        <v>546.2252</v>
      </c>
      <c r="H1550" s="163">
        <f t="shared" si="122"/>
        <v>24.4182</v>
      </c>
      <c r="I1550" s="172">
        <v>1065.56</v>
      </c>
      <c r="J1550" s="172">
        <v>25775.2740833141</v>
      </c>
      <c r="K1550" s="176">
        <f>K1548+J1550</f>
        <v>595743.272976922</v>
      </c>
      <c r="L1550" s="172"/>
      <c r="M1550" s="161" t="s">
        <v>4455</v>
      </c>
      <c r="N1550" s="161" t="s">
        <v>1299</v>
      </c>
      <c r="O1550" s="161" t="s">
        <v>25</v>
      </c>
      <c r="P1550" s="49" t="s">
        <v>25</v>
      </c>
      <c r="Q1550" s="166" t="s">
        <v>4506</v>
      </c>
      <c r="R1550" s="167"/>
    </row>
    <row r="1551" s="148" customFormat="1" spans="1:18">
      <c r="A1551" s="188" t="s">
        <v>49</v>
      </c>
      <c r="B1551" s="101" t="s">
        <v>387</v>
      </c>
      <c r="C1551" s="84" t="s">
        <v>4507</v>
      </c>
      <c r="D1551" s="161" t="s">
        <v>1370</v>
      </c>
      <c r="E1551" s="161" t="s">
        <v>2048</v>
      </c>
      <c r="F1551" s="161" t="s">
        <v>4492</v>
      </c>
      <c r="G1551" s="163">
        <v>564.4157</v>
      </c>
      <c r="H1551" s="163">
        <f t="shared" si="122"/>
        <v>18.1905</v>
      </c>
      <c r="I1551" s="172">
        <v>1129.16</v>
      </c>
      <c r="J1551" s="172">
        <v>19201.4488523931</v>
      </c>
      <c r="K1551" s="176">
        <f t="shared" ref="K1551:K1559" si="123">K1550+J1551</f>
        <v>614944.721829315</v>
      </c>
      <c r="L1551" s="172"/>
      <c r="M1551" s="161" t="s">
        <v>4455</v>
      </c>
      <c r="N1551" s="161" t="s">
        <v>1299</v>
      </c>
      <c r="O1551" s="161" t="s">
        <v>25</v>
      </c>
      <c r="P1551" s="49" t="s">
        <v>25</v>
      </c>
      <c r="Q1551" s="166" t="s">
        <v>4508</v>
      </c>
      <c r="R1551" s="167"/>
    </row>
    <row r="1552" s="148" customFormat="1" spans="1:18">
      <c r="A1552" s="188" t="s">
        <v>49</v>
      </c>
      <c r="B1552" s="101" t="s">
        <v>387</v>
      </c>
      <c r="C1552" s="84" t="s">
        <v>4509</v>
      </c>
      <c r="D1552" s="161" t="s">
        <v>3343</v>
      </c>
      <c r="E1552" s="161" t="s">
        <v>2048</v>
      </c>
      <c r="F1552" s="161" t="s">
        <v>4510</v>
      </c>
      <c r="G1552" s="163">
        <v>584.5206</v>
      </c>
      <c r="H1552" s="163">
        <f t="shared" ref="H1552:H1560" si="124">G1552-G1551</f>
        <v>20.1048999999999</v>
      </c>
      <c r="I1552" s="172">
        <v>1389</v>
      </c>
      <c r="J1552" s="172">
        <v>21222.3176199961</v>
      </c>
      <c r="K1552" s="176">
        <f t="shared" si="123"/>
        <v>636167.039449312</v>
      </c>
      <c r="L1552" s="172"/>
      <c r="M1552" s="161" t="s">
        <v>4455</v>
      </c>
      <c r="N1552" s="161" t="s">
        <v>1299</v>
      </c>
      <c r="O1552" s="161" t="s">
        <v>25</v>
      </c>
      <c r="P1552" s="49" t="s">
        <v>25</v>
      </c>
      <c r="Q1552" s="166" t="s">
        <v>4511</v>
      </c>
      <c r="R1552" s="167"/>
    </row>
    <row r="1553" s="148" customFormat="1" spans="1:18">
      <c r="A1553" s="188" t="s">
        <v>49</v>
      </c>
      <c r="B1553" s="101" t="s">
        <v>387</v>
      </c>
      <c r="C1553" s="84" t="s">
        <v>4512</v>
      </c>
      <c r="D1553" s="161" t="s">
        <v>1374</v>
      </c>
      <c r="E1553" s="161" t="s">
        <v>2048</v>
      </c>
      <c r="F1553" s="161" t="s">
        <v>4510</v>
      </c>
      <c r="G1553" s="163">
        <v>613.4413</v>
      </c>
      <c r="H1553" s="163">
        <f t="shared" si="124"/>
        <v>28.9207</v>
      </c>
      <c r="I1553" s="172">
        <v>1597</v>
      </c>
      <c r="J1553" s="172">
        <v>30528.0368071386</v>
      </c>
      <c r="K1553" s="176">
        <f t="shared" si="123"/>
        <v>666695.07625645</v>
      </c>
      <c r="L1553" s="172"/>
      <c r="M1553" s="161" t="s">
        <v>4455</v>
      </c>
      <c r="N1553" s="161" t="s">
        <v>1299</v>
      </c>
      <c r="O1553" s="161" t="s">
        <v>25</v>
      </c>
      <c r="P1553" s="49" t="s">
        <v>25</v>
      </c>
      <c r="Q1553" s="166" t="s">
        <v>4513</v>
      </c>
      <c r="R1553" s="167"/>
    </row>
    <row r="1554" s="148" customFormat="1" spans="1:18">
      <c r="A1554" s="188" t="s">
        <v>49</v>
      </c>
      <c r="B1554" s="101" t="s">
        <v>387</v>
      </c>
      <c r="C1554" s="84" t="s">
        <v>4514</v>
      </c>
      <c r="D1554" s="161" t="s">
        <v>1376</v>
      </c>
      <c r="E1554" s="161" t="s">
        <v>2048</v>
      </c>
      <c r="F1554" s="161" t="s">
        <v>4510</v>
      </c>
      <c r="G1554" s="163">
        <v>628.7272</v>
      </c>
      <c r="H1554" s="163">
        <f t="shared" si="124"/>
        <v>15.2859000000001</v>
      </c>
      <c r="I1554" s="172">
        <v>1450</v>
      </c>
      <c r="J1554" s="172">
        <v>16135.4328682265</v>
      </c>
      <c r="K1554" s="176">
        <f t="shared" si="123"/>
        <v>682830.509124677</v>
      </c>
      <c r="L1554" s="172"/>
      <c r="M1554" s="161" t="s">
        <v>4455</v>
      </c>
      <c r="N1554" s="161" t="s">
        <v>1299</v>
      </c>
      <c r="O1554" s="161" t="s">
        <v>25</v>
      </c>
      <c r="P1554" s="49" t="s">
        <v>25</v>
      </c>
      <c r="Q1554" s="166" t="s">
        <v>4515</v>
      </c>
      <c r="R1554" s="167"/>
    </row>
    <row r="1555" s="148" customFormat="1" spans="1:18">
      <c r="A1555" s="188" t="s">
        <v>49</v>
      </c>
      <c r="B1555" s="101" t="s">
        <v>387</v>
      </c>
      <c r="C1555" s="84" t="s">
        <v>4516</v>
      </c>
      <c r="D1555" s="161" t="s">
        <v>1378</v>
      </c>
      <c r="E1555" s="161" t="s">
        <v>2048</v>
      </c>
      <c r="F1555" s="161" t="s">
        <v>4510</v>
      </c>
      <c r="G1555" s="163">
        <v>640.2749</v>
      </c>
      <c r="H1555" s="163">
        <f t="shared" si="124"/>
        <v>11.5477</v>
      </c>
      <c r="I1555" s="172">
        <v>1630</v>
      </c>
      <c r="J1555" s="172">
        <v>12189.527332676</v>
      </c>
      <c r="K1555" s="176">
        <f t="shared" si="123"/>
        <v>695020.036457353</v>
      </c>
      <c r="L1555" s="172"/>
      <c r="M1555" s="161" t="s">
        <v>4455</v>
      </c>
      <c r="N1555" s="161" t="s">
        <v>1299</v>
      </c>
      <c r="O1555" s="161" t="s">
        <v>25</v>
      </c>
      <c r="P1555" s="49" t="s">
        <v>25</v>
      </c>
      <c r="Q1555" s="166" t="s">
        <v>4517</v>
      </c>
      <c r="R1555" s="167"/>
    </row>
    <row r="1556" s="148" customFormat="1" spans="1:18">
      <c r="A1556" s="188" t="s">
        <v>49</v>
      </c>
      <c r="B1556" s="101" t="s">
        <v>387</v>
      </c>
      <c r="C1556" s="84" t="s">
        <v>4518</v>
      </c>
      <c r="D1556" s="161" t="s">
        <v>4518</v>
      </c>
      <c r="E1556" s="161" t="s">
        <v>2048</v>
      </c>
      <c r="F1556" s="161" t="s">
        <v>4510</v>
      </c>
      <c r="G1556" s="163">
        <v>674.0071</v>
      </c>
      <c r="H1556" s="163">
        <f t="shared" si="124"/>
        <v>33.7322</v>
      </c>
      <c r="I1556" s="172">
        <v>1379</v>
      </c>
      <c r="J1556" s="172">
        <v>35606.9152558545</v>
      </c>
      <c r="K1556" s="176">
        <f t="shared" si="123"/>
        <v>730626.951713207</v>
      </c>
      <c r="L1556" s="172"/>
      <c r="M1556" s="161" t="s">
        <v>4455</v>
      </c>
      <c r="N1556" s="161" t="s">
        <v>1331</v>
      </c>
      <c r="O1556" s="161" t="s">
        <v>6</v>
      </c>
      <c r="P1556" s="49" t="s">
        <v>6</v>
      </c>
      <c r="Q1556" s="166" t="s">
        <v>4519</v>
      </c>
      <c r="R1556" s="167"/>
    </row>
    <row r="1557" s="148" customFormat="1" spans="1:18">
      <c r="A1557" s="188" t="s">
        <v>49</v>
      </c>
      <c r="B1557" s="101" t="s">
        <v>387</v>
      </c>
      <c r="C1557" s="84" t="s">
        <v>4520</v>
      </c>
      <c r="D1557" s="161" t="s">
        <v>1380</v>
      </c>
      <c r="E1557" s="161" t="s">
        <v>2048</v>
      </c>
      <c r="F1557" s="161" t="s">
        <v>4510</v>
      </c>
      <c r="G1557" s="163">
        <v>695.2214</v>
      </c>
      <c r="H1557" s="163">
        <f t="shared" si="124"/>
        <v>21.2143</v>
      </c>
      <c r="I1557" s="172">
        <v>1333</v>
      </c>
      <c r="J1557" s="172">
        <v>23101.1840906564</v>
      </c>
      <c r="K1557" s="176">
        <f t="shared" si="123"/>
        <v>753728.135803864</v>
      </c>
      <c r="L1557" s="172"/>
      <c r="M1557" s="161" t="s">
        <v>4455</v>
      </c>
      <c r="N1557" s="161" t="s">
        <v>1299</v>
      </c>
      <c r="O1557" s="161" t="s">
        <v>25</v>
      </c>
      <c r="P1557" s="49" t="s">
        <v>25</v>
      </c>
      <c r="Q1557" s="166" t="s">
        <v>4521</v>
      </c>
      <c r="R1557" s="167"/>
    </row>
    <row r="1558" s="148" customFormat="1" spans="1:18">
      <c r="A1558" s="188" t="s">
        <v>49</v>
      </c>
      <c r="B1558" s="101" t="s">
        <v>387</v>
      </c>
      <c r="C1558" s="84" t="s">
        <v>4522</v>
      </c>
      <c r="D1558" s="161" t="s">
        <v>1389</v>
      </c>
      <c r="E1558" s="161" t="s">
        <v>2048</v>
      </c>
      <c r="F1558" s="161" t="s">
        <v>4510</v>
      </c>
      <c r="G1558" s="163">
        <v>711.0278</v>
      </c>
      <c r="H1558" s="163">
        <f t="shared" si="124"/>
        <v>15.8063999999999</v>
      </c>
      <c r="I1558" s="172">
        <v>1350</v>
      </c>
      <c r="J1558" s="172">
        <v>21846.117503167</v>
      </c>
      <c r="K1558" s="176">
        <f t="shared" si="123"/>
        <v>775574.253307031</v>
      </c>
      <c r="L1558" s="172"/>
      <c r="M1558" s="161" t="s">
        <v>4455</v>
      </c>
      <c r="N1558" s="161" t="s">
        <v>1299</v>
      </c>
      <c r="O1558" s="161" t="s">
        <v>25</v>
      </c>
      <c r="P1558" s="49" t="s">
        <v>25</v>
      </c>
      <c r="Q1558" s="166" t="s">
        <v>4523</v>
      </c>
      <c r="R1558" s="167"/>
    </row>
    <row r="1559" s="148" customFormat="1" spans="1:18">
      <c r="A1559" s="188" t="s">
        <v>49</v>
      </c>
      <c r="B1559" s="101" t="s">
        <v>387</v>
      </c>
      <c r="C1559" s="84" t="s">
        <v>4524</v>
      </c>
      <c r="D1559" s="161" t="s">
        <v>4525</v>
      </c>
      <c r="E1559" s="161" t="s">
        <v>2048</v>
      </c>
      <c r="F1559" s="161" t="s">
        <v>4510</v>
      </c>
      <c r="G1559" s="163">
        <v>738.7193</v>
      </c>
      <c r="H1559" s="163">
        <f t="shared" si="124"/>
        <v>27.6915</v>
      </c>
      <c r="I1559" s="172">
        <v>1293</v>
      </c>
      <c r="J1559" s="172">
        <v>16033.6546032816</v>
      </c>
      <c r="K1559" s="176">
        <f t="shared" si="123"/>
        <v>791607.907910312</v>
      </c>
      <c r="L1559" s="172"/>
      <c r="M1559" s="161" t="s">
        <v>4455</v>
      </c>
      <c r="N1559" s="161" t="s">
        <v>1299</v>
      </c>
      <c r="O1559" s="161" t="s">
        <v>25</v>
      </c>
      <c r="P1559" s="49" t="s">
        <v>25</v>
      </c>
      <c r="Q1559" s="166" t="s">
        <v>4526</v>
      </c>
      <c r="R1559" s="167"/>
    </row>
    <row r="1560" s="148" customFormat="1" ht="45" spans="1:18">
      <c r="A1560" s="188" t="s">
        <v>49</v>
      </c>
      <c r="B1560" s="101" t="s">
        <v>387</v>
      </c>
      <c r="C1560" s="84" t="s">
        <v>4527</v>
      </c>
      <c r="D1560" s="161" t="s">
        <v>4527</v>
      </c>
      <c r="E1560" s="161" t="s">
        <v>2048</v>
      </c>
      <c r="F1560" s="161" t="s">
        <v>4510</v>
      </c>
      <c r="G1560" s="163">
        <v>738.7193</v>
      </c>
      <c r="H1560" s="163">
        <f t="shared" si="124"/>
        <v>0</v>
      </c>
      <c r="I1560" s="176" t="s">
        <v>147</v>
      </c>
      <c r="J1560" s="176" t="s">
        <v>147</v>
      </c>
      <c r="K1560" s="176" t="s">
        <v>147</v>
      </c>
      <c r="L1560" s="172" t="s">
        <v>4528</v>
      </c>
      <c r="M1560" s="161" t="s">
        <v>4455</v>
      </c>
      <c r="N1560" s="161" t="s">
        <v>1331</v>
      </c>
      <c r="O1560" s="161" t="s">
        <v>16</v>
      </c>
      <c r="P1560" s="49" t="s">
        <v>16</v>
      </c>
      <c r="Q1560" s="166" t="s">
        <v>4529</v>
      </c>
      <c r="R1560" s="167"/>
    </row>
    <row r="1561" s="148" customFormat="1" spans="1:18">
      <c r="A1561" s="188" t="s">
        <v>49</v>
      </c>
      <c r="B1561" s="101" t="s">
        <v>387</v>
      </c>
      <c r="C1561" s="84" t="s">
        <v>4530</v>
      </c>
      <c r="D1561" s="161" t="s">
        <v>1391</v>
      </c>
      <c r="E1561" s="161" t="s">
        <v>2048</v>
      </c>
      <c r="F1561" s="161" t="s">
        <v>4510</v>
      </c>
      <c r="G1561" s="163">
        <v>758.8452</v>
      </c>
      <c r="H1561" s="163">
        <f>G1561-G1559</f>
        <v>20.1259</v>
      </c>
      <c r="I1561" s="172">
        <v>1259.6</v>
      </c>
      <c r="J1561" s="163">
        <v>26440.8544472901</v>
      </c>
      <c r="K1561" s="176">
        <f>K1559+J1561</f>
        <v>818048.762357602</v>
      </c>
      <c r="L1561" s="172"/>
      <c r="M1561" s="161" t="s">
        <v>4455</v>
      </c>
      <c r="N1561" s="161" t="s">
        <v>1299</v>
      </c>
      <c r="O1561" s="161" t="s">
        <v>25</v>
      </c>
      <c r="P1561" s="49" t="s">
        <v>25</v>
      </c>
      <c r="Q1561" s="166" t="s">
        <v>4531</v>
      </c>
      <c r="R1561" s="167"/>
    </row>
    <row r="1562" s="148" customFormat="1" spans="1:18">
      <c r="A1562" s="188" t="s">
        <v>49</v>
      </c>
      <c r="B1562" s="101" t="s">
        <v>387</v>
      </c>
      <c r="C1562" s="84" t="s">
        <v>4532</v>
      </c>
      <c r="D1562" s="161" t="s">
        <v>1394</v>
      </c>
      <c r="E1562" s="161" t="s">
        <v>2048</v>
      </c>
      <c r="F1562" s="161" t="s">
        <v>4533</v>
      </c>
      <c r="G1562" s="163">
        <v>786.6636</v>
      </c>
      <c r="H1562" s="163">
        <f>G1562-G1561</f>
        <v>27.8184</v>
      </c>
      <c r="I1562" s="172">
        <v>1025.98</v>
      </c>
      <c r="J1562" s="163">
        <v>27032.65</v>
      </c>
      <c r="K1562" s="176">
        <f t="shared" ref="K1562:K1582" si="125">K1561+J1562</f>
        <v>845081.412357602</v>
      </c>
      <c r="L1562" s="172"/>
      <c r="M1562" s="161" t="s">
        <v>4455</v>
      </c>
      <c r="N1562" s="161" t="s">
        <v>1299</v>
      </c>
      <c r="O1562" s="161" t="s">
        <v>25</v>
      </c>
      <c r="P1562" s="49" t="s">
        <v>25</v>
      </c>
      <c r="Q1562" s="166" t="s">
        <v>4534</v>
      </c>
      <c r="R1562" s="167"/>
    </row>
    <row r="1563" s="148" customFormat="1" spans="1:18">
      <c r="A1563" s="188" t="s">
        <v>49</v>
      </c>
      <c r="B1563" s="101" t="s">
        <v>387</v>
      </c>
      <c r="C1563" s="84" t="s">
        <v>4535</v>
      </c>
      <c r="D1563" s="161" t="s">
        <v>1396</v>
      </c>
      <c r="E1563" s="161" t="s">
        <v>2048</v>
      </c>
      <c r="F1563" s="161" t="s">
        <v>4533</v>
      </c>
      <c r="G1563" s="163">
        <v>807.6179</v>
      </c>
      <c r="H1563" s="163">
        <f t="shared" ref="H1563:H1579" si="126">G1563-G1562</f>
        <v>20.9543</v>
      </c>
      <c r="I1563" s="172">
        <v>1000.73</v>
      </c>
      <c r="J1563" s="163">
        <v>25312.9620179672</v>
      </c>
      <c r="K1563" s="176">
        <f t="shared" si="125"/>
        <v>870394.37437557</v>
      </c>
      <c r="L1563" s="172"/>
      <c r="M1563" s="161" t="s">
        <v>4455</v>
      </c>
      <c r="N1563" s="161" t="s">
        <v>1299</v>
      </c>
      <c r="O1563" s="161" t="s">
        <v>25</v>
      </c>
      <c r="P1563" s="49" t="s">
        <v>25</v>
      </c>
      <c r="Q1563" s="166" t="s">
        <v>4536</v>
      </c>
      <c r="R1563" s="167"/>
    </row>
    <row r="1564" s="148" customFormat="1" spans="1:18">
      <c r="A1564" s="188" t="s">
        <v>49</v>
      </c>
      <c r="B1564" s="101" t="s">
        <v>387</v>
      </c>
      <c r="C1564" s="84" t="s">
        <v>4537</v>
      </c>
      <c r="D1564" s="161" t="s">
        <v>1402</v>
      </c>
      <c r="E1564" s="161" t="s">
        <v>2048</v>
      </c>
      <c r="F1564" s="161" t="s">
        <v>4533</v>
      </c>
      <c r="G1564" s="163">
        <v>829.9179</v>
      </c>
      <c r="H1564" s="163">
        <f t="shared" si="126"/>
        <v>22.3000000000001</v>
      </c>
      <c r="I1564" s="172">
        <v>704.64</v>
      </c>
      <c r="J1564" s="163">
        <v>24207.5233476774</v>
      </c>
      <c r="K1564" s="176">
        <f t="shared" si="125"/>
        <v>894601.897723247</v>
      </c>
      <c r="L1564" s="172"/>
      <c r="M1564" s="161" t="s">
        <v>4455</v>
      </c>
      <c r="N1564" s="161" t="s">
        <v>1299</v>
      </c>
      <c r="O1564" s="161" t="s">
        <v>25</v>
      </c>
      <c r="P1564" s="49" t="s">
        <v>25</v>
      </c>
      <c r="Q1564" s="166" t="s">
        <v>4538</v>
      </c>
      <c r="R1564" s="167"/>
    </row>
    <row r="1565" s="148" customFormat="1" spans="1:18">
      <c r="A1565" s="188" t="s">
        <v>49</v>
      </c>
      <c r="B1565" s="101" t="s">
        <v>387</v>
      </c>
      <c r="C1565" s="84" t="s">
        <v>4539</v>
      </c>
      <c r="D1565" s="161" t="s">
        <v>1405</v>
      </c>
      <c r="E1565" s="161" t="s">
        <v>2048</v>
      </c>
      <c r="F1565" s="161" t="s">
        <v>4533</v>
      </c>
      <c r="G1565" s="163">
        <v>848.1179</v>
      </c>
      <c r="H1565" s="163">
        <f t="shared" si="126"/>
        <v>18.1999999999999</v>
      </c>
      <c r="I1565" s="172">
        <v>688.5</v>
      </c>
      <c r="J1565" s="163">
        <v>22238.5710122662</v>
      </c>
      <c r="K1565" s="176">
        <f t="shared" si="125"/>
        <v>916840.468735513</v>
      </c>
      <c r="L1565" s="172"/>
      <c r="M1565" s="161" t="s">
        <v>4455</v>
      </c>
      <c r="N1565" s="161" t="s">
        <v>1299</v>
      </c>
      <c r="O1565" s="161" t="s">
        <v>25</v>
      </c>
      <c r="P1565" s="49" t="s">
        <v>25</v>
      </c>
      <c r="Q1565" s="166" t="s">
        <v>4540</v>
      </c>
      <c r="R1565" s="167"/>
    </row>
    <row r="1566" s="148" customFormat="1" spans="1:18">
      <c r="A1566" s="188" t="s">
        <v>49</v>
      </c>
      <c r="B1566" s="101" t="s">
        <v>387</v>
      </c>
      <c r="C1566" s="84" t="s">
        <v>402</v>
      </c>
      <c r="D1566" s="161" t="s">
        <v>402</v>
      </c>
      <c r="E1566" s="161" t="s">
        <v>2048</v>
      </c>
      <c r="F1566" s="161" t="s">
        <v>4533</v>
      </c>
      <c r="G1566" s="163">
        <v>855.5179</v>
      </c>
      <c r="H1566" s="163">
        <f t="shared" si="126"/>
        <v>7.40000000000009</v>
      </c>
      <c r="I1566" s="172">
        <v>674.9</v>
      </c>
      <c r="J1566" s="174">
        <v>7979.85973905515</v>
      </c>
      <c r="K1566" s="176">
        <f t="shared" si="125"/>
        <v>924820.328474568</v>
      </c>
      <c r="L1566" s="172"/>
      <c r="M1566" s="161" t="s">
        <v>4455</v>
      </c>
      <c r="N1566" s="161" t="s">
        <v>1331</v>
      </c>
      <c r="O1566" s="161" t="s">
        <v>6</v>
      </c>
      <c r="P1566" s="49" t="s">
        <v>6</v>
      </c>
      <c r="Q1566" s="166" t="s">
        <v>4541</v>
      </c>
      <c r="R1566" s="167"/>
    </row>
    <row r="1567" s="148" customFormat="1" spans="1:18">
      <c r="A1567" s="188" t="s">
        <v>49</v>
      </c>
      <c r="B1567" s="101" t="s">
        <v>387</v>
      </c>
      <c r="C1567" s="84" t="s">
        <v>4542</v>
      </c>
      <c r="D1567" s="161" t="s">
        <v>1409</v>
      </c>
      <c r="E1567" s="161" t="s">
        <v>2048</v>
      </c>
      <c r="F1567" s="161" t="s">
        <v>4533</v>
      </c>
      <c r="G1567" s="163">
        <v>871.3243</v>
      </c>
      <c r="H1567" s="163">
        <f t="shared" si="126"/>
        <v>15.8063999999999</v>
      </c>
      <c r="I1567" s="172">
        <v>638.48</v>
      </c>
      <c r="J1567" s="163">
        <v>17451.5751160038</v>
      </c>
      <c r="K1567" s="176">
        <f t="shared" si="125"/>
        <v>942271.903590572</v>
      </c>
      <c r="L1567" s="172"/>
      <c r="M1567" s="161" t="s">
        <v>4455</v>
      </c>
      <c r="N1567" s="161" t="s">
        <v>1299</v>
      </c>
      <c r="O1567" s="161" t="s">
        <v>25</v>
      </c>
      <c r="P1567" s="49" t="s">
        <v>25</v>
      </c>
      <c r="Q1567" s="166" t="s">
        <v>4543</v>
      </c>
      <c r="R1567" s="167"/>
    </row>
    <row r="1568" s="148" customFormat="1" spans="1:18">
      <c r="A1568" s="188" t="s">
        <v>49</v>
      </c>
      <c r="B1568" s="101" t="s">
        <v>387</v>
      </c>
      <c r="C1568" s="84" t="s">
        <v>4544</v>
      </c>
      <c r="D1568" s="161" t="s">
        <v>1412</v>
      </c>
      <c r="E1568" s="161" t="s">
        <v>2048</v>
      </c>
      <c r="F1568" s="161" t="s">
        <v>4533</v>
      </c>
      <c r="G1568" s="163">
        <v>892.2996</v>
      </c>
      <c r="H1568" s="163">
        <f t="shared" si="126"/>
        <v>20.9753000000001</v>
      </c>
      <c r="I1568" s="172">
        <v>721.9</v>
      </c>
      <c r="J1568" s="163">
        <v>23158.4703256164</v>
      </c>
      <c r="K1568" s="176">
        <f t="shared" si="125"/>
        <v>965430.373916188</v>
      </c>
      <c r="L1568" s="172"/>
      <c r="M1568" s="161" t="s">
        <v>4455</v>
      </c>
      <c r="N1568" s="161" t="s">
        <v>1299</v>
      </c>
      <c r="O1568" s="161" t="s">
        <v>25</v>
      </c>
      <c r="P1568" s="49" t="s">
        <v>25</v>
      </c>
      <c r="Q1568" s="166" t="s">
        <v>4545</v>
      </c>
      <c r="R1568" s="167"/>
    </row>
    <row r="1569" s="148" customFormat="1" spans="1:18">
      <c r="A1569" s="188" t="s">
        <v>49</v>
      </c>
      <c r="B1569" s="101" t="s">
        <v>387</v>
      </c>
      <c r="C1569" s="84" t="s">
        <v>4546</v>
      </c>
      <c r="D1569" s="161" t="s">
        <v>1415</v>
      </c>
      <c r="E1569" s="161" t="s">
        <v>2048</v>
      </c>
      <c r="F1569" s="161" t="s">
        <v>4533</v>
      </c>
      <c r="G1569" s="163">
        <v>903.7188</v>
      </c>
      <c r="H1569" s="163">
        <f t="shared" si="126"/>
        <v>11.4191999999999</v>
      </c>
      <c r="I1569" s="172">
        <v>778.7</v>
      </c>
      <c r="J1569" s="163">
        <v>12607.7030345368</v>
      </c>
      <c r="K1569" s="176">
        <f t="shared" si="125"/>
        <v>978038.076950725</v>
      </c>
      <c r="L1569" s="172"/>
      <c r="M1569" s="161" t="s">
        <v>4455</v>
      </c>
      <c r="N1569" s="161" t="s">
        <v>1299</v>
      </c>
      <c r="O1569" s="161" t="s">
        <v>25</v>
      </c>
      <c r="P1569" s="49" t="s">
        <v>25</v>
      </c>
      <c r="Q1569" s="166" t="s">
        <v>4547</v>
      </c>
      <c r="R1569" s="167"/>
    </row>
    <row r="1570" s="148" customFormat="1" spans="1:18">
      <c r="A1570" s="188" t="s">
        <v>49</v>
      </c>
      <c r="B1570" s="101" t="s">
        <v>387</v>
      </c>
      <c r="C1570" s="84" t="s">
        <v>4548</v>
      </c>
      <c r="D1570" s="161" t="s">
        <v>1421</v>
      </c>
      <c r="E1570" s="161" t="s">
        <v>2048</v>
      </c>
      <c r="F1570" s="161" t="s">
        <v>4533</v>
      </c>
      <c r="G1570" s="163">
        <v>921.7179</v>
      </c>
      <c r="H1570" s="163">
        <f t="shared" si="126"/>
        <v>17.9991</v>
      </c>
      <c r="I1570" s="172">
        <v>506.64</v>
      </c>
      <c r="J1570" s="163">
        <v>19872.5077856509</v>
      </c>
      <c r="K1570" s="176">
        <f t="shared" si="125"/>
        <v>997910.584736376</v>
      </c>
      <c r="L1570" s="172"/>
      <c r="M1570" s="161" t="s">
        <v>4455</v>
      </c>
      <c r="N1570" s="161" t="s">
        <v>1299</v>
      </c>
      <c r="O1570" s="161" t="s">
        <v>25</v>
      </c>
      <c r="P1570" s="49" t="s">
        <v>25</v>
      </c>
      <c r="Q1570" s="166" t="s">
        <v>4549</v>
      </c>
      <c r="R1570" s="167"/>
    </row>
    <row r="1571" s="148" customFormat="1" spans="1:18">
      <c r="A1571" s="188" t="s">
        <v>49</v>
      </c>
      <c r="B1571" s="101" t="s">
        <v>387</v>
      </c>
      <c r="C1571" s="84" t="s">
        <v>4550</v>
      </c>
      <c r="D1571" s="161" t="s">
        <v>4550</v>
      </c>
      <c r="E1571" s="161" t="s">
        <v>2048</v>
      </c>
      <c r="F1571" s="161" t="s">
        <v>4533</v>
      </c>
      <c r="G1571" s="163">
        <v>935.4179</v>
      </c>
      <c r="H1571" s="163">
        <f t="shared" si="126"/>
        <v>13.7</v>
      </c>
      <c r="I1571" s="172">
        <v>673.28</v>
      </c>
      <c r="J1571" s="163">
        <v>15597.5574430023</v>
      </c>
      <c r="K1571" s="176">
        <f t="shared" si="125"/>
        <v>1013508.14217938</v>
      </c>
      <c r="L1571" s="172"/>
      <c r="M1571" s="161" t="s">
        <v>4455</v>
      </c>
      <c r="N1571" s="161"/>
      <c r="O1571" s="161" t="s">
        <v>15</v>
      </c>
      <c r="P1571" s="49" t="s">
        <v>15</v>
      </c>
      <c r="Q1571" s="166" t="s">
        <v>4551</v>
      </c>
      <c r="R1571" s="167"/>
    </row>
    <row r="1572" s="148" customFormat="1" spans="1:18">
      <c r="A1572" s="188" t="s">
        <v>49</v>
      </c>
      <c r="B1572" s="101" t="s">
        <v>387</v>
      </c>
      <c r="C1572" s="84" t="s">
        <v>4552</v>
      </c>
      <c r="D1572" s="161" t="s">
        <v>1427</v>
      </c>
      <c r="E1572" s="161" t="s">
        <v>2048</v>
      </c>
      <c r="F1572" s="161" t="s">
        <v>4533</v>
      </c>
      <c r="G1572" s="163">
        <v>945.8106</v>
      </c>
      <c r="H1572" s="163">
        <f t="shared" si="126"/>
        <v>10.3927</v>
      </c>
      <c r="I1572" s="172">
        <v>690</v>
      </c>
      <c r="J1572" s="163">
        <v>11516.3855206861</v>
      </c>
      <c r="K1572" s="176">
        <f t="shared" si="125"/>
        <v>1025024.52770006</v>
      </c>
      <c r="L1572" s="172"/>
      <c r="M1572" s="161" t="s">
        <v>4455</v>
      </c>
      <c r="N1572" s="161" t="s">
        <v>1299</v>
      </c>
      <c r="O1572" s="161" t="s">
        <v>25</v>
      </c>
      <c r="P1572" s="49" t="s">
        <v>25</v>
      </c>
      <c r="Q1572" s="166" t="s">
        <v>4553</v>
      </c>
      <c r="R1572" s="167"/>
    </row>
    <row r="1573" s="148" customFormat="1" spans="1:18">
      <c r="A1573" s="188" t="s">
        <v>49</v>
      </c>
      <c r="B1573" s="101" t="s">
        <v>387</v>
      </c>
      <c r="C1573" s="84" t="s">
        <v>4554</v>
      </c>
      <c r="D1573" s="161" t="s">
        <v>1430</v>
      </c>
      <c r="E1573" s="161" t="s">
        <v>2048</v>
      </c>
      <c r="F1573" s="161" t="s">
        <v>4444</v>
      </c>
      <c r="G1573" s="163">
        <v>967.5533</v>
      </c>
      <c r="H1573" s="163">
        <f t="shared" si="126"/>
        <v>21.7427</v>
      </c>
      <c r="I1573" s="172">
        <v>492</v>
      </c>
      <c r="J1573" s="163">
        <v>24093.66</v>
      </c>
      <c r="K1573" s="176">
        <f t="shared" si="125"/>
        <v>1049118.18770006</v>
      </c>
      <c r="L1573" s="172"/>
      <c r="M1573" s="161" t="s">
        <v>4455</v>
      </c>
      <c r="N1573" s="161" t="s">
        <v>1299</v>
      </c>
      <c r="O1573" s="161" t="s">
        <v>25</v>
      </c>
      <c r="P1573" s="49" t="s">
        <v>25</v>
      </c>
      <c r="Q1573" s="166" t="s">
        <v>4555</v>
      </c>
      <c r="R1573" s="167"/>
    </row>
    <row r="1574" s="148" customFormat="1" spans="1:18">
      <c r="A1574" s="188" t="s">
        <v>49</v>
      </c>
      <c r="B1574" s="101" t="s">
        <v>387</v>
      </c>
      <c r="C1574" s="84" t="s">
        <v>4556</v>
      </c>
      <c r="D1574" s="161" t="s">
        <v>4556</v>
      </c>
      <c r="E1574" s="161" t="s">
        <v>2048</v>
      </c>
      <c r="F1574" s="161" t="s">
        <v>4444</v>
      </c>
      <c r="G1574" s="163">
        <v>981.4179</v>
      </c>
      <c r="H1574" s="163">
        <f t="shared" si="126"/>
        <v>13.8646</v>
      </c>
      <c r="I1574" s="172">
        <v>509</v>
      </c>
      <c r="J1574" s="173">
        <v>15363.7529457268</v>
      </c>
      <c r="K1574" s="176">
        <f t="shared" si="125"/>
        <v>1064481.94064579</v>
      </c>
      <c r="L1574" s="172"/>
      <c r="M1574" s="161" t="s">
        <v>4455</v>
      </c>
      <c r="N1574" s="161" t="s">
        <v>1331</v>
      </c>
      <c r="O1574" s="161" t="s">
        <v>15</v>
      </c>
      <c r="P1574" s="49" t="s">
        <v>15</v>
      </c>
      <c r="Q1574" s="166" t="s">
        <v>4557</v>
      </c>
      <c r="R1574" s="167"/>
    </row>
    <row r="1575" s="148" customFormat="1" spans="1:18">
      <c r="A1575" s="188" t="s">
        <v>49</v>
      </c>
      <c r="B1575" s="101" t="s">
        <v>387</v>
      </c>
      <c r="C1575" s="84" t="s">
        <v>4558</v>
      </c>
      <c r="D1575" s="161" t="s">
        <v>1433</v>
      </c>
      <c r="E1575" s="161" t="s">
        <v>2048</v>
      </c>
      <c r="F1575" s="161" t="s">
        <v>4444</v>
      </c>
      <c r="G1575" s="163">
        <v>1001.8894</v>
      </c>
      <c r="H1575" s="163">
        <f t="shared" si="126"/>
        <v>20.4715</v>
      </c>
      <c r="I1575" s="172">
        <v>518</v>
      </c>
      <c r="J1575" s="163">
        <v>22472.4027011701</v>
      </c>
      <c r="K1575" s="176">
        <f t="shared" si="125"/>
        <v>1086954.34334696</v>
      </c>
      <c r="L1575" s="172"/>
      <c r="M1575" s="161" t="s">
        <v>4455</v>
      </c>
      <c r="N1575" s="161" t="s">
        <v>1299</v>
      </c>
      <c r="O1575" s="161" t="s">
        <v>25</v>
      </c>
      <c r="P1575" s="49" t="s">
        <v>25</v>
      </c>
      <c r="Q1575" s="166" t="s">
        <v>4559</v>
      </c>
      <c r="R1575" s="167"/>
    </row>
    <row r="1576" s="148" customFormat="1" spans="1:18">
      <c r="A1576" s="188" t="s">
        <v>49</v>
      </c>
      <c r="B1576" s="101" t="s">
        <v>387</v>
      </c>
      <c r="C1576" s="84" t="s">
        <v>4560</v>
      </c>
      <c r="D1576" s="161" t="s">
        <v>1436</v>
      </c>
      <c r="E1576" s="161" t="s">
        <v>2048</v>
      </c>
      <c r="F1576" s="161" t="s">
        <v>4444</v>
      </c>
      <c r="G1576" s="163">
        <v>1023.4961</v>
      </c>
      <c r="H1576" s="163">
        <f t="shared" si="126"/>
        <v>21.6066999999999</v>
      </c>
      <c r="I1576" s="172">
        <v>472</v>
      </c>
      <c r="J1576" s="163">
        <v>23718.5895905028</v>
      </c>
      <c r="K1576" s="176">
        <f t="shared" si="125"/>
        <v>1110672.93293746</v>
      </c>
      <c r="L1576" s="172"/>
      <c r="M1576" s="161" t="s">
        <v>4455</v>
      </c>
      <c r="N1576" s="161" t="s">
        <v>1299</v>
      </c>
      <c r="O1576" s="161" t="s">
        <v>25</v>
      </c>
      <c r="P1576" s="49" t="s">
        <v>25</v>
      </c>
      <c r="Q1576" s="166" t="s">
        <v>4561</v>
      </c>
      <c r="R1576" s="167"/>
    </row>
    <row r="1577" s="148" customFormat="1" spans="1:18">
      <c r="A1577" s="188" t="s">
        <v>49</v>
      </c>
      <c r="B1577" s="101" t="s">
        <v>387</v>
      </c>
      <c r="C1577" s="84" t="s">
        <v>4562</v>
      </c>
      <c r="D1577" s="161" t="s">
        <v>1442</v>
      </c>
      <c r="E1577" s="161" t="s">
        <v>2048</v>
      </c>
      <c r="F1577" s="161" t="s">
        <v>4444</v>
      </c>
      <c r="G1577" s="163">
        <v>1046.2444</v>
      </c>
      <c r="H1577" s="163">
        <f t="shared" si="126"/>
        <v>22.7483000000001</v>
      </c>
      <c r="I1577" s="172">
        <v>142</v>
      </c>
      <c r="J1577" s="163">
        <v>24971.7331860344</v>
      </c>
      <c r="K1577" s="176">
        <f t="shared" si="125"/>
        <v>1135644.6661235</v>
      </c>
      <c r="L1577" s="172"/>
      <c r="M1577" s="161" t="s">
        <v>4455</v>
      </c>
      <c r="N1577" s="161" t="s">
        <v>1299</v>
      </c>
      <c r="O1577" s="161" t="s">
        <v>25</v>
      </c>
      <c r="P1577" s="49" t="s">
        <v>25</v>
      </c>
      <c r="Q1577" s="166" t="s">
        <v>4563</v>
      </c>
      <c r="R1577" s="167"/>
    </row>
    <row r="1578" s="148" customFormat="1" spans="1:18">
      <c r="A1578" s="188" t="s">
        <v>49</v>
      </c>
      <c r="B1578" s="101" t="s">
        <v>387</v>
      </c>
      <c r="C1578" s="84" t="s">
        <v>4564</v>
      </c>
      <c r="D1578" s="161" t="s">
        <v>1445</v>
      </c>
      <c r="E1578" s="161" t="s">
        <v>2048</v>
      </c>
      <c r="F1578" s="161" t="s">
        <v>4444</v>
      </c>
      <c r="G1578" s="163">
        <v>1063.0937</v>
      </c>
      <c r="H1578" s="163">
        <f t="shared" si="126"/>
        <v>16.8492999999999</v>
      </c>
      <c r="I1578" s="172">
        <v>76</v>
      </c>
      <c r="J1578" s="163">
        <v>18496.1175907526</v>
      </c>
      <c r="K1578" s="176">
        <f t="shared" si="125"/>
        <v>1154140.78371425</v>
      </c>
      <c r="L1578" s="172"/>
      <c r="M1578" s="161" t="s">
        <v>4455</v>
      </c>
      <c r="N1578" s="161" t="s">
        <v>1299</v>
      </c>
      <c r="O1578" s="161" t="s">
        <v>25</v>
      </c>
      <c r="P1578" s="49" t="s">
        <v>25</v>
      </c>
      <c r="Q1578" s="166" t="s">
        <v>4565</v>
      </c>
      <c r="R1578" s="167"/>
    </row>
    <row r="1579" s="148" customFormat="1" spans="1:18">
      <c r="A1579" s="188" t="s">
        <v>49</v>
      </c>
      <c r="B1579" s="101" t="s">
        <v>387</v>
      </c>
      <c r="C1579" s="84" t="s">
        <v>388</v>
      </c>
      <c r="D1579" s="161" t="s">
        <v>388</v>
      </c>
      <c r="E1579" s="161" t="s">
        <v>2048</v>
      </c>
      <c r="F1579" s="161" t="s">
        <v>4444</v>
      </c>
      <c r="G1579" s="163">
        <v>1071.2478</v>
      </c>
      <c r="H1579" s="163">
        <f t="shared" si="126"/>
        <v>8.1541000000002</v>
      </c>
      <c r="I1579" s="172">
        <v>50</v>
      </c>
      <c r="J1579" s="173">
        <v>8951.13165203024</v>
      </c>
      <c r="K1579" s="176">
        <f t="shared" si="125"/>
        <v>1163091.91536628</v>
      </c>
      <c r="L1579" s="172"/>
      <c r="M1579" s="161" t="s">
        <v>4455</v>
      </c>
      <c r="N1579" s="161" t="s">
        <v>1331</v>
      </c>
      <c r="O1579" s="161" t="s">
        <v>14</v>
      </c>
      <c r="P1579" s="49" t="s">
        <v>14</v>
      </c>
      <c r="Q1579" s="166" t="s">
        <v>4566</v>
      </c>
      <c r="R1579" s="167"/>
    </row>
    <row r="1580" spans="1:18">
      <c r="A1580" s="188" t="s">
        <v>49</v>
      </c>
      <c r="B1580" s="101" t="s">
        <v>390</v>
      </c>
      <c r="C1580" s="135" t="s">
        <v>388</v>
      </c>
      <c r="D1580" s="161" t="s">
        <v>388</v>
      </c>
      <c r="E1580" s="161" t="s">
        <v>2048</v>
      </c>
      <c r="F1580" s="161" t="s">
        <v>4567</v>
      </c>
      <c r="G1580" s="171">
        <v>0</v>
      </c>
      <c r="H1580" s="163">
        <v>0</v>
      </c>
      <c r="I1580" s="172">
        <v>49.8</v>
      </c>
      <c r="J1580" s="163">
        <v>0</v>
      </c>
      <c r="K1580" s="172">
        <v>0</v>
      </c>
      <c r="L1580" s="174"/>
      <c r="M1580" s="161" t="s">
        <v>4455</v>
      </c>
      <c r="N1580" s="161" t="s">
        <v>1331</v>
      </c>
      <c r="O1580" s="161"/>
      <c r="P1580" s="49"/>
      <c r="Q1580" s="166" t="s">
        <v>4566</v>
      </c>
      <c r="R1580" s="151"/>
    </row>
    <row r="1581" s="148" customFormat="1" spans="1:18">
      <c r="A1581" s="188" t="s">
        <v>49</v>
      </c>
      <c r="B1581" s="101" t="s">
        <v>390</v>
      </c>
      <c r="C1581" s="84" t="s">
        <v>4568</v>
      </c>
      <c r="D1581" s="161" t="s">
        <v>1298</v>
      </c>
      <c r="E1581" s="161" t="s">
        <v>2048</v>
      </c>
      <c r="F1581" s="161" t="s">
        <v>4444</v>
      </c>
      <c r="G1581" s="171">
        <v>6.6082</v>
      </c>
      <c r="H1581" s="163">
        <f t="shared" ref="H1581:H1586" si="127">G1581-G1580</f>
        <v>6.6082</v>
      </c>
      <c r="I1581" s="172">
        <v>45.1</v>
      </c>
      <c r="J1581" s="163">
        <v>4998.04416738613</v>
      </c>
      <c r="K1581" s="176">
        <f>K1580+J1581</f>
        <v>4998.04416738613</v>
      </c>
      <c r="L1581" s="172"/>
      <c r="M1581" s="161" t="s">
        <v>4569</v>
      </c>
      <c r="N1581" s="161" t="s">
        <v>1299</v>
      </c>
      <c r="O1581" s="161" t="s">
        <v>25</v>
      </c>
      <c r="P1581" s="49" t="s">
        <v>25</v>
      </c>
      <c r="Q1581" s="166" t="s">
        <v>4570</v>
      </c>
      <c r="R1581" s="167"/>
    </row>
    <row r="1582" s="148" customFormat="1" spans="1:18">
      <c r="A1582" s="188" t="s">
        <v>49</v>
      </c>
      <c r="B1582" s="101" t="s">
        <v>390</v>
      </c>
      <c r="C1582" s="84" t="s">
        <v>4571</v>
      </c>
      <c r="D1582" s="161" t="s">
        <v>1302</v>
      </c>
      <c r="E1582" s="161" t="s">
        <v>2048</v>
      </c>
      <c r="F1582" s="161" t="s">
        <v>4444</v>
      </c>
      <c r="G1582" s="171">
        <v>12.8</v>
      </c>
      <c r="H1582" s="163">
        <f t="shared" si="127"/>
        <v>6.1918</v>
      </c>
      <c r="I1582" s="172">
        <v>43</v>
      </c>
      <c r="J1582" s="163">
        <v>4683.10067243735</v>
      </c>
      <c r="K1582" s="176">
        <f t="shared" si="125"/>
        <v>9681.14483982348</v>
      </c>
      <c r="L1582" s="172"/>
      <c r="M1582" s="161" t="s">
        <v>4569</v>
      </c>
      <c r="N1582" s="161" t="s">
        <v>1299</v>
      </c>
      <c r="O1582" s="161" t="s">
        <v>25</v>
      </c>
      <c r="P1582" s="49" t="s">
        <v>25</v>
      </c>
      <c r="Q1582" s="166" t="s">
        <v>4572</v>
      </c>
      <c r="R1582" s="167"/>
    </row>
    <row r="1583" s="148" customFormat="1" ht="45" spans="1:18">
      <c r="A1583" s="188" t="s">
        <v>49</v>
      </c>
      <c r="B1583" s="101" t="s">
        <v>390</v>
      </c>
      <c r="C1583" s="84" t="s">
        <v>4573</v>
      </c>
      <c r="D1583" s="161" t="s">
        <v>4573</v>
      </c>
      <c r="E1583" s="161" t="s">
        <v>2048</v>
      </c>
      <c r="F1583" s="161" t="s">
        <v>4444</v>
      </c>
      <c r="G1583" s="171">
        <v>12.8</v>
      </c>
      <c r="H1583" s="163">
        <f t="shared" si="127"/>
        <v>0</v>
      </c>
      <c r="I1583" s="176" t="s">
        <v>147</v>
      </c>
      <c r="J1583" s="176" t="s">
        <v>147</v>
      </c>
      <c r="K1583" s="176" t="s">
        <v>147</v>
      </c>
      <c r="L1583" s="172" t="s">
        <v>4574</v>
      </c>
      <c r="M1583" s="161" t="s">
        <v>4569</v>
      </c>
      <c r="N1583" s="161"/>
      <c r="O1583" s="161" t="s">
        <v>16</v>
      </c>
      <c r="P1583" s="49" t="s">
        <v>16</v>
      </c>
      <c r="Q1583" s="166" t="s">
        <v>4572</v>
      </c>
      <c r="R1583" s="167"/>
    </row>
    <row r="1584" s="148" customFormat="1" spans="1:18">
      <c r="A1584" s="188" t="s">
        <v>49</v>
      </c>
      <c r="B1584" s="101" t="s">
        <v>390</v>
      </c>
      <c r="C1584" s="84" t="s">
        <v>4575</v>
      </c>
      <c r="D1584" s="161" t="s">
        <v>1305</v>
      </c>
      <c r="E1584" s="161" t="s">
        <v>2048</v>
      </c>
      <c r="F1584" s="161" t="s">
        <v>4444</v>
      </c>
      <c r="G1584" s="171">
        <v>20.2372</v>
      </c>
      <c r="H1584" s="163">
        <f t="shared" si="127"/>
        <v>7.4372</v>
      </c>
      <c r="I1584" s="172">
        <v>48</v>
      </c>
      <c r="J1584" s="163">
        <v>5624.42029640167</v>
      </c>
      <c r="K1584" s="176">
        <f>K1582+J1584</f>
        <v>15305.5651362251</v>
      </c>
      <c r="L1584" s="172"/>
      <c r="M1584" s="161" t="s">
        <v>4569</v>
      </c>
      <c r="N1584" s="161" t="s">
        <v>1299</v>
      </c>
      <c r="O1584" s="161" t="s">
        <v>25</v>
      </c>
      <c r="P1584" s="49" t="s">
        <v>25</v>
      </c>
      <c r="Q1584" s="166" t="s">
        <v>4576</v>
      </c>
      <c r="R1584" s="167"/>
    </row>
    <row r="1585" s="148" customFormat="1" spans="1:18">
      <c r="A1585" s="188" t="s">
        <v>49</v>
      </c>
      <c r="B1585" s="101" t="s">
        <v>390</v>
      </c>
      <c r="C1585" s="84" t="s">
        <v>4577</v>
      </c>
      <c r="D1585" s="161" t="s">
        <v>1307</v>
      </c>
      <c r="E1585" s="161" t="s">
        <v>2048</v>
      </c>
      <c r="F1585" s="161" t="s">
        <v>4444</v>
      </c>
      <c r="G1585" s="171">
        <v>26.3095</v>
      </c>
      <c r="H1585" s="163">
        <f t="shared" si="127"/>
        <v>6.0723</v>
      </c>
      <c r="I1585" s="172">
        <v>52</v>
      </c>
      <c r="J1585" s="173">
        <v>4592.20754534027</v>
      </c>
      <c r="K1585" s="176">
        <f>K1584+J1585</f>
        <v>19897.7726815654</v>
      </c>
      <c r="L1585" s="172"/>
      <c r="M1585" s="161" t="s">
        <v>4569</v>
      </c>
      <c r="N1585" s="161" t="s">
        <v>1299</v>
      </c>
      <c r="O1585" s="161" t="s">
        <v>25</v>
      </c>
      <c r="P1585" s="49" t="s">
        <v>25</v>
      </c>
      <c r="Q1585" s="166" t="s">
        <v>4578</v>
      </c>
      <c r="R1585" s="167"/>
    </row>
    <row r="1586" s="148" customFormat="1" spans="1:18">
      <c r="A1586" s="188" t="s">
        <v>49</v>
      </c>
      <c r="B1586" s="101" t="s">
        <v>390</v>
      </c>
      <c r="C1586" s="135" t="s">
        <v>382</v>
      </c>
      <c r="D1586" s="161" t="s">
        <v>382</v>
      </c>
      <c r="E1586" s="161" t="s">
        <v>2048</v>
      </c>
      <c r="F1586" s="161" t="s">
        <v>4444</v>
      </c>
      <c r="G1586" s="171">
        <v>29.8</v>
      </c>
      <c r="H1586" s="163">
        <f t="shared" si="127"/>
        <v>3.4905</v>
      </c>
      <c r="I1586" s="172">
        <v>48.5</v>
      </c>
      <c r="J1586" s="172">
        <v>2639.68289202705</v>
      </c>
      <c r="K1586" s="176">
        <f>K1585+J1586</f>
        <v>22537.4555735925</v>
      </c>
      <c r="L1586" s="172"/>
      <c r="M1586" s="161" t="s">
        <v>4339</v>
      </c>
      <c r="N1586" s="161" t="s">
        <v>1331</v>
      </c>
      <c r="O1586" s="161"/>
      <c r="P1586" s="49"/>
      <c r="Q1586" s="166" t="s">
        <v>4453</v>
      </c>
      <c r="R1586" s="167"/>
    </row>
    <row r="1587" spans="1:18">
      <c r="A1587" s="188" t="s">
        <v>49</v>
      </c>
      <c r="B1587" s="101" t="s">
        <v>391</v>
      </c>
      <c r="C1587" s="84" t="s">
        <v>392</v>
      </c>
      <c r="D1587" s="161" t="s">
        <v>392</v>
      </c>
      <c r="E1587" s="161" t="s">
        <v>2048</v>
      </c>
      <c r="F1587" s="161" t="s">
        <v>4567</v>
      </c>
      <c r="G1587" s="171">
        <v>0</v>
      </c>
      <c r="H1587" s="163">
        <v>0</v>
      </c>
      <c r="I1587" s="176">
        <v>369.9</v>
      </c>
      <c r="J1587" s="176">
        <v>0</v>
      </c>
      <c r="K1587" s="176">
        <v>0</v>
      </c>
      <c r="L1587" s="163"/>
      <c r="M1587" s="161" t="s">
        <v>4579</v>
      </c>
      <c r="N1587" s="161" t="s">
        <v>1331</v>
      </c>
      <c r="O1587" s="161" t="s">
        <v>15</v>
      </c>
      <c r="P1587" s="49" t="s">
        <v>15</v>
      </c>
      <c r="Q1587" s="166" t="s">
        <v>4580</v>
      </c>
      <c r="R1587" s="151"/>
    </row>
    <row r="1588" spans="1:18">
      <c r="A1588" s="188" t="s">
        <v>49</v>
      </c>
      <c r="B1588" s="101" t="s">
        <v>391</v>
      </c>
      <c r="C1588" s="84" t="s">
        <v>4581</v>
      </c>
      <c r="D1588" s="161" t="s">
        <v>1298</v>
      </c>
      <c r="E1588" s="161" t="s">
        <v>2048</v>
      </c>
      <c r="F1588" s="161" t="s">
        <v>4567</v>
      </c>
      <c r="G1588" s="171">
        <v>15.6447</v>
      </c>
      <c r="H1588" s="163">
        <f>G1588-G1587</f>
        <v>15.6447</v>
      </c>
      <c r="I1588" s="176">
        <v>217.5</v>
      </c>
      <c r="J1588" s="176">
        <v>10152.94</v>
      </c>
      <c r="K1588" s="176">
        <f t="shared" ref="K1588:K1593" si="128">K1587+J1588</f>
        <v>10152.94</v>
      </c>
      <c r="L1588" s="163"/>
      <c r="M1588" s="161" t="s">
        <v>4579</v>
      </c>
      <c r="N1588" s="161" t="s">
        <v>1299</v>
      </c>
      <c r="O1588" s="161" t="s">
        <v>25</v>
      </c>
      <c r="P1588" s="49" t="s">
        <v>25</v>
      </c>
      <c r="Q1588" s="166" t="s">
        <v>4582</v>
      </c>
      <c r="R1588" s="151"/>
    </row>
    <row r="1589" spans="1:18">
      <c r="A1589" s="188" t="s">
        <v>49</v>
      </c>
      <c r="B1589" s="101" t="s">
        <v>391</v>
      </c>
      <c r="C1589" s="84" t="s">
        <v>4583</v>
      </c>
      <c r="D1589" s="161" t="s">
        <v>1302</v>
      </c>
      <c r="E1589" s="161" t="s">
        <v>2048</v>
      </c>
      <c r="F1589" s="161" t="s">
        <v>4567</v>
      </c>
      <c r="G1589" s="171">
        <v>37.0879</v>
      </c>
      <c r="H1589" s="163">
        <f t="shared" ref="H1589:H1598" si="129">G1589-G1588</f>
        <v>21.4432</v>
      </c>
      <c r="I1589" s="173">
        <v>287.9</v>
      </c>
      <c r="J1589" s="173">
        <v>13219.3499610716</v>
      </c>
      <c r="K1589" s="176">
        <f t="shared" si="128"/>
        <v>23372.2899610716</v>
      </c>
      <c r="L1589" s="163"/>
      <c r="M1589" s="161" t="s">
        <v>4579</v>
      </c>
      <c r="N1589" s="161" t="s">
        <v>1299</v>
      </c>
      <c r="O1589" s="161" t="s">
        <v>25</v>
      </c>
      <c r="P1589" s="49" t="s">
        <v>25</v>
      </c>
      <c r="Q1589" s="166" t="s">
        <v>4582</v>
      </c>
      <c r="R1589" s="151"/>
    </row>
    <row r="1590" spans="1:18">
      <c r="A1590" s="188" t="s">
        <v>49</v>
      </c>
      <c r="B1590" s="101" t="s">
        <v>391</v>
      </c>
      <c r="C1590" s="84" t="s">
        <v>399</v>
      </c>
      <c r="D1590" s="161" t="s">
        <v>399</v>
      </c>
      <c r="E1590" s="161" t="s">
        <v>2048</v>
      </c>
      <c r="F1590" s="161" t="s">
        <v>4567</v>
      </c>
      <c r="G1590" s="171">
        <v>59</v>
      </c>
      <c r="H1590" s="163">
        <f t="shared" si="129"/>
        <v>21.9121</v>
      </c>
      <c r="I1590" s="176">
        <v>132.1</v>
      </c>
      <c r="J1590" s="176">
        <v>13508.4307913252</v>
      </c>
      <c r="K1590" s="176">
        <f t="shared" si="128"/>
        <v>36880.7207523968</v>
      </c>
      <c r="L1590" s="163"/>
      <c r="M1590" s="161" t="s">
        <v>4579</v>
      </c>
      <c r="N1590" s="161" t="s">
        <v>1331</v>
      </c>
      <c r="O1590" s="161" t="s">
        <v>14</v>
      </c>
      <c r="P1590" s="49" t="s">
        <v>14</v>
      </c>
      <c r="Q1590" s="166" t="s">
        <v>4584</v>
      </c>
      <c r="R1590" s="151"/>
    </row>
    <row r="1591" spans="1:18">
      <c r="A1591" s="188" t="s">
        <v>49</v>
      </c>
      <c r="B1591" s="101" t="s">
        <v>391</v>
      </c>
      <c r="C1591" s="84" t="s">
        <v>4585</v>
      </c>
      <c r="D1591" s="161" t="s">
        <v>1305</v>
      </c>
      <c r="E1591" s="161" t="s">
        <v>2048</v>
      </c>
      <c r="F1591" s="161" t="s">
        <v>4567</v>
      </c>
      <c r="G1591" s="171">
        <v>66.9227</v>
      </c>
      <c r="H1591" s="163">
        <f t="shared" si="129"/>
        <v>7.92270000000001</v>
      </c>
      <c r="I1591" s="173">
        <v>139.5</v>
      </c>
      <c r="J1591" s="173">
        <v>6048.94666933557</v>
      </c>
      <c r="K1591" s="176">
        <f t="shared" si="128"/>
        <v>42929.6674217324</v>
      </c>
      <c r="L1591" s="163"/>
      <c r="M1591" s="161" t="s">
        <v>4579</v>
      </c>
      <c r="N1591" s="161" t="s">
        <v>1299</v>
      </c>
      <c r="O1591" s="161" t="s">
        <v>25</v>
      </c>
      <c r="P1591" s="49" t="s">
        <v>25</v>
      </c>
      <c r="Q1591" s="166" t="s">
        <v>4586</v>
      </c>
      <c r="R1591" s="151"/>
    </row>
    <row r="1592" spans="1:18">
      <c r="A1592" s="188" t="s">
        <v>49</v>
      </c>
      <c r="B1592" s="101" t="s">
        <v>391</v>
      </c>
      <c r="C1592" s="84" t="s">
        <v>4587</v>
      </c>
      <c r="D1592" s="161" t="s">
        <v>1307</v>
      </c>
      <c r="E1592" s="161" t="s">
        <v>2048</v>
      </c>
      <c r="F1592" s="161" t="s">
        <v>4567</v>
      </c>
      <c r="G1592" s="171">
        <v>72.8351</v>
      </c>
      <c r="H1592" s="163">
        <f t="shared" si="129"/>
        <v>5.91239999999999</v>
      </c>
      <c r="I1592" s="176">
        <v>132.9</v>
      </c>
      <c r="J1592" s="176">
        <v>4514.08392511484</v>
      </c>
      <c r="K1592" s="176">
        <f t="shared" si="128"/>
        <v>47443.7513468472</v>
      </c>
      <c r="L1592" s="163"/>
      <c r="M1592" s="161" t="s">
        <v>4579</v>
      </c>
      <c r="N1592" s="161" t="s">
        <v>1299</v>
      </c>
      <c r="O1592" s="161" t="s">
        <v>25</v>
      </c>
      <c r="P1592" s="49" t="s">
        <v>25</v>
      </c>
      <c r="Q1592" s="166" t="s">
        <v>4588</v>
      </c>
      <c r="R1592" s="151"/>
    </row>
    <row r="1593" spans="1:18">
      <c r="A1593" s="188" t="s">
        <v>49</v>
      </c>
      <c r="B1593" s="101" t="s">
        <v>391</v>
      </c>
      <c r="C1593" s="84" t="s">
        <v>4589</v>
      </c>
      <c r="D1593" s="161" t="s">
        <v>1311</v>
      </c>
      <c r="E1593" s="161" t="s">
        <v>2048</v>
      </c>
      <c r="F1593" s="161" t="s">
        <v>4567</v>
      </c>
      <c r="G1593" s="171">
        <v>81.5683</v>
      </c>
      <c r="H1593" s="163">
        <f t="shared" si="129"/>
        <v>8.7332</v>
      </c>
      <c r="I1593" s="176">
        <v>51.5</v>
      </c>
      <c r="J1593" s="176">
        <v>6667.72677281771</v>
      </c>
      <c r="K1593" s="176">
        <f t="shared" si="128"/>
        <v>54111.4781196649</v>
      </c>
      <c r="L1593" s="163"/>
      <c r="M1593" s="161" t="s">
        <v>4579</v>
      </c>
      <c r="N1593" s="161" t="s">
        <v>1299</v>
      </c>
      <c r="O1593" s="161" t="s">
        <v>25</v>
      </c>
      <c r="P1593" s="49" t="s">
        <v>25</v>
      </c>
      <c r="Q1593" s="166" t="s">
        <v>4590</v>
      </c>
      <c r="R1593" s="151"/>
    </row>
    <row r="1594" spans="1:18">
      <c r="A1594" s="188" t="s">
        <v>49</v>
      </c>
      <c r="B1594" s="101" t="s">
        <v>391</v>
      </c>
      <c r="C1594" s="84" t="s">
        <v>4591</v>
      </c>
      <c r="D1594" s="161" t="s">
        <v>1318</v>
      </c>
      <c r="E1594" s="161" t="s">
        <v>2048</v>
      </c>
      <c r="F1594" s="161" t="s">
        <v>4567</v>
      </c>
      <c r="G1594" s="171">
        <v>87.5</v>
      </c>
      <c r="H1594" s="163">
        <f t="shared" si="129"/>
        <v>5.93170000000001</v>
      </c>
      <c r="I1594" s="176"/>
      <c r="J1594" s="176"/>
      <c r="K1594" s="176"/>
      <c r="L1594" s="163"/>
      <c r="M1594" s="161" t="s">
        <v>4579</v>
      </c>
      <c r="N1594" s="161" t="s">
        <v>1299</v>
      </c>
      <c r="O1594" s="161" t="s">
        <v>25</v>
      </c>
      <c r="P1594" s="49" t="s">
        <v>25</v>
      </c>
      <c r="Q1594" s="166"/>
      <c r="R1594" s="151"/>
    </row>
    <row r="1595" ht="45" spans="1:18">
      <c r="A1595" s="188" t="s">
        <v>49</v>
      </c>
      <c r="B1595" s="101" t="s">
        <v>391</v>
      </c>
      <c r="C1595" s="84" t="s">
        <v>4592</v>
      </c>
      <c r="D1595" s="161" t="s">
        <v>4592</v>
      </c>
      <c r="E1595" s="161" t="s">
        <v>2048</v>
      </c>
      <c r="F1595" s="161" t="s">
        <v>4567</v>
      </c>
      <c r="G1595" s="171">
        <v>87.5</v>
      </c>
      <c r="H1595" s="163">
        <f t="shared" si="129"/>
        <v>0</v>
      </c>
      <c r="I1595" s="173">
        <v>41.5</v>
      </c>
      <c r="J1595" s="173">
        <v>4528.83835003505</v>
      </c>
      <c r="K1595" s="176">
        <f>K1593+J1595</f>
        <v>58640.3164697</v>
      </c>
      <c r="L1595" s="163" t="s">
        <v>4593</v>
      </c>
      <c r="M1595" s="161" t="s">
        <v>4579</v>
      </c>
      <c r="N1595" s="161" t="s">
        <v>1331</v>
      </c>
      <c r="O1595" s="161" t="s">
        <v>16</v>
      </c>
      <c r="P1595" s="49" t="s">
        <v>16</v>
      </c>
      <c r="Q1595" s="166" t="s">
        <v>4594</v>
      </c>
      <c r="R1595" s="151"/>
    </row>
    <row r="1596" spans="1:18">
      <c r="A1596" s="188" t="s">
        <v>49</v>
      </c>
      <c r="B1596" s="101" t="s">
        <v>391</v>
      </c>
      <c r="C1596" s="84" t="s">
        <v>4595</v>
      </c>
      <c r="D1596" s="161" t="s">
        <v>1321</v>
      </c>
      <c r="E1596" s="161" t="s">
        <v>2048</v>
      </c>
      <c r="F1596" s="161" t="s">
        <v>4567</v>
      </c>
      <c r="G1596" s="171">
        <v>95.9318</v>
      </c>
      <c r="H1596" s="163">
        <f t="shared" si="129"/>
        <v>8.4318</v>
      </c>
      <c r="I1596" s="176">
        <v>37.3</v>
      </c>
      <c r="J1596" s="176">
        <v>5676.33180653739</v>
      </c>
      <c r="K1596" s="176">
        <f>K1595+J1596</f>
        <v>64316.6482762374</v>
      </c>
      <c r="L1596" s="163"/>
      <c r="M1596" s="161" t="s">
        <v>4579</v>
      </c>
      <c r="N1596" s="161" t="s">
        <v>1299</v>
      </c>
      <c r="O1596" s="161" t="s">
        <v>25</v>
      </c>
      <c r="P1596" s="49" t="s">
        <v>25</v>
      </c>
      <c r="Q1596" s="166" t="s">
        <v>4596</v>
      </c>
      <c r="R1596" s="151"/>
    </row>
    <row r="1597" spans="1:18">
      <c r="A1597" s="188" t="s">
        <v>49</v>
      </c>
      <c r="B1597" s="101" t="s">
        <v>391</v>
      </c>
      <c r="C1597" s="84" t="s">
        <v>4597</v>
      </c>
      <c r="D1597" s="161" t="s">
        <v>1324</v>
      </c>
      <c r="E1597" s="161" t="s">
        <v>2048</v>
      </c>
      <c r="F1597" s="161" t="s">
        <v>4567</v>
      </c>
      <c r="G1597" s="171">
        <v>102.0742</v>
      </c>
      <c r="H1597" s="163">
        <f t="shared" si="129"/>
        <v>6.14240000000001</v>
      </c>
      <c r="I1597" s="173">
        <v>53.9</v>
      </c>
      <c r="J1597" s="173">
        <v>4135.13323571983</v>
      </c>
      <c r="K1597" s="176">
        <f>K1596+J1597</f>
        <v>68451.7815119572</v>
      </c>
      <c r="L1597" s="163"/>
      <c r="M1597" s="161" t="s">
        <v>4579</v>
      </c>
      <c r="N1597" s="161" t="s">
        <v>1299</v>
      </c>
      <c r="O1597" s="161" t="s">
        <v>25</v>
      </c>
      <c r="P1597" s="49" t="s">
        <v>25</v>
      </c>
      <c r="Q1597" s="166" t="s">
        <v>4598</v>
      </c>
      <c r="R1597" s="151"/>
    </row>
    <row r="1598" spans="1:18">
      <c r="A1598" s="188" t="s">
        <v>49</v>
      </c>
      <c r="B1598" s="101" t="s">
        <v>391</v>
      </c>
      <c r="C1598" s="135" t="s">
        <v>388</v>
      </c>
      <c r="D1598" s="161" t="s">
        <v>388</v>
      </c>
      <c r="E1598" s="161" t="s">
        <v>2048</v>
      </c>
      <c r="F1598" s="161" t="s">
        <v>4567</v>
      </c>
      <c r="G1598" s="171">
        <v>110</v>
      </c>
      <c r="H1598" s="163">
        <f t="shared" si="129"/>
        <v>7.9258</v>
      </c>
      <c r="I1598" s="176">
        <v>49.2</v>
      </c>
      <c r="J1598" s="176">
        <v>5335.69069849413</v>
      </c>
      <c r="K1598" s="176">
        <f>K1597+J1598</f>
        <v>73787.4722104513</v>
      </c>
      <c r="L1598" s="163"/>
      <c r="M1598" s="161" t="s">
        <v>4455</v>
      </c>
      <c r="N1598" s="161" t="s">
        <v>1331</v>
      </c>
      <c r="O1598" s="161"/>
      <c r="P1598" s="49"/>
      <c r="Q1598" s="166" t="s">
        <v>4566</v>
      </c>
      <c r="R1598" s="151"/>
    </row>
    <row r="1599" ht="30" spans="1:18">
      <c r="A1599" s="188" t="s">
        <v>49</v>
      </c>
      <c r="B1599" s="101" t="s">
        <v>394</v>
      </c>
      <c r="C1599" s="135" t="s">
        <v>395</v>
      </c>
      <c r="D1599" s="161" t="s">
        <v>395</v>
      </c>
      <c r="E1599" s="161" t="s">
        <v>1640</v>
      </c>
      <c r="F1599" s="161" t="s">
        <v>4599</v>
      </c>
      <c r="G1599" s="171">
        <v>0</v>
      </c>
      <c r="H1599" s="163">
        <v>0</v>
      </c>
      <c r="I1599" s="173">
        <v>-3</v>
      </c>
      <c r="J1599" s="176">
        <v>0</v>
      </c>
      <c r="K1599" s="176">
        <v>0</v>
      </c>
      <c r="L1599" s="163" t="s">
        <v>4600</v>
      </c>
      <c r="M1599" s="161" t="s">
        <v>4601</v>
      </c>
      <c r="N1599" s="161" t="s">
        <v>1331</v>
      </c>
      <c r="O1599" s="161"/>
      <c r="P1599" s="49"/>
      <c r="Q1599" s="166" t="s">
        <v>4602</v>
      </c>
      <c r="R1599" s="151"/>
    </row>
    <row r="1600" spans="1:18">
      <c r="A1600" s="188" t="s">
        <v>49</v>
      </c>
      <c r="B1600" s="101" t="s">
        <v>394</v>
      </c>
      <c r="C1600" s="84" t="s">
        <v>4603</v>
      </c>
      <c r="D1600" s="162" t="s">
        <v>1298</v>
      </c>
      <c r="E1600" s="161" t="s">
        <v>2048</v>
      </c>
      <c r="F1600" s="161" t="s">
        <v>4599</v>
      </c>
      <c r="G1600" s="171">
        <v>35.3603</v>
      </c>
      <c r="H1600" s="163">
        <f>G1600-G1599</f>
        <v>35.3603</v>
      </c>
      <c r="I1600" s="173">
        <v>6.2</v>
      </c>
      <c r="J1600" s="176">
        <v>9204.09160661317</v>
      </c>
      <c r="K1600" s="176">
        <f>K1599+J1600</f>
        <v>9204.09160661317</v>
      </c>
      <c r="L1600" s="163"/>
      <c r="M1600" s="161" t="s">
        <v>4604</v>
      </c>
      <c r="N1600" s="161" t="s">
        <v>1299</v>
      </c>
      <c r="O1600" s="161" t="s">
        <v>25</v>
      </c>
      <c r="P1600" s="49" t="s">
        <v>25</v>
      </c>
      <c r="Q1600" s="166" t="s">
        <v>4605</v>
      </c>
      <c r="R1600" s="151"/>
    </row>
    <row r="1601" spans="1:18">
      <c r="A1601" s="188" t="s">
        <v>49</v>
      </c>
      <c r="B1601" s="101" t="s">
        <v>394</v>
      </c>
      <c r="C1601" s="84" t="s">
        <v>4606</v>
      </c>
      <c r="D1601" s="161" t="s">
        <v>4606</v>
      </c>
      <c r="E1601" s="161" t="s">
        <v>2048</v>
      </c>
      <c r="F1601" s="161"/>
      <c r="G1601" s="171">
        <v>35.3603</v>
      </c>
      <c r="H1601" s="163">
        <f t="shared" ref="H1601:H1606" si="130">G1601-G1600</f>
        <v>0</v>
      </c>
      <c r="I1601" s="173"/>
      <c r="J1601" s="176"/>
      <c r="K1601" s="176"/>
      <c r="L1601" s="163"/>
      <c r="M1601" s="161"/>
      <c r="N1601" s="161"/>
      <c r="O1601" s="161" t="s">
        <v>16</v>
      </c>
      <c r="P1601" s="49" t="s">
        <v>16</v>
      </c>
      <c r="Q1601" s="166"/>
      <c r="R1601" s="151"/>
    </row>
    <row r="1602" spans="1:18">
      <c r="A1602" s="188" t="s">
        <v>49</v>
      </c>
      <c r="B1602" s="101" t="s">
        <v>394</v>
      </c>
      <c r="C1602" s="84" t="s">
        <v>4607</v>
      </c>
      <c r="D1602" s="162" t="s">
        <v>1302</v>
      </c>
      <c r="E1602" s="161" t="s">
        <v>2048</v>
      </c>
      <c r="F1602" s="161" t="s">
        <v>4599</v>
      </c>
      <c r="G1602" s="171">
        <v>44.975945</v>
      </c>
      <c r="H1602" s="163">
        <f t="shared" si="130"/>
        <v>9.615645</v>
      </c>
      <c r="I1602" s="173">
        <v>7.1</v>
      </c>
      <c r="J1602" s="176">
        <v>11655.375</v>
      </c>
      <c r="K1602" s="176">
        <f>K1600+J1602</f>
        <v>20859.4666066132</v>
      </c>
      <c r="L1602" s="163"/>
      <c r="M1602" s="161" t="s">
        <v>4604</v>
      </c>
      <c r="N1602" s="161" t="s">
        <v>1299</v>
      </c>
      <c r="O1602" s="161" t="s">
        <v>25</v>
      </c>
      <c r="P1602" s="49" t="s">
        <v>25</v>
      </c>
      <c r="Q1602" s="166" t="s">
        <v>4608</v>
      </c>
      <c r="R1602" s="151"/>
    </row>
    <row r="1603" spans="1:18">
      <c r="A1603" s="188" t="s">
        <v>49</v>
      </c>
      <c r="B1603" s="101" t="s">
        <v>394</v>
      </c>
      <c r="C1603" s="84" t="s">
        <v>4609</v>
      </c>
      <c r="D1603" s="161" t="s">
        <v>4609</v>
      </c>
      <c r="E1603" s="161" t="s">
        <v>2048</v>
      </c>
      <c r="F1603" s="161" t="s">
        <v>4599</v>
      </c>
      <c r="G1603" s="171">
        <v>51.497445</v>
      </c>
      <c r="H1603" s="163">
        <f t="shared" si="130"/>
        <v>6.5215</v>
      </c>
      <c r="I1603" s="173">
        <v>20</v>
      </c>
      <c r="J1603" s="176">
        <v>13367.0346757979</v>
      </c>
      <c r="K1603" s="176">
        <f>K1602+J1603</f>
        <v>34226.5012824111</v>
      </c>
      <c r="L1603" s="163"/>
      <c r="M1603" s="161" t="s">
        <v>4604</v>
      </c>
      <c r="N1603" s="161" t="s">
        <v>1331</v>
      </c>
      <c r="O1603" s="161" t="s">
        <v>14</v>
      </c>
      <c r="P1603" s="49" t="s">
        <v>14</v>
      </c>
      <c r="Q1603" s="166" t="s">
        <v>4610</v>
      </c>
      <c r="R1603" s="151"/>
    </row>
    <row r="1604" ht="45" spans="1:18">
      <c r="A1604" s="188" t="s">
        <v>49</v>
      </c>
      <c r="B1604" s="101" t="s">
        <v>394</v>
      </c>
      <c r="C1604" s="84" t="s">
        <v>4611</v>
      </c>
      <c r="D1604" s="161" t="s">
        <v>4611</v>
      </c>
      <c r="E1604" s="161" t="s">
        <v>2048</v>
      </c>
      <c r="F1604" s="161" t="s">
        <v>4599</v>
      </c>
      <c r="G1604" s="171">
        <v>51.497445</v>
      </c>
      <c r="H1604" s="163">
        <f t="shared" si="130"/>
        <v>0</v>
      </c>
      <c r="I1604" s="176" t="s">
        <v>147</v>
      </c>
      <c r="J1604" s="176" t="s">
        <v>147</v>
      </c>
      <c r="K1604" s="176" t="s">
        <v>147</v>
      </c>
      <c r="L1604" s="163" t="s">
        <v>4612</v>
      </c>
      <c r="M1604" s="161" t="s">
        <v>4604</v>
      </c>
      <c r="N1604" s="161" t="s">
        <v>1331</v>
      </c>
      <c r="O1604" s="161" t="s">
        <v>16</v>
      </c>
      <c r="P1604" s="49" t="s">
        <v>16</v>
      </c>
      <c r="Q1604" s="166" t="s">
        <v>4610</v>
      </c>
      <c r="R1604" s="151"/>
    </row>
    <row r="1605" spans="1:18">
      <c r="A1605" s="188" t="s">
        <v>49</v>
      </c>
      <c r="B1605" s="101" t="s">
        <v>394</v>
      </c>
      <c r="C1605" s="84" t="s">
        <v>4613</v>
      </c>
      <c r="D1605" s="162" t="s">
        <v>1305</v>
      </c>
      <c r="E1605" s="161" t="s">
        <v>2048</v>
      </c>
      <c r="F1605" s="161" t="s">
        <v>4599</v>
      </c>
      <c r="G1605" s="171">
        <v>64.282945</v>
      </c>
      <c r="H1605" s="163">
        <f t="shared" si="130"/>
        <v>12.7855</v>
      </c>
      <c r="I1605" s="173">
        <v>11.2</v>
      </c>
      <c r="J1605" s="176">
        <v>9768.98242999339</v>
      </c>
      <c r="K1605" s="176">
        <f>K1603+J1605</f>
        <v>43995.4837124045</v>
      </c>
      <c r="L1605" s="163"/>
      <c r="M1605" s="161" t="s">
        <v>4604</v>
      </c>
      <c r="N1605" s="161" t="s">
        <v>1299</v>
      </c>
      <c r="O1605" s="161" t="s">
        <v>25</v>
      </c>
      <c r="P1605" s="49" t="s">
        <v>25</v>
      </c>
      <c r="Q1605" s="166" t="s">
        <v>4614</v>
      </c>
      <c r="R1605" s="151"/>
    </row>
    <row r="1606" ht="30" spans="1:18">
      <c r="A1606" s="188" t="s">
        <v>49</v>
      </c>
      <c r="B1606" s="101" t="s">
        <v>394</v>
      </c>
      <c r="C1606" s="135" t="s">
        <v>396</v>
      </c>
      <c r="D1606" s="161" t="s">
        <v>396</v>
      </c>
      <c r="E1606" s="161" t="s">
        <v>2048</v>
      </c>
      <c r="F1606" s="161" t="s">
        <v>4270</v>
      </c>
      <c r="G1606" s="171">
        <v>83.197445</v>
      </c>
      <c r="H1606" s="163">
        <f t="shared" si="130"/>
        <v>18.9145</v>
      </c>
      <c r="I1606" s="173">
        <v>18.7</v>
      </c>
      <c r="J1606" s="176">
        <v>14451.944</v>
      </c>
      <c r="K1606" s="176">
        <f>K1605+J1606</f>
        <v>58447.4277124045</v>
      </c>
      <c r="L1606" s="163" t="s">
        <v>4615</v>
      </c>
      <c r="M1606" s="161" t="s">
        <v>4140</v>
      </c>
      <c r="N1606" s="161" t="s">
        <v>1331</v>
      </c>
      <c r="O1606" s="161"/>
      <c r="P1606" s="49"/>
      <c r="Q1606" s="166" t="s">
        <v>4277</v>
      </c>
      <c r="R1606" s="151"/>
    </row>
    <row r="1607" spans="1:18">
      <c r="A1607" s="188" t="s">
        <v>49</v>
      </c>
      <c r="B1607" s="101" t="s">
        <v>398</v>
      </c>
      <c r="C1607" s="135" t="s">
        <v>399</v>
      </c>
      <c r="D1607" s="161" t="s">
        <v>399</v>
      </c>
      <c r="E1607" s="161" t="s">
        <v>2048</v>
      </c>
      <c r="F1607" s="161" t="s">
        <v>4567</v>
      </c>
      <c r="G1607" s="171">
        <v>0</v>
      </c>
      <c r="H1607" s="163">
        <v>0</v>
      </c>
      <c r="I1607" s="176">
        <v>131</v>
      </c>
      <c r="J1607" s="176">
        <v>0</v>
      </c>
      <c r="K1607" s="176">
        <v>0</v>
      </c>
      <c r="L1607" s="163"/>
      <c r="M1607" s="161" t="s">
        <v>4579</v>
      </c>
      <c r="N1607" s="161" t="s">
        <v>1331</v>
      </c>
      <c r="O1607" s="161"/>
      <c r="P1607" s="49"/>
      <c r="Q1607" s="166" t="s">
        <v>4584</v>
      </c>
      <c r="R1607" s="151"/>
    </row>
    <row r="1608" spans="1:18">
      <c r="A1608" s="188" t="s">
        <v>49</v>
      </c>
      <c r="B1608" s="101" t="s">
        <v>398</v>
      </c>
      <c r="C1608" s="84" t="s">
        <v>4616</v>
      </c>
      <c r="D1608" s="161" t="s">
        <v>4617</v>
      </c>
      <c r="E1608" s="161" t="s">
        <v>2048</v>
      </c>
      <c r="F1608" s="161" t="s">
        <v>4567</v>
      </c>
      <c r="G1608" s="171">
        <v>7.76</v>
      </c>
      <c r="H1608" s="163">
        <f>G1608-G1607</f>
        <v>7.76</v>
      </c>
      <c r="I1608" s="176">
        <v>99</v>
      </c>
      <c r="J1608" s="176">
        <v>5621.71651083821</v>
      </c>
      <c r="K1608" s="176">
        <f>K1607+J1608</f>
        <v>5621.71651083821</v>
      </c>
      <c r="L1608" s="163"/>
      <c r="M1608" s="161" t="s">
        <v>4618</v>
      </c>
      <c r="N1608" s="161" t="s">
        <v>1299</v>
      </c>
      <c r="O1608" s="161" t="s">
        <v>25</v>
      </c>
      <c r="P1608" s="49" t="s">
        <v>25</v>
      </c>
      <c r="Q1608" s="166" t="s">
        <v>4619</v>
      </c>
      <c r="R1608" s="151"/>
    </row>
    <row r="1609" spans="1:18">
      <c r="A1609" s="188" t="s">
        <v>49</v>
      </c>
      <c r="B1609" s="101" t="s">
        <v>398</v>
      </c>
      <c r="C1609" s="84" t="s">
        <v>4620</v>
      </c>
      <c r="D1609" s="161" t="s">
        <v>4621</v>
      </c>
      <c r="E1609" s="161" t="s">
        <v>2048</v>
      </c>
      <c r="F1609" s="161" t="s">
        <v>4567</v>
      </c>
      <c r="G1609" s="171">
        <v>15.6424</v>
      </c>
      <c r="H1609" s="163">
        <f t="shared" ref="H1609:H1616" si="131">G1609-G1608</f>
        <v>7.8824</v>
      </c>
      <c r="I1609" s="176">
        <v>84</v>
      </c>
      <c r="J1609" s="176">
        <v>5710.36541428522</v>
      </c>
      <c r="K1609" s="176">
        <f t="shared" ref="K1609:K1612" si="132">K1608+J1609</f>
        <v>11332.0819251234</v>
      </c>
      <c r="L1609" s="163"/>
      <c r="M1609" s="161" t="s">
        <v>4618</v>
      </c>
      <c r="N1609" s="161" t="s">
        <v>1299</v>
      </c>
      <c r="O1609" s="161" t="s">
        <v>25</v>
      </c>
      <c r="P1609" s="49" t="s">
        <v>25</v>
      </c>
      <c r="Q1609" s="166" t="s">
        <v>4622</v>
      </c>
      <c r="R1609" s="151"/>
    </row>
    <row r="1610" spans="1:18">
      <c r="A1610" s="188" t="s">
        <v>49</v>
      </c>
      <c r="B1610" s="101" t="s">
        <v>398</v>
      </c>
      <c r="C1610" s="84" t="s">
        <v>4623</v>
      </c>
      <c r="D1610" s="161" t="s">
        <v>4624</v>
      </c>
      <c r="E1610" s="161" t="s">
        <v>2048</v>
      </c>
      <c r="F1610" s="161" t="s">
        <v>4567</v>
      </c>
      <c r="G1610" s="171">
        <v>23.0436</v>
      </c>
      <c r="H1610" s="163">
        <f t="shared" si="131"/>
        <v>7.4012</v>
      </c>
      <c r="I1610" s="176">
        <v>43</v>
      </c>
      <c r="J1610" s="176">
        <v>5361.76678486433</v>
      </c>
      <c r="K1610" s="176">
        <f t="shared" si="132"/>
        <v>16693.8487099878</v>
      </c>
      <c r="L1610" s="163"/>
      <c r="M1610" s="161" t="s">
        <v>4618</v>
      </c>
      <c r="N1610" s="161" t="s">
        <v>1299</v>
      </c>
      <c r="O1610" s="161" t="s">
        <v>25</v>
      </c>
      <c r="P1610" s="49" t="s">
        <v>25</v>
      </c>
      <c r="Q1610" s="166" t="s">
        <v>4625</v>
      </c>
      <c r="R1610" s="151"/>
    </row>
    <row r="1611" spans="1:18">
      <c r="A1611" s="188" t="s">
        <v>49</v>
      </c>
      <c r="B1611" s="101" t="s">
        <v>398</v>
      </c>
      <c r="C1611" s="84" t="s">
        <v>4626</v>
      </c>
      <c r="D1611" s="161" t="s">
        <v>4627</v>
      </c>
      <c r="E1611" s="161" t="s">
        <v>2048</v>
      </c>
      <c r="F1611" s="161" t="s">
        <v>4567</v>
      </c>
      <c r="G1611" s="171">
        <v>31.491</v>
      </c>
      <c r="H1611" s="163">
        <f t="shared" si="131"/>
        <v>8.4474</v>
      </c>
      <c r="I1611" s="176">
        <v>28</v>
      </c>
      <c r="J1611" s="176">
        <v>6119.67490927666</v>
      </c>
      <c r="K1611" s="176">
        <f t="shared" si="132"/>
        <v>22813.5236192644</v>
      </c>
      <c r="L1611" s="163"/>
      <c r="M1611" s="161" t="s">
        <v>4618</v>
      </c>
      <c r="N1611" s="161" t="s">
        <v>1299</v>
      </c>
      <c r="O1611" s="161" t="s">
        <v>25</v>
      </c>
      <c r="P1611" s="49" t="s">
        <v>25</v>
      </c>
      <c r="Q1611" s="166" t="s">
        <v>4628</v>
      </c>
      <c r="R1611" s="151"/>
    </row>
    <row r="1612" spans="1:18">
      <c r="A1612" s="188" t="s">
        <v>49</v>
      </c>
      <c r="B1612" s="101" t="s">
        <v>398</v>
      </c>
      <c r="C1612" s="84" t="s">
        <v>400</v>
      </c>
      <c r="D1612" s="161" t="s">
        <v>400</v>
      </c>
      <c r="E1612" s="161" t="s">
        <v>2048</v>
      </c>
      <c r="F1612" s="161" t="s">
        <v>4567</v>
      </c>
      <c r="G1612" s="171">
        <v>39</v>
      </c>
      <c r="H1612" s="163">
        <f t="shared" si="131"/>
        <v>7.509</v>
      </c>
      <c r="I1612" s="176">
        <v>29</v>
      </c>
      <c r="J1612" s="176">
        <v>5439.83344190881</v>
      </c>
      <c r="K1612" s="176">
        <f t="shared" si="132"/>
        <v>28253.3570611732</v>
      </c>
      <c r="L1612" s="163"/>
      <c r="M1612" s="161" t="s">
        <v>4618</v>
      </c>
      <c r="N1612" s="161" t="s">
        <v>1331</v>
      </c>
      <c r="O1612" s="161" t="s">
        <v>15</v>
      </c>
      <c r="P1612" s="49" t="s">
        <v>15</v>
      </c>
      <c r="Q1612" s="166" t="s">
        <v>4629</v>
      </c>
      <c r="R1612" s="151"/>
    </row>
    <row r="1613" spans="1:18">
      <c r="A1613" s="188" t="s">
        <v>49</v>
      </c>
      <c r="B1613" s="101" t="s">
        <v>398</v>
      </c>
      <c r="C1613" s="84" t="s">
        <v>4630</v>
      </c>
      <c r="D1613" s="161" t="s">
        <v>4631</v>
      </c>
      <c r="E1613" s="161" t="s">
        <v>2048</v>
      </c>
      <c r="F1613" s="161" t="s">
        <v>4567</v>
      </c>
      <c r="G1613" s="171">
        <v>43.8119</v>
      </c>
      <c r="H1613" s="163">
        <f t="shared" si="131"/>
        <v>4.8119</v>
      </c>
      <c r="I1613" s="176" t="s">
        <v>147</v>
      </c>
      <c r="J1613" s="176" t="s">
        <v>147</v>
      </c>
      <c r="K1613" s="176" t="s">
        <v>147</v>
      </c>
      <c r="L1613" s="163"/>
      <c r="M1613" s="161" t="s">
        <v>4632</v>
      </c>
      <c r="N1613" s="161" t="s">
        <v>1299</v>
      </c>
      <c r="O1613" s="161" t="s">
        <v>25</v>
      </c>
      <c r="P1613" s="49" t="s">
        <v>25</v>
      </c>
      <c r="Q1613" s="166"/>
      <c r="R1613" s="151"/>
    </row>
    <row r="1614" spans="1:18">
      <c r="A1614" s="188" t="s">
        <v>49</v>
      </c>
      <c r="B1614" s="101" t="s">
        <v>398</v>
      </c>
      <c r="C1614" s="84" t="s">
        <v>4633</v>
      </c>
      <c r="D1614" s="161" t="s">
        <v>4633</v>
      </c>
      <c r="E1614" s="161" t="s">
        <v>2048</v>
      </c>
      <c r="F1614" s="161" t="s">
        <v>4599</v>
      </c>
      <c r="G1614" s="171">
        <v>53.3418</v>
      </c>
      <c r="H1614" s="163">
        <f t="shared" si="131"/>
        <v>9.5299</v>
      </c>
      <c r="I1614" s="176">
        <v>27</v>
      </c>
      <c r="J1614" s="176">
        <v>10889.21</v>
      </c>
      <c r="K1614" s="176">
        <f>K1612+J1614</f>
        <v>39142.5670611732</v>
      </c>
      <c r="L1614" s="163"/>
      <c r="M1614" s="161" t="s">
        <v>4632</v>
      </c>
      <c r="N1614" s="161" t="s">
        <v>1331</v>
      </c>
      <c r="O1614" s="161" t="s">
        <v>15</v>
      </c>
      <c r="P1614" s="49" t="s">
        <v>15</v>
      </c>
      <c r="Q1614" s="166"/>
      <c r="R1614" s="151"/>
    </row>
    <row r="1615" spans="1:18">
      <c r="A1615" s="188" t="s">
        <v>49</v>
      </c>
      <c r="B1615" s="101" t="s">
        <v>398</v>
      </c>
      <c r="C1615" s="84" t="s">
        <v>4634</v>
      </c>
      <c r="D1615" s="161" t="s">
        <v>4635</v>
      </c>
      <c r="E1615" s="161" t="s">
        <v>2048</v>
      </c>
      <c r="F1615" s="161" t="s">
        <v>4599</v>
      </c>
      <c r="G1615" s="171">
        <v>69.5614</v>
      </c>
      <c r="H1615" s="163">
        <f t="shared" si="131"/>
        <v>16.2196</v>
      </c>
      <c r="I1615" s="176">
        <v>9.1</v>
      </c>
      <c r="J1615" s="176">
        <v>12272.2300188083</v>
      </c>
      <c r="K1615" s="176">
        <f>K1614+J1615</f>
        <v>51414.7970799815</v>
      </c>
      <c r="L1615" s="163"/>
      <c r="M1615" s="161" t="s">
        <v>4632</v>
      </c>
      <c r="N1615" s="161" t="s">
        <v>1299</v>
      </c>
      <c r="O1615" s="161" t="s">
        <v>25</v>
      </c>
      <c r="P1615" s="49" t="s">
        <v>25</v>
      </c>
      <c r="Q1615" s="166"/>
      <c r="R1615" s="151"/>
    </row>
    <row r="1616" spans="1:18">
      <c r="A1616" s="188" t="s">
        <v>49</v>
      </c>
      <c r="B1616" s="101" t="s">
        <v>398</v>
      </c>
      <c r="C1616" s="135" t="s">
        <v>4609</v>
      </c>
      <c r="D1616" s="161" t="s">
        <v>4609</v>
      </c>
      <c r="E1616" s="161" t="s">
        <v>2048</v>
      </c>
      <c r="F1616" s="161" t="s">
        <v>4599</v>
      </c>
      <c r="G1616" s="171">
        <v>77</v>
      </c>
      <c r="H1616" s="163">
        <f t="shared" si="131"/>
        <v>7.43859999999999</v>
      </c>
      <c r="I1616" s="176">
        <v>20</v>
      </c>
      <c r="J1616" s="176">
        <v>5590.42421465223</v>
      </c>
      <c r="K1616" s="176">
        <f>K1615+J1616</f>
        <v>57005.2212946338</v>
      </c>
      <c r="L1616" s="163"/>
      <c r="M1616" s="161" t="s">
        <v>4604</v>
      </c>
      <c r="N1616" s="161" t="s">
        <v>1331</v>
      </c>
      <c r="O1616" s="161"/>
      <c r="P1616" s="49"/>
      <c r="Q1616" s="166" t="s">
        <v>4610</v>
      </c>
      <c r="R1616" s="151"/>
    </row>
    <row r="1617" spans="1:18">
      <c r="A1617" s="188" t="s">
        <v>49</v>
      </c>
      <c r="B1617" s="101" t="s">
        <v>401</v>
      </c>
      <c r="C1617" s="135" t="s">
        <v>402</v>
      </c>
      <c r="D1617" s="161" t="s">
        <v>402</v>
      </c>
      <c r="E1617" s="161" t="s">
        <v>2048</v>
      </c>
      <c r="F1617" s="161" t="s">
        <v>4533</v>
      </c>
      <c r="G1617" s="163">
        <v>0</v>
      </c>
      <c r="H1617" s="163">
        <v>0</v>
      </c>
      <c r="I1617" s="176"/>
      <c r="J1617" s="183">
        <v>0</v>
      </c>
      <c r="K1617" s="183">
        <v>0</v>
      </c>
      <c r="L1617" s="163"/>
      <c r="M1617" s="161" t="s">
        <v>4455</v>
      </c>
      <c r="N1617" s="161" t="s">
        <v>1331</v>
      </c>
      <c r="O1617" s="161"/>
      <c r="P1617" s="49"/>
      <c r="Q1617" s="166" t="s">
        <v>4541</v>
      </c>
      <c r="R1617" s="151"/>
    </row>
    <row r="1618" spans="1:18">
      <c r="A1618" s="188" t="s">
        <v>49</v>
      </c>
      <c r="B1618" s="101" t="s">
        <v>401</v>
      </c>
      <c r="C1618" s="84" t="s">
        <v>403</v>
      </c>
      <c r="D1618" s="161" t="s">
        <v>403</v>
      </c>
      <c r="E1618" s="161" t="s">
        <v>2048</v>
      </c>
      <c r="F1618" s="161" t="s">
        <v>4533</v>
      </c>
      <c r="G1618" s="163">
        <v>11</v>
      </c>
      <c r="H1618" s="163">
        <v>11</v>
      </c>
      <c r="I1618" s="176"/>
      <c r="J1618" s="176">
        <v>1792.4593397621</v>
      </c>
      <c r="K1618" s="176">
        <v>1792.4593397621</v>
      </c>
      <c r="L1618" s="163"/>
      <c r="M1618" s="161"/>
      <c r="N1618" s="161"/>
      <c r="O1618" s="161" t="s">
        <v>14</v>
      </c>
      <c r="P1618" s="49" t="s">
        <v>14</v>
      </c>
      <c r="Q1618" s="166" t="s">
        <v>4636</v>
      </c>
      <c r="R1618" s="151"/>
    </row>
    <row r="1619" spans="1:18">
      <c r="A1619" s="188" t="s">
        <v>49</v>
      </c>
      <c r="B1619" s="101" t="s">
        <v>404</v>
      </c>
      <c r="C1619" s="135" t="s">
        <v>4550</v>
      </c>
      <c r="D1619" s="161" t="s">
        <v>4550</v>
      </c>
      <c r="E1619" s="161" t="s">
        <v>2048</v>
      </c>
      <c r="F1619" s="161" t="s">
        <v>4533</v>
      </c>
      <c r="G1619" s="163">
        <v>0</v>
      </c>
      <c r="H1619" s="163" t="s">
        <v>4637</v>
      </c>
      <c r="I1619" s="176"/>
      <c r="J1619" s="176">
        <v>0</v>
      </c>
      <c r="K1619" s="176">
        <v>0</v>
      </c>
      <c r="L1619" s="163"/>
      <c r="M1619" s="161"/>
      <c r="N1619" s="161"/>
      <c r="O1619" s="161"/>
      <c r="P1619" s="49"/>
      <c r="Q1619" s="166" t="s">
        <v>4638</v>
      </c>
      <c r="R1619" s="151"/>
    </row>
    <row r="1620" spans="1:18">
      <c r="A1620" s="188" t="s">
        <v>49</v>
      </c>
      <c r="B1620" s="101" t="s">
        <v>404</v>
      </c>
      <c r="C1620" s="84" t="s">
        <v>406</v>
      </c>
      <c r="D1620" s="161" t="s">
        <v>406</v>
      </c>
      <c r="E1620" s="161" t="s">
        <v>2048</v>
      </c>
      <c r="F1620" s="161" t="s">
        <v>4533</v>
      </c>
      <c r="G1620" s="163">
        <v>3</v>
      </c>
      <c r="H1620" s="163">
        <v>3</v>
      </c>
      <c r="I1620" s="176"/>
      <c r="J1620" s="176">
        <v>120.376791467068</v>
      </c>
      <c r="K1620" s="176">
        <v>120.376791467068</v>
      </c>
      <c r="L1620" s="163"/>
      <c r="M1620" s="161"/>
      <c r="N1620" s="161"/>
      <c r="O1620" s="161" t="s">
        <v>14</v>
      </c>
      <c r="P1620" s="49" t="s">
        <v>14</v>
      </c>
      <c r="Q1620" s="166" t="s">
        <v>4639</v>
      </c>
      <c r="R1620" s="151"/>
    </row>
    <row r="1621" spans="1:18">
      <c r="A1621" s="188" t="s">
        <v>49</v>
      </c>
      <c r="B1621" s="101" t="s">
        <v>407</v>
      </c>
      <c r="C1621" s="135" t="s">
        <v>4539</v>
      </c>
      <c r="D1621" s="161" t="s">
        <v>1405</v>
      </c>
      <c r="E1621" s="161" t="s">
        <v>2048</v>
      </c>
      <c r="F1621" s="161" t="s">
        <v>4533</v>
      </c>
      <c r="G1621" s="176">
        <v>0</v>
      </c>
      <c r="H1621" s="163">
        <v>0</v>
      </c>
      <c r="I1621" s="176"/>
      <c r="J1621" s="176">
        <v>0</v>
      </c>
      <c r="K1621" s="176">
        <v>0</v>
      </c>
      <c r="L1621" s="163"/>
      <c r="M1621" s="161" t="s">
        <v>4455</v>
      </c>
      <c r="N1621" s="161"/>
      <c r="O1621" s="161"/>
      <c r="P1621" s="49"/>
      <c r="Q1621" s="166" t="s">
        <v>4540</v>
      </c>
      <c r="R1621" s="151"/>
    </row>
    <row r="1622" spans="1:18">
      <c r="A1622" s="188" t="s">
        <v>49</v>
      </c>
      <c r="B1622" s="101" t="s">
        <v>407</v>
      </c>
      <c r="C1622" s="84" t="s">
        <v>4640</v>
      </c>
      <c r="D1622" s="161" t="s">
        <v>4640</v>
      </c>
      <c r="E1622" s="161" t="s">
        <v>2048</v>
      </c>
      <c r="F1622" s="161" t="s">
        <v>4533</v>
      </c>
      <c r="G1622" s="176">
        <v>0.75</v>
      </c>
      <c r="H1622" s="163">
        <f>G1622-G1621</f>
        <v>0.75</v>
      </c>
      <c r="I1622" s="176"/>
      <c r="J1622" s="176">
        <v>36.2580697189963</v>
      </c>
      <c r="K1622" s="176">
        <v>36.2580697189963</v>
      </c>
      <c r="L1622" s="163"/>
      <c r="M1622" s="161"/>
      <c r="N1622" s="161"/>
      <c r="O1622" s="161" t="s">
        <v>14</v>
      </c>
      <c r="P1622" s="49" t="s">
        <v>14</v>
      </c>
      <c r="Q1622" s="166" t="s">
        <v>4641</v>
      </c>
      <c r="R1622" s="151"/>
    </row>
    <row r="1623" spans="1:18">
      <c r="A1623" s="188" t="s">
        <v>49</v>
      </c>
      <c r="B1623" s="101" t="s">
        <v>407</v>
      </c>
      <c r="C1623" s="84" t="s">
        <v>4642</v>
      </c>
      <c r="D1623" s="161" t="s">
        <v>4643</v>
      </c>
      <c r="E1623" s="161" t="s">
        <v>2048</v>
      </c>
      <c r="F1623" s="161" t="s">
        <v>4533</v>
      </c>
      <c r="G1623" s="176">
        <v>18.85</v>
      </c>
      <c r="H1623" s="163">
        <f>G1623-G1622</f>
        <v>18.1</v>
      </c>
      <c r="I1623" s="176"/>
      <c r="J1623" s="176">
        <v>964.681428741292</v>
      </c>
      <c r="K1623" s="176">
        <v>1000.93949846029</v>
      </c>
      <c r="L1623" s="163"/>
      <c r="M1623" s="161"/>
      <c r="N1623" s="161"/>
      <c r="O1623" s="161" t="s">
        <v>25</v>
      </c>
      <c r="P1623" s="49" t="s">
        <v>25</v>
      </c>
      <c r="Q1623" s="166" t="s">
        <v>4644</v>
      </c>
      <c r="R1623" s="151"/>
    </row>
    <row r="1624" spans="1:18">
      <c r="A1624" s="188" t="s">
        <v>49</v>
      </c>
      <c r="B1624" s="101" t="s">
        <v>407</v>
      </c>
      <c r="C1624" s="84" t="s">
        <v>409</v>
      </c>
      <c r="D1624" s="161" t="s">
        <v>409</v>
      </c>
      <c r="E1624" s="161" t="s">
        <v>2048</v>
      </c>
      <c r="F1624" s="161" t="s">
        <v>4533</v>
      </c>
      <c r="G1624" s="176">
        <v>43.7</v>
      </c>
      <c r="H1624" s="163">
        <f>G1624-G1623</f>
        <v>24.85</v>
      </c>
      <c r="I1624" s="176"/>
      <c r="J1624" s="176">
        <v>1164.54636563521</v>
      </c>
      <c r="K1624" s="176">
        <v>2165.48586409549</v>
      </c>
      <c r="L1624" s="163"/>
      <c r="M1624" s="161"/>
      <c r="N1624" s="161"/>
      <c r="O1624" s="161" t="s">
        <v>14</v>
      </c>
      <c r="P1624" s="49" t="s">
        <v>14</v>
      </c>
      <c r="Q1624" s="166" t="s">
        <v>4645</v>
      </c>
      <c r="R1624" s="151"/>
    </row>
    <row r="1625" spans="1:18">
      <c r="A1625" s="188" t="s">
        <v>49</v>
      </c>
      <c r="B1625" s="101" t="s">
        <v>411</v>
      </c>
      <c r="C1625" s="135" t="s">
        <v>4548</v>
      </c>
      <c r="D1625" s="161" t="s">
        <v>1421</v>
      </c>
      <c r="E1625" s="161" t="s">
        <v>2048</v>
      </c>
      <c r="F1625" s="161" t="s">
        <v>4533</v>
      </c>
      <c r="G1625" s="163">
        <v>0</v>
      </c>
      <c r="H1625" s="163">
        <v>0</v>
      </c>
      <c r="I1625" s="176"/>
      <c r="J1625" s="176">
        <v>0</v>
      </c>
      <c r="K1625" s="176">
        <v>0</v>
      </c>
      <c r="L1625" s="163"/>
      <c r="M1625" s="161" t="s">
        <v>4455</v>
      </c>
      <c r="N1625" s="161"/>
      <c r="O1625" s="161"/>
      <c r="P1625" s="49"/>
      <c r="Q1625" s="166" t="s">
        <v>4549</v>
      </c>
      <c r="R1625" s="151"/>
    </row>
    <row r="1626" spans="1:18">
      <c r="A1626" s="188" t="s">
        <v>49</v>
      </c>
      <c r="B1626" s="101" t="s">
        <v>411</v>
      </c>
      <c r="C1626" s="84" t="s">
        <v>4646</v>
      </c>
      <c r="D1626" s="161" t="s">
        <v>4646</v>
      </c>
      <c r="E1626" s="161" t="s">
        <v>2048</v>
      </c>
      <c r="F1626" s="161" t="s">
        <v>4533</v>
      </c>
      <c r="G1626" s="163">
        <v>3</v>
      </c>
      <c r="H1626" s="163">
        <v>3</v>
      </c>
      <c r="I1626" s="176"/>
      <c r="J1626" s="176">
        <v>281.67417732278</v>
      </c>
      <c r="K1626" s="176">
        <v>281.67417732278</v>
      </c>
      <c r="L1626" s="163"/>
      <c r="M1626" s="161"/>
      <c r="N1626" s="161"/>
      <c r="O1626" s="161" t="s">
        <v>15</v>
      </c>
      <c r="P1626" s="49" t="s">
        <v>15</v>
      </c>
      <c r="Q1626" s="166" t="s">
        <v>4647</v>
      </c>
      <c r="R1626" s="151"/>
    </row>
    <row r="1627" spans="1:18">
      <c r="A1627" s="188" t="s">
        <v>49</v>
      </c>
      <c r="B1627" s="101" t="s">
        <v>411</v>
      </c>
      <c r="C1627" s="84" t="s">
        <v>4648</v>
      </c>
      <c r="D1627" s="161" t="s">
        <v>4648</v>
      </c>
      <c r="E1627" s="161" t="s">
        <v>2048</v>
      </c>
      <c r="F1627" s="161" t="s">
        <v>4533</v>
      </c>
      <c r="G1627" s="163">
        <v>21</v>
      </c>
      <c r="H1627" s="163">
        <v>18</v>
      </c>
      <c r="I1627" s="176"/>
      <c r="J1627" s="176">
        <v>815.999945049252</v>
      </c>
      <c r="K1627" s="176">
        <v>1097.67412237203</v>
      </c>
      <c r="L1627" s="163"/>
      <c r="M1627" s="161"/>
      <c r="N1627" s="161"/>
      <c r="O1627" s="161" t="s">
        <v>14</v>
      </c>
      <c r="P1627" s="49" t="s">
        <v>14</v>
      </c>
      <c r="Q1627" s="166" t="s">
        <v>4649</v>
      </c>
      <c r="R1627" s="151"/>
    </row>
    <row r="1628" spans="1:18">
      <c r="A1628" s="188" t="s">
        <v>49</v>
      </c>
      <c r="B1628" s="101" t="s">
        <v>411</v>
      </c>
      <c r="C1628" s="84" t="s">
        <v>413</v>
      </c>
      <c r="D1628" s="161" t="s">
        <v>413</v>
      </c>
      <c r="E1628" s="161" t="s">
        <v>2048</v>
      </c>
      <c r="F1628" s="161" t="s">
        <v>4533</v>
      </c>
      <c r="G1628" s="163">
        <v>28</v>
      </c>
      <c r="H1628" s="163">
        <v>7</v>
      </c>
      <c r="I1628" s="176"/>
      <c r="J1628" s="176">
        <v>384.859922482921</v>
      </c>
      <c r="K1628" s="176">
        <v>1482.53404485495</v>
      </c>
      <c r="L1628" s="163"/>
      <c r="M1628" s="161"/>
      <c r="N1628" s="161"/>
      <c r="O1628" s="161" t="s">
        <v>14</v>
      </c>
      <c r="P1628" s="49" t="s">
        <v>14</v>
      </c>
      <c r="Q1628" s="166" t="s">
        <v>4650</v>
      </c>
      <c r="R1628" s="151"/>
    </row>
    <row r="1629" spans="1:18">
      <c r="A1629" s="188" t="s">
        <v>49</v>
      </c>
      <c r="B1629" s="101" t="s">
        <v>416</v>
      </c>
      <c r="C1629" s="135" t="s">
        <v>4537</v>
      </c>
      <c r="D1629" s="49" t="s">
        <v>4537</v>
      </c>
      <c r="E1629" s="161" t="s">
        <v>2048</v>
      </c>
      <c r="F1629" s="161" t="s">
        <v>4533</v>
      </c>
      <c r="G1629" s="163">
        <v>0</v>
      </c>
      <c r="H1629" s="163">
        <v>0</v>
      </c>
      <c r="I1629" s="176"/>
      <c r="J1629" s="176"/>
      <c r="K1629" s="176"/>
      <c r="L1629" s="163"/>
      <c r="M1629" s="161"/>
      <c r="N1629" s="161"/>
      <c r="O1629" s="161"/>
      <c r="P1629" s="49"/>
      <c r="Q1629" s="166"/>
      <c r="R1629" s="151"/>
    </row>
    <row r="1630" spans="1:18">
      <c r="A1630" s="188" t="s">
        <v>49</v>
      </c>
      <c r="B1630" s="101" t="s">
        <v>416</v>
      </c>
      <c r="C1630" s="84" t="s">
        <v>418</v>
      </c>
      <c r="D1630" s="49" t="s">
        <v>418</v>
      </c>
      <c r="E1630" s="161" t="s">
        <v>2048</v>
      </c>
      <c r="F1630" s="161" t="s">
        <v>4533</v>
      </c>
      <c r="G1630" s="163">
        <v>0.55</v>
      </c>
      <c r="H1630" s="163">
        <v>0.55</v>
      </c>
      <c r="I1630" s="176"/>
      <c r="J1630" s="176"/>
      <c r="K1630" s="176"/>
      <c r="L1630" s="163"/>
      <c r="M1630" s="161"/>
      <c r="N1630" s="161"/>
      <c r="O1630" s="161" t="s">
        <v>16</v>
      </c>
      <c r="P1630" s="49" t="s">
        <v>16</v>
      </c>
      <c r="Q1630" s="166"/>
      <c r="R1630" s="151"/>
    </row>
    <row r="1631" s="152" customFormat="1" spans="1:18">
      <c r="A1631" s="188" t="s">
        <v>49</v>
      </c>
      <c r="B1631" s="101" t="s">
        <v>419</v>
      </c>
      <c r="C1631" s="135" t="s">
        <v>4532</v>
      </c>
      <c r="D1631" s="161" t="s">
        <v>1394</v>
      </c>
      <c r="E1631" s="161" t="s">
        <v>2048</v>
      </c>
      <c r="F1631" s="161" t="s">
        <v>4533</v>
      </c>
      <c r="G1631" s="163">
        <v>0</v>
      </c>
      <c r="H1631" s="163">
        <v>0</v>
      </c>
      <c r="I1631" s="176"/>
      <c r="J1631" s="176">
        <v>0</v>
      </c>
      <c r="K1631" s="176">
        <v>0</v>
      </c>
      <c r="L1631" s="163"/>
      <c r="M1631" s="161"/>
      <c r="N1631" s="161"/>
      <c r="O1631" s="161"/>
      <c r="P1631" s="49"/>
      <c r="Q1631" s="166" t="s">
        <v>4651</v>
      </c>
      <c r="R1631" s="151"/>
    </row>
    <row r="1632" s="152" customFormat="1" spans="1:18">
      <c r="A1632" s="188" t="s">
        <v>49</v>
      </c>
      <c r="B1632" s="101" t="s">
        <v>419</v>
      </c>
      <c r="C1632" s="84" t="s">
        <v>4652</v>
      </c>
      <c r="D1632" s="49" t="s">
        <v>4652</v>
      </c>
      <c r="E1632" s="161" t="s">
        <v>2048</v>
      </c>
      <c r="F1632" s="161" t="s">
        <v>4533</v>
      </c>
      <c r="G1632" s="163">
        <v>2.3</v>
      </c>
      <c r="H1632" s="163">
        <f>G1632-G1631</f>
        <v>2.3</v>
      </c>
      <c r="I1632" s="176"/>
      <c r="J1632" s="176">
        <v>111.578947368421</v>
      </c>
      <c r="K1632" s="176">
        <v>111.578947368421</v>
      </c>
      <c r="L1632" s="163"/>
      <c r="M1632" s="161"/>
      <c r="N1632" s="161"/>
      <c r="O1632" s="161"/>
      <c r="P1632" s="49" t="s">
        <v>15</v>
      </c>
      <c r="Q1632" s="166" t="s">
        <v>4653</v>
      </c>
      <c r="R1632" s="151"/>
    </row>
    <row r="1633" s="152" customFormat="1" spans="1:18">
      <c r="A1633" s="188" t="s">
        <v>49</v>
      </c>
      <c r="B1633" s="101" t="s">
        <v>419</v>
      </c>
      <c r="C1633" s="84" t="s">
        <v>1811</v>
      </c>
      <c r="D1633" s="49" t="s">
        <v>1298</v>
      </c>
      <c r="E1633" s="161" t="s">
        <v>2048</v>
      </c>
      <c r="F1633" s="161" t="s">
        <v>4533</v>
      </c>
      <c r="G1633" s="163">
        <v>20.3</v>
      </c>
      <c r="H1633" s="163">
        <f>G1633-G1632</f>
        <v>18</v>
      </c>
      <c r="I1633" s="176"/>
      <c r="J1633" s="176">
        <v>803.368421052632</v>
      </c>
      <c r="K1633" s="176">
        <v>914.947368421053</v>
      </c>
      <c r="L1633" s="163"/>
      <c r="M1633" s="161"/>
      <c r="N1633" s="161"/>
      <c r="O1633" s="161"/>
      <c r="P1633" s="49" t="s">
        <v>25</v>
      </c>
      <c r="Q1633" s="166" t="s">
        <v>4654</v>
      </c>
      <c r="R1633" s="151"/>
    </row>
    <row r="1634" s="152" customFormat="1" spans="1:18">
      <c r="A1634" s="188" t="s">
        <v>49</v>
      </c>
      <c r="B1634" s="101" t="s">
        <v>419</v>
      </c>
      <c r="C1634" s="84" t="s">
        <v>421</v>
      </c>
      <c r="D1634" s="49" t="s">
        <v>421</v>
      </c>
      <c r="E1634" s="161" t="s">
        <v>2048</v>
      </c>
      <c r="F1634" s="161" t="s">
        <v>4533</v>
      </c>
      <c r="G1634" s="163">
        <v>36.9</v>
      </c>
      <c r="H1634" s="163">
        <f>G1634-G1633</f>
        <v>16.6</v>
      </c>
      <c r="I1634" s="176"/>
      <c r="J1634" s="176">
        <v>781.052631578947</v>
      </c>
      <c r="K1634" s="176">
        <v>1696</v>
      </c>
      <c r="L1634" s="163"/>
      <c r="M1634" s="161"/>
      <c r="N1634" s="161"/>
      <c r="O1634" s="161"/>
      <c r="P1634" s="49" t="s">
        <v>14</v>
      </c>
      <c r="Q1634" s="166" t="s">
        <v>4655</v>
      </c>
      <c r="R1634" s="151"/>
    </row>
    <row r="1635" spans="1:18">
      <c r="A1635" s="186" t="s">
        <v>50</v>
      </c>
      <c r="B1635" s="101" t="s">
        <v>424</v>
      </c>
      <c r="C1635" s="135" t="s">
        <v>357</v>
      </c>
      <c r="D1635" s="161" t="s">
        <v>357</v>
      </c>
      <c r="E1635" s="161" t="s">
        <v>2048</v>
      </c>
      <c r="F1635" s="161" t="s">
        <v>4132</v>
      </c>
      <c r="G1635" s="171">
        <v>0</v>
      </c>
      <c r="H1635" s="163">
        <v>0</v>
      </c>
      <c r="I1635" s="176">
        <v>11.1764</v>
      </c>
      <c r="J1635" s="176">
        <v>0</v>
      </c>
      <c r="K1635" s="176">
        <v>0</v>
      </c>
      <c r="L1635" s="163" t="s">
        <v>4656</v>
      </c>
      <c r="M1635" s="161" t="s">
        <v>4125</v>
      </c>
      <c r="N1635" s="161"/>
      <c r="O1635" s="161"/>
      <c r="P1635" s="49"/>
      <c r="Q1635" s="166" t="s">
        <v>4137</v>
      </c>
      <c r="R1635" s="151"/>
    </row>
    <row r="1636" spans="1:18">
      <c r="A1636" s="186" t="s">
        <v>50</v>
      </c>
      <c r="B1636" s="101" t="s">
        <v>424</v>
      </c>
      <c r="C1636" s="84" t="s">
        <v>4657</v>
      </c>
      <c r="D1636" s="161" t="s">
        <v>1298</v>
      </c>
      <c r="E1636" s="161" t="s">
        <v>1640</v>
      </c>
      <c r="F1636" s="161" t="s">
        <v>4132</v>
      </c>
      <c r="G1636" s="171">
        <v>23.05</v>
      </c>
      <c r="H1636" s="163">
        <f>G1636-G1635</f>
        <v>23.05</v>
      </c>
      <c r="I1636" s="173">
        <v>10.8539</v>
      </c>
      <c r="J1636" s="173">
        <v>15970.3880387029</v>
      </c>
      <c r="K1636" s="173">
        <f>J1636+K1635</f>
        <v>15970.3880387029</v>
      </c>
      <c r="L1636" s="163"/>
      <c r="M1636" s="161" t="s">
        <v>4601</v>
      </c>
      <c r="N1636" s="161" t="s">
        <v>1299</v>
      </c>
      <c r="O1636" s="161" t="s">
        <v>25</v>
      </c>
      <c r="P1636" s="49" t="s">
        <v>25</v>
      </c>
      <c r="Q1636" s="166"/>
      <c r="R1636" s="151"/>
    </row>
    <row r="1637" ht="45" spans="1:18">
      <c r="A1637" s="186" t="s">
        <v>50</v>
      </c>
      <c r="B1637" s="101" t="s">
        <v>424</v>
      </c>
      <c r="C1637" s="84" t="s">
        <v>4658</v>
      </c>
      <c r="D1637" s="161" t="s">
        <v>4658</v>
      </c>
      <c r="E1637" s="161" t="s">
        <v>1640</v>
      </c>
      <c r="F1637" s="161" t="s">
        <v>4599</v>
      </c>
      <c r="G1637" s="171">
        <v>24.150611</v>
      </c>
      <c r="H1637" s="163">
        <f t="shared" ref="H1637:H1658" si="133">G1637-G1636</f>
        <v>1.100611</v>
      </c>
      <c r="I1637" s="176" t="s">
        <v>147</v>
      </c>
      <c r="J1637" s="176" t="s">
        <v>147</v>
      </c>
      <c r="K1637" s="176" t="s">
        <v>147</v>
      </c>
      <c r="L1637" s="174" t="s">
        <v>4659</v>
      </c>
      <c r="M1637" s="161" t="s">
        <v>4601</v>
      </c>
      <c r="N1637" s="161" t="s">
        <v>1331</v>
      </c>
      <c r="O1637" s="161" t="s">
        <v>16</v>
      </c>
      <c r="P1637" s="49" t="s">
        <v>16</v>
      </c>
      <c r="Q1637" s="166" t="s">
        <v>4660</v>
      </c>
      <c r="R1637" s="151"/>
    </row>
    <row r="1638" spans="1:18">
      <c r="A1638" s="186" t="s">
        <v>50</v>
      </c>
      <c r="B1638" s="101" t="s">
        <v>424</v>
      </c>
      <c r="C1638" s="84" t="s">
        <v>4661</v>
      </c>
      <c r="D1638" s="161" t="s">
        <v>1302</v>
      </c>
      <c r="E1638" s="161" t="s">
        <v>1640</v>
      </c>
      <c r="F1638" s="161" t="s">
        <v>4599</v>
      </c>
      <c r="G1638" s="171">
        <v>47.2574</v>
      </c>
      <c r="H1638" s="163">
        <f t="shared" si="133"/>
        <v>23.106789</v>
      </c>
      <c r="I1638" s="176">
        <v>1</v>
      </c>
      <c r="J1638" s="176">
        <v>16132.5676</v>
      </c>
      <c r="K1638" s="173">
        <f>J1638+K1636</f>
        <v>32102.9556387029</v>
      </c>
      <c r="L1638" s="163"/>
      <c r="M1638" s="161" t="s">
        <v>4601</v>
      </c>
      <c r="N1638" s="161" t="s">
        <v>1299</v>
      </c>
      <c r="O1638" s="161" t="s">
        <v>25</v>
      </c>
      <c r="P1638" s="49" t="s">
        <v>25</v>
      </c>
      <c r="Q1638" s="166" t="s">
        <v>4662</v>
      </c>
      <c r="R1638" s="151"/>
    </row>
    <row r="1639" spans="1:18">
      <c r="A1639" s="186" t="s">
        <v>50</v>
      </c>
      <c r="B1639" s="101" t="s">
        <v>424</v>
      </c>
      <c r="C1639" s="84" t="s">
        <v>4663</v>
      </c>
      <c r="D1639" s="161" t="s">
        <v>1305</v>
      </c>
      <c r="E1639" s="161" t="s">
        <v>1640</v>
      </c>
      <c r="F1639" s="161" t="s">
        <v>4599</v>
      </c>
      <c r="G1639" s="171">
        <v>55.1822</v>
      </c>
      <c r="H1639" s="163">
        <f t="shared" si="133"/>
        <v>7.9248</v>
      </c>
      <c r="I1639" s="173">
        <v>2.5</v>
      </c>
      <c r="J1639" s="173">
        <v>0.27087503409794</v>
      </c>
      <c r="K1639" s="173">
        <f>J1639+K1638</f>
        <v>32103.226513737</v>
      </c>
      <c r="L1639" s="174"/>
      <c r="M1639" s="161" t="s">
        <v>4601</v>
      </c>
      <c r="N1639" s="161" t="s">
        <v>1299</v>
      </c>
      <c r="O1639" s="161" t="s">
        <v>25</v>
      </c>
      <c r="P1639" s="49" t="s">
        <v>25</v>
      </c>
      <c r="Q1639" s="166" t="s">
        <v>4664</v>
      </c>
      <c r="R1639" s="151"/>
    </row>
    <row r="1640" spans="1:18">
      <c r="A1640" s="186" t="s">
        <v>50</v>
      </c>
      <c r="B1640" s="101" t="s">
        <v>424</v>
      </c>
      <c r="C1640" s="84" t="s">
        <v>4665</v>
      </c>
      <c r="D1640" s="161" t="s">
        <v>1307</v>
      </c>
      <c r="E1640" s="161" t="s">
        <v>1640</v>
      </c>
      <c r="F1640" s="161" t="s">
        <v>4599</v>
      </c>
      <c r="G1640" s="171">
        <v>61.56</v>
      </c>
      <c r="H1640" s="163">
        <f t="shared" si="133"/>
        <v>6.3778</v>
      </c>
      <c r="I1640" s="176">
        <v>1.3</v>
      </c>
      <c r="J1640" s="176">
        <v>5307.05696282453</v>
      </c>
      <c r="K1640" s="173">
        <f>J1640+K1639</f>
        <v>37410.2834765615</v>
      </c>
      <c r="L1640" s="163"/>
      <c r="M1640" s="161" t="s">
        <v>4601</v>
      </c>
      <c r="N1640" s="161" t="s">
        <v>1299</v>
      </c>
      <c r="O1640" s="161" t="s">
        <v>25</v>
      </c>
      <c r="P1640" s="49" t="s">
        <v>25</v>
      </c>
      <c r="Q1640" s="166" t="s">
        <v>4666</v>
      </c>
      <c r="R1640" s="151"/>
    </row>
    <row r="1641" spans="1:18">
      <c r="A1641" s="186" t="s">
        <v>50</v>
      </c>
      <c r="B1641" s="101" t="s">
        <v>424</v>
      </c>
      <c r="C1641" s="84" t="s">
        <v>4667</v>
      </c>
      <c r="D1641" s="161" t="s">
        <v>4667</v>
      </c>
      <c r="E1641" s="161" t="s">
        <v>1640</v>
      </c>
      <c r="F1641" s="161" t="s">
        <v>4599</v>
      </c>
      <c r="G1641" s="171">
        <v>61.56</v>
      </c>
      <c r="H1641" s="163">
        <f t="shared" si="133"/>
        <v>0</v>
      </c>
      <c r="I1641" s="176" t="s">
        <v>147</v>
      </c>
      <c r="J1641" s="176" t="s">
        <v>147</v>
      </c>
      <c r="K1641" s="176" t="s">
        <v>147</v>
      </c>
      <c r="L1641" s="174" t="s">
        <v>4668</v>
      </c>
      <c r="M1641" s="161" t="s">
        <v>4601</v>
      </c>
      <c r="N1641" s="161" t="s">
        <v>1331</v>
      </c>
      <c r="O1641" s="161" t="s">
        <v>14</v>
      </c>
      <c r="P1641" s="49" t="s">
        <v>14</v>
      </c>
      <c r="Q1641" s="166" t="s">
        <v>4666</v>
      </c>
      <c r="R1641" s="151"/>
    </row>
    <row r="1642" spans="1:18">
      <c r="A1642" s="186" t="s">
        <v>50</v>
      </c>
      <c r="B1642" s="101" t="s">
        <v>424</v>
      </c>
      <c r="C1642" s="84" t="s">
        <v>4669</v>
      </c>
      <c r="D1642" s="161" t="s">
        <v>4669</v>
      </c>
      <c r="E1642" s="161" t="s">
        <v>1640</v>
      </c>
      <c r="F1642" s="161"/>
      <c r="G1642" s="171">
        <v>61.56</v>
      </c>
      <c r="H1642" s="163">
        <f t="shared" si="133"/>
        <v>0</v>
      </c>
      <c r="I1642" s="176"/>
      <c r="J1642" s="176"/>
      <c r="K1642" s="176"/>
      <c r="L1642" s="174" t="s">
        <v>4670</v>
      </c>
      <c r="M1642" s="161"/>
      <c r="N1642" s="161"/>
      <c r="O1642" s="161" t="s">
        <v>16</v>
      </c>
      <c r="P1642" s="49" t="s">
        <v>16</v>
      </c>
      <c r="Q1642" s="166"/>
      <c r="R1642" s="151"/>
    </row>
    <row r="1643" ht="90" spans="1:18">
      <c r="A1643" s="186" t="s">
        <v>50</v>
      </c>
      <c r="B1643" s="101" t="s">
        <v>424</v>
      </c>
      <c r="C1643" s="84" t="s">
        <v>395</v>
      </c>
      <c r="D1643" s="161" t="s">
        <v>395</v>
      </c>
      <c r="E1643" s="161" t="s">
        <v>1640</v>
      </c>
      <c r="F1643" s="161" t="s">
        <v>4599</v>
      </c>
      <c r="G1643" s="171">
        <v>87.56</v>
      </c>
      <c r="H1643" s="163">
        <f t="shared" si="133"/>
        <v>26</v>
      </c>
      <c r="I1643" s="176">
        <v>-3</v>
      </c>
      <c r="J1643" s="176">
        <v>17687.7179216364</v>
      </c>
      <c r="K1643" s="173">
        <f>J1643+K1640</f>
        <v>55098.0013981979</v>
      </c>
      <c r="L1643" s="163" t="s">
        <v>4671</v>
      </c>
      <c r="M1643" s="161" t="s">
        <v>4601</v>
      </c>
      <c r="N1643" s="161" t="s">
        <v>1331</v>
      </c>
      <c r="O1643" s="161" t="s">
        <v>14</v>
      </c>
      <c r="P1643" s="49" t="s">
        <v>14</v>
      </c>
      <c r="Q1643" s="166" t="s">
        <v>4602</v>
      </c>
      <c r="R1643" s="151"/>
    </row>
    <row r="1644" spans="1:18">
      <c r="A1644" s="186" t="s">
        <v>50</v>
      </c>
      <c r="B1644" s="101" t="s">
        <v>424</v>
      </c>
      <c r="C1644" s="84" t="s">
        <v>4672</v>
      </c>
      <c r="D1644" s="161" t="s">
        <v>1318</v>
      </c>
      <c r="E1644" s="161" t="s">
        <v>1640</v>
      </c>
      <c r="F1644" s="161" t="s">
        <v>4599</v>
      </c>
      <c r="G1644" s="171">
        <v>103.3822</v>
      </c>
      <c r="H1644" s="163">
        <f t="shared" si="133"/>
        <v>15.8222</v>
      </c>
      <c r="I1644" s="176">
        <v>3.7</v>
      </c>
      <c r="J1644" s="176">
        <v>15422.2055831672</v>
      </c>
      <c r="K1644" s="173">
        <f t="shared" ref="K1644:K1651" si="134">J1644+K1643</f>
        <v>70520.2069813651</v>
      </c>
      <c r="L1644" s="163"/>
      <c r="M1644" s="161" t="s">
        <v>4601</v>
      </c>
      <c r="N1644" s="161" t="s">
        <v>1299</v>
      </c>
      <c r="O1644" s="161" t="s">
        <v>25</v>
      </c>
      <c r="P1644" s="49" t="s">
        <v>25</v>
      </c>
      <c r="Q1644" s="166" t="s">
        <v>4673</v>
      </c>
      <c r="R1644" s="151"/>
    </row>
    <row r="1645" spans="1:18">
      <c r="A1645" s="186" t="s">
        <v>50</v>
      </c>
      <c r="B1645" s="101" t="s">
        <v>424</v>
      </c>
      <c r="C1645" s="84" t="s">
        <v>4674</v>
      </c>
      <c r="D1645" s="161" t="s">
        <v>1321</v>
      </c>
      <c r="E1645" s="161" t="s">
        <v>1640</v>
      </c>
      <c r="F1645" s="161" t="s">
        <v>4675</v>
      </c>
      <c r="G1645" s="171">
        <v>129.1403</v>
      </c>
      <c r="H1645" s="163">
        <f t="shared" si="133"/>
        <v>25.7581</v>
      </c>
      <c r="I1645" s="176">
        <v>21</v>
      </c>
      <c r="J1645" s="176">
        <v>19919.21</v>
      </c>
      <c r="K1645" s="173">
        <f t="shared" si="134"/>
        <v>90439.4169813651</v>
      </c>
      <c r="L1645" s="163"/>
      <c r="M1645" s="161" t="s">
        <v>4601</v>
      </c>
      <c r="N1645" s="161" t="s">
        <v>1299</v>
      </c>
      <c r="O1645" s="161" t="s">
        <v>25</v>
      </c>
      <c r="P1645" s="49" t="s">
        <v>25</v>
      </c>
      <c r="Q1645" s="166" t="s">
        <v>4676</v>
      </c>
      <c r="R1645" s="151"/>
    </row>
    <row r="1646" spans="1:18">
      <c r="A1646" s="186" t="s">
        <v>50</v>
      </c>
      <c r="B1646" s="101" t="s">
        <v>424</v>
      </c>
      <c r="C1646" s="84" t="s">
        <v>4677</v>
      </c>
      <c r="D1646" s="161" t="s">
        <v>1324</v>
      </c>
      <c r="E1646" s="161" t="s">
        <v>1640</v>
      </c>
      <c r="F1646" s="161" t="s">
        <v>4675</v>
      </c>
      <c r="G1646" s="171">
        <v>149.1144</v>
      </c>
      <c r="H1646" s="163">
        <f t="shared" si="133"/>
        <v>19.9741</v>
      </c>
      <c r="I1646" s="173">
        <v>20</v>
      </c>
      <c r="J1646" s="173">
        <v>12362.3718563078</v>
      </c>
      <c r="K1646" s="173">
        <f t="shared" si="134"/>
        <v>102801.788837673</v>
      </c>
      <c r="L1646" s="174"/>
      <c r="M1646" s="161" t="s">
        <v>4601</v>
      </c>
      <c r="N1646" s="161" t="s">
        <v>1299</v>
      </c>
      <c r="O1646" s="161" t="s">
        <v>25</v>
      </c>
      <c r="P1646" s="49" t="s">
        <v>25</v>
      </c>
      <c r="Q1646" s="166" t="s">
        <v>4678</v>
      </c>
      <c r="R1646" s="151"/>
    </row>
    <row r="1647" ht="60" spans="1:18">
      <c r="A1647" s="186" t="s">
        <v>50</v>
      </c>
      <c r="B1647" s="101" t="s">
        <v>424</v>
      </c>
      <c r="C1647" s="84" t="s">
        <v>430</v>
      </c>
      <c r="D1647" s="161" t="s">
        <v>430</v>
      </c>
      <c r="E1647" s="161" t="s">
        <v>1640</v>
      </c>
      <c r="F1647" s="161" t="s">
        <v>4675</v>
      </c>
      <c r="G1647" s="171">
        <v>165.5601</v>
      </c>
      <c r="H1647" s="163">
        <f t="shared" si="133"/>
        <v>16.4457</v>
      </c>
      <c r="I1647" s="176">
        <v>29</v>
      </c>
      <c r="J1647" s="176">
        <v>9962.37629323162</v>
      </c>
      <c r="K1647" s="173">
        <f t="shared" si="134"/>
        <v>112764.165130905</v>
      </c>
      <c r="L1647" s="163" t="s">
        <v>4679</v>
      </c>
      <c r="M1647" s="161" t="s">
        <v>4601</v>
      </c>
      <c r="N1647" s="161" t="s">
        <v>1331</v>
      </c>
      <c r="O1647" s="161" t="s">
        <v>6</v>
      </c>
      <c r="P1647" s="49" t="s">
        <v>6</v>
      </c>
      <c r="Q1647" s="166" t="s">
        <v>4680</v>
      </c>
      <c r="R1647" s="151"/>
    </row>
    <row r="1648" spans="1:18">
      <c r="A1648" s="186" t="s">
        <v>50</v>
      </c>
      <c r="B1648" s="101" t="s">
        <v>424</v>
      </c>
      <c r="C1648" s="84" t="s">
        <v>4681</v>
      </c>
      <c r="D1648" s="161" t="s">
        <v>1327</v>
      </c>
      <c r="E1648" s="161" t="s">
        <v>1640</v>
      </c>
      <c r="F1648" s="161" t="s">
        <v>4675</v>
      </c>
      <c r="G1648" s="171">
        <v>174.7531</v>
      </c>
      <c r="H1648" s="163">
        <f t="shared" si="133"/>
        <v>9.19299999999998</v>
      </c>
      <c r="I1648" s="176">
        <v>37</v>
      </c>
      <c r="J1648" s="176">
        <v>6586.58144774607</v>
      </c>
      <c r="K1648" s="173">
        <f t="shared" si="134"/>
        <v>119350.746578651</v>
      </c>
      <c r="L1648" s="163"/>
      <c r="M1648" s="161" t="s">
        <v>4601</v>
      </c>
      <c r="N1648" s="161" t="s">
        <v>1299</v>
      </c>
      <c r="O1648" s="161" t="s">
        <v>25</v>
      </c>
      <c r="P1648" s="49" t="s">
        <v>25</v>
      </c>
      <c r="Q1648" s="166" t="s">
        <v>4682</v>
      </c>
      <c r="R1648" s="151"/>
    </row>
    <row r="1649" spans="1:18">
      <c r="A1649" s="186" t="s">
        <v>50</v>
      </c>
      <c r="B1649" s="101" t="s">
        <v>424</v>
      </c>
      <c r="C1649" s="84" t="s">
        <v>4683</v>
      </c>
      <c r="D1649" s="161" t="s">
        <v>1334</v>
      </c>
      <c r="E1649" s="161" t="s">
        <v>1640</v>
      </c>
      <c r="F1649" s="161" t="s">
        <v>4684</v>
      </c>
      <c r="G1649" s="171">
        <v>185.8683</v>
      </c>
      <c r="H1649" s="163">
        <f t="shared" si="133"/>
        <v>11.1152</v>
      </c>
      <c r="I1649" s="173">
        <v>52.61</v>
      </c>
      <c r="J1649" s="173">
        <v>7628.64643582384</v>
      </c>
      <c r="K1649" s="173">
        <f t="shared" si="134"/>
        <v>126979.393014474</v>
      </c>
      <c r="L1649" s="174"/>
      <c r="M1649" s="161" t="s">
        <v>4601</v>
      </c>
      <c r="N1649" s="161" t="s">
        <v>1299</v>
      </c>
      <c r="O1649" s="161" t="s">
        <v>25</v>
      </c>
      <c r="P1649" s="49" t="s">
        <v>25</v>
      </c>
      <c r="Q1649" s="166" t="s">
        <v>4685</v>
      </c>
      <c r="R1649" s="151"/>
    </row>
    <row r="1650" spans="1:18">
      <c r="A1650" s="186" t="s">
        <v>50</v>
      </c>
      <c r="B1650" s="101" t="s">
        <v>424</v>
      </c>
      <c r="C1650" s="84" t="s">
        <v>4686</v>
      </c>
      <c r="D1650" s="161" t="s">
        <v>1338</v>
      </c>
      <c r="E1650" s="161" t="s">
        <v>1640</v>
      </c>
      <c r="F1650" s="161" t="s">
        <v>4684</v>
      </c>
      <c r="G1650" s="171">
        <v>201.6855</v>
      </c>
      <c r="H1650" s="163">
        <f t="shared" si="133"/>
        <v>15.8172</v>
      </c>
      <c r="I1650" s="176">
        <v>90.51</v>
      </c>
      <c r="J1650" s="176">
        <v>9223.72795510299</v>
      </c>
      <c r="K1650" s="173">
        <f t="shared" si="134"/>
        <v>136203.120969577</v>
      </c>
      <c r="L1650" s="163"/>
      <c r="M1650" s="161" t="s">
        <v>4601</v>
      </c>
      <c r="N1650" s="161" t="s">
        <v>1299</v>
      </c>
      <c r="O1650" s="161" t="s">
        <v>25</v>
      </c>
      <c r="P1650" s="49" t="s">
        <v>25</v>
      </c>
      <c r="Q1650" s="166" t="s">
        <v>4687</v>
      </c>
      <c r="R1650" s="151"/>
    </row>
    <row r="1651" ht="90" spans="1:18">
      <c r="A1651" s="186" t="s">
        <v>50</v>
      </c>
      <c r="B1651" s="101" t="s">
        <v>424</v>
      </c>
      <c r="C1651" s="84" t="s">
        <v>4688</v>
      </c>
      <c r="D1651" s="161" t="s">
        <v>4688</v>
      </c>
      <c r="E1651" s="161" t="s">
        <v>1640</v>
      </c>
      <c r="F1651" s="161" t="s">
        <v>4684</v>
      </c>
      <c r="G1651" s="171">
        <v>226.5601</v>
      </c>
      <c r="H1651" s="163">
        <f t="shared" si="133"/>
        <v>24.8746</v>
      </c>
      <c r="I1651" s="173">
        <v>68.65</v>
      </c>
      <c r="J1651" s="173">
        <v>20203.3466412709</v>
      </c>
      <c r="K1651" s="173">
        <f t="shared" si="134"/>
        <v>156406.467610848</v>
      </c>
      <c r="L1651" s="174" t="s">
        <v>4689</v>
      </c>
      <c r="M1651" s="161" t="s">
        <v>4601</v>
      </c>
      <c r="N1651" s="161" t="s">
        <v>1331</v>
      </c>
      <c r="O1651" s="161" t="s">
        <v>14</v>
      </c>
      <c r="P1651" s="49" t="s">
        <v>14</v>
      </c>
      <c r="Q1651" s="166" t="s">
        <v>4690</v>
      </c>
      <c r="R1651" s="151"/>
    </row>
    <row r="1652" ht="45" spans="1:18">
      <c r="A1652" s="186" t="s">
        <v>50</v>
      </c>
      <c r="B1652" s="101" t="s">
        <v>424</v>
      </c>
      <c r="C1652" s="84" t="s">
        <v>4691</v>
      </c>
      <c r="D1652" s="161" t="s">
        <v>4691</v>
      </c>
      <c r="E1652" s="161" t="s">
        <v>1640</v>
      </c>
      <c r="F1652" s="161" t="s">
        <v>4684</v>
      </c>
      <c r="G1652" s="171">
        <v>226.5601</v>
      </c>
      <c r="H1652" s="163">
        <f t="shared" si="133"/>
        <v>0</v>
      </c>
      <c r="I1652" s="176" t="s">
        <v>147</v>
      </c>
      <c r="J1652" s="176" t="s">
        <v>147</v>
      </c>
      <c r="K1652" s="176" t="s">
        <v>147</v>
      </c>
      <c r="L1652" s="174" t="s">
        <v>4692</v>
      </c>
      <c r="M1652" s="161" t="s">
        <v>4601</v>
      </c>
      <c r="N1652" s="161" t="s">
        <v>1331</v>
      </c>
      <c r="O1652" s="161" t="s">
        <v>16</v>
      </c>
      <c r="P1652" s="49" t="s">
        <v>16</v>
      </c>
      <c r="Q1652" s="166" t="s">
        <v>4690</v>
      </c>
      <c r="R1652" s="151"/>
    </row>
    <row r="1653" spans="1:18">
      <c r="A1653" s="186" t="s">
        <v>50</v>
      </c>
      <c r="B1653" s="101" t="s">
        <v>424</v>
      </c>
      <c r="C1653" s="84" t="s">
        <v>4693</v>
      </c>
      <c r="D1653" s="161" t="s">
        <v>1346</v>
      </c>
      <c r="E1653" s="161" t="s">
        <v>1640</v>
      </c>
      <c r="F1653" s="161" t="s">
        <v>4684</v>
      </c>
      <c r="G1653" s="171">
        <v>249.5601</v>
      </c>
      <c r="H1653" s="163">
        <f t="shared" si="133"/>
        <v>23</v>
      </c>
      <c r="I1653" s="176">
        <v>62.06</v>
      </c>
      <c r="J1653" s="176">
        <v>17961.0612914192</v>
      </c>
      <c r="K1653" s="173">
        <f>K1651+J1653</f>
        <v>174367.528902268</v>
      </c>
      <c r="L1653" s="174"/>
      <c r="M1653" s="161" t="s">
        <v>4601</v>
      </c>
      <c r="N1653" s="161" t="s">
        <v>1299</v>
      </c>
      <c r="O1653" s="161" t="s">
        <v>25</v>
      </c>
      <c r="P1653" s="49" t="s">
        <v>25</v>
      </c>
      <c r="Q1653" s="166"/>
      <c r="R1653" s="151"/>
    </row>
    <row r="1654" ht="45" spans="1:18">
      <c r="A1654" s="186" t="s">
        <v>50</v>
      </c>
      <c r="B1654" s="101" t="s">
        <v>424</v>
      </c>
      <c r="C1654" s="84" t="s">
        <v>4694</v>
      </c>
      <c r="D1654" s="161" t="s">
        <v>4694</v>
      </c>
      <c r="E1654" s="161" t="s">
        <v>1640</v>
      </c>
      <c r="F1654" s="161" t="s">
        <v>4684</v>
      </c>
      <c r="G1654" s="171">
        <v>249.5601</v>
      </c>
      <c r="H1654" s="163">
        <f t="shared" si="133"/>
        <v>0</v>
      </c>
      <c r="I1654" s="176" t="s">
        <v>147</v>
      </c>
      <c r="J1654" s="176" t="s">
        <v>147</v>
      </c>
      <c r="K1654" s="176" t="s">
        <v>147</v>
      </c>
      <c r="L1654" s="174" t="s">
        <v>4695</v>
      </c>
      <c r="M1654" s="161" t="s">
        <v>4601</v>
      </c>
      <c r="N1654" s="161" t="s">
        <v>1331</v>
      </c>
      <c r="O1654" s="161" t="s">
        <v>16</v>
      </c>
      <c r="P1654" s="49" t="s">
        <v>16</v>
      </c>
      <c r="Q1654" s="166" t="s">
        <v>4696</v>
      </c>
      <c r="R1654" s="151"/>
    </row>
    <row r="1655" spans="1:18">
      <c r="A1655" s="186" t="s">
        <v>50</v>
      </c>
      <c r="B1655" s="101" t="s">
        <v>424</v>
      </c>
      <c r="C1655" s="84" t="s">
        <v>4697</v>
      </c>
      <c r="D1655" s="161" t="s">
        <v>1349</v>
      </c>
      <c r="E1655" s="161" t="s">
        <v>1640</v>
      </c>
      <c r="F1655" s="161" t="s">
        <v>4684</v>
      </c>
      <c r="G1655" s="171">
        <v>271.495</v>
      </c>
      <c r="H1655" s="163">
        <f t="shared" si="133"/>
        <v>21.9349</v>
      </c>
      <c r="I1655" s="176">
        <v>44.2</v>
      </c>
      <c r="J1655" s="176">
        <v>15173.5783546159</v>
      </c>
      <c r="K1655" s="173">
        <f>K1653+J1655</f>
        <v>189541.107256883</v>
      </c>
      <c r="L1655" s="163"/>
      <c r="M1655" s="161" t="s">
        <v>4601</v>
      </c>
      <c r="N1655" s="161" t="s">
        <v>1299</v>
      </c>
      <c r="O1655" s="161" t="s">
        <v>25</v>
      </c>
      <c r="P1655" s="49" t="s">
        <v>25</v>
      </c>
      <c r="Q1655" s="166" t="s">
        <v>4698</v>
      </c>
      <c r="R1655" s="151"/>
    </row>
    <row r="1656" spans="1:18">
      <c r="A1656" s="186" t="s">
        <v>50</v>
      </c>
      <c r="B1656" s="101" t="s">
        <v>424</v>
      </c>
      <c r="C1656" s="84" t="s">
        <v>4699</v>
      </c>
      <c r="D1656" s="161" t="s">
        <v>1352</v>
      </c>
      <c r="E1656" s="161" t="s">
        <v>1640</v>
      </c>
      <c r="F1656" s="161" t="s">
        <v>4684</v>
      </c>
      <c r="G1656" s="171">
        <v>285.5601</v>
      </c>
      <c r="H1656" s="163">
        <f t="shared" si="133"/>
        <v>14.0651</v>
      </c>
      <c r="I1656" s="176">
        <v>54.3</v>
      </c>
      <c r="J1656" s="176">
        <v>9928.5395490986</v>
      </c>
      <c r="K1656" s="173">
        <f>J1656+K1655</f>
        <v>199469.646805982</v>
      </c>
      <c r="L1656" s="163"/>
      <c r="M1656" s="161" t="s">
        <v>4601</v>
      </c>
      <c r="N1656" s="161" t="s">
        <v>1299</v>
      </c>
      <c r="O1656" s="161" t="s">
        <v>25</v>
      </c>
      <c r="P1656" s="49" t="s">
        <v>25</v>
      </c>
      <c r="Q1656" s="166"/>
      <c r="R1656" s="151"/>
    </row>
    <row r="1657" spans="1:18">
      <c r="A1657" s="186" t="s">
        <v>50</v>
      </c>
      <c r="B1657" s="101" t="s">
        <v>424</v>
      </c>
      <c r="C1657" s="84" t="s">
        <v>4700</v>
      </c>
      <c r="D1657" s="161" t="s">
        <v>4700</v>
      </c>
      <c r="E1657" s="161" t="s">
        <v>1640</v>
      </c>
      <c r="F1657" s="161" t="s">
        <v>4684</v>
      </c>
      <c r="G1657" s="171">
        <v>289.2931</v>
      </c>
      <c r="H1657" s="163">
        <f t="shared" si="133"/>
        <v>3.733</v>
      </c>
      <c r="I1657" s="176" t="s">
        <v>147</v>
      </c>
      <c r="J1657" s="176" t="s">
        <v>147</v>
      </c>
      <c r="K1657" s="176" t="s">
        <v>147</v>
      </c>
      <c r="L1657" s="163" t="s">
        <v>4701</v>
      </c>
      <c r="M1657" s="161" t="s">
        <v>4601</v>
      </c>
      <c r="N1657" s="161" t="s">
        <v>1331</v>
      </c>
      <c r="O1657" s="161" t="s">
        <v>14</v>
      </c>
      <c r="P1657" s="49" t="s">
        <v>14</v>
      </c>
      <c r="Q1657" s="166" t="s">
        <v>4702</v>
      </c>
      <c r="R1657" s="151"/>
    </row>
    <row r="1658" spans="1:18">
      <c r="A1658" s="186" t="s">
        <v>50</v>
      </c>
      <c r="B1658" s="101" t="s">
        <v>424</v>
      </c>
      <c r="C1658" s="84" t="s">
        <v>425</v>
      </c>
      <c r="D1658" s="161" t="s">
        <v>425</v>
      </c>
      <c r="E1658" s="161" t="s">
        <v>1640</v>
      </c>
      <c r="F1658" s="161" t="s">
        <v>4684</v>
      </c>
      <c r="G1658" s="171">
        <v>308.5601</v>
      </c>
      <c r="H1658" s="163">
        <f t="shared" si="133"/>
        <v>19.267</v>
      </c>
      <c r="I1658" s="176">
        <v>55.45</v>
      </c>
      <c r="J1658" s="176">
        <v>17514.857348734</v>
      </c>
      <c r="K1658" s="173">
        <f>J1658+K1656</f>
        <v>216984.504154716</v>
      </c>
      <c r="L1658" s="163"/>
      <c r="M1658" s="161" t="s">
        <v>4601</v>
      </c>
      <c r="N1658" s="161" t="s">
        <v>1331</v>
      </c>
      <c r="O1658" s="161" t="s">
        <v>14</v>
      </c>
      <c r="P1658" s="49" t="s">
        <v>14</v>
      </c>
      <c r="Q1658" s="166" t="s">
        <v>4703</v>
      </c>
      <c r="R1658" s="151"/>
    </row>
    <row r="1659" spans="1:18">
      <c r="A1659" s="186" t="s">
        <v>50</v>
      </c>
      <c r="B1659" s="101" t="s">
        <v>426</v>
      </c>
      <c r="C1659" s="135" t="s">
        <v>4704</v>
      </c>
      <c r="D1659" s="186" t="s">
        <v>4704</v>
      </c>
      <c r="E1659" s="161" t="s">
        <v>1640</v>
      </c>
      <c r="F1659" s="161" t="s">
        <v>4132</v>
      </c>
      <c r="G1659" s="163">
        <v>0</v>
      </c>
      <c r="H1659" s="163">
        <v>0</v>
      </c>
      <c r="I1659" s="176"/>
      <c r="J1659" s="176"/>
      <c r="K1659" s="173"/>
      <c r="L1659" s="163"/>
      <c r="M1659" s="161"/>
      <c r="N1659" s="161"/>
      <c r="O1659" s="161"/>
      <c r="P1659" s="49"/>
      <c r="Q1659" s="166"/>
      <c r="R1659" s="151"/>
    </row>
    <row r="1660" spans="1:18">
      <c r="A1660" s="186" t="s">
        <v>50</v>
      </c>
      <c r="B1660" s="101" t="s">
        <v>426</v>
      </c>
      <c r="C1660" s="84" t="s">
        <v>4705</v>
      </c>
      <c r="D1660" s="161" t="s">
        <v>1298</v>
      </c>
      <c r="E1660" s="161" t="s">
        <v>1640</v>
      </c>
      <c r="F1660" s="161" t="s">
        <v>4132</v>
      </c>
      <c r="G1660" s="163">
        <v>4</v>
      </c>
      <c r="H1660" s="163">
        <v>4</v>
      </c>
      <c r="I1660" s="176" t="s">
        <v>147</v>
      </c>
      <c r="J1660" s="176">
        <v>0</v>
      </c>
      <c r="K1660" s="176">
        <v>0</v>
      </c>
      <c r="L1660" s="163"/>
      <c r="M1660" s="161" t="s">
        <v>4706</v>
      </c>
      <c r="N1660" s="161" t="s">
        <v>1299</v>
      </c>
      <c r="O1660" s="161" t="s">
        <v>25</v>
      </c>
      <c r="P1660" s="49" t="s">
        <v>25</v>
      </c>
      <c r="Q1660" s="166"/>
      <c r="R1660" s="151"/>
    </row>
    <row r="1661" spans="1:18">
      <c r="A1661" s="186" t="s">
        <v>50</v>
      </c>
      <c r="B1661" s="101" t="s">
        <v>426</v>
      </c>
      <c r="C1661" s="84" t="s">
        <v>428</v>
      </c>
      <c r="D1661" s="161" t="s">
        <v>428</v>
      </c>
      <c r="E1661" s="161" t="s">
        <v>1640</v>
      </c>
      <c r="F1661" s="161" t="s">
        <v>4599</v>
      </c>
      <c r="G1661" s="163">
        <v>9.3</v>
      </c>
      <c r="H1661" s="163">
        <v>5.3</v>
      </c>
      <c r="I1661" s="176" t="s">
        <v>147</v>
      </c>
      <c r="J1661" s="176">
        <v>350</v>
      </c>
      <c r="K1661" s="176">
        <v>350</v>
      </c>
      <c r="L1661" s="163"/>
      <c r="M1661" s="161" t="s">
        <v>4706</v>
      </c>
      <c r="N1661" s="161" t="s">
        <v>1331</v>
      </c>
      <c r="O1661" s="161" t="s">
        <v>16</v>
      </c>
      <c r="P1661" s="49" t="s">
        <v>16</v>
      </c>
      <c r="Q1661" s="166"/>
      <c r="R1661" s="151"/>
    </row>
    <row r="1662" spans="1:18">
      <c r="A1662" s="186" t="s">
        <v>51</v>
      </c>
      <c r="B1662" s="101" t="s">
        <v>51</v>
      </c>
      <c r="C1662" s="84" t="s">
        <v>4707</v>
      </c>
      <c r="D1662" s="161" t="s">
        <v>4707</v>
      </c>
      <c r="E1662" s="161" t="s">
        <v>1640</v>
      </c>
      <c r="F1662" s="161" t="s">
        <v>4675</v>
      </c>
      <c r="G1662" s="171">
        <v>0</v>
      </c>
      <c r="H1662" s="163">
        <v>0</v>
      </c>
      <c r="I1662" s="176">
        <v>0</v>
      </c>
      <c r="J1662" s="176">
        <v>0</v>
      </c>
      <c r="K1662" s="176">
        <v>0</v>
      </c>
      <c r="L1662" s="163"/>
      <c r="M1662" s="161" t="s">
        <v>4708</v>
      </c>
      <c r="N1662" s="161" t="s">
        <v>1331</v>
      </c>
      <c r="O1662" s="161" t="s">
        <v>15</v>
      </c>
      <c r="P1662" s="49" t="s">
        <v>15</v>
      </c>
      <c r="Q1662" s="166" t="s">
        <v>4709</v>
      </c>
      <c r="R1662" s="151"/>
    </row>
    <row r="1663" spans="1:18">
      <c r="A1663" s="186" t="s">
        <v>51</v>
      </c>
      <c r="B1663" s="101" t="s">
        <v>51</v>
      </c>
      <c r="C1663" s="84" t="s">
        <v>4710</v>
      </c>
      <c r="D1663" s="186" t="s">
        <v>4711</v>
      </c>
      <c r="E1663" s="161" t="s">
        <v>1640</v>
      </c>
      <c r="F1663" s="161" t="s">
        <v>4675</v>
      </c>
      <c r="G1663" s="171">
        <v>15.8687</v>
      </c>
      <c r="H1663" s="163">
        <f>G1664-G1662</f>
        <v>15.8687</v>
      </c>
      <c r="I1663" s="173">
        <v>0</v>
      </c>
      <c r="J1663" s="173">
        <v>11565.131800024</v>
      </c>
      <c r="K1663" s="173">
        <f>J1663+K1662</f>
        <v>11565.131800024</v>
      </c>
      <c r="L1663" s="163"/>
      <c r="M1663" s="161"/>
      <c r="N1663" s="161"/>
      <c r="O1663" s="161" t="s">
        <v>25</v>
      </c>
      <c r="P1663" s="49" t="s">
        <v>25</v>
      </c>
      <c r="Q1663" s="166"/>
      <c r="R1663" s="151"/>
    </row>
    <row r="1664" spans="1:18">
      <c r="A1664" s="186" t="s">
        <v>51</v>
      </c>
      <c r="B1664" s="101" t="s">
        <v>51</v>
      </c>
      <c r="C1664" s="84" t="s">
        <v>4712</v>
      </c>
      <c r="D1664" s="161" t="s">
        <v>4712</v>
      </c>
      <c r="E1664" s="161" t="s">
        <v>1640</v>
      </c>
      <c r="F1664" s="161" t="s">
        <v>4675</v>
      </c>
      <c r="G1664" s="171">
        <v>15.8687</v>
      </c>
      <c r="H1664" s="176" t="s">
        <v>147</v>
      </c>
      <c r="I1664" s="176" t="s">
        <v>147</v>
      </c>
      <c r="J1664" s="176" t="s">
        <v>147</v>
      </c>
      <c r="K1664" s="176" t="s">
        <v>147</v>
      </c>
      <c r="L1664" s="174"/>
      <c r="M1664" s="161" t="s">
        <v>4708</v>
      </c>
      <c r="N1664" s="161" t="s">
        <v>1299</v>
      </c>
      <c r="O1664" s="161" t="s">
        <v>15</v>
      </c>
      <c r="P1664" s="49" t="s">
        <v>15</v>
      </c>
      <c r="Q1664" s="166" t="s">
        <v>4713</v>
      </c>
      <c r="R1664" s="151"/>
    </row>
    <row r="1665" spans="1:18">
      <c r="A1665" s="186" t="s">
        <v>51</v>
      </c>
      <c r="B1665" s="101" t="s">
        <v>51</v>
      </c>
      <c r="C1665" s="84" t="s">
        <v>4714</v>
      </c>
      <c r="D1665" s="161" t="s">
        <v>1302</v>
      </c>
      <c r="E1665" s="161" t="s">
        <v>1640</v>
      </c>
      <c r="F1665" s="161" t="s">
        <v>4675</v>
      </c>
      <c r="G1665" s="171">
        <v>27.5317</v>
      </c>
      <c r="H1665" s="163">
        <f>G1665-G1664</f>
        <v>11.663</v>
      </c>
      <c r="I1665" s="176">
        <v>0</v>
      </c>
      <c r="J1665" s="176">
        <v>8500.00889327039</v>
      </c>
      <c r="K1665" s="173">
        <f>J1665+K1663</f>
        <v>20065.1406932944</v>
      </c>
      <c r="L1665" s="163"/>
      <c r="M1665" s="161" t="s">
        <v>4708</v>
      </c>
      <c r="N1665" s="161" t="s">
        <v>1299</v>
      </c>
      <c r="O1665" s="161" t="s">
        <v>25</v>
      </c>
      <c r="P1665" s="49" t="s">
        <v>25</v>
      </c>
      <c r="Q1665" s="166" t="s">
        <v>4715</v>
      </c>
      <c r="R1665" s="151"/>
    </row>
    <row r="1666" s="152" customFormat="1" spans="1:18">
      <c r="A1666" s="186" t="s">
        <v>51</v>
      </c>
      <c r="B1666" s="101" t="s">
        <v>51</v>
      </c>
      <c r="C1666" s="84" t="s">
        <v>4716</v>
      </c>
      <c r="D1666" s="186" t="s">
        <v>4716</v>
      </c>
      <c r="E1666" s="161" t="s">
        <v>1640</v>
      </c>
      <c r="F1666" s="161" t="s">
        <v>4675</v>
      </c>
      <c r="G1666" s="171">
        <v>28</v>
      </c>
      <c r="H1666" s="163"/>
      <c r="I1666" s="176"/>
      <c r="J1666" s="176"/>
      <c r="K1666" s="173"/>
      <c r="L1666" s="163" t="s">
        <v>1916</v>
      </c>
      <c r="M1666" s="161" t="s">
        <v>4708</v>
      </c>
      <c r="N1666" s="161"/>
      <c r="O1666" s="161"/>
      <c r="P1666" s="49" t="s">
        <v>15</v>
      </c>
      <c r="Q1666" s="166"/>
      <c r="R1666" s="151"/>
    </row>
    <row r="1667" spans="1:18">
      <c r="A1667" s="186" t="s">
        <v>51</v>
      </c>
      <c r="B1667" s="101" t="s">
        <v>51</v>
      </c>
      <c r="C1667" s="84" t="s">
        <v>4717</v>
      </c>
      <c r="D1667" s="186" t="s">
        <v>4717</v>
      </c>
      <c r="E1667" s="161" t="s">
        <v>1640</v>
      </c>
      <c r="F1667" s="161" t="s">
        <v>4675</v>
      </c>
      <c r="G1667" s="171">
        <v>27.5317</v>
      </c>
      <c r="H1667" s="176" t="s">
        <v>147</v>
      </c>
      <c r="I1667" s="176" t="s">
        <v>147</v>
      </c>
      <c r="J1667" s="176" t="s">
        <v>147</v>
      </c>
      <c r="K1667" s="176" t="s">
        <v>147</v>
      </c>
      <c r="L1667" s="163"/>
      <c r="M1667" s="161" t="s">
        <v>4708</v>
      </c>
      <c r="N1667" s="161"/>
      <c r="O1667" s="161"/>
      <c r="P1667" s="49" t="s">
        <v>16</v>
      </c>
      <c r="Q1667" s="166"/>
      <c r="R1667" s="151"/>
    </row>
    <row r="1668" spans="1:18">
      <c r="A1668" s="186" t="s">
        <v>51</v>
      </c>
      <c r="B1668" s="101" t="s">
        <v>51</v>
      </c>
      <c r="C1668" s="84" t="s">
        <v>4718</v>
      </c>
      <c r="D1668" s="161" t="s">
        <v>1305</v>
      </c>
      <c r="E1668" s="161" t="s">
        <v>1640</v>
      </c>
      <c r="F1668" s="161" t="s">
        <v>4675</v>
      </c>
      <c r="G1668" s="171">
        <v>55.7033</v>
      </c>
      <c r="H1668" s="163">
        <f>G1668-G1665</f>
        <v>28.1716</v>
      </c>
      <c r="I1668" s="173">
        <v>20</v>
      </c>
      <c r="J1668" s="173">
        <v>20531.5187043801</v>
      </c>
      <c r="K1668" s="173">
        <f>J1668+K1665</f>
        <v>40596.6593976745</v>
      </c>
      <c r="L1668" s="174"/>
      <c r="M1668" s="161" t="s">
        <v>4708</v>
      </c>
      <c r="N1668" s="161" t="s">
        <v>1299</v>
      </c>
      <c r="O1668" s="161" t="s">
        <v>25</v>
      </c>
      <c r="P1668" s="49" t="s">
        <v>25</v>
      </c>
      <c r="Q1668" s="166" t="s">
        <v>4719</v>
      </c>
      <c r="R1668" s="151"/>
    </row>
    <row r="1669" spans="1:18">
      <c r="A1669" s="186" t="s">
        <v>51</v>
      </c>
      <c r="B1669" s="101" t="s">
        <v>51</v>
      </c>
      <c r="C1669" s="84" t="s">
        <v>432</v>
      </c>
      <c r="D1669" s="161" t="s">
        <v>432</v>
      </c>
      <c r="E1669" s="161" t="s">
        <v>1640</v>
      </c>
      <c r="F1669" s="161" t="s">
        <v>4675</v>
      </c>
      <c r="G1669" s="171">
        <v>84.3033</v>
      </c>
      <c r="H1669" s="163">
        <f>G1669-G1668</f>
        <v>28.6</v>
      </c>
      <c r="I1669" s="176">
        <v>2</v>
      </c>
      <c r="J1669" s="176">
        <v>20622.6787646905</v>
      </c>
      <c r="K1669" s="173">
        <f>J1669+K1668</f>
        <v>61219.338162365</v>
      </c>
      <c r="L1669" s="163"/>
      <c r="M1669" s="161">
        <v>0</v>
      </c>
      <c r="N1669" s="161" t="s">
        <v>1331</v>
      </c>
      <c r="O1669" s="161" t="s">
        <v>14</v>
      </c>
      <c r="P1669" s="49" t="s">
        <v>14</v>
      </c>
      <c r="Q1669" s="166" t="s">
        <v>4720</v>
      </c>
      <c r="R1669" s="151"/>
    </row>
    <row r="1670" spans="1:18">
      <c r="A1670" s="186" t="s">
        <v>51</v>
      </c>
      <c r="B1670" s="101" t="s">
        <v>51</v>
      </c>
      <c r="C1670" s="84" t="s">
        <v>4721</v>
      </c>
      <c r="D1670" s="161" t="s">
        <v>1307</v>
      </c>
      <c r="E1670" s="161" t="s">
        <v>1640</v>
      </c>
      <c r="F1670" s="161" t="s">
        <v>4675</v>
      </c>
      <c r="G1670" s="171">
        <v>93.5269</v>
      </c>
      <c r="H1670" s="163">
        <f>G1670-G1669</f>
        <v>9.2236</v>
      </c>
      <c r="I1670" s="176">
        <v>0</v>
      </c>
      <c r="J1670" s="176">
        <v>6804.34889802777</v>
      </c>
      <c r="K1670" s="173">
        <f>J1670+K1669</f>
        <v>68023.6870603928</v>
      </c>
      <c r="L1670" s="163"/>
      <c r="M1670" s="161" t="s">
        <v>4708</v>
      </c>
      <c r="N1670" s="161" t="s">
        <v>1299</v>
      </c>
      <c r="O1670" s="161" t="s">
        <v>25</v>
      </c>
      <c r="P1670" s="49" t="s">
        <v>25</v>
      </c>
      <c r="Q1670" s="166" t="s">
        <v>4722</v>
      </c>
      <c r="R1670" s="151"/>
    </row>
    <row r="1671" spans="1:18">
      <c r="A1671" s="186" t="s">
        <v>51</v>
      </c>
      <c r="B1671" s="101" t="s">
        <v>51</v>
      </c>
      <c r="C1671" s="84" t="s">
        <v>4723</v>
      </c>
      <c r="D1671" s="161" t="s">
        <v>1311</v>
      </c>
      <c r="E1671" s="161" t="s">
        <v>1640</v>
      </c>
      <c r="F1671" s="161" t="s">
        <v>4675</v>
      </c>
      <c r="G1671" s="171">
        <v>110.6491</v>
      </c>
      <c r="H1671" s="163">
        <f>G1671-G1670</f>
        <v>17.1222</v>
      </c>
      <c r="I1671" s="176">
        <v>23</v>
      </c>
      <c r="J1671" s="176">
        <v>12631.2611779623</v>
      </c>
      <c r="K1671" s="173">
        <f>J1671+K1670</f>
        <v>80654.9482383551</v>
      </c>
      <c r="L1671" s="163"/>
      <c r="M1671" s="161" t="s">
        <v>4708</v>
      </c>
      <c r="N1671" s="161" t="s">
        <v>1299</v>
      </c>
      <c r="O1671" s="161" t="s">
        <v>25</v>
      </c>
      <c r="P1671" s="49" t="s">
        <v>25</v>
      </c>
      <c r="Q1671" s="166" t="s">
        <v>4724</v>
      </c>
      <c r="R1671" s="151"/>
    </row>
    <row r="1672" spans="1:18">
      <c r="A1672" s="186" t="s">
        <v>51</v>
      </c>
      <c r="B1672" s="101" t="s">
        <v>51</v>
      </c>
      <c r="C1672" s="135" t="s">
        <v>430</v>
      </c>
      <c r="D1672" s="161" t="s">
        <v>430</v>
      </c>
      <c r="E1672" s="161" t="s">
        <v>1640</v>
      </c>
      <c r="F1672" s="161" t="s">
        <v>4675</v>
      </c>
      <c r="G1672" s="171">
        <v>127.3034</v>
      </c>
      <c r="H1672" s="163">
        <f>G1672-G1671</f>
        <v>16.6543</v>
      </c>
      <c r="I1672" s="176">
        <v>29</v>
      </c>
      <c r="J1672" s="176">
        <v>12286.0674685522</v>
      </c>
      <c r="K1672" s="173">
        <f>J1672+K1671</f>
        <v>92941.0157069073</v>
      </c>
      <c r="L1672" s="163"/>
      <c r="M1672" s="161" t="s">
        <v>4601</v>
      </c>
      <c r="N1672" s="161" t="s">
        <v>1331</v>
      </c>
      <c r="O1672" s="161"/>
      <c r="P1672" s="49"/>
      <c r="Q1672" s="166" t="s">
        <v>4680</v>
      </c>
      <c r="R1672" s="151"/>
    </row>
    <row r="1673" spans="1:18">
      <c r="A1673" s="186" t="s">
        <v>51</v>
      </c>
      <c r="B1673" s="101" t="s">
        <v>431</v>
      </c>
      <c r="C1673" s="135" t="s">
        <v>432</v>
      </c>
      <c r="D1673" s="161" t="s">
        <v>432</v>
      </c>
      <c r="E1673" s="161" t="s">
        <v>1640</v>
      </c>
      <c r="F1673" s="161" t="s">
        <v>4675</v>
      </c>
      <c r="G1673" s="171">
        <v>0</v>
      </c>
      <c r="H1673" s="171">
        <v>0</v>
      </c>
      <c r="I1673" s="176">
        <v>3</v>
      </c>
      <c r="J1673" s="176" t="s">
        <v>147</v>
      </c>
      <c r="K1673" s="176" t="s">
        <v>147</v>
      </c>
      <c r="L1673" s="163"/>
      <c r="M1673" s="161" t="s">
        <v>4708</v>
      </c>
      <c r="N1673" s="161" t="s">
        <v>1331</v>
      </c>
      <c r="O1673" s="161"/>
      <c r="P1673" s="49"/>
      <c r="Q1673" s="166" t="s">
        <v>4720</v>
      </c>
      <c r="R1673" s="151"/>
    </row>
    <row r="1674" spans="1:18">
      <c r="A1674" s="186" t="s">
        <v>51</v>
      </c>
      <c r="B1674" s="101" t="s">
        <v>431</v>
      </c>
      <c r="C1674" s="84" t="s">
        <v>4725</v>
      </c>
      <c r="D1674" s="161" t="s">
        <v>4726</v>
      </c>
      <c r="E1674" s="161" t="s">
        <v>1640</v>
      </c>
      <c r="F1674" s="161" t="s">
        <v>4675</v>
      </c>
      <c r="G1674" s="171">
        <v>7</v>
      </c>
      <c r="H1674" s="171">
        <f>G1674-G1673</f>
        <v>7</v>
      </c>
      <c r="I1674" s="173">
        <v>2</v>
      </c>
      <c r="J1674" s="176" t="s">
        <v>147</v>
      </c>
      <c r="K1674" s="176" t="s">
        <v>147</v>
      </c>
      <c r="L1674" s="174"/>
      <c r="M1674" s="161" t="s">
        <v>4708</v>
      </c>
      <c r="N1674" s="161" t="s">
        <v>1299</v>
      </c>
      <c r="O1674" s="161" t="s">
        <v>25</v>
      </c>
      <c r="P1674" s="49" t="s">
        <v>25</v>
      </c>
      <c r="Q1674" s="166" t="s">
        <v>4727</v>
      </c>
      <c r="R1674" s="151"/>
    </row>
    <row r="1675" spans="1:18">
      <c r="A1675" s="186" t="s">
        <v>51</v>
      </c>
      <c r="B1675" s="101" t="s">
        <v>431</v>
      </c>
      <c r="C1675" s="135" t="s">
        <v>433</v>
      </c>
      <c r="D1675" s="190" t="s">
        <v>433</v>
      </c>
      <c r="E1675" s="161" t="s">
        <v>1640</v>
      </c>
      <c r="F1675" s="161"/>
      <c r="G1675" s="171">
        <v>7.16</v>
      </c>
      <c r="H1675" s="171">
        <f>G1675-G1674</f>
        <v>0.16</v>
      </c>
      <c r="I1675" s="176" t="s">
        <v>147</v>
      </c>
      <c r="J1675" s="176" t="s">
        <v>147</v>
      </c>
      <c r="K1675" s="176" t="s">
        <v>147</v>
      </c>
      <c r="L1675" s="174"/>
      <c r="M1675" s="161" t="s">
        <v>4708</v>
      </c>
      <c r="N1675" s="161"/>
      <c r="O1675" s="161"/>
      <c r="P1675" s="49"/>
      <c r="Q1675" s="166"/>
      <c r="R1675" s="151"/>
    </row>
    <row r="1676" ht="30" spans="1:18">
      <c r="A1676" s="186" t="s">
        <v>52</v>
      </c>
      <c r="B1676" s="101" t="s">
        <v>434</v>
      </c>
      <c r="C1676" s="83" t="s">
        <v>435</v>
      </c>
      <c r="D1676" s="161" t="s">
        <v>4728</v>
      </c>
      <c r="E1676" s="161" t="s">
        <v>1384</v>
      </c>
      <c r="F1676" s="161" t="s">
        <v>4729</v>
      </c>
      <c r="G1676" s="163">
        <v>0</v>
      </c>
      <c r="H1676" s="163">
        <v>0</v>
      </c>
      <c r="I1676" s="176">
        <v>2715</v>
      </c>
      <c r="J1676" s="176">
        <v>0</v>
      </c>
      <c r="K1676" s="176">
        <v>0</v>
      </c>
      <c r="L1676" s="163" t="s">
        <v>4730</v>
      </c>
      <c r="M1676" s="161" t="s">
        <v>4731</v>
      </c>
      <c r="N1676" s="161" t="s">
        <v>1295</v>
      </c>
      <c r="O1676" s="161" t="s">
        <v>6</v>
      </c>
      <c r="P1676" s="49" t="s">
        <v>6</v>
      </c>
      <c r="Q1676" s="166" t="s">
        <v>4732</v>
      </c>
      <c r="R1676" s="151"/>
    </row>
    <row r="1677" spans="1:18">
      <c r="A1677" s="186" t="s">
        <v>52</v>
      </c>
      <c r="B1677" s="101" t="s">
        <v>434</v>
      </c>
      <c r="C1677" s="83" t="s">
        <v>4733</v>
      </c>
      <c r="D1677" s="161" t="s">
        <v>1899</v>
      </c>
      <c r="E1677" s="161" t="s">
        <v>1384</v>
      </c>
      <c r="F1677" s="161" t="s">
        <v>4729</v>
      </c>
      <c r="G1677" s="163">
        <v>30.901</v>
      </c>
      <c r="H1677" s="163">
        <f>G1677-G1676</f>
        <v>30.901</v>
      </c>
      <c r="I1677" s="176">
        <v>2722</v>
      </c>
      <c r="J1677" s="176">
        <v>10092</v>
      </c>
      <c r="K1677" s="176">
        <v>10092</v>
      </c>
      <c r="L1677" s="163"/>
      <c r="M1677" s="161" t="s">
        <v>4731</v>
      </c>
      <c r="N1677" s="161" t="s">
        <v>1901</v>
      </c>
      <c r="O1677" s="161" t="s">
        <v>26</v>
      </c>
      <c r="P1677" s="49" t="s">
        <v>26</v>
      </c>
      <c r="Q1677" s="166" t="s">
        <v>4732</v>
      </c>
      <c r="R1677" s="151"/>
    </row>
    <row r="1678" spans="1:18">
      <c r="A1678" s="186" t="s">
        <v>52</v>
      </c>
      <c r="B1678" s="101" t="s">
        <v>434</v>
      </c>
      <c r="C1678" s="83" t="s">
        <v>4734</v>
      </c>
      <c r="D1678" s="161" t="s">
        <v>1904</v>
      </c>
      <c r="E1678" s="161" t="s">
        <v>1384</v>
      </c>
      <c r="F1678" s="161" t="s">
        <v>4729</v>
      </c>
      <c r="G1678" s="163">
        <v>59.8753</v>
      </c>
      <c r="H1678" s="163">
        <f t="shared" ref="H1678:H1720" si="135">G1678-G1677</f>
        <v>28.9743</v>
      </c>
      <c r="I1678" s="176">
        <v>2851</v>
      </c>
      <c r="J1678" s="176">
        <v>9462</v>
      </c>
      <c r="K1678" s="176">
        <v>19553</v>
      </c>
      <c r="L1678" s="163"/>
      <c r="M1678" s="161" t="s">
        <v>4731</v>
      </c>
      <c r="N1678" s="161" t="s">
        <v>1901</v>
      </c>
      <c r="O1678" s="161" t="s">
        <v>26</v>
      </c>
      <c r="P1678" s="49" t="s">
        <v>26</v>
      </c>
      <c r="Q1678" s="166" t="s">
        <v>4735</v>
      </c>
      <c r="R1678" s="151"/>
    </row>
    <row r="1679" spans="1:18">
      <c r="A1679" s="186" t="s">
        <v>52</v>
      </c>
      <c r="B1679" s="101" t="s">
        <v>434</v>
      </c>
      <c r="C1679" s="83" t="s">
        <v>4736</v>
      </c>
      <c r="D1679" s="161" t="s">
        <v>2847</v>
      </c>
      <c r="E1679" s="161" t="s">
        <v>1384</v>
      </c>
      <c r="F1679" s="161" t="s">
        <v>4729</v>
      </c>
      <c r="G1679" s="163">
        <v>88.36</v>
      </c>
      <c r="H1679" s="163">
        <f t="shared" si="135"/>
        <v>28.4847</v>
      </c>
      <c r="I1679" s="176">
        <v>3212</v>
      </c>
      <c r="J1679" s="176">
        <v>9310</v>
      </c>
      <c r="K1679" s="176">
        <v>28864</v>
      </c>
      <c r="L1679" s="163"/>
      <c r="M1679" s="161" t="s">
        <v>4731</v>
      </c>
      <c r="N1679" s="161" t="s">
        <v>1901</v>
      </c>
      <c r="O1679" s="161" t="s">
        <v>26</v>
      </c>
      <c r="P1679" s="49" t="s">
        <v>26</v>
      </c>
      <c r="Q1679" s="166" t="s">
        <v>4735</v>
      </c>
      <c r="R1679" s="151"/>
    </row>
    <row r="1680" spans="1:18">
      <c r="A1680" s="186" t="s">
        <v>52</v>
      </c>
      <c r="B1680" s="101" t="s">
        <v>434</v>
      </c>
      <c r="C1680" s="83" t="s">
        <v>4737</v>
      </c>
      <c r="D1680" s="161" t="s">
        <v>2820</v>
      </c>
      <c r="E1680" s="161" t="s">
        <v>1384</v>
      </c>
      <c r="F1680" s="161" t="s">
        <v>4729</v>
      </c>
      <c r="G1680" s="163">
        <v>111.4642</v>
      </c>
      <c r="H1680" s="163">
        <f t="shared" si="135"/>
        <v>23.1042</v>
      </c>
      <c r="I1680" s="176">
        <v>3228</v>
      </c>
      <c r="J1680" s="176">
        <v>7408</v>
      </c>
      <c r="K1680" s="176">
        <v>36272</v>
      </c>
      <c r="L1680" s="163"/>
      <c r="M1680" s="161" t="s">
        <v>4731</v>
      </c>
      <c r="N1680" s="161" t="s">
        <v>1901</v>
      </c>
      <c r="O1680" s="161" t="s">
        <v>26</v>
      </c>
      <c r="P1680" s="49" t="s">
        <v>26</v>
      </c>
      <c r="Q1680" s="166" t="s">
        <v>4735</v>
      </c>
      <c r="R1680" s="151"/>
    </row>
    <row r="1681" spans="1:18">
      <c r="A1681" s="186" t="s">
        <v>52</v>
      </c>
      <c r="B1681" s="101" t="s">
        <v>434</v>
      </c>
      <c r="C1681" s="83" t="s">
        <v>4738</v>
      </c>
      <c r="D1681" s="161" t="s">
        <v>2252</v>
      </c>
      <c r="E1681" s="161" t="s">
        <v>1384</v>
      </c>
      <c r="F1681" s="161" t="s">
        <v>4729</v>
      </c>
      <c r="G1681" s="163">
        <v>113.3724</v>
      </c>
      <c r="H1681" s="163">
        <f t="shared" si="135"/>
        <v>1.90819999999999</v>
      </c>
      <c r="I1681" s="176">
        <v>3230</v>
      </c>
      <c r="J1681" s="176">
        <v>691</v>
      </c>
      <c r="K1681" s="176">
        <v>36962</v>
      </c>
      <c r="L1681" s="163"/>
      <c r="M1681" s="161" t="s">
        <v>4731</v>
      </c>
      <c r="N1681" s="161" t="s">
        <v>1901</v>
      </c>
      <c r="O1681" s="161" t="s">
        <v>26</v>
      </c>
      <c r="P1681" s="49" t="s">
        <v>26</v>
      </c>
      <c r="Q1681" s="166" t="s">
        <v>4735</v>
      </c>
      <c r="R1681" s="151"/>
    </row>
    <row r="1682" spans="1:18">
      <c r="A1682" s="186" t="s">
        <v>52</v>
      </c>
      <c r="B1682" s="101" t="s">
        <v>434</v>
      </c>
      <c r="C1682" s="83" t="s">
        <v>4739</v>
      </c>
      <c r="D1682" s="161" t="s">
        <v>2258</v>
      </c>
      <c r="E1682" s="161" t="s">
        <v>1384</v>
      </c>
      <c r="F1682" s="161" t="s">
        <v>4729</v>
      </c>
      <c r="G1682" s="163">
        <v>132.3842</v>
      </c>
      <c r="H1682" s="163">
        <f t="shared" si="135"/>
        <v>19.0118</v>
      </c>
      <c r="I1682" s="176">
        <v>3275</v>
      </c>
      <c r="J1682" s="176">
        <v>6223</v>
      </c>
      <c r="K1682" s="176">
        <v>43185</v>
      </c>
      <c r="L1682" s="163"/>
      <c r="M1682" s="161" t="s">
        <v>4731</v>
      </c>
      <c r="N1682" s="161" t="s">
        <v>1901</v>
      </c>
      <c r="O1682" s="161" t="s">
        <v>26</v>
      </c>
      <c r="P1682" s="49" t="s">
        <v>26</v>
      </c>
      <c r="Q1682" s="166" t="s">
        <v>4735</v>
      </c>
      <c r="R1682" s="151"/>
    </row>
    <row r="1683" spans="1:18">
      <c r="A1683" s="186" t="s">
        <v>52</v>
      </c>
      <c r="B1683" s="101" t="s">
        <v>434</v>
      </c>
      <c r="C1683" s="83" t="s">
        <v>4740</v>
      </c>
      <c r="D1683" s="161" t="s">
        <v>2261</v>
      </c>
      <c r="E1683" s="161" t="s">
        <v>1384</v>
      </c>
      <c r="F1683" s="161" t="s">
        <v>4729</v>
      </c>
      <c r="G1683" s="163">
        <v>151.5694</v>
      </c>
      <c r="H1683" s="163">
        <f t="shared" si="135"/>
        <v>19.1852</v>
      </c>
      <c r="I1683" s="176">
        <v>3575</v>
      </c>
      <c r="J1683" s="176">
        <v>6881</v>
      </c>
      <c r="K1683" s="176">
        <v>50066</v>
      </c>
      <c r="L1683" s="163"/>
      <c r="M1683" s="161" t="s">
        <v>4731</v>
      </c>
      <c r="N1683" s="161" t="s">
        <v>1901</v>
      </c>
      <c r="O1683" s="161" t="s">
        <v>26</v>
      </c>
      <c r="P1683" s="49" t="s">
        <v>26</v>
      </c>
      <c r="Q1683" s="166" t="s">
        <v>4735</v>
      </c>
      <c r="R1683" s="151"/>
    </row>
    <row r="1684" ht="30" spans="1:18">
      <c r="A1684" s="186" t="s">
        <v>52</v>
      </c>
      <c r="B1684" s="101" t="s">
        <v>434</v>
      </c>
      <c r="C1684" s="83" t="s">
        <v>4741</v>
      </c>
      <c r="D1684" s="161" t="s">
        <v>4742</v>
      </c>
      <c r="E1684" s="161" t="s">
        <v>1384</v>
      </c>
      <c r="F1684" s="161" t="s">
        <v>4743</v>
      </c>
      <c r="G1684" s="163">
        <v>170.8637</v>
      </c>
      <c r="H1684" s="163">
        <f t="shared" si="135"/>
        <v>19.2943</v>
      </c>
      <c r="I1684" s="176">
        <v>3600</v>
      </c>
      <c r="J1684" s="176">
        <v>6268</v>
      </c>
      <c r="K1684" s="176">
        <v>56334</v>
      </c>
      <c r="L1684" s="163" t="s">
        <v>4730</v>
      </c>
      <c r="M1684" s="161" t="s">
        <v>4731</v>
      </c>
      <c r="N1684" s="161" t="s">
        <v>1295</v>
      </c>
      <c r="O1684" s="161" t="s">
        <v>6</v>
      </c>
      <c r="P1684" s="49" t="s">
        <v>6</v>
      </c>
      <c r="Q1684" s="166" t="s">
        <v>4735</v>
      </c>
      <c r="R1684" s="151"/>
    </row>
    <row r="1685" spans="1:18">
      <c r="A1685" s="186" t="s">
        <v>52</v>
      </c>
      <c r="B1685" s="101" t="s">
        <v>434</v>
      </c>
      <c r="C1685" s="83" t="s">
        <v>4744</v>
      </c>
      <c r="D1685" s="161" t="s">
        <v>2827</v>
      </c>
      <c r="E1685" s="161" t="s">
        <v>1384</v>
      </c>
      <c r="F1685" s="161" t="s">
        <v>4743</v>
      </c>
      <c r="G1685" s="163">
        <v>200.2937</v>
      </c>
      <c r="H1685" s="163">
        <f t="shared" si="135"/>
        <v>29.43</v>
      </c>
      <c r="I1685" s="176">
        <v>3010</v>
      </c>
      <c r="J1685" s="176">
        <v>9619</v>
      </c>
      <c r="K1685" s="176">
        <v>65953</v>
      </c>
      <c r="L1685" s="163"/>
      <c r="M1685" s="161" t="s">
        <v>4731</v>
      </c>
      <c r="N1685" s="161" t="s">
        <v>1901</v>
      </c>
      <c r="O1685" s="161" t="s">
        <v>26</v>
      </c>
      <c r="P1685" s="49" t="s">
        <v>26</v>
      </c>
      <c r="Q1685" s="166" t="s">
        <v>4745</v>
      </c>
      <c r="R1685" s="151"/>
    </row>
    <row r="1686" spans="1:18">
      <c r="A1686" s="186" t="s">
        <v>52</v>
      </c>
      <c r="B1686" s="101" t="s">
        <v>434</v>
      </c>
      <c r="C1686" s="83" t="s">
        <v>4746</v>
      </c>
      <c r="D1686" s="161" t="s">
        <v>2266</v>
      </c>
      <c r="E1686" s="161" t="s">
        <v>1384</v>
      </c>
      <c r="F1686" s="161" t="s">
        <v>4743</v>
      </c>
      <c r="G1686" s="163">
        <v>226.9517</v>
      </c>
      <c r="H1686" s="163">
        <f t="shared" si="135"/>
        <v>26.658</v>
      </c>
      <c r="I1686" s="176">
        <v>3015</v>
      </c>
      <c r="J1686" s="176">
        <v>8705</v>
      </c>
      <c r="K1686" s="176">
        <v>74658</v>
      </c>
      <c r="L1686" s="163"/>
      <c r="M1686" s="161" t="s">
        <v>4731</v>
      </c>
      <c r="N1686" s="161" t="s">
        <v>1901</v>
      </c>
      <c r="O1686" s="161" t="s">
        <v>26</v>
      </c>
      <c r="P1686" s="49" t="s">
        <v>26</v>
      </c>
      <c r="Q1686" s="166" t="s">
        <v>4745</v>
      </c>
      <c r="R1686" s="151"/>
    </row>
    <row r="1687" spans="1:18">
      <c r="A1687" s="186" t="s">
        <v>52</v>
      </c>
      <c r="B1687" s="101" t="s">
        <v>434</v>
      </c>
      <c r="C1687" s="83" t="s">
        <v>4747</v>
      </c>
      <c r="D1687" s="161" t="s">
        <v>2270</v>
      </c>
      <c r="E1687" s="161" t="s">
        <v>1384</v>
      </c>
      <c r="F1687" s="161" t="s">
        <v>4743</v>
      </c>
      <c r="G1687" s="163">
        <v>258.9578</v>
      </c>
      <c r="H1687" s="163">
        <f t="shared" si="135"/>
        <v>32.0061</v>
      </c>
      <c r="I1687" s="176">
        <v>3000</v>
      </c>
      <c r="J1687" s="176">
        <v>10408</v>
      </c>
      <c r="K1687" s="176">
        <v>85066</v>
      </c>
      <c r="L1687" s="163"/>
      <c r="M1687" s="161" t="s">
        <v>4731</v>
      </c>
      <c r="N1687" s="161" t="s">
        <v>1901</v>
      </c>
      <c r="O1687" s="161" t="s">
        <v>26</v>
      </c>
      <c r="P1687" s="49" t="s">
        <v>26</v>
      </c>
      <c r="Q1687" s="166" t="s">
        <v>4745</v>
      </c>
      <c r="R1687" s="151"/>
    </row>
    <row r="1688" spans="1:18">
      <c r="A1688" s="186" t="s">
        <v>52</v>
      </c>
      <c r="B1688" s="101" t="s">
        <v>434</v>
      </c>
      <c r="C1688" s="83" t="s">
        <v>4748</v>
      </c>
      <c r="D1688" s="161" t="s">
        <v>2832</v>
      </c>
      <c r="E1688" s="161" t="s">
        <v>1384</v>
      </c>
      <c r="F1688" s="161" t="s">
        <v>4743</v>
      </c>
      <c r="G1688" s="163">
        <v>289.1101</v>
      </c>
      <c r="H1688" s="163">
        <f t="shared" si="135"/>
        <v>30.1523</v>
      </c>
      <c r="I1688" s="176">
        <v>2958</v>
      </c>
      <c r="J1688" s="176">
        <v>9861</v>
      </c>
      <c r="K1688" s="176">
        <v>94927</v>
      </c>
      <c r="L1688" s="163"/>
      <c r="M1688" s="161" t="s">
        <v>4731</v>
      </c>
      <c r="N1688" s="161" t="s">
        <v>1901</v>
      </c>
      <c r="O1688" s="161" t="s">
        <v>26</v>
      </c>
      <c r="P1688" s="49" t="s">
        <v>26</v>
      </c>
      <c r="Q1688" s="166" t="s">
        <v>4749</v>
      </c>
      <c r="R1688" s="151"/>
    </row>
    <row r="1689" ht="30" spans="1:18">
      <c r="A1689" s="186" t="s">
        <v>52</v>
      </c>
      <c r="B1689" s="101" t="s">
        <v>434</v>
      </c>
      <c r="C1689" s="83" t="s">
        <v>4750</v>
      </c>
      <c r="D1689" s="161" t="s">
        <v>4751</v>
      </c>
      <c r="E1689" s="161" t="s">
        <v>1384</v>
      </c>
      <c r="F1689" s="161" t="s">
        <v>4743</v>
      </c>
      <c r="G1689" s="163">
        <v>293.2152</v>
      </c>
      <c r="H1689" s="163">
        <f t="shared" si="135"/>
        <v>4.10509999999999</v>
      </c>
      <c r="I1689" s="176">
        <v>2920</v>
      </c>
      <c r="J1689" s="176">
        <v>1326</v>
      </c>
      <c r="K1689" s="176">
        <v>96253</v>
      </c>
      <c r="L1689" s="163" t="s">
        <v>4730</v>
      </c>
      <c r="M1689" s="161" t="s">
        <v>4731</v>
      </c>
      <c r="N1689" s="161" t="s">
        <v>1295</v>
      </c>
      <c r="O1689" s="161" t="s">
        <v>14</v>
      </c>
      <c r="P1689" s="49" t="s">
        <v>14</v>
      </c>
      <c r="Q1689" s="166" t="s">
        <v>4752</v>
      </c>
      <c r="R1689" s="151"/>
    </row>
    <row r="1690" spans="1:18">
      <c r="A1690" s="186" t="s">
        <v>52</v>
      </c>
      <c r="B1690" s="101" t="s">
        <v>434</v>
      </c>
      <c r="C1690" s="83" t="s">
        <v>4753</v>
      </c>
      <c r="D1690" s="161" t="s">
        <v>2835</v>
      </c>
      <c r="E1690" s="161" t="s">
        <v>1384</v>
      </c>
      <c r="F1690" s="161" t="s">
        <v>4743</v>
      </c>
      <c r="G1690" s="163">
        <v>319.6869</v>
      </c>
      <c r="H1690" s="163">
        <f t="shared" si="135"/>
        <v>26.4717</v>
      </c>
      <c r="I1690" s="176">
        <v>2929</v>
      </c>
      <c r="J1690" s="176">
        <v>8666</v>
      </c>
      <c r="K1690" s="176">
        <v>104919</v>
      </c>
      <c r="L1690" s="163"/>
      <c r="M1690" s="161" t="s">
        <v>4731</v>
      </c>
      <c r="N1690" s="161" t="s">
        <v>1901</v>
      </c>
      <c r="O1690" s="161" t="s">
        <v>26</v>
      </c>
      <c r="P1690" s="49" t="s">
        <v>26</v>
      </c>
      <c r="Q1690" s="166" t="s">
        <v>4752</v>
      </c>
      <c r="R1690" s="151"/>
    </row>
    <row r="1691" spans="1:18">
      <c r="A1691" s="186" t="s">
        <v>52</v>
      </c>
      <c r="B1691" s="101" t="s">
        <v>434</v>
      </c>
      <c r="C1691" s="83" t="s">
        <v>4754</v>
      </c>
      <c r="D1691" s="161" t="s">
        <v>2280</v>
      </c>
      <c r="E1691" s="161" t="s">
        <v>1384</v>
      </c>
      <c r="F1691" s="161" t="s">
        <v>4743</v>
      </c>
      <c r="G1691" s="163">
        <v>346.5526</v>
      </c>
      <c r="H1691" s="163">
        <f t="shared" si="135"/>
        <v>26.8657</v>
      </c>
      <c r="I1691" s="176">
        <v>2856</v>
      </c>
      <c r="J1691" s="176">
        <v>8784</v>
      </c>
      <c r="K1691" s="176">
        <v>113703</v>
      </c>
      <c r="L1691" s="163"/>
      <c r="M1691" s="161" t="s">
        <v>4731</v>
      </c>
      <c r="N1691" s="161" t="s">
        <v>1901</v>
      </c>
      <c r="O1691" s="161" t="s">
        <v>26</v>
      </c>
      <c r="P1691" s="49" t="s">
        <v>26</v>
      </c>
      <c r="Q1691" s="166" t="s">
        <v>4755</v>
      </c>
      <c r="R1691" s="151"/>
    </row>
    <row r="1692" spans="1:18">
      <c r="A1692" s="186" t="s">
        <v>52</v>
      </c>
      <c r="B1692" s="101" t="s">
        <v>434</v>
      </c>
      <c r="C1692" s="83" t="s">
        <v>4756</v>
      </c>
      <c r="D1692" s="161" t="s">
        <v>2283</v>
      </c>
      <c r="E1692" s="161" t="s">
        <v>1384</v>
      </c>
      <c r="F1692" s="161" t="s">
        <v>4743</v>
      </c>
      <c r="G1692" s="163">
        <v>377.0098</v>
      </c>
      <c r="H1692" s="163">
        <f t="shared" si="135"/>
        <v>30.4572</v>
      </c>
      <c r="I1692" s="176">
        <v>2889</v>
      </c>
      <c r="J1692" s="176">
        <v>9936</v>
      </c>
      <c r="K1692" s="176">
        <v>123639</v>
      </c>
      <c r="L1692" s="163"/>
      <c r="M1692" s="161" t="s">
        <v>4731</v>
      </c>
      <c r="N1692" s="161" t="s">
        <v>1901</v>
      </c>
      <c r="O1692" s="161" t="s">
        <v>26</v>
      </c>
      <c r="P1692" s="49" t="s">
        <v>26</v>
      </c>
      <c r="Q1692" s="166" t="s">
        <v>4755</v>
      </c>
      <c r="R1692" s="151"/>
    </row>
    <row r="1693" ht="30" spans="1:18">
      <c r="A1693" s="186" t="s">
        <v>52</v>
      </c>
      <c r="B1693" s="101" t="s">
        <v>434</v>
      </c>
      <c r="C1693" s="83" t="s">
        <v>4757</v>
      </c>
      <c r="D1693" s="161" t="s">
        <v>4758</v>
      </c>
      <c r="E1693" s="161" t="s">
        <v>1384</v>
      </c>
      <c r="F1693" s="161" t="s">
        <v>4743</v>
      </c>
      <c r="G1693" s="163">
        <v>405.282</v>
      </c>
      <c r="H1693" s="163">
        <f t="shared" si="135"/>
        <v>28.2722</v>
      </c>
      <c r="I1693" s="176">
        <v>2951</v>
      </c>
      <c r="J1693" s="176">
        <v>9134</v>
      </c>
      <c r="K1693" s="176">
        <v>132773</v>
      </c>
      <c r="L1693" s="163" t="s">
        <v>4730</v>
      </c>
      <c r="M1693" s="161" t="s">
        <v>4731</v>
      </c>
      <c r="N1693" s="161" t="s">
        <v>1295</v>
      </c>
      <c r="O1693" s="161" t="s">
        <v>6</v>
      </c>
      <c r="P1693" s="49" t="s">
        <v>6</v>
      </c>
      <c r="Q1693" s="166" t="s">
        <v>4759</v>
      </c>
      <c r="R1693" s="151"/>
    </row>
    <row r="1694" spans="1:18">
      <c r="A1694" s="186" t="s">
        <v>52</v>
      </c>
      <c r="B1694" s="101" t="s">
        <v>434</v>
      </c>
      <c r="C1694" s="83" t="s">
        <v>4760</v>
      </c>
      <c r="D1694" s="161" t="s">
        <v>2286</v>
      </c>
      <c r="E1694" s="161" t="s">
        <v>1384</v>
      </c>
      <c r="F1694" s="161" t="s">
        <v>4743</v>
      </c>
      <c r="G1694" s="163">
        <v>425.9271</v>
      </c>
      <c r="H1694" s="163">
        <f t="shared" si="135"/>
        <v>20.6451</v>
      </c>
      <c r="I1694" s="176">
        <v>2923</v>
      </c>
      <c r="J1694" s="176">
        <v>6770</v>
      </c>
      <c r="K1694" s="176">
        <v>139543</v>
      </c>
      <c r="L1694" s="163"/>
      <c r="M1694" s="161" t="s">
        <v>4731</v>
      </c>
      <c r="N1694" s="161" t="s">
        <v>1901</v>
      </c>
      <c r="O1694" s="161" t="s">
        <v>26</v>
      </c>
      <c r="P1694" s="49" t="s">
        <v>26</v>
      </c>
      <c r="Q1694" s="166" t="s">
        <v>4759</v>
      </c>
      <c r="R1694" s="151"/>
    </row>
    <row r="1695" spans="1:18">
      <c r="A1695" s="186" t="s">
        <v>52</v>
      </c>
      <c r="B1695" s="101" t="s">
        <v>434</v>
      </c>
      <c r="C1695" s="83" t="s">
        <v>4761</v>
      </c>
      <c r="D1695" s="161" t="s">
        <v>2294</v>
      </c>
      <c r="E1695" s="161" t="s">
        <v>1384</v>
      </c>
      <c r="F1695" s="161" t="s">
        <v>4743</v>
      </c>
      <c r="G1695" s="163">
        <v>447.4607</v>
      </c>
      <c r="H1695" s="163">
        <f t="shared" si="135"/>
        <v>21.5336</v>
      </c>
      <c r="I1695" s="176">
        <v>3439</v>
      </c>
      <c r="J1695" s="176">
        <v>7062</v>
      </c>
      <c r="K1695" s="176">
        <v>146605</v>
      </c>
      <c r="L1695" s="163"/>
      <c r="M1695" s="161" t="s">
        <v>4731</v>
      </c>
      <c r="N1695" s="161" t="s">
        <v>1901</v>
      </c>
      <c r="O1695" s="161" t="s">
        <v>26</v>
      </c>
      <c r="P1695" s="49" t="s">
        <v>26</v>
      </c>
      <c r="Q1695" s="166" t="s">
        <v>4762</v>
      </c>
      <c r="R1695" s="151"/>
    </row>
    <row r="1696" spans="1:18">
      <c r="A1696" s="186" t="s">
        <v>52</v>
      </c>
      <c r="B1696" s="101" t="s">
        <v>434</v>
      </c>
      <c r="C1696" s="83" t="s">
        <v>4763</v>
      </c>
      <c r="D1696" s="161" t="s">
        <v>2297</v>
      </c>
      <c r="E1696" s="161" t="s">
        <v>1384</v>
      </c>
      <c r="F1696" s="161" t="s">
        <v>4743</v>
      </c>
      <c r="G1696" s="163">
        <v>448.6012</v>
      </c>
      <c r="H1696" s="163">
        <f t="shared" si="135"/>
        <v>1.14050000000003</v>
      </c>
      <c r="I1696" s="176">
        <v>3108</v>
      </c>
      <c r="J1696" s="176">
        <v>383</v>
      </c>
      <c r="K1696" s="176">
        <v>146988</v>
      </c>
      <c r="L1696" s="163"/>
      <c r="M1696" s="161" t="s">
        <v>4731</v>
      </c>
      <c r="N1696" s="161" t="s">
        <v>1901</v>
      </c>
      <c r="O1696" s="161" t="s">
        <v>26</v>
      </c>
      <c r="P1696" s="49" t="s">
        <v>26</v>
      </c>
      <c r="Q1696" s="166" t="s">
        <v>4762</v>
      </c>
      <c r="R1696" s="151"/>
    </row>
    <row r="1697" spans="1:18">
      <c r="A1697" s="186" t="s">
        <v>52</v>
      </c>
      <c r="B1697" s="101" t="s">
        <v>434</v>
      </c>
      <c r="C1697" s="83" t="s">
        <v>4764</v>
      </c>
      <c r="D1697" s="161" t="s">
        <v>2994</v>
      </c>
      <c r="E1697" s="161" t="s">
        <v>1384</v>
      </c>
      <c r="F1697" s="161" t="s">
        <v>4743</v>
      </c>
      <c r="G1697" s="163">
        <v>475.8863</v>
      </c>
      <c r="H1697" s="163">
        <f t="shared" si="135"/>
        <v>27.2851</v>
      </c>
      <c r="I1697" s="176">
        <v>3259</v>
      </c>
      <c r="J1697" s="176">
        <v>8939</v>
      </c>
      <c r="K1697" s="176">
        <v>155928</v>
      </c>
      <c r="L1697" s="163"/>
      <c r="M1697" s="161" t="s">
        <v>4731</v>
      </c>
      <c r="N1697" s="161" t="s">
        <v>1901</v>
      </c>
      <c r="O1697" s="161" t="s">
        <v>26</v>
      </c>
      <c r="P1697" s="49" t="s">
        <v>26</v>
      </c>
      <c r="Q1697" s="166" t="s">
        <v>4765</v>
      </c>
      <c r="R1697" s="151"/>
    </row>
    <row r="1698" spans="1:18">
      <c r="A1698" s="186" t="s">
        <v>52</v>
      </c>
      <c r="B1698" s="101" t="s">
        <v>434</v>
      </c>
      <c r="C1698" s="83" t="s">
        <v>4766</v>
      </c>
      <c r="D1698" s="161" t="s">
        <v>4766</v>
      </c>
      <c r="E1698" s="161" t="s">
        <v>1384</v>
      </c>
      <c r="F1698" s="161" t="s">
        <v>4743</v>
      </c>
      <c r="G1698" s="163">
        <v>503.9604</v>
      </c>
      <c r="H1698" s="163">
        <f t="shared" si="135"/>
        <v>28.0741</v>
      </c>
      <c r="I1698" s="176">
        <v>3347</v>
      </c>
      <c r="J1698" s="176">
        <v>9108</v>
      </c>
      <c r="K1698" s="176">
        <v>165036</v>
      </c>
      <c r="L1698" s="163"/>
      <c r="M1698" s="161" t="s">
        <v>4731</v>
      </c>
      <c r="N1698" s="161" t="s">
        <v>1331</v>
      </c>
      <c r="O1698" s="161" t="s">
        <v>15</v>
      </c>
      <c r="P1698" s="49" t="s">
        <v>15</v>
      </c>
      <c r="Q1698" s="166" t="s">
        <v>4765</v>
      </c>
      <c r="R1698" s="151"/>
    </row>
    <row r="1699" spans="1:18">
      <c r="A1699" s="186" t="s">
        <v>52</v>
      </c>
      <c r="B1699" s="101" t="s">
        <v>434</v>
      </c>
      <c r="C1699" s="83" t="s">
        <v>4767</v>
      </c>
      <c r="D1699" s="161" t="s">
        <v>2999</v>
      </c>
      <c r="E1699" s="161" t="s">
        <v>1384</v>
      </c>
      <c r="F1699" s="161" t="s">
        <v>4768</v>
      </c>
      <c r="G1699" s="163">
        <v>532.9759</v>
      </c>
      <c r="H1699" s="163">
        <f t="shared" si="135"/>
        <v>29.0155</v>
      </c>
      <c r="I1699" s="176">
        <v>3213</v>
      </c>
      <c r="J1699" s="176">
        <v>9725</v>
      </c>
      <c r="K1699" s="176">
        <v>174761</v>
      </c>
      <c r="L1699" s="163"/>
      <c r="M1699" s="161" t="s">
        <v>4731</v>
      </c>
      <c r="N1699" s="161" t="s">
        <v>1901</v>
      </c>
      <c r="O1699" s="161" t="s">
        <v>26</v>
      </c>
      <c r="P1699" s="49" t="s">
        <v>26</v>
      </c>
      <c r="Q1699" s="166" t="s">
        <v>4765</v>
      </c>
      <c r="R1699" s="151"/>
    </row>
    <row r="1700" spans="1:18">
      <c r="A1700" s="186" t="s">
        <v>52</v>
      </c>
      <c r="B1700" s="101" t="s">
        <v>434</v>
      </c>
      <c r="C1700" s="83" t="s">
        <v>4769</v>
      </c>
      <c r="D1700" s="161" t="s">
        <v>2311</v>
      </c>
      <c r="E1700" s="161" t="s">
        <v>1384</v>
      </c>
      <c r="F1700" s="161" t="s">
        <v>4768</v>
      </c>
      <c r="G1700" s="163">
        <v>562.1603</v>
      </c>
      <c r="H1700" s="163">
        <f t="shared" si="135"/>
        <v>29.1844</v>
      </c>
      <c r="I1700" s="176">
        <v>3228</v>
      </c>
      <c r="J1700" s="176">
        <v>9854</v>
      </c>
      <c r="K1700" s="176">
        <v>184615</v>
      </c>
      <c r="L1700" s="163"/>
      <c r="M1700" s="161" t="s">
        <v>4731</v>
      </c>
      <c r="N1700" s="161" t="s">
        <v>1901</v>
      </c>
      <c r="O1700" s="161" t="s">
        <v>26</v>
      </c>
      <c r="P1700" s="49" t="s">
        <v>26</v>
      </c>
      <c r="Q1700" s="166" t="s">
        <v>4765</v>
      </c>
      <c r="R1700" s="151"/>
    </row>
    <row r="1701" spans="1:18">
      <c r="A1701" s="186" t="s">
        <v>52</v>
      </c>
      <c r="B1701" s="101" t="s">
        <v>434</v>
      </c>
      <c r="C1701" s="83" t="s">
        <v>4770</v>
      </c>
      <c r="D1701" s="161" t="s">
        <v>2314</v>
      </c>
      <c r="E1701" s="161" t="s">
        <v>1384</v>
      </c>
      <c r="F1701" s="161" t="s">
        <v>4768</v>
      </c>
      <c r="G1701" s="163">
        <v>593.8607</v>
      </c>
      <c r="H1701" s="163">
        <f t="shared" si="135"/>
        <v>31.7003999999999</v>
      </c>
      <c r="I1701" s="176">
        <v>3399</v>
      </c>
      <c r="J1701" s="176">
        <v>9822</v>
      </c>
      <c r="K1701" s="176">
        <v>194437</v>
      </c>
      <c r="L1701" s="163"/>
      <c r="M1701" s="161" t="s">
        <v>4731</v>
      </c>
      <c r="N1701" s="161" t="s">
        <v>1901</v>
      </c>
      <c r="O1701" s="161" t="s">
        <v>26</v>
      </c>
      <c r="P1701" s="49" t="s">
        <v>26</v>
      </c>
      <c r="Q1701" s="166" t="s">
        <v>4771</v>
      </c>
      <c r="R1701" s="151"/>
    </row>
    <row r="1702" ht="30" spans="1:18">
      <c r="A1702" s="186" t="s">
        <v>52</v>
      </c>
      <c r="B1702" s="101" t="s">
        <v>434</v>
      </c>
      <c r="C1702" s="83" t="s">
        <v>4768</v>
      </c>
      <c r="D1702" s="161" t="s">
        <v>4772</v>
      </c>
      <c r="E1702" s="161" t="s">
        <v>1384</v>
      </c>
      <c r="F1702" s="161" t="s">
        <v>4768</v>
      </c>
      <c r="G1702" s="163">
        <v>623.8824</v>
      </c>
      <c r="H1702" s="163">
        <f t="shared" si="135"/>
        <v>30.0217</v>
      </c>
      <c r="I1702" s="176">
        <v>3242</v>
      </c>
      <c r="J1702" s="176">
        <v>10165</v>
      </c>
      <c r="K1702" s="176">
        <v>204602</v>
      </c>
      <c r="L1702" s="163" t="s">
        <v>4730</v>
      </c>
      <c r="M1702" s="161" t="s">
        <v>4731</v>
      </c>
      <c r="N1702" s="161" t="s">
        <v>1295</v>
      </c>
      <c r="O1702" s="161" t="s">
        <v>6</v>
      </c>
      <c r="P1702" s="49" t="s">
        <v>6</v>
      </c>
      <c r="Q1702" s="166" t="s">
        <v>4773</v>
      </c>
      <c r="R1702" s="151"/>
    </row>
    <row r="1703" spans="1:18">
      <c r="A1703" s="186" t="s">
        <v>52</v>
      </c>
      <c r="B1703" s="101" t="s">
        <v>434</v>
      </c>
      <c r="C1703" s="83" t="s">
        <v>4774</v>
      </c>
      <c r="D1703" s="161" t="s">
        <v>2317</v>
      </c>
      <c r="E1703" s="161" t="s">
        <v>1384</v>
      </c>
      <c r="F1703" s="161" t="s">
        <v>4768</v>
      </c>
      <c r="G1703" s="163">
        <v>658.6336</v>
      </c>
      <c r="H1703" s="163">
        <f t="shared" si="135"/>
        <v>34.7512</v>
      </c>
      <c r="I1703" s="176">
        <v>3444</v>
      </c>
      <c r="J1703" s="176">
        <v>11279</v>
      </c>
      <c r="K1703" s="176">
        <v>215881</v>
      </c>
      <c r="L1703" s="163"/>
      <c r="M1703" s="161" t="s">
        <v>4731</v>
      </c>
      <c r="N1703" s="161" t="s">
        <v>1901</v>
      </c>
      <c r="O1703" s="161" t="s">
        <v>26</v>
      </c>
      <c r="P1703" s="49" t="s">
        <v>26</v>
      </c>
      <c r="Q1703" s="166" t="s">
        <v>4773</v>
      </c>
      <c r="R1703" s="151"/>
    </row>
    <row r="1704" spans="1:18">
      <c r="A1704" s="186" t="s">
        <v>52</v>
      </c>
      <c r="B1704" s="101" t="s">
        <v>434</v>
      </c>
      <c r="C1704" s="83" t="s">
        <v>4775</v>
      </c>
      <c r="D1704" s="161" t="s">
        <v>3185</v>
      </c>
      <c r="E1704" s="161" t="s">
        <v>1384</v>
      </c>
      <c r="F1704" s="161" t="s">
        <v>4776</v>
      </c>
      <c r="G1704" s="163">
        <v>694.1404</v>
      </c>
      <c r="H1704" s="163">
        <f t="shared" si="135"/>
        <v>35.5068</v>
      </c>
      <c r="I1704" s="176">
        <v>3404</v>
      </c>
      <c r="J1704" s="176">
        <v>11033</v>
      </c>
      <c r="K1704" s="176">
        <v>226914</v>
      </c>
      <c r="L1704" s="163"/>
      <c r="M1704" s="161" t="s">
        <v>4731</v>
      </c>
      <c r="N1704" s="161" t="s">
        <v>1901</v>
      </c>
      <c r="O1704" s="161" t="s">
        <v>26</v>
      </c>
      <c r="P1704" s="49" t="s">
        <v>26</v>
      </c>
      <c r="Q1704" s="166" t="s">
        <v>4777</v>
      </c>
      <c r="R1704" s="151"/>
    </row>
    <row r="1705" ht="30" spans="1:18">
      <c r="A1705" s="186" t="s">
        <v>52</v>
      </c>
      <c r="B1705" s="101" t="s">
        <v>434</v>
      </c>
      <c r="C1705" s="83" t="s">
        <v>443</v>
      </c>
      <c r="D1705" s="161" t="s">
        <v>4778</v>
      </c>
      <c r="E1705" s="161" t="s">
        <v>1384</v>
      </c>
      <c r="F1705" s="161" t="s">
        <v>4776</v>
      </c>
      <c r="G1705" s="163">
        <v>724.0445</v>
      </c>
      <c r="H1705" s="163">
        <f t="shared" si="135"/>
        <v>29.9041</v>
      </c>
      <c r="I1705" s="176">
        <v>2800</v>
      </c>
      <c r="J1705" s="176">
        <v>8479</v>
      </c>
      <c r="K1705" s="176">
        <v>235393</v>
      </c>
      <c r="L1705" s="163" t="s">
        <v>4730</v>
      </c>
      <c r="M1705" s="161" t="s">
        <v>4731</v>
      </c>
      <c r="N1705" s="161" t="s">
        <v>1295</v>
      </c>
      <c r="O1705" s="161" t="s">
        <v>14</v>
      </c>
      <c r="P1705" s="49" t="s">
        <v>14</v>
      </c>
      <c r="Q1705" s="166" t="s">
        <v>4779</v>
      </c>
      <c r="R1705" s="151"/>
    </row>
    <row r="1706" spans="1:18">
      <c r="A1706" s="186" t="s">
        <v>52</v>
      </c>
      <c r="B1706" s="101" t="s">
        <v>434</v>
      </c>
      <c r="C1706" s="83" t="s">
        <v>4780</v>
      </c>
      <c r="D1706" s="186" t="s">
        <v>4780</v>
      </c>
      <c r="E1706" s="161" t="s">
        <v>1384</v>
      </c>
      <c r="F1706" s="161"/>
      <c r="G1706" s="163">
        <v>724.0445</v>
      </c>
      <c r="H1706" s="163">
        <f t="shared" si="135"/>
        <v>0</v>
      </c>
      <c r="I1706" s="176"/>
      <c r="J1706" s="176"/>
      <c r="K1706" s="176"/>
      <c r="L1706" s="163"/>
      <c r="M1706" s="161"/>
      <c r="N1706" s="161"/>
      <c r="O1706" s="161" t="s">
        <v>16</v>
      </c>
      <c r="P1706" s="49" t="s">
        <v>16</v>
      </c>
      <c r="Q1706" s="166"/>
      <c r="R1706" s="151"/>
    </row>
    <row r="1707" spans="1:18">
      <c r="A1707" s="186" t="s">
        <v>52</v>
      </c>
      <c r="B1707" s="101" t="s">
        <v>434</v>
      </c>
      <c r="C1707" s="83" t="s">
        <v>4781</v>
      </c>
      <c r="D1707" s="186" t="s">
        <v>4781</v>
      </c>
      <c r="E1707" s="161" t="s">
        <v>1384</v>
      </c>
      <c r="F1707" s="161"/>
      <c r="G1707" s="163">
        <v>724.0445</v>
      </c>
      <c r="H1707" s="163">
        <f t="shared" si="135"/>
        <v>0</v>
      </c>
      <c r="I1707" s="176"/>
      <c r="J1707" s="176"/>
      <c r="K1707" s="176"/>
      <c r="L1707" s="163"/>
      <c r="M1707" s="161"/>
      <c r="N1707" s="161"/>
      <c r="O1707" s="161" t="s">
        <v>16</v>
      </c>
      <c r="P1707" s="49" t="s">
        <v>16</v>
      </c>
      <c r="Q1707" s="166"/>
      <c r="R1707" s="151"/>
    </row>
    <row r="1708" spans="1:18">
      <c r="A1708" s="186" t="s">
        <v>52</v>
      </c>
      <c r="B1708" s="101" t="s">
        <v>434</v>
      </c>
      <c r="C1708" s="83" t="s">
        <v>4782</v>
      </c>
      <c r="D1708" s="161" t="s">
        <v>2323</v>
      </c>
      <c r="E1708" s="161" t="s">
        <v>1384</v>
      </c>
      <c r="F1708" s="161" t="s">
        <v>4776</v>
      </c>
      <c r="G1708" s="163">
        <v>731.6713</v>
      </c>
      <c r="H1708" s="163">
        <f t="shared" si="135"/>
        <v>7.6268</v>
      </c>
      <c r="I1708" s="176">
        <v>2930</v>
      </c>
      <c r="J1708" s="176">
        <v>7792</v>
      </c>
      <c r="K1708" s="176">
        <v>243185</v>
      </c>
      <c r="L1708" s="163"/>
      <c r="M1708" s="161" t="s">
        <v>4731</v>
      </c>
      <c r="N1708" s="161" t="s">
        <v>1901</v>
      </c>
      <c r="O1708" s="161" t="s">
        <v>26</v>
      </c>
      <c r="P1708" s="49" t="s">
        <v>26</v>
      </c>
      <c r="Q1708" s="166" t="s">
        <v>4783</v>
      </c>
      <c r="R1708" s="151"/>
    </row>
    <row r="1709" ht="30" spans="1:18">
      <c r="A1709" s="186" t="s">
        <v>52</v>
      </c>
      <c r="B1709" s="101" t="s">
        <v>434</v>
      </c>
      <c r="C1709" s="83" t="s">
        <v>4784</v>
      </c>
      <c r="D1709" s="161" t="s">
        <v>1998</v>
      </c>
      <c r="E1709" s="161" t="s">
        <v>1384</v>
      </c>
      <c r="F1709" s="161" t="s">
        <v>4776</v>
      </c>
      <c r="G1709" s="163">
        <v>761.0383</v>
      </c>
      <c r="H1709" s="163">
        <f t="shared" si="135"/>
        <v>29.3670000000001</v>
      </c>
      <c r="I1709" s="176">
        <v>2128</v>
      </c>
      <c r="J1709" s="176">
        <v>9167</v>
      </c>
      <c r="K1709" s="176">
        <v>252352</v>
      </c>
      <c r="L1709" s="163" t="s">
        <v>4785</v>
      </c>
      <c r="M1709" s="161" t="s">
        <v>4731</v>
      </c>
      <c r="N1709" s="161" t="s">
        <v>1331</v>
      </c>
      <c r="O1709" s="161" t="s">
        <v>26</v>
      </c>
      <c r="P1709" s="49" t="s">
        <v>26</v>
      </c>
      <c r="Q1709" s="166" t="s">
        <v>4786</v>
      </c>
      <c r="R1709" s="151"/>
    </row>
    <row r="1710" spans="1:18">
      <c r="A1710" s="186" t="s">
        <v>52</v>
      </c>
      <c r="B1710" s="101" t="s">
        <v>434</v>
      </c>
      <c r="C1710" s="83" t="s">
        <v>4787</v>
      </c>
      <c r="D1710" s="161" t="s">
        <v>4787</v>
      </c>
      <c r="E1710" s="161" t="s">
        <v>1384</v>
      </c>
      <c r="F1710" s="161" t="s">
        <v>4776</v>
      </c>
      <c r="G1710" s="163">
        <v>761.0383</v>
      </c>
      <c r="H1710" s="163">
        <f t="shared" si="135"/>
        <v>0</v>
      </c>
      <c r="I1710" s="176" t="s">
        <v>147</v>
      </c>
      <c r="J1710" s="176" t="s">
        <v>147</v>
      </c>
      <c r="K1710" s="176" t="s">
        <v>147</v>
      </c>
      <c r="L1710" s="163" t="s">
        <v>4788</v>
      </c>
      <c r="M1710" s="161" t="s">
        <v>4731</v>
      </c>
      <c r="N1710" s="161" t="s">
        <v>1331</v>
      </c>
      <c r="O1710" s="161" t="s">
        <v>14</v>
      </c>
      <c r="P1710" s="49" t="s">
        <v>14</v>
      </c>
      <c r="Q1710" s="166" t="s">
        <v>4786</v>
      </c>
      <c r="R1710" s="151"/>
    </row>
    <row r="1711" spans="1:18">
      <c r="A1711" s="186" t="s">
        <v>52</v>
      </c>
      <c r="B1711" s="101" t="s">
        <v>434</v>
      </c>
      <c r="C1711" s="83" t="s">
        <v>4789</v>
      </c>
      <c r="D1711" s="161" t="s">
        <v>1376</v>
      </c>
      <c r="E1711" s="161" t="s">
        <v>1384</v>
      </c>
      <c r="F1711" s="161" t="s">
        <v>4776</v>
      </c>
      <c r="G1711" s="163">
        <v>784.5642</v>
      </c>
      <c r="H1711" s="163">
        <f t="shared" si="135"/>
        <v>23.5259</v>
      </c>
      <c r="I1711" s="176">
        <v>1999</v>
      </c>
      <c r="J1711" s="176">
        <v>7202.58</v>
      </c>
      <c r="K1711" s="176">
        <v>259554.792</v>
      </c>
      <c r="L1711" s="163"/>
      <c r="M1711" s="161" t="s">
        <v>4731</v>
      </c>
      <c r="N1711" s="161" t="s">
        <v>1299</v>
      </c>
      <c r="O1711" s="161" t="s">
        <v>25</v>
      </c>
      <c r="P1711" s="49" t="s">
        <v>25</v>
      </c>
      <c r="Q1711" s="166" t="s">
        <v>4790</v>
      </c>
      <c r="R1711" s="151"/>
    </row>
    <row r="1712" ht="45" spans="1:18">
      <c r="A1712" s="186" t="s">
        <v>53</v>
      </c>
      <c r="B1712" s="101" t="s">
        <v>53</v>
      </c>
      <c r="C1712" s="83" t="s">
        <v>4791</v>
      </c>
      <c r="D1712" s="186" t="s">
        <v>4791</v>
      </c>
      <c r="E1712" s="161" t="s">
        <v>1384</v>
      </c>
      <c r="F1712" s="161" t="s">
        <v>4776</v>
      </c>
      <c r="G1712" s="163">
        <v>784.5642</v>
      </c>
      <c r="H1712" s="163">
        <f t="shared" si="135"/>
        <v>0</v>
      </c>
      <c r="I1712" s="176"/>
      <c r="J1712" s="176"/>
      <c r="K1712" s="176"/>
      <c r="L1712" s="163" t="s">
        <v>4792</v>
      </c>
      <c r="M1712" s="161"/>
      <c r="N1712" s="161"/>
      <c r="O1712" s="161" t="s">
        <v>16</v>
      </c>
      <c r="P1712" s="49" t="s">
        <v>16</v>
      </c>
      <c r="Q1712" s="166"/>
      <c r="R1712" s="151"/>
    </row>
    <row r="1713" spans="1:18">
      <c r="A1713" s="186" t="s">
        <v>52</v>
      </c>
      <c r="B1713" s="101" t="s">
        <v>434</v>
      </c>
      <c r="C1713" s="83" t="s">
        <v>4793</v>
      </c>
      <c r="D1713" s="161" t="s">
        <v>4228</v>
      </c>
      <c r="E1713" s="161" t="s">
        <v>1384</v>
      </c>
      <c r="F1713" s="161" t="s">
        <v>4776</v>
      </c>
      <c r="G1713" s="163">
        <v>812.473</v>
      </c>
      <c r="H1713" s="163">
        <f t="shared" si="135"/>
        <v>27.9087999999999</v>
      </c>
      <c r="I1713" s="176">
        <v>1902</v>
      </c>
      <c r="J1713" s="176">
        <v>9166.92</v>
      </c>
      <c r="K1713" s="176">
        <v>268721.712</v>
      </c>
      <c r="L1713" s="163"/>
      <c r="M1713" s="161" t="s">
        <v>4731</v>
      </c>
      <c r="N1713" s="161" t="s">
        <v>1901</v>
      </c>
      <c r="O1713" s="161" t="s">
        <v>26</v>
      </c>
      <c r="P1713" s="49" t="s">
        <v>26</v>
      </c>
      <c r="Q1713" s="166" t="s">
        <v>4794</v>
      </c>
      <c r="R1713" s="151"/>
    </row>
    <row r="1714" spans="1:18">
      <c r="A1714" s="186" t="s">
        <v>52</v>
      </c>
      <c r="B1714" s="101" t="s">
        <v>434</v>
      </c>
      <c r="C1714" s="83" t="s">
        <v>4795</v>
      </c>
      <c r="D1714" s="161" t="s">
        <v>4795</v>
      </c>
      <c r="E1714" s="161" t="s">
        <v>1384</v>
      </c>
      <c r="F1714" s="161" t="s">
        <v>4776</v>
      </c>
      <c r="G1714" s="171">
        <v>837.4813</v>
      </c>
      <c r="H1714" s="163">
        <f t="shared" si="135"/>
        <v>25.0083000000001</v>
      </c>
      <c r="I1714" s="176">
        <v>1817</v>
      </c>
      <c r="J1714" s="176">
        <v>8315.706</v>
      </c>
      <c r="K1714" s="176">
        <v>277037.418</v>
      </c>
      <c r="L1714" s="163"/>
      <c r="M1714" s="161" t="s">
        <v>4731</v>
      </c>
      <c r="N1714" s="161" t="s">
        <v>1331</v>
      </c>
      <c r="O1714" s="161" t="s">
        <v>26</v>
      </c>
      <c r="P1714" s="49" t="s">
        <v>26</v>
      </c>
      <c r="Q1714" s="166" t="s">
        <v>4796</v>
      </c>
      <c r="R1714" s="151"/>
    </row>
    <row r="1715" spans="1:18">
      <c r="A1715" s="186" t="s">
        <v>52</v>
      </c>
      <c r="B1715" s="101" t="s">
        <v>434</v>
      </c>
      <c r="C1715" s="83" t="s">
        <v>4797</v>
      </c>
      <c r="D1715" s="161" t="s">
        <v>3023</v>
      </c>
      <c r="E1715" s="161" t="s">
        <v>1384</v>
      </c>
      <c r="F1715" s="161" t="s">
        <v>4776</v>
      </c>
      <c r="G1715" s="171">
        <v>860.1524</v>
      </c>
      <c r="H1715" s="163">
        <f t="shared" si="135"/>
        <v>22.6710999999999</v>
      </c>
      <c r="I1715" s="176">
        <v>1732</v>
      </c>
      <c r="J1715" s="176">
        <v>8315.706</v>
      </c>
      <c r="K1715" s="176">
        <v>285353.124</v>
      </c>
      <c r="L1715" s="163"/>
      <c r="M1715" s="161" t="s">
        <v>4731</v>
      </c>
      <c r="N1715" s="161" t="s">
        <v>1901</v>
      </c>
      <c r="O1715" s="161" t="s">
        <v>25</v>
      </c>
      <c r="P1715" s="49" t="s">
        <v>25</v>
      </c>
      <c r="Q1715" s="166" t="s">
        <v>4798</v>
      </c>
      <c r="R1715" s="151"/>
    </row>
    <row r="1716" spans="1:18">
      <c r="A1716" s="186" t="s">
        <v>52</v>
      </c>
      <c r="B1716" s="101" t="s">
        <v>434</v>
      </c>
      <c r="C1716" s="83" t="s">
        <v>4799</v>
      </c>
      <c r="D1716" s="161" t="s">
        <v>2341</v>
      </c>
      <c r="E1716" s="161" t="s">
        <v>1384</v>
      </c>
      <c r="F1716" s="161" t="s">
        <v>4776</v>
      </c>
      <c r="G1716" s="171">
        <v>876.762</v>
      </c>
      <c r="H1716" s="163">
        <f t="shared" si="135"/>
        <v>16.6096</v>
      </c>
      <c r="I1716" s="176">
        <v>1651</v>
      </c>
      <c r="J1716" s="176">
        <v>5362.6482</v>
      </c>
      <c r="K1716" s="176">
        <v>290715.7722</v>
      </c>
      <c r="L1716" s="163"/>
      <c r="M1716" s="161" t="s">
        <v>4731</v>
      </c>
      <c r="N1716" s="161" t="s">
        <v>1901</v>
      </c>
      <c r="O1716" s="161" t="s">
        <v>26</v>
      </c>
      <c r="P1716" s="49" t="s">
        <v>26</v>
      </c>
      <c r="Q1716" s="166" t="s">
        <v>4800</v>
      </c>
      <c r="R1716" s="151"/>
    </row>
    <row r="1717" spans="1:18">
      <c r="A1717" s="186" t="s">
        <v>52</v>
      </c>
      <c r="B1717" s="101" t="s">
        <v>434</v>
      </c>
      <c r="C1717" s="83" t="s">
        <v>438</v>
      </c>
      <c r="D1717" s="161" t="s">
        <v>2344</v>
      </c>
      <c r="E1717" s="161" t="s">
        <v>1384</v>
      </c>
      <c r="F1717" s="161" t="s">
        <v>4801</v>
      </c>
      <c r="G1717" s="171">
        <v>897.8454</v>
      </c>
      <c r="H1717" s="163">
        <f t="shared" si="135"/>
        <v>21.0834000000001</v>
      </c>
      <c r="I1717" s="176">
        <v>1637</v>
      </c>
      <c r="J1717" s="176">
        <v>6554.3478</v>
      </c>
      <c r="K1717" s="176">
        <v>297270.12</v>
      </c>
      <c r="L1717" s="163"/>
      <c r="M1717" s="161" t="s">
        <v>4731</v>
      </c>
      <c r="N1717" s="161" t="s">
        <v>1901</v>
      </c>
      <c r="O1717" s="161" t="s">
        <v>26</v>
      </c>
      <c r="P1717" s="49" t="s">
        <v>26</v>
      </c>
      <c r="Q1717" s="166" t="s">
        <v>4802</v>
      </c>
      <c r="R1717" s="151"/>
    </row>
    <row r="1718" spans="1:18">
      <c r="A1718" s="186" t="s">
        <v>52</v>
      </c>
      <c r="B1718" s="101" t="s">
        <v>434</v>
      </c>
      <c r="C1718" s="83" t="s">
        <v>4803</v>
      </c>
      <c r="D1718" s="161" t="s">
        <v>2351</v>
      </c>
      <c r="E1718" s="161" t="s">
        <v>1384</v>
      </c>
      <c r="F1718" s="161" t="s">
        <v>4801</v>
      </c>
      <c r="G1718" s="171">
        <v>904.1028</v>
      </c>
      <c r="H1718" s="163">
        <f t="shared" si="135"/>
        <v>6.25739999999996</v>
      </c>
      <c r="I1718" s="176">
        <v>1694</v>
      </c>
      <c r="J1718" s="176">
        <v>1456.8855</v>
      </c>
      <c r="K1718" s="176">
        <v>298727.0055</v>
      </c>
      <c r="L1718" s="163"/>
      <c r="M1718" s="161" t="s">
        <v>4731</v>
      </c>
      <c r="N1718" s="161" t="s">
        <v>1901</v>
      </c>
      <c r="O1718" s="161" t="s">
        <v>26</v>
      </c>
      <c r="P1718" s="49" t="s">
        <v>26</v>
      </c>
      <c r="Q1718" s="166" t="s">
        <v>4804</v>
      </c>
      <c r="R1718" s="151"/>
    </row>
    <row r="1719" ht="60" spans="1:18">
      <c r="A1719" s="186" t="s">
        <v>52</v>
      </c>
      <c r="B1719" s="101" t="s">
        <v>434</v>
      </c>
      <c r="C1719" s="83" t="s">
        <v>4805</v>
      </c>
      <c r="D1719" s="161" t="s">
        <v>4806</v>
      </c>
      <c r="E1719" s="161" t="s">
        <v>1384</v>
      </c>
      <c r="F1719" s="161" t="s">
        <v>4801</v>
      </c>
      <c r="G1719" s="171">
        <v>908.2197</v>
      </c>
      <c r="H1719" s="163">
        <f t="shared" si="135"/>
        <v>4.11689999999999</v>
      </c>
      <c r="I1719" s="176">
        <v>1587</v>
      </c>
      <c r="J1719" s="176">
        <v>1342.299</v>
      </c>
      <c r="K1719" s="176">
        <v>300069.3045</v>
      </c>
      <c r="L1719" s="163" t="s">
        <v>4807</v>
      </c>
      <c r="M1719" s="161" t="s">
        <v>4731</v>
      </c>
      <c r="N1719" s="161" t="s">
        <v>2249</v>
      </c>
      <c r="O1719" s="161" t="s">
        <v>26</v>
      </c>
      <c r="P1719" s="49" t="s">
        <v>26</v>
      </c>
      <c r="Q1719" s="166" t="s">
        <v>4808</v>
      </c>
      <c r="R1719" s="151"/>
    </row>
    <row r="1720" spans="1:18">
      <c r="A1720" s="186" t="s">
        <v>52</v>
      </c>
      <c r="B1720" s="101" t="s">
        <v>434</v>
      </c>
      <c r="C1720" s="83" t="s">
        <v>436</v>
      </c>
      <c r="D1720" s="161" t="s">
        <v>436</v>
      </c>
      <c r="E1720" s="161" t="s">
        <v>1384</v>
      </c>
      <c r="F1720" s="161" t="s">
        <v>4801</v>
      </c>
      <c r="G1720" s="171">
        <v>922.9333</v>
      </c>
      <c r="H1720" s="163">
        <f t="shared" si="135"/>
        <v>14.7136</v>
      </c>
      <c r="I1720" s="176">
        <v>1669</v>
      </c>
      <c r="J1720" s="176">
        <v>4403.3955</v>
      </c>
      <c r="K1720" s="176">
        <v>304472.7</v>
      </c>
      <c r="L1720" s="163"/>
      <c r="M1720" s="161" t="s">
        <v>4731</v>
      </c>
      <c r="N1720" s="161" t="s">
        <v>1331</v>
      </c>
      <c r="O1720" s="161" t="s">
        <v>14</v>
      </c>
      <c r="P1720" s="49" t="s">
        <v>14</v>
      </c>
      <c r="Q1720" s="166" t="s">
        <v>4809</v>
      </c>
      <c r="R1720" s="151"/>
    </row>
    <row r="1721" spans="1:18">
      <c r="A1721" s="186" t="s">
        <v>52</v>
      </c>
      <c r="B1721" s="101" t="s">
        <v>437</v>
      </c>
      <c r="C1721" s="135" t="s">
        <v>438</v>
      </c>
      <c r="D1721" s="161" t="s">
        <v>2847</v>
      </c>
      <c r="E1721" s="161" t="s">
        <v>1384</v>
      </c>
      <c r="F1721" s="161" t="s">
        <v>4801</v>
      </c>
      <c r="G1721" s="171">
        <v>0</v>
      </c>
      <c r="H1721" s="163">
        <v>0</v>
      </c>
      <c r="I1721" s="163">
        <v>1639</v>
      </c>
      <c r="J1721" s="163">
        <v>0</v>
      </c>
      <c r="K1721" s="163">
        <v>0</v>
      </c>
      <c r="L1721" s="163"/>
      <c r="M1721" s="161" t="s">
        <v>4731</v>
      </c>
      <c r="N1721" s="161"/>
      <c r="O1721" s="161"/>
      <c r="P1721" s="49"/>
      <c r="Q1721" s="166" t="s">
        <v>4802</v>
      </c>
      <c r="R1721" s="151"/>
    </row>
    <row r="1722" spans="1:18">
      <c r="A1722" s="186" t="s">
        <v>52</v>
      </c>
      <c r="B1722" s="101" t="s">
        <v>437</v>
      </c>
      <c r="C1722" s="83" t="s">
        <v>4810</v>
      </c>
      <c r="D1722" s="161" t="s">
        <v>4811</v>
      </c>
      <c r="E1722" s="161" t="s">
        <v>1384</v>
      </c>
      <c r="F1722" s="161" t="s">
        <v>4801</v>
      </c>
      <c r="G1722" s="171">
        <v>7.12</v>
      </c>
      <c r="H1722" s="163">
        <f>G1722-G1721</f>
        <v>7.12</v>
      </c>
      <c r="I1722" s="163">
        <v>1557</v>
      </c>
      <c r="J1722" s="163">
        <v>378.7128</v>
      </c>
      <c r="K1722" s="163">
        <v>378.7128</v>
      </c>
      <c r="L1722" s="163"/>
      <c r="M1722" s="161">
        <v>0</v>
      </c>
      <c r="N1722" s="161"/>
      <c r="O1722" s="161" t="s">
        <v>27</v>
      </c>
      <c r="P1722" s="49" t="s">
        <v>27</v>
      </c>
      <c r="Q1722" s="166"/>
      <c r="R1722" s="151"/>
    </row>
    <row r="1723" spans="1:18">
      <c r="A1723" s="186" t="s">
        <v>52</v>
      </c>
      <c r="B1723" s="101" t="s">
        <v>437</v>
      </c>
      <c r="C1723" s="83" t="s">
        <v>4812</v>
      </c>
      <c r="D1723" s="161" t="s">
        <v>4813</v>
      </c>
      <c r="E1723" s="161" t="s">
        <v>1384</v>
      </c>
      <c r="F1723" s="161" t="s">
        <v>4801</v>
      </c>
      <c r="G1723" s="171">
        <v>12.13</v>
      </c>
      <c r="H1723" s="163">
        <f>G1723-G1722</f>
        <v>5.01</v>
      </c>
      <c r="I1723" s="163">
        <v>1571</v>
      </c>
      <c r="J1723" s="163">
        <v>266.4819</v>
      </c>
      <c r="K1723" s="163">
        <v>645.1947</v>
      </c>
      <c r="L1723" s="163"/>
      <c r="M1723" s="161">
        <v>0</v>
      </c>
      <c r="N1723" s="161"/>
      <c r="O1723" s="161" t="s">
        <v>26</v>
      </c>
      <c r="P1723" s="49" t="s">
        <v>26</v>
      </c>
      <c r="Q1723" s="166"/>
      <c r="R1723" s="151"/>
    </row>
    <row r="1724" spans="1:18">
      <c r="A1724" s="186" t="s">
        <v>52</v>
      </c>
      <c r="B1724" s="101" t="s">
        <v>437</v>
      </c>
      <c r="C1724" s="83" t="s">
        <v>439</v>
      </c>
      <c r="D1724" s="161" t="s">
        <v>439</v>
      </c>
      <c r="E1724" s="161" t="s">
        <v>1384</v>
      </c>
      <c r="F1724" s="161" t="s">
        <v>4801</v>
      </c>
      <c r="G1724" s="171">
        <v>29.76</v>
      </c>
      <c r="H1724" s="163">
        <f>G1724-G1723</f>
        <v>17.63</v>
      </c>
      <c r="I1724" s="163">
        <v>1755</v>
      </c>
      <c r="J1724" s="163">
        <v>897.3153</v>
      </c>
      <c r="K1724" s="163">
        <v>1542.51</v>
      </c>
      <c r="L1724" s="163"/>
      <c r="M1724" s="161">
        <v>0</v>
      </c>
      <c r="N1724" s="161" t="s">
        <v>1331</v>
      </c>
      <c r="O1724" s="161" t="s">
        <v>14</v>
      </c>
      <c r="P1724" s="49" t="s">
        <v>14</v>
      </c>
      <c r="Q1724" s="166" t="s">
        <v>4802</v>
      </c>
      <c r="R1724" s="151"/>
    </row>
    <row r="1725" spans="1:18">
      <c r="A1725" s="186" t="s">
        <v>52</v>
      </c>
      <c r="B1725" s="101" t="s">
        <v>440</v>
      </c>
      <c r="C1725" s="135" t="s">
        <v>438</v>
      </c>
      <c r="D1725" s="161" t="s">
        <v>2847</v>
      </c>
      <c r="E1725" s="161" t="s">
        <v>1384</v>
      </c>
      <c r="F1725" s="161" t="s">
        <v>4801</v>
      </c>
      <c r="G1725" s="163">
        <v>0</v>
      </c>
      <c r="H1725" s="163">
        <v>0</v>
      </c>
      <c r="I1725" s="163">
        <v>1639</v>
      </c>
      <c r="J1725" s="163">
        <v>0</v>
      </c>
      <c r="K1725" s="163">
        <v>0</v>
      </c>
      <c r="L1725" s="163"/>
      <c r="M1725" s="161" t="s">
        <v>4731</v>
      </c>
      <c r="N1725" s="161"/>
      <c r="O1725" s="161"/>
      <c r="P1725" s="49"/>
      <c r="Q1725" s="166" t="s">
        <v>4802</v>
      </c>
      <c r="R1725" s="151"/>
    </row>
    <row r="1726" spans="1:18">
      <c r="A1726" s="186" t="s">
        <v>52</v>
      </c>
      <c r="B1726" s="101" t="s">
        <v>440</v>
      </c>
      <c r="C1726" s="135" t="s">
        <v>441</v>
      </c>
      <c r="D1726" s="161" t="s">
        <v>441</v>
      </c>
      <c r="E1726" s="161" t="s">
        <v>1384</v>
      </c>
      <c r="F1726" s="161"/>
      <c r="G1726" s="163">
        <v>1.613</v>
      </c>
      <c r="H1726" s="163">
        <v>1.613</v>
      </c>
      <c r="I1726" s="163">
        <v>1639</v>
      </c>
      <c r="J1726" s="163">
        <v>13.979</v>
      </c>
      <c r="K1726" s="163">
        <v>13.979</v>
      </c>
      <c r="L1726" s="163" t="s">
        <v>4257</v>
      </c>
      <c r="M1726" s="161">
        <v>0</v>
      </c>
      <c r="N1726" s="161" t="s">
        <v>1331</v>
      </c>
      <c r="O1726" s="161"/>
      <c r="P1726" s="49"/>
      <c r="Q1726" s="166" t="s">
        <v>4814</v>
      </c>
      <c r="R1726" s="151"/>
    </row>
    <row r="1727" spans="1:18">
      <c r="A1727" s="186" t="s">
        <v>52</v>
      </c>
      <c r="B1727" s="101" t="s">
        <v>442</v>
      </c>
      <c r="C1727" s="135" t="s">
        <v>443</v>
      </c>
      <c r="D1727" s="161" t="s">
        <v>4778</v>
      </c>
      <c r="E1727" s="161" t="s">
        <v>1384</v>
      </c>
      <c r="F1727" s="161" t="s">
        <v>4776</v>
      </c>
      <c r="G1727" s="163">
        <v>0</v>
      </c>
      <c r="H1727" s="163">
        <v>0</v>
      </c>
      <c r="I1727" s="163">
        <v>2720</v>
      </c>
      <c r="J1727" s="163">
        <v>0</v>
      </c>
      <c r="K1727" s="163">
        <v>0</v>
      </c>
      <c r="L1727" s="163"/>
      <c r="M1727" s="161" t="s">
        <v>4731</v>
      </c>
      <c r="N1727" s="161"/>
      <c r="O1727" s="161"/>
      <c r="P1727" s="49"/>
      <c r="Q1727" s="166" t="s">
        <v>4779</v>
      </c>
      <c r="R1727" s="151"/>
    </row>
    <row r="1728" spans="1:18">
      <c r="A1728" s="186" t="s">
        <v>52</v>
      </c>
      <c r="B1728" s="101" t="s">
        <v>442</v>
      </c>
      <c r="C1728" s="83" t="s">
        <v>444</v>
      </c>
      <c r="D1728" s="161" t="s">
        <v>444</v>
      </c>
      <c r="E1728" s="161" t="s">
        <v>1384</v>
      </c>
      <c r="F1728" s="161"/>
      <c r="G1728" s="163">
        <v>19.6</v>
      </c>
      <c r="H1728" s="163">
        <v>19.6</v>
      </c>
      <c r="I1728" s="163">
        <v>2350</v>
      </c>
      <c r="J1728" s="163">
        <v>2133</v>
      </c>
      <c r="K1728" s="163">
        <v>2133</v>
      </c>
      <c r="L1728" s="163" t="s">
        <v>4257</v>
      </c>
      <c r="M1728" s="161">
        <v>0</v>
      </c>
      <c r="N1728" s="161" t="s">
        <v>1331</v>
      </c>
      <c r="O1728" s="161" t="s">
        <v>16</v>
      </c>
      <c r="P1728" s="49" t="s">
        <v>16</v>
      </c>
      <c r="Q1728" s="166" t="s">
        <v>4815</v>
      </c>
      <c r="R1728" s="151"/>
    </row>
    <row r="1729" spans="1:18">
      <c r="A1729" s="186" t="s">
        <v>52</v>
      </c>
      <c r="B1729" s="101" t="s">
        <v>445</v>
      </c>
      <c r="C1729" s="135" t="s">
        <v>436</v>
      </c>
      <c r="D1729" s="161" t="s">
        <v>436</v>
      </c>
      <c r="E1729" s="161" t="s">
        <v>1384</v>
      </c>
      <c r="F1729" s="161" t="s">
        <v>4816</v>
      </c>
      <c r="G1729" s="163">
        <v>0</v>
      </c>
      <c r="H1729" s="163">
        <v>0</v>
      </c>
      <c r="I1729" s="163">
        <v>0</v>
      </c>
      <c r="J1729" s="163">
        <v>0</v>
      </c>
      <c r="K1729" s="163">
        <v>0</v>
      </c>
      <c r="L1729" s="163"/>
      <c r="M1729" s="161" t="s">
        <v>4731</v>
      </c>
      <c r="N1729" s="161"/>
      <c r="O1729" s="161"/>
      <c r="P1729" s="49"/>
      <c r="Q1729" s="166" t="s">
        <v>4809</v>
      </c>
      <c r="R1729" s="151"/>
    </row>
    <row r="1730" spans="1:18">
      <c r="A1730" s="186" t="s">
        <v>52</v>
      </c>
      <c r="B1730" s="101" t="s">
        <v>445</v>
      </c>
      <c r="C1730" s="135" t="s">
        <v>446</v>
      </c>
      <c r="D1730" s="161" t="s">
        <v>446</v>
      </c>
      <c r="E1730" s="161" t="s">
        <v>1384</v>
      </c>
      <c r="F1730" s="161"/>
      <c r="G1730" s="163">
        <v>7.003</v>
      </c>
      <c r="H1730" s="163">
        <v>7.003</v>
      </c>
      <c r="I1730" s="163">
        <v>1627</v>
      </c>
      <c r="J1730" s="163">
        <v>860</v>
      </c>
      <c r="K1730" s="163">
        <v>860</v>
      </c>
      <c r="L1730" s="163" t="s">
        <v>4257</v>
      </c>
      <c r="M1730" s="161">
        <v>0</v>
      </c>
      <c r="N1730" s="161" t="s">
        <v>1331</v>
      </c>
      <c r="O1730" s="161"/>
      <c r="P1730" s="49"/>
      <c r="Q1730" s="166" t="s">
        <v>4814</v>
      </c>
      <c r="R1730" s="151"/>
    </row>
    <row r="1731" spans="1:18">
      <c r="A1731" s="186" t="s">
        <v>52</v>
      </c>
      <c r="B1731" s="101" t="s">
        <v>449</v>
      </c>
      <c r="C1731" s="135" t="s">
        <v>439</v>
      </c>
      <c r="D1731" s="161" t="s">
        <v>439</v>
      </c>
      <c r="E1731" s="161" t="s">
        <v>1384</v>
      </c>
      <c r="F1731" s="161" t="s">
        <v>4801</v>
      </c>
      <c r="G1731" s="163">
        <v>0</v>
      </c>
      <c r="H1731" s="163">
        <v>0</v>
      </c>
      <c r="I1731" s="163">
        <v>1755</v>
      </c>
      <c r="J1731" s="163">
        <v>0</v>
      </c>
      <c r="K1731" s="163">
        <v>0</v>
      </c>
      <c r="L1731" s="163"/>
      <c r="M1731" s="161">
        <v>0</v>
      </c>
      <c r="N1731" s="161"/>
      <c r="O1731" s="161"/>
      <c r="P1731" s="49"/>
      <c r="Q1731" s="166" t="s">
        <v>4802</v>
      </c>
      <c r="R1731" s="151"/>
    </row>
    <row r="1732" spans="1:18">
      <c r="A1732" s="186" t="s">
        <v>52</v>
      </c>
      <c r="B1732" s="101" t="s">
        <v>449</v>
      </c>
      <c r="C1732" s="83" t="s">
        <v>4817</v>
      </c>
      <c r="D1732" s="161" t="s">
        <v>1899</v>
      </c>
      <c r="E1732" s="161" t="s">
        <v>1384</v>
      </c>
      <c r="F1732" s="161" t="s">
        <v>4801</v>
      </c>
      <c r="G1732" s="163">
        <v>4.570794</v>
      </c>
      <c r="H1732" s="163">
        <f>G1732-G1731</f>
        <v>4.570794</v>
      </c>
      <c r="I1732" s="163">
        <v>1817</v>
      </c>
      <c r="J1732" s="163">
        <v>267.76</v>
      </c>
      <c r="K1732" s="163">
        <v>267.76</v>
      </c>
      <c r="L1732" s="163"/>
      <c r="M1732" s="161" t="s">
        <v>4818</v>
      </c>
      <c r="N1732" s="161" t="s">
        <v>1901</v>
      </c>
      <c r="O1732" s="161" t="s">
        <v>26</v>
      </c>
      <c r="P1732" s="49" t="s">
        <v>26</v>
      </c>
      <c r="Q1732" s="166"/>
      <c r="R1732" s="151"/>
    </row>
    <row r="1733" spans="1:18">
      <c r="A1733" s="186" t="s">
        <v>52</v>
      </c>
      <c r="B1733" s="101" t="s">
        <v>449</v>
      </c>
      <c r="C1733" s="83" t="s">
        <v>4819</v>
      </c>
      <c r="D1733" s="161" t="s">
        <v>1302</v>
      </c>
      <c r="E1733" s="161" t="s">
        <v>1384</v>
      </c>
      <c r="F1733" s="161" t="s">
        <v>4820</v>
      </c>
      <c r="G1733" s="163">
        <v>17.331657</v>
      </c>
      <c r="H1733" s="163">
        <f>G1733-G1732</f>
        <v>12.760863</v>
      </c>
      <c r="I1733" s="163">
        <v>2260</v>
      </c>
      <c r="J1733" s="163">
        <v>736.34</v>
      </c>
      <c r="K1733" s="163">
        <v>1004.1</v>
      </c>
      <c r="L1733" s="163"/>
      <c r="M1733" s="161" t="s">
        <v>4818</v>
      </c>
      <c r="N1733" s="161" t="s">
        <v>1299</v>
      </c>
      <c r="O1733" s="161" t="s">
        <v>25</v>
      </c>
      <c r="P1733" s="49" t="s">
        <v>25</v>
      </c>
      <c r="Q1733" s="166"/>
      <c r="R1733" s="151"/>
    </row>
    <row r="1734" spans="1:18">
      <c r="A1734" s="186" t="s">
        <v>52</v>
      </c>
      <c r="B1734" s="101" t="s">
        <v>449</v>
      </c>
      <c r="C1734" s="83" t="s">
        <v>4821</v>
      </c>
      <c r="D1734" s="161" t="s">
        <v>2847</v>
      </c>
      <c r="E1734" s="161" t="s">
        <v>1384</v>
      </c>
      <c r="F1734" s="161" t="s">
        <v>4820</v>
      </c>
      <c r="G1734" s="163">
        <v>32.497586</v>
      </c>
      <c r="H1734" s="163">
        <f>G1734-G1733</f>
        <v>15.165929</v>
      </c>
      <c r="I1734" s="163">
        <v>1860</v>
      </c>
      <c r="J1734" s="163">
        <v>602.46</v>
      </c>
      <c r="K1734" s="163">
        <v>1606.56</v>
      </c>
      <c r="L1734" s="163"/>
      <c r="M1734" s="161" t="s">
        <v>4818</v>
      </c>
      <c r="N1734" s="161" t="s">
        <v>1901</v>
      </c>
      <c r="O1734" s="161" t="s">
        <v>26</v>
      </c>
      <c r="P1734" s="49" t="s">
        <v>26</v>
      </c>
      <c r="Q1734" s="166"/>
      <c r="R1734" s="151"/>
    </row>
    <row r="1735" spans="1:18">
      <c r="A1735" s="186" t="s">
        <v>52</v>
      </c>
      <c r="B1735" s="101" t="s">
        <v>449</v>
      </c>
      <c r="C1735" s="83" t="s">
        <v>450</v>
      </c>
      <c r="D1735" s="161" t="s">
        <v>450</v>
      </c>
      <c r="E1735" s="161" t="s">
        <v>1384</v>
      </c>
      <c r="F1735" s="161" t="s">
        <v>4820</v>
      </c>
      <c r="G1735" s="163">
        <v>63.6</v>
      </c>
      <c r="H1735" s="163">
        <f>G1735-G1734</f>
        <v>31.102414</v>
      </c>
      <c r="I1735" s="163">
        <v>1835</v>
      </c>
      <c r="J1735" s="163">
        <v>522.132</v>
      </c>
      <c r="K1735" s="163">
        <v>2128.692</v>
      </c>
      <c r="L1735" s="163"/>
      <c r="M1735" s="161" t="s">
        <v>4818</v>
      </c>
      <c r="N1735" s="161" t="s">
        <v>1331</v>
      </c>
      <c r="O1735" s="161" t="s">
        <v>14</v>
      </c>
      <c r="P1735" s="49" t="s">
        <v>14</v>
      </c>
      <c r="Q1735" s="166" t="s">
        <v>4822</v>
      </c>
      <c r="R1735" s="151"/>
    </row>
    <row r="1736" spans="1:18">
      <c r="A1736" s="186" t="s">
        <v>52</v>
      </c>
      <c r="B1736" s="101" t="s">
        <v>451</v>
      </c>
      <c r="C1736" s="135" t="s">
        <v>450</v>
      </c>
      <c r="D1736" s="161" t="s">
        <v>450</v>
      </c>
      <c r="E1736" s="161" t="s">
        <v>1384</v>
      </c>
      <c r="F1736" s="161" t="s">
        <v>4820</v>
      </c>
      <c r="G1736" s="163">
        <v>0</v>
      </c>
      <c r="H1736" s="163">
        <v>0</v>
      </c>
      <c r="I1736" s="163">
        <v>1835</v>
      </c>
      <c r="J1736" s="163">
        <v>0</v>
      </c>
      <c r="K1736" s="163">
        <v>0</v>
      </c>
      <c r="L1736" s="163"/>
      <c r="M1736" s="161" t="s">
        <v>4818</v>
      </c>
      <c r="N1736" s="161"/>
      <c r="O1736" s="161"/>
      <c r="P1736" s="49"/>
      <c r="Q1736" s="166" t="s">
        <v>4822</v>
      </c>
      <c r="R1736" s="151"/>
    </row>
    <row r="1737" spans="1:18">
      <c r="A1737" s="186" t="s">
        <v>52</v>
      </c>
      <c r="B1737" s="101" t="s">
        <v>451</v>
      </c>
      <c r="C1737" s="83" t="s">
        <v>4823</v>
      </c>
      <c r="D1737" s="161" t="s">
        <v>1899</v>
      </c>
      <c r="E1737" s="161" t="s">
        <v>1384</v>
      </c>
      <c r="F1737" s="161" t="s">
        <v>4820</v>
      </c>
      <c r="G1737" s="163">
        <v>20.20339</v>
      </c>
      <c r="H1737" s="163">
        <f t="shared" ref="H1737:H1742" si="136">G1737-G1736</f>
        <v>20.20339</v>
      </c>
      <c r="I1737" s="163">
        <v>1950</v>
      </c>
      <c r="J1737" s="163">
        <v>515.736</v>
      </c>
      <c r="K1737" s="163">
        <v>515.736</v>
      </c>
      <c r="L1737" s="163"/>
      <c r="M1737" s="161" t="s">
        <v>4824</v>
      </c>
      <c r="N1737" s="161" t="s">
        <v>1901</v>
      </c>
      <c r="O1737" s="161" t="s">
        <v>26</v>
      </c>
      <c r="P1737" s="49" t="s">
        <v>26</v>
      </c>
      <c r="Q1737" s="166" t="s">
        <v>4822</v>
      </c>
      <c r="R1737" s="151"/>
    </row>
    <row r="1738" spans="1:18">
      <c r="A1738" s="186" t="s">
        <v>52</v>
      </c>
      <c r="B1738" s="101" t="s">
        <v>451</v>
      </c>
      <c r="C1738" s="83" t="s">
        <v>4825</v>
      </c>
      <c r="D1738" s="161" t="s">
        <v>1904</v>
      </c>
      <c r="E1738" s="161" t="s">
        <v>1384</v>
      </c>
      <c r="F1738" s="161" t="s">
        <v>4820</v>
      </c>
      <c r="G1738" s="163">
        <v>50.508475</v>
      </c>
      <c r="H1738" s="163">
        <f t="shared" si="136"/>
        <v>30.305085</v>
      </c>
      <c r="I1738" s="163">
        <v>2220</v>
      </c>
      <c r="J1738" s="163">
        <v>826.8741</v>
      </c>
      <c r="K1738" s="163">
        <v>1342.6101</v>
      </c>
      <c r="L1738" s="163"/>
      <c r="M1738" s="161" t="s">
        <v>4824</v>
      </c>
      <c r="N1738" s="161" t="s">
        <v>1901</v>
      </c>
      <c r="O1738" s="161" t="s">
        <v>26</v>
      </c>
      <c r="P1738" s="49" t="s">
        <v>26</v>
      </c>
      <c r="Q1738" s="166" t="s">
        <v>4822</v>
      </c>
      <c r="R1738" s="151"/>
    </row>
    <row r="1739" spans="1:18">
      <c r="A1739" s="186" t="s">
        <v>52</v>
      </c>
      <c r="B1739" s="101" t="s">
        <v>451</v>
      </c>
      <c r="C1739" s="83" t="s">
        <v>4826</v>
      </c>
      <c r="D1739" s="161" t="s">
        <v>1210</v>
      </c>
      <c r="E1739" s="161" t="s">
        <v>1384</v>
      </c>
      <c r="F1739" s="161" t="s">
        <v>4820</v>
      </c>
      <c r="G1739" s="163">
        <v>83.338983</v>
      </c>
      <c r="H1739" s="163">
        <f t="shared" si="136"/>
        <v>32.830508</v>
      </c>
      <c r="I1739" s="163">
        <v>2660</v>
      </c>
      <c r="J1739" s="163">
        <v>842.4819</v>
      </c>
      <c r="K1739" s="163">
        <v>2185.092</v>
      </c>
      <c r="L1739" s="163"/>
      <c r="M1739" s="161" t="s">
        <v>4824</v>
      </c>
      <c r="N1739" s="161" t="s">
        <v>1331</v>
      </c>
      <c r="O1739" s="161" t="s">
        <v>26</v>
      </c>
      <c r="P1739" s="49" t="s">
        <v>26</v>
      </c>
      <c r="Q1739" s="166" t="s">
        <v>4822</v>
      </c>
      <c r="R1739" s="151"/>
    </row>
    <row r="1740" spans="1:18">
      <c r="A1740" s="186" t="s">
        <v>52</v>
      </c>
      <c r="B1740" s="101" t="s">
        <v>451</v>
      </c>
      <c r="C1740" s="83" t="s">
        <v>454</v>
      </c>
      <c r="D1740" s="161" t="s">
        <v>1307</v>
      </c>
      <c r="E1740" s="161" t="s">
        <v>1384</v>
      </c>
      <c r="F1740" s="161" t="s">
        <v>4820</v>
      </c>
      <c r="G1740" s="163">
        <v>101.016949</v>
      </c>
      <c r="H1740" s="163">
        <f t="shared" si="136"/>
        <v>17.677966</v>
      </c>
      <c r="I1740" s="163">
        <v>2500</v>
      </c>
      <c r="J1740" s="163">
        <v>451.269</v>
      </c>
      <c r="K1740" s="163">
        <v>2636.361</v>
      </c>
      <c r="L1740" s="163"/>
      <c r="M1740" s="161" t="s">
        <v>4824</v>
      </c>
      <c r="N1740" s="161" t="s">
        <v>1299</v>
      </c>
      <c r="O1740" s="161" t="s">
        <v>25</v>
      </c>
      <c r="P1740" s="49" t="s">
        <v>25</v>
      </c>
      <c r="Q1740" s="166" t="s">
        <v>4822</v>
      </c>
      <c r="R1740" s="151"/>
    </row>
    <row r="1741" spans="1:18">
      <c r="A1741" s="186" t="s">
        <v>52</v>
      </c>
      <c r="B1741" s="101" t="s">
        <v>451</v>
      </c>
      <c r="C1741" s="83" t="s">
        <v>4827</v>
      </c>
      <c r="D1741" s="161" t="s">
        <v>2252</v>
      </c>
      <c r="E1741" s="161" t="s">
        <v>1384</v>
      </c>
      <c r="F1741" s="161" t="s">
        <v>4820</v>
      </c>
      <c r="G1741" s="163">
        <v>122.483051</v>
      </c>
      <c r="H1741" s="163">
        <f t="shared" si="136"/>
        <v>21.466102</v>
      </c>
      <c r="I1741" s="163">
        <v>2650</v>
      </c>
      <c r="J1741" s="163">
        <v>603.2754</v>
      </c>
      <c r="K1741" s="163">
        <v>3239.6364</v>
      </c>
      <c r="L1741" s="163"/>
      <c r="M1741" s="161" t="s">
        <v>4824</v>
      </c>
      <c r="N1741" s="161" t="s">
        <v>1901</v>
      </c>
      <c r="O1741" s="161" t="s">
        <v>26</v>
      </c>
      <c r="P1741" s="49" t="s">
        <v>26</v>
      </c>
      <c r="Q1741" s="166" t="s">
        <v>4828</v>
      </c>
      <c r="R1741" s="151"/>
    </row>
    <row r="1742" spans="1:18">
      <c r="A1742" s="186" t="s">
        <v>52</v>
      </c>
      <c r="B1742" s="101" t="s">
        <v>451</v>
      </c>
      <c r="C1742" s="83" t="s">
        <v>452</v>
      </c>
      <c r="D1742" s="161" t="s">
        <v>452</v>
      </c>
      <c r="E1742" s="161" t="s">
        <v>1384</v>
      </c>
      <c r="F1742" s="161" t="s">
        <v>4820</v>
      </c>
      <c r="G1742" s="163">
        <v>149</v>
      </c>
      <c r="H1742" s="163">
        <f t="shared" si="136"/>
        <v>26.516949</v>
      </c>
      <c r="I1742" s="163">
        <v>3110</v>
      </c>
      <c r="J1742" s="163">
        <v>432.2682</v>
      </c>
      <c r="K1742" s="163">
        <v>3671.9046</v>
      </c>
      <c r="L1742" s="163"/>
      <c r="M1742" s="161" t="s">
        <v>4824</v>
      </c>
      <c r="N1742" s="161" t="s">
        <v>1331</v>
      </c>
      <c r="O1742" s="161" t="s">
        <v>14</v>
      </c>
      <c r="P1742" s="49" t="s">
        <v>14</v>
      </c>
      <c r="Q1742" s="166" t="s">
        <v>4828</v>
      </c>
      <c r="R1742" s="151"/>
    </row>
    <row r="1743" spans="1:18">
      <c r="A1743" s="186" t="s">
        <v>52</v>
      </c>
      <c r="B1743" s="101" t="s">
        <v>453</v>
      </c>
      <c r="C1743" s="135" t="s">
        <v>454</v>
      </c>
      <c r="D1743" s="161" t="s">
        <v>1307</v>
      </c>
      <c r="E1743" s="161" t="s">
        <v>1384</v>
      </c>
      <c r="F1743" s="161" t="s">
        <v>4820</v>
      </c>
      <c r="G1743" s="163">
        <v>0</v>
      </c>
      <c r="H1743" s="163">
        <v>0</v>
      </c>
      <c r="I1743" s="163">
        <v>2900</v>
      </c>
      <c r="J1743" s="163">
        <v>0</v>
      </c>
      <c r="K1743" s="163">
        <v>0</v>
      </c>
      <c r="L1743" s="163"/>
      <c r="M1743" s="161" t="s">
        <v>4824</v>
      </c>
      <c r="N1743" s="161"/>
      <c r="O1743" s="161"/>
      <c r="P1743" s="49"/>
      <c r="Q1743" s="166" t="s">
        <v>4822</v>
      </c>
      <c r="R1743" s="151"/>
    </row>
    <row r="1744" spans="1:18">
      <c r="A1744" s="186" t="s">
        <v>52</v>
      </c>
      <c r="B1744" s="101" t="s">
        <v>453</v>
      </c>
      <c r="C1744" s="83" t="s">
        <v>455</v>
      </c>
      <c r="D1744" s="161" t="s">
        <v>455</v>
      </c>
      <c r="E1744" s="161" t="s">
        <v>1384</v>
      </c>
      <c r="F1744" s="161" t="s">
        <v>4820</v>
      </c>
      <c r="G1744" s="163">
        <v>31</v>
      </c>
      <c r="H1744" s="163">
        <v>31</v>
      </c>
      <c r="I1744" s="163">
        <v>2407</v>
      </c>
      <c r="J1744" s="163">
        <v>226.31</v>
      </c>
      <c r="K1744" s="163">
        <v>226.31</v>
      </c>
      <c r="L1744" s="163"/>
      <c r="M1744" s="161" t="s">
        <v>4824</v>
      </c>
      <c r="N1744" s="161" t="s">
        <v>1331</v>
      </c>
      <c r="O1744" s="161" t="s">
        <v>14</v>
      </c>
      <c r="P1744" s="49" t="s">
        <v>14</v>
      </c>
      <c r="Q1744" s="166" t="s">
        <v>4829</v>
      </c>
      <c r="R1744" s="151"/>
    </row>
    <row r="1745" spans="1:18">
      <c r="A1745" s="186" t="s">
        <v>52</v>
      </c>
      <c r="B1745" s="101" t="s">
        <v>456</v>
      </c>
      <c r="C1745" s="135" t="s">
        <v>436</v>
      </c>
      <c r="D1745" s="161" t="s">
        <v>436</v>
      </c>
      <c r="E1745" s="161" t="s">
        <v>1384</v>
      </c>
      <c r="F1745" s="161" t="s">
        <v>4816</v>
      </c>
      <c r="G1745" s="163">
        <v>0</v>
      </c>
      <c r="H1745" s="163">
        <v>0</v>
      </c>
      <c r="I1745" s="163">
        <v>1627</v>
      </c>
      <c r="J1745" s="163">
        <v>0</v>
      </c>
      <c r="K1745" s="163">
        <v>0</v>
      </c>
      <c r="L1745" s="163"/>
      <c r="M1745" s="161" t="s">
        <v>4731</v>
      </c>
      <c r="N1745" s="161" t="s">
        <v>1331</v>
      </c>
      <c r="O1745" s="161"/>
      <c r="P1745" s="49"/>
      <c r="Q1745" s="166" t="s">
        <v>4809</v>
      </c>
      <c r="R1745" s="151"/>
    </row>
    <row r="1746" spans="1:18">
      <c r="A1746" s="186" t="s">
        <v>52</v>
      </c>
      <c r="B1746" s="101" t="s">
        <v>456</v>
      </c>
      <c r="C1746" s="83" t="s">
        <v>4830</v>
      </c>
      <c r="D1746" s="161" t="s">
        <v>1899</v>
      </c>
      <c r="E1746" s="161" t="s">
        <v>1384</v>
      </c>
      <c r="F1746" s="161" t="s">
        <v>4816</v>
      </c>
      <c r="G1746" s="163">
        <v>15.423</v>
      </c>
      <c r="H1746" s="163">
        <f>G1746-G1745</f>
        <v>15.423</v>
      </c>
      <c r="I1746" s="163">
        <v>1969</v>
      </c>
      <c r="J1746" s="163">
        <v>3277.11</v>
      </c>
      <c r="K1746" s="163">
        <v>3277.11</v>
      </c>
      <c r="L1746" s="163"/>
      <c r="M1746" s="161" t="s">
        <v>4831</v>
      </c>
      <c r="N1746" s="161" t="s">
        <v>1901</v>
      </c>
      <c r="O1746" s="161" t="s">
        <v>26</v>
      </c>
      <c r="P1746" s="49" t="s">
        <v>26</v>
      </c>
      <c r="Q1746" s="166" t="s">
        <v>4832</v>
      </c>
      <c r="R1746" s="151"/>
    </row>
    <row r="1747" spans="1:18">
      <c r="A1747" s="186" t="s">
        <v>52</v>
      </c>
      <c r="B1747" s="101" t="s">
        <v>456</v>
      </c>
      <c r="C1747" s="83" t="s">
        <v>4833</v>
      </c>
      <c r="D1747" s="161" t="s">
        <v>1904</v>
      </c>
      <c r="E1747" s="161" t="s">
        <v>1384</v>
      </c>
      <c r="F1747" s="161" t="s">
        <v>4816</v>
      </c>
      <c r="G1747" s="163">
        <v>31.766</v>
      </c>
      <c r="H1747" s="163">
        <f t="shared" ref="H1747:H1754" si="137">G1747-G1746</f>
        <v>16.343</v>
      </c>
      <c r="I1747" s="163">
        <v>2099</v>
      </c>
      <c r="J1747" s="163">
        <v>3327.58</v>
      </c>
      <c r="K1747" s="163">
        <v>6604.69</v>
      </c>
      <c r="L1747" s="163"/>
      <c r="M1747" s="161" t="s">
        <v>4831</v>
      </c>
      <c r="N1747" s="161" t="s">
        <v>1901</v>
      </c>
      <c r="O1747" s="161" t="s">
        <v>26</v>
      </c>
      <c r="P1747" s="49" t="s">
        <v>26</v>
      </c>
      <c r="Q1747" s="166" t="s">
        <v>4832</v>
      </c>
      <c r="R1747" s="151"/>
    </row>
    <row r="1748" spans="1:18">
      <c r="A1748" s="186" t="s">
        <v>52</v>
      </c>
      <c r="B1748" s="101" t="s">
        <v>456</v>
      </c>
      <c r="C1748" s="83" t="s">
        <v>1242</v>
      </c>
      <c r="D1748" s="161" t="s">
        <v>1242</v>
      </c>
      <c r="E1748" s="161" t="s">
        <v>1384</v>
      </c>
      <c r="F1748" s="161" t="s">
        <v>4816</v>
      </c>
      <c r="G1748" s="163">
        <v>47.7</v>
      </c>
      <c r="H1748" s="163">
        <f t="shared" si="137"/>
        <v>15.934</v>
      </c>
      <c r="I1748" s="163">
        <v>2061</v>
      </c>
      <c r="J1748" s="163">
        <v>2549.9</v>
      </c>
      <c r="K1748" s="163">
        <v>9154.59</v>
      </c>
      <c r="L1748" s="163"/>
      <c r="M1748" s="161" t="s">
        <v>4831</v>
      </c>
      <c r="N1748" s="161" t="s">
        <v>1331</v>
      </c>
      <c r="O1748" s="161" t="s">
        <v>15</v>
      </c>
      <c r="P1748" s="49" t="s">
        <v>15</v>
      </c>
      <c r="Q1748" s="166" t="s">
        <v>4834</v>
      </c>
      <c r="R1748" s="151"/>
    </row>
    <row r="1749" spans="1:18">
      <c r="A1749" s="186" t="s">
        <v>52</v>
      </c>
      <c r="B1749" s="101" t="s">
        <v>456</v>
      </c>
      <c r="C1749" s="83" t="s">
        <v>4835</v>
      </c>
      <c r="D1749" s="161" t="s">
        <v>1305</v>
      </c>
      <c r="E1749" s="161" t="s">
        <v>1384</v>
      </c>
      <c r="F1749" s="161" t="s">
        <v>4816</v>
      </c>
      <c r="G1749" s="163">
        <v>66.824</v>
      </c>
      <c r="H1749" s="163">
        <f t="shared" si="137"/>
        <v>19.124</v>
      </c>
      <c r="I1749" s="163">
        <v>2030</v>
      </c>
      <c r="J1749" s="163">
        <v>1164.14</v>
      </c>
      <c r="K1749" s="163">
        <v>10318.73</v>
      </c>
      <c r="L1749" s="163"/>
      <c r="M1749" s="161" t="s">
        <v>4831</v>
      </c>
      <c r="N1749" s="161" t="s">
        <v>1299</v>
      </c>
      <c r="O1749" s="161" t="s">
        <v>25</v>
      </c>
      <c r="P1749" s="49" t="s">
        <v>25</v>
      </c>
      <c r="Q1749" s="166" t="s">
        <v>4836</v>
      </c>
      <c r="R1749" s="151"/>
    </row>
    <row r="1750" spans="1:18">
      <c r="A1750" s="186" t="s">
        <v>52</v>
      </c>
      <c r="B1750" s="101" t="s">
        <v>456</v>
      </c>
      <c r="C1750" s="83" t="s">
        <v>4837</v>
      </c>
      <c r="D1750" s="161" t="s">
        <v>4837</v>
      </c>
      <c r="E1750" s="161" t="s">
        <v>1384</v>
      </c>
      <c r="F1750" s="161" t="s">
        <v>4816</v>
      </c>
      <c r="G1750" s="163">
        <v>80.9</v>
      </c>
      <c r="H1750" s="163">
        <f t="shared" si="137"/>
        <v>14.076</v>
      </c>
      <c r="I1750" s="163">
        <v>1752</v>
      </c>
      <c r="J1750" s="163">
        <v>700.91</v>
      </c>
      <c r="K1750" s="163">
        <v>11019.64</v>
      </c>
      <c r="L1750" s="163"/>
      <c r="M1750" s="161" t="s">
        <v>4831</v>
      </c>
      <c r="N1750" s="161" t="s">
        <v>1331</v>
      </c>
      <c r="O1750" s="161" t="s">
        <v>15</v>
      </c>
      <c r="P1750" s="49" t="s">
        <v>15</v>
      </c>
      <c r="Q1750" s="166" t="s">
        <v>4836</v>
      </c>
      <c r="R1750" s="151"/>
    </row>
    <row r="1751" spans="1:18">
      <c r="A1751" s="186" t="s">
        <v>52</v>
      </c>
      <c r="B1751" s="101" t="s">
        <v>456</v>
      </c>
      <c r="C1751" s="83" t="s">
        <v>4838</v>
      </c>
      <c r="D1751" s="161" t="s">
        <v>2820</v>
      </c>
      <c r="E1751" s="161" t="s">
        <v>1384</v>
      </c>
      <c r="F1751" s="161" t="s">
        <v>4816</v>
      </c>
      <c r="G1751" s="163">
        <v>97.7</v>
      </c>
      <c r="H1751" s="163">
        <f t="shared" si="137"/>
        <v>16.8</v>
      </c>
      <c r="I1751" s="163">
        <v>2082</v>
      </c>
      <c r="J1751" s="163">
        <v>877.45</v>
      </c>
      <c r="K1751" s="163">
        <v>11897.09</v>
      </c>
      <c r="L1751" s="163"/>
      <c r="M1751" s="161" t="s">
        <v>4831</v>
      </c>
      <c r="N1751" s="161" t="s">
        <v>1901</v>
      </c>
      <c r="O1751" s="161" t="s">
        <v>26</v>
      </c>
      <c r="P1751" s="49" t="s">
        <v>26</v>
      </c>
      <c r="Q1751" s="166" t="s">
        <v>4836</v>
      </c>
      <c r="R1751" s="151"/>
    </row>
    <row r="1752" spans="1:18">
      <c r="A1752" s="186" t="s">
        <v>52</v>
      </c>
      <c r="B1752" s="101" t="s">
        <v>456</v>
      </c>
      <c r="C1752" s="83" t="s">
        <v>4839</v>
      </c>
      <c r="D1752" s="161" t="s">
        <v>2252</v>
      </c>
      <c r="E1752" s="161" t="s">
        <v>1384</v>
      </c>
      <c r="F1752" s="161" t="s">
        <v>4816</v>
      </c>
      <c r="G1752" s="163">
        <v>113.5</v>
      </c>
      <c r="H1752" s="163">
        <f t="shared" si="137"/>
        <v>15.8</v>
      </c>
      <c r="I1752" s="163">
        <v>2128</v>
      </c>
      <c r="J1752" s="163">
        <v>809.47</v>
      </c>
      <c r="K1752" s="163">
        <v>12706.56</v>
      </c>
      <c r="L1752" s="163"/>
      <c r="M1752" s="161" t="s">
        <v>4831</v>
      </c>
      <c r="N1752" s="161" t="s">
        <v>1901</v>
      </c>
      <c r="O1752" s="161" t="s">
        <v>26</v>
      </c>
      <c r="P1752" s="49" t="s">
        <v>26</v>
      </c>
      <c r="Q1752" s="166" t="s">
        <v>4840</v>
      </c>
      <c r="R1752" s="151"/>
    </row>
    <row r="1753" spans="1:18">
      <c r="A1753" s="186" t="s">
        <v>52</v>
      </c>
      <c r="B1753" s="101" t="s">
        <v>456</v>
      </c>
      <c r="C1753" s="83" t="s">
        <v>4841</v>
      </c>
      <c r="D1753" s="161" t="s">
        <v>1318</v>
      </c>
      <c r="E1753" s="161" t="s">
        <v>1384</v>
      </c>
      <c r="F1753" s="161" t="s">
        <v>4816</v>
      </c>
      <c r="G1753" s="163">
        <v>127.9</v>
      </c>
      <c r="H1753" s="163">
        <f t="shared" si="137"/>
        <v>14.4</v>
      </c>
      <c r="I1753" s="163">
        <v>1828</v>
      </c>
      <c r="J1753" s="163">
        <v>742.01</v>
      </c>
      <c r="K1753" s="163">
        <v>13448.57</v>
      </c>
      <c r="L1753" s="163"/>
      <c r="M1753" s="161" t="s">
        <v>4831</v>
      </c>
      <c r="N1753" s="161" t="s">
        <v>1299</v>
      </c>
      <c r="O1753" s="161" t="s">
        <v>25</v>
      </c>
      <c r="P1753" s="49" t="s">
        <v>25</v>
      </c>
      <c r="Q1753" s="166" t="s">
        <v>4840</v>
      </c>
      <c r="R1753" s="151"/>
    </row>
    <row r="1754" spans="1:18">
      <c r="A1754" s="186" t="s">
        <v>52</v>
      </c>
      <c r="B1754" s="101" t="s">
        <v>456</v>
      </c>
      <c r="C1754" s="83" t="s">
        <v>457</v>
      </c>
      <c r="D1754" s="161" t="s">
        <v>457</v>
      </c>
      <c r="E1754" s="161" t="s">
        <v>1384</v>
      </c>
      <c r="F1754" s="161" t="s">
        <v>4816</v>
      </c>
      <c r="G1754" s="163">
        <v>142.8</v>
      </c>
      <c r="H1754" s="163">
        <f t="shared" si="137"/>
        <v>14.9</v>
      </c>
      <c r="I1754" s="163">
        <v>1884</v>
      </c>
      <c r="J1754" s="163">
        <v>845.3</v>
      </c>
      <c r="K1754" s="163">
        <v>14293.87</v>
      </c>
      <c r="L1754" s="163"/>
      <c r="M1754" s="161" t="s">
        <v>4831</v>
      </c>
      <c r="N1754" s="161" t="s">
        <v>1331</v>
      </c>
      <c r="O1754" s="161" t="s">
        <v>15</v>
      </c>
      <c r="P1754" s="49" t="s">
        <v>15</v>
      </c>
      <c r="Q1754" s="166" t="s">
        <v>4840</v>
      </c>
      <c r="R1754" s="151"/>
    </row>
    <row r="1755" spans="1:18">
      <c r="A1755" s="186" t="s">
        <v>52</v>
      </c>
      <c r="B1755" s="101" t="s">
        <v>461</v>
      </c>
      <c r="C1755" s="135" t="s">
        <v>4842</v>
      </c>
      <c r="D1755" s="161" t="s">
        <v>4842</v>
      </c>
      <c r="E1755" s="161" t="s">
        <v>1384</v>
      </c>
      <c r="F1755" s="161" t="s">
        <v>1478</v>
      </c>
      <c r="G1755" s="171">
        <v>0</v>
      </c>
      <c r="H1755" s="163">
        <v>0</v>
      </c>
      <c r="I1755" s="185">
        <v>1834</v>
      </c>
      <c r="J1755" s="172">
        <v>0</v>
      </c>
      <c r="K1755" s="172">
        <v>0</v>
      </c>
      <c r="L1755" s="163"/>
      <c r="M1755" s="161" t="s">
        <v>4843</v>
      </c>
      <c r="N1755" s="161"/>
      <c r="O1755" s="161"/>
      <c r="P1755" s="49"/>
      <c r="Q1755" s="166"/>
      <c r="R1755" s="151"/>
    </row>
    <row r="1756" spans="1:18">
      <c r="A1756" s="186" t="s">
        <v>52</v>
      </c>
      <c r="B1756" s="101" t="s">
        <v>461</v>
      </c>
      <c r="C1756" s="83" t="s">
        <v>1811</v>
      </c>
      <c r="D1756" s="161" t="s">
        <v>1298</v>
      </c>
      <c r="E1756" s="161" t="s">
        <v>1384</v>
      </c>
      <c r="F1756" s="161" t="s">
        <v>1478</v>
      </c>
      <c r="G1756" s="171">
        <v>18.5</v>
      </c>
      <c r="H1756" s="163">
        <f>G1756-G1755</f>
        <v>18.5</v>
      </c>
      <c r="I1756" s="171">
        <v>2239</v>
      </c>
      <c r="J1756" s="172">
        <v>11150</v>
      </c>
      <c r="K1756" s="172">
        <v>11510</v>
      </c>
      <c r="L1756" s="163"/>
      <c r="M1756" s="161" t="s">
        <v>4843</v>
      </c>
      <c r="N1756" s="161" t="s">
        <v>1299</v>
      </c>
      <c r="O1756" s="161" t="s">
        <v>25</v>
      </c>
      <c r="P1756" s="49" t="s">
        <v>25</v>
      </c>
      <c r="Q1756" s="166"/>
      <c r="R1756" s="151"/>
    </row>
    <row r="1757" spans="1:18">
      <c r="A1757" s="186" t="s">
        <v>52</v>
      </c>
      <c r="B1757" s="101" t="s">
        <v>461</v>
      </c>
      <c r="C1757" s="83" t="s">
        <v>1815</v>
      </c>
      <c r="D1757" s="161" t="s">
        <v>1302</v>
      </c>
      <c r="E1757" s="161" t="s">
        <v>1384</v>
      </c>
      <c r="F1757" s="161" t="s">
        <v>1478</v>
      </c>
      <c r="G1757" s="171">
        <v>37.5</v>
      </c>
      <c r="H1757" s="163">
        <f t="shared" ref="H1757:H1764" si="138">G1757-G1756</f>
        <v>19</v>
      </c>
      <c r="I1757" s="171">
        <v>2280</v>
      </c>
      <c r="J1757" s="172">
        <v>11029</v>
      </c>
      <c r="K1757" s="172">
        <f>J1757+J1756</f>
        <v>22179</v>
      </c>
      <c r="L1757" s="163"/>
      <c r="M1757" s="161" t="s">
        <v>4843</v>
      </c>
      <c r="N1757" s="161" t="s">
        <v>1299</v>
      </c>
      <c r="O1757" s="161" t="s">
        <v>25</v>
      </c>
      <c r="P1757" s="49" t="s">
        <v>25</v>
      </c>
      <c r="Q1757" s="166"/>
      <c r="R1757" s="151"/>
    </row>
    <row r="1758" spans="1:18">
      <c r="A1758" s="186" t="s">
        <v>52</v>
      </c>
      <c r="B1758" s="101" t="s">
        <v>461</v>
      </c>
      <c r="C1758" s="83" t="s">
        <v>1210</v>
      </c>
      <c r="D1758" s="161" t="s">
        <v>1305</v>
      </c>
      <c r="E1758" s="161" t="s">
        <v>1384</v>
      </c>
      <c r="F1758" s="161" t="s">
        <v>1478</v>
      </c>
      <c r="G1758" s="171">
        <v>58.7</v>
      </c>
      <c r="H1758" s="163">
        <f t="shared" si="138"/>
        <v>21.2</v>
      </c>
      <c r="I1758" s="171">
        <v>2603</v>
      </c>
      <c r="J1758" s="172">
        <v>12716</v>
      </c>
      <c r="K1758" s="172">
        <v>34895</v>
      </c>
      <c r="L1758" s="163"/>
      <c r="M1758" s="161" t="s">
        <v>4843</v>
      </c>
      <c r="N1758" s="161" t="s">
        <v>1299</v>
      </c>
      <c r="O1758" s="161" t="s">
        <v>25</v>
      </c>
      <c r="P1758" s="49" t="s">
        <v>25</v>
      </c>
      <c r="Q1758" s="166"/>
      <c r="R1758" s="151"/>
    </row>
    <row r="1759" spans="1:18">
      <c r="A1759" s="186" t="s">
        <v>52</v>
      </c>
      <c r="B1759" s="101" t="s">
        <v>461</v>
      </c>
      <c r="C1759" s="83" t="s">
        <v>1820</v>
      </c>
      <c r="D1759" s="161" t="s">
        <v>1307</v>
      </c>
      <c r="E1759" s="161" t="s">
        <v>1384</v>
      </c>
      <c r="F1759" s="161" t="s">
        <v>1478</v>
      </c>
      <c r="G1759" s="171">
        <v>86</v>
      </c>
      <c r="H1759" s="163">
        <f t="shared" si="138"/>
        <v>27.3</v>
      </c>
      <c r="I1759" s="171">
        <v>2343</v>
      </c>
      <c r="J1759" s="172">
        <v>16032</v>
      </c>
      <c r="K1759" s="172">
        <v>50927</v>
      </c>
      <c r="L1759" s="163"/>
      <c r="M1759" s="161" t="s">
        <v>4843</v>
      </c>
      <c r="N1759" s="161" t="s">
        <v>1299</v>
      </c>
      <c r="O1759" s="161" t="s">
        <v>25</v>
      </c>
      <c r="P1759" s="49" t="s">
        <v>25</v>
      </c>
      <c r="Q1759" s="166"/>
      <c r="R1759" s="151"/>
    </row>
    <row r="1760" spans="1:18">
      <c r="A1760" s="186" t="s">
        <v>52</v>
      </c>
      <c r="B1760" s="101" t="s">
        <v>461</v>
      </c>
      <c r="C1760" s="83" t="s">
        <v>741</v>
      </c>
      <c r="D1760" s="161" t="s">
        <v>1311</v>
      </c>
      <c r="E1760" s="161" t="s">
        <v>1384</v>
      </c>
      <c r="F1760" s="161" t="s">
        <v>4801</v>
      </c>
      <c r="G1760" s="171">
        <v>109.4</v>
      </c>
      <c r="H1760" s="163">
        <f t="shared" si="138"/>
        <v>23.4</v>
      </c>
      <c r="I1760" s="171">
        <v>2208</v>
      </c>
      <c r="J1760" s="172">
        <v>13982</v>
      </c>
      <c r="K1760" s="172">
        <v>64909</v>
      </c>
      <c r="L1760" s="163"/>
      <c r="M1760" s="161" t="s">
        <v>4843</v>
      </c>
      <c r="N1760" s="161" t="s">
        <v>1299</v>
      </c>
      <c r="O1760" s="161" t="s">
        <v>25</v>
      </c>
      <c r="P1760" s="49" t="s">
        <v>25</v>
      </c>
      <c r="Q1760" s="166"/>
      <c r="R1760" s="151"/>
    </row>
    <row r="1761" spans="1:18">
      <c r="A1761" s="186" t="s">
        <v>52</v>
      </c>
      <c r="B1761" s="101" t="s">
        <v>461</v>
      </c>
      <c r="C1761" s="83" t="s">
        <v>1848</v>
      </c>
      <c r="D1761" s="161" t="s">
        <v>1318</v>
      </c>
      <c r="E1761" s="161" t="s">
        <v>1384</v>
      </c>
      <c r="F1761" s="161" t="s">
        <v>4801</v>
      </c>
      <c r="G1761" s="171">
        <v>131.5</v>
      </c>
      <c r="H1761" s="163">
        <f t="shared" si="138"/>
        <v>22.1</v>
      </c>
      <c r="I1761" s="171">
        <v>1958</v>
      </c>
      <c r="J1761" s="172">
        <v>13199</v>
      </c>
      <c r="K1761" s="172">
        <v>78108</v>
      </c>
      <c r="L1761" s="163"/>
      <c r="M1761" s="161" t="s">
        <v>4843</v>
      </c>
      <c r="N1761" s="161" t="s">
        <v>1299</v>
      </c>
      <c r="O1761" s="161" t="s">
        <v>25</v>
      </c>
      <c r="P1761" s="49" t="s">
        <v>25</v>
      </c>
      <c r="Q1761" s="166"/>
      <c r="R1761" s="151"/>
    </row>
    <row r="1762" spans="1:18">
      <c r="A1762" s="186" t="s">
        <v>52</v>
      </c>
      <c r="B1762" s="101" t="s">
        <v>461</v>
      </c>
      <c r="C1762" s="83" t="s">
        <v>1851</v>
      </c>
      <c r="D1762" s="161" t="s">
        <v>1321</v>
      </c>
      <c r="E1762" s="161" t="s">
        <v>1384</v>
      </c>
      <c r="F1762" s="161" t="s">
        <v>4801</v>
      </c>
      <c r="G1762" s="171">
        <v>154.9</v>
      </c>
      <c r="H1762" s="163">
        <f t="shared" si="138"/>
        <v>23.4</v>
      </c>
      <c r="I1762" s="171">
        <v>1765</v>
      </c>
      <c r="J1762" s="172">
        <v>13801</v>
      </c>
      <c r="K1762" s="172">
        <v>91909</v>
      </c>
      <c r="L1762" s="163"/>
      <c r="M1762" s="161" t="s">
        <v>4843</v>
      </c>
      <c r="N1762" s="161" t="s">
        <v>1299</v>
      </c>
      <c r="O1762" s="161" t="s">
        <v>25</v>
      </c>
      <c r="P1762" s="49" t="s">
        <v>25</v>
      </c>
      <c r="Q1762" s="166"/>
      <c r="R1762" s="151"/>
    </row>
    <row r="1763" spans="1:18">
      <c r="A1763" s="186" t="s">
        <v>52</v>
      </c>
      <c r="B1763" s="101" t="s">
        <v>461</v>
      </c>
      <c r="C1763" s="83" t="s">
        <v>1933</v>
      </c>
      <c r="D1763" s="161" t="s">
        <v>1324</v>
      </c>
      <c r="E1763" s="161" t="s">
        <v>1384</v>
      </c>
      <c r="F1763" s="161" t="s">
        <v>4801</v>
      </c>
      <c r="G1763" s="171">
        <v>171.9</v>
      </c>
      <c r="H1763" s="163">
        <f t="shared" si="138"/>
        <v>17</v>
      </c>
      <c r="I1763" s="171">
        <v>1645</v>
      </c>
      <c r="J1763" s="172">
        <v>10306</v>
      </c>
      <c r="K1763" s="172">
        <v>102215</v>
      </c>
      <c r="L1763" s="163"/>
      <c r="M1763" s="161" t="s">
        <v>4843</v>
      </c>
      <c r="N1763" s="161" t="s">
        <v>1299</v>
      </c>
      <c r="O1763" s="161" t="s">
        <v>25</v>
      </c>
      <c r="P1763" s="49" t="s">
        <v>25</v>
      </c>
      <c r="Q1763" s="166"/>
      <c r="R1763" s="151"/>
    </row>
    <row r="1764" spans="1:18">
      <c r="A1764" s="186" t="s">
        <v>52</v>
      </c>
      <c r="B1764" s="101" t="s">
        <v>461</v>
      </c>
      <c r="C1764" s="135" t="s">
        <v>4844</v>
      </c>
      <c r="D1764" s="161" t="s">
        <v>4844</v>
      </c>
      <c r="E1764" s="161" t="s">
        <v>1384</v>
      </c>
      <c r="F1764" s="161" t="s">
        <v>4801</v>
      </c>
      <c r="G1764" s="171">
        <v>188.4</v>
      </c>
      <c r="H1764" s="163">
        <f t="shared" si="138"/>
        <v>16.5</v>
      </c>
      <c r="I1764" s="171">
        <v>1686</v>
      </c>
      <c r="J1764" s="172">
        <v>9702</v>
      </c>
      <c r="K1764" s="172">
        <v>111917</v>
      </c>
      <c r="L1764" s="163"/>
      <c r="M1764" s="161" t="s">
        <v>4843</v>
      </c>
      <c r="N1764" s="161"/>
      <c r="O1764" s="161"/>
      <c r="P1764" s="49"/>
      <c r="Q1764" s="166"/>
      <c r="R1764" s="151"/>
    </row>
    <row r="1765" ht="30" spans="1:18">
      <c r="A1765" s="186" t="s">
        <v>53</v>
      </c>
      <c r="B1765" s="101" t="s">
        <v>53</v>
      </c>
      <c r="C1765" s="135" t="s">
        <v>435</v>
      </c>
      <c r="D1765" s="161" t="s">
        <v>4728</v>
      </c>
      <c r="E1765" s="161" t="s">
        <v>1384</v>
      </c>
      <c r="F1765" s="161" t="s">
        <v>4729</v>
      </c>
      <c r="G1765" s="171">
        <v>0</v>
      </c>
      <c r="H1765" s="163">
        <v>0</v>
      </c>
      <c r="I1765" s="163">
        <v>2715</v>
      </c>
      <c r="J1765" s="176">
        <v>0</v>
      </c>
      <c r="K1765" s="176">
        <v>0</v>
      </c>
      <c r="L1765" s="163" t="s">
        <v>4845</v>
      </c>
      <c r="M1765" s="161" t="s">
        <v>4731</v>
      </c>
      <c r="N1765" s="161"/>
      <c r="O1765" s="161"/>
      <c r="P1765" s="49"/>
      <c r="Q1765" s="166" t="s">
        <v>4732</v>
      </c>
      <c r="R1765" s="151"/>
    </row>
    <row r="1766" spans="1:18">
      <c r="A1766" s="186" t="s">
        <v>53</v>
      </c>
      <c r="B1766" s="101" t="s">
        <v>53</v>
      </c>
      <c r="C1766" s="83" t="s">
        <v>4846</v>
      </c>
      <c r="D1766" s="161" t="s">
        <v>1899</v>
      </c>
      <c r="E1766" s="161" t="s">
        <v>1384</v>
      </c>
      <c r="F1766" s="161" t="s">
        <v>4729</v>
      </c>
      <c r="G1766" s="171">
        <v>30.763</v>
      </c>
      <c r="H1766" s="163">
        <f>G1766-G1765</f>
        <v>30.763</v>
      </c>
      <c r="I1766" s="163">
        <v>2722</v>
      </c>
      <c r="J1766" s="176">
        <v>10214.57</v>
      </c>
      <c r="K1766" s="176">
        <v>10214.57</v>
      </c>
      <c r="L1766" s="163"/>
      <c r="M1766" s="161" t="s">
        <v>4847</v>
      </c>
      <c r="N1766" s="161" t="s">
        <v>1901</v>
      </c>
      <c r="O1766" s="161" t="s">
        <v>26</v>
      </c>
      <c r="P1766" s="49" t="s">
        <v>26</v>
      </c>
      <c r="Q1766" s="166" t="s">
        <v>4732</v>
      </c>
      <c r="R1766" s="151"/>
    </row>
    <row r="1767" spans="1:18">
      <c r="A1767" s="186" t="s">
        <v>53</v>
      </c>
      <c r="B1767" s="101" t="s">
        <v>53</v>
      </c>
      <c r="C1767" s="83" t="s">
        <v>4848</v>
      </c>
      <c r="D1767" s="161" t="s">
        <v>1904</v>
      </c>
      <c r="E1767" s="161" t="s">
        <v>1384</v>
      </c>
      <c r="F1767" s="161" t="s">
        <v>4729</v>
      </c>
      <c r="G1767" s="171">
        <v>59.698</v>
      </c>
      <c r="H1767" s="163">
        <f t="shared" ref="H1767:H1790" si="139">G1767-G1766</f>
        <v>28.935</v>
      </c>
      <c r="I1767" s="163">
        <v>2851</v>
      </c>
      <c r="J1767" s="176">
        <v>9658.01</v>
      </c>
      <c r="K1767" s="176">
        <v>19872.58</v>
      </c>
      <c r="L1767" s="163"/>
      <c r="M1767" s="161" t="s">
        <v>4847</v>
      </c>
      <c r="N1767" s="161" t="s">
        <v>1901</v>
      </c>
      <c r="O1767" s="161" t="s">
        <v>26</v>
      </c>
      <c r="P1767" s="49" t="s">
        <v>26</v>
      </c>
      <c r="Q1767" s="166" t="s">
        <v>4735</v>
      </c>
      <c r="R1767" s="151"/>
    </row>
    <row r="1768" spans="1:18">
      <c r="A1768" s="186" t="s">
        <v>53</v>
      </c>
      <c r="B1768" s="101" t="s">
        <v>53</v>
      </c>
      <c r="C1768" s="83" t="s">
        <v>4849</v>
      </c>
      <c r="D1768" s="161" t="s">
        <v>1305</v>
      </c>
      <c r="E1768" s="161" t="s">
        <v>1384</v>
      </c>
      <c r="F1768" s="161" t="s">
        <v>4729</v>
      </c>
      <c r="G1768" s="171">
        <v>86.819</v>
      </c>
      <c r="H1768" s="163">
        <f t="shared" si="139"/>
        <v>27.121</v>
      </c>
      <c r="I1768" s="163">
        <v>3213</v>
      </c>
      <c r="J1768" s="176">
        <v>9461.57</v>
      </c>
      <c r="K1768" s="176">
        <v>29334.15</v>
      </c>
      <c r="L1768" s="163"/>
      <c r="M1768" s="161" t="s">
        <v>4847</v>
      </c>
      <c r="N1768" s="161" t="s">
        <v>1299</v>
      </c>
      <c r="O1768" s="161" t="s">
        <v>25</v>
      </c>
      <c r="P1768" s="49" t="s">
        <v>25</v>
      </c>
      <c r="Q1768" s="166" t="s">
        <v>4735</v>
      </c>
      <c r="R1768" s="151"/>
    </row>
    <row r="1769" spans="1:18">
      <c r="A1769" s="186" t="s">
        <v>53</v>
      </c>
      <c r="B1769" s="101" t="s">
        <v>53</v>
      </c>
      <c r="C1769" s="83" t="s">
        <v>4850</v>
      </c>
      <c r="D1769" s="161" t="s">
        <v>1307</v>
      </c>
      <c r="E1769" s="161" t="s">
        <v>1384</v>
      </c>
      <c r="F1769" s="161" t="s">
        <v>4729</v>
      </c>
      <c r="G1769" s="171">
        <v>115.19</v>
      </c>
      <c r="H1769" s="163">
        <f t="shared" si="139"/>
        <v>28.371</v>
      </c>
      <c r="I1769" s="163">
        <v>3230</v>
      </c>
      <c r="J1769" s="176">
        <v>8315.71</v>
      </c>
      <c r="K1769" s="176">
        <v>37649.86</v>
      </c>
      <c r="L1769" s="163"/>
      <c r="M1769" s="161" t="s">
        <v>4847</v>
      </c>
      <c r="N1769" s="161" t="s">
        <v>1299</v>
      </c>
      <c r="O1769" s="161" t="s">
        <v>25</v>
      </c>
      <c r="P1769" s="49" t="s">
        <v>25</v>
      </c>
      <c r="Q1769" s="166" t="s">
        <v>4735</v>
      </c>
      <c r="R1769" s="151"/>
    </row>
    <row r="1770" spans="1:18">
      <c r="A1770" s="186" t="s">
        <v>53</v>
      </c>
      <c r="B1770" s="101" t="s">
        <v>53</v>
      </c>
      <c r="C1770" s="83" t="s">
        <v>4851</v>
      </c>
      <c r="D1770" s="161" t="s">
        <v>2252</v>
      </c>
      <c r="E1770" s="161" t="s">
        <v>1384</v>
      </c>
      <c r="F1770" s="161" t="s">
        <v>4729</v>
      </c>
      <c r="G1770" s="171">
        <v>145.458</v>
      </c>
      <c r="H1770" s="163">
        <f t="shared" si="139"/>
        <v>30.268</v>
      </c>
      <c r="I1770" s="163">
        <v>3575</v>
      </c>
      <c r="J1770" s="176">
        <v>9592.53</v>
      </c>
      <c r="K1770" s="176">
        <v>47242.39</v>
      </c>
      <c r="L1770" s="163"/>
      <c r="M1770" s="161" t="s">
        <v>4847</v>
      </c>
      <c r="N1770" s="161" t="s">
        <v>1901</v>
      </c>
      <c r="O1770" s="161" t="s">
        <v>26</v>
      </c>
      <c r="P1770" s="49" t="s">
        <v>26</v>
      </c>
      <c r="Q1770" s="166" t="s">
        <v>4735</v>
      </c>
      <c r="R1770" s="151"/>
    </row>
    <row r="1771" ht="30" spans="1:18">
      <c r="A1771" s="186" t="s">
        <v>53</v>
      </c>
      <c r="B1771" s="101" t="s">
        <v>53</v>
      </c>
      <c r="C1771" s="135" t="s">
        <v>4741</v>
      </c>
      <c r="D1771" s="161" t="s">
        <v>4742</v>
      </c>
      <c r="E1771" s="161" t="s">
        <v>1384</v>
      </c>
      <c r="F1771" s="161" t="s">
        <v>4743</v>
      </c>
      <c r="G1771" s="171">
        <v>170.244</v>
      </c>
      <c r="H1771" s="163">
        <f t="shared" si="139"/>
        <v>24.786</v>
      </c>
      <c r="I1771" s="163">
        <v>3452</v>
      </c>
      <c r="J1771" s="176">
        <v>9461.57</v>
      </c>
      <c r="K1771" s="176">
        <v>56703.96</v>
      </c>
      <c r="L1771" s="163" t="s">
        <v>4845</v>
      </c>
      <c r="M1771" s="161" t="s">
        <v>4731</v>
      </c>
      <c r="N1771" s="161"/>
      <c r="O1771" s="161"/>
      <c r="P1771" s="49"/>
      <c r="Q1771" s="166" t="s">
        <v>4735</v>
      </c>
      <c r="R1771" s="151"/>
    </row>
    <row r="1772" spans="1:18">
      <c r="A1772" s="186" t="s">
        <v>53</v>
      </c>
      <c r="B1772" s="101" t="s">
        <v>53</v>
      </c>
      <c r="C1772" s="83" t="s">
        <v>4852</v>
      </c>
      <c r="D1772" s="161" t="s">
        <v>2258</v>
      </c>
      <c r="E1772" s="161" t="s">
        <v>1384</v>
      </c>
      <c r="F1772" s="161" t="s">
        <v>4743</v>
      </c>
      <c r="G1772" s="171">
        <v>199.18</v>
      </c>
      <c r="H1772" s="163">
        <f t="shared" si="139"/>
        <v>28.936</v>
      </c>
      <c r="I1772" s="163">
        <v>3265</v>
      </c>
      <c r="J1772" s="176">
        <v>9363.35</v>
      </c>
      <c r="K1772" s="176">
        <v>66067.31</v>
      </c>
      <c r="L1772" s="163"/>
      <c r="M1772" s="161" t="s">
        <v>4847</v>
      </c>
      <c r="N1772" s="161" t="s">
        <v>1901</v>
      </c>
      <c r="O1772" s="161" t="s">
        <v>26</v>
      </c>
      <c r="P1772" s="49" t="s">
        <v>26</v>
      </c>
      <c r="Q1772" s="166" t="s">
        <v>4745</v>
      </c>
      <c r="R1772" s="151"/>
    </row>
    <row r="1773" spans="1:18">
      <c r="A1773" s="186" t="s">
        <v>53</v>
      </c>
      <c r="B1773" s="101" t="s">
        <v>53</v>
      </c>
      <c r="C1773" s="83" t="s">
        <v>4853</v>
      </c>
      <c r="D1773" s="161" t="s">
        <v>1321</v>
      </c>
      <c r="E1773" s="161" t="s">
        <v>1384</v>
      </c>
      <c r="F1773" s="161" t="s">
        <v>4743</v>
      </c>
      <c r="G1773" s="171">
        <v>225.713</v>
      </c>
      <c r="H1773" s="163">
        <f t="shared" si="139"/>
        <v>26.533</v>
      </c>
      <c r="I1773" s="163">
        <v>2899</v>
      </c>
      <c r="J1773" s="176">
        <v>9003.23</v>
      </c>
      <c r="K1773" s="176">
        <v>75070.54</v>
      </c>
      <c r="L1773" s="163"/>
      <c r="M1773" s="161" t="s">
        <v>4847</v>
      </c>
      <c r="N1773" s="161" t="s">
        <v>1299</v>
      </c>
      <c r="O1773" s="161" t="s">
        <v>25</v>
      </c>
      <c r="P1773" s="49" t="s">
        <v>25</v>
      </c>
      <c r="Q1773" s="166" t="s">
        <v>4745</v>
      </c>
      <c r="R1773" s="151"/>
    </row>
    <row r="1774" spans="1:18">
      <c r="A1774" s="186" t="s">
        <v>53</v>
      </c>
      <c r="B1774" s="101" t="s">
        <v>53</v>
      </c>
      <c r="C1774" s="83" t="s">
        <v>4854</v>
      </c>
      <c r="D1774" s="161" t="s">
        <v>2827</v>
      </c>
      <c r="E1774" s="161" t="s">
        <v>1384</v>
      </c>
      <c r="F1774" s="161" t="s">
        <v>4743</v>
      </c>
      <c r="G1774" s="171">
        <v>257.896</v>
      </c>
      <c r="H1774" s="163">
        <f t="shared" si="139"/>
        <v>32.183</v>
      </c>
      <c r="I1774" s="163">
        <v>2893</v>
      </c>
      <c r="J1774" s="176">
        <v>10672.91</v>
      </c>
      <c r="K1774" s="176">
        <v>85743.45</v>
      </c>
      <c r="L1774" s="163"/>
      <c r="M1774" s="161" t="s">
        <v>4847</v>
      </c>
      <c r="N1774" s="161" t="s">
        <v>1901</v>
      </c>
      <c r="O1774" s="161" t="s">
        <v>26</v>
      </c>
      <c r="P1774" s="49" t="s">
        <v>26</v>
      </c>
      <c r="Q1774" s="166" t="s">
        <v>4745</v>
      </c>
      <c r="R1774" s="151"/>
    </row>
    <row r="1775" spans="1:18">
      <c r="A1775" s="186" t="s">
        <v>53</v>
      </c>
      <c r="B1775" s="101" t="s">
        <v>53</v>
      </c>
      <c r="C1775" s="83" t="s">
        <v>4855</v>
      </c>
      <c r="D1775" s="161" t="s">
        <v>2266</v>
      </c>
      <c r="E1775" s="161" t="s">
        <v>1384</v>
      </c>
      <c r="F1775" s="161" t="s">
        <v>4743</v>
      </c>
      <c r="G1775" s="171">
        <v>284.938</v>
      </c>
      <c r="H1775" s="163">
        <f t="shared" si="139"/>
        <v>27.042</v>
      </c>
      <c r="I1775" s="163">
        <v>2934</v>
      </c>
      <c r="J1775" s="176">
        <v>8774.05</v>
      </c>
      <c r="K1775" s="176">
        <v>94517.5</v>
      </c>
      <c r="L1775" s="163"/>
      <c r="M1775" s="161" t="s">
        <v>4847</v>
      </c>
      <c r="N1775" s="161" t="s">
        <v>1901</v>
      </c>
      <c r="O1775" s="161" t="s">
        <v>26</v>
      </c>
      <c r="P1775" s="49" t="s">
        <v>26</v>
      </c>
      <c r="Q1775" s="166" t="s">
        <v>4749</v>
      </c>
      <c r="R1775" s="151"/>
    </row>
    <row r="1776" ht="45" spans="1:18">
      <c r="A1776" s="186" t="s">
        <v>53</v>
      </c>
      <c r="B1776" s="101" t="s">
        <v>53</v>
      </c>
      <c r="C1776" s="83" t="s">
        <v>4856</v>
      </c>
      <c r="D1776" s="161" t="s">
        <v>4857</v>
      </c>
      <c r="E1776" s="161" t="s">
        <v>1384</v>
      </c>
      <c r="F1776" s="161" t="s">
        <v>4743</v>
      </c>
      <c r="G1776" s="171">
        <v>291.96</v>
      </c>
      <c r="H1776" s="163">
        <f t="shared" si="139"/>
        <v>7.02199999999999</v>
      </c>
      <c r="I1776" s="163">
        <v>2934</v>
      </c>
      <c r="J1776" s="176">
        <v>2619.12</v>
      </c>
      <c r="K1776" s="176">
        <v>97136.62</v>
      </c>
      <c r="L1776" s="163" t="s">
        <v>4858</v>
      </c>
      <c r="M1776" s="161" t="s">
        <v>4731</v>
      </c>
      <c r="N1776" s="161" t="s">
        <v>1299</v>
      </c>
      <c r="O1776" s="161" t="s">
        <v>25</v>
      </c>
      <c r="P1776" s="49" t="s">
        <v>25</v>
      </c>
      <c r="Q1776" s="166" t="s">
        <v>4752</v>
      </c>
      <c r="R1776" s="151"/>
    </row>
    <row r="1777" spans="1:18">
      <c r="A1777" s="186" t="s">
        <v>53</v>
      </c>
      <c r="B1777" s="101" t="s">
        <v>53</v>
      </c>
      <c r="C1777" s="83" t="s">
        <v>4859</v>
      </c>
      <c r="D1777" s="161" t="s">
        <v>2832</v>
      </c>
      <c r="E1777" s="161" t="s">
        <v>1384</v>
      </c>
      <c r="F1777" s="161" t="s">
        <v>4743</v>
      </c>
      <c r="G1777" s="171">
        <v>320.759</v>
      </c>
      <c r="H1777" s="163">
        <f t="shared" si="139"/>
        <v>28.799</v>
      </c>
      <c r="I1777" s="163">
        <v>2857</v>
      </c>
      <c r="J1777" s="176">
        <v>7857.36</v>
      </c>
      <c r="K1777" s="176">
        <v>104993.98</v>
      </c>
      <c r="L1777" s="163"/>
      <c r="M1777" s="161" t="s">
        <v>4847</v>
      </c>
      <c r="N1777" s="161" t="s">
        <v>1901</v>
      </c>
      <c r="O1777" s="161" t="s">
        <v>26</v>
      </c>
      <c r="P1777" s="49" t="s">
        <v>26</v>
      </c>
      <c r="Q1777" s="166" t="s">
        <v>4752</v>
      </c>
      <c r="R1777" s="151"/>
    </row>
    <row r="1778" spans="1:18">
      <c r="A1778" s="186" t="s">
        <v>53</v>
      </c>
      <c r="B1778" s="101" t="s">
        <v>53</v>
      </c>
      <c r="C1778" s="83" t="s">
        <v>4860</v>
      </c>
      <c r="D1778" s="161" t="s">
        <v>1344</v>
      </c>
      <c r="E1778" s="161" t="s">
        <v>1384</v>
      </c>
      <c r="F1778" s="161" t="s">
        <v>4743</v>
      </c>
      <c r="G1778" s="171">
        <v>345.122</v>
      </c>
      <c r="H1778" s="163">
        <f t="shared" si="139"/>
        <v>24.363</v>
      </c>
      <c r="I1778" s="163">
        <v>2928</v>
      </c>
      <c r="J1778" s="176">
        <v>9723.48</v>
      </c>
      <c r="K1778" s="176">
        <v>114717.46</v>
      </c>
      <c r="L1778" s="163"/>
      <c r="M1778" s="161" t="s">
        <v>4847</v>
      </c>
      <c r="N1778" s="161" t="s">
        <v>1299</v>
      </c>
      <c r="O1778" s="161" t="s">
        <v>25</v>
      </c>
      <c r="P1778" s="49" t="s">
        <v>25</v>
      </c>
      <c r="Q1778" s="166" t="s">
        <v>4755</v>
      </c>
      <c r="R1778" s="151"/>
    </row>
    <row r="1779" spans="1:18">
      <c r="A1779" s="186" t="s">
        <v>53</v>
      </c>
      <c r="B1779" s="101" t="s">
        <v>53</v>
      </c>
      <c r="C1779" s="83" t="s">
        <v>4861</v>
      </c>
      <c r="D1779" s="161" t="s">
        <v>2280</v>
      </c>
      <c r="E1779" s="161" t="s">
        <v>1384</v>
      </c>
      <c r="F1779" s="161" t="s">
        <v>4743</v>
      </c>
      <c r="G1779" s="171">
        <v>373.022</v>
      </c>
      <c r="H1779" s="163">
        <f t="shared" si="139"/>
        <v>27.9</v>
      </c>
      <c r="I1779" s="163">
        <v>2955</v>
      </c>
      <c r="J1779" s="176">
        <v>11164</v>
      </c>
      <c r="K1779" s="176">
        <v>125881.46</v>
      </c>
      <c r="L1779" s="163"/>
      <c r="M1779" s="161" t="s">
        <v>4847</v>
      </c>
      <c r="N1779" s="161" t="s">
        <v>1901</v>
      </c>
      <c r="O1779" s="161" t="s">
        <v>26</v>
      </c>
      <c r="P1779" s="49" t="s">
        <v>26</v>
      </c>
      <c r="Q1779" s="166" t="s">
        <v>4755</v>
      </c>
      <c r="R1779" s="151"/>
    </row>
    <row r="1780" ht="30" spans="1:18">
      <c r="A1780" s="186" t="s">
        <v>53</v>
      </c>
      <c r="B1780" s="101" t="s">
        <v>53</v>
      </c>
      <c r="C1780" s="135" t="s">
        <v>4757</v>
      </c>
      <c r="D1780" s="161" t="s">
        <v>4758</v>
      </c>
      <c r="E1780" s="161" t="s">
        <v>1384</v>
      </c>
      <c r="F1780" s="161" t="s">
        <v>4743</v>
      </c>
      <c r="G1780" s="171">
        <v>403.22</v>
      </c>
      <c r="H1780" s="163">
        <f t="shared" si="139"/>
        <v>30.198</v>
      </c>
      <c r="I1780" s="163">
        <v>2985</v>
      </c>
      <c r="J1780" s="176">
        <v>8348.45</v>
      </c>
      <c r="K1780" s="176">
        <v>134229.91</v>
      </c>
      <c r="L1780" s="163" t="s">
        <v>4845</v>
      </c>
      <c r="M1780" s="161" t="s">
        <v>4731</v>
      </c>
      <c r="N1780" s="161"/>
      <c r="O1780" s="161"/>
      <c r="P1780" s="49"/>
      <c r="Q1780" s="166" t="s">
        <v>4759</v>
      </c>
      <c r="R1780" s="151"/>
    </row>
    <row r="1781" spans="1:18">
      <c r="A1781" s="186" t="s">
        <v>53</v>
      </c>
      <c r="B1781" s="101" t="s">
        <v>53</v>
      </c>
      <c r="C1781" s="83" t="s">
        <v>4862</v>
      </c>
      <c r="D1781" s="161" t="s">
        <v>2283</v>
      </c>
      <c r="E1781" s="161" t="s">
        <v>1384</v>
      </c>
      <c r="F1781" s="161" t="s">
        <v>4743</v>
      </c>
      <c r="G1781" s="171">
        <v>423.944</v>
      </c>
      <c r="H1781" s="163">
        <f t="shared" si="139"/>
        <v>20.724</v>
      </c>
      <c r="I1781" s="163">
        <v>3035</v>
      </c>
      <c r="J1781" s="176">
        <v>6940.67</v>
      </c>
      <c r="K1781" s="176">
        <v>141170.58</v>
      </c>
      <c r="L1781" s="163"/>
      <c r="M1781" s="161" t="s">
        <v>4847</v>
      </c>
      <c r="N1781" s="161" t="s">
        <v>1901</v>
      </c>
      <c r="O1781" s="161" t="s">
        <v>26</v>
      </c>
      <c r="P1781" s="49" t="s">
        <v>26</v>
      </c>
      <c r="Q1781" s="166" t="s">
        <v>4759</v>
      </c>
      <c r="R1781" s="151"/>
    </row>
    <row r="1782" spans="1:18">
      <c r="A1782" s="186" t="s">
        <v>53</v>
      </c>
      <c r="B1782" s="101" t="s">
        <v>53</v>
      </c>
      <c r="C1782" s="83" t="s">
        <v>4863</v>
      </c>
      <c r="D1782" s="161" t="s">
        <v>1352</v>
      </c>
      <c r="E1782" s="161" t="s">
        <v>1384</v>
      </c>
      <c r="F1782" s="161" t="s">
        <v>4743</v>
      </c>
      <c r="G1782" s="171">
        <v>447.502</v>
      </c>
      <c r="H1782" s="163">
        <f t="shared" si="139"/>
        <v>23.558</v>
      </c>
      <c r="I1782" s="163">
        <v>3217</v>
      </c>
      <c r="J1782" s="176">
        <v>7562.71</v>
      </c>
      <c r="K1782" s="176">
        <v>148733.29</v>
      </c>
      <c r="L1782" s="163"/>
      <c r="M1782" s="161" t="s">
        <v>4847</v>
      </c>
      <c r="N1782" s="161" t="s">
        <v>1299</v>
      </c>
      <c r="O1782" s="161" t="s">
        <v>25</v>
      </c>
      <c r="P1782" s="49" t="s">
        <v>25</v>
      </c>
      <c r="Q1782" s="166" t="s">
        <v>4762</v>
      </c>
      <c r="R1782" s="151"/>
    </row>
    <row r="1783" spans="1:18">
      <c r="A1783" s="186" t="s">
        <v>53</v>
      </c>
      <c r="B1783" s="101" t="s">
        <v>53</v>
      </c>
      <c r="C1783" s="83" t="s">
        <v>4864</v>
      </c>
      <c r="D1783" s="161" t="s">
        <v>2294</v>
      </c>
      <c r="E1783" s="161" t="s">
        <v>1384</v>
      </c>
      <c r="F1783" s="161" t="s">
        <v>4743</v>
      </c>
      <c r="G1783" s="171">
        <v>473.326</v>
      </c>
      <c r="H1783" s="163">
        <f t="shared" si="139"/>
        <v>25.824</v>
      </c>
      <c r="I1783" s="163">
        <v>3085</v>
      </c>
      <c r="J1783" s="176">
        <v>9134.18</v>
      </c>
      <c r="K1783" s="176">
        <v>157867.47</v>
      </c>
      <c r="L1783" s="163"/>
      <c r="M1783" s="161" t="s">
        <v>4847</v>
      </c>
      <c r="N1783" s="161" t="s">
        <v>1901</v>
      </c>
      <c r="O1783" s="161" t="s">
        <v>26</v>
      </c>
      <c r="P1783" s="49" t="s">
        <v>26</v>
      </c>
      <c r="Q1783" s="166" t="s">
        <v>4762</v>
      </c>
      <c r="R1783" s="151"/>
    </row>
    <row r="1784" spans="1:18">
      <c r="A1784" s="186" t="s">
        <v>53</v>
      </c>
      <c r="B1784" s="101" t="s">
        <v>53</v>
      </c>
      <c r="C1784" s="83" t="s">
        <v>4865</v>
      </c>
      <c r="D1784" s="161" t="s">
        <v>2297</v>
      </c>
      <c r="E1784" s="161" t="s">
        <v>1384</v>
      </c>
      <c r="F1784" s="161" t="s">
        <v>4743</v>
      </c>
      <c r="G1784" s="171">
        <v>501.945</v>
      </c>
      <c r="H1784" s="163">
        <f t="shared" si="139"/>
        <v>28.619</v>
      </c>
      <c r="I1784" s="163">
        <v>3350</v>
      </c>
      <c r="J1784" s="176">
        <v>9363.35</v>
      </c>
      <c r="K1784" s="176">
        <v>167230.82</v>
      </c>
      <c r="L1784" s="163"/>
      <c r="M1784" s="161" t="s">
        <v>4847</v>
      </c>
      <c r="N1784" s="161" t="s">
        <v>1901</v>
      </c>
      <c r="O1784" s="161" t="s">
        <v>26</v>
      </c>
      <c r="P1784" s="49" t="s">
        <v>26</v>
      </c>
      <c r="Q1784" s="166" t="s">
        <v>4765</v>
      </c>
      <c r="R1784" s="151"/>
    </row>
    <row r="1785" spans="1:18">
      <c r="A1785" s="186" t="s">
        <v>53</v>
      </c>
      <c r="B1785" s="101" t="s">
        <v>53</v>
      </c>
      <c r="C1785" s="83" t="s">
        <v>4866</v>
      </c>
      <c r="D1785" s="161" t="s">
        <v>1358</v>
      </c>
      <c r="E1785" s="161" t="s">
        <v>1384</v>
      </c>
      <c r="F1785" s="161" t="s">
        <v>4768</v>
      </c>
      <c r="G1785" s="171">
        <v>530.395</v>
      </c>
      <c r="H1785" s="163">
        <f t="shared" si="139"/>
        <v>28.45</v>
      </c>
      <c r="I1785" s="163">
        <v>3320</v>
      </c>
      <c r="J1785" s="176">
        <v>9625.27</v>
      </c>
      <c r="K1785" s="176">
        <v>176856.09</v>
      </c>
      <c r="L1785" s="163"/>
      <c r="M1785" s="161" t="s">
        <v>4847</v>
      </c>
      <c r="N1785" s="161" t="s">
        <v>1299</v>
      </c>
      <c r="O1785" s="161" t="s">
        <v>25</v>
      </c>
      <c r="P1785" s="49" t="s">
        <v>25</v>
      </c>
      <c r="Q1785" s="166" t="s">
        <v>4765</v>
      </c>
      <c r="R1785" s="151"/>
    </row>
    <row r="1786" spans="1:18">
      <c r="A1786" s="186" t="s">
        <v>53</v>
      </c>
      <c r="B1786" s="101" t="s">
        <v>53</v>
      </c>
      <c r="C1786" s="83" t="s">
        <v>4867</v>
      </c>
      <c r="D1786" s="161" t="s">
        <v>2999</v>
      </c>
      <c r="E1786" s="161" t="s">
        <v>1384</v>
      </c>
      <c r="F1786" s="161" t="s">
        <v>4768</v>
      </c>
      <c r="G1786" s="171">
        <v>559.803</v>
      </c>
      <c r="H1786" s="163">
        <f t="shared" si="139"/>
        <v>29.408</v>
      </c>
      <c r="I1786" s="163">
        <v>3269</v>
      </c>
      <c r="J1786" s="176">
        <v>9592.53</v>
      </c>
      <c r="K1786" s="176">
        <v>186448.62</v>
      </c>
      <c r="L1786" s="163"/>
      <c r="M1786" s="161" t="s">
        <v>4847</v>
      </c>
      <c r="N1786" s="161" t="s">
        <v>1901</v>
      </c>
      <c r="O1786" s="161" t="s">
        <v>26</v>
      </c>
      <c r="P1786" s="49" t="s">
        <v>26</v>
      </c>
      <c r="Q1786" s="166" t="s">
        <v>4765</v>
      </c>
      <c r="R1786" s="151"/>
    </row>
    <row r="1787" spans="1:18">
      <c r="A1787" s="186" t="s">
        <v>53</v>
      </c>
      <c r="B1787" s="101" t="s">
        <v>53</v>
      </c>
      <c r="C1787" s="83" t="s">
        <v>4868</v>
      </c>
      <c r="D1787" s="161" t="s">
        <v>2311</v>
      </c>
      <c r="E1787" s="161" t="s">
        <v>1384</v>
      </c>
      <c r="F1787" s="161" t="s">
        <v>4768</v>
      </c>
      <c r="G1787" s="171">
        <v>591.589</v>
      </c>
      <c r="H1787" s="163">
        <f t="shared" si="139"/>
        <v>31.7860000000001</v>
      </c>
      <c r="I1787" s="163">
        <v>3226</v>
      </c>
      <c r="J1787" s="176">
        <v>10574.7</v>
      </c>
      <c r="K1787" s="176">
        <v>197023.32</v>
      </c>
      <c r="L1787" s="163"/>
      <c r="M1787" s="161" t="s">
        <v>4847</v>
      </c>
      <c r="N1787" s="161" t="s">
        <v>1901</v>
      </c>
      <c r="O1787" s="161" t="s">
        <v>26</v>
      </c>
      <c r="P1787" s="49" t="s">
        <v>26</v>
      </c>
      <c r="Q1787" s="166" t="s">
        <v>4771</v>
      </c>
      <c r="R1787" s="151"/>
    </row>
    <row r="1788" ht="30" spans="1:18">
      <c r="A1788" s="186" t="s">
        <v>53</v>
      </c>
      <c r="B1788" s="101" t="s">
        <v>53</v>
      </c>
      <c r="C1788" s="135" t="s">
        <v>4768</v>
      </c>
      <c r="D1788" s="161" t="s">
        <v>4772</v>
      </c>
      <c r="E1788" s="161" t="s">
        <v>1384</v>
      </c>
      <c r="F1788" s="161" t="s">
        <v>4768</v>
      </c>
      <c r="G1788" s="171">
        <v>621.81</v>
      </c>
      <c r="H1788" s="163">
        <f t="shared" si="139"/>
        <v>30.2209999999999</v>
      </c>
      <c r="I1788" s="163">
        <v>3240</v>
      </c>
      <c r="J1788" s="176">
        <v>9985.4</v>
      </c>
      <c r="K1788" s="176">
        <v>207008.72</v>
      </c>
      <c r="L1788" s="163" t="s">
        <v>4845</v>
      </c>
      <c r="M1788" s="161" t="s">
        <v>4731</v>
      </c>
      <c r="N1788" s="161"/>
      <c r="O1788" s="161"/>
      <c r="P1788" s="49"/>
      <c r="Q1788" s="166" t="s">
        <v>4773</v>
      </c>
      <c r="R1788" s="151"/>
    </row>
    <row r="1789" ht="75" spans="1:18">
      <c r="A1789" s="186" t="s">
        <v>53</v>
      </c>
      <c r="B1789" s="101" t="s">
        <v>53</v>
      </c>
      <c r="C1789" s="83" t="s">
        <v>4869</v>
      </c>
      <c r="D1789" s="161" t="s">
        <v>2314</v>
      </c>
      <c r="E1789" s="161" t="s">
        <v>1384</v>
      </c>
      <c r="F1789" s="161" t="s">
        <v>4768</v>
      </c>
      <c r="G1789" s="171">
        <v>669.1</v>
      </c>
      <c r="H1789" s="163">
        <f t="shared" si="139"/>
        <v>47.2900000000001</v>
      </c>
      <c r="I1789" s="163">
        <v>3232</v>
      </c>
      <c r="J1789" s="176">
        <v>12047.95</v>
      </c>
      <c r="K1789" s="176">
        <v>219056.67</v>
      </c>
      <c r="L1789" s="163" t="s">
        <v>4870</v>
      </c>
      <c r="M1789" s="161" t="s">
        <v>4847</v>
      </c>
      <c r="N1789" s="161" t="s">
        <v>1901</v>
      </c>
      <c r="O1789" s="161" t="s">
        <v>26</v>
      </c>
      <c r="P1789" s="49" t="s">
        <v>26</v>
      </c>
      <c r="Q1789" s="166" t="s">
        <v>4773</v>
      </c>
      <c r="R1789" s="151"/>
    </row>
    <row r="1790" ht="75" spans="1:18">
      <c r="A1790" s="186" t="s">
        <v>53</v>
      </c>
      <c r="B1790" s="101" t="s">
        <v>53</v>
      </c>
      <c r="C1790" s="83" t="s">
        <v>4871</v>
      </c>
      <c r="D1790" s="161" t="s">
        <v>2317</v>
      </c>
      <c r="E1790" s="161" t="s">
        <v>1384</v>
      </c>
      <c r="F1790" s="161" t="s">
        <v>4776</v>
      </c>
      <c r="G1790" s="171">
        <v>703.2</v>
      </c>
      <c r="H1790" s="163">
        <f t="shared" si="139"/>
        <v>34.1</v>
      </c>
      <c r="I1790" s="163">
        <v>3700</v>
      </c>
      <c r="J1790" s="176">
        <v>11164</v>
      </c>
      <c r="K1790" s="176">
        <v>230220.67</v>
      </c>
      <c r="L1790" s="163" t="s">
        <v>4872</v>
      </c>
      <c r="M1790" s="161" t="s">
        <v>4847</v>
      </c>
      <c r="N1790" s="161" t="s">
        <v>1901</v>
      </c>
      <c r="O1790" s="161" t="s">
        <v>26</v>
      </c>
      <c r="P1790" s="49" t="s">
        <v>26</v>
      </c>
      <c r="Q1790" s="166" t="s">
        <v>4777</v>
      </c>
      <c r="R1790" s="151"/>
    </row>
    <row r="1791" ht="30" spans="1:18">
      <c r="A1791" s="186" t="s">
        <v>53</v>
      </c>
      <c r="B1791" s="101" t="s">
        <v>53</v>
      </c>
      <c r="C1791" s="83" t="s">
        <v>4873</v>
      </c>
      <c r="D1791" s="186" t="s">
        <v>4873</v>
      </c>
      <c r="E1791" s="161" t="s">
        <v>1384</v>
      </c>
      <c r="F1791" s="161" t="s">
        <v>4776</v>
      </c>
      <c r="G1791" s="171">
        <v>703.2</v>
      </c>
      <c r="H1791" s="163">
        <v>0.015</v>
      </c>
      <c r="I1791" s="163" t="s">
        <v>147</v>
      </c>
      <c r="J1791" s="176" t="s">
        <v>147</v>
      </c>
      <c r="K1791" s="176" t="s">
        <v>147</v>
      </c>
      <c r="L1791" s="163" t="s">
        <v>4874</v>
      </c>
      <c r="M1791" s="161"/>
      <c r="N1791" s="161"/>
      <c r="O1791" s="161" t="s">
        <v>14</v>
      </c>
      <c r="P1791" s="49" t="s">
        <v>14</v>
      </c>
      <c r="Q1791" s="166"/>
      <c r="R1791" s="151"/>
    </row>
    <row r="1792" ht="30" spans="1:18">
      <c r="A1792" s="186" t="s">
        <v>53</v>
      </c>
      <c r="B1792" s="101" t="s">
        <v>53</v>
      </c>
      <c r="C1792" s="135" t="s">
        <v>443</v>
      </c>
      <c r="D1792" s="161" t="s">
        <v>4778</v>
      </c>
      <c r="E1792" s="161" t="s">
        <v>1384</v>
      </c>
      <c r="F1792" s="161" t="s">
        <v>4776</v>
      </c>
      <c r="G1792" s="171">
        <v>715.76</v>
      </c>
      <c r="H1792" s="163">
        <f>G1792-G1790</f>
        <v>12.5599999999999</v>
      </c>
      <c r="I1792" s="163">
        <v>2720</v>
      </c>
      <c r="J1792" s="176">
        <v>8708.57</v>
      </c>
      <c r="K1792" s="176">
        <v>238929.24</v>
      </c>
      <c r="L1792" s="163" t="s">
        <v>4845</v>
      </c>
      <c r="M1792" s="161" t="s">
        <v>4731</v>
      </c>
      <c r="N1792" s="161"/>
      <c r="O1792" s="161"/>
      <c r="P1792" s="49"/>
      <c r="Q1792" s="166" t="s">
        <v>4779</v>
      </c>
      <c r="R1792" s="151"/>
    </row>
    <row r="1793" spans="1:18">
      <c r="A1793" s="186" t="s">
        <v>53</v>
      </c>
      <c r="B1793" s="101" t="s">
        <v>53</v>
      </c>
      <c r="C1793" s="83" t="s">
        <v>4875</v>
      </c>
      <c r="D1793" s="161" t="s">
        <v>1370</v>
      </c>
      <c r="E1793" s="161" t="s">
        <v>1384</v>
      </c>
      <c r="F1793" s="161" t="s">
        <v>4776</v>
      </c>
      <c r="G1793" s="171">
        <v>740.583</v>
      </c>
      <c r="H1793" s="163">
        <f t="shared" ref="H1793:H1806" si="140">G1793-G1792</f>
        <v>24.823</v>
      </c>
      <c r="I1793" s="163">
        <v>2800</v>
      </c>
      <c r="J1793" s="176">
        <v>6875.19</v>
      </c>
      <c r="K1793" s="176">
        <v>245804.43</v>
      </c>
      <c r="L1793" s="163"/>
      <c r="M1793" s="161" t="s">
        <v>4847</v>
      </c>
      <c r="N1793" s="161" t="s">
        <v>1299</v>
      </c>
      <c r="O1793" s="161" t="s">
        <v>25</v>
      </c>
      <c r="P1793" s="49" t="s">
        <v>25</v>
      </c>
      <c r="Q1793" s="166" t="s">
        <v>4783</v>
      </c>
      <c r="R1793" s="151"/>
    </row>
    <row r="1794" spans="1:18">
      <c r="A1794" s="186" t="s">
        <v>53</v>
      </c>
      <c r="B1794" s="101" t="s">
        <v>53</v>
      </c>
      <c r="C1794" s="83" t="s">
        <v>4876</v>
      </c>
      <c r="D1794" s="161" t="s">
        <v>2323</v>
      </c>
      <c r="E1794" s="161" t="s">
        <v>1384</v>
      </c>
      <c r="F1794" s="161" t="s">
        <v>4776</v>
      </c>
      <c r="G1794" s="171">
        <v>762.925</v>
      </c>
      <c r="H1794" s="163">
        <f t="shared" si="140"/>
        <v>22.342</v>
      </c>
      <c r="I1794" s="163">
        <v>2700</v>
      </c>
      <c r="J1794" s="176">
        <v>6187.67</v>
      </c>
      <c r="K1794" s="176">
        <v>251992.1</v>
      </c>
      <c r="L1794" s="163"/>
      <c r="M1794" s="161" t="s">
        <v>4847</v>
      </c>
      <c r="N1794" s="161" t="s">
        <v>1901</v>
      </c>
      <c r="O1794" s="161" t="s">
        <v>26</v>
      </c>
      <c r="P1794" s="49" t="s">
        <v>26</v>
      </c>
      <c r="Q1794" s="166" t="s">
        <v>4783</v>
      </c>
      <c r="R1794" s="151"/>
    </row>
    <row r="1795" ht="45" spans="1:18">
      <c r="A1795" s="186" t="s">
        <v>53</v>
      </c>
      <c r="B1795" s="101" t="s">
        <v>53</v>
      </c>
      <c r="C1795" s="83" t="s">
        <v>4877</v>
      </c>
      <c r="D1795" s="161" t="s">
        <v>4878</v>
      </c>
      <c r="E1795" s="161" t="s">
        <v>1384</v>
      </c>
      <c r="F1795" s="161" t="s">
        <v>4776</v>
      </c>
      <c r="G1795" s="171">
        <v>775.669</v>
      </c>
      <c r="H1795" s="163">
        <f t="shared" si="140"/>
        <v>12.744</v>
      </c>
      <c r="I1795" s="163">
        <v>2125</v>
      </c>
      <c r="J1795" s="176">
        <v>3110.21</v>
      </c>
      <c r="K1795" s="176">
        <v>255102.31</v>
      </c>
      <c r="L1795" s="163" t="s">
        <v>4879</v>
      </c>
      <c r="M1795" s="161" t="s">
        <v>4847</v>
      </c>
      <c r="N1795" s="161" t="s">
        <v>2239</v>
      </c>
      <c r="O1795" s="161" t="s">
        <v>25</v>
      </c>
      <c r="P1795" s="49" t="s">
        <v>25</v>
      </c>
      <c r="Q1795" s="166" t="s">
        <v>4786</v>
      </c>
      <c r="R1795" s="151"/>
    </row>
    <row r="1796" spans="1:18">
      <c r="A1796" s="186" t="s">
        <v>53</v>
      </c>
      <c r="B1796" s="101" t="s">
        <v>53</v>
      </c>
      <c r="C1796" s="83" t="s">
        <v>4880</v>
      </c>
      <c r="D1796" s="161" t="s">
        <v>2332</v>
      </c>
      <c r="E1796" s="161" t="s">
        <v>1384</v>
      </c>
      <c r="F1796" s="161" t="s">
        <v>4776</v>
      </c>
      <c r="G1796" s="171">
        <v>791.85</v>
      </c>
      <c r="H1796" s="163">
        <f t="shared" si="140"/>
        <v>16.181</v>
      </c>
      <c r="I1796" s="163">
        <v>2000</v>
      </c>
      <c r="J1796" s="176">
        <v>4190.59</v>
      </c>
      <c r="K1796" s="176">
        <v>259292.9</v>
      </c>
      <c r="L1796" s="163"/>
      <c r="M1796" s="161" t="s">
        <v>4847</v>
      </c>
      <c r="N1796" s="161" t="s">
        <v>1901</v>
      </c>
      <c r="O1796" s="161" t="s">
        <v>26</v>
      </c>
      <c r="P1796" s="49" t="s">
        <v>26</v>
      </c>
      <c r="Q1796" s="166" t="s">
        <v>4881</v>
      </c>
      <c r="R1796" s="151"/>
    </row>
    <row r="1797" spans="1:18">
      <c r="A1797" s="186" t="s">
        <v>53</v>
      </c>
      <c r="B1797" s="101" t="s">
        <v>53</v>
      </c>
      <c r="C1797" s="83" t="s">
        <v>4882</v>
      </c>
      <c r="D1797" s="161" t="s">
        <v>1378</v>
      </c>
      <c r="E1797" s="161" t="s">
        <v>1384</v>
      </c>
      <c r="F1797" s="161" t="s">
        <v>4776</v>
      </c>
      <c r="G1797" s="171">
        <v>804.1</v>
      </c>
      <c r="H1797" s="163">
        <f t="shared" si="140"/>
        <v>12.25</v>
      </c>
      <c r="I1797" s="163">
        <v>2000</v>
      </c>
      <c r="J1797" s="176">
        <v>3961.42</v>
      </c>
      <c r="K1797" s="176">
        <v>263254.32</v>
      </c>
      <c r="L1797" s="163" t="s">
        <v>4883</v>
      </c>
      <c r="M1797" s="161" t="s">
        <v>4847</v>
      </c>
      <c r="N1797" s="161" t="s">
        <v>1299</v>
      </c>
      <c r="O1797" s="161" t="s">
        <v>25</v>
      </c>
      <c r="P1797" s="49" t="s">
        <v>25</v>
      </c>
      <c r="Q1797" s="166" t="s">
        <v>4881</v>
      </c>
      <c r="R1797" s="151"/>
    </row>
    <row r="1798" spans="1:18">
      <c r="A1798" s="186" t="s">
        <v>53</v>
      </c>
      <c r="B1798" s="101" t="s">
        <v>53</v>
      </c>
      <c r="C1798" s="83" t="s">
        <v>4884</v>
      </c>
      <c r="D1798" s="161" t="s">
        <v>3023</v>
      </c>
      <c r="E1798" s="161" t="s">
        <v>1384</v>
      </c>
      <c r="F1798" s="161" t="s">
        <v>4776</v>
      </c>
      <c r="G1798" s="171">
        <v>819.848</v>
      </c>
      <c r="H1798" s="163">
        <f t="shared" si="140"/>
        <v>15.7479999999999</v>
      </c>
      <c r="I1798" s="163">
        <v>2000</v>
      </c>
      <c r="J1798" s="176">
        <v>5041.81</v>
      </c>
      <c r="K1798" s="176">
        <v>268296.13</v>
      </c>
      <c r="L1798" s="163"/>
      <c r="M1798" s="161" t="s">
        <v>4847</v>
      </c>
      <c r="N1798" s="161" t="s">
        <v>1901</v>
      </c>
      <c r="O1798" s="161" t="s">
        <v>26</v>
      </c>
      <c r="P1798" s="49" t="s">
        <v>26</v>
      </c>
      <c r="Q1798" s="166" t="s">
        <v>4881</v>
      </c>
      <c r="R1798" s="151"/>
    </row>
    <row r="1799" spans="1:18">
      <c r="A1799" s="186" t="s">
        <v>53</v>
      </c>
      <c r="B1799" s="101" t="s">
        <v>53</v>
      </c>
      <c r="C1799" s="83" t="s">
        <v>4885</v>
      </c>
      <c r="D1799" s="161" t="s">
        <v>2341</v>
      </c>
      <c r="E1799" s="161" t="s">
        <v>1384</v>
      </c>
      <c r="F1799" s="161" t="s">
        <v>4776</v>
      </c>
      <c r="G1799" s="171">
        <v>837.721</v>
      </c>
      <c r="H1799" s="163">
        <f t="shared" si="140"/>
        <v>17.873</v>
      </c>
      <c r="I1799" s="163">
        <v>1800</v>
      </c>
      <c r="J1799" s="176">
        <v>7169.84</v>
      </c>
      <c r="K1799" s="176">
        <v>275465.97</v>
      </c>
      <c r="L1799" s="163"/>
      <c r="M1799" s="161" t="s">
        <v>4847</v>
      </c>
      <c r="N1799" s="161" t="s">
        <v>1901</v>
      </c>
      <c r="O1799" s="161" t="s">
        <v>26</v>
      </c>
      <c r="P1799" s="49" t="s">
        <v>26</v>
      </c>
      <c r="Q1799" s="166" t="s">
        <v>4881</v>
      </c>
      <c r="R1799" s="151"/>
    </row>
    <row r="1800" spans="1:18">
      <c r="A1800" s="186" t="s">
        <v>53</v>
      </c>
      <c r="B1800" s="101" t="s">
        <v>53</v>
      </c>
      <c r="C1800" s="83" t="s">
        <v>4886</v>
      </c>
      <c r="D1800" s="161" t="s">
        <v>1391</v>
      </c>
      <c r="E1800" s="161" t="s">
        <v>1384</v>
      </c>
      <c r="F1800" s="161" t="s">
        <v>4776</v>
      </c>
      <c r="G1800" s="171">
        <v>853.3</v>
      </c>
      <c r="H1800" s="163">
        <f t="shared" si="140"/>
        <v>15.579</v>
      </c>
      <c r="I1800" s="163">
        <v>1800</v>
      </c>
      <c r="J1800" s="176">
        <v>3895.94</v>
      </c>
      <c r="K1800" s="176">
        <v>279361.91</v>
      </c>
      <c r="L1800" s="163" t="s">
        <v>4883</v>
      </c>
      <c r="M1800" s="161" t="s">
        <v>4847</v>
      </c>
      <c r="N1800" s="161" t="s">
        <v>1299</v>
      </c>
      <c r="O1800" s="161" t="s">
        <v>25</v>
      </c>
      <c r="P1800" s="49" t="s">
        <v>25</v>
      </c>
      <c r="Q1800" s="166" t="s">
        <v>4881</v>
      </c>
      <c r="R1800" s="151"/>
    </row>
    <row r="1801" spans="1:18">
      <c r="A1801" s="186" t="s">
        <v>53</v>
      </c>
      <c r="B1801" s="101" t="s">
        <v>53</v>
      </c>
      <c r="C1801" s="83" t="s">
        <v>4887</v>
      </c>
      <c r="D1801" s="161" t="s">
        <v>1394</v>
      </c>
      <c r="E1801" s="161" t="s">
        <v>1384</v>
      </c>
      <c r="F1801" s="161" t="s">
        <v>4776</v>
      </c>
      <c r="G1801" s="171">
        <v>868.149</v>
      </c>
      <c r="H1801" s="163">
        <f t="shared" si="140"/>
        <v>14.849</v>
      </c>
      <c r="I1801" s="163">
        <v>1800</v>
      </c>
      <c r="J1801" s="176">
        <v>5991.24</v>
      </c>
      <c r="K1801" s="176">
        <v>285353.15</v>
      </c>
      <c r="L1801" s="163"/>
      <c r="M1801" s="161" t="s">
        <v>4847</v>
      </c>
      <c r="N1801" s="161" t="s">
        <v>1299</v>
      </c>
      <c r="O1801" s="161" t="s">
        <v>25</v>
      </c>
      <c r="P1801" s="49" t="s">
        <v>25</v>
      </c>
      <c r="Q1801" s="166" t="s">
        <v>4881</v>
      </c>
      <c r="R1801" s="151"/>
    </row>
    <row r="1802" spans="1:18">
      <c r="A1802" s="186" t="s">
        <v>53</v>
      </c>
      <c r="B1802" s="101" t="s">
        <v>53</v>
      </c>
      <c r="C1802" s="83" t="s">
        <v>4888</v>
      </c>
      <c r="D1802" s="161" t="s">
        <v>1396</v>
      </c>
      <c r="E1802" s="161" t="s">
        <v>1384</v>
      </c>
      <c r="F1802" s="161" t="s">
        <v>4801</v>
      </c>
      <c r="G1802" s="171">
        <v>887.343</v>
      </c>
      <c r="H1802" s="163">
        <f t="shared" si="140"/>
        <v>19.194</v>
      </c>
      <c r="I1802" s="163">
        <v>1657</v>
      </c>
      <c r="J1802" s="176">
        <v>5434.67</v>
      </c>
      <c r="K1802" s="176">
        <v>290787.82</v>
      </c>
      <c r="L1802" s="163"/>
      <c r="M1802" s="161" t="s">
        <v>4847</v>
      </c>
      <c r="N1802" s="161" t="s">
        <v>1299</v>
      </c>
      <c r="O1802" s="161" t="s">
        <v>25</v>
      </c>
      <c r="P1802" s="49" t="s">
        <v>25</v>
      </c>
      <c r="Q1802" s="166" t="s">
        <v>4814</v>
      </c>
      <c r="R1802" s="151"/>
    </row>
    <row r="1803" spans="1:18">
      <c r="A1803" s="186" t="s">
        <v>53</v>
      </c>
      <c r="B1803" s="101" t="s">
        <v>53</v>
      </c>
      <c r="C1803" s="83" t="s">
        <v>4889</v>
      </c>
      <c r="D1803" s="161" t="s">
        <v>1402</v>
      </c>
      <c r="E1803" s="161" t="s">
        <v>1384</v>
      </c>
      <c r="F1803" s="161" t="s">
        <v>4801</v>
      </c>
      <c r="G1803" s="171">
        <v>901.92</v>
      </c>
      <c r="H1803" s="163">
        <f t="shared" si="140"/>
        <v>14.577</v>
      </c>
      <c r="I1803" s="163">
        <v>1622</v>
      </c>
      <c r="J1803" s="176">
        <v>4387.03</v>
      </c>
      <c r="K1803" s="176">
        <v>295174.85</v>
      </c>
      <c r="L1803" s="163"/>
      <c r="M1803" s="161" t="s">
        <v>4847</v>
      </c>
      <c r="N1803" s="161" t="s">
        <v>1299</v>
      </c>
      <c r="O1803" s="161" t="s">
        <v>25</v>
      </c>
      <c r="P1803" s="49" t="s">
        <v>25</v>
      </c>
      <c r="Q1803" s="166" t="s">
        <v>4814</v>
      </c>
      <c r="R1803" s="151"/>
    </row>
    <row r="1804" spans="1:18">
      <c r="A1804" s="186" t="s">
        <v>53</v>
      </c>
      <c r="B1804" s="101" t="s">
        <v>53</v>
      </c>
      <c r="C1804" s="83" t="s">
        <v>4890</v>
      </c>
      <c r="D1804" s="161" t="s">
        <v>1405</v>
      </c>
      <c r="E1804" s="161" t="s">
        <v>1384</v>
      </c>
      <c r="F1804" s="161" t="s">
        <v>4801</v>
      </c>
      <c r="G1804" s="171">
        <v>910.747</v>
      </c>
      <c r="H1804" s="163">
        <f t="shared" si="140"/>
        <v>8.827</v>
      </c>
      <c r="I1804" s="163">
        <v>1609</v>
      </c>
      <c r="J1804" s="176">
        <v>2717.34</v>
      </c>
      <c r="K1804" s="176">
        <v>297892.19</v>
      </c>
      <c r="L1804" s="163" t="s">
        <v>4883</v>
      </c>
      <c r="M1804" s="161" t="s">
        <v>4847</v>
      </c>
      <c r="N1804" s="161" t="s">
        <v>1299</v>
      </c>
      <c r="O1804" s="161" t="s">
        <v>25</v>
      </c>
      <c r="P1804" s="49" t="s">
        <v>25</v>
      </c>
      <c r="Q1804" s="166" t="s">
        <v>4804</v>
      </c>
      <c r="R1804" s="151"/>
    </row>
    <row r="1805" spans="1:18">
      <c r="A1805" s="186" t="s">
        <v>53</v>
      </c>
      <c r="B1805" s="101" t="s">
        <v>53</v>
      </c>
      <c r="C1805" s="135" t="s">
        <v>463</v>
      </c>
      <c r="D1805" s="161" t="s">
        <v>463</v>
      </c>
      <c r="E1805" s="161" t="s">
        <v>1384</v>
      </c>
      <c r="F1805" s="161" t="s">
        <v>4801</v>
      </c>
      <c r="G1805" s="171">
        <v>918</v>
      </c>
      <c r="H1805" s="163">
        <f t="shared" si="140"/>
        <v>7.25300000000004</v>
      </c>
      <c r="I1805" s="163">
        <v>1690</v>
      </c>
      <c r="J1805" s="176">
        <v>2651.86</v>
      </c>
      <c r="K1805" s="176">
        <v>300544.05</v>
      </c>
      <c r="L1805" s="163" t="s">
        <v>4891</v>
      </c>
      <c r="M1805" s="161" t="s">
        <v>4892</v>
      </c>
      <c r="N1805" s="161"/>
      <c r="O1805" s="161"/>
      <c r="P1805" s="49"/>
      <c r="Q1805" s="166" t="s">
        <v>4804</v>
      </c>
      <c r="R1805" s="151"/>
    </row>
    <row r="1806" ht="75" spans="1:18">
      <c r="A1806" s="186" t="s">
        <v>53</v>
      </c>
      <c r="B1806" s="101" t="s">
        <v>53</v>
      </c>
      <c r="C1806" s="83" t="s">
        <v>464</v>
      </c>
      <c r="D1806" s="161" t="s">
        <v>4893</v>
      </c>
      <c r="E1806" s="161" t="s">
        <v>1384</v>
      </c>
      <c r="F1806" s="161" t="s">
        <v>4801</v>
      </c>
      <c r="G1806" s="171">
        <v>921.4</v>
      </c>
      <c r="H1806" s="163">
        <f t="shared" si="140"/>
        <v>3.39999999999998</v>
      </c>
      <c r="I1806" s="163">
        <v>1674</v>
      </c>
      <c r="J1806" s="176">
        <v>1113.13</v>
      </c>
      <c r="K1806" s="176">
        <v>301657.18</v>
      </c>
      <c r="L1806" s="163" t="s">
        <v>4894</v>
      </c>
      <c r="M1806" s="161" t="s">
        <v>4847</v>
      </c>
      <c r="N1806" s="161" t="s">
        <v>2239</v>
      </c>
      <c r="O1806" s="161" t="s">
        <v>25</v>
      </c>
      <c r="P1806" s="49" t="s">
        <v>25</v>
      </c>
      <c r="Q1806" s="166" t="s">
        <v>4895</v>
      </c>
      <c r="R1806" s="151"/>
    </row>
    <row r="1807" spans="1:18">
      <c r="A1807" s="186" t="s">
        <v>54</v>
      </c>
      <c r="B1807" s="101" t="s">
        <v>466</v>
      </c>
      <c r="C1807" s="83" t="s">
        <v>463</v>
      </c>
      <c r="D1807" s="161" t="s">
        <v>463</v>
      </c>
      <c r="E1807" s="161" t="s">
        <v>1384</v>
      </c>
      <c r="F1807" s="161" t="s">
        <v>4801</v>
      </c>
      <c r="G1807" s="171">
        <v>0</v>
      </c>
      <c r="H1807" s="163">
        <v>0</v>
      </c>
      <c r="I1807" s="176">
        <v>1683</v>
      </c>
      <c r="J1807" s="176">
        <v>0</v>
      </c>
      <c r="K1807" s="176">
        <v>0</v>
      </c>
      <c r="L1807" s="163"/>
      <c r="M1807" s="161" t="s">
        <v>4892</v>
      </c>
      <c r="N1807" s="161"/>
      <c r="O1807" s="161" t="s">
        <v>6</v>
      </c>
      <c r="P1807" s="49" t="s">
        <v>6</v>
      </c>
      <c r="Q1807" s="166" t="s">
        <v>4804</v>
      </c>
      <c r="R1807" s="151"/>
    </row>
    <row r="1808" spans="1:18">
      <c r="A1808" s="186" t="s">
        <v>54</v>
      </c>
      <c r="B1808" s="101" t="s">
        <v>466</v>
      </c>
      <c r="C1808" s="83" t="s">
        <v>4896</v>
      </c>
      <c r="D1808" s="186" t="s">
        <v>4896</v>
      </c>
      <c r="E1808" s="161" t="s">
        <v>1384</v>
      </c>
      <c r="F1808" s="161" t="s">
        <v>4801</v>
      </c>
      <c r="G1808" s="171">
        <v>9</v>
      </c>
      <c r="H1808" s="163">
        <f>G1808-G1807</f>
        <v>9</v>
      </c>
      <c r="I1808" s="176"/>
      <c r="J1808" s="176"/>
      <c r="K1808" s="176"/>
      <c r="L1808" s="163"/>
      <c r="M1808" s="161"/>
      <c r="N1808" s="161"/>
      <c r="O1808" s="161" t="s">
        <v>26</v>
      </c>
      <c r="P1808" s="49" t="s">
        <v>26</v>
      </c>
      <c r="Q1808" s="166"/>
      <c r="R1808" s="151"/>
    </row>
    <row r="1809" spans="1:18">
      <c r="A1809" s="186" t="s">
        <v>54</v>
      </c>
      <c r="B1809" s="101" t="s">
        <v>466</v>
      </c>
      <c r="C1809" s="83" t="s">
        <v>4897</v>
      </c>
      <c r="D1809" s="161" t="s">
        <v>1899</v>
      </c>
      <c r="E1809" s="161" t="s">
        <v>1384</v>
      </c>
      <c r="F1809" s="161" t="s">
        <v>4801</v>
      </c>
      <c r="G1809" s="171">
        <v>16.536</v>
      </c>
      <c r="H1809" s="163">
        <f t="shared" ref="H1809:H1825" si="141">G1809-G1808</f>
        <v>7.536</v>
      </c>
      <c r="I1809" s="176">
        <v>1650</v>
      </c>
      <c r="J1809" s="176">
        <v>4481</v>
      </c>
      <c r="K1809" s="176">
        <v>4481</v>
      </c>
      <c r="L1809" s="163"/>
      <c r="M1809" s="161" t="s">
        <v>4892</v>
      </c>
      <c r="N1809" s="161" t="s">
        <v>1901</v>
      </c>
      <c r="O1809" s="161" t="s">
        <v>26</v>
      </c>
      <c r="P1809" s="49" t="s">
        <v>26</v>
      </c>
      <c r="Q1809" s="166" t="s">
        <v>4898</v>
      </c>
      <c r="R1809" s="151"/>
    </row>
    <row r="1810" spans="1:18">
      <c r="A1810" s="186" t="s">
        <v>54</v>
      </c>
      <c r="B1810" s="101" t="s">
        <v>466</v>
      </c>
      <c r="C1810" s="83" t="s">
        <v>4899</v>
      </c>
      <c r="D1810" s="161" t="s">
        <v>1904</v>
      </c>
      <c r="E1810" s="161" t="s">
        <v>1384</v>
      </c>
      <c r="F1810" s="161" t="s">
        <v>4801</v>
      </c>
      <c r="G1810" s="171">
        <v>33.373</v>
      </c>
      <c r="H1810" s="163">
        <f t="shared" si="141"/>
        <v>16.837</v>
      </c>
      <c r="I1810" s="176">
        <v>1780</v>
      </c>
      <c r="J1810" s="176">
        <v>4562</v>
      </c>
      <c r="K1810" s="176">
        <v>9043</v>
      </c>
      <c r="L1810" s="163"/>
      <c r="M1810" s="161" t="s">
        <v>4892</v>
      </c>
      <c r="N1810" s="161" t="s">
        <v>1901</v>
      </c>
      <c r="O1810" s="161" t="s">
        <v>26</v>
      </c>
      <c r="P1810" s="49" t="s">
        <v>26</v>
      </c>
      <c r="Q1810" s="166" t="s">
        <v>4898</v>
      </c>
      <c r="R1810" s="151"/>
    </row>
    <row r="1811" spans="1:18">
      <c r="A1811" s="186" t="s">
        <v>54</v>
      </c>
      <c r="B1811" s="101" t="s">
        <v>466</v>
      </c>
      <c r="C1811" s="83" t="s">
        <v>4900</v>
      </c>
      <c r="D1811" s="161" t="s">
        <v>2847</v>
      </c>
      <c r="E1811" s="161" t="s">
        <v>1384</v>
      </c>
      <c r="F1811" s="161" t="s">
        <v>4901</v>
      </c>
      <c r="G1811" s="171">
        <v>64.24</v>
      </c>
      <c r="H1811" s="163">
        <f t="shared" si="141"/>
        <v>30.867</v>
      </c>
      <c r="I1811" s="176">
        <v>2019</v>
      </c>
      <c r="J1811" s="176">
        <v>8267</v>
      </c>
      <c r="K1811" s="176">
        <v>17310</v>
      </c>
      <c r="L1811" s="163"/>
      <c r="M1811" s="161" t="s">
        <v>4892</v>
      </c>
      <c r="N1811" s="161" t="s">
        <v>1901</v>
      </c>
      <c r="O1811" s="161" t="s">
        <v>26</v>
      </c>
      <c r="P1811" s="49" t="s">
        <v>26</v>
      </c>
      <c r="Q1811" s="166" t="s">
        <v>4898</v>
      </c>
      <c r="R1811" s="151"/>
    </row>
    <row r="1812" spans="1:18">
      <c r="A1812" s="186" t="s">
        <v>54</v>
      </c>
      <c r="B1812" s="101" t="s">
        <v>466</v>
      </c>
      <c r="C1812" s="83" t="s">
        <v>472</v>
      </c>
      <c r="D1812" s="161" t="s">
        <v>1307</v>
      </c>
      <c r="E1812" s="161" t="s">
        <v>1384</v>
      </c>
      <c r="F1812" s="161" t="s">
        <v>4901</v>
      </c>
      <c r="G1812" s="171">
        <v>92</v>
      </c>
      <c r="H1812" s="163">
        <f t="shared" si="141"/>
        <v>27.76</v>
      </c>
      <c r="I1812" s="176">
        <v>2256</v>
      </c>
      <c r="J1812" s="176">
        <v>7522</v>
      </c>
      <c r="K1812" s="176">
        <v>24832</v>
      </c>
      <c r="L1812" s="163"/>
      <c r="M1812" s="161" t="s">
        <v>4892</v>
      </c>
      <c r="N1812" s="161" t="s">
        <v>1299</v>
      </c>
      <c r="O1812" s="161" t="s">
        <v>25</v>
      </c>
      <c r="P1812" s="49" t="s">
        <v>25</v>
      </c>
      <c r="Q1812" s="166" t="s">
        <v>4902</v>
      </c>
      <c r="R1812" s="151"/>
    </row>
    <row r="1813" spans="1:18">
      <c r="A1813" s="186" t="s">
        <v>54</v>
      </c>
      <c r="B1813" s="101" t="s">
        <v>466</v>
      </c>
      <c r="C1813" s="83" t="s">
        <v>4903</v>
      </c>
      <c r="D1813" s="161" t="s">
        <v>2252</v>
      </c>
      <c r="E1813" s="161" t="s">
        <v>1384</v>
      </c>
      <c r="F1813" s="161" t="s">
        <v>4901</v>
      </c>
      <c r="G1813" s="171">
        <v>121.75</v>
      </c>
      <c r="H1813" s="163">
        <f t="shared" si="141"/>
        <v>29.75</v>
      </c>
      <c r="I1813" s="176">
        <v>2100</v>
      </c>
      <c r="J1813" s="176">
        <v>8092</v>
      </c>
      <c r="K1813" s="176">
        <v>32924</v>
      </c>
      <c r="L1813" s="163"/>
      <c r="M1813" s="161" t="s">
        <v>4892</v>
      </c>
      <c r="N1813" s="161" t="s">
        <v>1901</v>
      </c>
      <c r="O1813" s="161" t="s">
        <v>26</v>
      </c>
      <c r="P1813" s="49" t="s">
        <v>26</v>
      </c>
      <c r="Q1813" s="166" t="s">
        <v>4902</v>
      </c>
      <c r="R1813" s="151"/>
    </row>
    <row r="1814" spans="1:18">
      <c r="A1814" s="186" t="s">
        <v>54</v>
      </c>
      <c r="B1814" s="101" t="s">
        <v>466</v>
      </c>
      <c r="C1814" s="83" t="s">
        <v>475</v>
      </c>
      <c r="D1814" s="161" t="s">
        <v>1848</v>
      </c>
      <c r="E1814" s="161" t="s">
        <v>1384</v>
      </c>
      <c r="F1814" s="161" t="s">
        <v>4901</v>
      </c>
      <c r="G1814" s="171">
        <v>152</v>
      </c>
      <c r="H1814" s="163">
        <f t="shared" si="141"/>
        <v>30.25</v>
      </c>
      <c r="I1814" s="176">
        <v>1580</v>
      </c>
      <c r="J1814" s="176">
        <v>8228</v>
      </c>
      <c r="K1814" s="176">
        <v>41152</v>
      </c>
      <c r="L1814" s="163"/>
      <c r="M1814" s="161" t="s">
        <v>4892</v>
      </c>
      <c r="N1814" s="161" t="s">
        <v>1331</v>
      </c>
      <c r="O1814" s="161" t="s">
        <v>27</v>
      </c>
      <c r="P1814" s="49" t="s">
        <v>27</v>
      </c>
      <c r="Q1814" s="166" t="s">
        <v>4902</v>
      </c>
      <c r="R1814" s="151"/>
    </row>
    <row r="1815" spans="1:18">
      <c r="A1815" s="186" t="s">
        <v>54</v>
      </c>
      <c r="B1815" s="101" t="s">
        <v>466</v>
      </c>
      <c r="C1815" s="83" t="s">
        <v>4904</v>
      </c>
      <c r="D1815" s="161" t="s">
        <v>2261</v>
      </c>
      <c r="E1815" s="161" t="s">
        <v>1384</v>
      </c>
      <c r="F1815" s="161" t="s">
        <v>4901</v>
      </c>
      <c r="G1815" s="171">
        <v>173.419</v>
      </c>
      <c r="H1815" s="163">
        <f t="shared" si="141"/>
        <v>21.419</v>
      </c>
      <c r="I1815" s="176">
        <v>1576</v>
      </c>
      <c r="J1815" s="176">
        <v>5811</v>
      </c>
      <c r="K1815" s="176">
        <v>46963</v>
      </c>
      <c r="L1815" s="163"/>
      <c r="M1815" s="161" t="s">
        <v>4892</v>
      </c>
      <c r="N1815" s="161" t="s">
        <v>1901</v>
      </c>
      <c r="O1815" s="161" t="s">
        <v>26</v>
      </c>
      <c r="P1815" s="49" t="s">
        <v>26</v>
      </c>
      <c r="Q1815" s="166" t="s">
        <v>4902</v>
      </c>
      <c r="R1815" s="151"/>
    </row>
    <row r="1816" spans="1:18">
      <c r="A1816" s="186" t="s">
        <v>54</v>
      </c>
      <c r="B1816" s="101" t="s">
        <v>469</v>
      </c>
      <c r="C1816" s="83" t="s">
        <v>4905</v>
      </c>
      <c r="D1816" s="161" t="s">
        <v>4905</v>
      </c>
      <c r="E1816" s="161" t="s">
        <v>1491</v>
      </c>
      <c r="F1816" s="161" t="s">
        <v>1492</v>
      </c>
      <c r="G1816" s="171">
        <v>204</v>
      </c>
      <c r="H1816" s="163">
        <f t="shared" si="141"/>
        <v>30.581</v>
      </c>
      <c r="I1816" s="176">
        <v>1647</v>
      </c>
      <c r="J1816" s="176">
        <v>8348</v>
      </c>
      <c r="K1816" s="176">
        <v>55310</v>
      </c>
      <c r="L1816" s="163"/>
      <c r="M1816" s="161" t="s">
        <v>4892</v>
      </c>
      <c r="N1816" s="161" t="s">
        <v>1331</v>
      </c>
      <c r="O1816" s="161" t="s">
        <v>14</v>
      </c>
      <c r="P1816" s="49" t="s">
        <v>14</v>
      </c>
      <c r="Q1816" s="166" t="s">
        <v>1493</v>
      </c>
      <c r="R1816" s="151"/>
    </row>
    <row r="1817" spans="1:18">
      <c r="A1817" s="186" t="s">
        <v>54</v>
      </c>
      <c r="B1817" s="101" t="s">
        <v>469</v>
      </c>
      <c r="C1817" s="83" t="s">
        <v>4906</v>
      </c>
      <c r="D1817" s="161" t="s">
        <v>1933</v>
      </c>
      <c r="E1817" s="161" t="s">
        <v>1491</v>
      </c>
      <c r="F1817" s="161" t="s">
        <v>1492</v>
      </c>
      <c r="G1817" s="171">
        <v>229.2931</v>
      </c>
      <c r="H1817" s="163">
        <f t="shared" si="141"/>
        <v>25.2931</v>
      </c>
      <c r="I1817" s="176">
        <v>1520</v>
      </c>
      <c r="J1817" s="176">
        <v>6842.97678893472</v>
      </c>
      <c r="K1817" s="176">
        <f>K1816+J1817</f>
        <v>62152.9767889347</v>
      </c>
      <c r="L1817" s="163"/>
      <c r="M1817" s="161" t="s">
        <v>4892</v>
      </c>
      <c r="N1817" s="161" t="s">
        <v>1331</v>
      </c>
      <c r="O1817" s="161" t="s">
        <v>27</v>
      </c>
      <c r="P1817" s="49" t="s">
        <v>27</v>
      </c>
      <c r="Q1817" s="166" t="s">
        <v>4907</v>
      </c>
      <c r="R1817" s="151"/>
    </row>
    <row r="1818" spans="1:18">
      <c r="A1818" s="186" t="s">
        <v>54</v>
      </c>
      <c r="B1818" s="101" t="s">
        <v>469</v>
      </c>
      <c r="C1818" s="83" t="s">
        <v>4908</v>
      </c>
      <c r="D1818" s="161" t="s">
        <v>1936</v>
      </c>
      <c r="E1818" s="161" t="s">
        <v>1491</v>
      </c>
      <c r="F1818" s="161" t="s">
        <v>1492</v>
      </c>
      <c r="G1818" s="171">
        <v>253.8341</v>
      </c>
      <c r="H1818" s="163">
        <f t="shared" si="141"/>
        <v>24.541</v>
      </c>
      <c r="I1818" s="176">
        <v>1537</v>
      </c>
      <c r="J1818" s="176">
        <v>7277.45150569248</v>
      </c>
      <c r="K1818" s="176">
        <f t="shared" ref="K1818:K1825" si="142">K1817+J1818</f>
        <v>69430.4282946272</v>
      </c>
      <c r="L1818" s="163"/>
      <c r="M1818" s="161" t="s">
        <v>4892</v>
      </c>
      <c r="N1818" s="161" t="s">
        <v>1331</v>
      </c>
      <c r="O1818" s="161" t="s">
        <v>27</v>
      </c>
      <c r="P1818" s="49" t="s">
        <v>27</v>
      </c>
      <c r="Q1818" s="166" t="s">
        <v>4909</v>
      </c>
      <c r="R1818" s="151"/>
    </row>
    <row r="1819" spans="1:18">
      <c r="A1819" s="186" t="s">
        <v>54</v>
      </c>
      <c r="B1819" s="101" t="s">
        <v>469</v>
      </c>
      <c r="C1819" s="83" t="s">
        <v>478</v>
      </c>
      <c r="D1819" s="161" t="s">
        <v>2201</v>
      </c>
      <c r="E1819" s="161" t="s">
        <v>1491</v>
      </c>
      <c r="F1819" s="161" t="s">
        <v>1492</v>
      </c>
      <c r="G1819" s="171">
        <v>286.9</v>
      </c>
      <c r="H1819" s="163">
        <f t="shared" si="141"/>
        <v>33.0659</v>
      </c>
      <c r="I1819" s="176">
        <v>1439</v>
      </c>
      <c r="J1819" s="176">
        <v>8390.79296738424</v>
      </c>
      <c r="K1819" s="176">
        <f t="shared" si="142"/>
        <v>77821.2212620114</v>
      </c>
      <c r="L1819" s="163"/>
      <c r="M1819" s="161" t="s">
        <v>4892</v>
      </c>
      <c r="N1819" s="161" t="s">
        <v>1331</v>
      </c>
      <c r="O1819" s="161" t="s">
        <v>27</v>
      </c>
      <c r="P1819" s="49" t="s">
        <v>27</v>
      </c>
      <c r="Q1819" s="166" t="s">
        <v>4910</v>
      </c>
      <c r="R1819" s="151"/>
    </row>
    <row r="1820" spans="1:18">
      <c r="A1820" s="186" t="s">
        <v>54</v>
      </c>
      <c r="B1820" s="101" t="s">
        <v>469</v>
      </c>
      <c r="C1820" s="83" t="s">
        <v>4911</v>
      </c>
      <c r="D1820" s="161" t="s">
        <v>1942</v>
      </c>
      <c r="E1820" s="161" t="s">
        <v>1491</v>
      </c>
      <c r="F1820" s="161" t="s">
        <v>1492</v>
      </c>
      <c r="G1820" s="171">
        <v>314.3565</v>
      </c>
      <c r="H1820" s="163">
        <f t="shared" si="141"/>
        <v>27.4565</v>
      </c>
      <c r="I1820" s="176">
        <v>1389</v>
      </c>
      <c r="J1820" s="176">
        <v>7521.84353386872</v>
      </c>
      <c r="K1820" s="176">
        <f t="shared" si="142"/>
        <v>85343.0647958802</v>
      </c>
      <c r="L1820" s="163"/>
      <c r="M1820" s="161" t="s">
        <v>4892</v>
      </c>
      <c r="N1820" s="161" t="s">
        <v>1331</v>
      </c>
      <c r="O1820" s="161" t="s">
        <v>27</v>
      </c>
      <c r="P1820" s="49" t="s">
        <v>27</v>
      </c>
      <c r="Q1820" s="166" t="s">
        <v>4912</v>
      </c>
      <c r="R1820" s="151"/>
    </row>
    <row r="1821" spans="1:18">
      <c r="A1821" s="186" t="s">
        <v>54</v>
      </c>
      <c r="B1821" s="101" t="s">
        <v>469</v>
      </c>
      <c r="C1821" s="83" t="s">
        <v>4913</v>
      </c>
      <c r="D1821" s="161" t="s">
        <v>4914</v>
      </c>
      <c r="E1821" s="161" t="s">
        <v>1491</v>
      </c>
      <c r="F1821" s="161" t="s">
        <v>1492</v>
      </c>
      <c r="G1821" s="171">
        <v>343.2895</v>
      </c>
      <c r="H1821" s="163">
        <f t="shared" si="141"/>
        <v>28.933</v>
      </c>
      <c r="I1821" s="176">
        <v>1361</v>
      </c>
      <c r="J1821" s="176">
        <v>7494.68886407136</v>
      </c>
      <c r="K1821" s="176">
        <f t="shared" si="142"/>
        <v>92837.7536599515</v>
      </c>
      <c r="L1821" s="163"/>
      <c r="M1821" s="161" t="s">
        <v>4892</v>
      </c>
      <c r="N1821" s="161" t="s">
        <v>1331</v>
      </c>
      <c r="O1821" s="161" t="s">
        <v>27</v>
      </c>
      <c r="P1821" s="49" t="s">
        <v>27</v>
      </c>
      <c r="Q1821" s="166" t="s">
        <v>4915</v>
      </c>
      <c r="R1821" s="151"/>
    </row>
    <row r="1822" spans="1:18">
      <c r="A1822" s="186" t="s">
        <v>54</v>
      </c>
      <c r="B1822" s="101" t="s">
        <v>469</v>
      </c>
      <c r="C1822" s="83" t="s">
        <v>4916</v>
      </c>
      <c r="D1822" s="161" t="s">
        <v>4916</v>
      </c>
      <c r="E1822" s="161" t="s">
        <v>1491</v>
      </c>
      <c r="F1822" s="161" t="s">
        <v>1492</v>
      </c>
      <c r="G1822" s="171">
        <v>373.1</v>
      </c>
      <c r="H1822" s="163">
        <f t="shared" si="141"/>
        <v>29.8105</v>
      </c>
      <c r="I1822" s="176">
        <v>1199</v>
      </c>
      <c r="J1822" s="176">
        <v>8390.79296738424</v>
      </c>
      <c r="K1822" s="176">
        <f t="shared" si="142"/>
        <v>101228.546627336</v>
      </c>
      <c r="L1822" s="163" t="s">
        <v>4917</v>
      </c>
      <c r="M1822" s="161" t="s">
        <v>4892</v>
      </c>
      <c r="N1822" s="161" t="s">
        <v>1331</v>
      </c>
      <c r="O1822" s="161" t="s">
        <v>14</v>
      </c>
      <c r="P1822" s="49" t="s">
        <v>14</v>
      </c>
      <c r="Q1822" s="166" t="s">
        <v>4907</v>
      </c>
      <c r="R1822" s="151"/>
    </row>
    <row r="1823" spans="1:18">
      <c r="A1823" s="186" t="s">
        <v>54</v>
      </c>
      <c r="B1823" s="101" t="s">
        <v>469</v>
      </c>
      <c r="C1823" s="83" t="s">
        <v>4918</v>
      </c>
      <c r="D1823" s="161" t="s">
        <v>1349</v>
      </c>
      <c r="E1823" s="161" t="s">
        <v>1491</v>
      </c>
      <c r="F1823" s="161" t="s">
        <v>4919</v>
      </c>
      <c r="G1823" s="171">
        <v>393.6</v>
      </c>
      <c r="H1823" s="163">
        <f t="shared" si="141"/>
        <v>20.5</v>
      </c>
      <c r="I1823" s="176">
        <v>1157</v>
      </c>
      <c r="J1823" s="176">
        <v>5702.4806574456</v>
      </c>
      <c r="K1823" s="176">
        <f t="shared" si="142"/>
        <v>106931.027284781</v>
      </c>
      <c r="L1823" s="163"/>
      <c r="M1823" s="161" t="s">
        <v>4892</v>
      </c>
      <c r="N1823" s="161" t="s">
        <v>1299</v>
      </c>
      <c r="O1823" s="161" t="s">
        <v>26</v>
      </c>
      <c r="P1823" s="49" t="s">
        <v>25</v>
      </c>
      <c r="Q1823" s="166" t="s">
        <v>4920</v>
      </c>
      <c r="R1823" s="151"/>
    </row>
    <row r="1824" spans="1:18">
      <c r="A1824" s="186" t="s">
        <v>54</v>
      </c>
      <c r="B1824" s="101" t="s">
        <v>469</v>
      </c>
      <c r="C1824" s="83" t="s">
        <v>4921</v>
      </c>
      <c r="D1824" s="161" t="s">
        <v>316</v>
      </c>
      <c r="E1824" s="161" t="s">
        <v>1491</v>
      </c>
      <c r="F1824" s="161" t="s">
        <v>4919</v>
      </c>
      <c r="G1824" s="171">
        <v>403.7074</v>
      </c>
      <c r="H1824" s="163">
        <f t="shared" si="141"/>
        <v>10.1074</v>
      </c>
      <c r="I1824" s="176">
        <v>1126</v>
      </c>
      <c r="J1824" s="176">
        <v>3031.88454216058</v>
      </c>
      <c r="K1824" s="176">
        <f t="shared" si="142"/>
        <v>109962.911826942</v>
      </c>
      <c r="L1824" s="163"/>
      <c r="M1824" s="161" t="s">
        <v>4892</v>
      </c>
      <c r="N1824" s="161" t="s">
        <v>1331</v>
      </c>
      <c r="O1824" s="161" t="s">
        <v>27</v>
      </c>
      <c r="P1824" s="49" t="s">
        <v>27</v>
      </c>
      <c r="Q1824" s="166" t="s">
        <v>4922</v>
      </c>
      <c r="R1824" s="151"/>
    </row>
    <row r="1825" spans="1:18">
      <c r="A1825" s="186" t="s">
        <v>54</v>
      </c>
      <c r="B1825" s="101" t="s">
        <v>469</v>
      </c>
      <c r="C1825" s="83" t="s">
        <v>470</v>
      </c>
      <c r="D1825" s="161" t="s">
        <v>470</v>
      </c>
      <c r="E1825" s="161" t="s">
        <v>1491</v>
      </c>
      <c r="F1825" s="161" t="s">
        <v>4919</v>
      </c>
      <c r="G1825" s="171">
        <v>413.1</v>
      </c>
      <c r="H1825" s="163">
        <f t="shared" si="141"/>
        <v>9.39260000000002</v>
      </c>
      <c r="I1825" s="176">
        <v>1114</v>
      </c>
      <c r="J1825" s="176">
        <v>2036.600234802</v>
      </c>
      <c r="K1825" s="176">
        <f t="shared" si="142"/>
        <v>111999.512061744</v>
      </c>
      <c r="L1825" s="163"/>
      <c r="M1825" s="161" t="s">
        <v>4892</v>
      </c>
      <c r="N1825" s="161" t="s">
        <v>1331</v>
      </c>
      <c r="O1825" s="161" t="s">
        <v>6</v>
      </c>
      <c r="P1825" s="49" t="s">
        <v>6</v>
      </c>
      <c r="Q1825" s="166" t="s">
        <v>4923</v>
      </c>
      <c r="R1825" s="151"/>
    </row>
    <row r="1826" spans="1:18">
      <c r="A1826" s="186" t="s">
        <v>54</v>
      </c>
      <c r="B1826" s="101" t="s">
        <v>471</v>
      </c>
      <c r="C1826" s="135" t="s">
        <v>472</v>
      </c>
      <c r="D1826" s="161" t="s">
        <v>1307</v>
      </c>
      <c r="E1826" s="161" t="s">
        <v>1384</v>
      </c>
      <c r="F1826" s="161" t="s">
        <v>4901</v>
      </c>
      <c r="G1826" s="171">
        <v>0</v>
      </c>
      <c r="H1826" s="163">
        <v>0</v>
      </c>
      <c r="I1826" s="176" t="s">
        <v>147</v>
      </c>
      <c r="J1826" s="176">
        <v>0</v>
      </c>
      <c r="K1826" s="176">
        <v>0</v>
      </c>
      <c r="L1826" s="163"/>
      <c r="M1826" s="161" t="s">
        <v>4892</v>
      </c>
      <c r="N1826" s="161"/>
      <c r="O1826" s="161"/>
      <c r="P1826" s="49"/>
      <c r="Q1826" s="166" t="s">
        <v>4902</v>
      </c>
      <c r="R1826" s="151"/>
    </row>
    <row r="1827" spans="1:18">
      <c r="A1827" s="186" t="s">
        <v>54</v>
      </c>
      <c r="B1827" s="101" t="s">
        <v>471</v>
      </c>
      <c r="C1827" s="83" t="s">
        <v>4924</v>
      </c>
      <c r="D1827" s="161" t="s">
        <v>1899</v>
      </c>
      <c r="E1827" s="161" t="s">
        <v>1384</v>
      </c>
      <c r="F1827" s="161" t="s">
        <v>4901</v>
      </c>
      <c r="G1827" s="171">
        <v>31.7</v>
      </c>
      <c r="H1827" s="163">
        <f>G1827-G1826</f>
        <v>31.7</v>
      </c>
      <c r="I1827" s="176" t="s">
        <v>147</v>
      </c>
      <c r="J1827" s="176">
        <v>1529</v>
      </c>
      <c r="K1827" s="176">
        <f>K1826+J1827</f>
        <v>1529</v>
      </c>
      <c r="L1827" s="163"/>
      <c r="M1827" s="161" t="s">
        <v>4892</v>
      </c>
      <c r="N1827" s="161"/>
      <c r="O1827" s="161" t="s">
        <v>26</v>
      </c>
      <c r="P1827" s="49" t="s">
        <v>26</v>
      </c>
      <c r="Q1827" s="166"/>
      <c r="R1827" s="151"/>
    </row>
    <row r="1828" spans="1:18">
      <c r="A1828" s="186" t="s">
        <v>54</v>
      </c>
      <c r="B1828" s="101" t="s">
        <v>471</v>
      </c>
      <c r="C1828" s="83" t="s">
        <v>473</v>
      </c>
      <c r="D1828" s="161" t="s">
        <v>473</v>
      </c>
      <c r="E1828" s="161" t="s">
        <v>1384</v>
      </c>
      <c r="F1828" s="161" t="s">
        <v>4901</v>
      </c>
      <c r="G1828" s="171">
        <v>56</v>
      </c>
      <c r="H1828" s="163">
        <f>G1828-G1827</f>
        <v>24.3</v>
      </c>
      <c r="I1828" s="176" t="s">
        <v>147</v>
      </c>
      <c r="J1828" s="176">
        <v>1146</v>
      </c>
      <c r="K1828" s="176">
        <f>K1827+J1828</f>
        <v>2675</v>
      </c>
      <c r="L1828" s="163"/>
      <c r="M1828" s="161">
        <v>0</v>
      </c>
      <c r="N1828" s="161" t="s">
        <v>1331</v>
      </c>
      <c r="O1828" s="161" t="s">
        <v>14</v>
      </c>
      <c r="P1828" s="49" t="s">
        <v>14</v>
      </c>
      <c r="Q1828" s="166" t="s">
        <v>4925</v>
      </c>
      <c r="R1828" s="151"/>
    </row>
    <row r="1829" spans="1:18">
      <c r="A1829" s="186" t="s">
        <v>54</v>
      </c>
      <c r="B1829" s="101" t="s">
        <v>474</v>
      </c>
      <c r="C1829" s="135" t="s">
        <v>475</v>
      </c>
      <c r="D1829" s="161" t="s">
        <v>1848</v>
      </c>
      <c r="E1829" s="161" t="s">
        <v>1384</v>
      </c>
      <c r="F1829" s="161" t="s">
        <v>4901</v>
      </c>
      <c r="G1829" s="163">
        <v>0</v>
      </c>
      <c r="H1829" s="163">
        <v>0</v>
      </c>
      <c r="I1829" s="176" t="s">
        <v>147</v>
      </c>
      <c r="J1829" s="176">
        <v>0</v>
      </c>
      <c r="K1829" s="176">
        <v>0</v>
      </c>
      <c r="L1829" s="163"/>
      <c r="M1829" s="161" t="s">
        <v>4892</v>
      </c>
      <c r="N1829" s="161"/>
      <c r="O1829" s="161"/>
      <c r="P1829" s="49"/>
      <c r="Q1829" s="166" t="s">
        <v>4902</v>
      </c>
      <c r="R1829" s="151"/>
    </row>
    <row r="1830" spans="1:18">
      <c r="A1830" s="186" t="s">
        <v>54</v>
      </c>
      <c r="B1830" s="101" t="s">
        <v>474</v>
      </c>
      <c r="C1830" s="83" t="s">
        <v>476</v>
      </c>
      <c r="D1830" s="161" t="s">
        <v>476</v>
      </c>
      <c r="E1830" s="161" t="s">
        <v>1384</v>
      </c>
      <c r="F1830" s="161" t="s">
        <v>4901</v>
      </c>
      <c r="G1830" s="163">
        <v>4</v>
      </c>
      <c r="H1830" s="163">
        <v>4</v>
      </c>
      <c r="I1830" s="176" t="s">
        <v>147</v>
      </c>
      <c r="J1830" s="176">
        <v>90</v>
      </c>
      <c r="K1830" s="176">
        <v>90</v>
      </c>
      <c r="L1830" s="163"/>
      <c r="M1830" s="161">
        <v>0</v>
      </c>
      <c r="N1830" s="161" t="s">
        <v>1331</v>
      </c>
      <c r="O1830" s="161" t="s">
        <v>14</v>
      </c>
      <c r="P1830" s="49" t="s">
        <v>14</v>
      </c>
      <c r="Q1830" s="166" t="s">
        <v>4902</v>
      </c>
      <c r="R1830" s="151"/>
    </row>
    <row r="1831" spans="1:18">
      <c r="A1831" s="186" t="s">
        <v>54</v>
      </c>
      <c r="B1831" s="101" t="s">
        <v>477</v>
      </c>
      <c r="C1831" s="135" t="s">
        <v>478</v>
      </c>
      <c r="D1831" s="161" t="s">
        <v>1811</v>
      </c>
      <c r="E1831" s="161" t="s">
        <v>1491</v>
      </c>
      <c r="F1831" s="161" t="s">
        <v>1492</v>
      </c>
      <c r="G1831" s="163">
        <v>0</v>
      </c>
      <c r="H1831" s="163">
        <v>0</v>
      </c>
      <c r="I1831" s="176" t="s">
        <v>147</v>
      </c>
      <c r="J1831" s="176" t="s">
        <v>147</v>
      </c>
      <c r="K1831" s="176" t="s">
        <v>147</v>
      </c>
      <c r="L1831" s="163"/>
      <c r="M1831" s="161" t="s">
        <v>4892</v>
      </c>
      <c r="N1831" s="161"/>
      <c r="O1831" s="161"/>
      <c r="P1831" s="49"/>
      <c r="Q1831" s="166" t="s">
        <v>4910</v>
      </c>
      <c r="R1831" s="151"/>
    </row>
    <row r="1832" spans="1:18">
      <c r="A1832" s="186" t="s">
        <v>54</v>
      </c>
      <c r="B1832" s="101" t="s">
        <v>477</v>
      </c>
      <c r="C1832" s="83" t="s">
        <v>479</v>
      </c>
      <c r="D1832" s="161" t="s">
        <v>479</v>
      </c>
      <c r="E1832" s="161" t="s">
        <v>1491</v>
      </c>
      <c r="F1832" s="161" t="s">
        <v>1492</v>
      </c>
      <c r="G1832" s="163">
        <v>0.03</v>
      </c>
      <c r="H1832" s="163">
        <v>0.03</v>
      </c>
      <c r="I1832" s="176" t="s">
        <v>147</v>
      </c>
      <c r="J1832" s="176" t="s">
        <v>147</v>
      </c>
      <c r="K1832" s="176" t="s">
        <v>147</v>
      </c>
      <c r="L1832" s="163"/>
      <c r="M1832" s="161">
        <v>0</v>
      </c>
      <c r="N1832" s="161" t="s">
        <v>1331</v>
      </c>
      <c r="O1832" s="161" t="s">
        <v>14</v>
      </c>
      <c r="P1832" s="49" t="s">
        <v>14</v>
      </c>
      <c r="Q1832" s="166" t="s">
        <v>4907</v>
      </c>
      <c r="R1832" s="151"/>
    </row>
    <row r="1833" spans="1:18">
      <c r="A1833" s="186" t="s">
        <v>54</v>
      </c>
      <c r="B1833" s="101" t="s">
        <v>481</v>
      </c>
      <c r="C1833" s="135" t="s">
        <v>1489</v>
      </c>
      <c r="D1833" s="161" t="s">
        <v>1490</v>
      </c>
      <c r="E1833" s="161" t="s">
        <v>1491</v>
      </c>
      <c r="F1833" s="161" t="s">
        <v>1492</v>
      </c>
      <c r="G1833" s="163">
        <v>0</v>
      </c>
      <c r="H1833" s="163">
        <v>0</v>
      </c>
      <c r="I1833" s="176">
        <v>1682</v>
      </c>
      <c r="J1833" s="176"/>
      <c r="K1833" s="176"/>
      <c r="L1833" s="163"/>
      <c r="M1833" s="161" t="s">
        <v>1294</v>
      </c>
      <c r="N1833" s="161"/>
      <c r="O1833" s="161"/>
      <c r="P1833" s="49"/>
      <c r="Q1833" s="166" t="s">
        <v>1493</v>
      </c>
      <c r="R1833" s="151"/>
    </row>
    <row r="1834" spans="1:18">
      <c r="A1834" s="186" t="s">
        <v>54</v>
      </c>
      <c r="B1834" s="101" t="s">
        <v>481</v>
      </c>
      <c r="C1834" s="135" t="s">
        <v>4905</v>
      </c>
      <c r="D1834" s="161" t="s">
        <v>4905</v>
      </c>
      <c r="E1834" s="161" t="s">
        <v>1491</v>
      </c>
      <c r="F1834" s="161" t="s">
        <v>1492</v>
      </c>
      <c r="G1834" s="163">
        <v>28.3</v>
      </c>
      <c r="H1834" s="163">
        <v>28.3</v>
      </c>
      <c r="I1834" s="176">
        <v>1647</v>
      </c>
      <c r="J1834" s="176"/>
      <c r="K1834" s="176"/>
      <c r="L1834" s="163"/>
      <c r="M1834" s="161" t="s">
        <v>4892</v>
      </c>
      <c r="N1834" s="161" t="s">
        <v>1331</v>
      </c>
      <c r="O1834" s="161"/>
      <c r="P1834" s="49"/>
      <c r="Q1834" s="166" t="s">
        <v>1493</v>
      </c>
      <c r="R1834" s="151"/>
    </row>
    <row r="1835" spans="1:18">
      <c r="A1835" s="186" t="s">
        <v>54</v>
      </c>
      <c r="B1835" s="101" t="s">
        <v>483</v>
      </c>
      <c r="C1835" s="135" t="s">
        <v>2451</v>
      </c>
      <c r="D1835" s="161" t="s">
        <v>2452</v>
      </c>
      <c r="E1835" s="161" t="s">
        <v>1491</v>
      </c>
      <c r="F1835" s="161" t="s">
        <v>1492</v>
      </c>
      <c r="G1835" s="163">
        <v>0</v>
      </c>
      <c r="H1835" s="163">
        <v>0</v>
      </c>
      <c r="I1835" s="176">
        <v>1686</v>
      </c>
      <c r="J1835" s="176"/>
      <c r="K1835" s="176"/>
      <c r="L1835" s="163"/>
      <c r="M1835" s="161" t="s">
        <v>2232</v>
      </c>
      <c r="N1835" s="161"/>
      <c r="O1835" s="161"/>
      <c r="P1835" s="49"/>
      <c r="Q1835" s="166" t="s">
        <v>2454</v>
      </c>
      <c r="R1835" s="151"/>
    </row>
    <row r="1836" spans="1:18">
      <c r="A1836" s="186" t="s">
        <v>54</v>
      </c>
      <c r="B1836" s="101" t="s">
        <v>483</v>
      </c>
      <c r="C1836" s="135" t="s">
        <v>4905</v>
      </c>
      <c r="D1836" s="161" t="s">
        <v>4905</v>
      </c>
      <c r="E1836" s="161" t="s">
        <v>1491</v>
      </c>
      <c r="F1836" s="161" t="s">
        <v>1492</v>
      </c>
      <c r="G1836" s="163">
        <v>28.373</v>
      </c>
      <c r="H1836" s="163">
        <v>28.373</v>
      </c>
      <c r="I1836" s="176">
        <v>1647</v>
      </c>
      <c r="J1836" s="176"/>
      <c r="K1836" s="176"/>
      <c r="L1836" s="163"/>
      <c r="M1836" s="161" t="s">
        <v>4892</v>
      </c>
      <c r="N1836" s="161"/>
      <c r="O1836" s="161"/>
      <c r="P1836" s="49"/>
      <c r="Q1836" s="166" t="s">
        <v>1493</v>
      </c>
      <c r="R1836" s="151"/>
    </row>
    <row r="1837" spans="1:18">
      <c r="A1837" s="186" t="s">
        <v>55</v>
      </c>
      <c r="B1837" s="101" t="s">
        <v>485</v>
      </c>
      <c r="C1837" s="83" t="s">
        <v>486</v>
      </c>
      <c r="D1837" s="161" t="s">
        <v>486</v>
      </c>
      <c r="E1837" s="161" t="s">
        <v>1491</v>
      </c>
      <c r="F1837" s="161" t="s">
        <v>1520</v>
      </c>
      <c r="G1837" s="171">
        <v>0</v>
      </c>
      <c r="H1837" s="163">
        <v>0</v>
      </c>
      <c r="I1837" s="176">
        <v>1308</v>
      </c>
      <c r="J1837" s="176">
        <v>0</v>
      </c>
      <c r="K1837" s="176">
        <v>0</v>
      </c>
      <c r="L1837" s="163"/>
      <c r="M1837" s="161">
        <v>0</v>
      </c>
      <c r="N1837" s="161" t="s">
        <v>1331</v>
      </c>
      <c r="O1837" s="161" t="s">
        <v>6</v>
      </c>
      <c r="P1837" s="49" t="s">
        <v>6</v>
      </c>
      <c r="Q1837" s="166" t="s">
        <v>1554</v>
      </c>
      <c r="R1837" s="151"/>
    </row>
    <row r="1838" spans="1:18">
      <c r="A1838" s="186" t="s">
        <v>55</v>
      </c>
      <c r="B1838" s="101" t="s">
        <v>485</v>
      </c>
      <c r="C1838" s="83" t="s">
        <v>4926</v>
      </c>
      <c r="D1838" s="161" t="s">
        <v>1811</v>
      </c>
      <c r="E1838" s="161" t="s">
        <v>1491</v>
      </c>
      <c r="F1838" s="161" t="s">
        <v>1520</v>
      </c>
      <c r="G1838" s="171">
        <v>25.0425</v>
      </c>
      <c r="H1838" s="163">
        <f>G1838-G1837</f>
        <v>25.0425</v>
      </c>
      <c r="I1838" s="176">
        <v>1329</v>
      </c>
      <c r="J1838" s="176">
        <v>3230.7385344552</v>
      </c>
      <c r="K1838" s="176">
        <f>J1838+K1837</f>
        <v>3230.7385344552</v>
      </c>
      <c r="L1838" s="163"/>
      <c r="M1838" s="161" t="s">
        <v>4927</v>
      </c>
      <c r="N1838" s="161" t="s">
        <v>1331</v>
      </c>
      <c r="O1838" s="161" t="s">
        <v>27</v>
      </c>
      <c r="P1838" s="49" t="s">
        <v>27</v>
      </c>
      <c r="Q1838" s="166" t="s">
        <v>4928</v>
      </c>
      <c r="R1838" s="151"/>
    </row>
    <row r="1839" spans="1:18">
      <c r="A1839" s="186" t="s">
        <v>55</v>
      </c>
      <c r="B1839" s="101" t="s">
        <v>485</v>
      </c>
      <c r="C1839" s="83" t="s">
        <v>4929</v>
      </c>
      <c r="D1839" s="186" t="s">
        <v>4929</v>
      </c>
      <c r="E1839" s="161" t="s">
        <v>1491</v>
      </c>
      <c r="F1839" s="161" t="s">
        <v>1520</v>
      </c>
      <c r="G1839" s="171">
        <v>50.7122</v>
      </c>
      <c r="H1839" s="163">
        <f t="shared" ref="H1839:H1844" si="143">G1839-G1838</f>
        <v>25.6697</v>
      </c>
      <c r="I1839" s="176">
        <v>1318</v>
      </c>
      <c r="J1839" s="176">
        <v>3244.19994501543</v>
      </c>
      <c r="K1839" s="176">
        <f t="shared" ref="K1839:K1844" si="144">J1839+K1838</f>
        <v>6474.93847947063</v>
      </c>
      <c r="L1839" s="163"/>
      <c r="M1839" s="161" t="s">
        <v>4927</v>
      </c>
      <c r="N1839" s="161" t="s">
        <v>1331</v>
      </c>
      <c r="O1839" s="161" t="s">
        <v>14</v>
      </c>
      <c r="P1839" s="49" t="s">
        <v>14</v>
      </c>
      <c r="Q1839" s="166" t="s">
        <v>4930</v>
      </c>
      <c r="R1839" s="151"/>
    </row>
    <row r="1840" spans="1:18">
      <c r="A1840" s="186" t="s">
        <v>55</v>
      </c>
      <c r="B1840" s="101" t="s">
        <v>485</v>
      </c>
      <c r="C1840" s="83" t="s">
        <v>4931</v>
      </c>
      <c r="D1840" s="161" t="s">
        <v>1210</v>
      </c>
      <c r="E1840" s="161" t="s">
        <v>1491</v>
      </c>
      <c r="F1840" s="161" t="s">
        <v>1520</v>
      </c>
      <c r="G1840" s="171">
        <v>80.1172</v>
      </c>
      <c r="H1840" s="163">
        <f t="shared" si="143"/>
        <v>29.405</v>
      </c>
      <c r="I1840" s="176">
        <v>1398</v>
      </c>
      <c r="J1840" s="176">
        <v>3809.57918854509</v>
      </c>
      <c r="K1840" s="176">
        <f t="shared" si="144"/>
        <v>10284.5176680157</v>
      </c>
      <c r="L1840" s="163"/>
      <c r="M1840" s="161" t="s">
        <v>4927</v>
      </c>
      <c r="N1840" s="161" t="s">
        <v>1331</v>
      </c>
      <c r="O1840" s="161" t="s">
        <v>27</v>
      </c>
      <c r="P1840" s="49" t="s">
        <v>27</v>
      </c>
      <c r="Q1840" s="166" t="s">
        <v>4930</v>
      </c>
      <c r="R1840" s="151"/>
    </row>
    <row r="1841" spans="1:18">
      <c r="A1841" s="186" t="s">
        <v>55</v>
      </c>
      <c r="B1841" s="101" t="s">
        <v>485</v>
      </c>
      <c r="C1841" s="83" t="s">
        <v>4932</v>
      </c>
      <c r="D1841" s="161" t="s">
        <v>1820</v>
      </c>
      <c r="E1841" s="161" t="s">
        <v>1491</v>
      </c>
      <c r="F1841" s="161" t="s">
        <v>1520</v>
      </c>
      <c r="G1841" s="171">
        <v>104.2915</v>
      </c>
      <c r="H1841" s="163">
        <f t="shared" si="143"/>
        <v>24.1743</v>
      </c>
      <c r="I1841" s="176">
        <v>1328</v>
      </c>
      <c r="J1841" s="176">
        <v>4205.34465901585</v>
      </c>
      <c r="K1841" s="176">
        <f t="shared" si="144"/>
        <v>14489.8623270316</v>
      </c>
      <c r="L1841" s="163" t="s">
        <v>4883</v>
      </c>
      <c r="M1841" s="161" t="s">
        <v>4927</v>
      </c>
      <c r="N1841" s="161" t="s">
        <v>1331</v>
      </c>
      <c r="O1841" s="161" t="s">
        <v>27</v>
      </c>
      <c r="P1841" s="49" t="s">
        <v>27</v>
      </c>
      <c r="Q1841" s="166" t="s">
        <v>4933</v>
      </c>
      <c r="R1841" s="151"/>
    </row>
    <row r="1842" spans="1:18">
      <c r="A1842" s="186" t="s">
        <v>55</v>
      </c>
      <c r="B1842" s="101" t="s">
        <v>485</v>
      </c>
      <c r="C1842" s="83" t="s">
        <v>4934</v>
      </c>
      <c r="D1842" s="161" t="s">
        <v>4935</v>
      </c>
      <c r="E1842" s="161" t="s">
        <v>1491</v>
      </c>
      <c r="F1842" s="161" t="s">
        <v>1520</v>
      </c>
      <c r="G1842" s="171">
        <v>136.3899</v>
      </c>
      <c r="H1842" s="163">
        <f t="shared" si="143"/>
        <v>32.0984</v>
      </c>
      <c r="I1842" s="176">
        <v>1451</v>
      </c>
      <c r="J1842" s="176">
        <v>3832.8530497445</v>
      </c>
      <c r="K1842" s="176">
        <f t="shared" si="144"/>
        <v>18322.7153767761</v>
      </c>
      <c r="L1842" s="163"/>
      <c r="M1842" s="161" t="s">
        <v>4927</v>
      </c>
      <c r="N1842" s="161" t="s">
        <v>1331</v>
      </c>
      <c r="O1842" s="161" t="s">
        <v>14</v>
      </c>
      <c r="P1842" s="49" t="s">
        <v>14</v>
      </c>
      <c r="Q1842" s="166" t="s">
        <v>4936</v>
      </c>
      <c r="R1842" s="151"/>
    </row>
    <row r="1843" spans="1:18">
      <c r="A1843" s="186" t="s">
        <v>55</v>
      </c>
      <c r="B1843" s="101" t="s">
        <v>485</v>
      </c>
      <c r="C1843" s="83" t="s">
        <v>4937</v>
      </c>
      <c r="D1843" s="161" t="s">
        <v>741</v>
      </c>
      <c r="E1843" s="161" t="s">
        <v>1491</v>
      </c>
      <c r="F1843" s="161" t="s">
        <v>1520</v>
      </c>
      <c r="G1843" s="171">
        <v>163.489</v>
      </c>
      <c r="H1843" s="163">
        <f t="shared" si="143"/>
        <v>27.0991</v>
      </c>
      <c r="I1843" s="176">
        <v>1442</v>
      </c>
      <c r="J1843" s="176">
        <v>4206.69080007187</v>
      </c>
      <c r="K1843" s="176">
        <f t="shared" si="144"/>
        <v>22529.4061768479</v>
      </c>
      <c r="L1843" s="163"/>
      <c r="M1843" s="161" t="s">
        <v>4927</v>
      </c>
      <c r="N1843" s="161" t="s">
        <v>1331</v>
      </c>
      <c r="O1843" s="161" t="s">
        <v>27</v>
      </c>
      <c r="P1843" s="49" t="s">
        <v>27</v>
      </c>
      <c r="Q1843" s="166" t="s">
        <v>4938</v>
      </c>
      <c r="R1843" s="151"/>
    </row>
    <row r="1844" spans="1:18">
      <c r="A1844" s="186" t="s">
        <v>55</v>
      </c>
      <c r="B1844" s="101" t="s">
        <v>485</v>
      </c>
      <c r="C1844" s="83" t="s">
        <v>4939</v>
      </c>
      <c r="D1844" s="161" t="s">
        <v>1848</v>
      </c>
      <c r="E1844" s="161" t="s">
        <v>1491</v>
      </c>
      <c r="F1844" s="161" t="s">
        <v>1520</v>
      </c>
      <c r="G1844" s="171">
        <v>191.9513</v>
      </c>
      <c r="H1844" s="163">
        <f t="shared" si="143"/>
        <v>28.4623</v>
      </c>
      <c r="I1844" s="176">
        <v>1445</v>
      </c>
      <c r="J1844" s="176">
        <v>3921.308896195</v>
      </c>
      <c r="K1844" s="176">
        <f t="shared" si="144"/>
        <v>26450.7150730429</v>
      </c>
      <c r="L1844" s="163"/>
      <c r="M1844" s="161" t="s">
        <v>4927</v>
      </c>
      <c r="N1844" s="161" t="s">
        <v>1331</v>
      </c>
      <c r="O1844" s="161" t="s">
        <v>27</v>
      </c>
      <c r="P1844" s="49" t="s">
        <v>27</v>
      </c>
      <c r="Q1844" s="166" t="s">
        <v>4940</v>
      </c>
      <c r="R1844" s="151"/>
    </row>
    <row r="1845" spans="1:18">
      <c r="A1845" s="186" t="s">
        <v>55</v>
      </c>
      <c r="B1845" s="101" t="s">
        <v>485</v>
      </c>
      <c r="C1845" s="83" t="s">
        <v>4941</v>
      </c>
      <c r="D1845" s="161" t="s">
        <v>4941</v>
      </c>
      <c r="E1845" s="161" t="s">
        <v>1491</v>
      </c>
      <c r="F1845" s="161" t="s">
        <v>4919</v>
      </c>
      <c r="G1845" s="171">
        <v>211.9999</v>
      </c>
      <c r="H1845" s="163">
        <f t="shared" ref="H1845:H1850" si="145">G1845-G1844</f>
        <v>20.0486</v>
      </c>
      <c r="I1845" s="176" t="s">
        <v>147</v>
      </c>
      <c r="J1845" s="176" t="s">
        <v>147</v>
      </c>
      <c r="K1845" s="176" t="s">
        <v>147</v>
      </c>
      <c r="L1845" s="163"/>
      <c r="M1845" s="161" t="s">
        <v>4927</v>
      </c>
      <c r="N1845" s="161" t="s">
        <v>1331</v>
      </c>
      <c r="O1845" s="161" t="s">
        <v>14</v>
      </c>
      <c r="P1845" s="49" t="s">
        <v>14</v>
      </c>
      <c r="Q1845" s="166" t="s">
        <v>4942</v>
      </c>
      <c r="R1845" s="151"/>
    </row>
    <row r="1846" spans="1:18">
      <c r="A1846" s="186" t="s">
        <v>55</v>
      </c>
      <c r="B1846" s="101" t="s">
        <v>485</v>
      </c>
      <c r="C1846" s="83" t="s">
        <v>4943</v>
      </c>
      <c r="D1846" s="161" t="s">
        <v>1851</v>
      </c>
      <c r="E1846" s="161" t="s">
        <v>1491</v>
      </c>
      <c r="F1846" s="161" t="s">
        <v>4919</v>
      </c>
      <c r="G1846" s="171">
        <v>227.6199</v>
      </c>
      <c r="H1846" s="163">
        <f t="shared" si="145"/>
        <v>15.62</v>
      </c>
      <c r="I1846" s="176">
        <v>1211</v>
      </c>
      <c r="J1846" s="176">
        <v>4152.84515783095</v>
      </c>
      <c r="K1846" s="176">
        <f>J1846+K1844</f>
        <v>30603.5602308739</v>
      </c>
      <c r="L1846" s="163" t="s">
        <v>4883</v>
      </c>
      <c r="M1846" s="161" t="s">
        <v>4927</v>
      </c>
      <c r="N1846" s="161" t="s">
        <v>1331</v>
      </c>
      <c r="O1846" s="161" t="s">
        <v>27</v>
      </c>
      <c r="P1846" s="49" t="s">
        <v>27</v>
      </c>
      <c r="Q1846" s="166" t="s">
        <v>4944</v>
      </c>
      <c r="R1846" s="151"/>
    </row>
    <row r="1847" spans="1:18">
      <c r="A1847" s="186" t="s">
        <v>55</v>
      </c>
      <c r="B1847" s="101" t="s">
        <v>485</v>
      </c>
      <c r="C1847" s="83" t="s">
        <v>4945</v>
      </c>
      <c r="D1847" s="161" t="s">
        <v>1933</v>
      </c>
      <c r="E1847" s="161" t="s">
        <v>1491</v>
      </c>
      <c r="F1847" s="161" t="s">
        <v>4919</v>
      </c>
      <c r="G1847" s="171">
        <v>251.6707</v>
      </c>
      <c r="H1847" s="163">
        <f t="shared" si="145"/>
        <v>24.0508</v>
      </c>
      <c r="I1847" s="176">
        <v>1114</v>
      </c>
      <c r="J1847" s="176">
        <v>3392.27546117796</v>
      </c>
      <c r="K1847" s="176">
        <f>J1847+K1846</f>
        <v>33995.8356920518</v>
      </c>
      <c r="L1847" s="163" t="s">
        <v>4883</v>
      </c>
      <c r="M1847" s="161" t="s">
        <v>4927</v>
      </c>
      <c r="N1847" s="161" t="s">
        <v>1331</v>
      </c>
      <c r="O1847" s="161" t="s">
        <v>27</v>
      </c>
      <c r="P1847" s="49" t="s">
        <v>27</v>
      </c>
      <c r="Q1847" s="166" t="s">
        <v>4946</v>
      </c>
      <c r="R1847" s="151"/>
    </row>
    <row r="1848" spans="1:18">
      <c r="A1848" s="186" t="s">
        <v>55</v>
      </c>
      <c r="B1848" s="101" t="s">
        <v>485</v>
      </c>
      <c r="C1848" s="83" t="s">
        <v>4947</v>
      </c>
      <c r="D1848" s="161" t="s">
        <v>4947</v>
      </c>
      <c r="E1848" s="161" t="s">
        <v>1491</v>
      </c>
      <c r="F1848" s="161" t="s">
        <v>4919</v>
      </c>
      <c r="G1848" s="171">
        <v>254.6199</v>
      </c>
      <c r="H1848" s="163">
        <f t="shared" si="145"/>
        <v>2.94919999999999</v>
      </c>
      <c r="I1848" s="176">
        <v>1116</v>
      </c>
      <c r="J1848" s="176">
        <v>237.645779791501</v>
      </c>
      <c r="K1848" s="176">
        <f>J1848+K1847</f>
        <v>34233.4814718433</v>
      </c>
      <c r="L1848" s="163"/>
      <c r="M1848" s="161" t="s">
        <v>4927</v>
      </c>
      <c r="N1848" s="161" t="s">
        <v>1331</v>
      </c>
      <c r="O1848" s="161" t="s">
        <v>14</v>
      </c>
      <c r="P1848" s="49" t="s">
        <v>14</v>
      </c>
      <c r="Q1848" s="166" t="s">
        <v>4948</v>
      </c>
      <c r="R1848" s="151"/>
    </row>
    <row r="1849" spans="1:18">
      <c r="A1849" s="186" t="s">
        <v>55</v>
      </c>
      <c r="B1849" s="101" t="s">
        <v>485</v>
      </c>
      <c r="C1849" s="83" t="s">
        <v>4949</v>
      </c>
      <c r="D1849" s="161" t="s">
        <v>2201</v>
      </c>
      <c r="E1849" s="161" t="s">
        <v>1491</v>
      </c>
      <c r="F1849" s="161" t="s">
        <v>4919</v>
      </c>
      <c r="G1849" s="171">
        <v>275.3999</v>
      </c>
      <c r="H1849" s="163">
        <f t="shared" si="145"/>
        <v>20.78</v>
      </c>
      <c r="I1849" s="176">
        <v>1122</v>
      </c>
      <c r="J1849" s="176">
        <v>2770.31952604141</v>
      </c>
      <c r="K1849" s="176">
        <f>J1849+K1848</f>
        <v>37003.8009978848</v>
      </c>
      <c r="L1849" s="163" t="s">
        <v>4883</v>
      </c>
      <c r="M1849" s="161" t="s">
        <v>4927</v>
      </c>
      <c r="N1849" s="161" t="s">
        <v>1331</v>
      </c>
      <c r="O1849" s="161" t="s">
        <v>27</v>
      </c>
      <c r="P1849" s="49" t="s">
        <v>27</v>
      </c>
      <c r="Q1849" s="166" t="s">
        <v>4950</v>
      </c>
      <c r="R1849" s="151"/>
    </row>
    <row r="1850" spans="1:18">
      <c r="A1850" s="186" t="s">
        <v>55</v>
      </c>
      <c r="B1850" s="101" t="s">
        <v>485</v>
      </c>
      <c r="C1850" s="135" t="s">
        <v>470</v>
      </c>
      <c r="D1850" s="161" t="s">
        <v>470</v>
      </c>
      <c r="E1850" s="161" t="s">
        <v>1491</v>
      </c>
      <c r="F1850" s="161" t="s">
        <v>4919</v>
      </c>
      <c r="G1850" s="171">
        <v>293.3999</v>
      </c>
      <c r="H1850" s="163">
        <f t="shared" si="145"/>
        <v>18</v>
      </c>
      <c r="I1850" s="176">
        <v>1114</v>
      </c>
      <c r="J1850" s="176">
        <v>2050.40973582854</v>
      </c>
      <c r="K1850" s="176">
        <f>J1850+K1849</f>
        <v>39054.2107337133</v>
      </c>
      <c r="L1850" s="163" t="s">
        <v>4891</v>
      </c>
      <c r="M1850" s="161" t="s">
        <v>4892</v>
      </c>
      <c r="N1850" s="161"/>
      <c r="O1850" s="161"/>
      <c r="P1850" s="49"/>
      <c r="Q1850" s="166" t="s">
        <v>4923</v>
      </c>
      <c r="R1850" s="151"/>
    </row>
    <row r="1851" s="152" customFormat="1" spans="1:18">
      <c r="A1851" s="186" t="s">
        <v>55</v>
      </c>
      <c r="B1851" s="101" t="s">
        <v>487</v>
      </c>
      <c r="C1851" s="135" t="s">
        <v>470</v>
      </c>
      <c r="D1851" s="186" t="s">
        <v>470</v>
      </c>
      <c r="E1851" s="161" t="s">
        <v>1491</v>
      </c>
      <c r="F1851" s="161" t="s">
        <v>4919</v>
      </c>
      <c r="G1851" s="171">
        <v>0</v>
      </c>
      <c r="H1851" s="163">
        <v>0</v>
      </c>
      <c r="I1851" s="176"/>
      <c r="J1851" s="176">
        <v>0</v>
      </c>
      <c r="K1851" s="176">
        <v>0</v>
      </c>
      <c r="L1851" s="163"/>
      <c r="M1851" s="161" t="s">
        <v>4951</v>
      </c>
      <c r="N1851" s="161"/>
      <c r="O1851" s="161"/>
      <c r="P1851" s="49"/>
      <c r="Q1851" s="166"/>
      <c r="R1851" s="151"/>
    </row>
    <row r="1852" s="152" customFormat="1" spans="1:18">
      <c r="A1852" s="186" t="s">
        <v>55</v>
      </c>
      <c r="B1852" s="101" t="s">
        <v>487</v>
      </c>
      <c r="C1852" s="135" t="s">
        <v>489</v>
      </c>
      <c r="D1852" s="161" t="s">
        <v>489</v>
      </c>
      <c r="E1852" s="161" t="s">
        <v>1491</v>
      </c>
      <c r="F1852" s="161" t="s">
        <v>4919</v>
      </c>
      <c r="G1852" s="171">
        <v>5.6</v>
      </c>
      <c r="H1852" s="163">
        <v>5.6</v>
      </c>
      <c r="I1852" s="176"/>
      <c r="J1852" s="176"/>
      <c r="K1852" s="176"/>
      <c r="L1852" s="163"/>
      <c r="M1852" s="161" t="s">
        <v>4951</v>
      </c>
      <c r="N1852" s="161"/>
      <c r="O1852" s="161"/>
      <c r="P1852" s="49"/>
      <c r="Q1852" s="166"/>
      <c r="R1852" s="151"/>
    </row>
    <row r="1853" spans="1:18">
      <c r="A1853" s="186" t="s">
        <v>56</v>
      </c>
      <c r="B1853" s="101" t="s">
        <v>490</v>
      </c>
      <c r="C1853" s="85" t="s">
        <v>491</v>
      </c>
      <c r="D1853" s="161" t="s">
        <v>491</v>
      </c>
      <c r="E1853" s="161" t="s">
        <v>4952</v>
      </c>
      <c r="F1853" s="161" t="s">
        <v>4953</v>
      </c>
      <c r="G1853" s="163">
        <v>0</v>
      </c>
      <c r="H1853" s="163">
        <v>0</v>
      </c>
      <c r="I1853" s="176">
        <v>209</v>
      </c>
      <c r="J1853" s="176">
        <v>0</v>
      </c>
      <c r="K1853" s="176">
        <v>0</v>
      </c>
      <c r="L1853" s="163"/>
      <c r="M1853" s="161" t="s">
        <v>4954</v>
      </c>
      <c r="N1853" s="161" t="s">
        <v>1331</v>
      </c>
      <c r="O1853" s="161" t="s">
        <v>6</v>
      </c>
      <c r="P1853" s="49" t="s">
        <v>6</v>
      </c>
      <c r="Q1853" s="166" t="s">
        <v>4955</v>
      </c>
      <c r="R1853" s="151"/>
    </row>
    <row r="1854" spans="1:18">
      <c r="A1854" s="186" t="s">
        <v>56</v>
      </c>
      <c r="B1854" s="101" t="s">
        <v>490</v>
      </c>
      <c r="C1854" s="85" t="s">
        <v>4956</v>
      </c>
      <c r="D1854" s="161" t="s">
        <v>1899</v>
      </c>
      <c r="E1854" s="161" t="s">
        <v>4952</v>
      </c>
      <c r="F1854" s="161" t="s">
        <v>4953</v>
      </c>
      <c r="G1854" s="163">
        <v>12.2582</v>
      </c>
      <c r="H1854" s="163">
        <f>G1854-G1853</f>
        <v>12.2582</v>
      </c>
      <c r="I1854" s="176">
        <v>262</v>
      </c>
      <c r="J1854" s="176">
        <f>K1854-K1853</f>
        <v>4630</v>
      </c>
      <c r="K1854" s="176">
        <v>4630</v>
      </c>
      <c r="L1854" s="163"/>
      <c r="M1854" s="161" t="s">
        <v>4954</v>
      </c>
      <c r="N1854" s="161" t="s">
        <v>1901</v>
      </c>
      <c r="O1854" s="161" t="s">
        <v>26</v>
      </c>
      <c r="P1854" s="49" t="s">
        <v>26</v>
      </c>
      <c r="Q1854" s="166" t="s">
        <v>4957</v>
      </c>
      <c r="R1854" s="151"/>
    </row>
    <row r="1855" spans="1:18">
      <c r="A1855" s="186" t="s">
        <v>56</v>
      </c>
      <c r="B1855" s="101" t="s">
        <v>490</v>
      </c>
      <c r="C1855" s="85" t="s">
        <v>4958</v>
      </c>
      <c r="D1855" s="161" t="s">
        <v>1904</v>
      </c>
      <c r="E1855" s="161" t="s">
        <v>4952</v>
      </c>
      <c r="F1855" s="161" t="s">
        <v>4953</v>
      </c>
      <c r="G1855" s="163">
        <v>38.1645</v>
      </c>
      <c r="H1855" s="163">
        <f t="shared" ref="H1855:H1861" si="146">G1855-G1854</f>
        <v>25.9063</v>
      </c>
      <c r="I1855" s="176">
        <v>1470</v>
      </c>
      <c r="J1855" s="176">
        <f t="shared" ref="J1855:J1879" si="147">K1855-K1854</f>
        <v>9715</v>
      </c>
      <c r="K1855" s="176">
        <v>14345</v>
      </c>
      <c r="L1855" s="163"/>
      <c r="M1855" s="161" t="s">
        <v>4954</v>
      </c>
      <c r="N1855" s="161" t="s">
        <v>1901</v>
      </c>
      <c r="O1855" s="161" t="s">
        <v>26</v>
      </c>
      <c r="P1855" s="49" t="s">
        <v>26</v>
      </c>
      <c r="Q1855" s="166" t="s">
        <v>4959</v>
      </c>
      <c r="R1855" s="151"/>
    </row>
    <row r="1856" spans="1:18">
      <c r="A1856" s="186" t="s">
        <v>56</v>
      </c>
      <c r="B1856" s="101" t="s">
        <v>490</v>
      </c>
      <c r="C1856" s="85" t="s">
        <v>4960</v>
      </c>
      <c r="D1856" s="161" t="s">
        <v>2847</v>
      </c>
      <c r="E1856" s="161" t="s">
        <v>4952</v>
      </c>
      <c r="F1856" s="161" t="s">
        <v>4953</v>
      </c>
      <c r="G1856" s="163">
        <v>63.2064</v>
      </c>
      <c r="H1856" s="163">
        <f t="shared" si="146"/>
        <v>25.0419</v>
      </c>
      <c r="I1856" s="176">
        <v>1324</v>
      </c>
      <c r="J1856" s="176">
        <f t="shared" si="147"/>
        <v>9315</v>
      </c>
      <c r="K1856" s="176">
        <v>23660</v>
      </c>
      <c r="L1856" s="163"/>
      <c r="M1856" s="161" t="s">
        <v>4954</v>
      </c>
      <c r="N1856" s="161" t="s">
        <v>1901</v>
      </c>
      <c r="O1856" s="161" t="s">
        <v>26</v>
      </c>
      <c r="P1856" s="49" t="s">
        <v>26</v>
      </c>
      <c r="Q1856" s="166" t="s">
        <v>4961</v>
      </c>
      <c r="R1856" s="151"/>
    </row>
    <row r="1857" spans="1:18">
      <c r="A1857" s="186" t="s">
        <v>56</v>
      </c>
      <c r="B1857" s="101" t="s">
        <v>490</v>
      </c>
      <c r="C1857" s="85" t="s">
        <v>4962</v>
      </c>
      <c r="D1857" s="161" t="s">
        <v>1307</v>
      </c>
      <c r="E1857" s="161" t="s">
        <v>2204</v>
      </c>
      <c r="F1857" s="161" t="s">
        <v>4953</v>
      </c>
      <c r="G1857" s="163">
        <v>80.6257</v>
      </c>
      <c r="H1857" s="163">
        <f t="shared" si="146"/>
        <v>17.4193</v>
      </c>
      <c r="I1857" s="173">
        <v>1118</v>
      </c>
      <c r="J1857" s="176">
        <f t="shared" si="147"/>
        <v>6418</v>
      </c>
      <c r="K1857" s="176">
        <v>30078</v>
      </c>
      <c r="L1857" s="163"/>
      <c r="M1857" s="161" t="s">
        <v>4954</v>
      </c>
      <c r="N1857" s="161" t="s">
        <v>1299</v>
      </c>
      <c r="O1857" s="161" t="s">
        <v>25</v>
      </c>
      <c r="P1857" s="49" t="s">
        <v>25</v>
      </c>
      <c r="Q1857" s="166" t="s">
        <v>4963</v>
      </c>
      <c r="R1857" s="151"/>
    </row>
    <row r="1858" spans="1:18">
      <c r="A1858" s="186" t="s">
        <v>56</v>
      </c>
      <c r="B1858" s="101" t="s">
        <v>490</v>
      </c>
      <c r="C1858" s="85" t="s">
        <v>4964</v>
      </c>
      <c r="D1858" s="161" t="s">
        <v>2252</v>
      </c>
      <c r="E1858" s="161" t="s">
        <v>2204</v>
      </c>
      <c r="F1858" s="161" t="s">
        <v>4953</v>
      </c>
      <c r="G1858" s="163">
        <v>104.4044</v>
      </c>
      <c r="H1858" s="163">
        <f t="shared" si="146"/>
        <v>23.7787</v>
      </c>
      <c r="I1858" s="176">
        <v>1172</v>
      </c>
      <c r="J1858" s="176">
        <f t="shared" si="147"/>
        <v>8852</v>
      </c>
      <c r="K1858" s="176">
        <v>38930</v>
      </c>
      <c r="L1858" s="163"/>
      <c r="M1858" s="161" t="s">
        <v>4954</v>
      </c>
      <c r="N1858" s="161" t="s">
        <v>1901</v>
      </c>
      <c r="O1858" s="161" t="s">
        <v>26</v>
      </c>
      <c r="P1858" s="49" t="s">
        <v>26</v>
      </c>
      <c r="Q1858" s="166" t="s">
        <v>4965</v>
      </c>
      <c r="R1858" s="151"/>
    </row>
    <row r="1859" spans="1:18">
      <c r="A1859" s="186" t="s">
        <v>56</v>
      </c>
      <c r="B1859" s="101" t="s">
        <v>490</v>
      </c>
      <c r="C1859" s="85" t="s">
        <v>4966</v>
      </c>
      <c r="D1859" s="161" t="s">
        <v>2258</v>
      </c>
      <c r="E1859" s="161" t="s">
        <v>2204</v>
      </c>
      <c r="F1859" s="161" t="s">
        <v>4953</v>
      </c>
      <c r="G1859" s="163">
        <v>128.9177</v>
      </c>
      <c r="H1859" s="163">
        <f t="shared" si="146"/>
        <v>24.5133</v>
      </c>
      <c r="I1859" s="176">
        <v>1001</v>
      </c>
      <c r="J1859" s="176">
        <f t="shared" si="147"/>
        <v>9734</v>
      </c>
      <c r="K1859" s="176">
        <v>48664</v>
      </c>
      <c r="L1859" s="163"/>
      <c r="M1859" s="161" t="s">
        <v>4954</v>
      </c>
      <c r="N1859" s="161" t="s">
        <v>1901</v>
      </c>
      <c r="O1859" s="161" t="s">
        <v>26</v>
      </c>
      <c r="P1859" s="49" t="s">
        <v>26</v>
      </c>
      <c r="Q1859" s="166" t="s">
        <v>4967</v>
      </c>
      <c r="R1859" s="151"/>
    </row>
    <row r="1860" spans="1:18">
      <c r="A1860" s="186" t="s">
        <v>56</v>
      </c>
      <c r="B1860" s="101" t="s">
        <v>490</v>
      </c>
      <c r="C1860" s="85" t="s">
        <v>4968</v>
      </c>
      <c r="D1860" s="161" t="s">
        <v>4968</v>
      </c>
      <c r="E1860" s="161" t="s">
        <v>2204</v>
      </c>
      <c r="F1860" s="161" t="s">
        <v>4953</v>
      </c>
      <c r="G1860" s="163">
        <v>155.1121</v>
      </c>
      <c r="H1860" s="163">
        <f t="shared" si="146"/>
        <v>26.1944</v>
      </c>
      <c r="I1860" s="173">
        <v>810</v>
      </c>
      <c r="J1860" s="176">
        <f t="shared" si="147"/>
        <v>9718</v>
      </c>
      <c r="K1860" s="176">
        <v>58382</v>
      </c>
      <c r="L1860" s="163"/>
      <c r="M1860" s="161" t="s">
        <v>4954</v>
      </c>
      <c r="N1860" s="161" t="s">
        <v>1331</v>
      </c>
      <c r="O1860" s="161" t="s">
        <v>15</v>
      </c>
      <c r="P1860" s="49" t="s">
        <v>15</v>
      </c>
      <c r="Q1860" s="166" t="s">
        <v>4969</v>
      </c>
      <c r="R1860" s="151"/>
    </row>
    <row r="1861" spans="1:18">
      <c r="A1861" s="186" t="s">
        <v>56</v>
      </c>
      <c r="B1861" s="101" t="s">
        <v>490</v>
      </c>
      <c r="C1861" s="85" t="s">
        <v>4970</v>
      </c>
      <c r="D1861" s="161" t="s">
        <v>4970</v>
      </c>
      <c r="E1861" s="161" t="s">
        <v>2204</v>
      </c>
      <c r="F1861" s="161" t="s">
        <v>4953</v>
      </c>
      <c r="G1861" s="163">
        <v>168.7426</v>
      </c>
      <c r="H1861" s="163">
        <f t="shared" si="146"/>
        <v>13.6305</v>
      </c>
      <c r="I1861" s="176">
        <v>430</v>
      </c>
      <c r="J1861" s="176">
        <f t="shared" si="147"/>
        <v>5327</v>
      </c>
      <c r="K1861" s="176">
        <v>63709</v>
      </c>
      <c r="L1861" s="163" t="s">
        <v>4971</v>
      </c>
      <c r="M1861" s="161" t="s">
        <v>4954</v>
      </c>
      <c r="N1861" s="161" t="s">
        <v>1331</v>
      </c>
      <c r="O1861" s="161" t="s">
        <v>14</v>
      </c>
      <c r="P1861" s="49" t="s">
        <v>14</v>
      </c>
      <c r="Q1861" s="166" t="s">
        <v>4972</v>
      </c>
      <c r="R1861" s="151"/>
    </row>
    <row r="1862" spans="1:18">
      <c r="A1862" s="186" t="s">
        <v>56</v>
      </c>
      <c r="B1862" s="101" t="s">
        <v>490</v>
      </c>
      <c r="C1862" s="85" t="s">
        <v>4973</v>
      </c>
      <c r="D1862" s="161" t="s">
        <v>2827</v>
      </c>
      <c r="E1862" s="161" t="s">
        <v>2204</v>
      </c>
      <c r="F1862" s="161" t="s">
        <v>4953</v>
      </c>
      <c r="G1862" s="163">
        <v>188.0196</v>
      </c>
      <c r="H1862" s="163">
        <f t="shared" ref="H1862:H1871" si="148">G1862-G1861</f>
        <v>19.277</v>
      </c>
      <c r="I1862" s="176">
        <v>730</v>
      </c>
      <c r="J1862" s="176">
        <f t="shared" si="147"/>
        <v>7312</v>
      </c>
      <c r="K1862" s="176">
        <v>71021</v>
      </c>
      <c r="L1862" s="163"/>
      <c r="M1862" s="161" t="s">
        <v>4954</v>
      </c>
      <c r="N1862" s="161" t="s">
        <v>1901</v>
      </c>
      <c r="O1862" s="161" t="s">
        <v>26</v>
      </c>
      <c r="P1862" s="49" t="s">
        <v>26</v>
      </c>
      <c r="Q1862" s="166" t="s">
        <v>4974</v>
      </c>
      <c r="R1862" s="151"/>
    </row>
    <row r="1863" spans="1:18">
      <c r="A1863" s="186" t="s">
        <v>56</v>
      </c>
      <c r="B1863" s="101" t="s">
        <v>490</v>
      </c>
      <c r="C1863" s="85" t="s">
        <v>4975</v>
      </c>
      <c r="D1863" s="161" t="s">
        <v>2266</v>
      </c>
      <c r="E1863" s="161" t="s">
        <v>2204</v>
      </c>
      <c r="F1863" s="161" t="s">
        <v>4953</v>
      </c>
      <c r="G1863" s="163">
        <v>212.7582</v>
      </c>
      <c r="H1863" s="163">
        <f t="shared" si="148"/>
        <v>24.7386</v>
      </c>
      <c r="I1863" s="176">
        <v>919</v>
      </c>
      <c r="J1863" s="176">
        <f t="shared" si="147"/>
        <v>9223</v>
      </c>
      <c r="K1863" s="176">
        <v>80244</v>
      </c>
      <c r="L1863" s="163"/>
      <c r="M1863" s="161" t="s">
        <v>4954</v>
      </c>
      <c r="N1863" s="161" t="s">
        <v>1901</v>
      </c>
      <c r="O1863" s="161" t="s">
        <v>26</v>
      </c>
      <c r="P1863" s="49" t="s">
        <v>26</v>
      </c>
      <c r="Q1863" s="166" t="s">
        <v>4976</v>
      </c>
      <c r="R1863" s="151"/>
    </row>
    <row r="1864" spans="1:18">
      <c r="A1864" s="186" t="s">
        <v>56</v>
      </c>
      <c r="B1864" s="101" t="s">
        <v>490</v>
      </c>
      <c r="C1864" s="85" t="s">
        <v>4977</v>
      </c>
      <c r="D1864" s="161" t="s">
        <v>1334</v>
      </c>
      <c r="E1864" s="161" t="s">
        <v>2204</v>
      </c>
      <c r="F1864" s="161" t="s">
        <v>4953</v>
      </c>
      <c r="G1864" s="163">
        <v>226.6428</v>
      </c>
      <c r="H1864" s="163">
        <f t="shared" si="148"/>
        <v>13.8846</v>
      </c>
      <c r="I1864" s="176">
        <v>898</v>
      </c>
      <c r="J1864" s="176">
        <f t="shared" si="147"/>
        <v>5175</v>
      </c>
      <c r="K1864" s="176">
        <v>85419</v>
      </c>
      <c r="L1864" s="163"/>
      <c r="M1864" s="161" t="s">
        <v>4954</v>
      </c>
      <c r="N1864" s="161" t="s">
        <v>1299</v>
      </c>
      <c r="O1864" s="161" t="s">
        <v>25</v>
      </c>
      <c r="P1864" s="49" t="s">
        <v>25</v>
      </c>
      <c r="Q1864" s="166" t="s">
        <v>4978</v>
      </c>
      <c r="R1864" s="151"/>
    </row>
    <row r="1865" spans="1:18">
      <c r="A1865" s="186" t="s">
        <v>56</v>
      </c>
      <c r="B1865" s="101" t="s">
        <v>490</v>
      </c>
      <c r="C1865" s="85" t="s">
        <v>4979</v>
      </c>
      <c r="D1865" s="161" t="s">
        <v>2832</v>
      </c>
      <c r="E1865" s="161" t="s">
        <v>2204</v>
      </c>
      <c r="F1865" s="161" t="s">
        <v>4980</v>
      </c>
      <c r="G1865" s="163">
        <v>251.5482</v>
      </c>
      <c r="H1865" s="163">
        <f t="shared" si="148"/>
        <v>24.9054</v>
      </c>
      <c r="I1865" s="173">
        <v>752</v>
      </c>
      <c r="J1865" s="176">
        <f t="shared" si="147"/>
        <v>9459</v>
      </c>
      <c r="K1865" s="176">
        <v>94878</v>
      </c>
      <c r="L1865" s="163"/>
      <c r="M1865" s="161" t="s">
        <v>4954</v>
      </c>
      <c r="N1865" s="161" t="s">
        <v>1901</v>
      </c>
      <c r="O1865" s="161" t="s">
        <v>26</v>
      </c>
      <c r="P1865" s="49" t="s">
        <v>26</v>
      </c>
      <c r="Q1865" s="166" t="s">
        <v>4981</v>
      </c>
      <c r="R1865" s="151"/>
    </row>
    <row r="1866" spans="1:18">
      <c r="A1866" s="186" t="s">
        <v>56</v>
      </c>
      <c r="B1866" s="101" t="s">
        <v>490</v>
      </c>
      <c r="C1866" s="85" t="s">
        <v>4982</v>
      </c>
      <c r="D1866" s="161" t="s">
        <v>2835</v>
      </c>
      <c r="E1866" s="161" t="s">
        <v>2204</v>
      </c>
      <c r="F1866" s="161" t="s">
        <v>4980</v>
      </c>
      <c r="G1866" s="163">
        <v>275.443</v>
      </c>
      <c r="H1866" s="163">
        <f t="shared" si="148"/>
        <v>23.8948</v>
      </c>
      <c r="I1866" s="176">
        <v>1287</v>
      </c>
      <c r="J1866" s="176">
        <f t="shared" si="147"/>
        <v>8932</v>
      </c>
      <c r="K1866" s="176">
        <v>103810</v>
      </c>
      <c r="L1866" s="163"/>
      <c r="M1866" s="161" t="s">
        <v>4954</v>
      </c>
      <c r="N1866" s="161" t="s">
        <v>1901</v>
      </c>
      <c r="O1866" s="161" t="s">
        <v>26</v>
      </c>
      <c r="P1866" s="49" t="s">
        <v>26</v>
      </c>
      <c r="Q1866" s="166" t="s">
        <v>4983</v>
      </c>
      <c r="R1866" s="151"/>
    </row>
    <row r="1867" spans="1:18">
      <c r="A1867" s="186" t="s">
        <v>56</v>
      </c>
      <c r="B1867" s="101" t="s">
        <v>490</v>
      </c>
      <c r="C1867" s="85" t="s">
        <v>4984</v>
      </c>
      <c r="D1867" s="161" t="s">
        <v>4984</v>
      </c>
      <c r="E1867" s="161" t="s">
        <v>2204</v>
      </c>
      <c r="F1867" s="161" t="s">
        <v>4980</v>
      </c>
      <c r="G1867" s="163">
        <v>301.8371</v>
      </c>
      <c r="H1867" s="163">
        <f t="shared" si="148"/>
        <v>26.3941</v>
      </c>
      <c r="I1867" s="176">
        <v>498</v>
      </c>
      <c r="J1867" s="176">
        <f t="shared" si="147"/>
        <v>9797</v>
      </c>
      <c r="K1867" s="176">
        <v>113607</v>
      </c>
      <c r="L1867" s="163"/>
      <c r="M1867" s="161" t="s">
        <v>4954</v>
      </c>
      <c r="N1867" s="161" t="s">
        <v>1331</v>
      </c>
      <c r="O1867" s="161" t="s">
        <v>15</v>
      </c>
      <c r="P1867" s="49" t="s">
        <v>15</v>
      </c>
      <c r="Q1867" s="166" t="s">
        <v>4985</v>
      </c>
      <c r="R1867" s="151"/>
    </row>
    <row r="1868" spans="1:18">
      <c r="A1868" s="186" t="s">
        <v>56</v>
      </c>
      <c r="B1868" s="101" t="s">
        <v>490</v>
      </c>
      <c r="C1868" s="85" t="s">
        <v>4986</v>
      </c>
      <c r="D1868" s="161" t="s">
        <v>2280</v>
      </c>
      <c r="E1868" s="161" t="s">
        <v>2204</v>
      </c>
      <c r="F1868" s="161" t="s">
        <v>4980</v>
      </c>
      <c r="G1868" s="163">
        <v>319.5875</v>
      </c>
      <c r="H1868" s="163">
        <f t="shared" si="148"/>
        <v>17.7504</v>
      </c>
      <c r="I1868" s="173">
        <v>1134</v>
      </c>
      <c r="J1868" s="176">
        <f t="shared" si="147"/>
        <v>6749</v>
      </c>
      <c r="K1868" s="176">
        <v>120356</v>
      </c>
      <c r="L1868" s="163"/>
      <c r="M1868" s="161" t="s">
        <v>4954</v>
      </c>
      <c r="N1868" s="161" t="s">
        <v>1901</v>
      </c>
      <c r="O1868" s="161" t="s">
        <v>26</v>
      </c>
      <c r="P1868" s="49" t="s">
        <v>26</v>
      </c>
      <c r="Q1868" s="166" t="s">
        <v>4987</v>
      </c>
      <c r="R1868" s="151"/>
    </row>
    <row r="1869" spans="1:18">
      <c r="A1869" s="186" t="s">
        <v>56</v>
      </c>
      <c r="B1869" s="101" t="s">
        <v>490</v>
      </c>
      <c r="C1869" s="85" t="s">
        <v>4988</v>
      </c>
      <c r="D1869" s="161" t="s">
        <v>2283</v>
      </c>
      <c r="E1869" s="161" t="s">
        <v>2204</v>
      </c>
      <c r="F1869" s="161" t="s">
        <v>4980</v>
      </c>
      <c r="G1869" s="163">
        <v>342.3401</v>
      </c>
      <c r="H1869" s="163">
        <f t="shared" si="148"/>
        <v>22.7526</v>
      </c>
      <c r="I1869" s="173">
        <v>938</v>
      </c>
      <c r="J1869" s="176">
        <f t="shared" si="147"/>
        <v>8442</v>
      </c>
      <c r="K1869" s="176">
        <v>128798</v>
      </c>
      <c r="L1869" s="163"/>
      <c r="M1869" s="161" t="s">
        <v>4954</v>
      </c>
      <c r="N1869" s="161" t="s">
        <v>1901</v>
      </c>
      <c r="O1869" s="161" t="s">
        <v>26</v>
      </c>
      <c r="P1869" s="49" t="s">
        <v>26</v>
      </c>
      <c r="Q1869" s="166" t="s">
        <v>4989</v>
      </c>
      <c r="R1869" s="151"/>
    </row>
    <row r="1870" spans="1:18">
      <c r="A1870" s="186" t="s">
        <v>56</v>
      </c>
      <c r="B1870" s="101" t="s">
        <v>490</v>
      </c>
      <c r="C1870" s="85" t="s">
        <v>4990</v>
      </c>
      <c r="D1870" s="161" t="s">
        <v>2286</v>
      </c>
      <c r="E1870" s="161" t="s">
        <v>2204</v>
      </c>
      <c r="F1870" s="161" t="s">
        <v>4980</v>
      </c>
      <c r="G1870" s="163">
        <v>370.7251</v>
      </c>
      <c r="H1870" s="163">
        <f t="shared" si="148"/>
        <v>28.385</v>
      </c>
      <c r="I1870" s="176">
        <v>162</v>
      </c>
      <c r="J1870" s="176">
        <f t="shared" si="147"/>
        <v>10753</v>
      </c>
      <c r="K1870" s="176">
        <v>139551</v>
      </c>
      <c r="L1870" s="163"/>
      <c r="M1870" s="161" t="s">
        <v>4954</v>
      </c>
      <c r="N1870" s="161" t="s">
        <v>1901</v>
      </c>
      <c r="O1870" s="161" t="s">
        <v>26</v>
      </c>
      <c r="P1870" s="49" t="s">
        <v>26</v>
      </c>
      <c r="Q1870" s="166" t="s">
        <v>4991</v>
      </c>
      <c r="R1870" s="151"/>
    </row>
    <row r="1871" spans="1:18">
      <c r="A1871" s="186" t="s">
        <v>56</v>
      </c>
      <c r="B1871" s="101" t="s">
        <v>490</v>
      </c>
      <c r="C1871" s="85" t="s">
        <v>4992</v>
      </c>
      <c r="D1871" s="161" t="s">
        <v>4992</v>
      </c>
      <c r="E1871" s="161" t="s">
        <v>2204</v>
      </c>
      <c r="F1871" s="161" t="s">
        <v>4980</v>
      </c>
      <c r="G1871" s="163">
        <v>385.6971</v>
      </c>
      <c r="H1871" s="163">
        <f t="shared" si="148"/>
        <v>14.972</v>
      </c>
      <c r="I1871" s="176">
        <v>171</v>
      </c>
      <c r="J1871" s="176">
        <f t="shared" si="147"/>
        <v>5619</v>
      </c>
      <c r="K1871" s="176">
        <v>145170</v>
      </c>
      <c r="L1871" s="163" t="s">
        <v>4993</v>
      </c>
      <c r="M1871" s="161" t="s">
        <v>4954</v>
      </c>
      <c r="N1871" s="161" t="s">
        <v>1331</v>
      </c>
      <c r="O1871" s="161" t="s">
        <v>14</v>
      </c>
      <c r="P1871" s="49" t="s">
        <v>14</v>
      </c>
      <c r="Q1871" s="166" t="s">
        <v>4994</v>
      </c>
      <c r="R1871" s="151"/>
    </row>
    <row r="1872" spans="1:18">
      <c r="A1872" s="186" t="s">
        <v>56</v>
      </c>
      <c r="B1872" s="101" t="s">
        <v>490</v>
      </c>
      <c r="C1872" s="85" t="s">
        <v>4995</v>
      </c>
      <c r="D1872" s="161" t="s">
        <v>4995</v>
      </c>
      <c r="E1872" s="161" t="s">
        <v>2204</v>
      </c>
      <c r="F1872" s="161" t="s">
        <v>4980</v>
      </c>
      <c r="G1872" s="163">
        <v>406.0271</v>
      </c>
      <c r="H1872" s="163">
        <f t="shared" ref="H1872:H1880" si="149">G1872-G1871</f>
        <v>20.33</v>
      </c>
      <c r="I1872" s="176">
        <v>56</v>
      </c>
      <c r="J1872" s="176">
        <f t="shared" si="147"/>
        <v>7652</v>
      </c>
      <c r="K1872" s="176">
        <v>152822</v>
      </c>
      <c r="L1872" s="163"/>
      <c r="M1872" s="161" t="s">
        <v>4954</v>
      </c>
      <c r="N1872" s="161" t="s">
        <v>1331</v>
      </c>
      <c r="O1872" s="161" t="s">
        <v>14</v>
      </c>
      <c r="P1872" s="49" t="s">
        <v>14</v>
      </c>
      <c r="Q1872" s="166" t="s">
        <v>4996</v>
      </c>
      <c r="R1872" s="151"/>
    </row>
    <row r="1873" spans="1:18">
      <c r="A1873" s="186" t="s">
        <v>56</v>
      </c>
      <c r="B1873" s="101" t="s">
        <v>490</v>
      </c>
      <c r="C1873" s="85" t="s">
        <v>4997</v>
      </c>
      <c r="D1873" s="161" t="s">
        <v>2297</v>
      </c>
      <c r="E1873" s="161" t="s">
        <v>2204</v>
      </c>
      <c r="F1873" s="161" t="s">
        <v>4980</v>
      </c>
      <c r="G1873" s="163">
        <v>421.6612</v>
      </c>
      <c r="H1873" s="163">
        <f t="shared" si="149"/>
        <v>15.6341</v>
      </c>
      <c r="I1873" s="176">
        <v>97</v>
      </c>
      <c r="J1873" s="176">
        <f t="shared" si="147"/>
        <v>5544</v>
      </c>
      <c r="K1873" s="176">
        <v>158366</v>
      </c>
      <c r="L1873" s="163"/>
      <c r="M1873" s="161" t="s">
        <v>4954</v>
      </c>
      <c r="N1873" s="161" t="s">
        <v>1901</v>
      </c>
      <c r="O1873" s="161" t="s">
        <v>26</v>
      </c>
      <c r="P1873" s="49" t="s">
        <v>26</v>
      </c>
      <c r="Q1873" s="166" t="s">
        <v>4998</v>
      </c>
      <c r="R1873" s="151"/>
    </row>
    <row r="1874" spans="1:18">
      <c r="A1874" s="186" t="s">
        <v>56</v>
      </c>
      <c r="B1874" s="101" t="s">
        <v>490</v>
      </c>
      <c r="C1874" s="85" t="s">
        <v>4999</v>
      </c>
      <c r="D1874" s="161" t="s">
        <v>4999</v>
      </c>
      <c r="E1874" s="161" t="s">
        <v>2204</v>
      </c>
      <c r="F1874" s="161" t="s">
        <v>4980</v>
      </c>
      <c r="G1874" s="163">
        <v>438.4871</v>
      </c>
      <c r="H1874" s="163">
        <f t="shared" si="149"/>
        <v>16.8259</v>
      </c>
      <c r="I1874" s="173">
        <v>64</v>
      </c>
      <c r="J1874" s="176">
        <f t="shared" si="147"/>
        <v>6673</v>
      </c>
      <c r="K1874" s="176">
        <v>165039</v>
      </c>
      <c r="L1874" s="163"/>
      <c r="M1874" s="161" t="s">
        <v>4954</v>
      </c>
      <c r="N1874" s="161" t="s">
        <v>1331</v>
      </c>
      <c r="O1874" s="161" t="s">
        <v>14</v>
      </c>
      <c r="P1874" s="49" t="s">
        <v>14</v>
      </c>
      <c r="Q1874" s="166" t="s">
        <v>5000</v>
      </c>
      <c r="R1874" s="151"/>
    </row>
    <row r="1875" spans="1:18">
      <c r="A1875" s="186" t="s">
        <v>56</v>
      </c>
      <c r="B1875" s="101" t="s">
        <v>490</v>
      </c>
      <c r="C1875" s="85" t="s">
        <v>5001</v>
      </c>
      <c r="D1875" s="161" t="s">
        <v>2994</v>
      </c>
      <c r="E1875" s="161" t="s">
        <v>2204</v>
      </c>
      <c r="F1875" s="161" t="s">
        <v>4980</v>
      </c>
      <c r="G1875" s="163">
        <v>462.5639</v>
      </c>
      <c r="H1875" s="163">
        <f t="shared" si="149"/>
        <v>24.0768</v>
      </c>
      <c r="I1875" s="176">
        <v>36</v>
      </c>
      <c r="J1875" s="176">
        <f t="shared" si="147"/>
        <v>9082</v>
      </c>
      <c r="K1875" s="176">
        <v>174121</v>
      </c>
      <c r="L1875" s="163"/>
      <c r="M1875" s="161" t="s">
        <v>4954</v>
      </c>
      <c r="N1875" s="161" t="s">
        <v>1901</v>
      </c>
      <c r="O1875" s="161" t="s">
        <v>26</v>
      </c>
      <c r="P1875" s="49" t="s">
        <v>26</v>
      </c>
      <c r="Q1875" s="166" t="s">
        <v>5002</v>
      </c>
      <c r="R1875" s="151"/>
    </row>
    <row r="1876" spans="1:18">
      <c r="A1876" s="186" t="s">
        <v>56</v>
      </c>
      <c r="B1876" s="101" t="s">
        <v>490</v>
      </c>
      <c r="C1876" s="85" t="s">
        <v>495</v>
      </c>
      <c r="D1876" s="161" t="s">
        <v>495</v>
      </c>
      <c r="E1876" s="161" t="s">
        <v>2204</v>
      </c>
      <c r="F1876" s="161" t="s">
        <v>5003</v>
      </c>
      <c r="G1876" s="163">
        <v>483.0471</v>
      </c>
      <c r="H1876" s="163">
        <f t="shared" si="149"/>
        <v>20.4832</v>
      </c>
      <c r="I1876" s="176">
        <v>33</v>
      </c>
      <c r="J1876" s="176">
        <f t="shared" si="147"/>
        <v>7690</v>
      </c>
      <c r="K1876" s="176">
        <v>181811</v>
      </c>
      <c r="L1876" s="163"/>
      <c r="M1876" s="161" t="s">
        <v>4954</v>
      </c>
      <c r="N1876" s="161" t="s">
        <v>1331</v>
      </c>
      <c r="O1876" s="161" t="s">
        <v>15</v>
      </c>
      <c r="P1876" s="49" t="s">
        <v>15</v>
      </c>
      <c r="Q1876" s="166" t="s">
        <v>5004</v>
      </c>
      <c r="R1876" s="151"/>
    </row>
    <row r="1877" spans="1:18">
      <c r="A1877" s="186" t="s">
        <v>56</v>
      </c>
      <c r="B1877" s="101" t="s">
        <v>490</v>
      </c>
      <c r="C1877" s="85" t="s">
        <v>5005</v>
      </c>
      <c r="D1877" s="161" t="s">
        <v>5005</v>
      </c>
      <c r="E1877" s="161" t="s">
        <v>2204</v>
      </c>
      <c r="F1877" s="161" t="s">
        <v>5003</v>
      </c>
      <c r="G1877" s="163">
        <v>501.5751</v>
      </c>
      <c r="H1877" s="163">
        <f t="shared" si="149"/>
        <v>18.528</v>
      </c>
      <c r="I1877" s="173">
        <v>30</v>
      </c>
      <c r="J1877" s="176">
        <f t="shared" si="147"/>
        <v>6974</v>
      </c>
      <c r="K1877" s="176">
        <v>188785</v>
      </c>
      <c r="L1877" s="163"/>
      <c r="M1877" s="161" t="s">
        <v>4954</v>
      </c>
      <c r="N1877" s="161" t="s">
        <v>1331</v>
      </c>
      <c r="O1877" s="161" t="s">
        <v>14</v>
      </c>
      <c r="P1877" s="49" t="s">
        <v>14</v>
      </c>
      <c r="Q1877" s="166" t="s">
        <v>5006</v>
      </c>
      <c r="R1877" s="151"/>
    </row>
    <row r="1878" spans="1:18">
      <c r="A1878" s="186" t="s">
        <v>56</v>
      </c>
      <c r="B1878" s="101" t="s">
        <v>490</v>
      </c>
      <c r="C1878" s="85" t="s">
        <v>5007</v>
      </c>
      <c r="D1878" s="161" t="s">
        <v>2999</v>
      </c>
      <c r="E1878" s="161" t="s">
        <v>2204</v>
      </c>
      <c r="F1878" s="161" t="s">
        <v>5008</v>
      </c>
      <c r="G1878" s="163">
        <v>535.6689</v>
      </c>
      <c r="H1878" s="163">
        <f t="shared" si="149"/>
        <v>34.0938</v>
      </c>
      <c r="I1878" s="176">
        <v>28</v>
      </c>
      <c r="J1878" s="176">
        <f t="shared" si="147"/>
        <v>10702</v>
      </c>
      <c r="K1878" s="176">
        <v>199487</v>
      </c>
      <c r="L1878" s="163"/>
      <c r="M1878" s="161" t="s">
        <v>4954</v>
      </c>
      <c r="N1878" s="161" t="s">
        <v>1901</v>
      </c>
      <c r="O1878" s="161" t="s">
        <v>26</v>
      </c>
      <c r="P1878" s="49" t="s">
        <v>26</v>
      </c>
      <c r="Q1878" s="166" t="s">
        <v>5009</v>
      </c>
      <c r="R1878" s="151"/>
    </row>
    <row r="1879" spans="1:18">
      <c r="A1879" s="186" t="s">
        <v>56</v>
      </c>
      <c r="B1879" s="101" t="s">
        <v>490</v>
      </c>
      <c r="C1879" s="85" t="s">
        <v>499</v>
      </c>
      <c r="D1879" s="161" t="s">
        <v>499</v>
      </c>
      <c r="E1879" s="161" t="s">
        <v>2204</v>
      </c>
      <c r="F1879" s="161" t="s">
        <v>5008</v>
      </c>
      <c r="G1879" s="163">
        <v>561.7391</v>
      </c>
      <c r="H1879" s="163">
        <f t="shared" si="149"/>
        <v>26.0702</v>
      </c>
      <c r="I1879" s="176">
        <v>31</v>
      </c>
      <c r="J1879" s="176">
        <f t="shared" si="147"/>
        <v>11943</v>
      </c>
      <c r="K1879" s="176">
        <v>211430</v>
      </c>
      <c r="L1879" s="163"/>
      <c r="M1879" s="161" t="s">
        <v>4954</v>
      </c>
      <c r="N1879" s="161" t="s">
        <v>1331</v>
      </c>
      <c r="O1879" s="161" t="s">
        <v>14</v>
      </c>
      <c r="P1879" s="49" t="s">
        <v>14</v>
      </c>
      <c r="Q1879" s="166" t="s">
        <v>5010</v>
      </c>
      <c r="R1879" s="151"/>
    </row>
    <row r="1880" spans="1:18">
      <c r="A1880" s="186" t="s">
        <v>56</v>
      </c>
      <c r="B1880" s="101" t="s">
        <v>490</v>
      </c>
      <c r="C1880" s="85" t="s">
        <v>727</v>
      </c>
      <c r="D1880" s="161" t="s">
        <v>727</v>
      </c>
      <c r="E1880" s="161" t="s">
        <v>2204</v>
      </c>
      <c r="F1880" s="161" t="s">
        <v>5008</v>
      </c>
      <c r="G1880" s="163">
        <v>567.7391</v>
      </c>
      <c r="H1880" s="163">
        <f t="shared" si="149"/>
        <v>6</v>
      </c>
      <c r="I1880" s="176"/>
      <c r="J1880" s="176"/>
      <c r="K1880" s="176"/>
      <c r="L1880" s="163"/>
      <c r="M1880" s="161">
        <v>0</v>
      </c>
      <c r="N1880" s="161"/>
      <c r="O1880" s="161" t="s">
        <v>15</v>
      </c>
      <c r="P1880" s="49" t="s">
        <v>15</v>
      </c>
      <c r="Q1880" s="166"/>
      <c r="R1880" s="151"/>
    </row>
    <row r="1881" spans="1:18">
      <c r="A1881" s="186" t="s">
        <v>56</v>
      </c>
      <c r="B1881" s="101" t="s">
        <v>490</v>
      </c>
      <c r="C1881" s="85" t="s">
        <v>5011</v>
      </c>
      <c r="D1881" s="161" t="s">
        <v>2311</v>
      </c>
      <c r="E1881" s="161" t="s">
        <v>2204</v>
      </c>
      <c r="F1881" s="161" t="s">
        <v>5008</v>
      </c>
      <c r="G1881" s="163">
        <v>589.6346</v>
      </c>
      <c r="H1881" s="163">
        <f t="shared" ref="H1881:H1887" si="150">G1881-G1880</f>
        <v>21.8955</v>
      </c>
      <c r="I1881" s="176">
        <v>26</v>
      </c>
      <c r="J1881" s="176">
        <f>K1881-K1879</f>
        <v>10663</v>
      </c>
      <c r="K1881" s="176">
        <v>222093</v>
      </c>
      <c r="L1881" s="163"/>
      <c r="M1881" s="161" t="s">
        <v>4954</v>
      </c>
      <c r="N1881" s="161" t="s">
        <v>1901</v>
      </c>
      <c r="O1881" s="161" t="s">
        <v>26</v>
      </c>
      <c r="P1881" s="49" t="s">
        <v>26</v>
      </c>
      <c r="Q1881" s="166" t="s">
        <v>5012</v>
      </c>
      <c r="R1881" s="151"/>
    </row>
    <row r="1882" spans="1:18">
      <c r="A1882" s="186" t="s">
        <v>56</v>
      </c>
      <c r="B1882" s="101" t="s">
        <v>490</v>
      </c>
      <c r="C1882" s="85" t="s">
        <v>5013</v>
      </c>
      <c r="D1882" s="161" t="s">
        <v>5013</v>
      </c>
      <c r="E1882" s="161" t="s">
        <v>2204</v>
      </c>
      <c r="F1882" s="161" t="s">
        <v>5008</v>
      </c>
      <c r="G1882" s="163">
        <v>619.5991</v>
      </c>
      <c r="H1882" s="163">
        <f t="shared" si="150"/>
        <v>29.9645</v>
      </c>
      <c r="I1882" s="176"/>
      <c r="J1882" s="176">
        <v>9262.5</v>
      </c>
      <c r="K1882" s="176">
        <v>231355.5</v>
      </c>
      <c r="L1882" s="163"/>
      <c r="M1882" s="161">
        <v>0</v>
      </c>
      <c r="N1882" s="161"/>
      <c r="O1882" s="161" t="s">
        <v>14</v>
      </c>
      <c r="P1882" s="49" t="s">
        <v>14</v>
      </c>
      <c r="Q1882" s="166" t="s">
        <v>5014</v>
      </c>
      <c r="R1882" s="151"/>
    </row>
    <row r="1883" spans="1:18">
      <c r="A1883" s="186" t="s">
        <v>56</v>
      </c>
      <c r="B1883" s="101" t="s">
        <v>490</v>
      </c>
      <c r="C1883" s="85" t="s">
        <v>5015</v>
      </c>
      <c r="D1883" s="161" t="s">
        <v>5015</v>
      </c>
      <c r="E1883" s="161" t="s">
        <v>2204</v>
      </c>
      <c r="F1883" s="161" t="s">
        <v>5008</v>
      </c>
      <c r="G1883" s="163">
        <v>619.5991</v>
      </c>
      <c r="H1883" s="163">
        <f t="shared" si="150"/>
        <v>0</v>
      </c>
      <c r="I1883" s="176">
        <v>25</v>
      </c>
      <c r="J1883" s="176">
        <v>1852.5</v>
      </c>
      <c r="K1883" s="176">
        <v>233208</v>
      </c>
      <c r="L1883" s="163"/>
      <c r="M1883" s="161" t="s">
        <v>4954</v>
      </c>
      <c r="N1883" s="161" t="s">
        <v>1331</v>
      </c>
      <c r="O1883" s="161" t="s">
        <v>15</v>
      </c>
      <c r="P1883" s="49" t="s">
        <v>15</v>
      </c>
      <c r="Q1883" s="166" t="s">
        <v>5016</v>
      </c>
      <c r="R1883" s="151"/>
    </row>
    <row r="1884" spans="1:18">
      <c r="A1884" s="186" t="s">
        <v>56</v>
      </c>
      <c r="B1884" s="101" t="s">
        <v>490</v>
      </c>
      <c r="C1884" s="85" t="s">
        <v>5017</v>
      </c>
      <c r="D1884" s="161" t="s">
        <v>2314</v>
      </c>
      <c r="E1884" s="161" t="s">
        <v>2204</v>
      </c>
      <c r="F1884" s="161" t="s">
        <v>5018</v>
      </c>
      <c r="G1884" s="163">
        <v>648.0044</v>
      </c>
      <c r="H1884" s="163">
        <f t="shared" si="150"/>
        <v>28.4053</v>
      </c>
      <c r="I1884" s="173">
        <v>23</v>
      </c>
      <c r="J1884" s="176">
        <f>K1884-K1883</f>
        <v>10557</v>
      </c>
      <c r="K1884" s="176">
        <v>243765</v>
      </c>
      <c r="L1884" s="163"/>
      <c r="M1884" s="161" t="s">
        <v>4954</v>
      </c>
      <c r="N1884" s="161" t="s">
        <v>1901</v>
      </c>
      <c r="O1884" s="161" t="s">
        <v>26</v>
      </c>
      <c r="P1884" s="49" t="s">
        <v>26</v>
      </c>
      <c r="Q1884" s="166" t="s">
        <v>5019</v>
      </c>
      <c r="R1884" s="151"/>
    </row>
    <row r="1885" spans="1:18">
      <c r="A1885" s="186" t="s">
        <v>56</v>
      </c>
      <c r="B1885" s="101" t="s">
        <v>490</v>
      </c>
      <c r="C1885" s="85" t="s">
        <v>199</v>
      </c>
      <c r="D1885" s="161" t="s">
        <v>199</v>
      </c>
      <c r="E1885" s="161" t="s">
        <v>2204</v>
      </c>
      <c r="F1885" s="161" t="s">
        <v>5018</v>
      </c>
      <c r="G1885" s="163">
        <v>682.8581</v>
      </c>
      <c r="H1885" s="163">
        <f t="shared" si="150"/>
        <v>34.8537</v>
      </c>
      <c r="I1885" s="176">
        <v>29</v>
      </c>
      <c r="J1885" s="176">
        <f>K1885-K1884</f>
        <v>13253</v>
      </c>
      <c r="K1885" s="176">
        <v>257018</v>
      </c>
      <c r="L1885" s="163"/>
      <c r="M1885" s="161" t="s">
        <v>2174</v>
      </c>
      <c r="N1885" s="161" t="s">
        <v>1331</v>
      </c>
      <c r="O1885" s="161" t="s">
        <v>14</v>
      </c>
      <c r="P1885" s="49" t="s">
        <v>14</v>
      </c>
      <c r="Q1885" s="166" t="s">
        <v>2228</v>
      </c>
      <c r="R1885" s="151"/>
    </row>
    <row r="1886" spans="1:18">
      <c r="A1886" s="186" t="s">
        <v>56</v>
      </c>
      <c r="B1886" s="101" t="s">
        <v>490</v>
      </c>
      <c r="C1886" s="85" t="s">
        <v>5020</v>
      </c>
      <c r="D1886" s="161" t="s">
        <v>2317</v>
      </c>
      <c r="E1886" s="161" t="s">
        <v>2204</v>
      </c>
      <c r="F1886" s="161" t="s">
        <v>5018</v>
      </c>
      <c r="G1886" s="163">
        <v>697.3847</v>
      </c>
      <c r="H1886" s="163">
        <f t="shared" si="150"/>
        <v>14.5265999999999</v>
      </c>
      <c r="I1886" s="176">
        <v>58</v>
      </c>
      <c r="J1886" s="176">
        <f>K1886-K1885</f>
        <v>5213</v>
      </c>
      <c r="K1886" s="176">
        <v>262231</v>
      </c>
      <c r="L1886" s="163"/>
      <c r="M1886" s="161" t="s">
        <v>4954</v>
      </c>
      <c r="N1886" s="161" t="s">
        <v>1901</v>
      </c>
      <c r="O1886" s="161" t="s">
        <v>26</v>
      </c>
      <c r="P1886" s="49" t="s">
        <v>26</v>
      </c>
      <c r="Q1886" s="166" t="s">
        <v>5021</v>
      </c>
      <c r="R1886" s="151"/>
    </row>
    <row r="1887" spans="1:18">
      <c r="A1887" s="186" t="s">
        <v>56</v>
      </c>
      <c r="B1887" s="101" t="s">
        <v>490</v>
      </c>
      <c r="C1887" s="85" t="s">
        <v>492</v>
      </c>
      <c r="D1887" s="161" t="s">
        <v>492</v>
      </c>
      <c r="E1887" s="161" t="s">
        <v>2204</v>
      </c>
      <c r="F1887" s="161" t="s">
        <v>5018</v>
      </c>
      <c r="G1887" s="163">
        <v>718.9001</v>
      </c>
      <c r="H1887" s="163">
        <f t="shared" si="150"/>
        <v>21.5154</v>
      </c>
      <c r="I1887" s="173">
        <v>37</v>
      </c>
      <c r="J1887" s="176">
        <f>K1887-K1886</f>
        <v>8353</v>
      </c>
      <c r="K1887" s="176">
        <v>270584</v>
      </c>
      <c r="L1887" s="163"/>
      <c r="M1887" s="161" t="s">
        <v>4954</v>
      </c>
      <c r="N1887" s="161" t="s">
        <v>1331</v>
      </c>
      <c r="O1887" s="161" t="s">
        <v>14</v>
      </c>
      <c r="P1887" s="49" t="s">
        <v>14</v>
      </c>
      <c r="Q1887" s="166" t="s">
        <v>5022</v>
      </c>
      <c r="R1887" s="151"/>
    </row>
    <row r="1888" spans="1:18">
      <c r="A1888" s="186" t="s">
        <v>56</v>
      </c>
      <c r="B1888" s="101" t="s">
        <v>494</v>
      </c>
      <c r="C1888" s="135" t="s">
        <v>495</v>
      </c>
      <c r="D1888" s="161" t="s">
        <v>495</v>
      </c>
      <c r="E1888" s="161" t="s">
        <v>2204</v>
      </c>
      <c r="F1888" s="161" t="s">
        <v>5003</v>
      </c>
      <c r="G1888" s="171">
        <v>0</v>
      </c>
      <c r="H1888" s="163">
        <v>0</v>
      </c>
      <c r="I1888" s="176">
        <v>35</v>
      </c>
      <c r="J1888" s="176">
        <v>0</v>
      </c>
      <c r="K1888" s="176">
        <v>0</v>
      </c>
      <c r="L1888" s="163"/>
      <c r="M1888" s="161" t="s">
        <v>4954</v>
      </c>
      <c r="N1888" s="161" t="s">
        <v>1331</v>
      </c>
      <c r="O1888" s="161"/>
      <c r="P1888" s="49"/>
      <c r="Q1888" s="166" t="s">
        <v>5004</v>
      </c>
      <c r="R1888" s="151"/>
    </row>
    <row r="1889" spans="1:18">
      <c r="A1889" s="186" t="s">
        <v>56</v>
      </c>
      <c r="B1889" s="101" t="s">
        <v>494</v>
      </c>
      <c r="C1889" s="85" t="s">
        <v>2903</v>
      </c>
      <c r="D1889" s="161" t="s">
        <v>2904</v>
      </c>
      <c r="E1889" s="161" t="s">
        <v>2204</v>
      </c>
      <c r="F1889" s="161" t="s">
        <v>5003</v>
      </c>
      <c r="G1889" s="171">
        <v>22.3917</v>
      </c>
      <c r="H1889" s="163">
        <f>G1889-G1888</f>
        <v>22.3917</v>
      </c>
      <c r="I1889" s="176">
        <v>55</v>
      </c>
      <c r="J1889" s="176">
        <f>K1889-K1888</f>
        <v>2755</v>
      </c>
      <c r="K1889" s="176">
        <v>2755</v>
      </c>
      <c r="L1889" s="163"/>
      <c r="M1889" s="161" t="s">
        <v>2901</v>
      </c>
      <c r="N1889" s="161" t="s">
        <v>1299</v>
      </c>
      <c r="O1889" s="161" t="s">
        <v>25</v>
      </c>
      <c r="P1889" s="49" t="s">
        <v>25</v>
      </c>
      <c r="Q1889" s="166" t="s">
        <v>2905</v>
      </c>
      <c r="R1889" s="151"/>
    </row>
    <row r="1890" spans="1:18">
      <c r="A1890" s="186" t="s">
        <v>56</v>
      </c>
      <c r="B1890" s="101" t="s">
        <v>494</v>
      </c>
      <c r="C1890" s="85" t="s">
        <v>2906</v>
      </c>
      <c r="D1890" s="161" t="s">
        <v>2907</v>
      </c>
      <c r="E1890" s="161" t="s">
        <v>2204</v>
      </c>
      <c r="F1890" s="161" t="s">
        <v>5003</v>
      </c>
      <c r="G1890" s="171">
        <v>45.8214</v>
      </c>
      <c r="H1890" s="163">
        <f t="shared" ref="H1890:H1898" si="151">G1890-G1889</f>
        <v>23.4297</v>
      </c>
      <c r="I1890" s="176">
        <v>89</v>
      </c>
      <c r="J1890" s="176">
        <f t="shared" ref="J1890:J1898" si="152">K1890-K1889</f>
        <v>2899</v>
      </c>
      <c r="K1890" s="176">
        <v>5654</v>
      </c>
      <c r="L1890" s="163"/>
      <c r="M1890" s="161" t="s">
        <v>2901</v>
      </c>
      <c r="N1890" s="161" t="s">
        <v>1901</v>
      </c>
      <c r="O1890" s="161" t="s">
        <v>26</v>
      </c>
      <c r="P1890" s="49" t="s">
        <v>26</v>
      </c>
      <c r="Q1890" s="166" t="s">
        <v>2908</v>
      </c>
      <c r="R1890" s="151"/>
    </row>
    <row r="1891" spans="1:18">
      <c r="A1891" s="186" t="s">
        <v>56</v>
      </c>
      <c r="B1891" s="101" t="s">
        <v>494</v>
      </c>
      <c r="C1891" s="85" t="s">
        <v>5023</v>
      </c>
      <c r="D1891" s="161" t="s">
        <v>5023</v>
      </c>
      <c r="E1891" s="161" t="s">
        <v>2204</v>
      </c>
      <c r="F1891" s="161" t="s">
        <v>5003</v>
      </c>
      <c r="G1891" s="171">
        <v>69.209</v>
      </c>
      <c r="H1891" s="163">
        <f t="shared" si="151"/>
        <v>23.3876</v>
      </c>
      <c r="I1891" s="173">
        <v>91</v>
      </c>
      <c r="J1891" s="176">
        <f t="shared" si="152"/>
        <v>2740</v>
      </c>
      <c r="K1891" s="176">
        <v>8394</v>
      </c>
      <c r="L1891" s="163"/>
      <c r="M1891" s="161" t="s">
        <v>5024</v>
      </c>
      <c r="N1891" s="161" t="s">
        <v>1331</v>
      </c>
      <c r="O1891" s="161" t="s">
        <v>14</v>
      </c>
      <c r="P1891" s="49" t="s">
        <v>14</v>
      </c>
      <c r="Q1891" s="166" t="s">
        <v>5025</v>
      </c>
      <c r="R1891" s="151"/>
    </row>
    <row r="1892" spans="1:18">
      <c r="A1892" s="186" t="s">
        <v>56</v>
      </c>
      <c r="B1892" s="101" t="s">
        <v>494</v>
      </c>
      <c r="C1892" s="85" t="s">
        <v>5026</v>
      </c>
      <c r="D1892" s="161" t="s">
        <v>2847</v>
      </c>
      <c r="E1892" s="161" t="s">
        <v>2204</v>
      </c>
      <c r="F1892" s="161" t="s">
        <v>5003</v>
      </c>
      <c r="G1892" s="171">
        <v>89.4954</v>
      </c>
      <c r="H1892" s="163">
        <f t="shared" si="151"/>
        <v>20.2864</v>
      </c>
      <c r="I1892" s="176">
        <v>81</v>
      </c>
      <c r="J1892" s="176">
        <f t="shared" si="152"/>
        <v>2607</v>
      </c>
      <c r="K1892" s="176">
        <v>11001</v>
      </c>
      <c r="L1892" s="163"/>
      <c r="M1892" s="161" t="s">
        <v>2901</v>
      </c>
      <c r="N1892" s="161" t="s">
        <v>1901</v>
      </c>
      <c r="O1892" s="161" t="s">
        <v>26</v>
      </c>
      <c r="P1892" s="49" t="s">
        <v>26</v>
      </c>
      <c r="Q1892" s="166" t="s">
        <v>5027</v>
      </c>
      <c r="R1892" s="151"/>
    </row>
    <row r="1893" spans="1:18">
      <c r="A1893" s="186" t="s">
        <v>56</v>
      </c>
      <c r="B1893" s="101" t="s">
        <v>494</v>
      </c>
      <c r="C1893" s="85" t="s">
        <v>5028</v>
      </c>
      <c r="D1893" s="161" t="s">
        <v>1307</v>
      </c>
      <c r="E1893" s="161" t="s">
        <v>2204</v>
      </c>
      <c r="F1893" s="161" t="s">
        <v>5003</v>
      </c>
      <c r="G1893" s="171">
        <v>115.4881</v>
      </c>
      <c r="H1893" s="163">
        <f t="shared" si="151"/>
        <v>25.9927</v>
      </c>
      <c r="I1893" s="176">
        <v>104</v>
      </c>
      <c r="J1893" s="176">
        <f t="shared" si="152"/>
        <v>3141</v>
      </c>
      <c r="K1893" s="176">
        <v>14142</v>
      </c>
      <c r="L1893" s="163"/>
      <c r="M1893" s="161" t="s">
        <v>2901</v>
      </c>
      <c r="N1893" s="161" t="s">
        <v>1299</v>
      </c>
      <c r="O1893" s="161" t="s">
        <v>25</v>
      </c>
      <c r="P1893" s="49" t="s">
        <v>25</v>
      </c>
      <c r="Q1893" s="166" t="s">
        <v>5029</v>
      </c>
      <c r="R1893" s="151"/>
    </row>
    <row r="1894" ht="60" spans="1:18">
      <c r="A1894" s="186" t="s">
        <v>56</v>
      </c>
      <c r="B1894" s="101" t="s">
        <v>494</v>
      </c>
      <c r="C1894" s="85" t="s">
        <v>5030</v>
      </c>
      <c r="D1894" s="161" t="s">
        <v>5030</v>
      </c>
      <c r="E1894" s="161" t="s">
        <v>2204</v>
      </c>
      <c r="F1894" s="161" t="s">
        <v>5003</v>
      </c>
      <c r="G1894" s="171">
        <v>133.599</v>
      </c>
      <c r="H1894" s="163">
        <f t="shared" si="151"/>
        <v>18.1109</v>
      </c>
      <c r="I1894" s="176"/>
      <c r="J1894" s="176"/>
      <c r="K1894" s="176"/>
      <c r="L1894" s="163" t="s">
        <v>5031</v>
      </c>
      <c r="M1894" s="161" t="s">
        <v>2901</v>
      </c>
      <c r="N1894" s="161" t="s">
        <v>1331</v>
      </c>
      <c r="O1894" s="161" t="s">
        <v>14</v>
      </c>
      <c r="P1894" s="49" t="s">
        <v>14</v>
      </c>
      <c r="Q1894" s="166" t="s">
        <v>5032</v>
      </c>
      <c r="R1894" s="151"/>
    </row>
    <row r="1895" spans="1:18">
      <c r="A1895" s="186" t="s">
        <v>56</v>
      </c>
      <c r="B1895" s="101" t="s">
        <v>494</v>
      </c>
      <c r="C1895" s="85" t="s">
        <v>5033</v>
      </c>
      <c r="D1895" s="161" t="s">
        <v>2252</v>
      </c>
      <c r="E1895" s="161" t="s">
        <v>2204</v>
      </c>
      <c r="F1895" s="161" t="s">
        <v>5003</v>
      </c>
      <c r="G1895" s="171">
        <v>140.599</v>
      </c>
      <c r="H1895" s="163">
        <f t="shared" si="151"/>
        <v>7</v>
      </c>
      <c r="I1895" s="173">
        <v>71</v>
      </c>
      <c r="J1895" s="176">
        <f>K1895-K1893</f>
        <v>2911</v>
      </c>
      <c r="K1895" s="176">
        <v>17053</v>
      </c>
      <c r="L1895" s="163"/>
      <c r="M1895" s="161" t="s">
        <v>2901</v>
      </c>
      <c r="N1895" s="161" t="s">
        <v>1901</v>
      </c>
      <c r="O1895" s="161" t="s">
        <v>26</v>
      </c>
      <c r="P1895" s="49" t="s">
        <v>26</v>
      </c>
      <c r="Q1895" s="166" t="s">
        <v>5034</v>
      </c>
      <c r="R1895" s="151"/>
    </row>
    <row r="1896" spans="1:18">
      <c r="A1896" s="186" t="s">
        <v>56</v>
      </c>
      <c r="B1896" s="101" t="s">
        <v>494</v>
      </c>
      <c r="C1896" s="85" t="s">
        <v>5035</v>
      </c>
      <c r="D1896" s="161" t="s">
        <v>5035</v>
      </c>
      <c r="E1896" s="161" t="s">
        <v>2204</v>
      </c>
      <c r="F1896" s="161" t="s">
        <v>5003</v>
      </c>
      <c r="G1896" s="171">
        <v>163.299</v>
      </c>
      <c r="H1896" s="163">
        <f t="shared" si="151"/>
        <v>22.7</v>
      </c>
      <c r="I1896" s="176">
        <v>66</v>
      </c>
      <c r="J1896" s="176">
        <f t="shared" si="152"/>
        <v>2753</v>
      </c>
      <c r="K1896" s="176">
        <v>19806</v>
      </c>
      <c r="L1896" s="163"/>
      <c r="M1896" s="161" t="s">
        <v>2901</v>
      </c>
      <c r="N1896" s="161" t="s">
        <v>1331</v>
      </c>
      <c r="O1896" s="161" t="s">
        <v>14</v>
      </c>
      <c r="P1896" s="49" t="s">
        <v>14</v>
      </c>
      <c r="Q1896" s="166" t="s">
        <v>5036</v>
      </c>
      <c r="R1896" s="151"/>
    </row>
    <row r="1897" spans="1:18">
      <c r="A1897" s="186" t="s">
        <v>56</v>
      </c>
      <c r="B1897" s="101" t="s">
        <v>494</v>
      </c>
      <c r="C1897" s="85" t="s">
        <v>5037</v>
      </c>
      <c r="D1897" s="161" t="s">
        <v>2258</v>
      </c>
      <c r="E1897" s="161" t="s">
        <v>2204</v>
      </c>
      <c r="F1897" s="161" t="s">
        <v>2876</v>
      </c>
      <c r="G1897" s="171">
        <v>181.7854</v>
      </c>
      <c r="H1897" s="163">
        <f t="shared" si="151"/>
        <v>18.4864</v>
      </c>
      <c r="I1897" s="176">
        <v>65</v>
      </c>
      <c r="J1897" s="176">
        <f t="shared" si="152"/>
        <v>3190</v>
      </c>
      <c r="K1897" s="176">
        <v>22996</v>
      </c>
      <c r="L1897" s="163"/>
      <c r="M1897" s="161" t="s">
        <v>2901</v>
      </c>
      <c r="N1897" s="161" t="s">
        <v>1901</v>
      </c>
      <c r="O1897" s="161" t="s">
        <v>26</v>
      </c>
      <c r="P1897" s="49" t="s">
        <v>26</v>
      </c>
      <c r="Q1897" s="166" t="s">
        <v>5038</v>
      </c>
      <c r="R1897" s="151"/>
    </row>
    <row r="1898" spans="1:18">
      <c r="A1898" s="186" t="s">
        <v>56</v>
      </c>
      <c r="B1898" s="101" t="s">
        <v>494</v>
      </c>
      <c r="C1898" s="135" t="s">
        <v>252</v>
      </c>
      <c r="D1898" s="161" t="s">
        <v>252</v>
      </c>
      <c r="E1898" s="161" t="s">
        <v>2204</v>
      </c>
      <c r="F1898" s="161" t="s">
        <v>2876</v>
      </c>
      <c r="G1898" s="171">
        <v>210.5</v>
      </c>
      <c r="H1898" s="163">
        <f t="shared" si="151"/>
        <v>28.7146</v>
      </c>
      <c r="I1898" s="176">
        <v>21</v>
      </c>
      <c r="J1898" s="176">
        <f t="shared" si="152"/>
        <v>2535</v>
      </c>
      <c r="K1898" s="176">
        <v>25531</v>
      </c>
      <c r="L1898" s="163"/>
      <c r="M1898" s="161" t="s">
        <v>2909</v>
      </c>
      <c r="N1898" s="161" t="s">
        <v>1331</v>
      </c>
      <c r="O1898" s="161"/>
      <c r="P1898" s="49"/>
      <c r="Q1898" s="166" t="s">
        <v>2910</v>
      </c>
      <c r="R1898" s="151"/>
    </row>
    <row r="1899" spans="1:18">
      <c r="A1899" s="186" t="s">
        <v>56</v>
      </c>
      <c r="B1899" s="101" t="s">
        <v>498</v>
      </c>
      <c r="C1899" s="135" t="s">
        <v>499</v>
      </c>
      <c r="D1899" s="161" t="s">
        <v>499</v>
      </c>
      <c r="E1899" s="161" t="s">
        <v>2204</v>
      </c>
      <c r="F1899" s="161" t="s">
        <v>5008</v>
      </c>
      <c r="G1899" s="163">
        <v>0</v>
      </c>
      <c r="H1899" s="163">
        <v>0</v>
      </c>
      <c r="I1899" s="176">
        <v>31</v>
      </c>
      <c r="J1899" s="176">
        <v>0</v>
      </c>
      <c r="K1899" s="176">
        <v>0</v>
      </c>
      <c r="L1899" s="163"/>
      <c r="M1899" s="161" t="s">
        <v>4954</v>
      </c>
      <c r="N1899" s="161" t="s">
        <v>1331</v>
      </c>
      <c r="O1899" s="161"/>
      <c r="P1899" s="49"/>
      <c r="Q1899" s="166" t="s">
        <v>5010</v>
      </c>
      <c r="R1899" s="151"/>
    </row>
    <row r="1900" spans="1:18">
      <c r="A1900" s="186" t="s">
        <v>56</v>
      </c>
      <c r="B1900" s="101" t="s">
        <v>498</v>
      </c>
      <c r="C1900" s="85" t="s">
        <v>5039</v>
      </c>
      <c r="D1900" s="161" t="s">
        <v>1899</v>
      </c>
      <c r="E1900" s="161" t="s">
        <v>2204</v>
      </c>
      <c r="F1900" s="161" t="s">
        <v>5008</v>
      </c>
      <c r="G1900" s="163">
        <v>28.7484</v>
      </c>
      <c r="H1900" s="163">
        <f t="shared" ref="H1900:H1906" si="153">G1900-G1899</f>
        <v>28.7484</v>
      </c>
      <c r="I1900" s="176">
        <v>30</v>
      </c>
      <c r="J1900" s="176">
        <f>K1900-K1899</f>
        <v>8601</v>
      </c>
      <c r="K1900" s="176">
        <v>8601</v>
      </c>
      <c r="L1900" s="163"/>
      <c r="M1900" s="161" t="s">
        <v>5040</v>
      </c>
      <c r="N1900" s="161" t="s">
        <v>1901</v>
      </c>
      <c r="O1900" s="161" t="s">
        <v>26</v>
      </c>
      <c r="P1900" s="49" t="s">
        <v>26</v>
      </c>
      <c r="Q1900" s="166" t="s">
        <v>5041</v>
      </c>
      <c r="R1900" s="151"/>
    </row>
    <row r="1901" spans="1:18">
      <c r="A1901" s="186" t="s">
        <v>56</v>
      </c>
      <c r="B1901" s="101" t="s">
        <v>498</v>
      </c>
      <c r="C1901" s="85" t="s">
        <v>5042</v>
      </c>
      <c r="D1901" s="161" t="s">
        <v>5042</v>
      </c>
      <c r="E1901" s="161" t="s">
        <v>2204</v>
      </c>
      <c r="F1901" s="161" t="s">
        <v>5008</v>
      </c>
      <c r="G1901" s="163">
        <v>60.3</v>
      </c>
      <c r="H1901" s="163">
        <f t="shared" si="153"/>
        <v>31.5516</v>
      </c>
      <c r="I1901" s="176">
        <v>25</v>
      </c>
      <c r="J1901" s="176">
        <f>K1901-K1900</f>
        <v>8046</v>
      </c>
      <c r="K1901" s="176">
        <v>16647</v>
      </c>
      <c r="L1901" s="163"/>
      <c r="M1901" s="161" t="s">
        <v>5040</v>
      </c>
      <c r="N1901" s="161" t="s">
        <v>1331</v>
      </c>
      <c r="O1901" s="161" t="s">
        <v>14</v>
      </c>
      <c r="P1901" s="49" t="s">
        <v>14</v>
      </c>
      <c r="Q1901" s="166" t="s">
        <v>5043</v>
      </c>
      <c r="R1901" s="151"/>
    </row>
    <row r="1902" spans="1:18">
      <c r="A1902" s="186" t="s">
        <v>56</v>
      </c>
      <c r="B1902" s="101" t="s">
        <v>498</v>
      </c>
      <c r="C1902" s="85" t="s">
        <v>5044</v>
      </c>
      <c r="D1902" s="161" t="s">
        <v>1904</v>
      </c>
      <c r="E1902" s="161" t="s">
        <v>2204</v>
      </c>
      <c r="F1902" s="161" t="s">
        <v>5008</v>
      </c>
      <c r="G1902" s="163">
        <v>84.9122</v>
      </c>
      <c r="H1902" s="163">
        <f t="shared" si="153"/>
        <v>24.6122</v>
      </c>
      <c r="I1902" s="176">
        <v>26</v>
      </c>
      <c r="J1902" s="176">
        <f>K1902-K1901</f>
        <v>6681</v>
      </c>
      <c r="K1902" s="176">
        <v>23328</v>
      </c>
      <c r="L1902" s="163"/>
      <c r="M1902" s="161" t="s">
        <v>5040</v>
      </c>
      <c r="N1902" s="161" t="s">
        <v>1901</v>
      </c>
      <c r="O1902" s="161" t="s">
        <v>26</v>
      </c>
      <c r="P1902" s="49" t="s">
        <v>26</v>
      </c>
      <c r="Q1902" s="166" t="s">
        <v>5045</v>
      </c>
      <c r="R1902" s="151"/>
    </row>
    <row r="1903" spans="1:18">
      <c r="A1903" s="186" t="s">
        <v>56</v>
      </c>
      <c r="B1903" s="101" t="s">
        <v>498</v>
      </c>
      <c r="C1903" s="85" t="s">
        <v>5046</v>
      </c>
      <c r="D1903" s="161" t="s">
        <v>5046</v>
      </c>
      <c r="E1903" s="161" t="s">
        <v>2204</v>
      </c>
      <c r="F1903" s="161" t="s">
        <v>5008</v>
      </c>
      <c r="G1903" s="163">
        <v>111.2</v>
      </c>
      <c r="H1903" s="163">
        <f t="shared" si="153"/>
        <v>26.2878</v>
      </c>
      <c r="I1903" s="173">
        <v>26</v>
      </c>
      <c r="J1903" s="176">
        <f>K1903-K1902</f>
        <v>7371</v>
      </c>
      <c r="K1903" s="176">
        <v>30699</v>
      </c>
      <c r="L1903" s="163"/>
      <c r="M1903" s="161" t="s">
        <v>5040</v>
      </c>
      <c r="N1903" s="161" t="s">
        <v>1331</v>
      </c>
      <c r="O1903" s="161" t="s">
        <v>15</v>
      </c>
      <c r="P1903" s="49" t="s">
        <v>15</v>
      </c>
      <c r="Q1903" s="166" t="s">
        <v>5047</v>
      </c>
      <c r="R1903" s="151"/>
    </row>
    <row r="1904" spans="1:18">
      <c r="A1904" s="186" t="s">
        <v>56</v>
      </c>
      <c r="B1904" s="101" t="s">
        <v>498</v>
      </c>
      <c r="C1904" s="85" t="s">
        <v>5048</v>
      </c>
      <c r="D1904" s="161" t="s">
        <v>2847</v>
      </c>
      <c r="E1904" s="161" t="s">
        <v>2939</v>
      </c>
      <c r="F1904" s="161" t="s">
        <v>5049</v>
      </c>
      <c r="G1904" s="163">
        <v>125.491</v>
      </c>
      <c r="H1904" s="163">
        <f t="shared" si="153"/>
        <v>14.291</v>
      </c>
      <c r="I1904" s="176">
        <v>27</v>
      </c>
      <c r="J1904" s="176">
        <f>K1904-K1903</f>
        <v>3092</v>
      </c>
      <c r="K1904" s="176">
        <v>33791</v>
      </c>
      <c r="L1904" s="163"/>
      <c r="M1904" s="161" t="s">
        <v>5040</v>
      </c>
      <c r="N1904" s="161" t="s">
        <v>1901</v>
      </c>
      <c r="O1904" s="161" t="s">
        <v>26</v>
      </c>
      <c r="P1904" s="49" t="s">
        <v>26</v>
      </c>
      <c r="Q1904" s="166" t="s">
        <v>5050</v>
      </c>
      <c r="R1904" s="151"/>
    </row>
    <row r="1905" spans="1:18">
      <c r="A1905" s="186" t="s">
        <v>56</v>
      </c>
      <c r="B1905" s="101" t="s">
        <v>498</v>
      </c>
      <c r="C1905" s="85" t="s">
        <v>5051</v>
      </c>
      <c r="D1905" s="161" t="s">
        <v>5051</v>
      </c>
      <c r="E1905" s="161" t="s">
        <v>2939</v>
      </c>
      <c r="F1905" s="161" t="s">
        <v>5049</v>
      </c>
      <c r="G1905" s="163">
        <v>134.015</v>
      </c>
      <c r="H1905" s="163">
        <f t="shared" si="153"/>
        <v>8.52399999999999</v>
      </c>
      <c r="I1905" s="176"/>
      <c r="J1905" s="176"/>
      <c r="K1905" s="176"/>
      <c r="L1905" s="163"/>
      <c r="M1905" s="161" t="s">
        <v>5040</v>
      </c>
      <c r="N1905" s="161"/>
      <c r="O1905" s="161" t="s">
        <v>14</v>
      </c>
      <c r="P1905" s="49" t="s">
        <v>14</v>
      </c>
      <c r="Q1905" s="166" t="s">
        <v>5052</v>
      </c>
      <c r="R1905" s="151"/>
    </row>
    <row r="1906" spans="1:18">
      <c r="A1906" s="186" t="s">
        <v>56</v>
      </c>
      <c r="B1906" s="101" t="s">
        <v>498</v>
      </c>
      <c r="C1906" s="85" t="s">
        <v>5053</v>
      </c>
      <c r="D1906" s="161" t="s">
        <v>5053</v>
      </c>
      <c r="E1906" s="161" t="s">
        <v>2939</v>
      </c>
      <c r="F1906" s="161" t="s">
        <v>5049</v>
      </c>
      <c r="G1906" s="163">
        <v>146.6</v>
      </c>
      <c r="H1906" s="163">
        <f t="shared" si="153"/>
        <v>12.585</v>
      </c>
      <c r="I1906" s="176">
        <v>59</v>
      </c>
      <c r="J1906" s="176">
        <f>K1906-K1904</f>
        <v>6681</v>
      </c>
      <c r="K1906" s="176">
        <v>40472</v>
      </c>
      <c r="L1906" s="163"/>
      <c r="M1906" s="161" t="s">
        <v>5040</v>
      </c>
      <c r="N1906" s="161" t="s">
        <v>1331</v>
      </c>
      <c r="O1906" s="161" t="s">
        <v>14</v>
      </c>
      <c r="P1906" s="49" t="s">
        <v>14</v>
      </c>
      <c r="Q1906" s="166" t="s">
        <v>5054</v>
      </c>
      <c r="R1906" s="151"/>
    </row>
    <row r="1907" spans="1:18">
      <c r="A1907" s="186" t="s">
        <v>56</v>
      </c>
      <c r="B1907" s="101" t="s">
        <v>498</v>
      </c>
      <c r="C1907" s="85" t="s">
        <v>5055</v>
      </c>
      <c r="D1907" s="161" t="s">
        <v>2820</v>
      </c>
      <c r="E1907" s="161" t="s">
        <v>2939</v>
      </c>
      <c r="F1907" s="161" t="s">
        <v>5049</v>
      </c>
      <c r="G1907" s="163">
        <v>166.0175</v>
      </c>
      <c r="H1907" s="163">
        <f t="shared" ref="H1907:H1916" si="154">G1907-G1906</f>
        <v>19.4175</v>
      </c>
      <c r="I1907" s="173">
        <v>64</v>
      </c>
      <c r="J1907" s="176">
        <f t="shared" ref="J1907:J1916" si="155">K1907-K1906</f>
        <v>7095</v>
      </c>
      <c r="K1907" s="176">
        <v>47567</v>
      </c>
      <c r="L1907" s="163"/>
      <c r="M1907" s="161" t="s">
        <v>5040</v>
      </c>
      <c r="N1907" s="161" t="s">
        <v>1901</v>
      </c>
      <c r="O1907" s="161" t="s">
        <v>26</v>
      </c>
      <c r="P1907" s="49" t="s">
        <v>26</v>
      </c>
      <c r="Q1907" s="166" t="s">
        <v>5056</v>
      </c>
      <c r="R1907" s="151"/>
    </row>
    <row r="1908" spans="1:18">
      <c r="A1908" s="186" t="s">
        <v>56</v>
      </c>
      <c r="B1908" s="101" t="s">
        <v>498</v>
      </c>
      <c r="C1908" s="85" t="s">
        <v>5057</v>
      </c>
      <c r="D1908" s="161" t="s">
        <v>5058</v>
      </c>
      <c r="E1908" s="161" t="s">
        <v>2939</v>
      </c>
      <c r="F1908" s="161" t="s">
        <v>5049</v>
      </c>
      <c r="G1908" s="163">
        <v>174.6</v>
      </c>
      <c r="H1908" s="163">
        <f t="shared" si="154"/>
        <v>8.58249999999998</v>
      </c>
      <c r="I1908" s="173">
        <v>64</v>
      </c>
      <c r="J1908" s="173">
        <v>554.6</v>
      </c>
      <c r="K1908" s="176">
        <v>48122</v>
      </c>
      <c r="L1908" s="163"/>
      <c r="M1908" s="161" t="s">
        <v>5040</v>
      </c>
      <c r="N1908" s="161" t="s">
        <v>1901</v>
      </c>
      <c r="O1908" s="161" t="s">
        <v>14</v>
      </c>
      <c r="P1908" s="49" t="s">
        <v>14</v>
      </c>
      <c r="Q1908" s="166" t="s">
        <v>5059</v>
      </c>
      <c r="R1908" s="151"/>
    </row>
    <row r="1909" spans="1:18">
      <c r="A1909" s="186" t="s">
        <v>56</v>
      </c>
      <c r="B1909" s="101" t="s">
        <v>498</v>
      </c>
      <c r="C1909" s="85" t="s">
        <v>5060</v>
      </c>
      <c r="D1909" s="161" t="s">
        <v>2252</v>
      </c>
      <c r="E1909" s="161" t="s">
        <v>2939</v>
      </c>
      <c r="F1909" s="161" t="s">
        <v>5049</v>
      </c>
      <c r="G1909" s="163">
        <v>187.5958</v>
      </c>
      <c r="H1909" s="163">
        <f t="shared" si="154"/>
        <v>12.9958</v>
      </c>
      <c r="I1909" s="176">
        <v>61</v>
      </c>
      <c r="J1909" s="176">
        <f t="shared" si="155"/>
        <v>5794</v>
      </c>
      <c r="K1909" s="176">
        <v>53916</v>
      </c>
      <c r="L1909" s="163"/>
      <c r="M1909" s="161" t="s">
        <v>5040</v>
      </c>
      <c r="N1909" s="161" t="s">
        <v>1901</v>
      </c>
      <c r="O1909" s="161" t="s">
        <v>26</v>
      </c>
      <c r="P1909" s="49" t="s">
        <v>26</v>
      </c>
      <c r="Q1909" s="166" t="s">
        <v>5061</v>
      </c>
      <c r="R1909" s="151"/>
    </row>
    <row r="1910" spans="1:18">
      <c r="A1910" s="186" t="s">
        <v>56</v>
      </c>
      <c r="B1910" s="101" t="s">
        <v>498</v>
      </c>
      <c r="C1910" s="85" t="s">
        <v>5062</v>
      </c>
      <c r="D1910" s="161" t="s">
        <v>1318</v>
      </c>
      <c r="E1910" s="161" t="s">
        <v>2939</v>
      </c>
      <c r="F1910" s="161" t="s">
        <v>5049</v>
      </c>
      <c r="G1910" s="163">
        <v>209.0996</v>
      </c>
      <c r="H1910" s="163">
        <f t="shared" si="154"/>
        <v>21.5038</v>
      </c>
      <c r="I1910" s="176">
        <v>52</v>
      </c>
      <c r="J1910" s="176">
        <f t="shared" si="155"/>
        <v>6460</v>
      </c>
      <c r="K1910" s="176">
        <v>60376</v>
      </c>
      <c r="L1910" s="163"/>
      <c r="M1910" s="161" t="s">
        <v>5040</v>
      </c>
      <c r="N1910" s="161" t="s">
        <v>1299</v>
      </c>
      <c r="O1910" s="161" t="s">
        <v>25</v>
      </c>
      <c r="P1910" s="49" t="s">
        <v>25</v>
      </c>
      <c r="Q1910" s="166" t="s">
        <v>5063</v>
      </c>
      <c r="R1910" s="151"/>
    </row>
    <row r="1911" spans="1:18">
      <c r="A1911" s="186" t="s">
        <v>56</v>
      </c>
      <c r="B1911" s="101" t="s">
        <v>498</v>
      </c>
      <c r="C1911" s="85" t="s">
        <v>5064</v>
      </c>
      <c r="D1911" s="161" t="s">
        <v>5064</v>
      </c>
      <c r="E1911" s="161" t="s">
        <v>2939</v>
      </c>
      <c r="F1911" s="161" t="s">
        <v>5049</v>
      </c>
      <c r="G1911" s="163">
        <v>221</v>
      </c>
      <c r="H1911" s="163">
        <f t="shared" si="154"/>
        <v>11.9004</v>
      </c>
      <c r="I1911" s="176">
        <v>60</v>
      </c>
      <c r="J1911" s="176">
        <v>638</v>
      </c>
      <c r="K1911" s="176">
        <v>61014</v>
      </c>
      <c r="L1911" s="163"/>
      <c r="M1911" s="161" t="s">
        <v>5040</v>
      </c>
      <c r="N1911" s="161" t="s">
        <v>1331</v>
      </c>
      <c r="O1911" s="161" t="s">
        <v>14</v>
      </c>
      <c r="P1911" s="49" t="s">
        <v>14</v>
      </c>
      <c r="Q1911" s="166" t="s">
        <v>5065</v>
      </c>
      <c r="R1911" s="151"/>
    </row>
    <row r="1912" spans="1:18">
      <c r="A1912" s="186" t="s">
        <v>56</v>
      </c>
      <c r="B1912" s="101" t="s">
        <v>498</v>
      </c>
      <c r="C1912" s="85" t="s">
        <v>5066</v>
      </c>
      <c r="D1912" s="161" t="s">
        <v>2261</v>
      </c>
      <c r="E1912" s="161" t="s">
        <v>2939</v>
      </c>
      <c r="F1912" s="161" t="s">
        <v>5049</v>
      </c>
      <c r="G1912" s="163">
        <v>230.9991</v>
      </c>
      <c r="H1912" s="163">
        <f t="shared" si="154"/>
        <v>9.9991</v>
      </c>
      <c r="I1912" s="176">
        <v>62</v>
      </c>
      <c r="J1912" s="176">
        <f t="shared" si="155"/>
        <v>6291</v>
      </c>
      <c r="K1912" s="176">
        <v>67305</v>
      </c>
      <c r="L1912" s="163"/>
      <c r="M1912" s="161" t="s">
        <v>5040</v>
      </c>
      <c r="N1912" s="161" t="s">
        <v>1901</v>
      </c>
      <c r="O1912" s="161" t="s">
        <v>26</v>
      </c>
      <c r="P1912" s="49" t="s">
        <v>26</v>
      </c>
      <c r="Q1912" s="166" t="s">
        <v>5067</v>
      </c>
      <c r="R1912" s="151"/>
    </row>
    <row r="1913" spans="1:18">
      <c r="A1913" s="186" t="s">
        <v>56</v>
      </c>
      <c r="B1913" s="101" t="s">
        <v>498</v>
      </c>
      <c r="C1913" s="85" t="s">
        <v>5068</v>
      </c>
      <c r="D1913" s="161" t="s">
        <v>2827</v>
      </c>
      <c r="E1913" s="161" t="s">
        <v>2939</v>
      </c>
      <c r="F1913" s="161" t="s">
        <v>321</v>
      </c>
      <c r="G1913" s="163">
        <v>266.1646</v>
      </c>
      <c r="H1913" s="163">
        <f t="shared" si="154"/>
        <v>35.1655</v>
      </c>
      <c r="I1913" s="176">
        <v>59</v>
      </c>
      <c r="J1913" s="176">
        <f t="shared" si="155"/>
        <v>7868</v>
      </c>
      <c r="K1913" s="176">
        <v>75173</v>
      </c>
      <c r="L1913" s="163"/>
      <c r="M1913" s="161" t="s">
        <v>5040</v>
      </c>
      <c r="N1913" s="161" t="s">
        <v>1901</v>
      </c>
      <c r="O1913" s="161" t="s">
        <v>26</v>
      </c>
      <c r="P1913" s="49" t="s">
        <v>26</v>
      </c>
      <c r="Q1913" s="166" t="s">
        <v>5069</v>
      </c>
      <c r="R1913" s="151"/>
    </row>
    <row r="1914" spans="1:18">
      <c r="A1914" s="186" t="s">
        <v>56</v>
      </c>
      <c r="B1914" s="101" t="s">
        <v>498</v>
      </c>
      <c r="C1914" s="85" t="s">
        <v>5070</v>
      </c>
      <c r="D1914" s="161" t="s">
        <v>5070</v>
      </c>
      <c r="E1914" s="161" t="s">
        <v>2939</v>
      </c>
      <c r="F1914" s="161" t="s">
        <v>3754</v>
      </c>
      <c r="G1914" s="163">
        <v>296.2</v>
      </c>
      <c r="H1914" s="163">
        <f t="shared" si="154"/>
        <v>30.0354</v>
      </c>
      <c r="I1914" s="176">
        <v>33</v>
      </c>
      <c r="J1914" s="176">
        <f t="shared" si="155"/>
        <v>6598</v>
      </c>
      <c r="K1914" s="176">
        <v>81771</v>
      </c>
      <c r="L1914" s="163"/>
      <c r="M1914" s="161" t="s">
        <v>5040</v>
      </c>
      <c r="N1914" s="161" t="s">
        <v>1331</v>
      </c>
      <c r="O1914" s="161" t="s">
        <v>14</v>
      </c>
      <c r="P1914" s="49" t="s">
        <v>14</v>
      </c>
      <c r="Q1914" s="166" t="s">
        <v>5071</v>
      </c>
      <c r="R1914" s="151"/>
    </row>
    <row r="1915" spans="1:18">
      <c r="A1915" s="186" t="s">
        <v>56</v>
      </c>
      <c r="B1915" s="101" t="s">
        <v>498</v>
      </c>
      <c r="C1915" s="85" t="s">
        <v>5072</v>
      </c>
      <c r="D1915" s="161" t="s">
        <v>2266</v>
      </c>
      <c r="E1915" s="161" t="s">
        <v>2939</v>
      </c>
      <c r="F1915" s="161" t="s">
        <v>5073</v>
      </c>
      <c r="G1915" s="163">
        <v>316.3534</v>
      </c>
      <c r="H1915" s="163">
        <f t="shared" si="154"/>
        <v>20.1534</v>
      </c>
      <c r="I1915" s="176">
        <v>59</v>
      </c>
      <c r="J1915" s="176">
        <f t="shared" si="155"/>
        <v>6267</v>
      </c>
      <c r="K1915" s="176">
        <v>88038</v>
      </c>
      <c r="L1915" s="163"/>
      <c r="M1915" s="161" t="s">
        <v>5040</v>
      </c>
      <c r="N1915" s="161" t="s">
        <v>1901</v>
      </c>
      <c r="O1915" s="161" t="s">
        <v>26</v>
      </c>
      <c r="P1915" s="49" t="s">
        <v>26</v>
      </c>
      <c r="Q1915" s="166" t="s">
        <v>5074</v>
      </c>
      <c r="R1915" s="151"/>
    </row>
    <row r="1916" spans="1:18">
      <c r="A1916" s="186" t="s">
        <v>56</v>
      </c>
      <c r="B1916" s="101" t="s">
        <v>498</v>
      </c>
      <c r="C1916" s="135" t="s">
        <v>257</v>
      </c>
      <c r="D1916" s="161" t="s">
        <v>257</v>
      </c>
      <c r="E1916" s="161" t="s">
        <v>2939</v>
      </c>
      <c r="F1916" s="161" t="s">
        <v>5073</v>
      </c>
      <c r="G1916" s="163">
        <v>340.5</v>
      </c>
      <c r="H1916" s="163">
        <f t="shared" si="154"/>
        <v>24.1466</v>
      </c>
      <c r="I1916" s="173">
        <v>59</v>
      </c>
      <c r="J1916" s="176">
        <f t="shared" si="155"/>
        <v>5963</v>
      </c>
      <c r="K1916" s="176">
        <v>94001</v>
      </c>
      <c r="L1916" s="163"/>
      <c r="M1916" s="161" t="s">
        <v>2914</v>
      </c>
      <c r="N1916" s="161" t="s">
        <v>1331</v>
      </c>
      <c r="O1916" s="161"/>
      <c r="P1916" s="49"/>
      <c r="Q1916" s="166" t="s">
        <v>2948</v>
      </c>
      <c r="R1916" s="151"/>
    </row>
    <row r="1917" spans="1:18">
      <c r="A1917" s="186" t="s">
        <v>56</v>
      </c>
      <c r="B1917" s="101" t="s">
        <v>496</v>
      </c>
      <c r="C1917" s="135" t="s">
        <v>492</v>
      </c>
      <c r="D1917" s="161" t="s">
        <v>492</v>
      </c>
      <c r="E1917" s="161" t="s">
        <v>2204</v>
      </c>
      <c r="F1917" s="161" t="s">
        <v>5075</v>
      </c>
      <c r="G1917" s="171">
        <v>0</v>
      </c>
      <c r="H1917" s="163">
        <v>0</v>
      </c>
      <c r="I1917" s="176">
        <v>38</v>
      </c>
      <c r="J1917" s="176">
        <v>0</v>
      </c>
      <c r="K1917" s="176">
        <v>0</v>
      </c>
      <c r="L1917" s="163"/>
      <c r="M1917" s="161" t="s">
        <v>4954</v>
      </c>
      <c r="N1917" s="161" t="s">
        <v>1331</v>
      </c>
      <c r="O1917" s="161"/>
      <c r="P1917" s="49"/>
      <c r="Q1917" s="166" t="s">
        <v>5022</v>
      </c>
      <c r="R1917" s="151"/>
    </row>
    <row r="1918" spans="1:18">
      <c r="A1918" s="186" t="s">
        <v>56</v>
      </c>
      <c r="B1918" s="101" t="s">
        <v>496</v>
      </c>
      <c r="C1918" s="85" t="s">
        <v>5076</v>
      </c>
      <c r="D1918" s="161" t="s">
        <v>1899</v>
      </c>
      <c r="E1918" s="161" t="s">
        <v>2204</v>
      </c>
      <c r="F1918" s="161" t="s">
        <v>5018</v>
      </c>
      <c r="G1918" s="171">
        <v>27.0481</v>
      </c>
      <c r="H1918" s="163">
        <f>G1918-G1917</f>
        <v>27.0481</v>
      </c>
      <c r="I1918" s="176">
        <v>36</v>
      </c>
      <c r="J1918" s="176">
        <f>K1918-K1917</f>
        <v>2014</v>
      </c>
      <c r="K1918" s="176">
        <v>2014</v>
      </c>
      <c r="L1918" s="163"/>
      <c r="M1918" s="161" t="s">
        <v>5077</v>
      </c>
      <c r="N1918" s="161" t="s">
        <v>1901</v>
      </c>
      <c r="O1918" s="161" t="s">
        <v>26</v>
      </c>
      <c r="P1918" s="49" t="s">
        <v>26</v>
      </c>
      <c r="Q1918" s="166" t="s">
        <v>5078</v>
      </c>
      <c r="R1918" s="151"/>
    </row>
    <row r="1919" spans="1:18">
      <c r="A1919" s="186" t="s">
        <v>56</v>
      </c>
      <c r="B1919" s="101" t="s">
        <v>496</v>
      </c>
      <c r="C1919" s="85" t="s">
        <v>5079</v>
      </c>
      <c r="D1919" s="161" t="s">
        <v>5079</v>
      </c>
      <c r="E1919" s="161" t="s">
        <v>2204</v>
      </c>
      <c r="F1919" s="161" t="s">
        <v>5018</v>
      </c>
      <c r="G1919" s="171">
        <v>56.816</v>
      </c>
      <c r="H1919" s="163">
        <f>G1919-G1918</f>
        <v>29.7679</v>
      </c>
      <c r="I1919" s="173">
        <v>38</v>
      </c>
      <c r="J1919" s="176">
        <f>K1919-K1918</f>
        <v>2302</v>
      </c>
      <c r="K1919" s="176">
        <v>4316</v>
      </c>
      <c r="L1919" s="163"/>
      <c r="M1919" s="161" t="s">
        <v>5080</v>
      </c>
      <c r="N1919" s="161" t="s">
        <v>1331</v>
      </c>
      <c r="O1919" s="161" t="s">
        <v>14</v>
      </c>
      <c r="P1919" s="49" t="s">
        <v>14</v>
      </c>
      <c r="Q1919" s="166" t="s">
        <v>5081</v>
      </c>
      <c r="R1919" s="151"/>
    </row>
    <row r="1920" spans="1:18">
      <c r="A1920" s="186" t="s">
        <v>56</v>
      </c>
      <c r="B1920" s="101" t="s">
        <v>496</v>
      </c>
      <c r="C1920" s="85" t="s">
        <v>497</v>
      </c>
      <c r="D1920" s="161" t="s">
        <v>497</v>
      </c>
      <c r="E1920" s="161" t="s">
        <v>2204</v>
      </c>
      <c r="F1920" s="161" t="s">
        <v>5018</v>
      </c>
      <c r="G1920" s="171">
        <v>77.9</v>
      </c>
      <c r="H1920" s="163">
        <f>G1920-G1919</f>
        <v>21.084</v>
      </c>
      <c r="I1920" s="176">
        <v>21</v>
      </c>
      <c r="J1920" s="176">
        <f>K1920-K1919</f>
        <v>1602</v>
      </c>
      <c r="K1920" s="176">
        <v>5918</v>
      </c>
      <c r="L1920" s="163"/>
      <c r="M1920" s="161" t="s">
        <v>5082</v>
      </c>
      <c r="N1920" s="161" t="s">
        <v>1331</v>
      </c>
      <c r="O1920" s="161" t="s">
        <v>14</v>
      </c>
      <c r="P1920" s="49" t="s">
        <v>14</v>
      </c>
      <c r="Q1920" s="166" t="s">
        <v>5083</v>
      </c>
      <c r="R1920" s="151"/>
    </row>
    <row r="1921" s="152" customFormat="1" ht="30" spans="1:18">
      <c r="A1921" s="186" t="s">
        <v>56</v>
      </c>
      <c r="B1921" s="101" t="s">
        <v>500</v>
      </c>
      <c r="C1921" s="135" t="s">
        <v>501</v>
      </c>
      <c r="D1921" s="161" t="s">
        <v>5084</v>
      </c>
      <c r="E1921" s="161" t="s">
        <v>2204</v>
      </c>
      <c r="F1921" s="161"/>
      <c r="G1921" s="171">
        <v>0</v>
      </c>
      <c r="H1921" s="163">
        <v>0</v>
      </c>
      <c r="I1921" s="176">
        <v>30</v>
      </c>
      <c r="J1921" s="176">
        <v>0</v>
      </c>
      <c r="K1921" s="176">
        <v>0</v>
      </c>
      <c r="L1921" s="163"/>
      <c r="M1921" s="161"/>
      <c r="N1921" s="161"/>
      <c r="O1921" s="161"/>
      <c r="P1921" s="49"/>
      <c r="Q1921" s="166"/>
      <c r="R1921" s="151"/>
    </row>
    <row r="1922" s="152" customFormat="1" spans="1:18">
      <c r="A1922" s="186" t="s">
        <v>56</v>
      </c>
      <c r="B1922" s="101" t="s">
        <v>500</v>
      </c>
      <c r="C1922" s="135" t="s">
        <v>502</v>
      </c>
      <c r="D1922" s="186" t="s">
        <v>5085</v>
      </c>
      <c r="E1922" s="161" t="s">
        <v>2204</v>
      </c>
      <c r="F1922" s="161"/>
      <c r="G1922" s="171">
        <v>4.97</v>
      </c>
      <c r="H1922" s="163">
        <v>4.97</v>
      </c>
      <c r="I1922" s="176">
        <v>28</v>
      </c>
      <c r="J1922" s="176">
        <v>613.22</v>
      </c>
      <c r="K1922" s="176">
        <v>613.22</v>
      </c>
      <c r="L1922" s="163"/>
      <c r="M1922" s="161"/>
      <c r="N1922" s="161" t="s">
        <v>1299</v>
      </c>
      <c r="O1922" s="161"/>
      <c r="P1922" s="49"/>
      <c r="Q1922" s="166"/>
      <c r="R1922" s="151"/>
    </row>
    <row r="1923" spans="1:18">
      <c r="A1923" s="188" t="s">
        <v>57</v>
      </c>
      <c r="B1923" s="101" t="s">
        <v>503</v>
      </c>
      <c r="C1923" s="135" t="s">
        <v>425</v>
      </c>
      <c r="D1923" s="161" t="s">
        <v>425</v>
      </c>
      <c r="E1923" s="161" t="s">
        <v>1640</v>
      </c>
      <c r="F1923" s="161" t="s">
        <v>4684</v>
      </c>
      <c r="G1923" s="171">
        <v>0</v>
      </c>
      <c r="H1923" s="163">
        <v>0</v>
      </c>
      <c r="I1923" s="176">
        <v>58</v>
      </c>
      <c r="J1923" s="176">
        <v>0</v>
      </c>
      <c r="K1923" s="176">
        <v>0</v>
      </c>
      <c r="L1923" s="163"/>
      <c r="M1923" s="161" t="s">
        <v>4601</v>
      </c>
      <c r="N1923" s="161" t="s">
        <v>1331</v>
      </c>
      <c r="O1923" s="161"/>
      <c r="P1923" s="49"/>
      <c r="Q1923" s="166" t="s">
        <v>4703</v>
      </c>
      <c r="R1923" s="151"/>
    </row>
    <row r="1924" spans="1:18">
      <c r="A1924" s="188" t="s">
        <v>57</v>
      </c>
      <c r="B1924" s="101" t="s">
        <v>503</v>
      </c>
      <c r="C1924" s="84" t="s">
        <v>5086</v>
      </c>
      <c r="D1924" s="161" t="s">
        <v>1899</v>
      </c>
      <c r="E1924" s="161" t="s">
        <v>1640</v>
      </c>
      <c r="F1924" s="161" t="s">
        <v>4684</v>
      </c>
      <c r="G1924" s="171">
        <v>11.25</v>
      </c>
      <c r="H1924" s="163">
        <f>G1924-G1923</f>
        <v>11.25</v>
      </c>
      <c r="I1924" s="176">
        <v>49.7</v>
      </c>
      <c r="J1924" s="176">
        <v>8498.85058125</v>
      </c>
      <c r="K1924" s="176">
        <f>J1924+K1923</f>
        <v>8498.85058125</v>
      </c>
      <c r="L1924" s="163"/>
      <c r="M1924" s="161" t="s">
        <v>5087</v>
      </c>
      <c r="N1924" s="161" t="s">
        <v>1901</v>
      </c>
      <c r="O1924" s="161" t="s">
        <v>26</v>
      </c>
      <c r="P1924" s="49" t="s">
        <v>26</v>
      </c>
      <c r="Q1924" s="166" t="s">
        <v>5088</v>
      </c>
      <c r="R1924" s="151"/>
    </row>
    <row r="1925" spans="1:18">
      <c r="A1925" s="188" t="s">
        <v>57</v>
      </c>
      <c r="B1925" s="101" t="s">
        <v>503</v>
      </c>
      <c r="C1925" s="84" t="s">
        <v>5089</v>
      </c>
      <c r="D1925" s="161" t="s">
        <v>1904</v>
      </c>
      <c r="E1925" s="161" t="s">
        <v>1640</v>
      </c>
      <c r="F1925" s="161" t="s">
        <v>4684</v>
      </c>
      <c r="G1925" s="171">
        <v>25.51</v>
      </c>
      <c r="H1925" s="163">
        <f t="shared" ref="H1925:H1946" si="156">G1925-G1924</f>
        <v>14.26</v>
      </c>
      <c r="I1925" s="176">
        <v>60.4</v>
      </c>
      <c r="J1925" s="176">
        <v>10772.7652701</v>
      </c>
      <c r="K1925" s="176">
        <f t="shared" ref="K1925:K1946" si="157">J1925+K1924</f>
        <v>19271.61585135</v>
      </c>
      <c r="L1925" s="163"/>
      <c r="M1925" s="161" t="s">
        <v>5087</v>
      </c>
      <c r="N1925" s="161" t="s">
        <v>1901</v>
      </c>
      <c r="O1925" s="161" t="s">
        <v>26</v>
      </c>
      <c r="P1925" s="49" t="s">
        <v>26</v>
      </c>
      <c r="Q1925" s="166" t="s">
        <v>5090</v>
      </c>
      <c r="R1925" s="151"/>
    </row>
    <row r="1926" spans="1:18">
      <c r="A1926" s="188" t="s">
        <v>57</v>
      </c>
      <c r="B1926" s="101" t="s">
        <v>503</v>
      </c>
      <c r="C1926" s="84" t="s">
        <v>5091</v>
      </c>
      <c r="D1926" s="161" t="s">
        <v>1305</v>
      </c>
      <c r="E1926" s="161" t="s">
        <v>5092</v>
      </c>
      <c r="F1926" s="161" t="s">
        <v>5093</v>
      </c>
      <c r="G1926" s="171">
        <v>47.15</v>
      </c>
      <c r="H1926" s="163">
        <f t="shared" si="156"/>
        <v>21.64</v>
      </c>
      <c r="I1926" s="176">
        <v>37.5</v>
      </c>
      <c r="J1926" s="176">
        <v>16348.0112514</v>
      </c>
      <c r="K1926" s="176">
        <f t="shared" si="157"/>
        <v>35619.62710275</v>
      </c>
      <c r="L1926" s="163"/>
      <c r="M1926" s="161" t="s">
        <v>5087</v>
      </c>
      <c r="N1926" s="161" t="s">
        <v>1299</v>
      </c>
      <c r="O1926" s="161" t="s">
        <v>25</v>
      </c>
      <c r="P1926" s="49" t="s">
        <v>25</v>
      </c>
      <c r="Q1926" s="166" t="s">
        <v>5094</v>
      </c>
      <c r="R1926" s="151"/>
    </row>
    <row r="1927" spans="1:18">
      <c r="A1927" s="188" t="s">
        <v>57</v>
      </c>
      <c r="B1927" s="101" t="s">
        <v>503</v>
      </c>
      <c r="C1927" s="84" t="s">
        <v>5095</v>
      </c>
      <c r="D1927" s="161" t="s">
        <v>2820</v>
      </c>
      <c r="E1927" s="161" t="s">
        <v>5092</v>
      </c>
      <c r="F1927" s="161" t="s">
        <v>5093</v>
      </c>
      <c r="G1927" s="171">
        <v>68.72</v>
      </c>
      <c r="H1927" s="163">
        <f t="shared" si="156"/>
        <v>21.57</v>
      </c>
      <c r="I1927" s="176">
        <v>44</v>
      </c>
      <c r="J1927" s="176">
        <v>16295.12951445</v>
      </c>
      <c r="K1927" s="176">
        <f t="shared" si="157"/>
        <v>51914.7566172</v>
      </c>
      <c r="L1927" s="163"/>
      <c r="M1927" s="161" t="s">
        <v>5087</v>
      </c>
      <c r="N1927" s="161" t="s">
        <v>1901</v>
      </c>
      <c r="O1927" s="161" t="s">
        <v>26</v>
      </c>
      <c r="P1927" s="49" t="s">
        <v>26</v>
      </c>
      <c r="Q1927" s="166" t="s">
        <v>5096</v>
      </c>
      <c r="R1927" s="151"/>
    </row>
    <row r="1928" spans="1:18">
      <c r="A1928" s="188" t="s">
        <v>57</v>
      </c>
      <c r="B1928" s="101" t="s">
        <v>503</v>
      </c>
      <c r="C1928" s="84" t="s">
        <v>5097</v>
      </c>
      <c r="D1928" s="161" t="s">
        <v>2252</v>
      </c>
      <c r="E1928" s="161" t="s">
        <v>5092</v>
      </c>
      <c r="F1928" s="161" t="s">
        <v>5093</v>
      </c>
      <c r="G1928" s="171">
        <v>84.81</v>
      </c>
      <c r="H1928" s="163">
        <f t="shared" si="156"/>
        <v>16.09</v>
      </c>
      <c r="I1928" s="176">
        <v>21.8</v>
      </c>
      <c r="J1928" s="176">
        <v>12155.24496465</v>
      </c>
      <c r="K1928" s="176">
        <f t="shared" si="157"/>
        <v>64070.00158185</v>
      </c>
      <c r="L1928" s="163"/>
      <c r="M1928" s="161" t="s">
        <v>5087</v>
      </c>
      <c r="N1928" s="161" t="s">
        <v>1901</v>
      </c>
      <c r="O1928" s="161" t="s">
        <v>26</v>
      </c>
      <c r="P1928" s="49" t="s">
        <v>26</v>
      </c>
      <c r="Q1928" s="166" t="s">
        <v>5098</v>
      </c>
      <c r="R1928" s="151"/>
    </row>
    <row r="1929" spans="1:18">
      <c r="A1929" s="188" t="s">
        <v>57</v>
      </c>
      <c r="B1929" s="101" t="s">
        <v>503</v>
      </c>
      <c r="C1929" s="84" t="s">
        <v>5099</v>
      </c>
      <c r="D1929" s="161" t="s">
        <v>1318</v>
      </c>
      <c r="E1929" s="161" t="s">
        <v>5092</v>
      </c>
      <c r="F1929" s="161" t="s">
        <v>5093</v>
      </c>
      <c r="G1929" s="171">
        <v>106.97</v>
      </c>
      <c r="H1929" s="163">
        <f t="shared" si="156"/>
        <v>22.16</v>
      </c>
      <c r="I1929" s="176">
        <v>20.2</v>
      </c>
      <c r="J1929" s="176">
        <v>16740.8470116</v>
      </c>
      <c r="K1929" s="176">
        <f t="shared" si="157"/>
        <v>80810.84859345</v>
      </c>
      <c r="L1929" s="163"/>
      <c r="M1929" s="161" t="s">
        <v>5087</v>
      </c>
      <c r="N1929" s="161" t="s">
        <v>1299</v>
      </c>
      <c r="O1929" s="161" t="s">
        <v>25</v>
      </c>
      <c r="P1929" s="49" t="s">
        <v>25</v>
      </c>
      <c r="Q1929" s="166" t="s">
        <v>5100</v>
      </c>
      <c r="R1929" s="151"/>
    </row>
    <row r="1930" spans="1:18">
      <c r="A1930" s="188" t="s">
        <v>57</v>
      </c>
      <c r="B1930" s="101" t="s">
        <v>503</v>
      </c>
      <c r="C1930" s="84" t="s">
        <v>5101</v>
      </c>
      <c r="D1930" s="161" t="s">
        <v>2261</v>
      </c>
      <c r="E1930" s="161" t="s">
        <v>5092</v>
      </c>
      <c r="F1930" s="161" t="s">
        <v>5102</v>
      </c>
      <c r="G1930" s="171">
        <v>128.66</v>
      </c>
      <c r="H1930" s="163">
        <f t="shared" si="156"/>
        <v>21.69</v>
      </c>
      <c r="I1930" s="176">
        <v>27</v>
      </c>
      <c r="J1930" s="176">
        <v>16385.78392065</v>
      </c>
      <c r="K1930" s="176">
        <f t="shared" si="157"/>
        <v>97196.6325141</v>
      </c>
      <c r="L1930" s="163"/>
      <c r="M1930" s="161" t="s">
        <v>5087</v>
      </c>
      <c r="N1930" s="161" t="s">
        <v>1901</v>
      </c>
      <c r="O1930" s="161" t="s">
        <v>26</v>
      </c>
      <c r="P1930" s="49" t="s">
        <v>26</v>
      </c>
      <c r="Q1930" s="166" t="s">
        <v>5103</v>
      </c>
      <c r="R1930" s="151"/>
    </row>
    <row r="1931" spans="1:18">
      <c r="A1931" s="188" t="s">
        <v>57</v>
      </c>
      <c r="B1931" s="101" t="s">
        <v>503</v>
      </c>
      <c r="C1931" s="84" t="s">
        <v>5104</v>
      </c>
      <c r="D1931" s="161" t="s">
        <v>2827</v>
      </c>
      <c r="E1931" s="161" t="s">
        <v>5092</v>
      </c>
      <c r="F1931" s="161" t="s">
        <v>5102</v>
      </c>
      <c r="G1931" s="171">
        <v>144.64</v>
      </c>
      <c r="H1931" s="163">
        <f t="shared" si="156"/>
        <v>15.98</v>
      </c>
      <c r="I1931" s="176">
        <v>48.3</v>
      </c>
      <c r="J1931" s="176">
        <v>12072.1450923</v>
      </c>
      <c r="K1931" s="176">
        <f t="shared" si="157"/>
        <v>109268.7776064</v>
      </c>
      <c r="L1931" s="163"/>
      <c r="M1931" s="161" t="s">
        <v>5087</v>
      </c>
      <c r="N1931" s="161" t="s">
        <v>1901</v>
      </c>
      <c r="O1931" s="161" t="s">
        <v>26</v>
      </c>
      <c r="P1931" s="49" t="s">
        <v>26</v>
      </c>
      <c r="Q1931" s="166" t="s">
        <v>5105</v>
      </c>
      <c r="R1931" s="151"/>
    </row>
    <row r="1932" spans="1:18">
      <c r="A1932" s="188" t="s">
        <v>57</v>
      </c>
      <c r="B1932" s="101" t="s">
        <v>503</v>
      </c>
      <c r="C1932" s="84" t="s">
        <v>507</v>
      </c>
      <c r="D1932" s="161" t="s">
        <v>507</v>
      </c>
      <c r="E1932" s="161" t="s">
        <v>5092</v>
      </c>
      <c r="F1932" s="161" t="s">
        <v>5102</v>
      </c>
      <c r="G1932" s="171">
        <v>152.17</v>
      </c>
      <c r="H1932" s="163">
        <f t="shared" si="156"/>
        <v>7.53</v>
      </c>
      <c r="I1932" s="176">
        <v>58.9</v>
      </c>
      <c r="J1932" s="176">
        <v>5688.56398905</v>
      </c>
      <c r="K1932" s="176">
        <f t="shared" si="157"/>
        <v>114957.34159545</v>
      </c>
      <c r="L1932" s="163"/>
      <c r="M1932" s="161" t="s">
        <v>5087</v>
      </c>
      <c r="N1932" s="161" t="s">
        <v>1331</v>
      </c>
      <c r="O1932" s="161" t="s">
        <v>14</v>
      </c>
      <c r="P1932" s="49" t="s">
        <v>14</v>
      </c>
      <c r="Q1932" s="166" t="s">
        <v>5106</v>
      </c>
      <c r="R1932" s="151"/>
    </row>
    <row r="1933" spans="1:18">
      <c r="A1933" s="188" t="s">
        <v>57</v>
      </c>
      <c r="B1933" s="101" t="s">
        <v>503</v>
      </c>
      <c r="C1933" s="84" t="s">
        <v>5107</v>
      </c>
      <c r="D1933" s="161" t="s">
        <v>1327</v>
      </c>
      <c r="E1933" s="161" t="s">
        <v>5092</v>
      </c>
      <c r="F1933" s="161" t="s">
        <v>5102</v>
      </c>
      <c r="G1933" s="171">
        <v>172.84</v>
      </c>
      <c r="H1933" s="163">
        <f t="shared" si="156"/>
        <v>20.67</v>
      </c>
      <c r="I1933" s="176">
        <v>46.5</v>
      </c>
      <c r="J1933" s="176">
        <v>15615.22146795</v>
      </c>
      <c r="K1933" s="176">
        <f t="shared" si="157"/>
        <v>130572.5630634</v>
      </c>
      <c r="L1933" s="163"/>
      <c r="M1933" s="161" t="s">
        <v>5087</v>
      </c>
      <c r="N1933" s="161" t="s">
        <v>1299</v>
      </c>
      <c r="O1933" s="161" t="s">
        <v>25</v>
      </c>
      <c r="P1933" s="49" t="s">
        <v>25</v>
      </c>
      <c r="Q1933" s="166" t="s">
        <v>5108</v>
      </c>
      <c r="R1933" s="151"/>
    </row>
    <row r="1934" spans="1:18">
      <c r="A1934" s="188" t="s">
        <v>57</v>
      </c>
      <c r="B1934" s="101" t="s">
        <v>503</v>
      </c>
      <c r="C1934" s="84" t="s">
        <v>5109</v>
      </c>
      <c r="D1934" s="161" t="s">
        <v>5109</v>
      </c>
      <c r="E1934" s="161" t="s">
        <v>5092</v>
      </c>
      <c r="F1934" s="161" t="s">
        <v>5110</v>
      </c>
      <c r="G1934" s="171">
        <v>188.65</v>
      </c>
      <c r="H1934" s="163">
        <f t="shared" si="156"/>
        <v>15.81</v>
      </c>
      <c r="I1934" s="176">
        <v>50.1</v>
      </c>
      <c r="J1934" s="176">
        <v>11943.71801685</v>
      </c>
      <c r="K1934" s="176">
        <f t="shared" si="157"/>
        <v>142516.28108025</v>
      </c>
      <c r="L1934" s="163"/>
      <c r="M1934" s="161" t="s">
        <v>5111</v>
      </c>
      <c r="N1934" s="161" t="s">
        <v>1331</v>
      </c>
      <c r="O1934" s="161" t="s">
        <v>6</v>
      </c>
      <c r="P1934" s="49" t="s">
        <v>6</v>
      </c>
      <c r="Q1934" s="166" t="s">
        <v>5112</v>
      </c>
      <c r="R1934" s="151"/>
    </row>
    <row r="1935" spans="1:18">
      <c r="A1935" s="188" t="s">
        <v>57</v>
      </c>
      <c r="B1935" s="101" t="s">
        <v>503</v>
      </c>
      <c r="C1935" s="84" t="s">
        <v>5113</v>
      </c>
      <c r="D1935" s="161" t="s">
        <v>2270</v>
      </c>
      <c r="E1935" s="161" t="s">
        <v>5092</v>
      </c>
      <c r="F1935" s="161" t="s">
        <v>5110</v>
      </c>
      <c r="G1935" s="171">
        <v>201.26</v>
      </c>
      <c r="H1935" s="163">
        <f t="shared" si="156"/>
        <v>12.61</v>
      </c>
      <c r="I1935" s="176">
        <v>7.8</v>
      </c>
      <c r="J1935" s="176">
        <v>9526.26718485</v>
      </c>
      <c r="K1935" s="176">
        <f t="shared" si="157"/>
        <v>152042.5482651</v>
      </c>
      <c r="L1935" s="163"/>
      <c r="M1935" s="161" t="s">
        <v>5087</v>
      </c>
      <c r="N1935" s="161" t="s">
        <v>1901</v>
      </c>
      <c r="O1935" s="161" t="s">
        <v>26</v>
      </c>
      <c r="P1935" s="49" t="s">
        <v>26</v>
      </c>
      <c r="Q1935" s="166" t="s">
        <v>5114</v>
      </c>
      <c r="R1935" s="151"/>
    </row>
    <row r="1936" spans="1:18">
      <c r="A1936" s="188" t="s">
        <v>57</v>
      </c>
      <c r="B1936" s="101" t="s">
        <v>503</v>
      </c>
      <c r="C1936" s="84" t="s">
        <v>5115</v>
      </c>
      <c r="D1936" s="161" t="s">
        <v>2832</v>
      </c>
      <c r="E1936" s="161" t="s">
        <v>5092</v>
      </c>
      <c r="F1936" s="161" t="s">
        <v>5110</v>
      </c>
      <c r="G1936" s="171">
        <v>221.49</v>
      </c>
      <c r="H1936" s="163">
        <f t="shared" si="156"/>
        <v>20.23</v>
      </c>
      <c r="I1936" s="176">
        <v>15.3</v>
      </c>
      <c r="J1936" s="176">
        <v>15282.82197855</v>
      </c>
      <c r="K1936" s="176">
        <f t="shared" si="157"/>
        <v>167325.37024365</v>
      </c>
      <c r="L1936" s="163"/>
      <c r="M1936" s="161" t="s">
        <v>5087</v>
      </c>
      <c r="N1936" s="161" t="s">
        <v>1901</v>
      </c>
      <c r="O1936" s="161" t="s">
        <v>26</v>
      </c>
      <c r="P1936" s="49" t="s">
        <v>26</v>
      </c>
      <c r="Q1936" s="166" t="s">
        <v>5116</v>
      </c>
      <c r="R1936" s="151"/>
    </row>
    <row r="1937" spans="1:18">
      <c r="A1937" s="188" t="s">
        <v>57</v>
      </c>
      <c r="B1937" s="101" t="s">
        <v>503</v>
      </c>
      <c r="C1937" s="84" t="s">
        <v>5117</v>
      </c>
      <c r="D1937" s="161" t="s">
        <v>1344</v>
      </c>
      <c r="E1937" s="161" t="s">
        <v>5092</v>
      </c>
      <c r="F1937" s="161" t="s">
        <v>5110</v>
      </c>
      <c r="G1937" s="171">
        <v>239.17</v>
      </c>
      <c r="H1937" s="163">
        <f t="shared" si="156"/>
        <v>17.68</v>
      </c>
      <c r="I1937" s="176">
        <v>17.3</v>
      </c>
      <c r="J1937" s="176">
        <v>13356.4158468</v>
      </c>
      <c r="K1937" s="176">
        <f t="shared" si="157"/>
        <v>180681.78609045</v>
      </c>
      <c r="L1937" s="163"/>
      <c r="M1937" s="161" t="s">
        <v>5087</v>
      </c>
      <c r="N1937" s="161" t="s">
        <v>1299</v>
      </c>
      <c r="O1937" s="161" t="s">
        <v>25</v>
      </c>
      <c r="P1937" s="49" t="s">
        <v>25</v>
      </c>
      <c r="Q1937" s="166" t="s">
        <v>5118</v>
      </c>
      <c r="R1937" s="151"/>
    </row>
    <row r="1938" spans="1:18">
      <c r="A1938" s="188" t="s">
        <v>57</v>
      </c>
      <c r="B1938" s="101" t="s">
        <v>503</v>
      </c>
      <c r="C1938" s="84" t="s">
        <v>5119</v>
      </c>
      <c r="D1938" s="161" t="s">
        <v>2280</v>
      </c>
      <c r="E1938" s="161" t="s">
        <v>5092</v>
      </c>
      <c r="F1938" s="161" t="s">
        <v>5110</v>
      </c>
      <c r="G1938" s="171">
        <v>256.29</v>
      </c>
      <c r="H1938" s="163">
        <f t="shared" si="156"/>
        <v>17.12</v>
      </c>
      <c r="I1938" s="176">
        <v>15.1</v>
      </c>
      <c r="J1938" s="176">
        <v>12933.3619512</v>
      </c>
      <c r="K1938" s="176">
        <f t="shared" si="157"/>
        <v>193615.14804165</v>
      </c>
      <c r="L1938" s="163"/>
      <c r="M1938" s="161" t="s">
        <v>5087</v>
      </c>
      <c r="N1938" s="161" t="s">
        <v>1901</v>
      </c>
      <c r="O1938" s="161" t="s">
        <v>26</v>
      </c>
      <c r="P1938" s="49" t="s">
        <v>26</v>
      </c>
      <c r="Q1938" s="166" t="s">
        <v>5120</v>
      </c>
      <c r="R1938" s="151"/>
    </row>
    <row r="1939" spans="1:18">
      <c r="A1939" s="188" t="s">
        <v>57</v>
      </c>
      <c r="B1939" s="101" t="s">
        <v>503</v>
      </c>
      <c r="C1939" s="84" t="s">
        <v>5121</v>
      </c>
      <c r="D1939" s="161" t="s">
        <v>2283</v>
      </c>
      <c r="E1939" s="161" t="s">
        <v>5092</v>
      </c>
      <c r="F1939" s="161" t="s">
        <v>5122</v>
      </c>
      <c r="G1939" s="171">
        <v>269.53</v>
      </c>
      <c r="H1939" s="163">
        <f t="shared" si="156"/>
        <v>13.24</v>
      </c>
      <c r="I1939" s="176">
        <v>10.6</v>
      </c>
      <c r="J1939" s="176">
        <v>10002.2028174</v>
      </c>
      <c r="K1939" s="176">
        <f t="shared" si="157"/>
        <v>203617.35085905</v>
      </c>
      <c r="L1939" s="163"/>
      <c r="M1939" s="161" t="s">
        <v>5087</v>
      </c>
      <c r="N1939" s="161" t="s">
        <v>1901</v>
      </c>
      <c r="O1939" s="161" t="s">
        <v>26</v>
      </c>
      <c r="P1939" s="49" t="s">
        <v>26</v>
      </c>
      <c r="Q1939" s="166" t="s">
        <v>5123</v>
      </c>
      <c r="R1939" s="151"/>
    </row>
    <row r="1940" spans="1:18">
      <c r="A1940" s="188" t="s">
        <v>57</v>
      </c>
      <c r="B1940" s="101" t="s">
        <v>503</v>
      </c>
      <c r="C1940" s="84" t="s">
        <v>510</v>
      </c>
      <c r="D1940" s="161" t="s">
        <v>510</v>
      </c>
      <c r="E1940" s="161" t="s">
        <v>5092</v>
      </c>
      <c r="F1940" s="161" t="s">
        <v>5122</v>
      </c>
      <c r="G1940" s="171">
        <v>286.67</v>
      </c>
      <c r="H1940" s="163">
        <f t="shared" si="156"/>
        <v>17.14</v>
      </c>
      <c r="I1940" s="176">
        <v>7.15</v>
      </c>
      <c r="J1940" s="176">
        <v>12948.4710189</v>
      </c>
      <c r="K1940" s="176">
        <f t="shared" si="157"/>
        <v>216565.82187795</v>
      </c>
      <c r="L1940" s="163"/>
      <c r="M1940" s="161" t="s">
        <v>5087</v>
      </c>
      <c r="N1940" s="161" t="s">
        <v>1331</v>
      </c>
      <c r="O1940" s="161" t="s">
        <v>14</v>
      </c>
      <c r="P1940" s="49" t="s">
        <v>14</v>
      </c>
      <c r="Q1940" s="166" t="s">
        <v>5124</v>
      </c>
      <c r="R1940" s="151"/>
    </row>
    <row r="1941" spans="1:18">
      <c r="A1941" s="188" t="s">
        <v>57</v>
      </c>
      <c r="B1941" s="101" t="s">
        <v>503</v>
      </c>
      <c r="C1941" s="84" t="s">
        <v>5125</v>
      </c>
      <c r="D1941" s="161" t="s">
        <v>2286</v>
      </c>
      <c r="E1941" s="161" t="s">
        <v>5092</v>
      </c>
      <c r="F1941" s="161" t="s">
        <v>5122</v>
      </c>
      <c r="G1941" s="171">
        <v>307.69</v>
      </c>
      <c r="H1941" s="163">
        <f t="shared" si="156"/>
        <v>21.02</v>
      </c>
      <c r="I1941" s="176">
        <v>7.9</v>
      </c>
      <c r="J1941" s="176">
        <v>15645.43960335</v>
      </c>
      <c r="K1941" s="176">
        <f t="shared" si="157"/>
        <v>232211.2614813</v>
      </c>
      <c r="L1941" s="163"/>
      <c r="M1941" s="161" t="s">
        <v>5087</v>
      </c>
      <c r="N1941" s="161" t="s">
        <v>1901</v>
      </c>
      <c r="O1941" s="161" t="s">
        <v>26</v>
      </c>
      <c r="P1941" s="49" t="s">
        <v>26</v>
      </c>
      <c r="Q1941" s="166" t="s">
        <v>5126</v>
      </c>
      <c r="R1941" s="151"/>
    </row>
    <row r="1942" spans="1:18">
      <c r="A1942" s="188" t="s">
        <v>57</v>
      </c>
      <c r="B1942" s="101" t="s">
        <v>503</v>
      </c>
      <c r="C1942" s="84" t="s">
        <v>5127</v>
      </c>
      <c r="D1942" s="161" t="s">
        <v>1354</v>
      </c>
      <c r="E1942" s="161" t="s">
        <v>5092</v>
      </c>
      <c r="F1942" s="161" t="s">
        <v>5128</v>
      </c>
      <c r="G1942" s="171">
        <v>327.69</v>
      </c>
      <c r="H1942" s="163">
        <f t="shared" si="156"/>
        <v>20</v>
      </c>
      <c r="I1942" s="176">
        <v>11.7</v>
      </c>
      <c r="J1942" s="176">
        <v>16600.56602358</v>
      </c>
      <c r="K1942" s="176">
        <f t="shared" si="157"/>
        <v>248811.82750488</v>
      </c>
      <c r="L1942" s="163"/>
      <c r="M1942" s="161" t="s">
        <v>5087</v>
      </c>
      <c r="N1942" s="161" t="s">
        <v>1299</v>
      </c>
      <c r="O1942" s="161" t="s">
        <v>25</v>
      </c>
      <c r="P1942" s="49" t="s">
        <v>25</v>
      </c>
      <c r="Q1942" s="166" t="s">
        <v>5129</v>
      </c>
      <c r="R1942" s="151"/>
    </row>
    <row r="1943" spans="1:18">
      <c r="A1943" s="188" t="s">
        <v>57</v>
      </c>
      <c r="B1943" s="101" t="s">
        <v>503</v>
      </c>
      <c r="C1943" s="84" t="s">
        <v>5130</v>
      </c>
      <c r="D1943" s="161" t="s">
        <v>2297</v>
      </c>
      <c r="E1943" s="161" t="s">
        <v>5092</v>
      </c>
      <c r="F1943" s="161" t="s">
        <v>5128</v>
      </c>
      <c r="G1943" s="171">
        <v>347.104</v>
      </c>
      <c r="H1943" s="163">
        <f t="shared" si="156"/>
        <v>19.414</v>
      </c>
      <c r="I1943" s="176">
        <v>13.3</v>
      </c>
      <c r="J1943" s="176">
        <v>16052.434126575</v>
      </c>
      <c r="K1943" s="176">
        <f t="shared" si="157"/>
        <v>264864.261631455</v>
      </c>
      <c r="L1943" s="163"/>
      <c r="M1943" s="161" t="s">
        <v>5087</v>
      </c>
      <c r="N1943" s="161" t="s">
        <v>1901</v>
      </c>
      <c r="O1943" s="161" t="s">
        <v>26</v>
      </c>
      <c r="P1943" s="49" t="s">
        <v>26</v>
      </c>
      <c r="Q1943" s="166" t="s">
        <v>5131</v>
      </c>
      <c r="R1943" s="151"/>
    </row>
    <row r="1944" spans="1:18">
      <c r="A1944" s="188" t="s">
        <v>57</v>
      </c>
      <c r="B1944" s="101" t="s">
        <v>503</v>
      </c>
      <c r="C1944" s="84" t="s">
        <v>5132</v>
      </c>
      <c r="D1944" s="161" t="s">
        <v>2994</v>
      </c>
      <c r="E1944" s="161" t="s">
        <v>5092</v>
      </c>
      <c r="F1944" s="161" t="s">
        <v>5128</v>
      </c>
      <c r="G1944" s="171">
        <v>369.644</v>
      </c>
      <c r="H1944" s="163">
        <f t="shared" si="156"/>
        <v>22.54</v>
      </c>
      <c r="I1944" s="176">
        <v>20</v>
      </c>
      <c r="J1944" s="176">
        <v>18636.48449817</v>
      </c>
      <c r="K1944" s="176">
        <f t="shared" si="157"/>
        <v>283500.746129625</v>
      </c>
      <c r="L1944" s="163"/>
      <c r="M1944" s="161" t="s">
        <v>5087</v>
      </c>
      <c r="N1944" s="161" t="s">
        <v>1901</v>
      </c>
      <c r="O1944" s="161" t="s">
        <v>26</v>
      </c>
      <c r="P1944" s="49" t="s">
        <v>26</v>
      </c>
      <c r="Q1944" s="166" t="s">
        <v>5133</v>
      </c>
      <c r="R1944" s="151"/>
    </row>
    <row r="1945" spans="1:18">
      <c r="A1945" s="188" t="s">
        <v>57</v>
      </c>
      <c r="B1945" s="101" t="s">
        <v>503</v>
      </c>
      <c r="C1945" s="84" t="s">
        <v>5134</v>
      </c>
      <c r="D1945" s="161" t="s">
        <v>2999</v>
      </c>
      <c r="E1945" s="161" t="s">
        <v>5092</v>
      </c>
      <c r="F1945" s="161" t="s">
        <v>5128</v>
      </c>
      <c r="G1945" s="171">
        <v>390.1</v>
      </c>
      <c r="H1945" s="163">
        <f t="shared" si="156"/>
        <v>20.456</v>
      </c>
      <c r="I1945" s="176">
        <v>26</v>
      </c>
      <c r="J1945" s="176">
        <v>16913.78425044</v>
      </c>
      <c r="K1945" s="176">
        <f t="shared" si="157"/>
        <v>300414.530380065</v>
      </c>
      <c r="L1945" s="163"/>
      <c r="M1945" s="161" t="s">
        <v>5087</v>
      </c>
      <c r="N1945" s="161" t="s">
        <v>1901</v>
      </c>
      <c r="O1945" s="161" t="s">
        <v>26</v>
      </c>
      <c r="P1945" s="49" t="s">
        <v>26</v>
      </c>
      <c r="Q1945" s="166" t="s">
        <v>5135</v>
      </c>
      <c r="R1945" s="151"/>
    </row>
    <row r="1946" spans="1:18">
      <c r="A1946" s="188" t="s">
        <v>57</v>
      </c>
      <c r="B1946" s="101" t="s">
        <v>503</v>
      </c>
      <c r="C1946" s="84" t="s">
        <v>504</v>
      </c>
      <c r="D1946" s="161" t="s">
        <v>504</v>
      </c>
      <c r="E1946" s="161" t="s">
        <v>5092</v>
      </c>
      <c r="F1946" s="161" t="s">
        <v>5128</v>
      </c>
      <c r="G1946" s="171">
        <v>404.43</v>
      </c>
      <c r="H1946" s="163">
        <f t="shared" si="156"/>
        <v>14.33</v>
      </c>
      <c r="I1946" s="176">
        <v>30.1</v>
      </c>
      <c r="J1946" s="176">
        <v>12058.90173411</v>
      </c>
      <c r="K1946" s="176">
        <f t="shared" si="157"/>
        <v>312473.432114175</v>
      </c>
      <c r="L1946" s="163"/>
      <c r="M1946" s="161" t="s">
        <v>5087</v>
      </c>
      <c r="N1946" s="161" t="s">
        <v>1331</v>
      </c>
      <c r="O1946" s="161" t="s">
        <v>6</v>
      </c>
      <c r="P1946" s="49" t="s">
        <v>6</v>
      </c>
      <c r="Q1946" s="166" t="s">
        <v>5136</v>
      </c>
      <c r="R1946" s="151"/>
    </row>
    <row r="1947" spans="1:18">
      <c r="A1947" s="188" t="s">
        <v>57</v>
      </c>
      <c r="B1947" s="101" t="s">
        <v>506</v>
      </c>
      <c r="C1947" s="135" t="s">
        <v>507</v>
      </c>
      <c r="D1947" s="161" t="s">
        <v>507</v>
      </c>
      <c r="E1947" s="161" t="s">
        <v>5092</v>
      </c>
      <c r="F1947" s="161" t="s">
        <v>5102</v>
      </c>
      <c r="G1947" s="163">
        <v>0</v>
      </c>
      <c r="H1947" s="163">
        <v>0</v>
      </c>
      <c r="I1947" s="176">
        <v>58.9</v>
      </c>
      <c r="J1947" s="176">
        <v>0</v>
      </c>
      <c r="K1947" s="176">
        <v>0</v>
      </c>
      <c r="L1947" s="163"/>
      <c r="M1947" s="161" t="s">
        <v>5087</v>
      </c>
      <c r="N1947" s="161" t="s">
        <v>1331</v>
      </c>
      <c r="O1947" s="161"/>
      <c r="P1947" s="49"/>
      <c r="Q1947" s="166" t="s">
        <v>5106</v>
      </c>
      <c r="R1947" s="151"/>
    </row>
    <row r="1948" spans="1:18">
      <c r="A1948" s="188" t="s">
        <v>57</v>
      </c>
      <c r="B1948" s="101" t="s">
        <v>506</v>
      </c>
      <c r="C1948" s="84" t="s">
        <v>508</v>
      </c>
      <c r="D1948" s="161" t="s">
        <v>508</v>
      </c>
      <c r="E1948" s="161" t="s">
        <v>5092</v>
      </c>
      <c r="F1948" s="161" t="s">
        <v>5102</v>
      </c>
      <c r="G1948" s="163">
        <v>9.95</v>
      </c>
      <c r="H1948" s="163">
        <v>9.95</v>
      </c>
      <c r="I1948" s="176">
        <v>61.68</v>
      </c>
      <c r="J1948" s="176">
        <v>756.9217396675</v>
      </c>
      <c r="K1948" s="176">
        <v>756.9217396675</v>
      </c>
      <c r="L1948" s="163"/>
      <c r="M1948" s="161" t="s">
        <v>5137</v>
      </c>
      <c r="N1948" s="161" t="s">
        <v>1331</v>
      </c>
      <c r="O1948" s="161" t="s">
        <v>14</v>
      </c>
      <c r="P1948" s="49" t="s">
        <v>14</v>
      </c>
      <c r="Q1948" s="166" t="s">
        <v>5138</v>
      </c>
      <c r="R1948" s="151"/>
    </row>
    <row r="1949" spans="1:18">
      <c r="A1949" s="188" t="s">
        <v>57</v>
      </c>
      <c r="B1949" s="101" t="s">
        <v>509</v>
      </c>
      <c r="C1949" s="135" t="s">
        <v>510</v>
      </c>
      <c r="D1949" s="161" t="s">
        <v>510</v>
      </c>
      <c r="E1949" s="161" t="s">
        <v>5092</v>
      </c>
      <c r="F1949" s="161" t="s">
        <v>5122</v>
      </c>
      <c r="G1949" s="163">
        <v>0</v>
      </c>
      <c r="H1949" s="163">
        <v>0</v>
      </c>
      <c r="I1949" s="176">
        <v>7.15</v>
      </c>
      <c r="J1949" s="176">
        <v>0</v>
      </c>
      <c r="K1949" s="176">
        <v>0</v>
      </c>
      <c r="L1949" s="163"/>
      <c r="M1949" s="161" t="s">
        <v>5087</v>
      </c>
      <c r="N1949" s="161" t="s">
        <v>1331</v>
      </c>
      <c r="O1949" s="161"/>
      <c r="P1949" s="49"/>
      <c r="Q1949" s="166" t="s">
        <v>5124</v>
      </c>
      <c r="R1949" s="151"/>
    </row>
    <row r="1950" spans="1:18">
      <c r="A1950" s="188" t="s">
        <v>57</v>
      </c>
      <c r="B1950" s="101" t="s">
        <v>509</v>
      </c>
      <c r="C1950" s="84" t="s">
        <v>5139</v>
      </c>
      <c r="D1950" s="161" t="s">
        <v>1899</v>
      </c>
      <c r="E1950" s="161" t="s">
        <v>5092</v>
      </c>
      <c r="F1950" s="161" t="s">
        <v>5122</v>
      </c>
      <c r="G1950" s="163">
        <v>14.465</v>
      </c>
      <c r="H1950" s="163">
        <f>G1950-G1949</f>
        <v>14.465</v>
      </c>
      <c r="I1950" s="176">
        <v>5.5</v>
      </c>
      <c r="J1950" s="176">
        <v>10387.48404375</v>
      </c>
      <c r="K1950" s="176">
        <v>10387.48404375</v>
      </c>
      <c r="L1950" s="163"/>
      <c r="M1950" s="161" t="s">
        <v>5140</v>
      </c>
      <c r="N1950" s="161" t="s">
        <v>1901</v>
      </c>
      <c r="O1950" s="161" t="s">
        <v>26</v>
      </c>
      <c r="P1950" s="49" t="s">
        <v>26</v>
      </c>
      <c r="Q1950" s="166" t="s">
        <v>5141</v>
      </c>
      <c r="R1950" s="151"/>
    </row>
    <row r="1951" spans="1:18">
      <c r="A1951" s="188" t="s">
        <v>57</v>
      </c>
      <c r="B1951" s="101" t="s">
        <v>509</v>
      </c>
      <c r="C1951" s="84" t="s">
        <v>511</v>
      </c>
      <c r="D1951" s="161" t="s">
        <v>511</v>
      </c>
      <c r="E1951" s="161" t="s">
        <v>5092</v>
      </c>
      <c r="F1951" s="161" t="s">
        <v>5122</v>
      </c>
      <c r="G1951" s="163">
        <v>26.3</v>
      </c>
      <c r="H1951" s="163">
        <f>G1951-G1950</f>
        <v>11.835</v>
      </c>
      <c r="I1951" s="176">
        <v>3.4</v>
      </c>
      <c r="J1951" s="176">
        <v>8498.85058125</v>
      </c>
      <c r="K1951" s="176">
        <f>J1951+K1950</f>
        <v>18886.334625</v>
      </c>
      <c r="L1951" s="163"/>
      <c r="M1951" s="161" t="s">
        <v>5140</v>
      </c>
      <c r="N1951" s="161" t="s">
        <v>1331</v>
      </c>
      <c r="O1951" s="161" t="s">
        <v>6</v>
      </c>
      <c r="P1951" s="49" t="s">
        <v>6</v>
      </c>
      <c r="Q1951" s="166" t="s">
        <v>5142</v>
      </c>
      <c r="R1951" s="151"/>
    </row>
    <row r="1952" spans="1:18">
      <c r="A1952" s="188" t="s">
        <v>57</v>
      </c>
      <c r="B1952" s="101" t="s">
        <v>512</v>
      </c>
      <c r="C1952" s="135" t="s">
        <v>504</v>
      </c>
      <c r="D1952" s="161" t="s">
        <v>504</v>
      </c>
      <c r="E1952" s="161" t="s">
        <v>5092</v>
      </c>
      <c r="F1952" s="161" t="s">
        <v>5128</v>
      </c>
      <c r="G1952" s="163">
        <v>0</v>
      </c>
      <c r="H1952" s="163">
        <v>0</v>
      </c>
      <c r="I1952" s="176">
        <v>30.1</v>
      </c>
      <c r="J1952" s="176">
        <v>0</v>
      </c>
      <c r="K1952" s="176">
        <v>0</v>
      </c>
      <c r="L1952" s="163"/>
      <c r="M1952" s="161" t="s">
        <v>5087</v>
      </c>
      <c r="N1952" s="161" t="s">
        <v>1331</v>
      </c>
      <c r="O1952" s="161"/>
      <c r="P1952" s="49"/>
      <c r="Q1952" s="166" t="s">
        <v>5136</v>
      </c>
      <c r="R1952" s="151"/>
    </row>
    <row r="1953" spans="1:18">
      <c r="A1953" s="188" t="s">
        <v>57</v>
      </c>
      <c r="B1953" s="101" t="s">
        <v>512</v>
      </c>
      <c r="C1953" s="84" t="s">
        <v>513</v>
      </c>
      <c r="D1953" s="186" t="s">
        <v>513</v>
      </c>
      <c r="E1953" s="161" t="s">
        <v>5092</v>
      </c>
      <c r="F1953" s="161" t="s">
        <v>5128</v>
      </c>
      <c r="G1953" s="163">
        <v>20.8</v>
      </c>
      <c r="H1953" s="163">
        <v>20.8</v>
      </c>
      <c r="I1953" s="176">
        <v>36.75</v>
      </c>
      <c r="J1953" s="176">
        <v>5890.88107608</v>
      </c>
      <c r="K1953" s="176">
        <v>5890.88107608</v>
      </c>
      <c r="L1953" s="163"/>
      <c r="M1953" s="161" t="s">
        <v>5143</v>
      </c>
      <c r="N1953" s="161" t="s">
        <v>1331</v>
      </c>
      <c r="O1953" s="161" t="s">
        <v>14</v>
      </c>
      <c r="P1953" s="49" t="s">
        <v>14</v>
      </c>
      <c r="Q1953" s="166" t="s">
        <v>5144</v>
      </c>
      <c r="R1953" s="151"/>
    </row>
    <row r="1954" spans="1:18">
      <c r="A1954" s="188" t="s">
        <v>57</v>
      </c>
      <c r="B1954" s="101" t="s">
        <v>514</v>
      </c>
      <c r="C1954" s="135" t="s">
        <v>5109</v>
      </c>
      <c r="D1954" s="161" t="s">
        <v>5109</v>
      </c>
      <c r="E1954" s="161" t="s">
        <v>5092</v>
      </c>
      <c r="F1954" s="161" t="s">
        <v>5110</v>
      </c>
      <c r="G1954" s="163">
        <v>0</v>
      </c>
      <c r="H1954" s="163">
        <v>0</v>
      </c>
      <c r="I1954" s="176">
        <v>49.8</v>
      </c>
      <c r="J1954" s="176">
        <v>0</v>
      </c>
      <c r="K1954" s="176">
        <v>0</v>
      </c>
      <c r="L1954" s="163"/>
      <c r="M1954" s="161" t="s">
        <v>5111</v>
      </c>
      <c r="N1954" s="161" t="s">
        <v>1331</v>
      </c>
      <c r="O1954" s="161"/>
      <c r="P1954" s="49"/>
      <c r="Q1954" s="166" t="s">
        <v>5112</v>
      </c>
      <c r="R1954" s="151"/>
    </row>
    <row r="1955" spans="1:18">
      <c r="A1955" s="188" t="s">
        <v>57</v>
      </c>
      <c r="B1955" s="101" t="s">
        <v>514</v>
      </c>
      <c r="C1955" s="84" t="s">
        <v>5145</v>
      </c>
      <c r="D1955" s="161" t="s">
        <v>5145</v>
      </c>
      <c r="E1955" s="161" t="s">
        <v>5092</v>
      </c>
      <c r="F1955" s="161" t="s">
        <v>5110</v>
      </c>
      <c r="G1955" s="171">
        <v>14.9</v>
      </c>
      <c r="H1955" s="163">
        <f>G1955-G1954</f>
        <v>14.9</v>
      </c>
      <c r="I1955" s="176">
        <v>37.5</v>
      </c>
      <c r="J1955" s="176">
        <v>2262.57099768</v>
      </c>
      <c r="K1955" s="176">
        <v>2262.57099768</v>
      </c>
      <c r="L1955" s="163"/>
      <c r="M1955" s="161" t="s">
        <v>5146</v>
      </c>
      <c r="N1955" s="161" t="s">
        <v>1331</v>
      </c>
      <c r="O1955" s="161" t="s">
        <v>14</v>
      </c>
      <c r="P1955" s="49" t="s">
        <v>14</v>
      </c>
      <c r="Q1955" s="166" t="s">
        <v>5147</v>
      </c>
      <c r="R1955" s="151"/>
    </row>
    <row r="1956" spans="1:18">
      <c r="A1956" s="188" t="s">
        <v>57</v>
      </c>
      <c r="B1956" s="101" t="s">
        <v>514</v>
      </c>
      <c r="C1956" s="84" t="s">
        <v>516</v>
      </c>
      <c r="D1956" s="186" t="s">
        <v>516</v>
      </c>
      <c r="E1956" s="161" t="s">
        <v>5092</v>
      </c>
      <c r="F1956" s="161" t="s">
        <v>5110</v>
      </c>
      <c r="G1956" s="163">
        <v>30.15</v>
      </c>
      <c r="H1956" s="163">
        <f>G1956-G1955</f>
        <v>15.25</v>
      </c>
      <c r="I1956" s="176">
        <v>29.9</v>
      </c>
      <c r="J1956" s="176">
        <v>831.26103753</v>
      </c>
      <c r="K1956" s="176">
        <f>J1956+K1955</f>
        <v>3093.83203521</v>
      </c>
      <c r="L1956" s="163"/>
      <c r="M1956" s="161" t="s">
        <v>5146</v>
      </c>
      <c r="N1956" s="161" t="s">
        <v>1331</v>
      </c>
      <c r="O1956" s="161" t="s">
        <v>14</v>
      </c>
      <c r="P1956" s="49" t="s">
        <v>14</v>
      </c>
      <c r="Q1956" s="166" t="s">
        <v>5148</v>
      </c>
      <c r="R1956" s="151"/>
    </row>
    <row r="1957" s="152" customFormat="1" spans="1:18">
      <c r="A1957" s="188" t="s">
        <v>57</v>
      </c>
      <c r="B1957" s="101" t="s">
        <v>518</v>
      </c>
      <c r="C1957" s="135" t="s">
        <v>507</v>
      </c>
      <c r="D1957" s="186" t="s">
        <v>507</v>
      </c>
      <c r="E1957" s="161" t="s">
        <v>5092</v>
      </c>
      <c r="F1957" s="161" t="s">
        <v>5110</v>
      </c>
      <c r="G1957" s="163">
        <v>0</v>
      </c>
      <c r="H1957" s="163">
        <v>0</v>
      </c>
      <c r="I1957" s="176">
        <v>58.9</v>
      </c>
      <c r="J1957" s="176">
        <v>0</v>
      </c>
      <c r="K1957" s="176">
        <v>0</v>
      </c>
      <c r="L1957" s="163"/>
      <c r="M1957" s="161" t="s">
        <v>5149</v>
      </c>
      <c r="N1957" s="161"/>
      <c r="O1957" s="161"/>
      <c r="P1957" s="49"/>
      <c r="Q1957" s="166" t="s">
        <v>5106</v>
      </c>
      <c r="R1957" s="151"/>
    </row>
    <row r="1958" s="152" customFormat="1" spans="1:18">
      <c r="A1958" s="188" t="s">
        <v>57</v>
      </c>
      <c r="B1958" s="101" t="s">
        <v>518</v>
      </c>
      <c r="C1958" s="135" t="s">
        <v>5149</v>
      </c>
      <c r="D1958" s="186" t="s">
        <v>5149</v>
      </c>
      <c r="E1958" s="161" t="s">
        <v>5092</v>
      </c>
      <c r="F1958" s="161" t="s">
        <v>5110</v>
      </c>
      <c r="G1958" s="163">
        <v>10.017</v>
      </c>
      <c r="H1958" s="163">
        <v>10.017</v>
      </c>
      <c r="I1958" s="176"/>
      <c r="J1958" s="176"/>
      <c r="K1958" s="176"/>
      <c r="L1958" s="163"/>
      <c r="M1958" s="161" t="s">
        <v>5149</v>
      </c>
      <c r="N1958" s="161"/>
      <c r="O1958" s="161"/>
      <c r="P1958" s="49"/>
      <c r="Q1958" s="166"/>
      <c r="R1958" s="151"/>
    </row>
    <row r="1959" spans="1:18">
      <c r="A1959" s="186" t="s">
        <v>58</v>
      </c>
      <c r="B1959" s="101" t="s">
        <v>520</v>
      </c>
      <c r="C1959" s="84" t="s">
        <v>521</v>
      </c>
      <c r="D1959" s="161" t="s">
        <v>521</v>
      </c>
      <c r="E1959" s="161" t="s">
        <v>5092</v>
      </c>
      <c r="F1959" s="161" t="s">
        <v>5150</v>
      </c>
      <c r="G1959" s="171">
        <v>0</v>
      </c>
      <c r="H1959" s="163">
        <v>0</v>
      </c>
      <c r="I1959" s="176">
        <v>3</v>
      </c>
      <c r="J1959" s="176">
        <v>0</v>
      </c>
      <c r="K1959" s="176">
        <v>0</v>
      </c>
      <c r="L1959" s="163"/>
      <c r="M1959" s="161" t="s">
        <v>5151</v>
      </c>
      <c r="N1959" s="161" t="s">
        <v>1331</v>
      </c>
      <c r="O1959" s="161" t="s">
        <v>15</v>
      </c>
      <c r="P1959" s="49" t="s">
        <v>15</v>
      </c>
      <c r="Q1959" s="166" t="s">
        <v>5152</v>
      </c>
      <c r="R1959" s="151"/>
    </row>
    <row r="1960" spans="1:18">
      <c r="A1960" s="186" t="s">
        <v>58</v>
      </c>
      <c r="B1960" s="101" t="s">
        <v>520</v>
      </c>
      <c r="C1960" s="84" t="s">
        <v>5153</v>
      </c>
      <c r="D1960" s="161" t="s">
        <v>1298</v>
      </c>
      <c r="E1960" s="161" t="s">
        <v>5092</v>
      </c>
      <c r="F1960" s="161" t="s">
        <v>5150</v>
      </c>
      <c r="G1960" s="171">
        <v>7.96</v>
      </c>
      <c r="H1960" s="163">
        <f>G1960-G1959</f>
        <v>7.96</v>
      </c>
      <c r="I1960" s="176">
        <v>60</v>
      </c>
      <c r="J1960" s="176">
        <v>3063.008</v>
      </c>
      <c r="K1960" s="176">
        <f>J1960+K1959</f>
        <v>3063.008</v>
      </c>
      <c r="L1960" s="163"/>
      <c r="M1960" s="161" t="s">
        <v>5151</v>
      </c>
      <c r="N1960" s="161" t="s">
        <v>1299</v>
      </c>
      <c r="O1960" s="161" t="s">
        <v>26</v>
      </c>
      <c r="P1960" s="49" t="s">
        <v>25</v>
      </c>
      <c r="Q1960" s="166" t="s">
        <v>5154</v>
      </c>
      <c r="R1960" s="151"/>
    </row>
    <row r="1961" ht="30" spans="1:18">
      <c r="A1961" s="186" t="s">
        <v>58</v>
      </c>
      <c r="B1961" s="101" t="s">
        <v>520</v>
      </c>
      <c r="C1961" s="84" t="s">
        <v>5155</v>
      </c>
      <c r="D1961" s="161" t="s">
        <v>5155</v>
      </c>
      <c r="E1961" s="161" t="s">
        <v>5092</v>
      </c>
      <c r="F1961" s="161" t="s">
        <v>5150</v>
      </c>
      <c r="G1961" s="171">
        <v>7.96</v>
      </c>
      <c r="H1961" s="163">
        <f>G1961-G1960</f>
        <v>0</v>
      </c>
      <c r="I1961" s="176" t="s">
        <v>147</v>
      </c>
      <c r="J1961" s="176" t="s">
        <v>147</v>
      </c>
      <c r="K1961" s="176" t="s">
        <v>147</v>
      </c>
      <c r="L1961" s="163" t="s">
        <v>5156</v>
      </c>
      <c r="M1961" s="161" t="s">
        <v>5151</v>
      </c>
      <c r="N1961" s="161" t="s">
        <v>1331</v>
      </c>
      <c r="O1961" s="161" t="s">
        <v>16</v>
      </c>
      <c r="P1961" s="49" t="s">
        <v>16</v>
      </c>
      <c r="Q1961" s="166" t="s">
        <v>5157</v>
      </c>
      <c r="R1961" s="151"/>
    </row>
    <row r="1962" spans="1:18">
      <c r="A1962" s="186" t="s">
        <v>58</v>
      </c>
      <c r="B1962" s="101" t="s">
        <v>520</v>
      </c>
      <c r="C1962" s="84" t="s">
        <v>5158</v>
      </c>
      <c r="D1962" s="161" t="s">
        <v>1302</v>
      </c>
      <c r="E1962" s="161" t="s">
        <v>5092</v>
      </c>
      <c r="F1962" s="161" t="s">
        <v>5150</v>
      </c>
      <c r="G1962" s="171">
        <v>13.81</v>
      </c>
      <c r="H1962" s="163">
        <f>G1962-G1961</f>
        <v>5.85</v>
      </c>
      <c r="I1962" s="176">
        <v>18</v>
      </c>
      <c r="J1962" s="176">
        <v>2251.08</v>
      </c>
      <c r="K1962" s="176">
        <f>J1962+K1960</f>
        <v>5314.088</v>
      </c>
      <c r="L1962" s="163"/>
      <c r="M1962" s="161" t="s">
        <v>5151</v>
      </c>
      <c r="N1962" s="161" t="s">
        <v>1299</v>
      </c>
      <c r="O1962" s="161" t="s">
        <v>25</v>
      </c>
      <c r="P1962" s="49" t="s">
        <v>25</v>
      </c>
      <c r="Q1962" s="166" t="s">
        <v>5159</v>
      </c>
      <c r="R1962" s="151"/>
    </row>
    <row r="1963" spans="1:18">
      <c r="A1963" s="186" t="s">
        <v>58</v>
      </c>
      <c r="B1963" s="101" t="s">
        <v>520</v>
      </c>
      <c r="C1963" s="84" t="s">
        <v>5160</v>
      </c>
      <c r="D1963" s="161" t="s">
        <v>1305</v>
      </c>
      <c r="E1963" s="161" t="s">
        <v>5092</v>
      </c>
      <c r="F1963" s="161" t="s">
        <v>5150</v>
      </c>
      <c r="G1963" s="171">
        <v>19.61</v>
      </c>
      <c r="H1963" s="163">
        <f>G1963-G1962</f>
        <v>5.8</v>
      </c>
      <c r="I1963" s="176">
        <v>32</v>
      </c>
      <c r="J1963" s="176">
        <v>2231.84</v>
      </c>
      <c r="K1963" s="176">
        <f t="shared" ref="K1963:K1987" si="158">J1963+K1962</f>
        <v>7545.928</v>
      </c>
      <c r="L1963" s="163"/>
      <c r="M1963" s="161" t="s">
        <v>5151</v>
      </c>
      <c r="N1963" s="161" t="s">
        <v>1299</v>
      </c>
      <c r="O1963" s="161" t="s">
        <v>26</v>
      </c>
      <c r="P1963" s="49" t="s">
        <v>25</v>
      </c>
      <c r="Q1963" s="166" t="s">
        <v>5161</v>
      </c>
      <c r="R1963" s="151"/>
    </row>
    <row r="1964" spans="1:18">
      <c r="A1964" s="186" t="s">
        <v>58</v>
      </c>
      <c r="B1964" s="101" t="s">
        <v>520</v>
      </c>
      <c r="C1964" s="84" t="s">
        <v>530</v>
      </c>
      <c r="D1964" s="161" t="s">
        <v>530</v>
      </c>
      <c r="E1964" s="161" t="s">
        <v>5092</v>
      </c>
      <c r="F1964" s="161" t="s">
        <v>5162</v>
      </c>
      <c r="G1964" s="171">
        <v>26.17</v>
      </c>
      <c r="H1964" s="163">
        <f t="shared" ref="H1964:H1987" si="159">G1964-G1963</f>
        <v>6.56</v>
      </c>
      <c r="I1964" s="176">
        <v>157</v>
      </c>
      <c r="J1964" s="176">
        <v>2524.288</v>
      </c>
      <c r="K1964" s="176">
        <f t="shared" si="158"/>
        <v>10070.216</v>
      </c>
      <c r="L1964" s="163"/>
      <c r="M1964" s="161" t="s">
        <v>5151</v>
      </c>
      <c r="N1964" s="161" t="s">
        <v>1331</v>
      </c>
      <c r="O1964" s="161" t="s">
        <v>14</v>
      </c>
      <c r="P1964" s="49" t="s">
        <v>14</v>
      </c>
      <c r="Q1964" s="166" t="s">
        <v>5163</v>
      </c>
      <c r="R1964" s="151"/>
    </row>
    <row r="1965" spans="1:18">
      <c r="A1965" s="186" t="s">
        <v>58</v>
      </c>
      <c r="B1965" s="101" t="s">
        <v>520</v>
      </c>
      <c r="C1965" s="84" t="s">
        <v>5164</v>
      </c>
      <c r="D1965" s="161" t="s">
        <v>1307</v>
      </c>
      <c r="E1965" s="161" t="s">
        <v>5092</v>
      </c>
      <c r="F1965" s="161" t="s">
        <v>5162</v>
      </c>
      <c r="G1965" s="171">
        <v>34.551</v>
      </c>
      <c r="H1965" s="163">
        <f t="shared" si="159"/>
        <v>8.381</v>
      </c>
      <c r="I1965" s="176">
        <v>99</v>
      </c>
      <c r="J1965" s="176">
        <v>3674.84</v>
      </c>
      <c r="K1965" s="176">
        <f t="shared" si="158"/>
        <v>13745.056</v>
      </c>
      <c r="L1965" s="163"/>
      <c r="M1965" s="161" t="s">
        <v>5151</v>
      </c>
      <c r="N1965" s="161" t="s">
        <v>1299</v>
      </c>
      <c r="O1965" s="161" t="s">
        <v>25</v>
      </c>
      <c r="P1965" s="49" t="s">
        <v>25</v>
      </c>
      <c r="Q1965" s="166" t="s">
        <v>5165</v>
      </c>
      <c r="R1965" s="151"/>
    </row>
    <row r="1966" spans="1:18">
      <c r="A1966" s="186" t="s">
        <v>58</v>
      </c>
      <c r="B1966" s="101" t="s">
        <v>520</v>
      </c>
      <c r="C1966" s="84" t="s">
        <v>5166</v>
      </c>
      <c r="D1966" s="161" t="s">
        <v>1311</v>
      </c>
      <c r="E1966" s="161" t="s">
        <v>5092</v>
      </c>
      <c r="F1966" s="161" t="s">
        <v>5162</v>
      </c>
      <c r="G1966" s="171">
        <v>48.104</v>
      </c>
      <c r="H1966" s="163">
        <f t="shared" si="159"/>
        <v>13.553</v>
      </c>
      <c r="I1966" s="176">
        <v>48</v>
      </c>
      <c r="J1966" s="176">
        <v>5906.68</v>
      </c>
      <c r="K1966" s="176">
        <f t="shared" si="158"/>
        <v>19651.736</v>
      </c>
      <c r="L1966" s="163"/>
      <c r="M1966" s="161" t="s">
        <v>5151</v>
      </c>
      <c r="N1966" s="161" t="s">
        <v>1299</v>
      </c>
      <c r="O1966" s="161" t="s">
        <v>26</v>
      </c>
      <c r="P1966" s="49" t="s">
        <v>25</v>
      </c>
      <c r="Q1966" s="166" t="s">
        <v>5167</v>
      </c>
      <c r="R1966" s="151"/>
    </row>
    <row r="1967" spans="1:18">
      <c r="A1967" s="186" t="s">
        <v>58</v>
      </c>
      <c r="B1967" s="101" t="s">
        <v>520</v>
      </c>
      <c r="C1967" s="84" t="s">
        <v>5168</v>
      </c>
      <c r="D1967" s="161" t="s">
        <v>1318</v>
      </c>
      <c r="E1967" s="161" t="s">
        <v>5092</v>
      </c>
      <c r="F1967" s="161" t="s">
        <v>5162</v>
      </c>
      <c r="G1967" s="171">
        <v>68.05</v>
      </c>
      <c r="H1967" s="163">
        <f t="shared" si="159"/>
        <v>19.946</v>
      </c>
      <c r="I1967" s="176">
        <v>52</v>
      </c>
      <c r="J1967" s="176">
        <v>8400.184</v>
      </c>
      <c r="K1967" s="176">
        <f t="shared" si="158"/>
        <v>28051.92</v>
      </c>
      <c r="L1967" s="163" t="s">
        <v>5169</v>
      </c>
      <c r="M1967" s="161" t="s">
        <v>5151</v>
      </c>
      <c r="N1967" s="161" t="s">
        <v>1299</v>
      </c>
      <c r="O1967" s="161" t="s">
        <v>25</v>
      </c>
      <c r="P1967" s="49" t="s">
        <v>25</v>
      </c>
      <c r="Q1967" s="166" t="s">
        <v>5170</v>
      </c>
      <c r="R1967" s="151"/>
    </row>
    <row r="1968" spans="1:18">
      <c r="A1968" s="186" t="s">
        <v>58</v>
      </c>
      <c r="B1968" s="101" t="s">
        <v>520</v>
      </c>
      <c r="C1968" s="84" t="s">
        <v>5171</v>
      </c>
      <c r="D1968" s="161" t="s">
        <v>1321</v>
      </c>
      <c r="E1968" s="161" t="s">
        <v>5092</v>
      </c>
      <c r="F1968" s="161" t="s">
        <v>5162</v>
      </c>
      <c r="G1968" s="171">
        <v>84.069</v>
      </c>
      <c r="H1968" s="163">
        <f t="shared" si="159"/>
        <v>16.019</v>
      </c>
      <c r="I1968" s="176">
        <v>53</v>
      </c>
      <c r="J1968" s="176">
        <v>6256.848</v>
      </c>
      <c r="K1968" s="176">
        <f t="shared" si="158"/>
        <v>34308.768</v>
      </c>
      <c r="L1968" s="163"/>
      <c r="M1968" s="161" t="s">
        <v>5151</v>
      </c>
      <c r="N1968" s="161" t="s">
        <v>1299</v>
      </c>
      <c r="O1968" s="161" t="s">
        <v>26</v>
      </c>
      <c r="P1968" s="49" t="s">
        <v>25</v>
      </c>
      <c r="Q1968" s="166" t="s">
        <v>5172</v>
      </c>
      <c r="R1968" s="151"/>
    </row>
    <row r="1969" spans="1:18">
      <c r="A1969" s="186" t="s">
        <v>58</v>
      </c>
      <c r="B1969" s="101" t="s">
        <v>520</v>
      </c>
      <c r="C1969" s="84" t="s">
        <v>5173</v>
      </c>
      <c r="D1969" s="161" t="s">
        <v>1324</v>
      </c>
      <c r="E1969" s="161" t="s">
        <v>5092</v>
      </c>
      <c r="F1969" s="161" t="s">
        <v>5174</v>
      </c>
      <c r="G1969" s="171">
        <v>103.299</v>
      </c>
      <c r="H1969" s="163">
        <f t="shared" si="159"/>
        <v>19.23</v>
      </c>
      <c r="I1969" s="176">
        <v>81</v>
      </c>
      <c r="J1969" s="176">
        <v>7203.456</v>
      </c>
      <c r="K1969" s="176">
        <f t="shared" si="158"/>
        <v>41512.224</v>
      </c>
      <c r="L1969" s="163"/>
      <c r="M1969" s="161" t="s">
        <v>5151</v>
      </c>
      <c r="N1969" s="161" t="s">
        <v>1299</v>
      </c>
      <c r="O1969" s="161" t="s">
        <v>26</v>
      </c>
      <c r="P1969" s="49" t="s">
        <v>25</v>
      </c>
      <c r="Q1969" s="166" t="s">
        <v>5175</v>
      </c>
      <c r="R1969" s="151"/>
    </row>
    <row r="1970" spans="1:18">
      <c r="A1970" s="186" t="s">
        <v>58</v>
      </c>
      <c r="B1970" s="101" t="s">
        <v>520</v>
      </c>
      <c r="C1970" s="84" t="s">
        <v>5176</v>
      </c>
      <c r="D1970" s="161" t="s">
        <v>1327</v>
      </c>
      <c r="E1970" s="161" t="s">
        <v>5092</v>
      </c>
      <c r="F1970" s="161" t="s">
        <v>5174</v>
      </c>
      <c r="G1970" s="171">
        <v>124.11</v>
      </c>
      <c r="H1970" s="163">
        <f t="shared" si="159"/>
        <v>20.811</v>
      </c>
      <c r="I1970" s="176">
        <v>85</v>
      </c>
      <c r="J1970" s="176">
        <v>8073.104</v>
      </c>
      <c r="K1970" s="176">
        <f t="shared" si="158"/>
        <v>49585.328</v>
      </c>
      <c r="L1970" s="163"/>
      <c r="M1970" s="161" t="s">
        <v>5151</v>
      </c>
      <c r="N1970" s="161" t="s">
        <v>1299</v>
      </c>
      <c r="O1970" s="161" t="s">
        <v>25</v>
      </c>
      <c r="P1970" s="49" t="s">
        <v>25</v>
      </c>
      <c r="Q1970" s="166" t="s">
        <v>5177</v>
      </c>
      <c r="R1970" s="151"/>
    </row>
    <row r="1971" spans="1:18">
      <c r="A1971" s="186" t="s">
        <v>58</v>
      </c>
      <c r="B1971" s="101" t="s">
        <v>520</v>
      </c>
      <c r="C1971" s="84" t="s">
        <v>5178</v>
      </c>
      <c r="D1971" s="161" t="s">
        <v>1334</v>
      </c>
      <c r="E1971" s="161" t="s">
        <v>5092</v>
      </c>
      <c r="F1971" s="161" t="s">
        <v>5174</v>
      </c>
      <c r="G1971" s="171">
        <v>141.567</v>
      </c>
      <c r="H1971" s="163">
        <f t="shared" si="159"/>
        <v>17.457</v>
      </c>
      <c r="I1971" s="176">
        <v>108</v>
      </c>
      <c r="J1971" s="176">
        <v>6653.192</v>
      </c>
      <c r="K1971" s="176">
        <f t="shared" si="158"/>
        <v>56238.52</v>
      </c>
      <c r="L1971" s="163"/>
      <c r="M1971" s="161" t="s">
        <v>5151</v>
      </c>
      <c r="N1971" s="161" t="s">
        <v>1299</v>
      </c>
      <c r="O1971" s="161" t="s">
        <v>26</v>
      </c>
      <c r="P1971" s="49" t="s">
        <v>25</v>
      </c>
      <c r="Q1971" s="166" t="s">
        <v>5179</v>
      </c>
      <c r="R1971" s="151"/>
    </row>
    <row r="1972" spans="1:18">
      <c r="A1972" s="186" t="s">
        <v>58</v>
      </c>
      <c r="B1972" s="101" t="s">
        <v>520</v>
      </c>
      <c r="C1972" s="84" t="s">
        <v>5180</v>
      </c>
      <c r="D1972" s="161" t="s">
        <v>1338</v>
      </c>
      <c r="E1972" s="161" t="s">
        <v>5092</v>
      </c>
      <c r="F1972" s="161" t="s">
        <v>5174</v>
      </c>
      <c r="G1972" s="171">
        <v>156.867</v>
      </c>
      <c r="H1972" s="163">
        <f t="shared" si="159"/>
        <v>15.3</v>
      </c>
      <c r="I1972" s="176">
        <v>72</v>
      </c>
      <c r="J1972" s="176">
        <v>5256.368</v>
      </c>
      <c r="K1972" s="176">
        <f t="shared" si="158"/>
        <v>61494.888</v>
      </c>
      <c r="L1972" s="163"/>
      <c r="M1972" s="161" t="s">
        <v>5151</v>
      </c>
      <c r="N1972" s="161" t="s">
        <v>1299</v>
      </c>
      <c r="O1972" s="161" t="s">
        <v>26</v>
      </c>
      <c r="P1972" s="49" t="s">
        <v>25</v>
      </c>
      <c r="Q1972" s="166" t="s">
        <v>5181</v>
      </c>
      <c r="R1972" s="151"/>
    </row>
    <row r="1973" ht="30" spans="1:18">
      <c r="A1973" s="186" t="s">
        <v>58</v>
      </c>
      <c r="B1973" s="101" t="s">
        <v>520</v>
      </c>
      <c r="C1973" s="84" t="s">
        <v>5182</v>
      </c>
      <c r="D1973" s="161" t="s">
        <v>5182</v>
      </c>
      <c r="E1973" s="161" t="s">
        <v>5092</v>
      </c>
      <c r="F1973" s="161" t="s">
        <v>5183</v>
      </c>
      <c r="G1973" s="171">
        <v>173.635</v>
      </c>
      <c r="H1973" s="163">
        <f t="shared" si="159"/>
        <v>16.768</v>
      </c>
      <c r="I1973" s="176">
        <v>81</v>
      </c>
      <c r="J1973" s="176">
        <v>6110.624</v>
      </c>
      <c r="K1973" s="176">
        <f t="shared" si="158"/>
        <v>67605.512</v>
      </c>
      <c r="L1973" s="163" t="s">
        <v>5184</v>
      </c>
      <c r="M1973" s="161" t="s">
        <v>5151</v>
      </c>
      <c r="N1973" s="161" t="s">
        <v>1331</v>
      </c>
      <c r="O1973" s="161" t="s">
        <v>6</v>
      </c>
      <c r="P1973" s="49" t="s">
        <v>6</v>
      </c>
      <c r="Q1973" s="166" t="s">
        <v>5185</v>
      </c>
      <c r="R1973" s="151"/>
    </row>
    <row r="1974" spans="1:18">
      <c r="A1974" s="186" t="s">
        <v>58</v>
      </c>
      <c r="B1974" s="101" t="s">
        <v>520</v>
      </c>
      <c r="C1974" s="84" t="s">
        <v>5186</v>
      </c>
      <c r="D1974" s="161" t="s">
        <v>1346</v>
      </c>
      <c r="E1974" s="161" t="s">
        <v>5092</v>
      </c>
      <c r="F1974" s="161" t="s">
        <v>5183</v>
      </c>
      <c r="G1974" s="171">
        <v>192.355</v>
      </c>
      <c r="H1974" s="163">
        <f t="shared" si="159"/>
        <v>18.72</v>
      </c>
      <c r="I1974" s="176">
        <v>70</v>
      </c>
      <c r="J1974" s="176">
        <v>6749.392</v>
      </c>
      <c r="K1974" s="176">
        <f t="shared" si="158"/>
        <v>74354.904</v>
      </c>
      <c r="L1974" s="163"/>
      <c r="M1974" s="161" t="s">
        <v>5151</v>
      </c>
      <c r="N1974" s="161" t="s">
        <v>1299</v>
      </c>
      <c r="O1974" s="161" t="s">
        <v>26</v>
      </c>
      <c r="P1974" s="49" t="s">
        <v>25</v>
      </c>
      <c r="Q1974" s="166" t="s">
        <v>5187</v>
      </c>
      <c r="R1974" s="151"/>
    </row>
    <row r="1975" spans="1:18">
      <c r="A1975" s="186" t="s">
        <v>58</v>
      </c>
      <c r="B1975" s="101" t="s">
        <v>520</v>
      </c>
      <c r="C1975" s="84" t="s">
        <v>5188</v>
      </c>
      <c r="D1975" s="161" t="s">
        <v>1349</v>
      </c>
      <c r="E1975" s="161" t="s">
        <v>5092</v>
      </c>
      <c r="F1975" s="161" t="s">
        <v>5183</v>
      </c>
      <c r="G1975" s="171">
        <v>216.119</v>
      </c>
      <c r="H1975" s="163">
        <f t="shared" si="159"/>
        <v>23.764</v>
      </c>
      <c r="I1975" s="176">
        <v>64</v>
      </c>
      <c r="J1975" s="176">
        <v>9204.416</v>
      </c>
      <c r="K1975" s="176">
        <f t="shared" si="158"/>
        <v>83559.32</v>
      </c>
      <c r="L1975" s="163"/>
      <c r="M1975" s="161" t="s">
        <v>5151</v>
      </c>
      <c r="N1975" s="161" t="s">
        <v>1299</v>
      </c>
      <c r="O1975" s="161" t="s">
        <v>25</v>
      </c>
      <c r="P1975" s="49" t="s">
        <v>25</v>
      </c>
      <c r="Q1975" s="166" t="s">
        <v>5189</v>
      </c>
      <c r="R1975" s="151"/>
    </row>
    <row r="1976" spans="1:18">
      <c r="A1976" s="186" t="s">
        <v>58</v>
      </c>
      <c r="B1976" s="101" t="s">
        <v>520</v>
      </c>
      <c r="C1976" s="84" t="s">
        <v>5190</v>
      </c>
      <c r="D1976" s="161" t="s">
        <v>1352</v>
      </c>
      <c r="E1976" s="161" t="s">
        <v>5092</v>
      </c>
      <c r="F1976" s="161" t="s">
        <v>5183</v>
      </c>
      <c r="G1976" s="171">
        <v>225.962</v>
      </c>
      <c r="H1976" s="163">
        <f t="shared" si="159"/>
        <v>9.84299999999999</v>
      </c>
      <c r="I1976" s="176">
        <v>19</v>
      </c>
      <c r="J1976" s="176">
        <v>3028.376</v>
      </c>
      <c r="K1976" s="176">
        <f t="shared" si="158"/>
        <v>86587.696</v>
      </c>
      <c r="L1976" s="163"/>
      <c r="M1976" s="161" t="s">
        <v>5151</v>
      </c>
      <c r="N1976" s="161" t="s">
        <v>1299</v>
      </c>
      <c r="O1976" s="161" t="s">
        <v>26</v>
      </c>
      <c r="P1976" s="49" t="s">
        <v>25</v>
      </c>
      <c r="Q1976" s="166" t="s">
        <v>5191</v>
      </c>
      <c r="R1976" s="151"/>
    </row>
    <row r="1977" spans="1:18">
      <c r="A1977" s="186" t="s">
        <v>58</v>
      </c>
      <c r="B1977" s="101" t="s">
        <v>520</v>
      </c>
      <c r="C1977" s="84" t="s">
        <v>5192</v>
      </c>
      <c r="D1977" s="161" t="s">
        <v>1354</v>
      </c>
      <c r="E1977" s="161" t="s">
        <v>5092</v>
      </c>
      <c r="F1977" s="161" t="s">
        <v>5183</v>
      </c>
      <c r="G1977" s="171">
        <v>234.609</v>
      </c>
      <c r="H1977" s="163">
        <f t="shared" si="159"/>
        <v>8.64700000000002</v>
      </c>
      <c r="I1977" s="176">
        <v>27</v>
      </c>
      <c r="J1977" s="176">
        <v>3690.232</v>
      </c>
      <c r="K1977" s="176">
        <f t="shared" si="158"/>
        <v>90277.928</v>
      </c>
      <c r="L1977" s="163" t="s">
        <v>5193</v>
      </c>
      <c r="M1977" s="161" t="s">
        <v>5151</v>
      </c>
      <c r="N1977" s="161" t="s">
        <v>1299</v>
      </c>
      <c r="O1977" s="161" t="s">
        <v>25</v>
      </c>
      <c r="P1977" s="49" t="s">
        <v>25</v>
      </c>
      <c r="Q1977" s="166" t="s">
        <v>5194</v>
      </c>
      <c r="R1977" s="151"/>
    </row>
    <row r="1978" spans="1:18">
      <c r="A1978" s="186" t="s">
        <v>58</v>
      </c>
      <c r="B1978" s="101" t="s">
        <v>520</v>
      </c>
      <c r="C1978" s="84" t="s">
        <v>5195</v>
      </c>
      <c r="D1978" s="161" t="s">
        <v>1356</v>
      </c>
      <c r="E1978" s="161" t="s">
        <v>5092</v>
      </c>
      <c r="F1978" s="161" t="s">
        <v>5196</v>
      </c>
      <c r="G1978" s="171">
        <v>252.832</v>
      </c>
      <c r="H1978" s="163">
        <f t="shared" si="159"/>
        <v>18.223</v>
      </c>
      <c r="I1978" s="176">
        <v>7</v>
      </c>
      <c r="J1978" s="176">
        <v>7907.64</v>
      </c>
      <c r="K1978" s="176">
        <f t="shared" si="158"/>
        <v>98185.568</v>
      </c>
      <c r="L1978" s="163"/>
      <c r="M1978" s="161" t="s">
        <v>5151</v>
      </c>
      <c r="N1978" s="161" t="s">
        <v>1299</v>
      </c>
      <c r="O1978" s="161" t="s">
        <v>26</v>
      </c>
      <c r="P1978" s="49" t="s">
        <v>25</v>
      </c>
      <c r="Q1978" s="166" t="s">
        <v>5197</v>
      </c>
      <c r="R1978" s="151"/>
    </row>
    <row r="1979" spans="1:18">
      <c r="A1979" s="186" t="s">
        <v>58</v>
      </c>
      <c r="B1979" s="101" t="s">
        <v>520</v>
      </c>
      <c r="C1979" s="84" t="s">
        <v>523</v>
      </c>
      <c r="D1979" s="161" t="s">
        <v>523</v>
      </c>
      <c r="E1979" s="161" t="s">
        <v>5092</v>
      </c>
      <c r="F1979" s="161" t="s">
        <v>5196</v>
      </c>
      <c r="G1979" s="171">
        <v>271.549</v>
      </c>
      <c r="H1979" s="163">
        <f t="shared" si="159"/>
        <v>18.717</v>
      </c>
      <c r="I1979" s="176">
        <v>3</v>
      </c>
      <c r="J1979" s="176">
        <v>6306.872</v>
      </c>
      <c r="K1979" s="176">
        <f t="shared" si="158"/>
        <v>104492.44</v>
      </c>
      <c r="L1979" s="163"/>
      <c r="M1979" s="161" t="s">
        <v>5151</v>
      </c>
      <c r="N1979" s="161" t="s">
        <v>1331</v>
      </c>
      <c r="O1979" s="161" t="s">
        <v>14</v>
      </c>
      <c r="P1979" s="49" t="s">
        <v>14</v>
      </c>
      <c r="Q1979" s="166" t="s">
        <v>5198</v>
      </c>
      <c r="R1979" s="151"/>
    </row>
    <row r="1980" spans="1:18">
      <c r="A1980" s="186" t="s">
        <v>58</v>
      </c>
      <c r="B1980" s="101" t="s">
        <v>520</v>
      </c>
      <c r="C1980" s="84" t="s">
        <v>5199</v>
      </c>
      <c r="D1980" s="161" t="s">
        <v>2994</v>
      </c>
      <c r="E1980" s="161" t="s">
        <v>5092</v>
      </c>
      <c r="F1980" s="161" t="s">
        <v>5200</v>
      </c>
      <c r="G1980" s="171">
        <v>294.049</v>
      </c>
      <c r="H1980" s="163">
        <f t="shared" si="159"/>
        <v>22.5</v>
      </c>
      <c r="I1980" s="176">
        <v>11</v>
      </c>
      <c r="J1980" s="176">
        <v>8669.544</v>
      </c>
      <c r="K1980" s="176">
        <f t="shared" si="158"/>
        <v>113161.984</v>
      </c>
      <c r="L1980" s="163"/>
      <c r="M1980" s="161" t="s">
        <v>5151</v>
      </c>
      <c r="N1980" s="161" t="s">
        <v>1901</v>
      </c>
      <c r="O1980" s="161" t="s">
        <v>26</v>
      </c>
      <c r="P1980" s="49" t="s">
        <v>26</v>
      </c>
      <c r="Q1980" s="166" t="s">
        <v>5201</v>
      </c>
      <c r="R1980" s="151"/>
    </row>
    <row r="1981" spans="1:18">
      <c r="A1981" s="186" t="s">
        <v>58</v>
      </c>
      <c r="B1981" s="101" t="s">
        <v>520</v>
      </c>
      <c r="C1981" s="84" t="s">
        <v>5202</v>
      </c>
      <c r="D1981" s="161" t="s">
        <v>1361</v>
      </c>
      <c r="E1981" s="161" t="s">
        <v>5092</v>
      </c>
      <c r="F1981" s="161" t="s">
        <v>5200</v>
      </c>
      <c r="G1981" s="171">
        <v>313.579</v>
      </c>
      <c r="H1981" s="163">
        <f t="shared" si="159"/>
        <v>19.53</v>
      </c>
      <c r="I1981" s="176">
        <v>10</v>
      </c>
      <c r="J1981" s="176">
        <v>7503.6</v>
      </c>
      <c r="K1981" s="176">
        <f t="shared" si="158"/>
        <v>120665.584</v>
      </c>
      <c r="L1981" s="163"/>
      <c r="M1981" s="161" t="s">
        <v>5151</v>
      </c>
      <c r="N1981" s="161" t="s">
        <v>1299</v>
      </c>
      <c r="O1981" s="161" t="s">
        <v>25</v>
      </c>
      <c r="P1981" s="49" t="s">
        <v>25</v>
      </c>
      <c r="Q1981" s="166" t="s">
        <v>5203</v>
      </c>
      <c r="R1981" s="151"/>
    </row>
    <row r="1982" spans="1:18">
      <c r="A1982" s="186" t="s">
        <v>58</v>
      </c>
      <c r="B1982" s="101" t="s">
        <v>520</v>
      </c>
      <c r="C1982" s="84" t="s">
        <v>5204</v>
      </c>
      <c r="D1982" s="161" t="s">
        <v>5204</v>
      </c>
      <c r="E1982" s="161" t="s">
        <v>5092</v>
      </c>
      <c r="F1982" s="161" t="s">
        <v>5200</v>
      </c>
      <c r="G1982" s="171">
        <v>342.979</v>
      </c>
      <c r="H1982" s="163">
        <f t="shared" si="159"/>
        <v>29.4</v>
      </c>
      <c r="I1982" s="176">
        <v>7</v>
      </c>
      <c r="J1982" s="176">
        <v>11313.12</v>
      </c>
      <c r="K1982" s="176">
        <f t="shared" si="158"/>
        <v>131978.704</v>
      </c>
      <c r="L1982" s="163"/>
      <c r="M1982" s="161" t="s">
        <v>5151</v>
      </c>
      <c r="N1982" s="161" t="s">
        <v>1331</v>
      </c>
      <c r="O1982" s="161" t="s">
        <v>14</v>
      </c>
      <c r="P1982" s="49" t="s">
        <v>14</v>
      </c>
      <c r="Q1982" s="166" t="s">
        <v>5205</v>
      </c>
      <c r="R1982" s="151"/>
    </row>
    <row r="1983" spans="1:18">
      <c r="A1983" s="186" t="s">
        <v>58</v>
      </c>
      <c r="B1983" s="101" t="s">
        <v>520</v>
      </c>
      <c r="C1983" s="84" t="s">
        <v>5206</v>
      </c>
      <c r="D1983" s="161" t="s">
        <v>2311</v>
      </c>
      <c r="E1983" s="161" t="s">
        <v>5092</v>
      </c>
      <c r="F1983" s="161" t="s">
        <v>5200</v>
      </c>
      <c r="G1983" s="171">
        <v>363.849</v>
      </c>
      <c r="H1983" s="163">
        <f t="shared" si="159"/>
        <v>20.87</v>
      </c>
      <c r="I1983" s="176">
        <v>11</v>
      </c>
      <c r="J1983" s="176">
        <v>8030.776</v>
      </c>
      <c r="K1983" s="176">
        <f t="shared" si="158"/>
        <v>140009.48</v>
      </c>
      <c r="L1983" s="163"/>
      <c r="M1983" s="161" t="s">
        <v>5151</v>
      </c>
      <c r="N1983" s="161" t="s">
        <v>1901</v>
      </c>
      <c r="O1983" s="161" t="s">
        <v>26</v>
      </c>
      <c r="P1983" s="49" t="s">
        <v>26</v>
      </c>
      <c r="Q1983" s="166" t="s">
        <v>5207</v>
      </c>
      <c r="R1983" s="151"/>
    </row>
    <row r="1984" ht="30" spans="1:18">
      <c r="A1984" s="186" t="s">
        <v>58</v>
      </c>
      <c r="B1984" s="101" t="s">
        <v>520</v>
      </c>
      <c r="C1984" s="84" t="s">
        <v>527</v>
      </c>
      <c r="D1984" s="161" t="s">
        <v>527</v>
      </c>
      <c r="E1984" s="161" t="s">
        <v>5092</v>
      </c>
      <c r="F1984" s="161" t="s">
        <v>5128</v>
      </c>
      <c r="G1984" s="171">
        <v>381.539</v>
      </c>
      <c r="H1984" s="163">
        <f t="shared" si="159"/>
        <v>17.69</v>
      </c>
      <c r="I1984" s="176">
        <v>15</v>
      </c>
      <c r="J1984" s="176">
        <v>6807.112</v>
      </c>
      <c r="K1984" s="176">
        <f t="shared" si="158"/>
        <v>146816.592</v>
      </c>
      <c r="L1984" s="163" t="s">
        <v>5208</v>
      </c>
      <c r="M1984" s="161" t="s">
        <v>5151</v>
      </c>
      <c r="N1984" s="161" t="s">
        <v>1331</v>
      </c>
      <c r="O1984" s="161" t="s">
        <v>14</v>
      </c>
      <c r="P1984" s="49" t="s">
        <v>14</v>
      </c>
      <c r="Q1984" s="166" t="s">
        <v>5209</v>
      </c>
      <c r="R1984" s="151"/>
    </row>
    <row r="1985" spans="1:18">
      <c r="A1985" s="186" t="s">
        <v>58</v>
      </c>
      <c r="B1985" s="101" t="s">
        <v>520</v>
      </c>
      <c r="C1985" s="84" t="s">
        <v>5210</v>
      </c>
      <c r="D1985" s="161" t="s">
        <v>1365</v>
      </c>
      <c r="E1985" s="161" t="s">
        <v>5092</v>
      </c>
      <c r="F1985" s="161" t="s">
        <v>5128</v>
      </c>
      <c r="G1985" s="171">
        <v>396.569</v>
      </c>
      <c r="H1985" s="163">
        <f t="shared" si="159"/>
        <v>15.03</v>
      </c>
      <c r="I1985" s="176">
        <v>15</v>
      </c>
      <c r="J1985" s="176">
        <v>5767.1363286075</v>
      </c>
      <c r="K1985" s="176">
        <f t="shared" si="158"/>
        <v>152583.728328608</v>
      </c>
      <c r="L1985" s="163" t="s">
        <v>2823</v>
      </c>
      <c r="M1985" s="161" t="s">
        <v>5151</v>
      </c>
      <c r="N1985" s="161" t="s">
        <v>1299</v>
      </c>
      <c r="O1985" s="161" t="s">
        <v>25</v>
      </c>
      <c r="P1985" s="49" t="s">
        <v>25</v>
      </c>
      <c r="Q1985" s="166" t="s">
        <v>5211</v>
      </c>
      <c r="R1985" s="151"/>
    </row>
    <row r="1986" spans="1:18">
      <c r="A1986" s="186" t="s">
        <v>58</v>
      </c>
      <c r="B1986" s="101" t="s">
        <v>520</v>
      </c>
      <c r="C1986" s="84" t="s">
        <v>5212</v>
      </c>
      <c r="D1986" s="161" t="s">
        <v>1367</v>
      </c>
      <c r="E1986" s="161" t="s">
        <v>5092</v>
      </c>
      <c r="F1986" s="161" t="s">
        <v>5128</v>
      </c>
      <c r="G1986" s="171">
        <v>419.525</v>
      </c>
      <c r="H1986" s="163">
        <f t="shared" si="159"/>
        <v>22.956</v>
      </c>
      <c r="I1986" s="176">
        <v>21</v>
      </c>
      <c r="J1986" s="176">
        <v>8928.523352595</v>
      </c>
      <c r="K1986" s="176">
        <f t="shared" si="158"/>
        <v>161512.251681203</v>
      </c>
      <c r="L1986" s="163"/>
      <c r="M1986" s="161" t="s">
        <v>5151</v>
      </c>
      <c r="N1986" s="161" t="s">
        <v>1299</v>
      </c>
      <c r="O1986" s="161" t="s">
        <v>25</v>
      </c>
      <c r="P1986" s="49" t="s">
        <v>25</v>
      </c>
      <c r="Q1986" s="166" t="s">
        <v>5213</v>
      </c>
      <c r="R1986" s="151"/>
    </row>
    <row r="1987" spans="1:18">
      <c r="A1987" s="186" t="s">
        <v>58</v>
      </c>
      <c r="B1987" s="101" t="s">
        <v>520</v>
      </c>
      <c r="C1987" s="135" t="s">
        <v>504</v>
      </c>
      <c r="D1987" s="161" t="s">
        <v>504</v>
      </c>
      <c r="E1987" s="161" t="s">
        <v>5092</v>
      </c>
      <c r="F1987" s="161" t="s">
        <v>5128</v>
      </c>
      <c r="G1987" s="171">
        <v>442.679</v>
      </c>
      <c r="H1987" s="163">
        <f t="shared" si="159"/>
        <v>23.154</v>
      </c>
      <c r="I1987" s="176">
        <v>29</v>
      </c>
      <c r="J1987" s="176">
        <v>8400.5621</v>
      </c>
      <c r="K1987" s="176">
        <f t="shared" si="158"/>
        <v>169912.813781203</v>
      </c>
      <c r="L1987" s="163"/>
      <c r="M1987" s="161" t="s">
        <v>5087</v>
      </c>
      <c r="N1987" s="161" t="s">
        <v>1331</v>
      </c>
      <c r="O1987" s="161"/>
      <c r="P1987" s="49"/>
      <c r="Q1987" s="166" t="s">
        <v>5136</v>
      </c>
      <c r="R1987" s="151"/>
    </row>
    <row r="1988" spans="1:18">
      <c r="A1988" s="186" t="s">
        <v>58</v>
      </c>
      <c r="B1988" s="101" t="s">
        <v>529</v>
      </c>
      <c r="C1988" s="135" t="s">
        <v>530</v>
      </c>
      <c r="D1988" s="161" t="s">
        <v>530</v>
      </c>
      <c r="E1988" s="161" t="s">
        <v>5092</v>
      </c>
      <c r="F1988" s="161" t="s">
        <v>5162</v>
      </c>
      <c r="G1988" s="163">
        <v>0</v>
      </c>
      <c r="H1988" s="163">
        <v>0</v>
      </c>
      <c r="I1988" s="176">
        <v>130</v>
      </c>
      <c r="J1988" s="176">
        <v>0</v>
      </c>
      <c r="K1988" s="176">
        <v>0</v>
      </c>
      <c r="L1988" s="163"/>
      <c r="M1988" s="161" t="s">
        <v>5151</v>
      </c>
      <c r="N1988" s="161" t="s">
        <v>1331</v>
      </c>
      <c r="O1988" s="161"/>
      <c r="P1988" s="49"/>
      <c r="Q1988" s="166" t="s">
        <v>5163</v>
      </c>
      <c r="R1988" s="151"/>
    </row>
    <row r="1989" spans="1:18">
      <c r="A1989" s="186" t="s">
        <v>58</v>
      </c>
      <c r="B1989" s="101" t="s">
        <v>529</v>
      </c>
      <c r="C1989" s="84" t="s">
        <v>5214</v>
      </c>
      <c r="D1989" s="161" t="s">
        <v>1298</v>
      </c>
      <c r="E1989" s="161" t="s">
        <v>5092</v>
      </c>
      <c r="F1989" s="161" t="s">
        <v>5215</v>
      </c>
      <c r="G1989" s="163">
        <v>6.44</v>
      </c>
      <c r="H1989" s="163">
        <f>G1989-G1988</f>
        <v>6.44</v>
      </c>
      <c r="I1989" s="176">
        <v>95</v>
      </c>
      <c r="J1989" s="176">
        <v>2343</v>
      </c>
      <c r="K1989" s="176">
        <v>2343</v>
      </c>
      <c r="L1989" s="163"/>
      <c r="M1989" s="161" t="s">
        <v>5216</v>
      </c>
      <c r="N1989" s="161" t="s">
        <v>1299</v>
      </c>
      <c r="O1989" s="161" t="s">
        <v>26</v>
      </c>
      <c r="P1989" s="49" t="s">
        <v>25</v>
      </c>
      <c r="Q1989" s="166" t="s">
        <v>5217</v>
      </c>
      <c r="R1989" s="151"/>
    </row>
    <row r="1990" spans="1:18">
      <c r="A1990" s="186" t="s">
        <v>58</v>
      </c>
      <c r="B1990" s="101" t="s">
        <v>529</v>
      </c>
      <c r="C1990" s="84" t="s">
        <v>5218</v>
      </c>
      <c r="D1990" s="161" t="s">
        <v>1302</v>
      </c>
      <c r="E1990" s="161" t="s">
        <v>5092</v>
      </c>
      <c r="F1990" s="161" t="s">
        <v>5215</v>
      </c>
      <c r="G1990" s="163">
        <v>9.14</v>
      </c>
      <c r="H1990" s="163">
        <f>G1990-G1989</f>
        <v>2.7</v>
      </c>
      <c r="I1990" s="176">
        <v>85</v>
      </c>
      <c r="J1990" s="176">
        <v>982</v>
      </c>
      <c r="K1990" s="176">
        <v>3325</v>
      </c>
      <c r="L1990" s="163"/>
      <c r="M1990" s="161" t="s">
        <v>5216</v>
      </c>
      <c r="N1990" s="161" t="s">
        <v>1299</v>
      </c>
      <c r="O1990" s="161" t="s">
        <v>25</v>
      </c>
      <c r="P1990" s="49" t="s">
        <v>25</v>
      </c>
      <c r="Q1990" s="166" t="s">
        <v>5219</v>
      </c>
      <c r="R1990" s="151"/>
    </row>
    <row r="1991" ht="45" spans="1:18">
      <c r="A1991" s="186" t="s">
        <v>58</v>
      </c>
      <c r="B1991" s="101" t="s">
        <v>529</v>
      </c>
      <c r="C1991" s="84" t="s">
        <v>5220</v>
      </c>
      <c r="D1991" s="161" t="s">
        <v>1305</v>
      </c>
      <c r="E1991" s="161" t="s">
        <v>5092</v>
      </c>
      <c r="F1991" s="161" t="s">
        <v>5215</v>
      </c>
      <c r="G1991" s="163">
        <v>16.43</v>
      </c>
      <c r="H1991" s="163">
        <f>G1991-G1990</f>
        <v>7.29</v>
      </c>
      <c r="I1991" s="176">
        <v>25</v>
      </c>
      <c r="J1991" s="176">
        <v>2653</v>
      </c>
      <c r="K1991" s="176">
        <v>5978</v>
      </c>
      <c r="L1991" s="163" t="s">
        <v>5221</v>
      </c>
      <c r="M1991" s="161" t="s">
        <v>5216</v>
      </c>
      <c r="N1991" s="161" t="s">
        <v>1299</v>
      </c>
      <c r="O1991" s="161" t="s">
        <v>25</v>
      </c>
      <c r="P1991" s="49" t="s">
        <v>25</v>
      </c>
      <c r="Q1991" s="166" t="s">
        <v>5222</v>
      </c>
      <c r="R1991" s="151"/>
    </row>
    <row r="1992" spans="1:18">
      <c r="A1992" s="186" t="s">
        <v>58</v>
      </c>
      <c r="B1992" s="101" t="s">
        <v>529</v>
      </c>
      <c r="C1992" s="84" t="s">
        <v>531</v>
      </c>
      <c r="D1992" s="161" t="s">
        <v>531</v>
      </c>
      <c r="E1992" s="161" t="s">
        <v>5092</v>
      </c>
      <c r="F1992" s="161" t="s">
        <v>5215</v>
      </c>
      <c r="G1992" s="163">
        <v>22.81</v>
      </c>
      <c r="H1992" s="163">
        <f>G1992-G1991</f>
        <v>6.38</v>
      </c>
      <c r="I1992" s="176">
        <v>61</v>
      </c>
      <c r="J1992" s="176">
        <v>2322</v>
      </c>
      <c r="K1992" s="176">
        <v>8300</v>
      </c>
      <c r="L1992" s="163"/>
      <c r="M1992" s="161" t="s">
        <v>5216</v>
      </c>
      <c r="N1992" s="161" t="s">
        <v>1331</v>
      </c>
      <c r="O1992" s="161" t="s">
        <v>14</v>
      </c>
      <c r="P1992" s="49" t="s">
        <v>14</v>
      </c>
      <c r="Q1992" s="166" t="s">
        <v>5223</v>
      </c>
      <c r="R1992" s="151"/>
    </row>
    <row r="1993" spans="1:18">
      <c r="A1993" s="186" t="s">
        <v>58</v>
      </c>
      <c r="B1993" s="101" t="s">
        <v>526</v>
      </c>
      <c r="C1993" s="135" t="s">
        <v>527</v>
      </c>
      <c r="D1993" s="161" t="s">
        <v>527</v>
      </c>
      <c r="E1993" s="161" t="s">
        <v>5092</v>
      </c>
      <c r="F1993" s="161" t="s">
        <v>5128</v>
      </c>
      <c r="G1993" s="163">
        <v>0</v>
      </c>
      <c r="H1993" s="163">
        <v>0</v>
      </c>
      <c r="I1993" s="176">
        <v>15.9</v>
      </c>
      <c r="J1993" s="176">
        <v>0</v>
      </c>
      <c r="K1993" s="176">
        <v>0</v>
      </c>
      <c r="L1993" s="163"/>
      <c r="M1993" s="161" t="s">
        <v>5151</v>
      </c>
      <c r="N1993" s="161" t="s">
        <v>1331</v>
      </c>
      <c r="O1993" s="161"/>
      <c r="P1993" s="49"/>
      <c r="Q1993" s="166" t="s">
        <v>5209</v>
      </c>
      <c r="R1993" s="151"/>
    </row>
    <row r="1994" spans="1:18">
      <c r="A1994" s="186" t="s">
        <v>58</v>
      </c>
      <c r="B1994" s="101" t="s">
        <v>526</v>
      </c>
      <c r="C1994" s="84" t="s">
        <v>5224</v>
      </c>
      <c r="D1994" s="161" t="s">
        <v>1899</v>
      </c>
      <c r="E1994" s="161" t="s">
        <v>5092</v>
      </c>
      <c r="F1994" s="161" t="s">
        <v>5128</v>
      </c>
      <c r="G1994" s="163">
        <v>20.35</v>
      </c>
      <c r="H1994" s="163">
        <f t="shared" ref="H1994:H1999" si="160">G1994-G1993</f>
        <v>20.35</v>
      </c>
      <c r="I1994" s="176">
        <v>20.8</v>
      </c>
      <c r="J1994" s="176">
        <v>2974</v>
      </c>
      <c r="K1994" s="176">
        <v>2974</v>
      </c>
      <c r="L1994" s="163"/>
      <c r="M1994" s="161" t="s">
        <v>5225</v>
      </c>
      <c r="N1994" s="161" t="s">
        <v>1901</v>
      </c>
      <c r="O1994" s="161" t="s">
        <v>26</v>
      </c>
      <c r="P1994" s="49" t="s">
        <v>26</v>
      </c>
      <c r="Q1994" s="166" t="s">
        <v>5226</v>
      </c>
      <c r="R1994" s="151"/>
    </row>
    <row r="1995" spans="1:18">
      <c r="A1995" s="186" t="s">
        <v>58</v>
      </c>
      <c r="B1995" s="101" t="s">
        <v>526</v>
      </c>
      <c r="C1995" s="84" t="s">
        <v>5227</v>
      </c>
      <c r="D1995" s="161" t="s">
        <v>1302</v>
      </c>
      <c r="E1995" s="161" t="s">
        <v>5092</v>
      </c>
      <c r="F1995" s="161" t="s">
        <v>5128</v>
      </c>
      <c r="G1995" s="163">
        <v>43.13</v>
      </c>
      <c r="H1995" s="163">
        <f t="shared" si="160"/>
        <v>22.78</v>
      </c>
      <c r="I1995" s="176">
        <v>43.6</v>
      </c>
      <c r="J1995" s="176">
        <v>3246</v>
      </c>
      <c r="K1995" s="176">
        <v>6220</v>
      </c>
      <c r="L1995" s="163"/>
      <c r="M1995" s="161" t="s">
        <v>5225</v>
      </c>
      <c r="N1995" s="161" t="s">
        <v>1299</v>
      </c>
      <c r="O1995" s="161" t="s">
        <v>25</v>
      </c>
      <c r="P1995" s="49" t="s">
        <v>25</v>
      </c>
      <c r="Q1995" s="166" t="s">
        <v>5228</v>
      </c>
      <c r="R1995" s="151"/>
    </row>
    <row r="1996" spans="1:18">
      <c r="A1996" s="186" t="s">
        <v>58</v>
      </c>
      <c r="B1996" s="101" t="s">
        <v>526</v>
      </c>
      <c r="C1996" s="84" t="s">
        <v>5229</v>
      </c>
      <c r="D1996" s="161" t="s">
        <v>1305</v>
      </c>
      <c r="E1996" s="161" t="s">
        <v>5092</v>
      </c>
      <c r="F1996" s="161" t="s">
        <v>5230</v>
      </c>
      <c r="G1996" s="163">
        <v>61.31</v>
      </c>
      <c r="H1996" s="163">
        <f t="shared" si="160"/>
        <v>18.18</v>
      </c>
      <c r="I1996" s="176">
        <v>70</v>
      </c>
      <c r="J1996" s="176">
        <v>2903</v>
      </c>
      <c r="K1996" s="176">
        <v>9123</v>
      </c>
      <c r="L1996" s="163"/>
      <c r="M1996" s="161" t="s">
        <v>5225</v>
      </c>
      <c r="N1996" s="161" t="s">
        <v>1299</v>
      </c>
      <c r="O1996" s="161" t="s">
        <v>25</v>
      </c>
      <c r="P1996" s="49" t="s">
        <v>25</v>
      </c>
      <c r="Q1996" s="166" t="s">
        <v>5231</v>
      </c>
      <c r="R1996" s="151"/>
    </row>
    <row r="1997" spans="1:18">
      <c r="A1997" s="186" t="s">
        <v>58</v>
      </c>
      <c r="B1997" s="101" t="s">
        <v>526</v>
      </c>
      <c r="C1997" s="84" t="s">
        <v>5232</v>
      </c>
      <c r="D1997" s="161" t="s">
        <v>2820</v>
      </c>
      <c r="E1997" s="161" t="s">
        <v>5092</v>
      </c>
      <c r="F1997" s="161" t="s">
        <v>5230</v>
      </c>
      <c r="G1997" s="163">
        <v>69.489</v>
      </c>
      <c r="H1997" s="163">
        <f t="shared" si="160"/>
        <v>8.179</v>
      </c>
      <c r="I1997" s="176">
        <v>68</v>
      </c>
      <c r="J1997" s="176">
        <v>1162</v>
      </c>
      <c r="K1997" s="176">
        <v>10285</v>
      </c>
      <c r="L1997" s="163"/>
      <c r="M1997" s="161" t="s">
        <v>5225</v>
      </c>
      <c r="N1997" s="161" t="s">
        <v>1901</v>
      </c>
      <c r="O1997" s="161" t="s">
        <v>26</v>
      </c>
      <c r="P1997" s="49" t="s">
        <v>26</v>
      </c>
      <c r="Q1997" s="166" t="s">
        <v>5233</v>
      </c>
      <c r="R1997" s="151"/>
    </row>
    <row r="1998" spans="1:18">
      <c r="A1998" s="186" t="s">
        <v>58</v>
      </c>
      <c r="B1998" s="101" t="s">
        <v>526</v>
      </c>
      <c r="C1998" s="84" t="s">
        <v>5234</v>
      </c>
      <c r="D1998" s="161" t="s">
        <v>2252</v>
      </c>
      <c r="E1998" s="161" t="s">
        <v>5092</v>
      </c>
      <c r="F1998" s="161" t="s">
        <v>5230</v>
      </c>
      <c r="G1998" s="163">
        <v>82.198</v>
      </c>
      <c r="H1998" s="163">
        <f t="shared" si="160"/>
        <v>12.709</v>
      </c>
      <c r="I1998" s="176">
        <v>101</v>
      </c>
      <c r="J1998" s="176">
        <v>1622</v>
      </c>
      <c r="K1998" s="176">
        <v>11907</v>
      </c>
      <c r="L1998" s="163"/>
      <c r="M1998" s="161" t="s">
        <v>5225</v>
      </c>
      <c r="N1998" s="161" t="s">
        <v>1901</v>
      </c>
      <c r="O1998" s="161" t="s">
        <v>26</v>
      </c>
      <c r="P1998" s="49" t="s">
        <v>26</v>
      </c>
      <c r="Q1998" s="166" t="s">
        <v>5235</v>
      </c>
      <c r="R1998" s="151"/>
    </row>
    <row r="1999" spans="1:18">
      <c r="A1999" s="186" t="s">
        <v>58</v>
      </c>
      <c r="B1999" s="101" t="s">
        <v>526</v>
      </c>
      <c r="C1999" s="84" t="s">
        <v>528</v>
      </c>
      <c r="D1999" s="161" t="s">
        <v>528</v>
      </c>
      <c r="E1999" s="161" t="s">
        <v>5092</v>
      </c>
      <c r="F1999" s="161" t="s">
        <v>5230</v>
      </c>
      <c r="G1999" s="163">
        <v>99.121</v>
      </c>
      <c r="H1999" s="163">
        <f t="shared" si="160"/>
        <v>16.923</v>
      </c>
      <c r="I1999" s="176">
        <v>110</v>
      </c>
      <c r="J1999" s="176">
        <v>2772</v>
      </c>
      <c r="K1999" s="176">
        <v>14679</v>
      </c>
      <c r="L1999" s="163"/>
      <c r="M1999" s="161" t="s">
        <v>5225</v>
      </c>
      <c r="N1999" s="161" t="s">
        <v>1331</v>
      </c>
      <c r="O1999" s="161" t="s">
        <v>14</v>
      </c>
      <c r="P1999" s="49" t="s">
        <v>14</v>
      </c>
      <c r="Q1999" s="166" t="s">
        <v>5236</v>
      </c>
      <c r="R1999" s="151"/>
    </row>
    <row r="2000" spans="1:18">
      <c r="A2000" s="186" t="s">
        <v>58</v>
      </c>
      <c r="B2000" s="101" t="s">
        <v>522</v>
      </c>
      <c r="C2000" s="135" t="s">
        <v>523</v>
      </c>
      <c r="D2000" s="161" t="s">
        <v>523</v>
      </c>
      <c r="E2000" s="161" t="s">
        <v>5092</v>
      </c>
      <c r="F2000" s="161" t="s">
        <v>5196</v>
      </c>
      <c r="G2000" s="171">
        <v>0</v>
      </c>
      <c r="H2000" s="163">
        <v>0</v>
      </c>
      <c r="I2000" s="176">
        <v>3</v>
      </c>
      <c r="J2000" s="176">
        <f>G2000*361.9</f>
        <v>0</v>
      </c>
      <c r="K2000" s="176">
        <f>H2000*361.9</f>
        <v>0</v>
      </c>
      <c r="L2000" s="163"/>
      <c r="M2000" s="161" t="s">
        <v>5151</v>
      </c>
      <c r="N2000" s="161" t="s">
        <v>1331</v>
      </c>
      <c r="O2000" s="161"/>
      <c r="P2000" s="49"/>
      <c r="Q2000" s="166" t="s">
        <v>5198</v>
      </c>
      <c r="R2000" s="151"/>
    </row>
    <row r="2001" spans="1:18">
      <c r="A2001" s="186" t="s">
        <v>58</v>
      </c>
      <c r="B2001" s="101" t="s">
        <v>522</v>
      </c>
      <c r="C2001" s="84" t="s">
        <v>5237</v>
      </c>
      <c r="D2001" s="161" t="s">
        <v>1899</v>
      </c>
      <c r="E2001" s="161" t="s">
        <v>5092</v>
      </c>
      <c r="F2001" s="161" t="s">
        <v>5196</v>
      </c>
      <c r="G2001" s="171">
        <v>11.546</v>
      </c>
      <c r="H2001" s="163">
        <f>G2001-G2000</f>
        <v>11.546</v>
      </c>
      <c r="I2001" s="176">
        <v>2</v>
      </c>
      <c r="J2001" s="176">
        <f t="shared" ref="J2001:J2007" si="161">H2001*361.9</f>
        <v>4178.4974</v>
      </c>
      <c r="K2001" s="176">
        <f t="shared" ref="K2001:K2007" si="162">G2001*361.9</f>
        <v>4178.4974</v>
      </c>
      <c r="L2001" s="163"/>
      <c r="M2001" s="161" t="s">
        <v>5238</v>
      </c>
      <c r="N2001" s="161" t="s">
        <v>1901</v>
      </c>
      <c r="O2001" s="161" t="s">
        <v>26</v>
      </c>
      <c r="P2001" s="49" t="s">
        <v>26</v>
      </c>
      <c r="Q2001" s="166" t="s">
        <v>5239</v>
      </c>
      <c r="R2001" s="151"/>
    </row>
    <row r="2002" spans="1:18">
      <c r="A2002" s="186" t="s">
        <v>58</v>
      </c>
      <c r="B2002" s="101" t="s">
        <v>522</v>
      </c>
      <c r="C2002" s="84" t="s">
        <v>5240</v>
      </c>
      <c r="D2002" s="161" t="s">
        <v>1302</v>
      </c>
      <c r="E2002" s="161" t="s">
        <v>5092</v>
      </c>
      <c r="F2002" s="161" t="s">
        <v>5196</v>
      </c>
      <c r="G2002" s="171">
        <v>26.03</v>
      </c>
      <c r="H2002" s="163">
        <f t="shared" ref="H2002:H2007" si="163">G2002-G2001</f>
        <v>14.484</v>
      </c>
      <c r="I2002" s="176">
        <v>2</v>
      </c>
      <c r="J2002" s="176">
        <f t="shared" si="161"/>
        <v>5241.7596</v>
      </c>
      <c r="K2002" s="176">
        <f t="shared" si="162"/>
        <v>9420.257</v>
      </c>
      <c r="L2002" s="163"/>
      <c r="M2002" s="161" t="s">
        <v>5238</v>
      </c>
      <c r="N2002" s="161" t="s">
        <v>1299</v>
      </c>
      <c r="O2002" s="161" t="s">
        <v>25</v>
      </c>
      <c r="P2002" s="49" t="s">
        <v>25</v>
      </c>
      <c r="Q2002" s="166" t="s">
        <v>5241</v>
      </c>
      <c r="R2002" s="151"/>
    </row>
    <row r="2003" spans="1:18">
      <c r="A2003" s="186" t="s">
        <v>58</v>
      </c>
      <c r="B2003" s="101" t="s">
        <v>522</v>
      </c>
      <c r="C2003" s="84" t="s">
        <v>5242</v>
      </c>
      <c r="D2003" s="161" t="s">
        <v>2847</v>
      </c>
      <c r="E2003" s="161" t="s">
        <v>5092</v>
      </c>
      <c r="F2003" s="161" t="s">
        <v>5122</v>
      </c>
      <c r="G2003" s="171">
        <v>50.514</v>
      </c>
      <c r="H2003" s="163">
        <f t="shared" si="163"/>
        <v>24.484</v>
      </c>
      <c r="I2003" s="176">
        <v>3</v>
      </c>
      <c r="J2003" s="176">
        <f t="shared" si="161"/>
        <v>8860.7596</v>
      </c>
      <c r="K2003" s="176">
        <f t="shared" si="162"/>
        <v>18281.0166</v>
      </c>
      <c r="L2003" s="163"/>
      <c r="M2003" s="161" t="s">
        <v>5238</v>
      </c>
      <c r="N2003" s="161" t="s">
        <v>1901</v>
      </c>
      <c r="O2003" s="161" t="s">
        <v>26</v>
      </c>
      <c r="P2003" s="49" t="s">
        <v>26</v>
      </c>
      <c r="Q2003" s="166" t="s">
        <v>5243</v>
      </c>
      <c r="R2003" s="151"/>
    </row>
    <row r="2004" spans="1:18">
      <c r="A2004" s="186" t="s">
        <v>58</v>
      </c>
      <c r="B2004" s="101" t="s">
        <v>522</v>
      </c>
      <c r="C2004" s="84" t="s">
        <v>5244</v>
      </c>
      <c r="D2004" s="161" t="s">
        <v>1307</v>
      </c>
      <c r="E2004" s="161" t="s">
        <v>5092</v>
      </c>
      <c r="F2004" s="161" t="s">
        <v>5122</v>
      </c>
      <c r="G2004" s="171">
        <v>66.71</v>
      </c>
      <c r="H2004" s="163">
        <f t="shared" si="163"/>
        <v>16.196</v>
      </c>
      <c r="I2004" s="176">
        <v>3</v>
      </c>
      <c r="J2004" s="176">
        <f t="shared" si="161"/>
        <v>5861.3324</v>
      </c>
      <c r="K2004" s="176">
        <f t="shared" si="162"/>
        <v>24142.349</v>
      </c>
      <c r="L2004" s="163"/>
      <c r="M2004" s="161" t="s">
        <v>5238</v>
      </c>
      <c r="N2004" s="161" t="s">
        <v>1299</v>
      </c>
      <c r="O2004" s="161" t="s">
        <v>25</v>
      </c>
      <c r="P2004" s="49" t="s">
        <v>25</v>
      </c>
      <c r="Q2004" s="166" t="s">
        <v>5245</v>
      </c>
      <c r="R2004" s="151"/>
    </row>
    <row r="2005" spans="1:18">
      <c r="A2005" s="186" t="s">
        <v>58</v>
      </c>
      <c r="B2005" s="101" t="s">
        <v>522</v>
      </c>
      <c r="C2005" s="84" t="s">
        <v>5246</v>
      </c>
      <c r="D2005" s="161" t="s">
        <v>5246</v>
      </c>
      <c r="E2005" s="161" t="s">
        <v>5092</v>
      </c>
      <c r="F2005" s="161" t="s">
        <v>5122</v>
      </c>
      <c r="G2005" s="171">
        <v>76</v>
      </c>
      <c r="H2005" s="163">
        <f t="shared" si="163"/>
        <v>9.29000000000001</v>
      </c>
      <c r="I2005" s="176">
        <v>2</v>
      </c>
      <c r="J2005" s="176">
        <f t="shared" si="161"/>
        <v>3362.051</v>
      </c>
      <c r="K2005" s="176">
        <f t="shared" si="162"/>
        <v>27504.4</v>
      </c>
      <c r="L2005" s="163"/>
      <c r="M2005" s="161" t="s">
        <v>5238</v>
      </c>
      <c r="N2005" s="161" t="s">
        <v>1331</v>
      </c>
      <c r="O2005" s="161" t="s">
        <v>14</v>
      </c>
      <c r="P2005" s="49" t="s">
        <v>14</v>
      </c>
      <c r="Q2005" s="166" t="s">
        <v>5247</v>
      </c>
      <c r="R2005" s="151"/>
    </row>
    <row r="2006" spans="1:18">
      <c r="A2006" s="186" t="s">
        <v>58</v>
      </c>
      <c r="B2006" s="101" t="s">
        <v>522</v>
      </c>
      <c r="C2006" s="84" t="s">
        <v>5248</v>
      </c>
      <c r="D2006" s="161" t="s">
        <v>5249</v>
      </c>
      <c r="E2006" s="161" t="s">
        <v>5092</v>
      </c>
      <c r="F2006" s="161" t="s">
        <v>5122</v>
      </c>
      <c r="G2006" s="171">
        <v>86</v>
      </c>
      <c r="H2006" s="163">
        <f t="shared" si="163"/>
        <v>10</v>
      </c>
      <c r="I2006" s="176">
        <v>3.8</v>
      </c>
      <c r="J2006" s="176">
        <f t="shared" si="161"/>
        <v>3619</v>
      </c>
      <c r="K2006" s="176">
        <f t="shared" si="162"/>
        <v>31123.4</v>
      </c>
      <c r="L2006" s="163"/>
      <c r="M2006" s="161" t="s">
        <v>5238</v>
      </c>
      <c r="N2006" s="161" t="s">
        <v>1901</v>
      </c>
      <c r="O2006" s="161" t="s">
        <v>26</v>
      </c>
      <c r="P2006" s="49" t="s">
        <v>26</v>
      </c>
      <c r="Q2006" s="166" t="s">
        <v>5250</v>
      </c>
      <c r="R2006" s="151"/>
    </row>
    <row r="2007" spans="1:18">
      <c r="A2007" s="186" t="s">
        <v>58</v>
      </c>
      <c r="B2007" s="101" t="s">
        <v>522</v>
      </c>
      <c r="C2007" s="135" t="s">
        <v>511</v>
      </c>
      <c r="D2007" s="161" t="s">
        <v>511</v>
      </c>
      <c r="E2007" s="161" t="s">
        <v>5092</v>
      </c>
      <c r="F2007" s="161" t="s">
        <v>5122</v>
      </c>
      <c r="G2007" s="171">
        <v>100</v>
      </c>
      <c r="H2007" s="163">
        <f t="shared" si="163"/>
        <v>14</v>
      </c>
      <c r="I2007" s="176">
        <v>3.4</v>
      </c>
      <c r="J2007" s="176">
        <f t="shared" si="161"/>
        <v>5066.6</v>
      </c>
      <c r="K2007" s="176">
        <f t="shared" si="162"/>
        <v>36190</v>
      </c>
      <c r="L2007" s="163"/>
      <c r="M2007" s="161" t="s">
        <v>5140</v>
      </c>
      <c r="N2007" s="161" t="s">
        <v>1331</v>
      </c>
      <c r="O2007" s="161"/>
      <c r="P2007" s="49"/>
      <c r="Q2007" s="166" t="s">
        <v>5142</v>
      </c>
      <c r="R2007" s="151"/>
    </row>
    <row r="2008" spans="1:18">
      <c r="A2008" s="186" t="s">
        <v>59</v>
      </c>
      <c r="B2008" s="101" t="s">
        <v>532</v>
      </c>
      <c r="C2008" s="135" t="s">
        <v>504</v>
      </c>
      <c r="D2008" s="161" t="s">
        <v>504</v>
      </c>
      <c r="E2008" s="161" t="s">
        <v>5092</v>
      </c>
      <c r="F2008" s="161" t="s">
        <v>5128</v>
      </c>
      <c r="G2008" s="163">
        <v>0</v>
      </c>
      <c r="H2008" s="163">
        <v>0</v>
      </c>
      <c r="I2008" s="176">
        <v>29.4</v>
      </c>
      <c r="J2008" s="176">
        <v>0</v>
      </c>
      <c r="K2008" s="176">
        <v>0</v>
      </c>
      <c r="L2008" s="163"/>
      <c r="M2008" s="161" t="s">
        <v>5087</v>
      </c>
      <c r="N2008" s="161" t="s">
        <v>1331</v>
      </c>
      <c r="O2008" s="161"/>
      <c r="P2008" s="49"/>
      <c r="Q2008" s="166" t="s">
        <v>5136</v>
      </c>
      <c r="R2008" s="151"/>
    </row>
    <row r="2009" spans="1:18">
      <c r="A2009" s="186" t="s">
        <v>59</v>
      </c>
      <c r="B2009" s="101" t="s">
        <v>532</v>
      </c>
      <c r="C2009" s="84" t="s">
        <v>5251</v>
      </c>
      <c r="D2009" s="161" t="s">
        <v>2999</v>
      </c>
      <c r="E2009" s="161" t="s">
        <v>5092</v>
      </c>
      <c r="F2009" s="161" t="s">
        <v>5128</v>
      </c>
      <c r="G2009" s="163">
        <v>13.297</v>
      </c>
      <c r="H2009" s="163">
        <f>G2009-G2008</f>
        <v>13.297</v>
      </c>
      <c r="I2009" s="176">
        <v>32.7</v>
      </c>
      <c r="J2009" s="176">
        <v>8378.587568505</v>
      </c>
      <c r="K2009" s="176">
        <f>J2009+K2008</f>
        <v>8378.587568505</v>
      </c>
      <c r="L2009" s="163"/>
      <c r="M2009" s="161" t="s">
        <v>5252</v>
      </c>
      <c r="N2009" s="161" t="s">
        <v>1901</v>
      </c>
      <c r="O2009" s="161" t="s">
        <v>26</v>
      </c>
      <c r="P2009" s="49" t="s">
        <v>26</v>
      </c>
      <c r="Q2009" s="166" t="s">
        <v>5253</v>
      </c>
      <c r="R2009" s="151"/>
    </row>
    <row r="2010" spans="1:18">
      <c r="A2010" s="186" t="s">
        <v>59</v>
      </c>
      <c r="B2010" s="101" t="s">
        <v>532</v>
      </c>
      <c r="C2010" s="84" t="s">
        <v>5254</v>
      </c>
      <c r="D2010" s="161" t="s">
        <v>5254</v>
      </c>
      <c r="E2010" s="161" t="s">
        <v>5092</v>
      </c>
      <c r="F2010" s="161" t="s">
        <v>5128</v>
      </c>
      <c r="G2010" s="163">
        <v>20.3</v>
      </c>
      <c r="H2010" s="163">
        <f t="shared" ref="H2010:H2027" si="164">G2010-G2009</f>
        <v>7.003</v>
      </c>
      <c r="I2010" s="176">
        <v>36.2</v>
      </c>
      <c r="J2010" s="176">
        <v>7438.932887925</v>
      </c>
      <c r="K2010" s="176">
        <f t="shared" ref="K2010:K2027" si="165">J2010+K2009</f>
        <v>15817.52045643</v>
      </c>
      <c r="L2010" s="163"/>
      <c r="M2010" s="161" t="s">
        <v>5252</v>
      </c>
      <c r="N2010" s="161" t="s">
        <v>1331</v>
      </c>
      <c r="O2010" s="161" t="s">
        <v>14</v>
      </c>
      <c r="P2010" s="49" t="s">
        <v>14</v>
      </c>
      <c r="Q2010" s="166" t="s">
        <v>5255</v>
      </c>
      <c r="R2010" s="151"/>
    </row>
    <row r="2011" spans="1:18">
      <c r="A2011" s="186" t="s">
        <v>59</v>
      </c>
      <c r="B2011" s="101" t="s">
        <v>532</v>
      </c>
      <c r="C2011" s="84" t="s">
        <v>5256</v>
      </c>
      <c r="D2011" s="161" t="s">
        <v>2994</v>
      </c>
      <c r="E2011" s="161" t="s">
        <v>5092</v>
      </c>
      <c r="F2011" s="161" t="s">
        <v>5257</v>
      </c>
      <c r="G2011" s="163">
        <v>44.654</v>
      </c>
      <c r="H2011" s="163">
        <f t="shared" si="164"/>
        <v>24.354</v>
      </c>
      <c r="I2011" s="176">
        <v>64.8</v>
      </c>
      <c r="J2011" s="176">
        <v>24274.41258165</v>
      </c>
      <c r="K2011" s="176">
        <f t="shared" si="165"/>
        <v>40091.93303808</v>
      </c>
      <c r="L2011" s="163"/>
      <c r="M2011" s="161" t="s">
        <v>5252</v>
      </c>
      <c r="N2011" s="161" t="s">
        <v>1901</v>
      </c>
      <c r="O2011" s="161" t="s">
        <v>26</v>
      </c>
      <c r="P2011" s="49" t="s">
        <v>26</v>
      </c>
      <c r="Q2011" s="166" t="s">
        <v>5258</v>
      </c>
      <c r="R2011" s="151"/>
    </row>
    <row r="2012" spans="1:18">
      <c r="A2012" s="186" t="s">
        <v>59</v>
      </c>
      <c r="B2012" s="101" t="s">
        <v>532</v>
      </c>
      <c r="C2012" s="84" t="s">
        <v>5259</v>
      </c>
      <c r="D2012" s="161" t="s">
        <v>1356</v>
      </c>
      <c r="E2012" s="161" t="s">
        <v>5092</v>
      </c>
      <c r="F2012" s="161" t="s">
        <v>5260</v>
      </c>
      <c r="G2012" s="163">
        <v>62.803</v>
      </c>
      <c r="H2012" s="163">
        <f t="shared" si="164"/>
        <v>18.149</v>
      </c>
      <c r="I2012" s="176">
        <v>86.2</v>
      </c>
      <c r="J2012" s="176">
        <v>18636.48449817</v>
      </c>
      <c r="K2012" s="176">
        <f t="shared" si="165"/>
        <v>58728.41753625</v>
      </c>
      <c r="L2012" s="163"/>
      <c r="M2012" s="161" t="s">
        <v>5252</v>
      </c>
      <c r="N2012" s="161" t="s">
        <v>1299</v>
      </c>
      <c r="O2012" s="161" t="s">
        <v>25</v>
      </c>
      <c r="P2012" s="49" t="s">
        <v>25</v>
      </c>
      <c r="Q2012" s="166" t="s">
        <v>5261</v>
      </c>
      <c r="R2012" s="151"/>
    </row>
    <row r="2013" spans="1:18">
      <c r="A2013" s="186" t="s">
        <v>59</v>
      </c>
      <c r="B2013" s="101" t="s">
        <v>532</v>
      </c>
      <c r="C2013" s="84" t="s">
        <v>5262</v>
      </c>
      <c r="D2013" s="161" t="s">
        <v>5262</v>
      </c>
      <c r="E2013" s="161" t="s">
        <v>5092</v>
      </c>
      <c r="F2013" s="161" t="s">
        <v>5260</v>
      </c>
      <c r="G2013" s="163">
        <v>75.4</v>
      </c>
      <c r="H2013" s="163">
        <f t="shared" si="164"/>
        <v>12.597</v>
      </c>
      <c r="I2013" s="176">
        <v>53.3</v>
      </c>
      <c r="J2013" s="176">
        <v>13155.16552812</v>
      </c>
      <c r="K2013" s="176">
        <f t="shared" si="165"/>
        <v>71883.58306437</v>
      </c>
      <c r="L2013" s="163"/>
      <c r="M2013" s="161" t="s">
        <v>5252</v>
      </c>
      <c r="N2013" s="161" t="s">
        <v>1331</v>
      </c>
      <c r="O2013" s="161" t="s">
        <v>14</v>
      </c>
      <c r="P2013" s="49" t="s">
        <v>14</v>
      </c>
      <c r="Q2013" s="166" t="s">
        <v>5263</v>
      </c>
      <c r="R2013" s="151"/>
    </row>
    <row r="2014" spans="1:18">
      <c r="A2014" s="186" t="s">
        <v>59</v>
      </c>
      <c r="B2014" s="101" t="s">
        <v>532</v>
      </c>
      <c r="C2014" s="84" t="s">
        <v>5264</v>
      </c>
      <c r="D2014" s="161" t="s">
        <v>2294</v>
      </c>
      <c r="E2014" s="161" t="s">
        <v>5092</v>
      </c>
      <c r="F2014" s="161" t="s">
        <v>5260</v>
      </c>
      <c r="G2014" s="163">
        <v>103.643</v>
      </c>
      <c r="H2014" s="163">
        <f t="shared" si="164"/>
        <v>28.243</v>
      </c>
      <c r="I2014" s="176">
        <v>68.1</v>
      </c>
      <c r="J2014" s="176">
        <v>14486.342992275</v>
      </c>
      <c r="K2014" s="176">
        <f t="shared" si="165"/>
        <v>86369.926056645</v>
      </c>
      <c r="L2014" s="163"/>
      <c r="M2014" s="161" t="s">
        <v>5252</v>
      </c>
      <c r="N2014" s="161" t="s">
        <v>1901</v>
      </c>
      <c r="O2014" s="161" t="s">
        <v>26</v>
      </c>
      <c r="P2014" s="49" t="s">
        <v>26</v>
      </c>
      <c r="Q2014" s="166" t="s">
        <v>5265</v>
      </c>
      <c r="R2014" s="151"/>
    </row>
    <row r="2015" spans="1:18">
      <c r="A2015" s="186" t="s">
        <v>59</v>
      </c>
      <c r="B2015" s="101" t="s">
        <v>532</v>
      </c>
      <c r="C2015" s="84" t="s">
        <v>5266</v>
      </c>
      <c r="D2015" s="161" t="s">
        <v>5266</v>
      </c>
      <c r="E2015" s="161" t="s">
        <v>5092</v>
      </c>
      <c r="F2015" s="161" t="s">
        <v>5260</v>
      </c>
      <c r="G2015" s="163">
        <v>127.4</v>
      </c>
      <c r="H2015" s="163">
        <f t="shared" si="164"/>
        <v>23.757</v>
      </c>
      <c r="I2015" s="176">
        <v>110.1</v>
      </c>
      <c r="J2015" s="176">
        <v>12998.55641469</v>
      </c>
      <c r="K2015" s="176">
        <f t="shared" si="165"/>
        <v>99368.482471335</v>
      </c>
      <c r="L2015" s="163"/>
      <c r="M2015" s="161" t="s">
        <v>5252</v>
      </c>
      <c r="N2015" s="161" t="s">
        <v>1331</v>
      </c>
      <c r="O2015" s="161" t="s">
        <v>14</v>
      </c>
      <c r="P2015" s="49" t="s">
        <v>14</v>
      </c>
      <c r="Q2015" s="166" t="s">
        <v>5267</v>
      </c>
      <c r="R2015" s="151"/>
    </row>
    <row r="2016" spans="1:18">
      <c r="A2016" s="186" t="s">
        <v>59</v>
      </c>
      <c r="B2016" s="101" t="s">
        <v>532</v>
      </c>
      <c r="C2016" s="84" t="s">
        <v>5268</v>
      </c>
      <c r="D2016" s="161" t="s">
        <v>2286</v>
      </c>
      <c r="E2016" s="161" t="s">
        <v>5092</v>
      </c>
      <c r="F2016" s="161" t="s">
        <v>5269</v>
      </c>
      <c r="G2016" s="163">
        <v>139.556</v>
      </c>
      <c r="H2016" s="163">
        <f t="shared" si="164"/>
        <v>12.156</v>
      </c>
      <c r="I2016" s="176">
        <v>153.6</v>
      </c>
      <c r="J2016" s="176">
        <v>7517.23744464</v>
      </c>
      <c r="K2016" s="176">
        <f t="shared" si="165"/>
        <v>106885.719915975</v>
      </c>
      <c r="L2016" s="163"/>
      <c r="M2016" s="161" t="s">
        <v>5252</v>
      </c>
      <c r="N2016" s="161" t="s">
        <v>1901</v>
      </c>
      <c r="O2016" s="161" t="s">
        <v>26</v>
      </c>
      <c r="P2016" s="49" t="s">
        <v>26</v>
      </c>
      <c r="Q2016" s="166" t="s">
        <v>5270</v>
      </c>
      <c r="R2016" s="151"/>
    </row>
    <row r="2017" spans="1:18">
      <c r="A2017" s="186" t="s">
        <v>59</v>
      </c>
      <c r="B2017" s="101" t="s">
        <v>532</v>
      </c>
      <c r="C2017" s="84" t="s">
        <v>5271</v>
      </c>
      <c r="D2017" s="161" t="s">
        <v>5271</v>
      </c>
      <c r="E2017" s="161" t="s">
        <v>5092</v>
      </c>
      <c r="F2017" s="161" t="s">
        <v>5269</v>
      </c>
      <c r="G2017" s="163">
        <v>149.5</v>
      </c>
      <c r="H2017" s="163">
        <f t="shared" si="164"/>
        <v>9.94399999999999</v>
      </c>
      <c r="I2017" s="176">
        <v>125.6</v>
      </c>
      <c r="J2017" s="176">
        <v>10179.59237295</v>
      </c>
      <c r="K2017" s="176">
        <f t="shared" si="165"/>
        <v>117065.312288925</v>
      </c>
      <c r="L2017" s="163"/>
      <c r="M2017" s="161" t="s">
        <v>5252</v>
      </c>
      <c r="N2017" s="161" t="s">
        <v>1331</v>
      </c>
      <c r="O2017" s="161" t="s">
        <v>14</v>
      </c>
      <c r="P2017" s="49" t="s">
        <v>14</v>
      </c>
      <c r="Q2017" s="166" t="s">
        <v>5272</v>
      </c>
      <c r="R2017" s="151"/>
    </row>
    <row r="2018" spans="1:18">
      <c r="A2018" s="186" t="s">
        <v>59</v>
      </c>
      <c r="B2018" s="101" t="s">
        <v>532</v>
      </c>
      <c r="C2018" s="84" t="s">
        <v>5273</v>
      </c>
      <c r="D2018" s="161" t="s">
        <v>2283</v>
      </c>
      <c r="E2018" s="161" t="s">
        <v>5092</v>
      </c>
      <c r="F2018" s="161" t="s">
        <v>5269</v>
      </c>
      <c r="G2018" s="163">
        <v>175.825</v>
      </c>
      <c r="H2018" s="163">
        <f t="shared" si="164"/>
        <v>26.325</v>
      </c>
      <c r="I2018" s="176">
        <v>126.8</v>
      </c>
      <c r="J2018" s="176">
        <v>17540.22070416</v>
      </c>
      <c r="K2018" s="176">
        <f t="shared" si="165"/>
        <v>134605.532993085</v>
      </c>
      <c r="L2018" s="163"/>
      <c r="M2018" s="161" t="s">
        <v>5252</v>
      </c>
      <c r="N2018" s="161" t="s">
        <v>1901</v>
      </c>
      <c r="O2018" s="161" t="s">
        <v>26</v>
      </c>
      <c r="P2018" s="49" t="s">
        <v>26</v>
      </c>
      <c r="Q2018" s="166" t="s">
        <v>5274</v>
      </c>
      <c r="R2018" s="151"/>
    </row>
    <row r="2019" spans="1:18">
      <c r="A2019" s="186" t="s">
        <v>59</v>
      </c>
      <c r="B2019" s="101" t="s">
        <v>532</v>
      </c>
      <c r="C2019" s="84" t="s">
        <v>5275</v>
      </c>
      <c r="D2019" s="161" t="s">
        <v>2280</v>
      </c>
      <c r="E2019" s="161" t="s">
        <v>5092</v>
      </c>
      <c r="F2019" s="161" t="s">
        <v>5269</v>
      </c>
      <c r="G2019" s="163">
        <v>197.8</v>
      </c>
      <c r="H2019" s="163">
        <f t="shared" si="164"/>
        <v>21.975</v>
      </c>
      <c r="I2019" s="176">
        <v>183.8</v>
      </c>
      <c r="J2019" s="176">
        <v>18166.65715788</v>
      </c>
      <c r="K2019" s="176">
        <f t="shared" si="165"/>
        <v>152772.190150965</v>
      </c>
      <c r="L2019" s="163"/>
      <c r="M2019" s="161" t="s">
        <v>5252</v>
      </c>
      <c r="N2019" s="161" t="s">
        <v>1901</v>
      </c>
      <c r="O2019" s="161" t="s">
        <v>26</v>
      </c>
      <c r="P2019" s="49" t="s">
        <v>26</v>
      </c>
      <c r="Q2019" s="166" t="s">
        <v>5276</v>
      </c>
      <c r="R2019" s="151"/>
    </row>
    <row r="2020" spans="1:18">
      <c r="A2020" s="186" t="s">
        <v>59</v>
      </c>
      <c r="B2020" s="101" t="s">
        <v>532</v>
      </c>
      <c r="C2020" s="84" t="s">
        <v>535</v>
      </c>
      <c r="D2020" s="161" t="s">
        <v>535</v>
      </c>
      <c r="E2020" s="161" t="s">
        <v>5092</v>
      </c>
      <c r="F2020" s="161" t="s">
        <v>5277</v>
      </c>
      <c r="G2020" s="163">
        <v>220.9</v>
      </c>
      <c r="H2020" s="163">
        <f t="shared" si="164"/>
        <v>23.1</v>
      </c>
      <c r="I2020" s="176">
        <v>162.6</v>
      </c>
      <c r="J2020" s="176">
        <v>18088.352601165</v>
      </c>
      <c r="K2020" s="176">
        <f t="shared" si="165"/>
        <v>170860.54275213</v>
      </c>
      <c r="L2020" s="163"/>
      <c r="M2020" s="161" t="s">
        <v>5252</v>
      </c>
      <c r="N2020" s="161" t="s">
        <v>1331</v>
      </c>
      <c r="O2020" s="161" t="s">
        <v>14</v>
      </c>
      <c r="P2020" s="49" t="s">
        <v>14</v>
      </c>
      <c r="Q2020" s="166" t="s">
        <v>5278</v>
      </c>
      <c r="R2020" s="151"/>
    </row>
    <row r="2021" spans="1:18">
      <c r="A2021" s="186" t="s">
        <v>59</v>
      </c>
      <c r="B2021" s="101" t="s">
        <v>532</v>
      </c>
      <c r="C2021" s="84" t="s">
        <v>5279</v>
      </c>
      <c r="D2021" s="161" t="s">
        <v>2835</v>
      </c>
      <c r="E2021" s="161" t="s">
        <v>5092</v>
      </c>
      <c r="F2021" s="161" t="s">
        <v>5277</v>
      </c>
      <c r="G2021" s="163">
        <v>243.898</v>
      </c>
      <c r="H2021" s="163">
        <f t="shared" si="164"/>
        <v>22.998</v>
      </c>
      <c r="I2021" s="176">
        <v>163.4</v>
      </c>
      <c r="J2021" s="176">
        <v>8010.55</v>
      </c>
      <c r="K2021" s="176">
        <f t="shared" si="165"/>
        <v>178871.09275213</v>
      </c>
      <c r="L2021" s="163"/>
      <c r="M2021" s="161" t="s">
        <v>5252</v>
      </c>
      <c r="N2021" s="161" t="s">
        <v>1901</v>
      </c>
      <c r="O2021" s="161" t="s">
        <v>26</v>
      </c>
      <c r="P2021" s="49" t="s">
        <v>26</v>
      </c>
      <c r="Q2021" s="166" t="s">
        <v>5280</v>
      </c>
      <c r="R2021" s="151"/>
    </row>
    <row r="2022" spans="1:18">
      <c r="A2022" s="186" t="s">
        <v>59</v>
      </c>
      <c r="B2022" s="101" t="s">
        <v>532</v>
      </c>
      <c r="C2022" s="84" t="s">
        <v>5281</v>
      </c>
      <c r="D2022" s="161" t="s">
        <v>2832</v>
      </c>
      <c r="E2022" s="161" t="s">
        <v>5092</v>
      </c>
      <c r="F2022" s="161" t="s">
        <v>5277</v>
      </c>
      <c r="G2022" s="163">
        <v>246.557</v>
      </c>
      <c r="H2022" s="163">
        <f t="shared" si="164"/>
        <v>2.65899999999999</v>
      </c>
      <c r="I2022" s="176">
        <v>195.6</v>
      </c>
      <c r="J2022" s="176">
        <v>15009.4</v>
      </c>
      <c r="K2022" s="176">
        <f t="shared" si="165"/>
        <v>193880.49275213</v>
      </c>
      <c r="L2022" s="163"/>
      <c r="M2022" s="161" t="s">
        <v>5252</v>
      </c>
      <c r="N2022" s="161" t="s">
        <v>1901</v>
      </c>
      <c r="O2022" s="161" t="s">
        <v>26</v>
      </c>
      <c r="P2022" s="49" t="s">
        <v>26</v>
      </c>
      <c r="Q2022" s="166" t="s">
        <v>5282</v>
      </c>
      <c r="R2022" s="151"/>
    </row>
    <row r="2023" spans="1:18">
      <c r="A2023" s="186" t="s">
        <v>59</v>
      </c>
      <c r="B2023" s="101" t="s">
        <v>532</v>
      </c>
      <c r="C2023" s="84" t="s">
        <v>5283</v>
      </c>
      <c r="D2023" s="161" t="s">
        <v>5283</v>
      </c>
      <c r="E2023" s="161" t="s">
        <v>5092</v>
      </c>
      <c r="F2023" s="161" t="s">
        <v>5277</v>
      </c>
      <c r="G2023" s="163">
        <v>273</v>
      </c>
      <c r="H2023" s="163">
        <f t="shared" si="164"/>
        <v>26.443</v>
      </c>
      <c r="I2023" s="176">
        <v>175.6</v>
      </c>
      <c r="J2023" s="176">
        <v>15399.735</v>
      </c>
      <c r="K2023" s="176">
        <f t="shared" si="165"/>
        <v>209280.22775213</v>
      </c>
      <c r="L2023" s="163"/>
      <c r="M2023" s="161" t="s">
        <v>5252</v>
      </c>
      <c r="N2023" s="161" t="s">
        <v>1331</v>
      </c>
      <c r="O2023" s="161" t="s">
        <v>14</v>
      </c>
      <c r="P2023" s="49" t="s">
        <v>14</v>
      </c>
      <c r="Q2023" s="166" t="s">
        <v>5284</v>
      </c>
      <c r="R2023" s="151"/>
    </row>
    <row r="2024" spans="1:18">
      <c r="A2024" s="186" t="s">
        <v>59</v>
      </c>
      <c r="B2024" s="101" t="s">
        <v>532</v>
      </c>
      <c r="C2024" s="84" t="s">
        <v>5285</v>
      </c>
      <c r="D2024" s="161" t="s">
        <v>2270</v>
      </c>
      <c r="E2024" s="161" t="s">
        <v>5092</v>
      </c>
      <c r="F2024" s="161" t="s">
        <v>5277</v>
      </c>
      <c r="G2024" s="163">
        <v>305.036</v>
      </c>
      <c r="H2024" s="163">
        <f t="shared" si="164"/>
        <v>32.036</v>
      </c>
      <c r="I2024" s="176">
        <v>196.2</v>
      </c>
      <c r="J2024" s="176">
        <v>17497.88</v>
      </c>
      <c r="K2024" s="176">
        <f t="shared" si="165"/>
        <v>226778.10775213</v>
      </c>
      <c r="L2024" s="163"/>
      <c r="M2024" s="161" t="s">
        <v>5252</v>
      </c>
      <c r="N2024" s="161" t="s">
        <v>1901</v>
      </c>
      <c r="O2024" s="161" t="s">
        <v>26</v>
      </c>
      <c r="P2024" s="49" t="s">
        <v>26</v>
      </c>
      <c r="Q2024" s="166" t="s">
        <v>5286</v>
      </c>
      <c r="R2024" s="151"/>
    </row>
    <row r="2025" spans="1:18">
      <c r="A2025" s="186" t="s">
        <v>59</v>
      </c>
      <c r="B2025" s="101" t="s">
        <v>532</v>
      </c>
      <c r="C2025" s="84" t="s">
        <v>5287</v>
      </c>
      <c r="D2025" s="161" t="s">
        <v>2266</v>
      </c>
      <c r="E2025" s="161" t="s">
        <v>5092</v>
      </c>
      <c r="F2025" s="161" t="s">
        <v>5288</v>
      </c>
      <c r="G2025" s="163">
        <v>320.636</v>
      </c>
      <c r="H2025" s="163">
        <f t="shared" si="164"/>
        <v>15.6</v>
      </c>
      <c r="I2025" s="176">
        <v>187</v>
      </c>
      <c r="J2025" s="176">
        <v>18157.75</v>
      </c>
      <c r="K2025" s="176">
        <f t="shared" si="165"/>
        <v>244935.85775213</v>
      </c>
      <c r="L2025" s="163"/>
      <c r="M2025" s="161" t="s">
        <v>5252</v>
      </c>
      <c r="N2025" s="161" t="s">
        <v>1901</v>
      </c>
      <c r="O2025" s="161" t="s">
        <v>26</v>
      </c>
      <c r="P2025" s="49" t="s">
        <v>26</v>
      </c>
      <c r="Q2025" s="166" t="s">
        <v>5289</v>
      </c>
      <c r="R2025" s="151"/>
    </row>
    <row r="2026" spans="1:18">
      <c r="A2026" s="186" t="s">
        <v>59</v>
      </c>
      <c r="B2026" s="101" t="s">
        <v>532</v>
      </c>
      <c r="C2026" s="84" t="s">
        <v>5290</v>
      </c>
      <c r="D2026" s="161" t="s">
        <v>2827</v>
      </c>
      <c r="E2026" s="161" t="s">
        <v>5092</v>
      </c>
      <c r="F2026" s="161" t="s">
        <v>5288</v>
      </c>
      <c r="G2026" s="163">
        <v>344.349</v>
      </c>
      <c r="H2026" s="163">
        <f t="shared" si="164"/>
        <v>23.713</v>
      </c>
      <c r="I2026" s="176">
        <v>216.2</v>
      </c>
      <c r="J2026" s="176">
        <v>17762.885</v>
      </c>
      <c r="K2026" s="176">
        <f t="shared" si="165"/>
        <v>262698.74275213</v>
      </c>
      <c r="L2026" s="163"/>
      <c r="M2026" s="161" t="s">
        <v>5252</v>
      </c>
      <c r="N2026" s="161" t="s">
        <v>1901</v>
      </c>
      <c r="O2026" s="161" t="s">
        <v>26</v>
      </c>
      <c r="P2026" s="49" t="s">
        <v>26</v>
      </c>
      <c r="Q2026" s="166" t="s">
        <v>5291</v>
      </c>
      <c r="R2026" s="151"/>
    </row>
    <row r="2027" spans="1:18">
      <c r="A2027" s="186" t="s">
        <v>59</v>
      </c>
      <c r="B2027" s="101" t="s">
        <v>532</v>
      </c>
      <c r="C2027" s="84" t="s">
        <v>533</v>
      </c>
      <c r="D2027" s="161" t="s">
        <v>533</v>
      </c>
      <c r="E2027" s="161" t="s">
        <v>5092</v>
      </c>
      <c r="F2027" s="161" t="s">
        <v>5292</v>
      </c>
      <c r="G2027" s="163">
        <v>367.8</v>
      </c>
      <c r="H2027" s="163">
        <f t="shared" si="164"/>
        <v>23.451</v>
      </c>
      <c r="I2027" s="176">
        <v>214</v>
      </c>
      <c r="J2027" s="176">
        <v>18069.415</v>
      </c>
      <c r="K2027" s="176">
        <f t="shared" si="165"/>
        <v>280768.15775213</v>
      </c>
      <c r="L2027" s="163"/>
      <c r="M2027" s="161" t="s">
        <v>5293</v>
      </c>
      <c r="N2027" s="161" t="s">
        <v>1331</v>
      </c>
      <c r="O2027" s="161" t="s">
        <v>14</v>
      </c>
      <c r="P2027" s="49" t="s">
        <v>14</v>
      </c>
      <c r="Q2027" s="166" t="s">
        <v>5294</v>
      </c>
      <c r="R2027" s="151"/>
    </row>
    <row r="2028" spans="1:18">
      <c r="A2028" s="186" t="s">
        <v>59</v>
      </c>
      <c r="B2028" s="101" t="s">
        <v>534</v>
      </c>
      <c r="C2028" s="135" t="s">
        <v>535</v>
      </c>
      <c r="D2028" s="161" t="s">
        <v>535</v>
      </c>
      <c r="E2028" s="161" t="s">
        <v>5092</v>
      </c>
      <c r="F2028" s="161" t="s">
        <v>5277</v>
      </c>
      <c r="G2028" s="163">
        <v>0</v>
      </c>
      <c r="H2028" s="163">
        <v>0</v>
      </c>
      <c r="I2028" s="176">
        <v>160.4</v>
      </c>
      <c r="J2028" s="176">
        <v>0</v>
      </c>
      <c r="K2028" s="176">
        <v>0</v>
      </c>
      <c r="L2028" s="163"/>
      <c r="M2028" s="161" t="s">
        <v>5252</v>
      </c>
      <c r="N2028" s="161" t="s">
        <v>1331</v>
      </c>
      <c r="O2028" s="161"/>
      <c r="P2028" s="49"/>
      <c r="Q2028" s="166" t="s">
        <v>5278</v>
      </c>
      <c r="R2028" s="151"/>
    </row>
    <row r="2029" spans="1:18">
      <c r="A2029" s="186" t="s">
        <v>59</v>
      </c>
      <c r="B2029" s="101" t="s">
        <v>534</v>
      </c>
      <c r="C2029" s="84" t="s">
        <v>5295</v>
      </c>
      <c r="D2029" s="161" t="s">
        <v>1899</v>
      </c>
      <c r="E2029" s="161" t="s">
        <v>5092</v>
      </c>
      <c r="F2029" s="161" t="s">
        <v>5296</v>
      </c>
      <c r="G2029" s="163">
        <v>15.85</v>
      </c>
      <c r="H2029" s="163">
        <f>G2029-G2028</f>
        <v>15.85</v>
      </c>
      <c r="I2029" s="176">
        <v>202.2</v>
      </c>
      <c r="J2029" s="176">
        <v>3013</v>
      </c>
      <c r="K2029" s="176">
        <f>J2029+K2028</f>
        <v>3013</v>
      </c>
      <c r="L2029" s="163"/>
      <c r="M2029" s="161" t="s">
        <v>5297</v>
      </c>
      <c r="N2029" s="161" t="s">
        <v>1901</v>
      </c>
      <c r="O2029" s="161" t="s">
        <v>26</v>
      </c>
      <c r="P2029" s="49" t="s">
        <v>26</v>
      </c>
      <c r="Q2029" s="166" t="s">
        <v>5298</v>
      </c>
      <c r="R2029" s="151"/>
    </row>
    <row r="2030" spans="1:18">
      <c r="A2030" s="186" t="s">
        <v>59</v>
      </c>
      <c r="B2030" s="101" t="s">
        <v>534</v>
      </c>
      <c r="C2030" s="84" t="s">
        <v>5299</v>
      </c>
      <c r="D2030" s="161" t="s">
        <v>1904</v>
      </c>
      <c r="E2030" s="161" t="s">
        <v>5092</v>
      </c>
      <c r="F2030" s="161" t="s">
        <v>5296</v>
      </c>
      <c r="G2030" s="163">
        <v>37.67</v>
      </c>
      <c r="H2030" s="163">
        <f t="shared" ref="H2030:H2046" si="166">G2030-G2029</f>
        <v>21.82</v>
      </c>
      <c r="I2030" s="176">
        <v>268</v>
      </c>
      <c r="J2030" s="176">
        <v>4148</v>
      </c>
      <c r="K2030" s="176">
        <f t="shared" ref="K2030:K2046" si="167">J2030+K2029</f>
        <v>7161</v>
      </c>
      <c r="L2030" s="163"/>
      <c r="M2030" s="161" t="s">
        <v>5297</v>
      </c>
      <c r="N2030" s="161" t="s">
        <v>1901</v>
      </c>
      <c r="O2030" s="161" t="s">
        <v>26</v>
      </c>
      <c r="P2030" s="49" t="s">
        <v>26</v>
      </c>
      <c r="Q2030" s="166" t="s">
        <v>5300</v>
      </c>
      <c r="R2030" s="151"/>
    </row>
    <row r="2031" spans="1:18">
      <c r="A2031" s="186" t="s">
        <v>59</v>
      </c>
      <c r="B2031" s="101" t="s">
        <v>534</v>
      </c>
      <c r="C2031" s="84" t="s">
        <v>5301</v>
      </c>
      <c r="D2031" s="161" t="s">
        <v>1305</v>
      </c>
      <c r="E2031" s="161" t="s">
        <v>5092</v>
      </c>
      <c r="F2031" s="161" t="s">
        <v>5296</v>
      </c>
      <c r="G2031" s="163">
        <v>59.04</v>
      </c>
      <c r="H2031" s="163">
        <f t="shared" si="166"/>
        <v>21.37</v>
      </c>
      <c r="I2031" s="176">
        <v>227.32</v>
      </c>
      <c r="J2031" s="176">
        <v>4063</v>
      </c>
      <c r="K2031" s="176">
        <f t="shared" si="167"/>
        <v>11224</v>
      </c>
      <c r="L2031" s="163"/>
      <c r="M2031" s="161" t="s">
        <v>5297</v>
      </c>
      <c r="N2031" s="161" t="s">
        <v>1299</v>
      </c>
      <c r="O2031" s="161" t="s">
        <v>25</v>
      </c>
      <c r="P2031" s="49" t="s">
        <v>25</v>
      </c>
      <c r="Q2031" s="166" t="s">
        <v>5302</v>
      </c>
      <c r="R2031" s="151"/>
    </row>
    <row r="2032" spans="1:18">
      <c r="A2032" s="186" t="s">
        <v>59</v>
      </c>
      <c r="B2032" s="101" t="s">
        <v>534</v>
      </c>
      <c r="C2032" s="84" t="s">
        <v>5303</v>
      </c>
      <c r="D2032" s="161" t="s">
        <v>5303</v>
      </c>
      <c r="E2032" s="161" t="s">
        <v>5092</v>
      </c>
      <c r="F2032" s="161" t="s">
        <v>5296</v>
      </c>
      <c r="G2032" s="163">
        <v>79.04</v>
      </c>
      <c r="H2032" s="163">
        <f t="shared" si="166"/>
        <v>20</v>
      </c>
      <c r="I2032" s="176">
        <v>270.7</v>
      </c>
      <c r="J2032" s="176">
        <v>3802</v>
      </c>
      <c r="K2032" s="176">
        <f t="shared" si="167"/>
        <v>15026</v>
      </c>
      <c r="L2032" s="163"/>
      <c r="M2032" s="161" t="s">
        <v>5297</v>
      </c>
      <c r="N2032" s="161" t="s">
        <v>1331</v>
      </c>
      <c r="O2032" s="161" t="s">
        <v>14</v>
      </c>
      <c r="P2032" s="49" t="s">
        <v>14</v>
      </c>
      <c r="Q2032" s="166" t="s">
        <v>5304</v>
      </c>
      <c r="R2032" s="151"/>
    </row>
    <row r="2033" spans="1:18">
      <c r="A2033" s="186" t="s">
        <v>59</v>
      </c>
      <c r="B2033" s="101" t="s">
        <v>534</v>
      </c>
      <c r="C2033" s="84" t="s">
        <v>5305</v>
      </c>
      <c r="D2033" s="161" t="s">
        <v>2820</v>
      </c>
      <c r="E2033" s="161" t="s">
        <v>5092</v>
      </c>
      <c r="F2033" s="161" t="s">
        <v>5296</v>
      </c>
      <c r="G2033" s="163">
        <v>94.11</v>
      </c>
      <c r="H2033" s="163">
        <f t="shared" si="166"/>
        <v>15.07</v>
      </c>
      <c r="I2033" s="176">
        <v>303.7</v>
      </c>
      <c r="J2033" s="176">
        <v>2865</v>
      </c>
      <c r="K2033" s="176">
        <f t="shared" si="167"/>
        <v>17891</v>
      </c>
      <c r="L2033" s="163"/>
      <c r="M2033" s="161" t="s">
        <v>5297</v>
      </c>
      <c r="N2033" s="161" t="s">
        <v>1901</v>
      </c>
      <c r="O2033" s="161" t="s">
        <v>26</v>
      </c>
      <c r="P2033" s="49" t="s">
        <v>26</v>
      </c>
      <c r="Q2033" s="166" t="s">
        <v>5306</v>
      </c>
      <c r="R2033" s="151"/>
    </row>
    <row r="2034" spans="1:18">
      <c r="A2034" s="186" t="s">
        <v>59</v>
      </c>
      <c r="B2034" s="101" t="s">
        <v>534</v>
      </c>
      <c r="C2034" s="84" t="s">
        <v>5307</v>
      </c>
      <c r="D2034" s="161" t="s">
        <v>1311</v>
      </c>
      <c r="E2034" s="161" t="s">
        <v>5092</v>
      </c>
      <c r="F2034" s="161" t="s">
        <v>5296</v>
      </c>
      <c r="G2034" s="163">
        <v>112.59</v>
      </c>
      <c r="H2034" s="163">
        <f t="shared" si="166"/>
        <v>18.48</v>
      </c>
      <c r="I2034" s="176">
        <v>318.9</v>
      </c>
      <c r="J2034" s="176">
        <v>3513</v>
      </c>
      <c r="K2034" s="176">
        <f t="shared" si="167"/>
        <v>21404</v>
      </c>
      <c r="L2034" s="163"/>
      <c r="M2034" s="161" t="s">
        <v>5297</v>
      </c>
      <c r="N2034" s="161" t="s">
        <v>1299</v>
      </c>
      <c r="O2034" s="161" t="s">
        <v>25</v>
      </c>
      <c r="P2034" s="49" t="s">
        <v>25</v>
      </c>
      <c r="Q2034" s="166" t="s">
        <v>5308</v>
      </c>
      <c r="R2034" s="151"/>
    </row>
    <row r="2035" spans="1:18">
      <c r="A2035" s="186" t="s">
        <v>59</v>
      </c>
      <c r="B2035" s="101" t="s">
        <v>534</v>
      </c>
      <c r="C2035" s="84" t="s">
        <v>5309</v>
      </c>
      <c r="D2035" s="161" t="s">
        <v>2258</v>
      </c>
      <c r="E2035" s="161" t="s">
        <v>5092</v>
      </c>
      <c r="F2035" s="161" t="s">
        <v>5296</v>
      </c>
      <c r="G2035" s="163">
        <v>135.42</v>
      </c>
      <c r="H2035" s="163">
        <f t="shared" si="166"/>
        <v>22.83</v>
      </c>
      <c r="I2035" s="176">
        <v>370.6</v>
      </c>
      <c r="J2035" s="176">
        <v>4340</v>
      </c>
      <c r="K2035" s="176">
        <f t="shared" si="167"/>
        <v>25744</v>
      </c>
      <c r="L2035" s="163"/>
      <c r="M2035" s="161" t="s">
        <v>5297</v>
      </c>
      <c r="N2035" s="161" t="s">
        <v>1901</v>
      </c>
      <c r="O2035" s="161" t="s">
        <v>26</v>
      </c>
      <c r="P2035" s="49" t="s">
        <v>26</v>
      </c>
      <c r="Q2035" s="166" t="s">
        <v>5310</v>
      </c>
      <c r="R2035" s="151"/>
    </row>
    <row r="2036" spans="1:18">
      <c r="A2036" s="186" t="s">
        <v>59</v>
      </c>
      <c r="B2036" s="101" t="s">
        <v>534</v>
      </c>
      <c r="C2036" s="84" t="s">
        <v>5311</v>
      </c>
      <c r="D2036" s="161" t="s">
        <v>2261</v>
      </c>
      <c r="E2036" s="161" t="s">
        <v>5092</v>
      </c>
      <c r="F2036" s="161" t="s">
        <v>5296</v>
      </c>
      <c r="G2036" s="163">
        <v>150.25</v>
      </c>
      <c r="H2036" s="163">
        <f t="shared" si="166"/>
        <v>14.83</v>
      </c>
      <c r="I2036" s="176">
        <v>343.4</v>
      </c>
      <c r="J2036" s="176">
        <v>2819</v>
      </c>
      <c r="K2036" s="176">
        <f t="shared" si="167"/>
        <v>28563</v>
      </c>
      <c r="L2036" s="163"/>
      <c r="M2036" s="161" t="s">
        <v>5297</v>
      </c>
      <c r="N2036" s="161" t="s">
        <v>1901</v>
      </c>
      <c r="O2036" s="161" t="s">
        <v>26</v>
      </c>
      <c r="P2036" s="49" t="s">
        <v>26</v>
      </c>
      <c r="Q2036" s="166" t="s">
        <v>5312</v>
      </c>
      <c r="R2036" s="151"/>
    </row>
    <row r="2037" spans="1:18">
      <c r="A2037" s="186" t="s">
        <v>59</v>
      </c>
      <c r="B2037" s="101" t="s">
        <v>534</v>
      </c>
      <c r="C2037" s="84" t="s">
        <v>5313</v>
      </c>
      <c r="D2037" s="161" t="s">
        <v>539</v>
      </c>
      <c r="E2037" s="161" t="s">
        <v>5092</v>
      </c>
      <c r="F2037" s="161" t="s">
        <v>5296</v>
      </c>
      <c r="G2037" s="163">
        <v>171.85</v>
      </c>
      <c r="H2037" s="163">
        <f t="shared" si="166"/>
        <v>21.6</v>
      </c>
      <c r="I2037" s="176">
        <v>314.66</v>
      </c>
      <c r="J2037" s="176">
        <v>4107</v>
      </c>
      <c r="K2037" s="176">
        <f t="shared" si="167"/>
        <v>32670</v>
      </c>
      <c r="L2037" s="163"/>
      <c r="M2037" s="161" t="s">
        <v>5297</v>
      </c>
      <c r="N2037" s="161" t="s">
        <v>1331</v>
      </c>
      <c r="O2037" s="161" t="s">
        <v>14</v>
      </c>
      <c r="P2037" s="49" t="s">
        <v>14</v>
      </c>
      <c r="Q2037" s="166" t="s">
        <v>5314</v>
      </c>
      <c r="R2037" s="151"/>
    </row>
    <row r="2038" spans="1:18">
      <c r="A2038" s="186" t="s">
        <v>59</v>
      </c>
      <c r="B2038" s="101" t="s">
        <v>534</v>
      </c>
      <c r="C2038" s="84" t="s">
        <v>5315</v>
      </c>
      <c r="D2038" s="161" t="s">
        <v>2827</v>
      </c>
      <c r="E2038" s="161" t="s">
        <v>5092</v>
      </c>
      <c r="F2038" s="161" t="s">
        <v>5296</v>
      </c>
      <c r="G2038" s="163">
        <v>194.49</v>
      </c>
      <c r="H2038" s="163">
        <f t="shared" si="166"/>
        <v>22.64</v>
      </c>
      <c r="I2038" s="176">
        <v>345.6</v>
      </c>
      <c r="J2038" s="176">
        <v>4304</v>
      </c>
      <c r="K2038" s="176">
        <f t="shared" si="167"/>
        <v>36974</v>
      </c>
      <c r="L2038" s="163"/>
      <c r="M2038" s="161" t="s">
        <v>5297</v>
      </c>
      <c r="N2038" s="161" t="s">
        <v>1901</v>
      </c>
      <c r="O2038" s="161" t="s">
        <v>26</v>
      </c>
      <c r="P2038" s="49" t="s">
        <v>26</v>
      </c>
      <c r="Q2038" s="166" t="s">
        <v>5316</v>
      </c>
      <c r="R2038" s="151"/>
    </row>
    <row r="2039" spans="1:18">
      <c r="A2039" s="186" t="s">
        <v>59</v>
      </c>
      <c r="B2039" s="101" t="s">
        <v>534</v>
      </c>
      <c r="C2039" s="84" t="s">
        <v>5317</v>
      </c>
      <c r="D2039" s="161" t="s">
        <v>2266</v>
      </c>
      <c r="E2039" s="161" t="s">
        <v>5092</v>
      </c>
      <c r="F2039" s="161" t="s">
        <v>5318</v>
      </c>
      <c r="G2039" s="163">
        <v>213.3</v>
      </c>
      <c r="H2039" s="163">
        <f t="shared" si="166"/>
        <v>18.81</v>
      </c>
      <c r="I2039" s="176">
        <v>365.2</v>
      </c>
      <c r="J2039" s="176">
        <v>3576</v>
      </c>
      <c r="K2039" s="176">
        <f t="shared" si="167"/>
        <v>40550</v>
      </c>
      <c r="L2039" s="163"/>
      <c r="M2039" s="161" t="s">
        <v>5297</v>
      </c>
      <c r="N2039" s="161" t="s">
        <v>1901</v>
      </c>
      <c r="O2039" s="161" t="s">
        <v>26</v>
      </c>
      <c r="P2039" s="49" t="s">
        <v>26</v>
      </c>
      <c r="Q2039" s="166" t="s">
        <v>5319</v>
      </c>
      <c r="R2039" s="151"/>
    </row>
    <row r="2040" spans="1:18">
      <c r="A2040" s="186" t="s">
        <v>59</v>
      </c>
      <c r="B2040" s="101" t="s">
        <v>534</v>
      </c>
      <c r="C2040" s="84" t="s">
        <v>5320</v>
      </c>
      <c r="D2040" s="161" t="s">
        <v>2270</v>
      </c>
      <c r="E2040" s="161" t="s">
        <v>5092</v>
      </c>
      <c r="F2040" s="161" t="s">
        <v>5318</v>
      </c>
      <c r="G2040" s="163">
        <v>235.93</v>
      </c>
      <c r="H2040" s="163">
        <f t="shared" si="166"/>
        <v>22.63</v>
      </c>
      <c r="I2040" s="176">
        <v>388.9</v>
      </c>
      <c r="J2040" s="176">
        <v>4302</v>
      </c>
      <c r="K2040" s="176">
        <f t="shared" si="167"/>
        <v>44852</v>
      </c>
      <c r="L2040" s="163"/>
      <c r="M2040" s="161" t="s">
        <v>5297</v>
      </c>
      <c r="N2040" s="161" t="s">
        <v>1901</v>
      </c>
      <c r="O2040" s="161" t="s">
        <v>26</v>
      </c>
      <c r="P2040" s="49" t="s">
        <v>26</v>
      </c>
      <c r="Q2040" s="166" t="s">
        <v>5321</v>
      </c>
      <c r="R2040" s="151"/>
    </row>
    <row r="2041" spans="1:18">
      <c r="A2041" s="186" t="s">
        <v>59</v>
      </c>
      <c r="B2041" s="101" t="s">
        <v>534</v>
      </c>
      <c r="C2041" s="84" t="s">
        <v>5322</v>
      </c>
      <c r="D2041" s="161" t="s">
        <v>2832</v>
      </c>
      <c r="E2041" s="161" t="s">
        <v>5092</v>
      </c>
      <c r="F2041" s="161" t="s">
        <v>5318</v>
      </c>
      <c r="G2041" s="163">
        <v>258.45</v>
      </c>
      <c r="H2041" s="163">
        <f t="shared" si="166"/>
        <v>22.52</v>
      </c>
      <c r="I2041" s="176">
        <v>430.4</v>
      </c>
      <c r="J2041" s="176">
        <v>4281</v>
      </c>
      <c r="K2041" s="176">
        <f t="shared" si="167"/>
        <v>49133</v>
      </c>
      <c r="L2041" s="163"/>
      <c r="M2041" s="161" t="s">
        <v>5297</v>
      </c>
      <c r="N2041" s="161" t="s">
        <v>1901</v>
      </c>
      <c r="O2041" s="161" t="s">
        <v>26</v>
      </c>
      <c r="P2041" s="49" t="s">
        <v>26</v>
      </c>
      <c r="Q2041" s="166" t="s">
        <v>5323</v>
      </c>
      <c r="R2041" s="151"/>
    </row>
    <row r="2042" spans="1:18">
      <c r="A2042" s="186" t="s">
        <v>59</v>
      </c>
      <c r="B2042" s="101" t="s">
        <v>534</v>
      </c>
      <c r="C2042" s="84" t="s">
        <v>5324</v>
      </c>
      <c r="D2042" s="161" t="s">
        <v>2835</v>
      </c>
      <c r="E2042" s="161" t="s">
        <v>5092</v>
      </c>
      <c r="F2042" s="161" t="s">
        <v>5318</v>
      </c>
      <c r="G2042" s="163">
        <v>277.24</v>
      </c>
      <c r="H2042" s="163">
        <f t="shared" si="166"/>
        <v>18.79</v>
      </c>
      <c r="I2042" s="176">
        <v>563.2</v>
      </c>
      <c r="J2042" s="176">
        <v>3572</v>
      </c>
      <c r="K2042" s="176">
        <f t="shared" si="167"/>
        <v>52705</v>
      </c>
      <c r="L2042" s="163"/>
      <c r="M2042" s="161" t="s">
        <v>5297</v>
      </c>
      <c r="N2042" s="161" t="s">
        <v>1901</v>
      </c>
      <c r="O2042" s="161" t="s">
        <v>26</v>
      </c>
      <c r="P2042" s="49" t="s">
        <v>26</v>
      </c>
      <c r="Q2042" s="166" t="s">
        <v>5325</v>
      </c>
      <c r="R2042" s="151"/>
    </row>
    <row r="2043" spans="1:18">
      <c r="A2043" s="186" t="s">
        <v>59</v>
      </c>
      <c r="B2043" s="101" t="s">
        <v>534</v>
      </c>
      <c r="C2043" s="84" t="s">
        <v>5326</v>
      </c>
      <c r="D2043" s="161" t="s">
        <v>5326</v>
      </c>
      <c r="E2043" s="161" t="s">
        <v>5092</v>
      </c>
      <c r="F2043" s="161" t="s">
        <v>5318</v>
      </c>
      <c r="G2043" s="163">
        <v>300.67</v>
      </c>
      <c r="H2043" s="163">
        <f t="shared" si="166"/>
        <v>23.43</v>
      </c>
      <c r="I2043" s="176">
        <v>453.44</v>
      </c>
      <c r="J2043" s="176">
        <v>4454</v>
      </c>
      <c r="K2043" s="176">
        <f t="shared" si="167"/>
        <v>57159</v>
      </c>
      <c r="L2043" s="163"/>
      <c r="M2043" s="161" t="s">
        <v>5297</v>
      </c>
      <c r="N2043" s="161" t="s">
        <v>1331</v>
      </c>
      <c r="O2043" s="161" t="s">
        <v>14</v>
      </c>
      <c r="P2043" s="49" t="s">
        <v>14</v>
      </c>
      <c r="Q2043" s="166" t="s">
        <v>5327</v>
      </c>
      <c r="R2043" s="151"/>
    </row>
    <row r="2044" spans="1:18">
      <c r="A2044" s="186" t="s">
        <v>59</v>
      </c>
      <c r="B2044" s="101" t="s">
        <v>534</v>
      </c>
      <c r="C2044" s="84" t="s">
        <v>5328</v>
      </c>
      <c r="D2044" s="161" t="s">
        <v>2280</v>
      </c>
      <c r="E2044" s="161" t="s">
        <v>5092</v>
      </c>
      <c r="F2044" s="161" t="s">
        <v>5318</v>
      </c>
      <c r="G2044" s="163">
        <v>313.13</v>
      </c>
      <c r="H2044" s="163">
        <f t="shared" si="166"/>
        <v>12.46</v>
      </c>
      <c r="I2044" s="176">
        <v>530.9</v>
      </c>
      <c r="J2044" s="176">
        <v>948</v>
      </c>
      <c r="K2044" s="176">
        <f t="shared" si="167"/>
        <v>58107</v>
      </c>
      <c r="L2044" s="163"/>
      <c r="M2044" s="161" t="s">
        <v>5297</v>
      </c>
      <c r="N2044" s="161" t="s">
        <v>1901</v>
      </c>
      <c r="O2044" s="161" t="s">
        <v>26</v>
      </c>
      <c r="P2044" s="49" t="s">
        <v>26</v>
      </c>
      <c r="Q2044" s="166" t="s">
        <v>5329</v>
      </c>
      <c r="R2044" s="151"/>
    </row>
    <row r="2045" spans="1:18">
      <c r="A2045" s="186" t="s">
        <v>59</v>
      </c>
      <c r="B2045" s="101" t="s">
        <v>534</v>
      </c>
      <c r="C2045" s="84" t="s">
        <v>5330</v>
      </c>
      <c r="D2045" s="161" t="s">
        <v>2283</v>
      </c>
      <c r="E2045" s="161" t="s">
        <v>5092</v>
      </c>
      <c r="F2045" s="161" t="s">
        <v>5318</v>
      </c>
      <c r="G2045" s="163">
        <v>334.07</v>
      </c>
      <c r="H2045" s="163">
        <f t="shared" si="166"/>
        <v>20.94</v>
      </c>
      <c r="I2045" s="176">
        <v>485.5</v>
      </c>
      <c r="J2045" s="176">
        <v>1594</v>
      </c>
      <c r="K2045" s="176">
        <f t="shared" si="167"/>
        <v>59701</v>
      </c>
      <c r="L2045" s="163"/>
      <c r="M2045" s="161" t="s">
        <v>5297</v>
      </c>
      <c r="N2045" s="161" t="s">
        <v>1901</v>
      </c>
      <c r="O2045" s="161" t="s">
        <v>26</v>
      </c>
      <c r="P2045" s="49" t="s">
        <v>26</v>
      </c>
      <c r="Q2045" s="166" t="s">
        <v>5331</v>
      </c>
      <c r="R2045" s="151"/>
    </row>
    <row r="2046" spans="1:18">
      <c r="A2046" s="186" t="s">
        <v>59</v>
      </c>
      <c r="B2046" s="101" t="s">
        <v>534</v>
      </c>
      <c r="C2046" s="84" t="s">
        <v>536</v>
      </c>
      <c r="D2046" s="161" t="s">
        <v>536</v>
      </c>
      <c r="E2046" s="161" t="s">
        <v>5092</v>
      </c>
      <c r="F2046" s="161" t="s">
        <v>5318</v>
      </c>
      <c r="G2046" s="163">
        <v>349.97</v>
      </c>
      <c r="H2046" s="163">
        <f t="shared" si="166"/>
        <v>15.9</v>
      </c>
      <c r="I2046" s="176">
        <v>481.04</v>
      </c>
      <c r="J2046" s="176">
        <v>1210</v>
      </c>
      <c r="K2046" s="176">
        <f t="shared" si="167"/>
        <v>60911</v>
      </c>
      <c r="L2046" s="163"/>
      <c r="M2046" s="161" t="s">
        <v>5297</v>
      </c>
      <c r="N2046" s="161" t="s">
        <v>1331</v>
      </c>
      <c r="O2046" s="161" t="s">
        <v>14</v>
      </c>
      <c r="P2046" s="49" t="s">
        <v>14</v>
      </c>
      <c r="Q2046" s="166" t="s">
        <v>5332</v>
      </c>
      <c r="R2046" s="151"/>
    </row>
    <row r="2047" s="148" customFormat="1" ht="45" spans="1:18">
      <c r="A2047" s="186" t="s">
        <v>59</v>
      </c>
      <c r="B2047" s="101" t="s">
        <v>538</v>
      </c>
      <c r="C2047" s="135" t="s">
        <v>539</v>
      </c>
      <c r="D2047" s="188" t="s">
        <v>539</v>
      </c>
      <c r="E2047" s="161" t="s">
        <v>5092</v>
      </c>
      <c r="F2047" s="161" t="s">
        <v>5296</v>
      </c>
      <c r="G2047" s="163">
        <v>0</v>
      </c>
      <c r="H2047" s="163">
        <v>0</v>
      </c>
      <c r="I2047" s="176">
        <v>317.6</v>
      </c>
      <c r="J2047" s="176">
        <v>0</v>
      </c>
      <c r="K2047" s="176">
        <v>0</v>
      </c>
      <c r="L2047" s="163" t="s">
        <v>5333</v>
      </c>
      <c r="M2047" s="161" t="s">
        <v>5334</v>
      </c>
      <c r="N2047" s="161"/>
      <c r="O2047" s="161"/>
      <c r="P2047" s="49"/>
      <c r="Q2047" s="166"/>
      <c r="R2047" s="167"/>
    </row>
    <row r="2048" s="148" customFormat="1" spans="1:18">
      <c r="A2048" s="186" t="s">
        <v>59</v>
      </c>
      <c r="B2048" s="101" t="s">
        <v>538</v>
      </c>
      <c r="C2048" s="84" t="s">
        <v>1811</v>
      </c>
      <c r="D2048" s="188" t="s">
        <v>1298</v>
      </c>
      <c r="E2048" s="161" t="s">
        <v>5092</v>
      </c>
      <c r="F2048" s="161" t="s">
        <v>5296</v>
      </c>
      <c r="G2048" s="163">
        <v>16.7</v>
      </c>
      <c r="H2048" s="163">
        <v>16.7</v>
      </c>
      <c r="I2048" s="176">
        <v>285.1</v>
      </c>
      <c r="J2048" s="176"/>
      <c r="K2048" s="176"/>
      <c r="L2048" s="163"/>
      <c r="M2048" s="161" t="s">
        <v>5334</v>
      </c>
      <c r="N2048" s="161" t="s">
        <v>1299</v>
      </c>
      <c r="O2048" s="161"/>
      <c r="P2048" s="49" t="s">
        <v>25</v>
      </c>
      <c r="Q2048" s="166"/>
      <c r="R2048" s="167"/>
    </row>
    <row r="2049" s="148" customFormat="1" spans="1:18">
      <c r="A2049" s="186" t="s">
        <v>59</v>
      </c>
      <c r="B2049" s="101" t="s">
        <v>538</v>
      </c>
      <c r="C2049" s="84" t="s">
        <v>5335</v>
      </c>
      <c r="D2049" s="188" t="s">
        <v>5335</v>
      </c>
      <c r="E2049" s="161" t="s">
        <v>5092</v>
      </c>
      <c r="F2049" s="161" t="s">
        <v>5296</v>
      </c>
      <c r="G2049" s="163">
        <v>38.4</v>
      </c>
      <c r="H2049" s="163">
        <v>21.7</v>
      </c>
      <c r="I2049" s="176">
        <v>348.8</v>
      </c>
      <c r="J2049" s="176"/>
      <c r="K2049" s="176">
        <v>2901</v>
      </c>
      <c r="L2049" s="163"/>
      <c r="M2049" s="161" t="s">
        <v>5334</v>
      </c>
      <c r="N2049" s="161"/>
      <c r="O2049" s="161"/>
      <c r="P2049" s="49" t="s">
        <v>14</v>
      </c>
      <c r="Q2049" s="166"/>
      <c r="R2049" s="167"/>
    </row>
    <row r="2050" s="148" customFormat="1" spans="1:18">
      <c r="A2050" s="186" t="s">
        <v>59</v>
      </c>
      <c r="B2050" s="101" t="s">
        <v>538</v>
      </c>
      <c r="C2050" s="84" t="s">
        <v>5336</v>
      </c>
      <c r="D2050" s="188" t="s">
        <v>5336</v>
      </c>
      <c r="E2050" s="161" t="s">
        <v>5092</v>
      </c>
      <c r="F2050" s="161" t="s">
        <v>5296</v>
      </c>
      <c r="G2050" s="163">
        <v>57.1</v>
      </c>
      <c r="H2050" s="163">
        <v>18.7</v>
      </c>
      <c r="I2050" s="176">
        <v>313</v>
      </c>
      <c r="J2050" s="176">
        <v>1413</v>
      </c>
      <c r="K2050" s="176">
        <v>4314</v>
      </c>
      <c r="L2050" s="163"/>
      <c r="M2050" s="161" t="s">
        <v>5334</v>
      </c>
      <c r="N2050" s="161"/>
      <c r="O2050" s="161"/>
      <c r="P2050" s="49" t="s">
        <v>14</v>
      </c>
      <c r="Q2050" s="166"/>
      <c r="R2050" s="167"/>
    </row>
    <row r="2051" s="148" customFormat="1" spans="1:18">
      <c r="A2051" s="186" t="s">
        <v>59</v>
      </c>
      <c r="B2051" s="101" t="s">
        <v>538</v>
      </c>
      <c r="C2051" s="84" t="s">
        <v>1815</v>
      </c>
      <c r="D2051" s="188" t="s">
        <v>1302</v>
      </c>
      <c r="E2051" s="161" t="s">
        <v>5092</v>
      </c>
      <c r="F2051" s="161" t="s">
        <v>5296</v>
      </c>
      <c r="G2051" s="163">
        <v>71</v>
      </c>
      <c r="H2051" s="163">
        <v>13.9</v>
      </c>
      <c r="I2051" s="176">
        <v>358.6</v>
      </c>
      <c r="J2051" s="176"/>
      <c r="K2051" s="176"/>
      <c r="L2051" s="163"/>
      <c r="M2051" s="161" t="s">
        <v>5334</v>
      </c>
      <c r="N2051" s="161" t="s">
        <v>1299</v>
      </c>
      <c r="O2051" s="161"/>
      <c r="P2051" s="49" t="s">
        <v>25</v>
      </c>
      <c r="Q2051" s="166"/>
      <c r="R2051" s="167"/>
    </row>
    <row r="2052" s="148" customFormat="1" spans="1:18">
      <c r="A2052" s="186" t="s">
        <v>59</v>
      </c>
      <c r="B2052" s="101" t="s">
        <v>538</v>
      </c>
      <c r="C2052" s="84" t="s">
        <v>1210</v>
      </c>
      <c r="D2052" s="188" t="s">
        <v>1305</v>
      </c>
      <c r="E2052" s="161" t="s">
        <v>5092</v>
      </c>
      <c r="F2052" s="161" t="s">
        <v>5296</v>
      </c>
      <c r="G2052" s="163">
        <v>94.1</v>
      </c>
      <c r="H2052" s="163">
        <v>23.1</v>
      </c>
      <c r="I2052" s="176">
        <v>322.8</v>
      </c>
      <c r="J2052" s="176"/>
      <c r="K2052" s="176"/>
      <c r="L2052" s="163"/>
      <c r="M2052" s="161" t="s">
        <v>5334</v>
      </c>
      <c r="N2052" s="161" t="s">
        <v>1299</v>
      </c>
      <c r="O2052" s="161"/>
      <c r="P2052" s="49" t="s">
        <v>25</v>
      </c>
      <c r="Q2052" s="166"/>
      <c r="R2052" s="167"/>
    </row>
    <row r="2053" s="148" customFormat="1" spans="1:18">
      <c r="A2053" s="186" t="s">
        <v>59</v>
      </c>
      <c r="B2053" s="101" t="s">
        <v>538</v>
      </c>
      <c r="C2053" s="84" t="s">
        <v>540</v>
      </c>
      <c r="D2053" s="188" t="s">
        <v>540</v>
      </c>
      <c r="E2053" s="161" t="s">
        <v>5092</v>
      </c>
      <c r="F2053" s="161" t="s">
        <v>5296</v>
      </c>
      <c r="G2053" s="163">
        <v>113</v>
      </c>
      <c r="H2053" s="163">
        <v>18.9</v>
      </c>
      <c r="I2053" s="176">
        <v>284.5</v>
      </c>
      <c r="J2053" s="176"/>
      <c r="K2053" s="176">
        <v>8536</v>
      </c>
      <c r="L2053" s="163"/>
      <c r="M2053" s="161" t="s">
        <v>5334</v>
      </c>
      <c r="N2053" s="161"/>
      <c r="O2053" s="161"/>
      <c r="P2053" s="49" t="s">
        <v>14</v>
      </c>
      <c r="Q2053" s="166"/>
      <c r="R2053" s="167"/>
    </row>
    <row r="2054" s="148" customFormat="1" spans="1:18">
      <c r="A2054" s="186" t="s">
        <v>60</v>
      </c>
      <c r="B2054" s="101" t="s">
        <v>60</v>
      </c>
      <c r="C2054" s="84" t="s">
        <v>541</v>
      </c>
      <c r="D2054" s="161" t="s">
        <v>541</v>
      </c>
      <c r="E2054" s="161" t="s">
        <v>5092</v>
      </c>
      <c r="F2054" s="161" t="s">
        <v>5337</v>
      </c>
      <c r="G2054" s="171">
        <v>0</v>
      </c>
      <c r="H2054" s="163">
        <v>0</v>
      </c>
      <c r="I2054" s="176">
        <v>173.012</v>
      </c>
      <c r="J2054" s="176">
        <v>0</v>
      </c>
      <c r="K2054" s="176">
        <v>0</v>
      </c>
      <c r="L2054" s="163"/>
      <c r="M2054" s="161" t="s">
        <v>5293</v>
      </c>
      <c r="N2054" s="161" t="s">
        <v>1331</v>
      </c>
      <c r="O2054" s="161" t="s">
        <v>14</v>
      </c>
      <c r="P2054" s="49" t="s">
        <v>14</v>
      </c>
      <c r="Q2054" s="166" t="s">
        <v>5338</v>
      </c>
      <c r="R2054" s="167"/>
    </row>
    <row r="2055" s="148" customFormat="1" spans="1:18">
      <c r="A2055" s="186" t="s">
        <v>60</v>
      </c>
      <c r="B2055" s="101" t="s">
        <v>60</v>
      </c>
      <c r="C2055" s="84" t="s">
        <v>5339</v>
      </c>
      <c r="D2055" s="161" t="s">
        <v>1899</v>
      </c>
      <c r="E2055" s="161" t="s">
        <v>5092</v>
      </c>
      <c r="F2055" s="161" t="s">
        <v>5337</v>
      </c>
      <c r="G2055" s="171">
        <v>24</v>
      </c>
      <c r="H2055" s="163">
        <f>G2055-G2054</f>
        <v>24</v>
      </c>
      <c r="I2055" s="176">
        <v>215.377</v>
      </c>
      <c r="J2055" s="176">
        <v>9068</v>
      </c>
      <c r="K2055" s="176">
        <f>J2055+K2054</f>
        <v>9068</v>
      </c>
      <c r="L2055" s="163"/>
      <c r="M2055" s="161" t="s">
        <v>5293</v>
      </c>
      <c r="N2055" s="161" t="s">
        <v>1901</v>
      </c>
      <c r="O2055" s="161" t="s">
        <v>26</v>
      </c>
      <c r="P2055" s="49" t="s">
        <v>26</v>
      </c>
      <c r="Q2055" s="166" t="s">
        <v>5340</v>
      </c>
      <c r="R2055" s="167"/>
    </row>
    <row r="2056" s="148" customFormat="1" spans="1:18">
      <c r="A2056" s="186" t="s">
        <v>60</v>
      </c>
      <c r="B2056" s="101" t="s">
        <v>60</v>
      </c>
      <c r="C2056" s="84" t="s">
        <v>5341</v>
      </c>
      <c r="D2056" s="161" t="s">
        <v>1904</v>
      </c>
      <c r="E2056" s="161" t="s">
        <v>5092</v>
      </c>
      <c r="F2056" s="161" t="s">
        <v>5337</v>
      </c>
      <c r="G2056" s="171">
        <v>42</v>
      </c>
      <c r="H2056" s="163">
        <f t="shared" ref="H2056:H2067" si="168">G2056-G2055</f>
        <v>18</v>
      </c>
      <c r="I2056" s="176">
        <v>194.811</v>
      </c>
      <c r="J2056" s="176">
        <v>6801</v>
      </c>
      <c r="K2056" s="176">
        <f t="shared" ref="K2056:K2061" si="169">J2056+K2055</f>
        <v>15869</v>
      </c>
      <c r="L2056" s="163"/>
      <c r="M2056" s="161" t="s">
        <v>5293</v>
      </c>
      <c r="N2056" s="161" t="s">
        <v>1901</v>
      </c>
      <c r="O2056" s="161" t="s">
        <v>26</v>
      </c>
      <c r="P2056" s="49" t="s">
        <v>26</v>
      </c>
      <c r="Q2056" s="166" t="s">
        <v>5342</v>
      </c>
      <c r="R2056" s="167"/>
    </row>
    <row r="2057" s="148" customFormat="1" spans="1:18">
      <c r="A2057" s="186" t="s">
        <v>60</v>
      </c>
      <c r="B2057" s="101" t="s">
        <v>60</v>
      </c>
      <c r="C2057" s="84" t="s">
        <v>5343</v>
      </c>
      <c r="D2057" s="161" t="s">
        <v>2847</v>
      </c>
      <c r="E2057" s="161" t="s">
        <v>5092</v>
      </c>
      <c r="F2057" s="161" t="s">
        <v>5337</v>
      </c>
      <c r="G2057" s="171">
        <v>64</v>
      </c>
      <c r="H2057" s="163">
        <f t="shared" si="168"/>
        <v>22</v>
      </c>
      <c r="I2057" s="176">
        <v>193.346</v>
      </c>
      <c r="J2057" s="176">
        <v>8312</v>
      </c>
      <c r="K2057" s="176">
        <f t="shared" si="169"/>
        <v>24181</v>
      </c>
      <c r="L2057" s="163"/>
      <c r="M2057" s="161" t="s">
        <v>5293</v>
      </c>
      <c r="N2057" s="161" t="s">
        <v>1901</v>
      </c>
      <c r="O2057" s="161" t="s">
        <v>26</v>
      </c>
      <c r="P2057" s="49" t="s">
        <v>26</v>
      </c>
      <c r="Q2057" s="166" t="s">
        <v>5344</v>
      </c>
      <c r="R2057" s="167"/>
    </row>
    <row r="2058" s="148" customFormat="1" spans="1:18">
      <c r="A2058" s="186" t="s">
        <v>60</v>
      </c>
      <c r="B2058" s="101" t="s">
        <v>60</v>
      </c>
      <c r="C2058" s="84" t="s">
        <v>5345</v>
      </c>
      <c r="D2058" s="161" t="s">
        <v>2820</v>
      </c>
      <c r="E2058" s="161" t="s">
        <v>5092</v>
      </c>
      <c r="F2058" s="161" t="s">
        <v>5292</v>
      </c>
      <c r="G2058" s="171">
        <v>85</v>
      </c>
      <c r="H2058" s="163">
        <f t="shared" si="168"/>
        <v>21</v>
      </c>
      <c r="I2058" s="176">
        <v>181.982</v>
      </c>
      <c r="J2058" s="176">
        <v>7935</v>
      </c>
      <c r="K2058" s="176">
        <f t="shared" si="169"/>
        <v>32116</v>
      </c>
      <c r="L2058" s="163"/>
      <c r="M2058" s="161" t="s">
        <v>5293</v>
      </c>
      <c r="N2058" s="161" t="s">
        <v>1901</v>
      </c>
      <c r="O2058" s="161" t="s">
        <v>26</v>
      </c>
      <c r="P2058" s="49" t="s">
        <v>26</v>
      </c>
      <c r="Q2058" s="166" t="s">
        <v>5346</v>
      </c>
      <c r="R2058" s="167"/>
    </row>
    <row r="2059" s="148" customFormat="1" spans="1:18">
      <c r="A2059" s="186" t="s">
        <v>60</v>
      </c>
      <c r="B2059" s="101" t="s">
        <v>60</v>
      </c>
      <c r="C2059" s="135" t="s">
        <v>533</v>
      </c>
      <c r="D2059" s="161" t="s">
        <v>533</v>
      </c>
      <c r="E2059" s="161" t="s">
        <v>5092</v>
      </c>
      <c r="F2059" s="161" t="s">
        <v>5292</v>
      </c>
      <c r="G2059" s="171">
        <v>108</v>
      </c>
      <c r="H2059" s="163">
        <f t="shared" si="168"/>
        <v>23</v>
      </c>
      <c r="I2059" s="176">
        <v>210.029</v>
      </c>
      <c r="J2059" s="176">
        <v>8690</v>
      </c>
      <c r="K2059" s="176">
        <f t="shared" si="169"/>
        <v>40806</v>
      </c>
      <c r="L2059" s="163"/>
      <c r="M2059" s="161" t="s">
        <v>5293</v>
      </c>
      <c r="N2059" s="161" t="s">
        <v>1331</v>
      </c>
      <c r="O2059" s="161"/>
      <c r="P2059" s="49"/>
      <c r="Q2059" s="166" t="s">
        <v>5294</v>
      </c>
      <c r="R2059" s="167"/>
    </row>
    <row r="2060" s="148" customFormat="1" spans="1:18">
      <c r="A2060" s="186" t="s">
        <v>60</v>
      </c>
      <c r="B2060" s="101" t="s">
        <v>60</v>
      </c>
      <c r="C2060" s="84" t="s">
        <v>5347</v>
      </c>
      <c r="D2060" s="161" t="s">
        <v>2252</v>
      </c>
      <c r="E2060" s="161" t="s">
        <v>5092</v>
      </c>
      <c r="F2060" s="161" t="s">
        <v>5292</v>
      </c>
      <c r="G2060" s="171">
        <v>124</v>
      </c>
      <c r="H2060" s="163">
        <f t="shared" si="168"/>
        <v>16</v>
      </c>
      <c r="I2060" s="176">
        <v>198.713</v>
      </c>
      <c r="J2060" s="176">
        <v>4413</v>
      </c>
      <c r="K2060" s="176">
        <f t="shared" si="169"/>
        <v>45219</v>
      </c>
      <c r="L2060" s="163"/>
      <c r="M2060" s="161" t="s">
        <v>5293</v>
      </c>
      <c r="N2060" s="161" t="s">
        <v>1901</v>
      </c>
      <c r="O2060" s="161" t="s">
        <v>26</v>
      </c>
      <c r="P2060" s="49" t="s">
        <v>26</v>
      </c>
      <c r="Q2060" s="166" t="s">
        <v>5294</v>
      </c>
      <c r="R2060" s="167"/>
    </row>
    <row r="2061" s="148" customFormat="1" spans="1:18">
      <c r="A2061" s="186" t="s">
        <v>60</v>
      </c>
      <c r="B2061" s="101" t="s">
        <v>60</v>
      </c>
      <c r="C2061" s="84" t="s">
        <v>5348</v>
      </c>
      <c r="D2061" s="161" t="s">
        <v>2258</v>
      </c>
      <c r="E2061" s="161" t="s">
        <v>5092</v>
      </c>
      <c r="F2061" s="161" t="s">
        <v>5292</v>
      </c>
      <c r="G2061" s="171">
        <v>140</v>
      </c>
      <c r="H2061" s="163">
        <f t="shared" si="168"/>
        <v>16</v>
      </c>
      <c r="I2061" s="176">
        <v>188.416</v>
      </c>
      <c r="J2061" s="176">
        <v>4413</v>
      </c>
      <c r="K2061" s="176">
        <f t="shared" si="169"/>
        <v>49632</v>
      </c>
      <c r="L2061" s="163"/>
      <c r="M2061" s="161" t="s">
        <v>5293</v>
      </c>
      <c r="N2061" s="161" t="s">
        <v>1901</v>
      </c>
      <c r="O2061" s="161" t="s">
        <v>26</v>
      </c>
      <c r="P2061" s="49" t="s">
        <v>26</v>
      </c>
      <c r="Q2061" s="166" t="s">
        <v>5349</v>
      </c>
      <c r="R2061" s="167"/>
    </row>
    <row r="2062" s="148" customFormat="1" spans="1:18">
      <c r="A2062" s="186" t="s">
        <v>60</v>
      </c>
      <c r="B2062" s="101" t="s">
        <v>60</v>
      </c>
      <c r="C2062" s="84" t="s">
        <v>5350</v>
      </c>
      <c r="D2062" s="161" t="s">
        <v>5351</v>
      </c>
      <c r="E2062" s="161" t="s">
        <v>5092</v>
      </c>
      <c r="F2062" s="161" t="s">
        <v>5292</v>
      </c>
      <c r="G2062" s="171">
        <v>153</v>
      </c>
      <c r="H2062" s="163">
        <f t="shared" si="168"/>
        <v>13</v>
      </c>
      <c r="I2062" s="176" t="s">
        <v>147</v>
      </c>
      <c r="J2062" s="176">
        <v>3073</v>
      </c>
      <c r="K2062" s="176">
        <f t="shared" ref="K2062:K2067" si="170">J2062+K2061</f>
        <v>52705</v>
      </c>
      <c r="L2062" s="163"/>
      <c r="M2062" s="161"/>
      <c r="N2062" s="161" t="s">
        <v>1901</v>
      </c>
      <c r="O2062" s="161" t="s">
        <v>26</v>
      </c>
      <c r="P2062" s="49" t="s">
        <v>26</v>
      </c>
      <c r="Q2062" s="166"/>
      <c r="R2062" s="167"/>
    </row>
    <row r="2063" s="148" customFormat="1" spans="1:18">
      <c r="A2063" s="186" t="s">
        <v>60</v>
      </c>
      <c r="B2063" s="101" t="s">
        <v>60</v>
      </c>
      <c r="C2063" s="84" t="s">
        <v>5352</v>
      </c>
      <c r="D2063" s="161" t="s">
        <v>2261</v>
      </c>
      <c r="E2063" s="161" t="s">
        <v>5092</v>
      </c>
      <c r="F2063" s="161" t="s">
        <v>5353</v>
      </c>
      <c r="G2063" s="171">
        <v>168</v>
      </c>
      <c r="H2063" s="163">
        <f t="shared" si="168"/>
        <v>15</v>
      </c>
      <c r="I2063" s="176">
        <v>213.32</v>
      </c>
      <c r="J2063" s="176">
        <v>3545</v>
      </c>
      <c r="K2063" s="176">
        <f t="shared" si="170"/>
        <v>56250</v>
      </c>
      <c r="L2063" s="163"/>
      <c r="M2063" s="161" t="s">
        <v>5293</v>
      </c>
      <c r="N2063" s="161" t="s">
        <v>1901</v>
      </c>
      <c r="O2063" s="161" t="s">
        <v>26</v>
      </c>
      <c r="P2063" s="49" t="s">
        <v>26</v>
      </c>
      <c r="Q2063" s="166" t="s">
        <v>5354</v>
      </c>
      <c r="R2063" s="167"/>
    </row>
    <row r="2064" s="148" customFormat="1" spans="1:18">
      <c r="A2064" s="186" t="s">
        <v>60</v>
      </c>
      <c r="B2064" s="101" t="s">
        <v>60</v>
      </c>
      <c r="C2064" s="84" t="s">
        <v>5355</v>
      </c>
      <c r="D2064" s="161" t="s">
        <v>2827</v>
      </c>
      <c r="E2064" s="161" t="s">
        <v>5092</v>
      </c>
      <c r="F2064" s="161" t="s">
        <v>5353</v>
      </c>
      <c r="G2064" s="171">
        <v>190</v>
      </c>
      <c r="H2064" s="163">
        <f t="shared" si="168"/>
        <v>22</v>
      </c>
      <c r="I2064" s="176">
        <v>206.181</v>
      </c>
      <c r="J2064" s="176">
        <v>6068</v>
      </c>
      <c r="K2064" s="176">
        <f t="shared" si="170"/>
        <v>62318</v>
      </c>
      <c r="L2064" s="163"/>
      <c r="M2064" s="161" t="s">
        <v>5293</v>
      </c>
      <c r="N2064" s="161" t="s">
        <v>1901</v>
      </c>
      <c r="O2064" s="161" t="s">
        <v>26</v>
      </c>
      <c r="P2064" s="49" t="s">
        <v>26</v>
      </c>
      <c r="Q2064" s="166" t="s">
        <v>5356</v>
      </c>
      <c r="R2064" s="167"/>
    </row>
    <row r="2065" s="148" customFormat="1" spans="1:18">
      <c r="A2065" s="186" t="s">
        <v>60</v>
      </c>
      <c r="B2065" s="101" t="s">
        <v>60</v>
      </c>
      <c r="C2065" s="84" t="s">
        <v>5357</v>
      </c>
      <c r="D2065" s="161" t="s">
        <v>5357</v>
      </c>
      <c r="E2065" s="161" t="s">
        <v>5092</v>
      </c>
      <c r="F2065" s="161" t="s">
        <v>5353</v>
      </c>
      <c r="G2065" s="171">
        <v>213</v>
      </c>
      <c r="H2065" s="163">
        <f t="shared" si="168"/>
        <v>23</v>
      </c>
      <c r="I2065" s="176">
        <v>209.396</v>
      </c>
      <c r="J2065" s="176">
        <v>6344</v>
      </c>
      <c r="K2065" s="176">
        <f t="shared" si="170"/>
        <v>68662</v>
      </c>
      <c r="L2065" s="163"/>
      <c r="M2065" s="161" t="s">
        <v>5293</v>
      </c>
      <c r="N2065" s="161" t="s">
        <v>1331</v>
      </c>
      <c r="O2065" s="161" t="s">
        <v>14</v>
      </c>
      <c r="P2065" s="49" t="s">
        <v>14</v>
      </c>
      <c r="Q2065" s="166" t="s">
        <v>5358</v>
      </c>
      <c r="R2065" s="167"/>
    </row>
    <row r="2066" s="148" customFormat="1" spans="1:18">
      <c r="A2066" s="186" t="s">
        <v>60</v>
      </c>
      <c r="B2066" s="101" t="s">
        <v>60</v>
      </c>
      <c r="C2066" s="84" t="s">
        <v>5359</v>
      </c>
      <c r="D2066" s="161" t="s">
        <v>2266</v>
      </c>
      <c r="E2066" s="161" t="s">
        <v>5092</v>
      </c>
      <c r="F2066" s="161" t="s">
        <v>5353</v>
      </c>
      <c r="G2066" s="171">
        <v>219</v>
      </c>
      <c r="H2066" s="163">
        <f t="shared" si="168"/>
        <v>6</v>
      </c>
      <c r="I2066" s="176">
        <v>211.319</v>
      </c>
      <c r="J2066" s="176">
        <v>1655</v>
      </c>
      <c r="K2066" s="176">
        <f t="shared" si="170"/>
        <v>70317</v>
      </c>
      <c r="L2066" s="163"/>
      <c r="M2066" s="161" t="s">
        <v>5293</v>
      </c>
      <c r="N2066" s="161" t="s">
        <v>1901</v>
      </c>
      <c r="O2066" s="161" t="s">
        <v>26</v>
      </c>
      <c r="P2066" s="49" t="s">
        <v>26</v>
      </c>
      <c r="Q2066" s="166" t="s">
        <v>5360</v>
      </c>
      <c r="R2066" s="167"/>
    </row>
    <row r="2067" s="148" customFormat="1" spans="1:18">
      <c r="A2067" s="186" t="s">
        <v>60</v>
      </c>
      <c r="B2067" s="101" t="s">
        <v>60</v>
      </c>
      <c r="C2067" s="84" t="s">
        <v>542</v>
      </c>
      <c r="D2067" s="161" t="s">
        <v>542</v>
      </c>
      <c r="E2067" s="161" t="s">
        <v>5092</v>
      </c>
      <c r="F2067" s="161" t="s">
        <v>5353</v>
      </c>
      <c r="G2067" s="171">
        <v>225</v>
      </c>
      <c r="H2067" s="163">
        <f t="shared" si="168"/>
        <v>6</v>
      </c>
      <c r="I2067" s="176">
        <v>186.652</v>
      </c>
      <c r="J2067" s="176">
        <v>1655</v>
      </c>
      <c r="K2067" s="176">
        <f t="shared" si="170"/>
        <v>71972</v>
      </c>
      <c r="L2067" s="163"/>
      <c r="M2067" s="161" t="s">
        <v>5293</v>
      </c>
      <c r="N2067" s="161" t="s">
        <v>1331</v>
      </c>
      <c r="O2067" s="161" t="s">
        <v>14</v>
      </c>
      <c r="P2067" s="49" t="s">
        <v>14</v>
      </c>
      <c r="Q2067" s="166" t="s">
        <v>5361</v>
      </c>
      <c r="R2067" s="167"/>
    </row>
    <row r="2068" s="148" customFormat="1" spans="1:18">
      <c r="A2068" s="186" t="s">
        <v>60</v>
      </c>
      <c r="B2068" s="101" t="s">
        <v>547</v>
      </c>
      <c r="C2068" s="135" t="s">
        <v>5362</v>
      </c>
      <c r="D2068" s="161" t="s">
        <v>555</v>
      </c>
      <c r="E2068" s="161" t="s">
        <v>5092</v>
      </c>
      <c r="F2068" s="161" t="s">
        <v>5337</v>
      </c>
      <c r="G2068" s="163">
        <v>0</v>
      </c>
      <c r="H2068" s="163">
        <v>0</v>
      </c>
      <c r="I2068" s="176"/>
      <c r="J2068" s="176">
        <v>0</v>
      </c>
      <c r="K2068" s="176">
        <v>0</v>
      </c>
      <c r="L2068" s="163"/>
      <c r="M2068" s="161" t="s">
        <v>5111</v>
      </c>
      <c r="N2068" s="161" t="s">
        <v>1331</v>
      </c>
      <c r="O2068" s="161"/>
      <c r="P2068" s="49"/>
      <c r="Q2068" s="166" t="s">
        <v>5363</v>
      </c>
      <c r="R2068" s="167"/>
    </row>
    <row r="2069" s="148" customFormat="1" spans="1:18">
      <c r="A2069" s="186" t="s">
        <v>60</v>
      </c>
      <c r="B2069" s="101" t="s">
        <v>547</v>
      </c>
      <c r="C2069" s="135" t="s">
        <v>541</v>
      </c>
      <c r="D2069" s="161" t="s">
        <v>541</v>
      </c>
      <c r="E2069" s="161" t="s">
        <v>5092</v>
      </c>
      <c r="F2069" s="161" t="s">
        <v>5337</v>
      </c>
      <c r="G2069" s="163">
        <v>3</v>
      </c>
      <c r="H2069" s="163">
        <v>3</v>
      </c>
      <c r="I2069" s="176"/>
      <c r="J2069" s="176">
        <v>992</v>
      </c>
      <c r="K2069" s="176">
        <v>992</v>
      </c>
      <c r="L2069" s="163"/>
      <c r="M2069" s="161" t="s">
        <v>5293</v>
      </c>
      <c r="N2069" s="161" t="s">
        <v>1331</v>
      </c>
      <c r="O2069" s="161"/>
      <c r="P2069" s="49"/>
      <c r="Q2069" s="166" t="s">
        <v>5338</v>
      </c>
      <c r="R2069" s="167"/>
    </row>
    <row r="2070" s="148" customFormat="1" spans="1:18">
      <c r="A2070" s="186" t="s">
        <v>61</v>
      </c>
      <c r="B2070" s="101" t="s">
        <v>550</v>
      </c>
      <c r="C2070" s="135" t="s">
        <v>551</v>
      </c>
      <c r="D2070" s="161" t="s">
        <v>551</v>
      </c>
      <c r="E2070" s="161" t="s">
        <v>5092</v>
      </c>
      <c r="F2070" s="161" t="s">
        <v>5364</v>
      </c>
      <c r="G2070" s="163">
        <v>0</v>
      </c>
      <c r="H2070" s="163">
        <v>0</v>
      </c>
      <c r="I2070" s="176">
        <v>131</v>
      </c>
      <c r="J2070" s="176">
        <v>0</v>
      </c>
      <c r="K2070" s="176">
        <v>0</v>
      </c>
      <c r="L2070" s="163"/>
      <c r="M2070" s="161" t="s">
        <v>5365</v>
      </c>
      <c r="N2070" s="161" t="s">
        <v>1331</v>
      </c>
      <c r="O2070" s="161"/>
      <c r="P2070" s="49"/>
      <c r="Q2070" s="166"/>
      <c r="R2070" s="167"/>
    </row>
    <row r="2071" s="148" customFormat="1" ht="45" spans="1:18">
      <c r="A2071" s="186" t="s">
        <v>61</v>
      </c>
      <c r="B2071" s="101" t="s">
        <v>550</v>
      </c>
      <c r="C2071" s="84" t="s">
        <v>5366</v>
      </c>
      <c r="D2071" s="161" t="s">
        <v>5367</v>
      </c>
      <c r="E2071" s="161" t="s">
        <v>5092</v>
      </c>
      <c r="F2071" s="161" t="s">
        <v>5364</v>
      </c>
      <c r="G2071" s="163">
        <v>4.03</v>
      </c>
      <c r="H2071" s="163">
        <v>4.03</v>
      </c>
      <c r="I2071" s="176">
        <v>232</v>
      </c>
      <c r="J2071" s="176">
        <v>4703</v>
      </c>
      <c r="K2071" s="176">
        <v>4703</v>
      </c>
      <c r="L2071" s="163" t="s">
        <v>5368</v>
      </c>
      <c r="M2071" s="161" t="s">
        <v>5365</v>
      </c>
      <c r="N2071" s="161" t="s">
        <v>1331</v>
      </c>
      <c r="O2071" s="161" t="s">
        <v>26</v>
      </c>
      <c r="P2071" s="49" t="s">
        <v>26</v>
      </c>
      <c r="Q2071" s="166"/>
      <c r="R2071" s="167"/>
    </row>
    <row r="2072" s="148" customFormat="1" spans="1:18">
      <c r="A2072" s="186" t="s">
        <v>61</v>
      </c>
      <c r="B2072" s="101" t="s">
        <v>550</v>
      </c>
      <c r="C2072" s="135" t="s">
        <v>552</v>
      </c>
      <c r="D2072" s="161" t="s">
        <v>552</v>
      </c>
      <c r="E2072" s="161" t="s">
        <v>5092</v>
      </c>
      <c r="F2072" s="161" t="s">
        <v>5364</v>
      </c>
      <c r="G2072" s="163">
        <v>13</v>
      </c>
      <c r="H2072" s="163">
        <v>8.97</v>
      </c>
      <c r="I2072" s="176">
        <v>252.7</v>
      </c>
      <c r="J2072" s="176">
        <v>7272</v>
      </c>
      <c r="K2072" s="176">
        <v>11975</v>
      </c>
      <c r="L2072" s="163"/>
      <c r="M2072" s="161">
        <v>0</v>
      </c>
      <c r="N2072" s="161" t="s">
        <v>1331</v>
      </c>
      <c r="O2072" s="161"/>
      <c r="P2072" s="49"/>
      <c r="Q2072" s="166" t="s">
        <v>5369</v>
      </c>
      <c r="R2072" s="167"/>
    </row>
    <row r="2073" s="148" customFormat="1" spans="1:18">
      <c r="A2073" s="186" t="s">
        <v>61</v>
      </c>
      <c r="B2073" s="101" t="s">
        <v>554</v>
      </c>
      <c r="C2073" s="84" t="s">
        <v>552</v>
      </c>
      <c r="D2073" s="161" t="s">
        <v>552</v>
      </c>
      <c r="E2073" s="161" t="s">
        <v>5092</v>
      </c>
      <c r="F2073" s="161" t="s">
        <v>5364</v>
      </c>
      <c r="G2073" s="163">
        <v>0</v>
      </c>
      <c r="H2073" s="163">
        <v>0</v>
      </c>
      <c r="I2073" s="176">
        <v>252.7</v>
      </c>
      <c r="J2073" s="176">
        <v>0</v>
      </c>
      <c r="K2073" s="176">
        <v>0</v>
      </c>
      <c r="L2073" s="163"/>
      <c r="M2073" s="161">
        <v>0</v>
      </c>
      <c r="N2073" s="161" t="s">
        <v>1331</v>
      </c>
      <c r="O2073" s="161" t="s">
        <v>6</v>
      </c>
      <c r="P2073" s="49" t="s">
        <v>6</v>
      </c>
      <c r="Q2073" s="166" t="s">
        <v>5369</v>
      </c>
      <c r="R2073" s="167"/>
    </row>
    <row r="2074" s="148" customFormat="1" spans="1:18">
      <c r="A2074" s="186" t="s">
        <v>61</v>
      </c>
      <c r="B2074" s="101" t="s">
        <v>554</v>
      </c>
      <c r="C2074" s="84" t="s">
        <v>5370</v>
      </c>
      <c r="D2074" s="161" t="s">
        <v>5371</v>
      </c>
      <c r="E2074" s="161" t="s">
        <v>5092</v>
      </c>
      <c r="F2074" s="161" t="s">
        <v>5364</v>
      </c>
      <c r="G2074" s="163">
        <v>25.8</v>
      </c>
      <c r="H2074" s="163">
        <f>G2074-G2073</f>
        <v>25.8</v>
      </c>
      <c r="I2074" s="176">
        <v>316.9</v>
      </c>
      <c r="J2074" s="176">
        <v>40974</v>
      </c>
      <c r="K2074" s="176">
        <v>40974</v>
      </c>
      <c r="L2074" s="163"/>
      <c r="M2074" s="161" t="s">
        <v>5111</v>
      </c>
      <c r="N2074" s="161" t="s">
        <v>1299</v>
      </c>
      <c r="O2074" s="161" t="s">
        <v>25</v>
      </c>
      <c r="P2074" s="49" t="s">
        <v>25</v>
      </c>
      <c r="Q2074" s="166" t="s">
        <v>5369</v>
      </c>
      <c r="R2074" s="167"/>
    </row>
    <row r="2075" s="148" customFormat="1" spans="1:18">
      <c r="A2075" s="186" t="s">
        <v>61</v>
      </c>
      <c r="B2075" s="101" t="s">
        <v>554</v>
      </c>
      <c r="C2075" s="84" t="s">
        <v>5372</v>
      </c>
      <c r="D2075" s="161" t="s">
        <v>5373</v>
      </c>
      <c r="E2075" s="161" t="s">
        <v>5092</v>
      </c>
      <c r="F2075" s="161" t="s">
        <v>5364</v>
      </c>
      <c r="G2075" s="163">
        <v>51.1</v>
      </c>
      <c r="H2075" s="163">
        <f t="shared" ref="H2075:H2106" si="171">G2075-G2074</f>
        <v>25.3</v>
      </c>
      <c r="I2075" s="176">
        <v>224.1</v>
      </c>
      <c r="J2075" s="176">
        <v>40180</v>
      </c>
      <c r="K2075" s="176">
        <v>81154</v>
      </c>
      <c r="L2075" s="163"/>
      <c r="M2075" s="161" t="s">
        <v>5111</v>
      </c>
      <c r="N2075" s="161" t="s">
        <v>1901</v>
      </c>
      <c r="O2075" s="161" t="s">
        <v>25</v>
      </c>
      <c r="P2075" s="49" t="s">
        <v>25</v>
      </c>
      <c r="Q2075" s="166" t="s">
        <v>5369</v>
      </c>
      <c r="R2075" s="167"/>
    </row>
    <row r="2076" s="148" customFormat="1" spans="1:18">
      <c r="A2076" s="186" t="s">
        <v>61</v>
      </c>
      <c r="B2076" s="101" t="s">
        <v>554</v>
      </c>
      <c r="C2076" s="84" t="s">
        <v>5374</v>
      </c>
      <c r="D2076" s="161" t="s">
        <v>5375</v>
      </c>
      <c r="E2076" s="161" t="s">
        <v>5092</v>
      </c>
      <c r="F2076" s="161" t="s">
        <v>5364</v>
      </c>
      <c r="G2076" s="163">
        <v>71.1</v>
      </c>
      <c r="H2076" s="163">
        <f t="shared" si="171"/>
        <v>20</v>
      </c>
      <c r="I2076" s="176">
        <v>244.5</v>
      </c>
      <c r="J2076" s="176">
        <v>31763</v>
      </c>
      <c r="K2076" s="176">
        <v>112917</v>
      </c>
      <c r="L2076" s="163"/>
      <c r="M2076" s="161" t="s">
        <v>5111</v>
      </c>
      <c r="N2076" s="161" t="s">
        <v>1299</v>
      </c>
      <c r="O2076" s="161" t="s">
        <v>25</v>
      </c>
      <c r="P2076" s="49" t="s">
        <v>25</v>
      </c>
      <c r="Q2076" s="166" t="s">
        <v>5369</v>
      </c>
      <c r="R2076" s="167"/>
    </row>
    <row r="2077" s="148" customFormat="1" spans="1:18">
      <c r="A2077" s="186" t="s">
        <v>61</v>
      </c>
      <c r="B2077" s="101" t="s">
        <v>554</v>
      </c>
      <c r="C2077" s="84" t="s">
        <v>5376</v>
      </c>
      <c r="D2077" s="161" t="s">
        <v>5377</v>
      </c>
      <c r="E2077" s="161" t="s">
        <v>5092</v>
      </c>
      <c r="F2077" s="161" t="s">
        <v>5364</v>
      </c>
      <c r="G2077" s="163">
        <v>95.6</v>
      </c>
      <c r="H2077" s="163">
        <f t="shared" si="171"/>
        <v>24.5</v>
      </c>
      <c r="I2077" s="176">
        <v>305.3</v>
      </c>
      <c r="J2077" s="176">
        <v>38751</v>
      </c>
      <c r="K2077" s="176">
        <v>151667</v>
      </c>
      <c r="L2077" s="163"/>
      <c r="M2077" s="161" t="s">
        <v>5111</v>
      </c>
      <c r="N2077" s="161" t="s">
        <v>1299</v>
      </c>
      <c r="O2077" s="161" t="s">
        <v>25</v>
      </c>
      <c r="P2077" s="49" t="s">
        <v>25</v>
      </c>
      <c r="Q2077" s="166" t="s">
        <v>5378</v>
      </c>
      <c r="R2077" s="167"/>
    </row>
    <row r="2078" s="148" customFormat="1" spans="1:18">
      <c r="A2078" s="186" t="s">
        <v>61</v>
      </c>
      <c r="B2078" s="101" t="s">
        <v>554</v>
      </c>
      <c r="C2078" s="84" t="s">
        <v>5379</v>
      </c>
      <c r="D2078" s="161" t="s">
        <v>5380</v>
      </c>
      <c r="E2078" s="161" t="s">
        <v>5092</v>
      </c>
      <c r="F2078" s="161" t="s">
        <v>5364</v>
      </c>
      <c r="G2078" s="163">
        <v>120.2</v>
      </c>
      <c r="H2078" s="163">
        <f t="shared" si="171"/>
        <v>24.6</v>
      </c>
      <c r="I2078" s="176">
        <v>343.6</v>
      </c>
      <c r="J2078" s="176">
        <v>39068</v>
      </c>
      <c r="K2078" s="176">
        <v>190736</v>
      </c>
      <c r="L2078" s="163"/>
      <c r="M2078" s="161" t="s">
        <v>5111</v>
      </c>
      <c r="N2078" s="161" t="s">
        <v>1901</v>
      </c>
      <c r="O2078" s="161" t="s">
        <v>25</v>
      </c>
      <c r="P2078" s="49" t="s">
        <v>25</v>
      </c>
      <c r="Q2078" s="166" t="s">
        <v>5378</v>
      </c>
      <c r="R2078" s="167"/>
    </row>
    <row r="2079" s="148" customFormat="1" spans="1:18">
      <c r="A2079" s="186" t="s">
        <v>61</v>
      </c>
      <c r="B2079" s="101" t="s">
        <v>554</v>
      </c>
      <c r="C2079" s="84" t="s">
        <v>5381</v>
      </c>
      <c r="D2079" s="161" t="s">
        <v>5382</v>
      </c>
      <c r="E2079" s="161" t="s">
        <v>5092</v>
      </c>
      <c r="F2079" s="161" t="s">
        <v>5364</v>
      </c>
      <c r="G2079" s="163">
        <v>139.9</v>
      </c>
      <c r="H2079" s="163">
        <f t="shared" si="171"/>
        <v>19.7</v>
      </c>
      <c r="I2079" s="176">
        <v>443.7</v>
      </c>
      <c r="J2079" s="176">
        <v>31286</v>
      </c>
      <c r="K2079" s="176">
        <v>222022</v>
      </c>
      <c r="L2079" s="163"/>
      <c r="M2079" s="161" t="s">
        <v>5111</v>
      </c>
      <c r="N2079" s="161" t="s">
        <v>1901</v>
      </c>
      <c r="O2079" s="161" t="s">
        <v>25</v>
      </c>
      <c r="P2079" s="49" t="s">
        <v>25</v>
      </c>
      <c r="Q2079" s="166" t="s">
        <v>5378</v>
      </c>
      <c r="R2079" s="167"/>
    </row>
    <row r="2080" s="148" customFormat="1" spans="1:18">
      <c r="A2080" s="186" t="s">
        <v>61</v>
      </c>
      <c r="B2080" s="101" t="s">
        <v>554</v>
      </c>
      <c r="C2080" s="84" t="s">
        <v>5383</v>
      </c>
      <c r="D2080" s="161" t="s">
        <v>5384</v>
      </c>
      <c r="E2080" s="161" t="s">
        <v>5092</v>
      </c>
      <c r="F2080" s="161" t="s">
        <v>5364</v>
      </c>
      <c r="G2080" s="163">
        <v>165</v>
      </c>
      <c r="H2080" s="163">
        <f t="shared" si="171"/>
        <v>25.1</v>
      </c>
      <c r="I2080" s="176">
        <v>390.3</v>
      </c>
      <c r="J2080" s="176">
        <v>39862</v>
      </c>
      <c r="K2080" s="176">
        <v>261884</v>
      </c>
      <c r="L2080" s="163"/>
      <c r="M2080" s="161" t="s">
        <v>5111</v>
      </c>
      <c r="N2080" s="161" t="s">
        <v>1901</v>
      </c>
      <c r="O2080" s="161" t="s">
        <v>25</v>
      </c>
      <c r="P2080" s="49" t="s">
        <v>25</v>
      </c>
      <c r="Q2080" s="166" t="s">
        <v>5385</v>
      </c>
      <c r="R2080" s="167"/>
    </row>
    <row r="2081" s="148" customFormat="1" spans="1:18">
      <c r="A2081" s="186" t="s">
        <v>61</v>
      </c>
      <c r="B2081" s="101" t="s">
        <v>554</v>
      </c>
      <c r="C2081" s="84" t="s">
        <v>5386</v>
      </c>
      <c r="D2081" s="161" t="s">
        <v>5386</v>
      </c>
      <c r="E2081" s="161" t="s">
        <v>5092</v>
      </c>
      <c r="F2081" s="161" t="s">
        <v>5364</v>
      </c>
      <c r="G2081" s="163">
        <v>193.6</v>
      </c>
      <c r="H2081" s="163">
        <f t="shared" si="171"/>
        <v>28.6</v>
      </c>
      <c r="I2081" s="176">
        <v>297.9</v>
      </c>
      <c r="J2081" s="176">
        <v>45421</v>
      </c>
      <c r="K2081" s="176">
        <v>307305</v>
      </c>
      <c r="L2081" s="163"/>
      <c r="M2081" s="161" t="s">
        <v>5111</v>
      </c>
      <c r="N2081" s="161" t="s">
        <v>1331</v>
      </c>
      <c r="O2081" s="161" t="s">
        <v>15</v>
      </c>
      <c r="P2081" s="49" t="s">
        <v>6</v>
      </c>
      <c r="Q2081" s="166" t="s">
        <v>5385</v>
      </c>
      <c r="R2081" s="167"/>
    </row>
    <row r="2082" s="148" customFormat="1" spans="1:18">
      <c r="A2082" s="186" t="s">
        <v>61</v>
      </c>
      <c r="B2082" s="101" t="s">
        <v>554</v>
      </c>
      <c r="C2082" s="84" t="s">
        <v>5387</v>
      </c>
      <c r="D2082" s="161" t="s">
        <v>5388</v>
      </c>
      <c r="E2082" s="161" t="s">
        <v>5092</v>
      </c>
      <c r="F2082" s="161" t="s">
        <v>5364</v>
      </c>
      <c r="G2082" s="163">
        <v>217.8</v>
      </c>
      <c r="H2082" s="163">
        <f t="shared" si="171"/>
        <v>24.2</v>
      </c>
      <c r="I2082" s="176">
        <v>313.2</v>
      </c>
      <c r="J2082" s="176">
        <v>38433</v>
      </c>
      <c r="K2082" s="176">
        <v>345738</v>
      </c>
      <c r="L2082" s="163"/>
      <c r="M2082" s="161" t="s">
        <v>5111</v>
      </c>
      <c r="N2082" s="161" t="s">
        <v>1901</v>
      </c>
      <c r="O2082" s="161" t="s">
        <v>25</v>
      </c>
      <c r="P2082" s="49" t="s">
        <v>25</v>
      </c>
      <c r="Q2082" s="166" t="s">
        <v>5385</v>
      </c>
      <c r="R2082" s="167"/>
    </row>
    <row r="2083" s="148" customFormat="1" spans="1:18">
      <c r="A2083" s="186" t="s">
        <v>61</v>
      </c>
      <c r="B2083" s="101" t="s">
        <v>554</v>
      </c>
      <c r="C2083" s="84" t="s">
        <v>5389</v>
      </c>
      <c r="D2083" s="161" t="s">
        <v>5390</v>
      </c>
      <c r="E2083" s="161" t="s">
        <v>5092</v>
      </c>
      <c r="F2083" s="161" t="s">
        <v>5364</v>
      </c>
      <c r="G2083" s="163">
        <v>246.3</v>
      </c>
      <c r="H2083" s="163">
        <f t="shared" si="171"/>
        <v>28.5</v>
      </c>
      <c r="I2083" s="176">
        <v>314.5</v>
      </c>
      <c r="J2083" s="176">
        <v>45262</v>
      </c>
      <c r="K2083" s="176">
        <v>391000</v>
      </c>
      <c r="L2083" s="163"/>
      <c r="M2083" s="161" t="s">
        <v>5111</v>
      </c>
      <c r="N2083" s="161" t="s">
        <v>1299</v>
      </c>
      <c r="O2083" s="161" t="s">
        <v>25</v>
      </c>
      <c r="P2083" s="49" t="s">
        <v>25</v>
      </c>
      <c r="Q2083" s="166" t="s">
        <v>5385</v>
      </c>
      <c r="R2083" s="167"/>
    </row>
    <row r="2084" s="148" customFormat="1" spans="1:18">
      <c r="A2084" s="186" t="s">
        <v>61</v>
      </c>
      <c r="B2084" s="101" t="s">
        <v>554</v>
      </c>
      <c r="C2084" s="84" t="s">
        <v>5391</v>
      </c>
      <c r="D2084" s="161" t="s">
        <v>5392</v>
      </c>
      <c r="E2084" s="161" t="s">
        <v>5092</v>
      </c>
      <c r="F2084" s="161" t="s">
        <v>5364</v>
      </c>
      <c r="G2084" s="163">
        <v>267.8</v>
      </c>
      <c r="H2084" s="163">
        <f t="shared" si="171"/>
        <v>21.5</v>
      </c>
      <c r="I2084" s="176">
        <v>246</v>
      </c>
      <c r="J2084" s="176">
        <v>34145</v>
      </c>
      <c r="K2084" s="176">
        <v>425145</v>
      </c>
      <c r="L2084" s="163"/>
      <c r="M2084" s="161" t="s">
        <v>5111</v>
      </c>
      <c r="N2084" s="161" t="s">
        <v>1299</v>
      </c>
      <c r="O2084" s="161" t="s">
        <v>25</v>
      </c>
      <c r="P2084" s="49" t="s">
        <v>25</v>
      </c>
      <c r="Q2084" s="166" t="s">
        <v>5393</v>
      </c>
      <c r="R2084" s="167"/>
    </row>
    <row r="2085" s="148" customFormat="1" spans="1:18">
      <c r="A2085" s="186" t="s">
        <v>61</v>
      </c>
      <c r="B2085" s="101" t="s">
        <v>554</v>
      </c>
      <c r="C2085" s="84" t="s">
        <v>584</v>
      </c>
      <c r="D2085" s="161" t="s">
        <v>5394</v>
      </c>
      <c r="E2085" s="161" t="s">
        <v>5092</v>
      </c>
      <c r="F2085" s="161" t="s">
        <v>5395</v>
      </c>
      <c r="G2085" s="163">
        <v>284.6</v>
      </c>
      <c r="H2085" s="163">
        <f t="shared" si="171"/>
        <v>16.8</v>
      </c>
      <c r="I2085" s="176">
        <v>266.5</v>
      </c>
      <c r="J2085" s="176">
        <v>26681</v>
      </c>
      <c r="K2085" s="176">
        <v>451826</v>
      </c>
      <c r="L2085" s="163"/>
      <c r="M2085" s="161" t="s">
        <v>5111</v>
      </c>
      <c r="N2085" s="161" t="s">
        <v>1299</v>
      </c>
      <c r="O2085" s="161" t="s">
        <v>25</v>
      </c>
      <c r="P2085" s="49" t="s">
        <v>25</v>
      </c>
      <c r="Q2085" s="166" t="s">
        <v>5393</v>
      </c>
      <c r="R2085" s="167"/>
    </row>
    <row r="2086" s="148" customFormat="1" spans="1:18">
      <c r="A2086" s="186" t="s">
        <v>61</v>
      </c>
      <c r="B2086" s="101" t="s">
        <v>554</v>
      </c>
      <c r="C2086" s="84" t="s">
        <v>5396</v>
      </c>
      <c r="D2086" s="161" t="s">
        <v>5397</v>
      </c>
      <c r="E2086" s="161" t="s">
        <v>5092</v>
      </c>
      <c r="F2086" s="161" t="s">
        <v>5395</v>
      </c>
      <c r="G2086" s="163">
        <v>307.9</v>
      </c>
      <c r="H2086" s="163">
        <f t="shared" si="171"/>
        <v>23.3</v>
      </c>
      <c r="I2086" s="176">
        <v>257.4</v>
      </c>
      <c r="J2086" s="176">
        <v>37004</v>
      </c>
      <c r="K2086" s="176">
        <v>488830</v>
      </c>
      <c r="L2086" s="163"/>
      <c r="M2086" s="161" t="s">
        <v>5111</v>
      </c>
      <c r="N2086" s="161" t="s">
        <v>1901</v>
      </c>
      <c r="O2086" s="161" t="s">
        <v>25</v>
      </c>
      <c r="P2086" s="49" t="s">
        <v>25</v>
      </c>
      <c r="Q2086" s="166" t="s">
        <v>5393</v>
      </c>
      <c r="R2086" s="167"/>
    </row>
    <row r="2087" s="148" customFormat="1" spans="1:18">
      <c r="A2087" s="186" t="s">
        <v>61</v>
      </c>
      <c r="B2087" s="101" t="s">
        <v>554</v>
      </c>
      <c r="C2087" s="84" t="s">
        <v>5398</v>
      </c>
      <c r="D2087" s="161" t="s">
        <v>5399</v>
      </c>
      <c r="E2087" s="161" t="s">
        <v>5092</v>
      </c>
      <c r="F2087" s="161" t="s">
        <v>5395</v>
      </c>
      <c r="G2087" s="163">
        <v>326.6</v>
      </c>
      <c r="H2087" s="163">
        <f t="shared" si="171"/>
        <v>18.7</v>
      </c>
      <c r="I2087" s="176">
        <v>302.5</v>
      </c>
      <c r="J2087" s="176">
        <v>29698</v>
      </c>
      <c r="K2087" s="176">
        <v>518528</v>
      </c>
      <c r="L2087" s="163"/>
      <c r="M2087" s="161" t="s">
        <v>5111</v>
      </c>
      <c r="N2087" s="161" t="s">
        <v>1299</v>
      </c>
      <c r="O2087" s="161" t="s">
        <v>25</v>
      </c>
      <c r="P2087" s="49" t="s">
        <v>25</v>
      </c>
      <c r="Q2087" s="166" t="s">
        <v>5393</v>
      </c>
      <c r="R2087" s="167"/>
    </row>
    <row r="2088" s="148" customFormat="1" spans="1:18">
      <c r="A2088" s="186" t="s">
        <v>61</v>
      </c>
      <c r="B2088" s="101" t="s">
        <v>554</v>
      </c>
      <c r="C2088" s="84" t="s">
        <v>5400</v>
      </c>
      <c r="D2088" s="161" t="s">
        <v>5401</v>
      </c>
      <c r="E2088" s="161" t="s">
        <v>5092</v>
      </c>
      <c r="F2088" s="161" t="s">
        <v>5395</v>
      </c>
      <c r="G2088" s="163">
        <v>342</v>
      </c>
      <c r="H2088" s="163">
        <f t="shared" si="171"/>
        <v>15.4</v>
      </c>
      <c r="I2088" s="176">
        <v>253.6</v>
      </c>
      <c r="J2088" s="176">
        <v>24457</v>
      </c>
      <c r="K2088" s="176">
        <v>542985</v>
      </c>
      <c r="L2088" s="163"/>
      <c r="M2088" s="161" t="s">
        <v>5111</v>
      </c>
      <c r="N2088" s="161" t="s">
        <v>1901</v>
      </c>
      <c r="O2088" s="161" t="s">
        <v>25</v>
      </c>
      <c r="P2088" s="49" t="s">
        <v>25</v>
      </c>
      <c r="Q2088" s="166" t="s">
        <v>5393</v>
      </c>
      <c r="R2088" s="167"/>
    </row>
    <row r="2089" s="148" customFormat="1" spans="1:18">
      <c r="A2089" s="186" t="s">
        <v>61</v>
      </c>
      <c r="B2089" s="101" t="s">
        <v>554</v>
      </c>
      <c r="C2089" s="84" t="s">
        <v>5402</v>
      </c>
      <c r="D2089" s="161" t="s">
        <v>5403</v>
      </c>
      <c r="E2089" s="161" t="s">
        <v>5092</v>
      </c>
      <c r="F2089" s="161" t="s">
        <v>5395</v>
      </c>
      <c r="G2089" s="163">
        <v>368.2</v>
      </c>
      <c r="H2089" s="163">
        <f t="shared" si="171"/>
        <v>26.2</v>
      </c>
      <c r="I2089" s="176">
        <v>242.1</v>
      </c>
      <c r="J2089" s="176">
        <v>41609</v>
      </c>
      <c r="K2089" s="176">
        <v>584595</v>
      </c>
      <c r="L2089" s="163"/>
      <c r="M2089" s="161" t="s">
        <v>5111</v>
      </c>
      <c r="N2089" s="161" t="s">
        <v>1901</v>
      </c>
      <c r="O2089" s="161" t="s">
        <v>25</v>
      </c>
      <c r="P2089" s="49" t="s">
        <v>25</v>
      </c>
      <c r="Q2089" s="166" t="s">
        <v>5404</v>
      </c>
      <c r="R2089" s="167"/>
    </row>
    <row r="2090" s="148" customFormat="1" spans="1:18">
      <c r="A2090" s="186" t="s">
        <v>61</v>
      </c>
      <c r="B2090" s="101" t="s">
        <v>554</v>
      </c>
      <c r="C2090" s="84" t="s">
        <v>569</v>
      </c>
      <c r="D2090" s="161" t="s">
        <v>569</v>
      </c>
      <c r="E2090" s="161" t="s">
        <v>5092</v>
      </c>
      <c r="F2090" s="161" t="s">
        <v>5395</v>
      </c>
      <c r="G2090" s="163">
        <v>382.8</v>
      </c>
      <c r="H2090" s="163">
        <f t="shared" si="171"/>
        <v>14.6</v>
      </c>
      <c r="I2090" s="176">
        <v>259.4</v>
      </c>
      <c r="J2090" s="176">
        <v>23187</v>
      </c>
      <c r="K2090" s="176">
        <v>607782</v>
      </c>
      <c r="L2090" s="163"/>
      <c r="M2090" s="161" t="s">
        <v>5111</v>
      </c>
      <c r="N2090" s="161" t="s">
        <v>1331</v>
      </c>
      <c r="O2090" s="161" t="s">
        <v>6</v>
      </c>
      <c r="P2090" s="49" t="s">
        <v>6</v>
      </c>
      <c r="Q2090" s="166" t="s">
        <v>5404</v>
      </c>
      <c r="R2090" s="167"/>
    </row>
    <row r="2091" s="148" customFormat="1" spans="1:18">
      <c r="A2091" s="186" t="s">
        <v>61</v>
      </c>
      <c r="B2091" s="101" t="s">
        <v>554</v>
      </c>
      <c r="C2091" s="84" t="s">
        <v>5405</v>
      </c>
      <c r="D2091" s="161" t="s">
        <v>5406</v>
      </c>
      <c r="E2091" s="161" t="s">
        <v>5092</v>
      </c>
      <c r="F2091" s="161" t="s">
        <v>5395</v>
      </c>
      <c r="G2091" s="163">
        <v>403.3</v>
      </c>
      <c r="H2091" s="163">
        <f t="shared" si="171"/>
        <v>20.5</v>
      </c>
      <c r="I2091" s="176">
        <v>215.7</v>
      </c>
      <c r="J2091" s="176">
        <v>32398</v>
      </c>
      <c r="K2091" s="176">
        <v>640180</v>
      </c>
      <c r="L2091" s="163"/>
      <c r="M2091" s="161" t="s">
        <v>5111</v>
      </c>
      <c r="N2091" s="161" t="s">
        <v>1901</v>
      </c>
      <c r="O2091" s="161" t="s">
        <v>25</v>
      </c>
      <c r="P2091" s="49" t="s">
        <v>25</v>
      </c>
      <c r="Q2091" s="166" t="s">
        <v>5407</v>
      </c>
      <c r="R2091" s="167"/>
    </row>
    <row r="2092" s="148" customFormat="1" spans="1:18">
      <c r="A2092" s="186" t="s">
        <v>61</v>
      </c>
      <c r="B2092" s="101" t="s">
        <v>554</v>
      </c>
      <c r="C2092" s="84" t="s">
        <v>5408</v>
      </c>
      <c r="D2092" s="161" t="s">
        <v>5409</v>
      </c>
      <c r="E2092" s="161" t="s">
        <v>5092</v>
      </c>
      <c r="F2092" s="161" t="s">
        <v>5395</v>
      </c>
      <c r="G2092" s="163">
        <v>424.3</v>
      </c>
      <c r="H2092" s="163">
        <f t="shared" si="171"/>
        <v>21</v>
      </c>
      <c r="I2092" s="176">
        <v>191.4</v>
      </c>
      <c r="J2092" s="176">
        <v>33351</v>
      </c>
      <c r="K2092" s="176">
        <v>673531</v>
      </c>
      <c r="L2092" s="163"/>
      <c r="M2092" s="161" t="s">
        <v>5111</v>
      </c>
      <c r="N2092" s="161" t="s">
        <v>1299</v>
      </c>
      <c r="O2092" s="161" t="s">
        <v>25</v>
      </c>
      <c r="P2092" s="49" t="s">
        <v>25</v>
      </c>
      <c r="Q2092" s="166" t="s">
        <v>5407</v>
      </c>
      <c r="R2092" s="167"/>
    </row>
    <row r="2093" s="148" customFormat="1" spans="1:18">
      <c r="A2093" s="186" t="s">
        <v>61</v>
      </c>
      <c r="B2093" s="101" t="s">
        <v>554</v>
      </c>
      <c r="C2093" s="84" t="s">
        <v>5410</v>
      </c>
      <c r="D2093" s="161" t="s">
        <v>5411</v>
      </c>
      <c r="E2093" s="161" t="s">
        <v>5092</v>
      </c>
      <c r="F2093" s="161" t="s">
        <v>5412</v>
      </c>
      <c r="G2093" s="163">
        <v>441.4</v>
      </c>
      <c r="H2093" s="163">
        <f t="shared" si="171"/>
        <v>17.1</v>
      </c>
      <c r="I2093" s="176">
        <v>174</v>
      </c>
      <c r="J2093" s="176">
        <v>27157</v>
      </c>
      <c r="K2093" s="176">
        <v>700688</v>
      </c>
      <c r="L2093" s="163"/>
      <c r="M2093" s="161" t="s">
        <v>5111</v>
      </c>
      <c r="N2093" s="161" t="s">
        <v>1901</v>
      </c>
      <c r="O2093" s="161" t="s">
        <v>25</v>
      </c>
      <c r="P2093" s="49" t="s">
        <v>25</v>
      </c>
      <c r="Q2093" s="166" t="s">
        <v>5413</v>
      </c>
      <c r="R2093" s="167"/>
    </row>
    <row r="2094" s="148" customFormat="1" spans="1:18">
      <c r="A2094" s="186" t="s">
        <v>61</v>
      </c>
      <c r="B2094" s="101" t="s">
        <v>554</v>
      </c>
      <c r="C2094" s="84" t="s">
        <v>5414</v>
      </c>
      <c r="D2094" s="161" t="s">
        <v>5415</v>
      </c>
      <c r="E2094" s="161" t="s">
        <v>5092</v>
      </c>
      <c r="F2094" s="161" t="s">
        <v>5412</v>
      </c>
      <c r="G2094" s="163">
        <v>460.8</v>
      </c>
      <c r="H2094" s="163">
        <f t="shared" si="171"/>
        <v>19.4</v>
      </c>
      <c r="I2094" s="176">
        <v>156.2</v>
      </c>
      <c r="J2094" s="176">
        <v>30810</v>
      </c>
      <c r="K2094" s="176">
        <v>731498</v>
      </c>
      <c r="L2094" s="163"/>
      <c r="M2094" s="161" t="s">
        <v>5111</v>
      </c>
      <c r="N2094" s="161" t="s">
        <v>1901</v>
      </c>
      <c r="O2094" s="161" t="s">
        <v>25</v>
      </c>
      <c r="P2094" s="49" t="s">
        <v>25</v>
      </c>
      <c r="Q2094" s="166" t="s">
        <v>5413</v>
      </c>
      <c r="R2094" s="167"/>
    </row>
    <row r="2095" s="148" customFormat="1" spans="1:18">
      <c r="A2095" s="186" t="s">
        <v>61</v>
      </c>
      <c r="B2095" s="101" t="s">
        <v>554</v>
      </c>
      <c r="C2095" s="84" t="s">
        <v>5416</v>
      </c>
      <c r="D2095" s="161" t="s">
        <v>5417</v>
      </c>
      <c r="E2095" s="161" t="s">
        <v>5092</v>
      </c>
      <c r="F2095" s="161" t="s">
        <v>5412</v>
      </c>
      <c r="G2095" s="163">
        <v>481.3</v>
      </c>
      <c r="H2095" s="163">
        <f t="shared" si="171"/>
        <v>20.5</v>
      </c>
      <c r="I2095" s="176">
        <v>156.3</v>
      </c>
      <c r="J2095" s="176">
        <v>32557</v>
      </c>
      <c r="K2095" s="176">
        <v>764055</v>
      </c>
      <c r="L2095" s="163"/>
      <c r="M2095" s="161" t="s">
        <v>5111</v>
      </c>
      <c r="N2095" s="161" t="s">
        <v>1299</v>
      </c>
      <c r="O2095" s="161" t="s">
        <v>25</v>
      </c>
      <c r="P2095" s="49" t="s">
        <v>25</v>
      </c>
      <c r="Q2095" s="166" t="s">
        <v>5413</v>
      </c>
      <c r="R2095" s="167"/>
    </row>
    <row r="2096" s="148" customFormat="1" spans="1:18">
      <c r="A2096" s="186" t="s">
        <v>61</v>
      </c>
      <c r="B2096" s="101" t="s">
        <v>554</v>
      </c>
      <c r="C2096" s="84" t="s">
        <v>5418</v>
      </c>
      <c r="D2096" s="161" t="s">
        <v>5419</v>
      </c>
      <c r="E2096" s="161" t="s">
        <v>5092</v>
      </c>
      <c r="F2096" s="161" t="s">
        <v>5412</v>
      </c>
      <c r="G2096" s="163">
        <v>502.3</v>
      </c>
      <c r="H2096" s="163">
        <f t="shared" si="171"/>
        <v>21</v>
      </c>
      <c r="I2096" s="176">
        <v>168.1</v>
      </c>
      <c r="J2096" s="176">
        <v>33351</v>
      </c>
      <c r="K2096" s="176">
        <v>797406</v>
      </c>
      <c r="L2096" s="163"/>
      <c r="M2096" s="161" t="s">
        <v>5111</v>
      </c>
      <c r="N2096" s="161" t="s">
        <v>1901</v>
      </c>
      <c r="O2096" s="161" t="s">
        <v>25</v>
      </c>
      <c r="P2096" s="49" t="s">
        <v>25</v>
      </c>
      <c r="Q2096" s="166" t="s">
        <v>5420</v>
      </c>
      <c r="R2096" s="167"/>
    </row>
    <row r="2097" s="148" customFormat="1" spans="1:18">
      <c r="A2097" s="186" t="s">
        <v>61</v>
      </c>
      <c r="B2097" s="101" t="s">
        <v>554</v>
      </c>
      <c r="C2097" s="84" t="s">
        <v>575</v>
      </c>
      <c r="D2097" s="161" t="s">
        <v>575</v>
      </c>
      <c r="E2097" s="161" t="s">
        <v>5092</v>
      </c>
      <c r="F2097" s="161" t="s">
        <v>5412</v>
      </c>
      <c r="G2097" s="163">
        <v>525.2</v>
      </c>
      <c r="H2097" s="163">
        <f t="shared" si="171"/>
        <v>22.9</v>
      </c>
      <c r="I2097" s="176">
        <v>164.6</v>
      </c>
      <c r="J2097" s="176">
        <v>36368</v>
      </c>
      <c r="K2097" s="176">
        <v>833774</v>
      </c>
      <c r="L2097" s="163"/>
      <c r="M2097" s="161" t="s">
        <v>5111</v>
      </c>
      <c r="N2097" s="161" t="s">
        <v>1331</v>
      </c>
      <c r="O2097" s="161" t="s">
        <v>15</v>
      </c>
      <c r="P2097" s="49" t="s">
        <v>15</v>
      </c>
      <c r="Q2097" s="166" t="s">
        <v>5421</v>
      </c>
      <c r="R2097" s="167"/>
    </row>
    <row r="2098" s="148" customFormat="1" spans="1:18">
      <c r="A2098" s="186" t="s">
        <v>61</v>
      </c>
      <c r="B2098" s="101" t="s">
        <v>554</v>
      </c>
      <c r="C2098" s="84" t="s">
        <v>5422</v>
      </c>
      <c r="D2098" s="161" t="s">
        <v>5423</v>
      </c>
      <c r="E2098" s="161" t="s">
        <v>5092</v>
      </c>
      <c r="F2098" s="161" t="s">
        <v>5412</v>
      </c>
      <c r="G2098" s="163">
        <v>558.7507</v>
      </c>
      <c r="H2098" s="163">
        <f t="shared" si="171"/>
        <v>33.5507</v>
      </c>
      <c r="I2098" s="176">
        <v>142.6</v>
      </c>
      <c r="J2098" s="176">
        <v>32557</v>
      </c>
      <c r="K2098" s="176">
        <v>866331</v>
      </c>
      <c r="L2098" s="163"/>
      <c r="M2098" s="161" t="s">
        <v>5111</v>
      </c>
      <c r="N2098" s="161" t="s">
        <v>1901</v>
      </c>
      <c r="O2098" s="161" t="s">
        <v>25</v>
      </c>
      <c r="P2098" s="49" t="s">
        <v>25</v>
      </c>
      <c r="Q2098" s="166" t="s">
        <v>5421</v>
      </c>
      <c r="R2098" s="167"/>
    </row>
    <row r="2099" s="148" customFormat="1" spans="1:18">
      <c r="A2099" s="186" t="s">
        <v>61</v>
      </c>
      <c r="B2099" s="101" t="s">
        <v>554</v>
      </c>
      <c r="C2099" s="84" t="s">
        <v>5424</v>
      </c>
      <c r="D2099" s="161" t="s">
        <v>5425</v>
      </c>
      <c r="E2099" s="161" t="s">
        <v>5092</v>
      </c>
      <c r="F2099" s="161" t="s">
        <v>5412</v>
      </c>
      <c r="G2099" s="163">
        <v>586.7369</v>
      </c>
      <c r="H2099" s="163">
        <f t="shared" si="171"/>
        <v>27.9861999999999</v>
      </c>
      <c r="I2099" s="176">
        <v>134.2</v>
      </c>
      <c r="J2099" s="176">
        <v>27157</v>
      </c>
      <c r="K2099" s="176">
        <v>893488</v>
      </c>
      <c r="L2099" s="163"/>
      <c r="M2099" s="161" t="s">
        <v>5111</v>
      </c>
      <c r="N2099" s="161" t="s">
        <v>1901</v>
      </c>
      <c r="O2099" s="161" t="s">
        <v>25</v>
      </c>
      <c r="P2099" s="49" t="s">
        <v>25</v>
      </c>
      <c r="Q2099" s="166" t="s">
        <v>5421</v>
      </c>
      <c r="R2099" s="167"/>
    </row>
    <row r="2100" s="148" customFormat="1" spans="1:18">
      <c r="A2100" s="186" t="s">
        <v>61</v>
      </c>
      <c r="B2100" s="101" t="s">
        <v>554</v>
      </c>
      <c r="C2100" s="84" t="s">
        <v>5426</v>
      </c>
      <c r="D2100" s="161" t="s">
        <v>5426</v>
      </c>
      <c r="E2100" s="161" t="s">
        <v>5092</v>
      </c>
      <c r="F2100" s="161" t="s">
        <v>5412</v>
      </c>
      <c r="G2100" s="163">
        <v>613.2501</v>
      </c>
      <c r="H2100" s="163">
        <f t="shared" si="171"/>
        <v>26.5132</v>
      </c>
      <c r="I2100" s="176">
        <v>135.2</v>
      </c>
      <c r="J2100" s="176">
        <v>25728</v>
      </c>
      <c r="K2100" s="176">
        <v>919216</v>
      </c>
      <c r="L2100" s="163"/>
      <c r="M2100" s="161" t="s">
        <v>5111</v>
      </c>
      <c r="N2100" s="161" t="s">
        <v>1331</v>
      </c>
      <c r="O2100" s="161" t="s">
        <v>14</v>
      </c>
      <c r="P2100" s="49" t="s">
        <v>6</v>
      </c>
      <c r="Q2100" s="166" t="s">
        <v>5427</v>
      </c>
      <c r="R2100" s="167"/>
    </row>
    <row r="2101" s="148" customFormat="1" spans="1:18">
      <c r="A2101" s="186" t="s">
        <v>61</v>
      </c>
      <c r="B2101" s="101" t="s">
        <v>554</v>
      </c>
      <c r="C2101" s="84" t="s">
        <v>5428</v>
      </c>
      <c r="D2101" s="161" t="s">
        <v>5429</v>
      </c>
      <c r="E2101" s="161" t="s">
        <v>5092</v>
      </c>
      <c r="F2101" s="161" t="s">
        <v>5412</v>
      </c>
      <c r="G2101" s="163">
        <v>621.3163</v>
      </c>
      <c r="H2101" s="163">
        <f t="shared" si="171"/>
        <v>8.06619999999998</v>
      </c>
      <c r="I2101" s="176">
        <v>140.6</v>
      </c>
      <c r="J2101" s="176">
        <v>45580</v>
      </c>
      <c r="K2101" s="176">
        <v>964796</v>
      </c>
      <c r="L2101" s="163"/>
      <c r="M2101" s="161" t="s">
        <v>5111</v>
      </c>
      <c r="N2101" s="161" t="s">
        <v>1299</v>
      </c>
      <c r="O2101" s="161" t="s">
        <v>25</v>
      </c>
      <c r="P2101" s="49" t="s">
        <v>25</v>
      </c>
      <c r="Q2101" s="166" t="s">
        <v>5427</v>
      </c>
      <c r="R2101" s="167"/>
    </row>
    <row r="2102" s="148" customFormat="1" spans="1:18">
      <c r="A2102" s="186" t="s">
        <v>61</v>
      </c>
      <c r="B2102" s="101" t="s">
        <v>554</v>
      </c>
      <c r="C2102" s="84" t="s">
        <v>5430</v>
      </c>
      <c r="D2102" s="161" t="s">
        <v>5431</v>
      </c>
      <c r="E2102" s="161" t="s">
        <v>5092</v>
      </c>
      <c r="F2102" s="161" t="s">
        <v>5432</v>
      </c>
      <c r="G2102" s="163">
        <v>626.6001</v>
      </c>
      <c r="H2102" s="163">
        <f t="shared" si="171"/>
        <v>5.28380000000004</v>
      </c>
      <c r="I2102" s="176">
        <v>128.3</v>
      </c>
      <c r="J2102" s="176">
        <v>29857</v>
      </c>
      <c r="K2102" s="176">
        <v>994653</v>
      </c>
      <c r="L2102" s="163"/>
      <c r="M2102" s="161" t="s">
        <v>5111</v>
      </c>
      <c r="N2102" s="161" t="s">
        <v>1299</v>
      </c>
      <c r="O2102" s="161" t="s">
        <v>25</v>
      </c>
      <c r="P2102" s="49" t="s">
        <v>25</v>
      </c>
      <c r="Q2102" s="166" t="s">
        <v>5363</v>
      </c>
      <c r="R2102" s="167"/>
    </row>
    <row r="2103" s="148" customFormat="1" spans="1:18">
      <c r="A2103" s="186" t="s">
        <v>61</v>
      </c>
      <c r="B2103" s="101" t="s">
        <v>554</v>
      </c>
      <c r="C2103" s="84" t="s">
        <v>5433</v>
      </c>
      <c r="D2103" s="161" t="s">
        <v>5434</v>
      </c>
      <c r="E2103" s="161" t="s">
        <v>5092</v>
      </c>
      <c r="F2103" s="161" t="s">
        <v>5432</v>
      </c>
      <c r="G2103" s="163">
        <v>646.7001</v>
      </c>
      <c r="H2103" s="163">
        <f t="shared" si="171"/>
        <v>20.1</v>
      </c>
      <c r="I2103" s="176">
        <v>134.4</v>
      </c>
      <c r="J2103" s="176">
        <v>31922</v>
      </c>
      <c r="K2103" s="176">
        <v>1026574</v>
      </c>
      <c r="L2103" s="163"/>
      <c r="M2103" s="161" t="s">
        <v>5111</v>
      </c>
      <c r="N2103" s="161" t="s">
        <v>1901</v>
      </c>
      <c r="O2103" s="161" t="s">
        <v>25</v>
      </c>
      <c r="P2103" s="49" t="s">
        <v>25</v>
      </c>
      <c r="Q2103" s="166" t="s">
        <v>5363</v>
      </c>
      <c r="R2103" s="167"/>
    </row>
    <row r="2104" s="148" customFormat="1" spans="1:18">
      <c r="A2104" s="186" t="s">
        <v>61</v>
      </c>
      <c r="B2104" s="101" t="s">
        <v>554</v>
      </c>
      <c r="C2104" s="84" t="s">
        <v>5435</v>
      </c>
      <c r="D2104" s="161" t="s">
        <v>5436</v>
      </c>
      <c r="E2104" s="161" t="s">
        <v>5092</v>
      </c>
      <c r="F2104" s="161" t="s">
        <v>5437</v>
      </c>
      <c r="G2104" s="163">
        <v>659.6001</v>
      </c>
      <c r="H2104" s="163">
        <f t="shared" si="171"/>
        <v>12.9</v>
      </c>
      <c r="I2104" s="176">
        <v>136</v>
      </c>
      <c r="J2104" s="176">
        <v>20487</v>
      </c>
      <c r="K2104" s="176">
        <v>1047061</v>
      </c>
      <c r="L2104" s="163"/>
      <c r="M2104" s="161" t="s">
        <v>5111</v>
      </c>
      <c r="N2104" s="161" t="s">
        <v>1299</v>
      </c>
      <c r="O2104" s="161" t="s">
        <v>25</v>
      </c>
      <c r="P2104" s="49" t="s">
        <v>25</v>
      </c>
      <c r="Q2104" s="166" t="s">
        <v>5363</v>
      </c>
      <c r="R2104" s="167"/>
    </row>
    <row r="2105" s="148" customFormat="1" spans="1:18">
      <c r="A2105" s="186" t="s">
        <v>61</v>
      </c>
      <c r="B2105" s="101" t="s">
        <v>554</v>
      </c>
      <c r="C2105" s="84" t="s">
        <v>5438</v>
      </c>
      <c r="D2105" s="161" t="s">
        <v>5439</v>
      </c>
      <c r="E2105" s="161" t="s">
        <v>5092</v>
      </c>
      <c r="F2105" s="161" t="s">
        <v>5437</v>
      </c>
      <c r="G2105" s="163">
        <v>685.5001</v>
      </c>
      <c r="H2105" s="163">
        <f t="shared" si="171"/>
        <v>25.9</v>
      </c>
      <c r="I2105" s="176">
        <v>153.4</v>
      </c>
      <c r="J2105" s="176">
        <v>41133</v>
      </c>
      <c r="K2105" s="176">
        <v>1088194</v>
      </c>
      <c r="L2105" s="163"/>
      <c r="M2105" s="161" t="s">
        <v>5111</v>
      </c>
      <c r="N2105" s="161" t="s">
        <v>1901</v>
      </c>
      <c r="O2105" s="161" t="s">
        <v>25</v>
      </c>
      <c r="P2105" s="49" t="s">
        <v>25</v>
      </c>
      <c r="Q2105" s="166" t="s">
        <v>5363</v>
      </c>
      <c r="R2105" s="167"/>
    </row>
    <row r="2106" s="148" customFormat="1" spans="1:18">
      <c r="A2106" s="186" t="s">
        <v>61</v>
      </c>
      <c r="B2106" s="101" t="s">
        <v>554</v>
      </c>
      <c r="C2106" s="84" t="s">
        <v>5362</v>
      </c>
      <c r="D2106" s="161" t="s">
        <v>555</v>
      </c>
      <c r="E2106" s="161" t="s">
        <v>5092</v>
      </c>
      <c r="F2106" s="161" t="s">
        <v>5437</v>
      </c>
      <c r="G2106" s="163">
        <v>715.0001</v>
      </c>
      <c r="H2106" s="163">
        <f t="shared" si="171"/>
        <v>29.5</v>
      </c>
      <c r="I2106" s="176">
        <v>174.2</v>
      </c>
      <c r="J2106" s="176">
        <v>46850</v>
      </c>
      <c r="K2106" s="176">
        <v>1135044</v>
      </c>
      <c r="L2106" s="163"/>
      <c r="M2106" s="161" t="s">
        <v>5111</v>
      </c>
      <c r="N2106" s="161" t="s">
        <v>1331</v>
      </c>
      <c r="O2106" s="161" t="s">
        <v>14</v>
      </c>
      <c r="P2106" s="49" t="s">
        <v>14</v>
      </c>
      <c r="Q2106" s="166" t="s">
        <v>5363</v>
      </c>
      <c r="R2106" s="167"/>
    </row>
    <row r="2107" s="148" customFormat="1" spans="1:18">
      <c r="A2107" s="186" t="s">
        <v>61</v>
      </c>
      <c r="B2107" s="101" t="s">
        <v>556</v>
      </c>
      <c r="C2107" s="84" t="s">
        <v>5440</v>
      </c>
      <c r="D2107" s="161" t="s">
        <v>5441</v>
      </c>
      <c r="E2107" s="161" t="s">
        <v>5092</v>
      </c>
      <c r="F2107" s="161" t="s">
        <v>5437</v>
      </c>
      <c r="G2107" s="163">
        <v>745.8001</v>
      </c>
      <c r="H2107" s="163">
        <f t="shared" ref="H2107:H2138" si="172">G2107-G2106</f>
        <v>30.8000000000001</v>
      </c>
      <c r="I2107" s="163">
        <v>194.32</v>
      </c>
      <c r="J2107" s="163">
        <v>46000</v>
      </c>
      <c r="K2107" s="163">
        <v>1181044</v>
      </c>
      <c r="L2107" s="163"/>
      <c r="M2107" s="161" t="s">
        <v>5111</v>
      </c>
      <c r="N2107" s="161" t="s">
        <v>1901</v>
      </c>
      <c r="O2107" s="161" t="s">
        <v>25</v>
      </c>
      <c r="P2107" s="49" t="s">
        <v>25</v>
      </c>
      <c r="Q2107" s="166"/>
      <c r="R2107" s="167"/>
    </row>
    <row r="2108" s="148" customFormat="1" spans="1:18">
      <c r="A2108" s="186" t="s">
        <v>61</v>
      </c>
      <c r="B2108" s="101" t="s">
        <v>556</v>
      </c>
      <c r="C2108" s="84" t="s">
        <v>5442</v>
      </c>
      <c r="D2108" s="161" t="s">
        <v>5443</v>
      </c>
      <c r="E2108" s="161" t="s">
        <v>5092</v>
      </c>
      <c r="F2108" s="161" t="s">
        <v>5437</v>
      </c>
      <c r="G2108" s="163">
        <v>760.2001</v>
      </c>
      <c r="H2108" s="163">
        <f t="shared" si="172"/>
        <v>14.4</v>
      </c>
      <c r="I2108" s="163">
        <v>201.06</v>
      </c>
      <c r="J2108" s="163">
        <v>21500</v>
      </c>
      <c r="K2108" s="163">
        <v>1202544</v>
      </c>
      <c r="L2108" s="163"/>
      <c r="M2108" s="161" t="s">
        <v>5111</v>
      </c>
      <c r="N2108" s="161" t="s">
        <v>1901</v>
      </c>
      <c r="O2108" s="161" t="s">
        <v>25</v>
      </c>
      <c r="P2108" s="49" t="s">
        <v>25</v>
      </c>
      <c r="Q2108" s="166"/>
      <c r="R2108" s="167"/>
    </row>
    <row r="2109" s="148" customFormat="1" spans="1:18">
      <c r="A2109" s="186" t="s">
        <v>61</v>
      </c>
      <c r="B2109" s="101" t="s">
        <v>556</v>
      </c>
      <c r="C2109" s="84" t="s">
        <v>5444</v>
      </c>
      <c r="D2109" s="161" t="s">
        <v>5445</v>
      </c>
      <c r="E2109" s="161" t="s">
        <v>5092</v>
      </c>
      <c r="F2109" s="161" t="s">
        <v>5437</v>
      </c>
      <c r="G2109" s="163">
        <v>781.8001</v>
      </c>
      <c r="H2109" s="163">
        <f t="shared" si="172"/>
        <v>21.6</v>
      </c>
      <c r="I2109" s="163">
        <v>202.61</v>
      </c>
      <c r="J2109" s="163">
        <v>32300</v>
      </c>
      <c r="K2109" s="163">
        <v>1234844</v>
      </c>
      <c r="L2109" s="163"/>
      <c r="M2109" s="161" t="s">
        <v>5111</v>
      </c>
      <c r="N2109" s="161" t="s">
        <v>1299</v>
      </c>
      <c r="O2109" s="161" t="s">
        <v>25</v>
      </c>
      <c r="P2109" s="49" t="s">
        <v>25</v>
      </c>
      <c r="Q2109" s="166"/>
      <c r="R2109" s="167"/>
    </row>
    <row r="2110" s="148" customFormat="1" spans="1:18">
      <c r="A2110" s="186" t="s">
        <v>61</v>
      </c>
      <c r="B2110" s="101" t="s">
        <v>556</v>
      </c>
      <c r="C2110" s="84" t="s">
        <v>5446</v>
      </c>
      <c r="D2110" s="161" t="s">
        <v>5447</v>
      </c>
      <c r="E2110" s="161" t="s">
        <v>5092</v>
      </c>
      <c r="F2110" s="161" t="s">
        <v>5437</v>
      </c>
      <c r="G2110" s="163">
        <v>809.4001</v>
      </c>
      <c r="H2110" s="163">
        <f t="shared" si="172"/>
        <v>27.5999999999999</v>
      </c>
      <c r="I2110" s="163">
        <v>169</v>
      </c>
      <c r="J2110" s="163">
        <v>41200</v>
      </c>
      <c r="K2110" s="163">
        <v>1276044</v>
      </c>
      <c r="L2110" s="163"/>
      <c r="M2110" s="161" t="s">
        <v>5111</v>
      </c>
      <c r="N2110" s="161" t="s">
        <v>1901</v>
      </c>
      <c r="O2110" s="161" t="s">
        <v>25</v>
      </c>
      <c r="P2110" s="49" t="s">
        <v>25</v>
      </c>
      <c r="Q2110" s="166"/>
      <c r="R2110" s="167"/>
    </row>
    <row r="2111" s="148" customFormat="1" spans="1:18">
      <c r="A2111" s="186" t="s">
        <v>61</v>
      </c>
      <c r="B2111" s="101" t="s">
        <v>556</v>
      </c>
      <c r="C2111" s="84" t="s">
        <v>5448</v>
      </c>
      <c r="D2111" s="161" t="s">
        <v>5449</v>
      </c>
      <c r="E2111" s="161" t="s">
        <v>5092</v>
      </c>
      <c r="F2111" s="161" t="s">
        <v>5437</v>
      </c>
      <c r="G2111" s="163">
        <v>832.8001</v>
      </c>
      <c r="H2111" s="163">
        <f t="shared" si="172"/>
        <v>23.4000000000001</v>
      </c>
      <c r="I2111" s="163">
        <v>149.55</v>
      </c>
      <c r="J2111" s="163">
        <v>35000</v>
      </c>
      <c r="K2111" s="163">
        <v>1311044</v>
      </c>
      <c r="L2111" s="163"/>
      <c r="M2111" s="161" t="s">
        <v>5111</v>
      </c>
      <c r="N2111" s="161" t="s">
        <v>1901</v>
      </c>
      <c r="O2111" s="161" t="s">
        <v>25</v>
      </c>
      <c r="P2111" s="49" t="s">
        <v>25</v>
      </c>
      <c r="Q2111" s="166"/>
      <c r="R2111" s="167"/>
    </row>
    <row r="2112" s="148" customFormat="1" spans="1:18">
      <c r="A2112" s="186" t="s">
        <v>61</v>
      </c>
      <c r="B2112" s="101" t="s">
        <v>556</v>
      </c>
      <c r="C2112" s="84" t="s">
        <v>5450</v>
      </c>
      <c r="D2112" s="161" t="s">
        <v>5450</v>
      </c>
      <c r="E2112" s="161" t="s">
        <v>5092</v>
      </c>
      <c r="F2112" s="161" t="s">
        <v>5437</v>
      </c>
      <c r="G2112" s="163">
        <v>859.0001</v>
      </c>
      <c r="H2112" s="163">
        <f t="shared" si="172"/>
        <v>26.1999999999999</v>
      </c>
      <c r="I2112" s="163">
        <v>112.4</v>
      </c>
      <c r="J2112" s="163">
        <v>39100</v>
      </c>
      <c r="K2112" s="163">
        <v>1350144</v>
      </c>
      <c r="L2112" s="163"/>
      <c r="M2112" s="161" t="s">
        <v>5111</v>
      </c>
      <c r="N2112" s="161"/>
      <c r="O2112" s="161" t="s">
        <v>15</v>
      </c>
      <c r="P2112" s="49" t="s">
        <v>15</v>
      </c>
      <c r="Q2112" s="166"/>
      <c r="R2112" s="167"/>
    </row>
    <row r="2113" s="148" customFormat="1" spans="1:18">
      <c r="A2113" s="186" t="s">
        <v>61</v>
      </c>
      <c r="B2113" s="101" t="s">
        <v>556</v>
      </c>
      <c r="C2113" s="84" t="s">
        <v>5451</v>
      </c>
      <c r="D2113" s="161" t="s">
        <v>5452</v>
      </c>
      <c r="E2113" s="161" t="s">
        <v>5092</v>
      </c>
      <c r="F2113" s="161" t="s">
        <v>5437</v>
      </c>
      <c r="G2113" s="163">
        <v>880.9001</v>
      </c>
      <c r="H2113" s="163">
        <f t="shared" si="172"/>
        <v>21.9</v>
      </c>
      <c r="I2113" s="163">
        <v>102.15</v>
      </c>
      <c r="J2113" s="163">
        <v>32700</v>
      </c>
      <c r="K2113" s="163">
        <v>1382844</v>
      </c>
      <c r="L2113" s="163"/>
      <c r="M2113" s="161" t="s">
        <v>5111</v>
      </c>
      <c r="N2113" s="161" t="s">
        <v>1299</v>
      </c>
      <c r="O2113" s="161" t="s">
        <v>25</v>
      </c>
      <c r="P2113" s="49" t="s">
        <v>25</v>
      </c>
      <c r="Q2113" s="166"/>
      <c r="R2113" s="167"/>
    </row>
    <row r="2114" s="148" customFormat="1" spans="1:18">
      <c r="A2114" s="186" t="s">
        <v>61</v>
      </c>
      <c r="B2114" s="101" t="s">
        <v>556</v>
      </c>
      <c r="C2114" s="84" t="s">
        <v>5453</v>
      </c>
      <c r="D2114" s="161" t="s">
        <v>5453</v>
      </c>
      <c r="E2114" s="161" t="s">
        <v>5092</v>
      </c>
      <c r="F2114" s="161" t="s">
        <v>5437</v>
      </c>
      <c r="G2114" s="163">
        <v>911.0001</v>
      </c>
      <c r="H2114" s="163">
        <f t="shared" si="172"/>
        <v>30.1</v>
      </c>
      <c r="I2114" s="163">
        <v>93.5</v>
      </c>
      <c r="J2114" s="163">
        <v>45000</v>
      </c>
      <c r="K2114" s="163">
        <v>1427844</v>
      </c>
      <c r="L2114" s="163"/>
      <c r="M2114" s="161" t="s">
        <v>5111</v>
      </c>
      <c r="N2114" s="161"/>
      <c r="O2114" s="161" t="s">
        <v>15</v>
      </c>
      <c r="P2114" s="49" t="s">
        <v>15</v>
      </c>
      <c r="Q2114" s="166"/>
      <c r="R2114" s="167"/>
    </row>
    <row r="2115" s="148" customFormat="1" spans="1:18">
      <c r="A2115" s="186" t="s">
        <v>61</v>
      </c>
      <c r="B2115" s="101" t="s">
        <v>556</v>
      </c>
      <c r="C2115" s="84" t="s">
        <v>5454</v>
      </c>
      <c r="D2115" s="161" t="s">
        <v>5455</v>
      </c>
      <c r="E2115" s="161" t="s">
        <v>5092</v>
      </c>
      <c r="F2115" s="161" t="s">
        <v>5257</v>
      </c>
      <c r="G2115" s="163">
        <v>932.4001</v>
      </c>
      <c r="H2115" s="163">
        <f t="shared" si="172"/>
        <v>21.4</v>
      </c>
      <c r="I2115" s="163">
        <v>81.9</v>
      </c>
      <c r="J2115" s="163">
        <v>32000</v>
      </c>
      <c r="K2115" s="163">
        <v>1459844</v>
      </c>
      <c r="L2115" s="163"/>
      <c r="M2115" s="161" t="s">
        <v>5111</v>
      </c>
      <c r="N2115" s="161" t="s">
        <v>1299</v>
      </c>
      <c r="O2115" s="161" t="s">
        <v>25</v>
      </c>
      <c r="P2115" s="49" t="s">
        <v>25</v>
      </c>
      <c r="Q2115" s="166"/>
      <c r="R2115" s="167"/>
    </row>
    <row r="2116" s="148" customFormat="1" spans="1:18">
      <c r="A2116" s="186" t="s">
        <v>61</v>
      </c>
      <c r="B2116" s="101" t="s">
        <v>556</v>
      </c>
      <c r="C2116" s="84" t="s">
        <v>5456</v>
      </c>
      <c r="D2116" s="161" t="s">
        <v>5457</v>
      </c>
      <c r="E2116" s="161" t="s">
        <v>5092</v>
      </c>
      <c r="F2116" s="161" t="s">
        <v>5257</v>
      </c>
      <c r="G2116" s="163">
        <v>956.4001</v>
      </c>
      <c r="H2116" s="163">
        <f t="shared" si="172"/>
        <v>24</v>
      </c>
      <c r="I2116" s="163">
        <v>84.3</v>
      </c>
      <c r="J2116" s="163">
        <v>35900</v>
      </c>
      <c r="K2116" s="163">
        <v>1495744</v>
      </c>
      <c r="L2116" s="163"/>
      <c r="M2116" s="161" t="s">
        <v>5111</v>
      </c>
      <c r="N2116" s="161" t="s">
        <v>1901</v>
      </c>
      <c r="O2116" s="161" t="s">
        <v>25</v>
      </c>
      <c r="P2116" s="49" t="s">
        <v>25</v>
      </c>
      <c r="Q2116" s="166"/>
      <c r="R2116" s="167"/>
    </row>
    <row r="2117" s="148" customFormat="1" spans="1:18">
      <c r="A2117" s="186" t="s">
        <v>61</v>
      </c>
      <c r="B2117" s="101" t="s">
        <v>556</v>
      </c>
      <c r="C2117" s="84" t="s">
        <v>5458</v>
      </c>
      <c r="D2117" s="161" t="s">
        <v>5459</v>
      </c>
      <c r="E2117" s="161" t="s">
        <v>5092</v>
      </c>
      <c r="F2117" s="161" t="s">
        <v>5257</v>
      </c>
      <c r="G2117" s="163">
        <v>980.9001</v>
      </c>
      <c r="H2117" s="163">
        <f t="shared" si="172"/>
        <v>24.5</v>
      </c>
      <c r="I2117" s="163">
        <v>106.4</v>
      </c>
      <c r="J2117" s="163">
        <v>36600</v>
      </c>
      <c r="K2117" s="163">
        <v>1532344</v>
      </c>
      <c r="L2117" s="163"/>
      <c r="M2117" s="161" t="s">
        <v>5111</v>
      </c>
      <c r="N2117" s="161" t="s">
        <v>1901</v>
      </c>
      <c r="O2117" s="161" t="s">
        <v>25</v>
      </c>
      <c r="P2117" s="49" t="s">
        <v>25</v>
      </c>
      <c r="Q2117" s="166"/>
      <c r="R2117" s="167"/>
    </row>
    <row r="2118" s="148" customFormat="1" spans="1:18">
      <c r="A2118" s="186" t="s">
        <v>61</v>
      </c>
      <c r="B2118" s="101" t="s">
        <v>556</v>
      </c>
      <c r="C2118" s="84" t="s">
        <v>5460</v>
      </c>
      <c r="D2118" s="161" t="s">
        <v>5461</v>
      </c>
      <c r="E2118" s="161" t="s">
        <v>5092</v>
      </c>
      <c r="F2118" s="161" t="s">
        <v>5257</v>
      </c>
      <c r="G2118" s="163">
        <v>995.9001</v>
      </c>
      <c r="H2118" s="163">
        <f t="shared" si="172"/>
        <v>15</v>
      </c>
      <c r="I2118" s="163">
        <v>90.1</v>
      </c>
      <c r="J2118" s="163">
        <v>22400</v>
      </c>
      <c r="K2118" s="163">
        <v>1554744</v>
      </c>
      <c r="L2118" s="163"/>
      <c r="M2118" s="161" t="s">
        <v>5111</v>
      </c>
      <c r="N2118" s="161" t="s">
        <v>1901</v>
      </c>
      <c r="O2118" s="161" t="s">
        <v>25</v>
      </c>
      <c r="P2118" s="49" t="s">
        <v>25</v>
      </c>
      <c r="Q2118" s="166"/>
      <c r="R2118" s="167"/>
    </row>
    <row r="2119" s="148" customFormat="1" spans="1:18">
      <c r="A2119" s="186" t="s">
        <v>61</v>
      </c>
      <c r="B2119" s="101" t="s">
        <v>556</v>
      </c>
      <c r="C2119" s="84" t="s">
        <v>5462</v>
      </c>
      <c r="D2119" s="161" t="s">
        <v>5463</v>
      </c>
      <c r="E2119" s="161" t="s">
        <v>5092</v>
      </c>
      <c r="F2119" s="161" t="s">
        <v>5257</v>
      </c>
      <c r="G2119" s="163">
        <v>1016.4001</v>
      </c>
      <c r="H2119" s="163">
        <f t="shared" si="172"/>
        <v>20.5</v>
      </c>
      <c r="I2119" s="163">
        <v>55.9</v>
      </c>
      <c r="J2119" s="163">
        <v>30600</v>
      </c>
      <c r="K2119" s="163">
        <v>1585344</v>
      </c>
      <c r="L2119" s="163"/>
      <c r="M2119" s="161" t="s">
        <v>5111</v>
      </c>
      <c r="N2119" s="161" t="s">
        <v>1299</v>
      </c>
      <c r="O2119" s="161" t="s">
        <v>25</v>
      </c>
      <c r="P2119" s="49" t="s">
        <v>25</v>
      </c>
      <c r="Q2119" s="166"/>
      <c r="R2119" s="167"/>
    </row>
    <row r="2120" s="148" customFormat="1" spans="1:18">
      <c r="A2120" s="186" t="s">
        <v>61</v>
      </c>
      <c r="B2120" s="101" t="s">
        <v>556</v>
      </c>
      <c r="C2120" s="84" t="s">
        <v>5464</v>
      </c>
      <c r="D2120" s="161" t="s">
        <v>5465</v>
      </c>
      <c r="E2120" s="161" t="s">
        <v>5092</v>
      </c>
      <c r="F2120" s="161" t="s">
        <v>5128</v>
      </c>
      <c r="G2120" s="163">
        <v>1040.3001</v>
      </c>
      <c r="H2120" s="163">
        <f t="shared" si="172"/>
        <v>23.9</v>
      </c>
      <c r="I2120" s="163">
        <v>34.44</v>
      </c>
      <c r="J2120" s="163">
        <v>35700</v>
      </c>
      <c r="K2120" s="163">
        <v>1621044</v>
      </c>
      <c r="L2120" s="163"/>
      <c r="M2120" s="161" t="s">
        <v>5111</v>
      </c>
      <c r="N2120" s="161" t="s">
        <v>1901</v>
      </c>
      <c r="O2120" s="161" t="s">
        <v>25</v>
      </c>
      <c r="P2120" s="49" t="s">
        <v>25</v>
      </c>
      <c r="Q2120" s="166"/>
      <c r="R2120" s="167"/>
    </row>
    <row r="2121" s="148" customFormat="1" spans="1:18">
      <c r="A2121" s="186" t="s">
        <v>61</v>
      </c>
      <c r="B2121" s="101" t="s">
        <v>556</v>
      </c>
      <c r="C2121" s="135" t="s">
        <v>5466</v>
      </c>
      <c r="D2121" s="161" t="s">
        <v>5466</v>
      </c>
      <c r="E2121" s="161" t="s">
        <v>5092</v>
      </c>
      <c r="F2121" s="161" t="s">
        <v>5128</v>
      </c>
      <c r="G2121" s="163">
        <v>1060.6001</v>
      </c>
      <c r="H2121" s="163">
        <f t="shared" si="172"/>
        <v>20.3000000000002</v>
      </c>
      <c r="I2121" s="163">
        <v>29.3</v>
      </c>
      <c r="J2121" s="163">
        <v>30300</v>
      </c>
      <c r="K2121" s="163">
        <v>1651344</v>
      </c>
      <c r="L2121" s="163"/>
      <c r="M2121" s="161" t="s">
        <v>5111</v>
      </c>
      <c r="N2121" s="161"/>
      <c r="O2121" s="161"/>
      <c r="P2121" s="49"/>
      <c r="Q2121" s="166"/>
      <c r="R2121" s="167"/>
    </row>
    <row r="2122" s="148" customFormat="1" spans="1:18">
      <c r="A2122" s="186" t="s">
        <v>61</v>
      </c>
      <c r="B2122" s="101" t="s">
        <v>556</v>
      </c>
      <c r="C2122" s="84" t="s">
        <v>5467</v>
      </c>
      <c r="D2122" s="161" t="s">
        <v>5468</v>
      </c>
      <c r="E2122" s="161" t="s">
        <v>5092</v>
      </c>
      <c r="F2122" s="161" t="s">
        <v>5128</v>
      </c>
      <c r="G2122" s="163">
        <v>1082.8001</v>
      </c>
      <c r="H2122" s="163">
        <f t="shared" si="172"/>
        <v>22.1999999999998</v>
      </c>
      <c r="I2122" s="163">
        <v>24.48</v>
      </c>
      <c r="J2122" s="163">
        <v>24400</v>
      </c>
      <c r="K2122" s="163">
        <v>1675744</v>
      </c>
      <c r="L2122" s="163"/>
      <c r="M2122" s="161" t="s">
        <v>5111</v>
      </c>
      <c r="N2122" s="161" t="s">
        <v>1901</v>
      </c>
      <c r="O2122" s="161" t="s">
        <v>25</v>
      </c>
      <c r="P2122" s="49" t="s">
        <v>25</v>
      </c>
      <c r="Q2122" s="166"/>
      <c r="R2122" s="167"/>
    </row>
    <row r="2123" s="148" customFormat="1" spans="1:18">
      <c r="A2123" s="186" t="s">
        <v>61</v>
      </c>
      <c r="B2123" s="101" t="s">
        <v>556</v>
      </c>
      <c r="C2123" s="84" t="s">
        <v>5469</v>
      </c>
      <c r="D2123" s="161" t="s">
        <v>5470</v>
      </c>
      <c r="E2123" s="161" t="s">
        <v>5092</v>
      </c>
      <c r="F2123" s="161" t="s">
        <v>5128</v>
      </c>
      <c r="G2123" s="163">
        <v>1105.8001</v>
      </c>
      <c r="H2123" s="163">
        <f t="shared" si="172"/>
        <v>23</v>
      </c>
      <c r="I2123" s="163">
        <v>18.3</v>
      </c>
      <c r="J2123" s="163">
        <v>25200</v>
      </c>
      <c r="K2123" s="163">
        <v>1700944</v>
      </c>
      <c r="L2123" s="163"/>
      <c r="M2123" s="161" t="s">
        <v>5111</v>
      </c>
      <c r="N2123" s="161" t="s">
        <v>1299</v>
      </c>
      <c r="O2123" s="161" t="s">
        <v>25</v>
      </c>
      <c r="P2123" s="49" t="s">
        <v>25</v>
      </c>
      <c r="Q2123" s="166"/>
      <c r="R2123" s="167"/>
    </row>
    <row r="2124" s="148" customFormat="1" spans="1:18">
      <c r="A2124" s="186" t="s">
        <v>61</v>
      </c>
      <c r="B2124" s="101" t="s">
        <v>556</v>
      </c>
      <c r="C2124" s="84" t="s">
        <v>5471</v>
      </c>
      <c r="D2124" s="161" t="s">
        <v>5472</v>
      </c>
      <c r="E2124" s="161" t="s">
        <v>5092</v>
      </c>
      <c r="F2124" s="161" t="s">
        <v>5122</v>
      </c>
      <c r="G2124" s="163">
        <v>1126.6001</v>
      </c>
      <c r="H2124" s="163">
        <f t="shared" si="172"/>
        <v>20.8000000000002</v>
      </c>
      <c r="I2124" s="163">
        <v>13.94</v>
      </c>
      <c r="J2124" s="163">
        <v>22800</v>
      </c>
      <c r="K2124" s="163">
        <v>1723744</v>
      </c>
      <c r="L2124" s="163"/>
      <c r="M2124" s="161" t="s">
        <v>5111</v>
      </c>
      <c r="N2124" s="161" t="s">
        <v>1299</v>
      </c>
      <c r="O2124" s="161" t="s">
        <v>25</v>
      </c>
      <c r="P2124" s="49" t="s">
        <v>25</v>
      </c>
      <c r="Q2124" s="166"/>
      <c r="R2124" s="167"/>
    </row>
    <row r="2125" s="148" customFormat="1" spans="1:18">
      <c r="A2125" s="186" t="s">
        <v>61</v>
      </c>
      <c r="B2125" s="101" t="s">
        <v>556</v>
      </c>
      <c r="C2125" s="84" t="s">
        <v>5473</v>
      </c>
      <c r="D2125" s="161" t="s">
        <v>5474</v>
      </c>
      <c r="E2125" s="161" t="s">
        <v>5092</v>
      </c>
      <c r="F2125" s="161" t="s">
        <v>5122</v>
      </c>
      <c r="G2125" s="163">
        <v>1149.9001</v>
      </c>
      <c r="H2125" s="163">
        <f t="shared" si="172"/>
        <v>23.3</v>
      </c>
      <c r="I2125" s="163">
        <v>8.97</v>
      </c>
      <c r="J2125" s="163">
        <v>25600</v>
      </c>
      <c r="K2125" s="163">
        <v>1749344</v>
      </c>
      <c r="L2125" s="163"/>
      <c r="M2125" s="161" t="s">
        <v>5111</v>
      </c>
      <c r="N2125" s="161" t="s">
        <v>1901</v>
      </c>
      <c r="O2125" s="161" t="s">
        <v>25</v>
      </c>
      <c r="P2125" s="49" t="s">
        <v>25</v>
      </c>
      <c r="Q2125" s="166"/>
      <c r="R2125" s="167"/>
    </row>
    <row r="2126" s="148" customFormat="1" spans="1:18">
      <c r="A2126" s="186" t="s">
        <v>61</v>
      </c>
      <c r="B2126" s="101" t="s">
        <v>556</v>
      </c>
      <c r="C2126" s="84" t="s">
        <v>5475</v>
      </c>
      <c r="D2126" s="161" t="s">
        <v>5476</v>
      </c>
      <c r="E2126" s="161" t="s">
        <v>5092</v>
      </c>
      <c r="F2126" s="161" t="s">
        <v>5122</v>
      </c>
      <c r="G2126" s="163">
        <v>1172.3001</v>
      </c>
      <c r="H2126" s="163">
        <f t="shared" si="172"/>
        <v>22.3999999999999</v>
      </c>
      <c r="I2126" s="163">
        <v>5.29</v>
      </c>
      <c r="J2126" s="163">
        <v>24600</v>
      </c>
      <c r="K2126" s="163">
        <v>1773944</v>
      </c>
      <c r="L2126" s="163"/>
      <c r="M2126" s="161" t="s">
        <v>5111</v>
      </c>
      <c r="N2126" s="161" t="s">
        <v>1901</v>
      </c>
      <c r="O2126" s="161" t="s">
        <v>25</v>
      </c>
      <c r="P2126" s="49" t="s">
        <v>25</v>
      </c>
      <c r="Q2126" s="166"/>
      <c r="R2126" s="167"/>
    </row>
    <row r="2127" s="148" customFormat="1" spans="1:18">
      <c r="A2127" s="186" t="s">
        <v>61</v>
      </c>
      <c r="B2127" s="101" t="s">
        <v>556</v>
      </c>
      <c r="C2127" s="135" t="s">
        <v>578</v>
      </c>
      <c r="D2127" s="161" t="s">
        <v>578</v>
      </c>
      <c r="E2127" s="161" t="s">
        <v>5092</v>
      </c>
      <c r="F2127" s="161" t="s">
        <v>5122</v>
      </c>
      <c r="G2127" s="163">
        <v>1182.4001</v>
      </c>
      <c r="H2127" s="163">
        <f t="shared" si="172"/>
        <v>10.1000000000001</v>
      </c>
      <c r="I2127" s="163">
        <v>6.2</v>
      </c>
      <c r="J2127" s="163">
        <v>11100</v>
      </c>
      <c r="K2127" s="163">
        <v>1785044</v>
      </c>
      <c r="L2127" s="163"/>
      <c r="M2127" s="161" t="s">
        <v>5111</v>
      </c>
      <c r="N2127" s="161"/>
      <c r="O2127" s="161"/>
      <c r="P2127" s="49"/>
      <c r="Q2127" s="166"/>
      <c r="R2127" s="167"/>
    </row>
    <row r="2128" s="148" customFormat="1" spans="1:18">
      <c r="A2128" s="186" t="s">
        <v>61</v>
      </c>
      <c r="B2128" s="101" t="s">
        <v>556</v>
      </c>
      <c r="C2128" s="84" t="s">
        <v>5477</v>
      </c>
      <c r="D2128" s="161" t="s">
        <v>5478</v>
      </c>
      <c r="E2128" s="161" t="s">
        <v>5092</v>
      </c>
      <c r="F2128" s="161" t="s">
        <v>5122</v>
      </c>
      <c r="G2128" s="163">
        <v>1203.2001</v>
      </c>
      <c r="H2128" s="163">
        <f t="shared" si="172"/>
        <v>20.8</v>
      </c>
      <c r="I2128" s="163">
        <v>6.7</v>
      </c>
      <c r="J2128" s="163">
        <v>22800</v>
      </c>
      <c r="K2128" s="163">
        <v>1807844</v>
      </c>
      <c r="L2128" s="163"/>
      <c r="M2128" s="161" t="s">
        <v>5111</v>
      </c>
      <c r="N2128" s="161" t="s">
        <v>1901</v>
      </c>
      <c r="O2128" s="161" t="s">
        <v>25</v>
      </c>
      <c r="P2128" s="49" t="s">
        <v>25</v>
      </c>
      <c r="Q2128" s="166"/>
      <c r="R2128" s="167"/>
    </row>
    <row r="2129" s="148" customFormat="1" spans="1:18">
      <c r="A2129" s="186" t="s">
        <v>61</v>
      </c>
      <c r="B2129" s="101" t="s">
        <v>556</v>
      </c>
      <c r="C2129" s="84" t="s">
        <v>5479</v>
      </c>
      <c r="D2129" s="161" t="s">
        <v>5480</v>
      </c>
      <c r="E2129" s="161" t="s">
        <v>5092</v>
      </c>
      <c r="F2129" s="161" t="s">
        <v>5110</v>
      </c>
      <c r="G2129" s="163">
        <v>1228.1001</v>
      </c>
      <c r="H2129" s="163">
        <f t="shared" si="172"/>
        <v>24.9000000000001</v>
      </c>
      <c r="I2129" s="163">
        <v>8</v>
      </c>
      <c r="J2129" s="163">
        <v>27300</v>
      </c>
      <c r="K2129" s="163">
        <v>1835144</v>
      </c>
      <c r="L2129" s="163"/>
      <c r="M2129" s="161" t="s">
        <v>5111</v>
      </c>
      <c r="N2129" s="161" t="s">
        <v>1901</v>
      </c>
      <c r="O2129" s="161" t="s">
        <v>25</v>
      </c>
      <c r="P2129" s="49" t="s">
        <v>25</v>
      </c>
      <c r="Q2129" s="166"/>
      <c r="R2129" s="167"/>
    </row>
    <row r="2130" s="148" customFormat="1" spans="1:18">
      <c r="A2130" s="186" t="s">
        <v>61</v>
      </c>
      <c r="B2130" s="101" t="s">
        <v>556</v>
      </c>
      <c r="C2130" s="84" t="s">
        <v>5481</v>
      </c>
      <c r="D2130" s="161" t="s">
        <v>5482</v>
      </c>
      <c r="E2130" s="161" t="s">
        <v>5092</v>
      </c>
      <c r="F2130" s="161" t="s">
        <v>5110</v>
      </c>
      <c r="G2130" s="163">
        <v>1251.8001</v>
      </c>
      <c r="H2130" s="163">
        <f t="shared" si="172"/>
        <v>23.6999999999998</v>
      </c>
      <c r="I2130" s="163">
        <v>10.7</v>
      </c>
      <c r="J2130" s="163">
        <v>26000</v>
      </c>
      <c r="K2130" s="163">
        <v>1861144</v>
      </c>
      <c r="L2130" s="163"/>
      <c r="M2130" s="161" t="s">
        <v>5111</v>
      </c>
      <c r="N2130" s="161" t="s">
        <v>1299</v>
      </c>
      <c r="O2130" s="161" t="s">
        <v>25</v>
      </c>
      <c r="P2130" s="49" t="s">
        <v>25</v>
      </c>
      <c r="Q2130" s="166"/>
      <c r="R2130" s="167"/>
    </row>
    <row r="2131" s="148" customFormat="1" spans="1:18">
      <c r="A2131" s="186" t="s">
        <v>61</v>
      </c>
      <c r="B2131" s="101" t="s">
        <v>556</v>
      </c>
      <c r="C2131" s="84" t="s">
        <v>5483</v>
      </c>
      <c r="D2131" s="161" t="s">
        <v>5484</v>
      </c>
      <c r="E2131" s="161" t="s">
        <v>5092</v>
      </c>
      <c r="F2131" s="161" t="s">
        <v>5110</v>
      </c>
      <c r="G2131" s="163">
        <v>1274.7001</v>
      </c>
      <c r="H2131" s="163">
        <f t="shared" si="172"/>
        <v>22.9000000000001</v>
      </c>
      <c r="I2131" s="163">
        <v>6.4</v>
      </c>
      <c r="J2131" s="163">
        <v>25100</v>
      </c>
      <c r="K2131" s="163">
        <v>1886244</v>
      </c>
      <c r="L2131" s="163"/>
      <c r="M2131" s="161" t="s">
        <v>5111</v>
      </c>
      <c r="N2131" s="161" t="s">
        <v>1901</v>
      </c>
      <c r="O2131" s="161" t="s">
        <v>26</v>
      </c>
      <c r="P2131" s="49" t="s">
        <v>26</v>
      </c>
      <c r="Q2131" s="166"/>
      <c r="R2131" s="167"/>
    </row>
    <row r="2132" s="148" customFormat="1" spans="1:18">
      <c r="A2132" s="186" t="s">
        <v>61</v>
      </c>
      <c r="B2132" s="101" t="s">
        <v>556</v>
      </c>
      <c r="C2132" s="135" t="s">
        <v>5109</v>
      </c>
      <c r="D2132" s="161" t="s">
        <v>5109</v>
      </c>
      <c r="E2132" s="161" t="s">
        <v>5092</v>
      </c>
      <c r="F2132" s="161" t="s">
        <v>5110</v>
      </c>
      <c r="G2132" s="163">
        <v>1287.7001</v>
      </c>
      <c r="H2132" s="163">
        <f t="shared" si="172"/>
        <v>13</v>
      </c>
      <c r="I2132" s="163">
        <v>59.7</v>
      </c>
      <c r="J2132" s="163">
        <v>14300</v>
      </c>
      <c r="K2132" s="163">
        <v>1900544</v>
      </c>
      <c r="L2132" s="163"/>
      <c r="M2132" s="161" t="s">
        <v>5111</v>
      </c>
      <c r="N2132" s="161"/>
      <c r="O2132" s="161"/>
      <c r="P2132" s="49"/>
      <c r="Q2132" s="166"/>
      <c r="R2132" s="167"/>
    </row>
    <row r="2133" s="148" customFormat="1" spans="1:18">
      <c r="A2133" s="186" t="s">
        <v>61</v>
      </c>
      <c r="B2133" s="101" t="s">
        <v>556</v>
      </c>
      <c r="C2133" s="84" t="s">
        <v>5485</v>
      </c>
      <c r="D2133" s="161" t="s">
        <v>5486</v>
      </c>
      <c r="E2133" s="161" t="s">
        <v>5092</v>
      </c>
      <c r="F2133" s="161" t="s">
        <v>5102</v>
      </c>
      <c r="G2133" s="163">
        <v>1304.3001</v>
      </c>
      <c r="H2133" s="163">
        <f t="shared" si="172"/>
        <v>16.5999999999999</v>
      </c>
      <c r="I2133" s="163">
        <v>49.9</v>
      </c>
      <c r="J2133" s="163">
        <v>18200</v>
      </c>
      <c r="K2133" s="163">
        <v>1918744</v>
      </c>
      <c r="L2133" s="163"/>
      <c r="M2133" s="161" t="s">
        <v>5111</v>
      </c>
      <c r="N2133" s="161" t="s">
        <v>1901</v>
      </c>
      <c r="O2133" s="161" t="s">
        <v>25</v>
      </c>
      <c r="P2133" s="49" t="s">
        <v>25</v>
      </c>
      <c r="Q2133" s="166"/>
      <c r="R2133" s="167"/>
    </row>
    <row r="2134" s="148" customFormat="1" spans="1:18">
      <c r="A2134" s="186" t="s">
        <v>61</v>
      </c>
      <c r="B2134" s="101" t="s">
        <v>556</v>
      </c>
      <c r="C2134" s="84" t="s">
        <v>5487</v>
      </c>
      <c r="D2134" s="161" t="s">
        <v>5488</v>
      </c>
      <c r="E2134" s="161" t="s">
        <v>5092</v>
      </c>
      <c r="F2134" s="161" t="s">
        <v>5102</v>
      </c>
      <c r="G2134" s="163">
        <v>1327.9001</v>
      </c>
      <c r="H2134" s="163">
        <f t="shared" si="172"/>
        <v>23.6000000000001</v>
      </c>
      <c r="I2134" s="163">
        <v>40.19</v>
      </c>
      <c r="J2134" s="163">
        <v>25900</v>
      </c>
      <c r="K2134" s="163">
        <v>1944644</v>
      </c>
      <c r="L2134" s="163"/>
      <c r="M2134" s="161" t="s">
        <v>5111</v>
      </c>
      <c r="N2134" s="161" t="s">
        <v>1901</v>
      </c>
      <c r="O2134" s="161" t="s">
        <v>25</v>
      </c>
      <c r="P2134" s="49" t="s">
        <v>25</v>
      </c>
      <c r="Q2134" s="166"/>
      <c r="R2134" s="167"/>
    </row>
    <row r="2135" s="148" customFormat="1" spans="1:18">
      <c r="A2135" s="186" t="s">
        <v>61</v>
      </c>
      <c r="B2135" s="101" t="s">
        <v>556</v>
      </c>
      <c r="C2135" s="84" t="s">
        <v>5489</v>
      </c>
      <c r="D2135" s="161" t="s">
        <v>5490</v>
      </c>
      <c r="E2135" s="161" t="s">
        <v>5092</v>
      </c>
      <c r="F2135" s="161" t="s">
        <v>5102</v>
      </c>
      <c r="G2135" s="163">
        <v>1347.8001</v>
      </c>
      <c r="H2135" s="163">
        <f t="shared" si="172"/>
        <v>19.8999999999999</v>
      </c>
      <c r="I2135" s="163">
        <v>25.25</v>
      </c>
      <c r="J2135" s="163">
        <v>21800</v>
      </c>
      <c r="K2135" s="163">
        <v>1966444</v>
      </c>
      <c r="L2135" s="163"/>
      <c r="M2135" s="161" t="s">
        <v>5111</v>
      </c>
      <c r="N2135" s="161" t="s">
        <v>1901</v>
      </c>
      <c r="O2135" s="161" t="s">
        <v>25</v>
      </c>
      <c r="P2135" s="49" t="s">
        <v>25</v>
      </c>
      <c r="Q2135" s="166"/>
      <c r="R2135" s="167"/>
    </row>
    <row r="2136" s="148" customFormat="1" spans="1:18">
      <c r="A2136" s="186" t="s">
        <v>61</v>
      </c>
      <c r="B2136" s="101" t="s">
        <v>556</v>
      </c>
      <c r="C2136" s="84" t="s">
        <v>5491</v>
      </c>
      <c r="D2136" s="161" t="s">
        <v>5492</v>
      </c>
      <c r="E2136" s="161" t="s">
        <v>5092</v>
      </c>
      <c r="F2136" s="161" t="s">
        <v>5102</v>
      </c>
      <c r="G2136" s="163">
        <v>1363.6001</v>
      </c>
      <c r="H2136" s="163">
        <f t="shared" si="172"/>
        <v>15.8000000000002</v>
      </c>
      <c r="I2136" s="163">
        <v>19.3</v>
      </c>
      <c r="J2136" s="163">
        <v>17300</v>
      </c>
      <c r="K2136" s="163">
        <v>1983744</v>
      </c>
      <c r="L2136" s="163"/>
      <c r="M2136" s="161" t="s">
        <v>5111</v>
      </c>
      <c r="N2136" s="161" t="s">
        <v>1299</v>
      </c>
      <c r="O2136" s="161" t="s">
        <v>25</v>
      </c>
      <c r="P2136" s="49" t="s">
        <v>25</v>
      </c>
      <c r="Q2136" s="166"/>
      <c r="R2136" s="167"/>
    </row>
    <row r="2137" s="148" customFormat="1" spans="1:18">
      <c r="A2137" s="186" t="s">
        <v>61</v>
      </c>
      <c r="B2137" s="101" t="s">
        <v>556</v>
      </c>
      <c r="C2137" s="84" t="s">
        <v>5493</v>
      </c>
      <c r="D2137" s="161" t="s">
        <v>5494</v>
      </c>
      <c r="E2137" s="161" t="s">
        <v>5092</v>
      </c>
      <c r="F2137" s="161" t="s">
        <v>5102</v>
      </c>
      <c r="G2137" s="163">
        <v>1376.0001</v>
      </c>
      <c r="H2137" s="163">
        <f t="shared" si="172"/>
        <v>12.3999999999999</v>
      </c>
      <c r="I2137" s="163">
        <v>7.19</v>
      </c>
      <c r="J2137" s="163">
        <v>13600</v>
      </c>
      <c r="K2137" s="163">
        <v>1997344</v>
      </c>
      <c r="L2137" s="163"/>
      <c r="M2137" s="161" t="s">
        <v>5111</v>
      </c>
      <c r="N2137" s="161" t="s">
        <v>1299</v>
      </c>
      <c r="O2137" s="161" t="s">
        <v>25</v>
      </c>
      <c r="P2137" s="49" t="s">
        <v>25</v>
      </c>
      <c r="Q2137" s="166"/>
      <c r="R2137" s="167"/>
    </row>
    <row r="2138" s="148" customFormat="1" spans="1:18">
      <c r="A2138" s="186" t="s">
        <v>61</v>
      </c>
      <c r="B2138" s="101" t="s">
        <v>556</v>
      </c>
      <c r="C2138" s="84" t="s">
        <v>5495</v>
      </c>
      <c r="D2138" s="161" t="s">
        <v>5496</v>
      </c>
      <c r="E2138" s="161" t="s">
        <v>5092</v>
      </c>
      <c r="F2138" s="161" t="s">
        <v>5093</v>
      </c>
      <c r="G2138" s="163">
        <v>1393.5001</v>
      </c>
      <c r="H2138" s="163">
        <f t="shared" si="172"/>
        <v>17.5</v>
      </c>
      <c r="I2138" s="163">
        <v>35.5</v>
      </c>
      <c r="J2138" s="163">
        <v>19200</v>
      </c>
      <c r="K2138" s="163">
        <v>2016544</v>
      </c>
      <c r="L2138" s="163"/>
      <c r="M2138" s="161" t="s">
        <v>5111</v>
      </c>
      <c r="N2138" s="161" t="s">
        <v>1299</v>
      </c>
      <c r="O2138" s="161" t="s">
        <v>25</v>
      </c>
      <c r="P2138" s="49" t="s">
        <v>25</v>
      </c>
      <c r="Q2138" s="166"/>
      <c r="R2138" s="167"/>
    </row>
    <row r="2139" s="148" customFormat="1" spans="1:18">
      <c r="A2139" s="186" t="s">
        <v>61</v>
      </c>
      <c r="B2139" s="101" t="s">
        <v>556</v>
      </c>
      <c r="C2139" s="84" t="s">
        <v>5497</v>
      </c>
      <c r="D2139" s="161" t="s">
        <v>5498</v>
      </c>
      <c r="E2139" s="161" t="s">
        <v>5092</v>
      </c>
      <c r="F2139" s="161" t="s">
        <v>5093</v>
      </c>
      <c r="G2139" s="163">
        <v>1410.9001</v>
      </c>
      <c r="H2139" s="163">
        <f t="shared" ref="H2139:H2163" si="173">G2139-G2138</f>
        <v>17.4000000000001</v>
      </c>
      <c r="I2139" s="163">
        <v>68.19</v>
      </c>
      <c r="J2139" s="163">
        <v>19100</v>
      </c>
      <c r="K2139" s="163">
        <v>2035644</v>
      </c>
      <c r="L2139" s="163"/>
      <c r="M2139" s="161" t="s">
        <v>5111</v>
      </c>
      <c r="N2139" s="161" t="s">
        <v>1901</v>
      </c>
      <c r="O2139" s="161" t="s">
        <v>25</v>
      </c>
      <c r="P2139" s="49" t="s">
        <v>25</v>
      </c>
      <c r="Q2139" s="166"/>
      <c r="R2139" s="167"/>
    </row>
    <row r="2140" s="148" customFormat="1" spans="1:18">
      <c r="A2140" s="186" t="s">
        <v>61</v>
      </c>
      <c r="B2140" s="101" t="s">
        <v>556</v>
      </c>
      <c r="C2140" s="84" t="s">
        <v>5499</v>
      </c>
      <c r="D2140" s="161" t="s">
        <v>5500</v>
      </c>
      <c r="E2140" s="161" t="s">
        <v>5092</v>
      </c>
      <c r="F2140" s="161" t="s">
        <v>5093</v>
      </c>
      <c r="G2140" s="163">
        <v>1434.1001</v>
      </c>
      <c r="H2140" s="163">
        <f t="shared" si="173"/>
        <v>23.2</v>
      </c>
      <c r="I2140" s="163">
        <v>50.11</v>
      </c>
      <c r="J2140" s="163">
        <v>25500</v>
      </c>
      <c r="K2140" s="163">
        <v>2061144</v>
      </c>
      <c r="L2140" s="163"/>
      <c r="M2140" s="161" t="s">
        <v>5111</v>
      </c>
      <c r="N2140" s="161" t="s">
        <v>1901</v>
      </c>
      <c r="O2140" s="161" t="s">
        <v>25</v>
      </c>
      <c r="P2140" s="49" t="s">
        <v>25</v>
      </c>
      <c r="Q2140" s="166"/>
      <c r="R2140" s="167"/>
    </row>
    <row r="2141" s="148" customFormat="1" spans="1:18">
      <c r="A2141" s="186" t="s">
        <v>61</v>
      </c>
      <c r="B2141" s="101" t="s">
        <v>556</v>
      </c>
      <c r="C2141" s="84" t="s">
        <v>5501</v>
      </c>
      <c r="D2141" s="161" t="s">
        <v>5502</v>
      </c>
      <c r="E2141" s="161" t="s">
        <v>5092</v>
      </c>
      <c r="F2141" s="161" t="s">
        <v>5093</v>
      </c>
      <c r="G2141" s="163">
        <v>1458.2001</v>
      </c>
      <c r="H2141" s="163">
        <f t="shared" si="173"/>
        <v>24.0999999999999</v>
      </c>
      <c r="I2141" s="163">
        <v>51.5</v>
      </c>
      <c r="J2141" s="163">
        <v>26500</v>
      </c>
      <c r="K2141" s="163">
        <v>2087644</v>
      </c>
      <c r="L2141" s="163"/>
      <c r="M2141" s="161" t="s">
        <v>5111</v>
      </c>
      <c r="N2141" s="161" t="s">
        <v>1299</v>
      </c>
      <c r="O2141" s="161" t="s">
        <v>25</v>
      </c>
      <c r="P2141" s="49" t="s">
        <v>25</v>
      </c>
      <c r="Q2141" s="166"/>
      <c r="R2141" s="167"/>
    </row>
    <row r="2142" s="148" customFormat="1" spans="1:18">
      <c r="A2142" s="186" t="s">
        <v>61</v>
      </c>
      <c r="B2142" s="101" t="s">
        <v>556</v>
      </c>
      <c r="C2142" s="84" t="s">
        <v>5503</v>
      </c>
      <c r="D2142" s="161" t="s">
        <v>5504</v>
      </c>
      <c r="E2142" s="161" t="s">
        <v>1640</v>
      </c>
      <c r="F2142" s="161" t="s">
        <v>4684</v>
      </c>
      <c r="G2142" s="163">
        <v>1474.1001</v>
      </c>
      <c r="H2142" s="163">
        <f t="shared" si="173"/>
        <v>15.9000000000001</v>
      </c>
      <c r="I2142" s="163">
        <v>87.1</v>
      </c>
      <c r="J2142" s="163">
        <v>17500</v>
      </c>
      <c r="K2142" s="163">
        <v>2105144</v>
      </c>
      <c r="L2142" s="163"/>
      <c r="M2142" s="161" t="s">
        <v>5111</v>
      </c>
      <c r="N2142" s="161"/>
      <c r="O2142" s="161" t="s">
        <v>27</v>
      </c>
      <c r="P2142" s="49" t="s">
        <v>27</v>
      </c>
      <c r="Q2142" s="166"/>
      <c r="R2142" s="167"/>
    </row>
    <row r="2143" s="148" customFormat="1" spans="1:18">
      <c r="A2143" s="186" t="s">
        <v>61</v>
      </c>
      <c r="B2143" s="101" t="s">
        <v>556</v>
      </c>
      <c r="C2143" s="135" t="s">
        <v>5505</v>
      </c>
      <c r="D2143" s="161" t="s">
        <v>425</v>
      </c>
      <c r="E2143" s="161" t="s">
        <v>1640</v>
      </c>
      <c r="F2143" s="161" t="s">
        <v>4684</v>
      </c>
      <c r="G2143" s="163">
        <v>1487.7001</v>
      </c>
      <c r="H2143" s="163">
        <f t="shared" si="173"/>
        <v>13.5999999999999</v>
      </c>
      <c r="I2143" s="163">
        <v>47.6</v>
      </c>
      <c r="J2143" s="163">
        <v>14900</v>
      </c>
      <c r="K2143" s="163">
        <v>2120044</v>
      </c>
      <c r="L2143" s="163"/>
      <c r="M2143" s="161" t="s">
        <v>5111</v>
      </c>
      <c r="N2143" s="161"/>
      <c r="O2143" s="161"/>
      <c r="P2143" s="49"/>
      <c r="Q2143" s="166"/>
      <c r="R2143" s="167"/>
    </row>
    <row r="2144" s="148" customFormat="1" spans="1:18">
      <c r="A2144" s="186" t="s">
        <v>61</v>
      </c>
      <c r="B2144" s="101" t="s">
        <v>556</v>
      </c>
      <c r="C2144" s="84" t="s">
        <v>5506</v>
      </c>
      <c r="D2144" s="161" t="s">
        <v>5507</v>
      </c>
      <c r="E2144" s="161" t="s">
        <v>1640</v>
      </c>
      <c r="F2144" s="161" t="s">
        <v>4684</v>
      </c>
      <c r="G2144" s="163">
        <v>1497.7001</v>
      </c>
      <c r="H2144" s="163">
        <f t="shared" si="173"/>
        <v>10</v>
      </c>
      <c r="I2144" s="163">
        <v>99.7</v>
      </c>
      <c r="J2144" s="163">
        <v>11000</v>
      </c>
      <c r="K2144" s="163">
        <v>2131044</v>
      </c>
      <c r="L2144" s="163"/>
      <c r="M2144" s="161" t="s">
        <v>5111</v>
      </c>
      <c r="N2144" s="161" t="s">
        <v>1299</v>
      </c>
      <c r="O2144" s="161" t="s">
        <v>25</v>
      </c>
      <c r="P2144" s="49" t="s">
        <v>25</v>
      </c>
      <c r="Q2144" s="166"/>
      <c r="R2144" s="167"/>
    </row>
    <row r="2145" s="148" customFormat="1" spans="1:18">
      <c r="A2145" s="186" t="s">
        <v>61</v>
      </c>
      <c r="B2145" s="101" t="s">
        <v>556</v>
      </c>
      <c r="C2145" s="84" t="s">
        <v>5508</v>
      </c>
      <c r="D2145" s="161" t="s">
        <v>5509</v>
      </c>
      <c r="E2145" s="161" t="s">
        <v>1640</v>
      </c>
      <c r="F2145" s="161" t="s">
        <v>4684</v>
      </c>
      <c r="G2145" s="163">
        <v>1513.8001</v>
      </c>
      <c r="H2145" s="163">
        <f t="shared" si="173"/>
        <v>16.0999999999999</v>
      </c>
      <c r="I2145" s="163">
        <v>40.39</v>
      </c>
      <c r="J2145" s="163">
        <v>17700</v>
      </c>
      <c r="K2145" s="163">
        <v>2148744</v>
      </c>
      <c r="L2145" s="163"/>
      <c r="M2145" s="161" t="s">
        <v>5111</v>
      </c>
      <c r="N2145" s="161" t="s">
        <v>1901</v>
      </c>
      <c r="O2145" s="161" t="s">
        <v>25</v>
      </c>
      <c r="P2145" s="49" t="s">
        <v>25</v>
      </c>
      <c r="Q2145" s="166"/>
      <c r="R2145" s="167"/>
    </row>
    <row r="2146" s="148" customFormat="1" spans="1:18">
      <c r="A2146" s="186" t="s">
        <v>61</v>
      </c>
      <c r="B2146" s="101" t="s">
        <v>556</v>
      </c>
      <c r="C2146" s="84" t="s">
        <v>5510</v>
      </c>
      <c r="D2146" s="161" t="s">
        <v>5511</v>
      </c>
      <c r="E2146" s="161" t="s">
        <v>1640</v>
      </c>
      <c r="F2146" s="161" t="s">
        <v>4684</v>
      </c>
      <c r="G2146" s="163">
        <v>1530.6001</v>
      </c>
      <c r="H2146" s="163">
        <f t="shared" si="173"/>
        <v>16.8000000000002</v>
      </c>
      <c r="I2146" s="163">
        <v>46.5</v>
      </c>
      <c r="J2146" s="163">
        <v>18400</v>
      </c>
      <c r="K2146" s="163">
        <v>2167144</v>
      </c>
      <c r="L2146" s="163"/>
      <c r="M2146" s="161" t="s">
        <v>5111</v>
      </c>
      <c r="N2146" s="161" t="s">
        <v>1901</v>
      </c>
      <c r="O2146" s="161" t="s">
        <v>25</v>
      </c>
      <c r="P2146" s="49" t="s">
        <v>25</v>
      </c>
      <c r="Q2146" s="166"/>
      <c r="R2146" s="167"/>
    </row>
    <row r="2147" s="148" customFormat="1" spans="1:18">
      <c r="A2147" s="186" t="s">
        <v>61</v>
      </c>
      <c r="B2147" s="101" t="s">
        <v>556</v>
      </c>
      <c r="C2147" s="84" t="s">
        <v>5512</v>
      </c>
      <c r="D2147" s="161" t="s">
        <v>5513</v>
      </c>
      <c r="E2147" s="161" t="s">
        <v>1640</v>
      </c>
      <c r="F2147" s="161" t="s">
        <v>4684</v>
      </c>
      <c r="G2147" s="163">
        <v>1550.2001</v>
      </c>
      <c r="H2147" s="163">
        <f t="shared" si="173"/>
        <v>19.5999999999999</v>
      </c>
      <c r="I2147" s="163">
        <v>66.5</v>
      </c>
      <c r="J2147" s="163">
        <v>21500</v>
      </c>
      <c r="K2147" s="163">
        <v>2188644</v>
      </c>
      <c r="L2147" s="163"/>
      <c r="M2147" s="161" t="s">
        <v>5111</v>
      </c>
      <c r="N2147" s="161" t="s">
        <v>1299</v>
      </c>
      <c r="O2147" s="161" t="s">
        <v>25</v>
      </c>
      <c r="P2147" s="49" t="s">
        <v>25</v>
      </c>
      <c r="Q2147" s="166"/>
      <c r="R2147" s="167"/>
    </row>
    <row r="2148" s="148" customFormat="1" spans="1:18">
      <c r="A2148" s="186" t="s">
        <v>61</v>
      </c>
      <c r="B2148" s="101" t="s">
        <v>556</v>
      </c>
      <c r="C2148" s="84" t="s">
        <v>5514</v>
      </c>
      <c r="D2148" s="161" t="s">
        <v>5515</v>
      </c>
      <c r="E2148" s="161" t="s">
        <v>1640</v>
      </c>
      <c r="F2148" s="161" t="s">
        <v>4684</v>
      </c>
      <c r="G2148" s="163">
        <v>1573.2001</v>
      </c>
      <c r="H2148" s="163">
        <f t="shared" si="173"/>
        <v>23</v>
      </c>
      <c r="I2148" s="163">
        <v>61.03</v>
      </c>
      <c r="J2148" s="163">
        <v>25200</v>
      </c>
      <c r="K2148" s="163">
        <v>2213844</v>
      </c>
      <c r="L2148" s="163"/>
      <c r="M2148" s="161" t="s">
        <v>5111</v>
      </c>
      <c r="N2148" s="161" t="s">
        <v>1299</v>
      </c>
      <c r="O2148" s="161" t="s">
        <v>25</v>
      </c>
      <c r="P2148" s="49" t="s">
        <v>25</v>
      </c>
      <c r="Q2148" s="166"/>
      <c r="R2148" s="167"/>
    </row>
    <row r="2149" s="148" customFormat="1" spans="1:18">
      <c r="A2149" s="186" t="s">
        <v>61</v>
      </c>
      <c r="B2149" s="101" t="s">
        <v>556</v>
      </c>
      <c r="C2149" s="84" t="s">
        <v>5516</v>
      </c>
      <c r="D2149" s="161" t="s">
        <v>5517</v>
      </c>
      <c r="E2149" s="161" t="s">
        <v>1640</v>
      </c>
      <c r="F2149" s="161" t="s">
        <v>4684</v>
      </c>
      <c r="G2149" s="163">
        <v>1590.5001</v>
      </c>
      <c r="H2149" s="163">
        <f t="shared" si="173"/>
        <v>17.3</v>
      </c>
      <c r="I2149" s="163">
        <v>60.4</v>
      </c>
      <c r="J2149" s="163">
        <v>19000</v>
      </c>
      <c r="K2149" s="163">
        <v>2232844</v>
      </c>
      <c r="L2149" s="163"/>
      <c r="M2149" s="161" t="s">
        <v>5111</v>
      </c>
      <c r="N2149" s="161" t="s">
        <v>1901</v>
      </c>
      <c r="O2149" s="161" t="s">
        <v>25</v>
      </c>
      <c r="P2149" s="49" t="s">
        <v>25</v>
      </c>
      <c r="Q2149" s="166"/>
      <c r="R2149" s="167"/>
    </row>
    <row r="2150" s="148" customFormat="1" spans="1:18">
      <c r="A2150" s="186" t="s">
        <v>61</v>
      </c>
      <c r="B2150" s="101" t="s">
        <v>556</v>
      </c>
      <c r="C2150" s="84" t="s">
        <v>5518</v>
      </c>
      <c r="D2150" s="161" t="s">
        <v>5519</v>
      </c>
      <c r="E2150" s="161" t="s">
        <v>1640</v>
      </c>
      <c r="F2150" s="161" t="s">
        <v>4684</v>
      </c>
      <c r="G2150" s="163">
        <v>1601.0001</v>
      </c>
      <c r="H2150" s="163">
        <f t="shared" si="173"/>
        <v>10.5</v>
      </c>
      <c r="I2150" s="163">
        <v>81.7</v>
      </c>
      <c r="J2150" s="163">
        <v>11500</v>
      </c>
      <c r="K2150" s="163">
        <v>2244344</v>
      </c>
      <c r="L2150" s="163"/>
      <c r="M2150" s="161" t="s">
        <v>5111</v>
      </c>
      <c r="N2150" s="161" t="s">
        <v>1299</v>
      </c>
      <c r="O2150" s="161" t="s">
        <v>25</v>
      </c>
      <c r="P2150" s="49" t="s">
        <v>25</v>
      </c>
      <c r="Q2150" s="166"/>
      <c r="R2150" s="167"/>
    </row>
    <row r="2151" s="148" customFormat="1" spans="1:18">
      <c r="A2151" s="186" t="s">
        <v>61</v>
      </c>
      <c r="B2151" s="101" t="s">
        <v>556</v>
      </c>
      <c r="C2151" s="84" t="s">
        <v>5520</v>
      </c>
      <c r="D2151" s="161" t="s">
        <v>5521</v>
      </c>
      <c r="E2151" s="161" t="s">
        <v>1640</v>
      </c>
      <c r="F2151" s="161" t="s">
        <v>4684</v>
      </c>
      <c r="G2151" s="163">
        <v>1618.9001</v>
      </c>
      <c r="H2151" s="163">
        <f t="shared" si="173"/>
        <v>17.9000000000001</v>
      </c>
      <c r="I2151" s="163">
        <v>49.3</v>
      </c>
      <c r="J2151" s="163">
        <v>19600</v>
      </c>
      <c r="K2151" s="163">
        <v>2263944</v>
      </c>
      <c r="L2151" s="163"/>
      <c r="M2151" s="161" t="s">
        <v>5111</v>
      </c>
      <c r="N2151" s="161" t="s">
        <v>1299</v>
      </c>
      <c r="O2151" s="161" t="s">
        <v>25</v>
      </c>
      <c r="P2151" s="49" t="s">
        <v>25</v>
      </c>
      <c r="Q2151" s="166"/>
      <c r="R2151" s="167"/>
    </row>
    <row r="2152" s="148" customFormat="1" spans="1:18">
      <c r="A2152" s="186" t="s">
        <v>61</v>
      </c>
      <c r="B2152" s="101" t="s">
        <v>556</v>
      </c>
      <c r="C2152" s="84" t="s">
        <v>5522</v>
      </c>
      <c r="D2152" s="161" t="s">
        <v>5523</v>
      </c>
      <c r="E2152" s="161" t="s">
        <v>1640</v>
      </c>
      <c r="F2152" s="161" t="s">
        <v>4675</v>
      </c>
      <c r="G2152" s="163">
        <v>1632.4001</v>
      </c>
      <c r="H2152" s="163">
        <f t="shared" si="173"/>
        <v>13.5</v>
      </c>
      <c r="I2152" s="163">
        <v>44.47</v>
      </c>
      <c r="J2152" s="163">
        <v>14800</v>
      </c>
      <c r="K2152" s="163">
        <v>2278744</v>
      </c>
      <c r="L2152" s="163"/>
      <c r="M2152" s="161" t="s">
        <v>5111</v>
      </c>
      <c r="N2152" s="161" t="s">
        <v>1299</v>
      </c>
      <c r="O2152" s="161" t="s">
        <v>25</v>
      </c>
      <c r="P2152" s="49" t="s">
        <v>25</v>
      </c>
      <c r="Q2152" s="166"/>
      <c r="R2152" s="167"/>
    </row>
    <row r="2153" s="148" customFormat="1" spans="1:18">
      <c r="A2153" s="186" t="s">
        <v>61</v>
      </c>
      <c r="B2153" s="101" t="s">
        <v>556</v>
      </c>
      <c r="C2153" s="84" t="s">
        <v>5524</v>
      </c>
      <c r="D2153" s="161" t="s">
        <v>430</v>
      </c>
      <c r="E2153" s="161" t="s">
        <v>1640</v>
      </c>
      <c r="F2153" s="161" t="s">
        <v>4675</v>
      </c>
      <c r="G2153" s="163">
        <v>1642.5001</v>
      </c>
      <c r="H2153" s="163">
        <f t="shared" si="173"/>
        <v>10.0999999999999</v>
      </c>
      <c r="I2153" s="163">
        <v>27.2</v>
      </c>
      <c r="J2153" s="163">
        <v>11100</v>
      </c>
      <c r="K2153" s="163">
        <v>2289844</v>
      </c>
      <c r="L2153" s="163"/>
      <c r="M2153" s="161" t="s">
        <v>5111</v>
      </c>
      <c r="N2153" s="161"/>
      <c r="O2153" s="161" t="s">
        <v>6</v>
      </c>
      <c r="P2153" s="49" t="s">
        <v>6</v>
      </c>
      <c r="Q2153" s="166"/>
      <c r="R2153" s="167"/>
    </row>
    <row r="2154" s="148" customFormat="1" spans="1:18">
      <c r="A2154" s="186" t="s">
        <v>61</v>
      </c>
      <c r="B2154" s="101" t="s">
        <v>556</v>
      </c>
      <c r="C2154" s="84" t="s">
        <v>5525</v>
      </c>
      <c r="D2154" s="161" t="s">
        <v>5526</v>
      </c>
      <c r="E2154" s="161" t="s">
        <v>1640</v>
      </c>
      <c r="F2154" s="161" t="s">
        <v>4675</v>
      </c>
      <c r="G2154" s="163">
        <v>1657.1001</v>
      </c>
      <c r="H2154" s="163">
        <f t="shared" si="173"/>
        <v>14.6000000000001</v>
      </c>
      <c r="I2154" s="163">
        <v>5.6</v>
      </c>
      <c r="J2154" s="163">
        <v>16000</v>
      </c>
      <c r="K2154" s="163">
        <v>2305844</v>
      </c>
      <c r="L2154" s="163"/>
      <c r="M2154" s="161" t="s">
        <v>5111</v>
      </c>
      <c r="N2154" s="161" t="s">
        <v>1901</v>
      </c>
      <c r="O2154" s="161" t="s">
        <v>25</v>
      </c>
      <c r="P2154" s="49" t="s">
        <v>25</v>
      </c>
      <c r="Q2154" s="166"/>
      <c r="R2154" s="167"/>
    </row>
    <row r="2155" s="148" customFormat="1" spans="1:18">
      <c r="A2155" s="186" t="s">
        <v>61</v>
      </c>
      <c r="B2155" s="101" t="s">
        <v>556</v>
      </c>
      <c r="C2155" s="84" t="s">
        <v>5527</v>
      </c>
      <c r="D2155" s="161" t="s">
        <v>5528</v>
      </c>
      <c r="E2155" s="161" t="s">
        <v>1640</v>
      </c>
      <c r="F2155" s="161" t="s">
        <v>4675</v>
      </c>
      <c r="G2155" s="163">
        <v>1673.3001</v>
      </c>
      <c r="H2155" s="163">
        <f t="shared" si="173"/>
        <v>16.1999999999998</v>
      </c>
      <c r="I2155" s="163">
        <v>2</v>
      </c>
      <c r="J2155" s="163">
        <v>17800</v>
      </c>
      <c r="K2155" s="163">
        <v>2323644</v>
      </c>
      <c r="L2155" s="163"/>
      <c r="M2155" s="161" t="s">
        <v>5111</v>
      </c>
      <c r="N2155" s="161" t="s">
        <v>1901</v>
      </c>
      <c r="O2155" s="161" t="s">
        <v>25</v>
      </c>
      <c r="P2155" s="49" t="s">
        <v>25</v>
      </c>
      <c r="Q2155" s="166"/>
      <c r="R2155" s="167"/>
    </row>
    <row r="2156" s="148" customFormat="1" spans="1:18">
      <c r="A2156" s="186" t="s">
        <v>61</v>
      </c>
      <c r="B2156" s="101" t="s">
        <v>556</v>
      </c>
      <c r="C2156" s="84" t="s">
        <v>5529</v>
      </c>
      <c r="D2156" s="161" t="s">
        <v>5530</v>
      </c>
      <c r="E2156" s="161" t="s">
        <v>1640</v>
      </c>
      <c r="F2156" s="161" t="s">
        <v>4599</v>
      </c>
      <c r="G2156" s="163">
        <v>1696.6001</v>
      </c>
      <c r="H2156" s="163">
        <f t="shared" si="173"/>
        <v>23.3000000000002</v>
      </c>
      <c r="I2156" s="163">
        <v>1.2</v>
      </c>
      <c r="J2156" s="163">
        <v>25600</v>
      </c>
      <c r="K2156" s="163">
        <v>2349244</v>
      </c>
      <c r="L2156" s="163"/>
      <c r="M2156" s="161" t="s">
        <v>5111</v>
      </c>
      <c r="N2156" s="161" t="s">
        <v>1901</v>
      </c>
      <c r="O2156" s="161" t="s">
        <v>25</v>
      </c>
      <c r="P2156" s="49" t="s">
        <v>25</v>
      </c>
      <c r="Q2156" s="166"/>
      <c r="R2156" s="167"/>
    </row>
    <row r="2157" s="148" customFormat="1" spans="1:18">
      <c r="A2157" s="186" t="s">
        <v>61</v>
      </c>
      <c r="B2157" s="101" t="s">
        <v>556</v>
      </c>
      <c r="C2157" s="135" t="s">
        <v>5531</v>
      </c>
      <c r="D2157" s="161" t="s">
        <v>395</v>
      </c>
      <c r="E2157" s="161" t="s">
        <v>1640</v>
      </c>
      <c r="F2157" s="161" t="s">
        <v>4599</v>
      </c>
      <c r="G2157" s="163">
        <v>1722.0001</v>
      </c>
      <c r="H2157" s="163">
        <f t="shared" si="173"/>
        <v>25.3999999999999</v>
      </c>
      <c r="I2157" s="163">
        <v>2.54</v>
      </c>
      <c r="J2157" s="163">
        <v>27900</v>
      </c>
      <c r="K2157" s="163">
        <v>2377144</v>
      </c>
      <c r="L2157" s="163"/>
      <c r="M2157" s="161" t="s">
        <v>5111</v>
      </c>
      <c r="N2157" s="161"/>
      <c r="O2157" s="161"/>
      <c r="P2157" s="49"/>
      <c r="Q2157" s="166"/>
      <c r="R2157" s="167"/>
    </row>
    <row r="2158" s="148" customFormat="1" spans="1:18">
      <c r="A2158" s="186" t="s">
        <v>61</v>
      </c>
      <c r="B2158" s="101" t="s">
        <v>556</v>
      </c>
      <c r="C2158" s="84" t="s">
        <v>5532</v>
      </c>
      <c r="D2158" s="161" t="s">
        <v>5533</v>
      </c>
      <c r="E2158" s="161" t="s">
        <v>1640</v>
      </c>
      <c r="F2158" s="161" t="s">
        <v>4599</v>
      </c>
      <c r="G2158" s="163">
        <v>1737.0001</v>
      </c>
      <c r="H2158" s="163">
        <f t="shared" si="173"/>
        <v>15</v>
      </c>
      <c r="I2158" s="163">
        <v>4.05</v>
      </c>
      <c r="J2158" s="163">
        <v>16500</v>
      </c>
      <c r="K2158" s="163">
        <v>2393644</v>
      </c>
      <c r="L2158" s="163"/>
      <c r="M2158" s="161" t="s">
        <v>5111</v>
      </c>
      <c r="N2158" s="161" t="s">
        <v>1901</v>
      </c>
      <c r="O2158" s="161" t="s">
        <v>25</v>
      </c>
      <c r="P2158" s="49" t="s">
        <v>25</v>
      </c>
      <c r="Q2158" s="166"/>
      <c r="R2158" s="167"/>
    </row>
    <row r="2159" s="148" customFormat="1" spans="1:18">
      <c r="A2159" s="186" t="s">
        <v>61</v>
      </c>
      <c r="B2159" s="101" t="s">
        <v>556</v>
      </c>
      <c r="C2159" s="84" t="s">
        <v>5534</v>
      </c>
      <c r="D2159" s="161" t="s">
        <v>5535</v>
      </c>
      <c r="E2159" s="161" t="s">
        <v>1640</v>
      </c>
      <c r="F2159" s="161" t="s">
        <v>4599</v>
      </c>
      <c r="G2159" s="163">
        <v>1747.7001</v>
      </c>
      <c r="H2159" s="163">
        <f t="shared" si="173"/>
        <v>10.7</v>
      </c>
      <c r="I2159" s="163">
        <v>4.66</v>
      </c>
      <c r="J2159" s="163">
        <v>11700</v>
      </c>
      <c r="K2159" s="163">
        <v>2405344</v>
      </c>
      <c r="L2159" s="163"/>
      <c r="M2159" s="161" t="s">
        <v>5111</v>
      </c>
      <c r="N2159" s="161" t="s">
        <v>1901</v>
      </c>
      <c r="O2159" s="161" t="s">
        <v>25</v>
      </c>
      <c r="P2159" s="49" t="s">
        <v>25</v>
      </c>
      <c r="Q2159" s="166"/>
      <c r="R2159" s="167"/>
    </row>
    <row r="2160" s="148" customFormat="1" spans="1:18">
      <c r="A2160" s="186" t="s">
        <v>61</v>
      </c>
      <c r="B2160" s="101" t="s">
        <v>556</v>
      </c>
      <c r="C2160" s="84" t="s">
        <v>5536</v>
      </c>
      <c r="D2160" s="161" t="s">
        <v>5537</v>
      </c>
      <c r="E2160" s="161" t="s">
        <v>1640</v>
      </c>
      <c r="F2160" s="161" t="s">
        <v>4599</v>
      </c>
      <c r="G2160" s="163">
        <v>1771.1001</v>
      </c>
      <c r="H2160" s="163">
        <f t="shared" si="173"/>
        <v>23.4000000000001</v>
      </c>
      <c r="I2160" s="163">
        <v>8</v>
      </c>
      <c r="J2160" s="163">
        <v>25700</v>
      </c>
      <c r="K2160" s="163">
        <v>2431044</v>
      </c>
      <c r="L2160" s="163"/>
      <c r="M2160" s="161" t="s">
        <v>5111</v>
      </c>
      <c r="N2160" s="161" t="s">
        <v>1299</v>
      </c>
      <c r="O2160" s="161" t="s">
        <v>25</v>
      </c>
      <c r="P2160" s="49" t="s">
        <v>25</v>
      </c>
      <c r="Q2160" s="166"/>
      <c r="R2160" s="167"/>
    </row>
    <row r="2161" s="148" customFormat="1" spans="1:18">
      <c r="A2161" s="186" t="s">
        <v>61</v>
      </c>
      <c r="B2161" s="101" t="s">
        <v>556</v>
      </c>
      <c r="C2161" s="84" t="s">
        <v>5538</v>
      </c>
      <c r="D2161" s="161" t="s">
        <v>5539</v>
      </c>
      <c r="E2161" s="161" t="s">
        <v>1640</v>
      </c>
      <c r="F2161" s="161" t="s">
        <v>4132</v>
      </c>
      <c r="G2161" s="163">
        <v>1791.5001</v>
      </c>
      <c r="H2161" s="163">
        <f t="shared" si="173"/>
        <v>20.3999999999999</v>
      </c>
      <c r="I2161" s="163">
        <v>10.43</v>
      </c>
      <c r="J2161" s="163">
        <v>22400</v>
      </c>
      <c r="K2161" s="163">
        <v>2453444</v>
      </c>
      <c r="L2161" s="163"/>
      <c r="M2161" s="161" t="s">
        <v>5111</v>
      </c>
      <c r="N2161" s="161" t="s">
        <v>1299</v>
      </c>
      <c r="O2161" s="161" t="s">
        <v>25</v>
      </c>
      <c r="P2161" s="49" t="s">
        <v>25</v>
      </c>
      <c r="Q2161" s="166"/>
      <c r="R2161" s="167"/>
    </row>
    <row r="2162" s="148" customFormat="1" spans="1:18">
      <c r="A2162" s="186" t="s">
        <v>61</v>
      </c>
      <c r="B2162" s="101" t="s">
        <v>556</v>
      </c>
      <c r="C2162" s="84" t="s">
        <v>5540</v>
      </c>
      <c r="D2162" s="161" t="s">
        <v>5541</v>
      </c>
      <c r="E2162" s="161" t="s">
        <v>1640</v>
      </c>
      <c r="F2162" s="161" t="s">
        <v>4132</v>
      </c>
      <c r="G2162" s="163">
        <v>1804.8001</v>
      </c>
      <c r="H2162" s="163">
        <f t="shared" si="173"/>
        <v>13.3</v>
      </c>
      <c r="I2162" s="163">
        <v>14.52</v>
      </c>
      <c r="J2162" s="163">
        <v>14200</v>
      </c>
      <c r="K2162" s="163">
        <v>2467644</v>
      </c>
      <c r="L2162" s="163"/>
      <c r="M2162" s="161" t="s">
        <v>5111</v>
      </c>
      <c r="N2162" s="161" t="s">
        <v>1901</v>
      </c>
      <c r="O2162" s="161" t="s">
        <v>25</v>
      </c>
      <c r="P2162" s="49" t="s">
        <v>25</v>
      </c>
      <c r="Q2162" s="166"/>
      <c r="R2162" s="167"/>
    </row>
    <row r="2163" s="148" customFormat="1" spans="1:18">
      <c r="A2163" s="186" t="s">
        <v>61</v>
      </c>
      <c r="B2163" s="101" t="s">
        <v>556</v>
      </c>
      <c r="C2163" s="84" t="s">
        <v>557</v>
      </c>
      <c r="D2163" s="161" t="s">
        <v>557</v>
      </c>
      <c r="E2163" s="161" t="s">
        <v>1640</v>
      </c>
      <c r="F2163" s="161" t="s">
        <v>4132</v>
      </c>
      <c r="G2163" s="163">
        <v>1825.0001</v>
      </c>
      <c r="H2163" s="163">
        <f t="shared" si="173"/>
        <v>20.2</v>
      </c>
      <c r="I2163" s="163">
        <v>7.91</v>
      </c>
      <c r="J2163" s="163">
        <v>22600</v>
      </c>
      <c r="K2163" s="163">
        <v>2490244</v>
      </c>
      <c r="L2163" s="163"/>
      <c r="M2163" s="161" t="s">
        <v>5111</v>
      </c>
      <c r="N2163" s="161"/>
      <c r="O2163" s="161" t="s">
        <v>6</v>
      </c>
      <c r="P2163" s="49" t="s">
        <v>6</v>
      </c>
      <c r="Q2163" s="166"/>
      <c r="R2163" s="167"/>
    </row>
    <row r="2164" s="148" customFormat="1" ht="30" spans="1:18">
      <c r="A2164" s="186" t="s">
        <v>61</v>
      </c>
      <c r="B2164" s="101" t="s">
        <v>561</v>
      </c>
      <c r="C2164" s="86" t="s">
        <v>163</v>
      </c>
      <c r="D2164" s="161" t="s">
        <v>163</v>
      </c>
      <c r="E2164" s="161" t="s">
        <v>2048</v>
      </c>
      <c r="F2164" s="161" t="s">
        <v>2049</v>
      </c>
      <c r="G2164" s="163">
        <v>0</v>
      </c>
      <c r="H2164" s="163">
        <v>0</v>
      </c>
      <c r="I2164" s="163">
        <v>23.32</v>
      </c>
      <c r="J2164" s="163">
        <v>0</v>
      </c>
      <c r="K2164" s="163">
        <v>0</v>
      </c>
      <c r="L2164" s="163"/>
      <c r="M2164" s="161" t="s">
        <v>1913</v>
      </c>
      <c r="N2164" s="161"/>
      <c r="O2164" s="161" t="s">
        <v>6</v>
      </c>
      <c r="P2164" s="49" t="s">
        <v>6</v>
      </c>
      <c r="Q2164" s="166" t="s">
        <v>2051</v>
      </c>
      <c r="R2164" s="167"/>
    </row>
    <row r="2165" s="148" customFormat="1" ht="30" spans="1:18">
      <c r="A2165" s="186" t="s">
        <v>61</v>
      </c>
      <c r="B2165" s="101" t="s">
        <v>561</v>
      </c>
      <c r="C2165" s="86" t="s">
        <v>5542</v>
      </c>
      <c r="D2165" s="161" t="s">
        <v>5543</v>
      </c>
      <c r="E2165" s="161" t="s">
        <v>1640</v>
      </c>
      <c r="F2165" s="161" t="s">
        <v>2016</v>
      </c>
      <c r="G2165" s="163">
        <v>18.945</v>
      </c>
      <c r="H2165" s="163">
        <f>G2165-G2164</f>
        <v>18.945</v>
      </c>
      <c r="I2165" s="163">
        <v>25.49</v>
      </c>
      <c r="J2165" s="163"/>
      <c r="K2165" s="163">
        <f>K2164+J2165</f>
        <v>0</v>
      </c>
      <c r="L2165" s="163"/>
      <c r="M2165" s="161" t="s">
        <v>5111</v>
      </c>
      <c r="N2165" s="161" t="s">
        <v>1299</v>
      </c>
      <c r="O2165" s="161" t="s">
        <v>25</v>
      </c>
      <c r="P2165" s="49" t="s">
        <v>25</v>
      </c>
      <c r="Q2165" s="166"/>
      <c r="R2165" s="167"/>
    </row>
    <row r="2166" s="148" customFormat="1" ht="30" spans="1:18">
      <c r="A2166" s="186" t="s">
        <v>61</v>
      </c>
      <c r="B2166" s="101" t="s">
        <v>561</v>
      </c>
      <c r="C2166" s="86" t="s">
        <v>5544</v>
      </c>
      <c r="D2166" s="161" t="s">
        <v>5545</v>
      </c>
      <c r="E2166" s="161" t="s">
        <v>1640</v>
      </c>
      <c r="F2166" s="161" t="s">
        <v>2016</v>
      </c>
      <c r="G2166" s="163">
        <v>41.38</v>
      </c>
      <c r="H2166" s="163">
        <f t="shared" ref="H2166:H2211" si="174">G2166-G2165</f>
        <v>22.435</v>
      </c>
      <c r="I2166" s="163">
        <v>20.37</v>
      </c>
      <c r="J2166" s="163"/>
      <c r="K2166" s="163">
        <f t="shared" ref="K2166:K2197" si="175">K2165+J2166</f>
        <v>0</v>
      </c>
      <c r="L2166" s="163"/>
      <c r="M2166" s="161" t="s">
        <v>5111</v>
      </c>
      <c r="N2166" s="161" t="s">
        <v>1299</v>
      </c>
      <c r="O2166" s="161" t="s">
        <v>25</v>
      </c>
      <c r="P2166" s="49" t="s">
        <v>25</v>
      </c>
      <c r="Q2166" s="166"/>
      <c r="R2166" s="167"/>
    </row>
    <row r="2167" s="148" customFormat="1" ht="30" spans="1:18">
      <c r="A2167" s="186" t="s">
        <v>61</v>
      </c>
      <c r="B2167" s="101" t="s">
        <v>561</v>
      </c>
      <c r="C2167" s="86" t="s">
        <v>5546</v>
      </c>
      <c r="D2167" s="161" t="s">
        <v>5547</v>
      </c>
      <c r="E2167" s="161" t="s">
        <v>1640</v>
      </c>
      <c r="F2167" s="161" t="s">
        <v>2016</v>
      </c>
      <c r="G2167" s="163">
        <v>62.922</v>
      </c>
      <c r="H2167" s="163">
        <f t="shared" si="174"/>
        <v>21.542</v>
      </c>
      <c r="I2167" s="163">
        <v>16.9</v>
      </c>
      <c r="J2167" s="163"/>
      <c r="K2167" s="163">
        <f t="shared" si="175"/>
        <v>0</v>
      </c>
      <c r="L2167" s="163"/>
      <c r="M2167" s="161" t="s">
        <v>5111</v>
      </c>
      <c r="N2167" s="161" t="s">
        <v>1299</v>
      </c>
      <c r="O2167" s="161" t="s">
        <v>25</v>
      </c>
      <c r="P2167" s="49" t="s">
        <v>25</v>
      </c>
      <c r="Q2167" s="166"/>
      <c r="R2167" s="167"/>
    </row>
    <row r="2168" s="148" customFormat="1" ht="30" spans="1:18">
      <c r="A2168" s="186" t="s">
        <v>61</v>
      </c>
      <c r="B2168" s="101" t="s">
        <v>561</v>
      </c>
      <c r="C2168" s="86" t="s">
        <v>5548</v>
      </c>
      <c r="D2168" s="161" t="s">
        <v>5549</v>
      </c>
      <c r="E2168" s="161" t="s">
        <v>1640</v>
      </c>
      <c r="F2168" s="161" t="s">
        <v>2016</v>
      </c>
      <c r="G2168" s="163">
        <v>80.641</v>
      </c>
      <c r="H2168" s="163">
        <f t="shared" si="174"/>
        <v>17.719</v>
      </c>
      <c r="I2168" s="163">
        <v>16.12</v>
      </c>
      <c r="J2168" s="163"/>
      <c r="K2168" s="163">
        <f t="shared" si="175"/>
        <v>0</v>
      </c>
      <c r="L2168" s="163"/>
      <c r="M2168" s="161" t="s">
        <v>5111</v>
      </c>
      <c r="N2168" s="161" t="s">
        <v>1299</v>
      </c>
      <c r="O2168" s="161" t="s">
        <v>25</v>
      </c>
      <c r="P2168" s="49" t="s">
        <v>25</v>
      </c>
      <c r="Q2168" s="166"/>
      <c r="R2168" s="167"/>
    </row>
    <row r="2169" s="148" customFormat="1" ht="30" spans="1:18">
      <c r="A2169" s="186" t="s">
        <v>61</v>
      </c>
      <c r="B2169" s="101" t="s">
        <v>561</v>
      </c>
      <c r="C2169" s="86" t="s">
        <v>5550</v>
      </c>
      <c r="D2169" s="161" t="s">
        <v>5551</v>
      </c>
      <c r="E2169" s="161" t="s">
        <v>1640</v>
      </c>
      <c r="F2169" s="161" t="s">
        <v>2016</v>
      </c>
      <c r="G2169" s="163">
        <v>103.618</v>
      </c>
      <c r="H2169" s="163">
        <f t="shared" si="174"/>
        <v>22.977</v>
      </c>
      <c r="I2169" s="163">
        <v>18.22</v>
      </c>
      <c r="J2169" s="163"/>
      <c r="K2169" s="163">
        <f t="shared" si="175"/>
        <v>0</v>
      </c>
      <c r="L2169" s="163"/>
      <c r="M2169" s="161" t="s">
        <v>5111</v>
      </c>
      <c r="N2169" s="161" t="s">
        <v>1299</v>
      </c>
      <c r="O2169" s="161" t="s">
        <v>25</v>
      </c>
      <c r="P2169" s="49" t="s">
        <v>25</v>
      </c>
      <c r="Q2169" s="166"/>
      <c r="R2169" s="167"/>
    </row>
    <row r="2170" s="148" customFormat="1" ht="30" spans="1:18">
      <c r="A2170" s="186" t="s">
        <v>61</v>
      </c>
      <c r="B2170" s="101" t="s">
        <v>561</v>
      </c>
      <c r="C2170" s="86" t="s">
        <v>5552</v>
      </c>
      <c r="D2170" s="161" t="s">
        <v>5553</v>
      </c>
      <c r="E2170" s="161" t="s">
        <v>1640</v>
      </c>
      <c r="F2170" s="161" t="s">
        <v>2016</v>
      </c>
      <c r="G2170" s="163">
        <v>122.288</v>
      </c>
      <c r="H2170" s="163">
        <f t="shared" si="174"/>
        <v>18.67</v>
      </c>
      <c r="I2170" s="163">
        <v>19</v>
      </c>
      <c r="J2170" s="163"/>
      <c r="K2170" s="163">
        <f t="shared" si="175"/>
        <v>0</v>
      </c>
      <c r="L2170" s="163"/>
      <c r="M2170" s="161" t="s">
        <v>5111</v>
      </c>
      <c r="N2170" s="161" t="s">
        <v>1299</v>
      </c>
      <c r="O2170" s="161" t="s">
        <v>25</v>
      </c>
      <c r="P2170" s="49" t="s">
        <v>25</v>
      </c>
      <c r="Q2170" s="166"/>
      <c r="R2170" s="167"/>
    </row>
    <row r="2171" s="148" customFormat="1" ht="30" spans="1:18">
      <c r="A2171" s="186" t="s">
        <v>61</v>
      </c>
      <c r="B2171" s="101" t="s">
        <v>561</v>
      </c>
      <c r="C2171" s="86" t="s">
        <v>5554</v>
      </c>
      <c r="D2171" s="161" t="s">
        <v>5555</v>
      </c>
      <c r="E2171" s="161" t="s">
        <v>1640</v>
      </c>
      <c r="F2171" s="161" t="s">
        <v>2016</v>
      </c>
      <c r="G2171" s="163">
        <v>144.999</v>
      </c>
      <c r="H2171" s="163">
        <f t="shared" si="174"/>
        <v>22.711</v>
      </c>
      <c r="I2171" s="163">
        <v>21.5</v>
      </c>
      <c r="J2171" s="163"/>
      <c r="K2171" s="163">
        <f t="shared" si="175"/>
        <v>0</v>
      </c>
      <c r="L2171" s="163"/>
      <c r="M2171" s="161" t="s">
        <v>5111</v>
      </c>
      <c r="N2171" s="161" t="s">
        <v>1299</v>
      </c>
      <c r="O2171" s="161" t="s">
        <v>25</v>
      </c>
      <c r="P2171" s="49" t="s">
        <v>25</v>
      </c>
      <c r="Q2171" s="166"/>
      <c r="R2171" s="167"/>
    </row>
    <row r="2172" s="148" customFormat="1" ht="30" spans="1:18">
      <c r="A2172" s="186" t="s">
        <v>61</v>
      </c>
      <c r="B2172" s="101" t="s">
        <v>561</v>
      </c>
      <c r="C2172" s="135" t="s">
        <v>177</v>
      </c>
      <c r="D2172" s="161" t="s">
        <v>177</v>
      </c>
      <c r="E2172" s="161" t="s">
        <v>1980</v>
      </c>
      <c r="F2172" s="161" t="s">
        <v>2016</v>
      </c>
      <c r="G2172" s="163">
        <v>161.676</v>
      </c>
      <c r="H2172" s="163">
        <f t="shared" si="174"/>
        <v>16.677</v>
      </c>
      <c r="I2172" s="163">
        <v>23.52</v>
      </c>
      <c r="J2172" s="163">
        <v>177400</v>
      </c>
      <c r="K2172" s="163">
        <f t="shared" si="175"/>
        <v>177400</v>
      </c>
      <c r="L2172" s="163"/>
      <c r="M2172" s="161" t="s">
        <v>1913</v>
      </c>
      <c r="N2172" s="161"/>
      <c r="O2172" s="161"/>
      <c r="P2172" s="49"/>
      <c r="Q2172" s="166" t="s">
        <v>2030</v>
      </c>
      <c r="R2172" s="167"/>
    </row>
    <row r="2173" s="148" customFormat="1" ht="30" spans="1:18">
      <c r="A2173" s="186" t="s">
        <v>61</v>
      </c>
      <c r="B2173" s="101" t="s">
        <v>561</v>
      </c>
      <c r="C2173" s="86" t="s">
        <v>5556</v>
      </c>
      <c r="D2173" s="161" t="s">
        <v>5557</v>
      </c>
      <c r="E2173" s="161" t="s">
        <v>1980</v>
      </c>
      <c r="F2173" s="161" t="s">
        <v>2016</v>
      </c>
      <c r="G2173" s="163">
        <v>175.603</v>
      </c>
      <c r="H2173" s="163">
        <f t="shared" si="174"/>
        <v>13.927</v>
      </c>
      <c r="I2173" s="163">
        <v>25.12</v>
      </c>
      <c r="J2173" s="163"/>
      <c r="K2173" s="163">
        <f t="shared" si="175"/>
        <v>177400</v>
      </c>
      <c r="L2173" s="163"/>
      <c r="M2173" s="161" t="s">
        <v>5111</v>
      </c>
      <c r="N2173" s="161" t="s">
        <v>1299</v>
      </c>
      <c r="O2173" s="161" t="s">
        <v>25</v>
      </c>
      <c r="P2173" s="49" t="s">
        <v>25</v>
      </c>
      <c r="Q2173" s="166"/>
      <c r="R2173" s="167"/>
    </row>
    <row r="2174" s="148" customFormat="1" ht="30" spans="1:18">
      <c r="A2174" s="186" t="s">
        <v>61</v>
      </c>
      <c r="B2174" s="101" t="s">
        <v>561</v>
      </c>
      <c r="C2174" s="86" t="s">
        <v>5558</v>
      </c>
      <c r="D2174" s="161" t="s">
        <v>5559</v>
      </c>
      <c r="E2174" s="161" t="s">
        <v>1980</v>
      </c>
      <c r="F2174" s="161" t="s">
        <v>2016</v>
      </c>
      <c r="G2174" s="163">
        <v>197.975</v>
      </c>
      <c r="H2174" s="163">
        <f t="shared" si="174"/>
        <v>22.372</v>
      </c>
      <c r="I2174" s="163">
        <v>20.56</v>
      </c>
      <c r="J2174" s="163"/>
      <c r="K2174" s="163">
        <f t="shared" si="175"/>
        <v>177400</v>
      </c>
      <c r="L2174" s="163"/>
      <c r="M2174" s="161" t="s">
        <v>5111</v>
      </c>
      <c r="N2174" s="161" t="s">
        <v>1299</v>
      </c>
      <c r="O2174" s="161" t="s">
        <v>25</v>
      </c>
      <c r="P2174" s="49" t="s">
        <v>25</v>
      </c>
      <c r="Q2174" s="166"/>
      <c r="R2174" s="167"/>
    </row>
    <row r="2175" s="148" customFormat="1" ht="30" spans="1:18">
      <c r="A2175" s="186" t="s">
        <v>61</v>
      </c>
      <c r="B2175" s="101" t="s">
        <v>561</v>
      </c>
      <c r="C2175" s="86" t="s">
        <v>5560</v>
      </c>
      <c r="D2175" s="161" t="s">
        <v>5561</v>
      </c>
      <c r="E2175" s="161" t="s">
        <v>1980</v>
      </c>
      <c r="F2175" s="161" t="s">
        <v>2016</v>
      </c>
      <c r="G2175" s="163">
        <v>218.969</v>
      </c>
      <c r="H2175" s="163">
        <f t="shared" si="174"/>
        <v>20.994</v>
      </c>
      <c r="I2175" s="163">
        <v>22</v>
      </c>
      <c r="J2175" s="163"/>
      <c r="K2175" s="163">
        <f t="shared" si="175"/>
        <v>177400</v>
      </c>
      <c r="L2175" s="163"/>
      <c r="M2175" s="161" t="s">
        <v>5111</v>
      </c>
      <c r="N2175" s="161" t="s">
        <v>1299</v>
      </c>
      <c r="O2175" s="161" t="s">
        <v>25</v>
      </c>
      <c r="P2175" s="49" t="s">
        <v>25</v>
      </c>
      <c r="Q2175" s="166"/>
      <c r="R2175" s="167"/>
    </row>
    <row r="2176" s="148" customFormat="1" ht="30" spans="1:18">
      <c r="A2176" s="186" t="s">
        <v>61</v>
      </c>
      <c r="B2176" s="101" t="s">
        <v>561</v>
      </c>
      <c r="C2176" s="86" t="s">
        <v>5562</v>
      </c>
      <c r="D2176" s="161" t="s">
        <v>5563</v>
      </c>
      <c r="E2176" s="161" t="s">
        <v>1980</v>
      </c>
      <c r="F2176" s="161" t="s">
        <v>2016</v>
      </c>
      <c r="G2176" s="163">
        <v>240.819</v>
      </c>
      <c r="H2176" s="163">
        <f t="shared" si="174"/>
        <v>21.85</v>
      </c>
      <c r="I2176" s="163">
        <v>23.3</v>
      </c>
      <c r="J2176" s="163"/>
      <c r="K2176" s="163">
        <f t="shared" si="175"/>
        <v>177400</v>
      </c>
      <c r="L2176" s="163"/>
      <c r="M2176" s="161" t="s">
        <v>5111</v>
      </c>
      <c r="N2176" s="161" t="s">
        <v>1299</v>
      </c>
      <c r="O2176" s="161" t="s">
        <v>25</v>
      </c>
      <c r="P2176" s="49" t="s">
        <v>25</v>
      </c>
      <c r="Q2176" s="166"/>
      <c r="R2176" s="167"/>
    </row>
    <row r="2177" s="148" customFormat="1" ht="30" spans="1:18">
      <c r="A2177" s="186" t="s">
        <v>61</v>
      </c>
      <c r="B2177" s="101" t="s">
        <v>561</v>
      </c>
      <c r="C2177" s="86" t="s">
        <v>5564</v>
      </c>
      <c r="D2177" s="161" t="s">
        <v>5565</v>
      </c>
      <c r="E2177" s="161" t="s">
        <v>1980</v>
      </c>
      <c r="F2177" s="161" t="s">
        <v>2016</v>
      </c>
      <c r="G2177" s="163">
        <v>262.565</v>
      </c>
      <c r="H2177" s="163">
        <f t="shared" si="174"/>
        <v>21.746</v>
      </c>
      <c r="I2177" s="163">
        <v>28.42</v>
      </c>
      <c r="J2177" s="163"/>
      <c r="K2177" s="163">
        <f t="shared" si="175"/>
        <v>177400</v>
      </c>
      <c r="L2177" s="163"/>
      <c r="M2177" s="161" t="s">
        <v>5111</v>
      </c>
      <c r="N2177" s="161" t="s">
        <v>1299</v>
      </c>
      <c r="O2177" s="161" t="s">
        <v>25</v>
      </c>
      <c r="P2177" s="49" t="s">
        <v>25</v>
      </c>
      <c r="Q2177" s="166"/>
      <c r="R2177" s="167"/>
    </row>
    <row r="2178" s="148" customFormat="1" ht="30" spans="1:18">
      <c r="A2178" s="186" t="s">
        <v>61</v>
      </c>
      <c r="B2178" s="101" t="s">
        <v>561</v>
      </c>
      <c r="C2178" s="86" t="s">
        <v>5566</v>
      </c>
      <c r="D2178" s="161" t="s">
        <v>5566</v>
      </c>
      <c r="E2178" s="161" t="s">
        <v>1980</v>
      </c>
      <c r="F2178" s="161" t="s">
        <v>2005</v>
      </c>
      <c r="G2178" s="163">
        <v>273.171</v>
      </c>
      <c r="H2178" s="163">
        <f t="shared" si="174"/>
        <v>10.606</v>
      </c>
      <c r="I2178" s="163">
        <v>40.2</v>
      </c>
      <c r="J2178" s="163">
        <v>122100</v>
      </c>
      <c r="K2178" s="163">
        <f t="shared" si="175"/>
        <v>299500</v>
      </c>
      <c r="L2178" s="163"/>
      <c r="M2178" s="161" t="s">
        <v>5111</v>
      </c>
      <c r="N2178" s="161"/>
      <c r="O2178" s="161" t="s">
        <v>15</v>
      </c>
      <c r="P2178" s="49" t="s">
        <v>15</v>
      </c>
      <c r="Q2178" s="166"/>
      <c r="R2178" s="167"/>
    </row>
    <row r="2179" s="148" customFormat="1" ht="30" spans="1:18">
      <c r="A2179" s="186" t="s">
        <v>61</v>
      </c>
      <c r="B2179" s="101" t="s">
        <v>561</v>
      </c>
      <c r="C2179" s="86" t="s">
        <v>5567</v>
      </c>
      <c r="D2179" s="161" t="s">
        <v>5568</v>
      </c>
      <c r="E2179" s="161" t="s">
        <v>1980</v>
      </c>
      <c r="F2179" s="161" t="s">
        <v>2005</v>
      </c>
      <c r="G2179" s="163">
        <v>296.22</v>
      </c>
      <c r="H2179" s="163">
        <f t="shared" si="174"/>
        <v>23.049</v>
      </c>
      <c r="I2179" s="163">
        <v>143.4</v>
      </c>
      <c r="J2179" s="163"/>
      <c r="K2179" s="163">
        <f t="shared" si="175"/>
        <v>299500</v>
      </c>
      <c r="L2179" s="163"/>
      <c r="M2179" s="161" t="s">
        <v>5111</v>
      </c>
      <c r="N2179" s="161" t="s">
        <v>1299</v>
      </c>
      <c r="O2179" s="161" t="s">
        <v>25</v>
      </c>
      <c r="P2179" s="49" t="s">
        <v>25</v>
      </c>
      <c r="Q2179" s="166"/>
      <c r="R2179" s="167"/>
    </row>
    <row r="2180" s="148" customFormat="1" ht="30" spans="1:18">
      <c r="A2180" s="186" t="s">
        <v>61</v>
      </c>
      <c r="B2180" s="101" t="s">
        <v>561</v>
      </c>
      <c r="C2180" s="86" t="s">
        <v>5569</v>
      </c>
      <c r="D2180" s="161" t="s">
        <v>5570</v>
      </c>
      <c r="E2180" s="161" t="s">
        <v>1980</v>
      </c>
      <c r="F2180" s="161" t="s">
        <v>2005</v>
      </c>
      <c r="G2180" s="163">
        <v>306.241</v>
      </c>
      <c r="H2180" s="163">
        <f t="shared" si="174"/>
        <v>10.021</v>
      </c>
      <c r="I2180" s="163">
        <v>194.96</v>
      </c>
      <c r="J2180" s="163"/>
      <c r="K2180" s="163">
        <f t="shared" si="175"/>
        <v>299500</v>
      </c>
      <c r="L2180" s="163"/>
      <c r="M2180" s="161" t="s">
        <v>5111</v>
      </c>
      <c r="N2180" s="161" t="s">
        <v>1299</v>
      </c>
      <c r="O2180" s="161" t="s">
        <v>25</v>
      </c>
      <c r="P2180" s="49" t="s">
        <v>25</v>
      </c>
      <c r="Q2180" s="166"/>
      <c r="R2180" s="167"/>
    </row>
    <row r="2181" s="148" customFormat="1" ht="30" spans="1:18">
      <c r="A2181" s="186" t="s">
        <v>61</v>
      </c>
      <c r="B2181" s="101" t="s">
        <v>561</v>
      </c>
      <c r="C2181" s="135" t="s">
        <v>182</v>
      </c>
      <c r="D2181" s="161" t="s">
        <v>182</v>
      </c>
      <c r="E2181" s="161" t="s">
        <v>1980</v>
      </c>
      <c r="F2181" s="161" t="s">
        <v>2005</v>
      </c>
      <c r="G2181" s="163">
        <v>319.48</v>
      </c>
      <c r="H2181" s="163">
        <f t="shared" si="174"/>
        <v>13.239</v>
      </c>
      <c r="I2181" s="163">
        <v>155.75</v>
      </c>
      <c r="J2181" s="163">
        <v>50900</v>
      </c>
      <c r="K2181" s="163">
        <f t="shared" si="175"/>
        <v>350400</v>
      </c>
      <c r="L2181" s="163"/>
      <c r="M2181" s="161" t="s">
        <v>5111</v>
      </c>
      <c r="N2181" s="161" t="s">
        <v>1331</v>
      </c>
      <c r="O2181" s="161"/>
      <c r="P2181" s="49"/>
      <c r="Q2181" s="166" t="s">
        <v>3125</v>
      </c>
      <c r="R2181" s="167"/>
    </row>
    <row r="2182" s="148" customFormat="1" ht="30" spans="1:18">
      <c r="A2182" s="186" t="s">
        <v>61</v>
      </c>
      <c r="B2182" s="101" t="s">
        <v>561</v>
      </c>
      <c r="C2182" s="86" t="s">
        <v>5571</v>
      </c>
      <c r="D2182" s="161" t="s">
        <v>5572</v>
      </c>
      <c r="E2182" s="161" t="s">
        <v>1980</v>
      </c>
      <c r="F2182" s="161" t="s">
        <v>2005</v>
      </c>
      <c r="G2182" s="163">
        <v>342.057</v>
      </c>
      <c r="H2182" s="163">
        <f t="shared" si="174"/>
        <v>22.577</v>
      </c>
      <c r="I2182" s="163">
        <v>98.2</v>
      </c>
      <c r="J2182" s="163"/>
      <c r="K2182" s="163">
        <f t="shared" si="175"/>
        <v>350400</v>
      </c>
      <c r="L2182" s="163"/>
      <c r="M2182" s="161" t="s">
        <v>5111</v>
      </c>
      <c r="N2182" s="161" t="s">
        <v>1299</v>
      </c>
      <c r="O2182" s="161" t="s">
        <v>25</v>
      </c>
      <c r="P2182" s="49" t="s">
        <v>25</v>
      </c>
      <c r="Q2182" s="166"/>
      <c r="R2182" s="167"/>
    </row>
    <row r="2183" s="148" customFormat="1" ht="30" spans="1:18">
      <c r="A2183" s="186" t="s">
        <v>61</v>
      </c>
      <c r="B2183" s="101" t="s">
        <v>561</v>
      </c>
      <c r="C2183" s="86" t="s">
        <v>5573</v>
      </c>
      <c r="D2183" s="161" t="s">
        <v>5574</v>
      </c>
      <c r="E2183" s="161" t="s">
        <v>1980</v>
      </c>
      <c r="F2183" s="161" t="s">
        <v>2005</v>
      </c>
      <c r="G2183" s="163">
        <v>362.211</v>
      </c>
      <c r="H2183" s="163">
        <f t="shared" si="174"/>
        <v>20.154</v>
      </c>
      <c r="I2183" s="163">
        <v>124.7</v>
      </c>
      <c r="J2183" s="163"/>
      <c r="K2183" s="163">
        <f t="shared" si="175"/>
        <v>350400</v>
      </c>
      <c r="L2183" s="163"/>
      <c r="M2183" s="161" t="s">
        <v>5111</v>
      </c>
      <c r="N2183" s="161" t="s">
        <v>1299</v>
      </c>
      <c r="O2183" s="161" t="s">
        <v>25</v>
      </c>
      <c r="P2183" s="49" t="s">
        <v>25</v>
      </c>
      <c r="Q2183" s="166"/>
      <c r="R2183" s="167"/>
    </row>
    <row r="2184" s="148" customFormat="1" ht="30" spans="1:18">
      <c r="A2184" s="186" t="s">
        <v>61</v>
      </c>
      <c r="B2184" s="101" t="s">
        <v>561</v>
      </c>
      <c r="C2184" s="86" t="s">
        <v>5575</v>
      </c>
      <c r="D2184" s="161" t="s">
        <v>5576</v>
      </c>
      <c r="E2184" s="161" t="s">
        <v>1980</v>
      </c>
      <c r="F2184" s="161" t="s">
        <v>2005</v>
      </c>
      <c r="G2184" s="163">
        <v>379.326</v>
      </c>
      <c r="H2184" s="163">
        <f t="shared" si="174"/>
        <v>17.115</v>
      </c>
      <c r="I2184" s="163">
        <v>137.8</v>
      </c>
      <c r="J2184" s="163"/>
      <c r="K2184" s="163">
        <f t="shared" si="175"/>
        <v>350400</v>
      </c>
      <c r="L2184" s="163"/>
      <c r="M2184" s="161" t="s">
        <v>5111</v>
      </c>
      <c r="N2184" s="161" t="s">
        <v>1299</v>
      </c>
      <c r="O2184" s="161" t="s">
        <v>25</v>
      </c>
      <c r="P2184" s="49" t="s">
        <v>25</v>
      </c>
      <c r="Q2184" s="166"/>
      <c r="R2184" s="167"/>
    </row>
    <row r="2185" s="148" customFormat="1" ht="30" spans="1:18">
      <c r="A2185" s="186" t="s">
        <v>61</v>
      </c>
      <c r="B2185" s="101" t="s">
        <v>561</v>
      </c>
      <c r="C2185" s="86" t="s">
        <v>5577</v>
      </c>
      <c r="D2185" s="161" t="s">
        <v>5578</v>
      </c>
      <c r="E2185" s="161" t="s">
        <v>1980</v>
      </c>
      <c r="F2185" s="161" t="s">
        <v>2005</v>
      </c>
      <c r="G2185" s="163">
        <v>400.341</v>
      </c>
      <c r="H2185" s="163">
        <f t="shared" si="174"/>
        <v>21.015</v>
      </c>
      <c r="I2185" s="163">
        <v>137.8</v>
      </c>
      <c r="J2185" s="163"/>
      <c r="K2185" s="163">
        <f t="shared" si="175"/>
        <v>350400</v>
      </c>
      <c r="L2185" s="163"/>
      <c r="M2185" s="161" t="s">
        <v>5111</v>
      </c>
      <c r="N2185" s="161" t="s">
        <v>1299</v>
      </c>
      <c r="O2185" s="161" t="s">
        <v>25</v>
      </c>
      <c r="P2185" s="49" t="s">
        <v>25</v>
      </c>
      <c r="Q2185" s="166"/>
      <c r="R2185" s="167"/>
    </row>
    <row r="2186" s="148" customFormat="1" ht="30" spans="1:18">
      <c r="A2186" s="186" t="s">
        <v>61</v>
      </c>
      <c r="B2186" s="101" t="s">
        <v>561</v>
      </c>
      <c r="C2186" s="86" t="s">
        <v>5579</v>
      </c>
      <c r="D2186" s="161" t="s">
        <v>5579</v>
      </c>
      <c r="E2186" s="161" t="s">
        <v>1980</v>
      </c>
      <c r="F2186" s="161" t="s">
        <v>2070</v>
      </c>
      <c r="G2186" s="163">
        <v>422.015</v>
      </c>
      <c r="H2186" s="163">
        <f t="shared" si="174"/>
        <v>21.674</v>
      </c>
      <c r="I2186" s="163">
        <v>128.2</v>
      </c>
      <c r="J2186" s="163">
        <v>114049</v>
      </c>
      <c r="K2186" s="163">
        <f t="shared" si="175"/>
        <v>464449</v>
      </c>
      <c r="L2186" s="163"/>
      <c r="M2186" s="161" t="s">
        <v>5111</v>
      </c>
      <c r="N2186" s="161"/>
      <c r="O2186" s="161" t="s">
        <v>15</v>
      </c>
      <c r="P2186" s="49" t="s">
        <v>15</v>
      </c>
      <c r="Q2186" s="166"/>
      <c r="R2186" s="167"/>
    </row>
    <row r="2187" s="148" customFormat="1" ht="30" spans="1:18">
      <c r="A2187" s="186" t="s">
        <v>61</v>
      </c>
      <c r="B2187" s="101" t="s">
        <v>561</v>
      </c>
      <c r="C2187" s="86" t="s">
        <v>5580</v>
      </c>
      <c r="D2187" s="161" t="s">
        <v>5581</v>
      </c>
      <c r="E2187" s="161" t="s">
        <v>1980</v>
      </c>
      <c r="F2187" s="161" t="s">
        <v>2070</v>
      </c>
      <c r="G2187" s="163">
        <v>448.904</v>
      </c>
      <c r="H2187" s="163">
        <f t="shared" si="174"/>
        <v>26.889</v>
      </c>
      <c r="I2187" s="163">
        <v>191.1</v>
      </c>
      <c r="J2187" s="163"/>
      <c r="K2187" s="163">
        <f t="shared" si="175"/>
        <v>464449</v>
      </c>
      <c r="L2187" s="163"/>
      <c r="M2187" s="161" t="s">
        <v>5111</v>
      </c>
      <c r="N2187" s="161" t="s">
        <v>1299</v>
      </c>
      <c r="O2187" s="161" t="s">
        <v>25</v>
      </c>
      <c r="P2187" s="49" t="s">
        <v>25</v>
      </c>
      <c r="Q2187" s="166"/>
      <c r="R2187" s="167"/>
    </row>
    <row r="2188" s="148" customFormat="1" ht="30" spans="1:18">
      <c r="A2188" s="186" t="s">
        <v>61</v>
      </c>
      <c r="B2188" s="101" t="s">
        <v>561</v>
      </c>
      <c r="C2188" s="86" t="s">
        <v>5582</v>
      </c>
      <c r="D2188" s="161" t="s">
        <v>5583</v>
      </c>
      <c r="E2188" s="161" t="s">
        <v>1980</v>
      </c>
      <c r="F2188" s="161" t="s">
        <v>2070</v>
      </c>
      <c r="G2188" s="163">
        <v>475.69</v>
      </c>
      <c r="H2188" s="163">
        <f t="shared" si="174"/>
        <v>26.786</v>
      </c>
      <c r="I2188" s="163">
        <v>131.8</v>
      </c>
      <c r="J2188" s="163"/>
      <c r="K2188" s="163">
        <f t="shared" si="175"/>
        <v>464449</v>
      </c>
      <c r="L2188" s="163"/>
      <c r="M2188" s="161" t="s">
        <v>5111</v>
      </c>
      <c r="N2188" s="161" t="s">
        <v>1299</v>
      </c>
      <c r="O2188" s="161" t="s">
        <v>25</v>
      </c>
      <c r="P2188" s="49" t="s">
        <v>25</v>
      </c>
      <c r="Q2188" s="166"/>
      <c r="R2188" s="167"/>
    </row>
    <row r="2189" s="148" customFormat="1" ht="30" spans="1:18">
      <c r="A2189" s="186" t="s">
        <v>61</v>
      </c>
      <c r="B2189" s="101" t="s">
        <v>561</v>
      </c>
      <c r="C2189" s="86" t="s">
        <v>5584</v>
      </c>
      <c r="D2189" s="161" t="s">
        <v>5585</v>
      </c>
      <c r="E2189" s="161" t="s">
        <v>1980</v>
      </c>
      <c r="F2189" s="161" t="s">
        <v>2070</v>
      </c>
      <c r="G2189" s="163">
        <v>498.1</v>
      </c>
      <c r="H2189" s="163">
        <f t="shared" si="174"/>
        <v>22.41</v>
      </c>
      <c r="I2189" s="163">
        <v>107.6</v>
      </c>
      <c r="J2189" s="163"/>
      <c r="K2189" s="163">
        <f t="shared" si="175"/>
        <v>464449</v>
      </c>
      <c r="L2189" s="163"/>
      <c r="M2189" s="161" t="s">
        <v>5111</v>
      </c>
      <c r="N2189" s="161" t="s">
        <v>1299</v>
      </c>
      <c r="O2189" s="161" t="s">
        <v>25</v>
      </c>
      <c r="P2189" s="49" t="s">
        <v>25</v>
      </c>
      <c r="Q2189" s="166"/>
      <c r="R2189" s="167"/>
    </row>
    <row r="2190" s="148" customFormat="1" ht="30" spans="1:18">
      <c r="A2190" s="186" t="s">
        <v>61</v>
      </c>
      <c r="B2190" s="101" t="s">
        <v>561</v>
      </c>
      <c r="C2190" s="86" t="s">
        <v>5586</v>
      </c>
      <c r="D2190" s="161" t="s">
        <v>5587</v>
      </c>
      <c r="E2190" s="161" t="s">
        <v>1980</v>
      </c>
      <c r="F2190" s="161" t="s">
        <v>2070</v>
      </c>
      <c r="G2190" s="163">
        <v>515.757</v>
      </c>
      <c r="H2190" s="163">
        <f t="shared" si="174"/>
        <v>17.6569999999999</v>
      </c>
      <c r="I2190" s="163">
        <v>109.6</v>
      </c>
      <c r="J2190" s="163"/>
      <c r="K2190" s="163">
        <f t="shared" si="175"/>
        <v>464449</v>
      </c>
      <c r="L2190" s="163"/>
      <c r="M2190" s="161" t="s">
        <v>5111</v>
      </c>
      <c r="N2190" s="161" t="s">
        <v>1299</v>
      </c>
      <c r="O2190" s="161" t="s">
        <v>25</v>
      </c>
      <c r="P2190" s="49" t="s">
        <v>25</v>
      </c>
      <c r="Q2190" s="166"/>
      <c r="R2190" s="167"/>
    </row>
    <row r="2191" s="148" customFormat="1" ht="30" spans="1:18">
      <c r="A2191" s="186" t="s">
        <v>61</v>
      </c>
      <c r="B2191" s="101" t="s">
        <v>561</v>
      </c>
      <c r="C2191" s="86" t="s">
        <v>5588</v>
      </c>
      <c r="D2191" s="161" t="s">
        <v>5589</v>
      </c>
      <c r="E2191" s="161" t="s">
        <v>1980</v>
      </c>
      <c r="F2191" s="161" t="s">
        <v>2070</v>
      </c>
      <c r="G2191" s="163">
        <v>531.471</v>
      </c>
      <c r="H2191" s="163">
        <f t="shared" si="174"/>
        <v>15.7140000000001</v>
      </c>
      <c r="I2191" s="163">
        <v>114.2</v>
      </c>
      <c r="J2191" s="163"/>
      <c r="K2191" s="163">
        <f t="shared" si="175"/>
        <v>464449</v>
      </c>
      <c r="L2191" s="163"/>
      <c r="M2191" s="161" t="s">
        <v>5111</v>
      </c>
      <c r="N2191" s="161" t="s">
        <v>1299</v>
      </c>
      <c r="O2191" s="161" t="s">
        <v>25</v>
      </c>
      <c r="P2191" s="49" t="s">
        <v>25</v>
      </c>
      <c r="Q2191" s="166"/>
      <c r="R2191" s="167"/>
    </row>
    <row r="2192" s="148" customFormat="1" ht="30" spans="1:18">
      <c r="A2192" s="186" t="s">
        <v>61</v>
      </c>
      <c r="B2192" s="101" t="s">
        <v>561</v>
      </c>
      <c r="C2192" s="86" t="s">
        <v>5590</v>
      </c>
      <c r="D2192" s="161" t="s">
        <v>5591</v>
      </c>
      <c r="E2192" s="161" t="s">
        <v>1980</v>
      </c>
      <c r="F2192" s="161" t="s">
        <v>2070</v>
      </c>
      <c r="G2192" s="163">
        <v>548.967</v>
      </c>
      <c r="H2192" s="163">
        <f t="shared" si="174"/>
        <v>17.496</v>
      </c>
      <c r="I2192" s="163">
        <v>80.2</v>
      </c>
      <c r="J2192" s="163"/>
      <c r="K2192" s="163">
        <f t="shared" si="175"/>
        <v>464449</v>
      </c>
      <c r="L2192" s="163"/>
      <c r="M2192" s="161" t="s">
        <v>5111</v>
      </c>
      <c r="N2192" s="161" t="s">
        <v>1299</v>
      </c>
      <c r="O2192" s="161" t="s">
        <v>25</v>
      </c>
      <c r="P2192" s="49" t="s">
        <v>25</v>
      </c>
      <c r="Q2192" s="166"/>
      <c r="R2192" s="167"/>
    </row>
    <row r="2193" s="148" customFormat="1" ht="30" spans="1:18">
      <c r="A2193" s="186" t="s">
        <v>61</v>
      </c>
      <c r="B2193" s="101" t="s">
        <v>561</v>
      </c>
      <c r="C2193" s="86" t="s">
        <v>5592</v>
      </c>
      <c r="D2193" s="161" t="s">
        <v>5592</v>
      </c>
      <c r="E2193" s="161" t="s">
        <v>1980</v>
      </c>
      <c r="F2193" s="161" t="s">
        <v>2070</v>
      </c>
      <c r="G2193" s="163">
        <v>564.112</v>
      </c>
      <c r="H2193" s="163">
        <f t="shared" si="174"/>
        <v>15.145</v>
      </c>
      <c r="I2193" s="163">
        <v>72.6</v>
      </c>
      <c r="J2193" s="163">
        <v>155979</v>
      </c>
      <c r="K2193" s="163">
        <f t="shared" si="175"/>
        <v>620428</v>
      </c>
      <c r="L2193" s="163"/>
      <c r="M2193" s="161" t="s">
        <v>5111</v>
      </c>
      <c r="N2193" s="161"/>
      <c r="O2193" s="161" t="s">
        <v>15</v>
      </c>
      <c r="P2193" s="49" t="s">
        <v>15</v>
      </c>
      <c r="Q2193" s="166"/>
      <c r="R2193" s="167"/>
    </row>
    <row r="2194" s="148" customFormat="1" ht="30" spans="1:18">
      <c r="A2194" s="186" t="s">
        <v>61</v>
      </c>
      <c r="B2194" s="101" t="s">
        <v>561</v>
      </c>
      <c r="C2194" s="86" t="s">
        <v>5593</v>
      </c>
      <c r="D2194" s="161" t="s">
        <v>5594</v>
      </c>
      <c r="E2194" s="161" t="s">
        <v>1980</v>
      </c>
      <c r="F2194" s="161" t="s">
        <v>2070</v>
      </c>
      <c r="G2194" s="163">
        <v>577.979</v>
      </c>
      <c r="H2194" s="163">
        <f t="shared" si="174"/>
        <v>13.8670000000001</v>
      </c>
      <c r="I2194" s="163">
        <v>69.5</v>
      </c>
      <c r="J2194" s="163"/>
      <c r="K2194" s="163">
        <f t="shared" si="175"/>
        <v>620428</v>
      </c>
      <c r="L2194" s="163"/>
      <c r="M2194" s="161" t="s">
        <v>5111</v>
      </c>
      <c r="N2194" s="161" t="s">
        <v>1299</v>
      </c>
      <c r="O2194" s="161" t="s">
        <v>25</v>
      </c>
      <c r="P2194" s="49" t="s">
        <v>25</v>
      </c>
      <c r="Q2194" s="166"/>
      <c r="R2194" s="167"/>
    </row>
    <row r="2195" s="148" customFormat="1" ht="30" spans="1:18">
      <c r="A2195" s="186" t="s">
        <v>61</v>
      </c>
      <c r="B2195" s="101" t="s">
        <v>561</v>
      </c>
      <c r="C2195" s="86" t="s">
        <v>5595</v>
      </c>
      <c r="D2195" s="161" t="s">
        <v>5596</v>
      </c>
      <c r="E2195" s="161" t="s">
        <v>1980</v>
      </c>
      <c r="F2195" s="161" t="s">
        <v>2070</v>
      </c>
      <c r="G2195" s="163">
        <v>584.846</v>
      </c>
      <c r="H2195" s="163">
        <f t="shared" si="174"/>
        <v>6.86699999999996</v>
      </c>
      <c r="I2195" s="163">
        <v>84.7</v>
      </c>
      <c r="J2195" s="163"/>
      <c r="K2195" s="163">
        <f t="shared" si="175"/>
        <v>620428</v>
      </c>
      <c r="L2195" s="163"/>
      <c r="M2195" s="161" t="s">
        <v>5111</v>
      </c>
      <c r="N2195" s="161" t="s">
        <v>1299</v>
      </c>
      <c r="O2195" s="161" t="s">
        <v>25</v>
      </c>
      <c r="P2195" s="49" t="s">
        <v>25</v>
      </c>
      <c r="Q2195" s="166"/>
      <c r="R2195" s="167"/>
    </row>
    <row r="2196" s="148" customFormat="1" ht="45" spans="1:18">
      <c r="A2196" s="186" t="s">
        <v>61</v>
      </c>
      <c r="B2196" s="101" t="s">
        <v>561</v>
      </c>
      <c r="C2196" s="86" t="s">
        <v>5597</v>
      </c>
      <c r="D2196" s="161" t="s">
        <v>5598</v>
      </c>
      <c r="E2196" s="161" t="s">
        <v>1980</v>
      </c>
      <c r="F2196" s="161" t="s">
        <v>2070</v>
      </c>
      <c r="G2196" s="163">
        <v>606.104</v>
      </c>
      <c r="H2196" s="163">
        <f t="shared" si="174"/>
        <v>21.258</v>
      </c>
      <c r="I2196" s="163">
        <v>61.5</v>
      </c>
      <c r="J2196" s="163"/>
      <c r="K2196" s="163">
        <f t="shared" si="175"/>
        <v>620428</v>
      </c>
      <c r="L2196" s="163" t="s">
        <v>5599</v>
      </c>
      <c r="M2196" s="161" t="s">
        <v>5111</v>
      </c>
      <c r="N2196" s="161" t="s">
        <v>1299</v>
      </c>
      <c r="O2196" s="161" t="s">
        <v>25</v>
      </c>
      <c r="P2196" s="49" t="s">
        <v>25</v>
      </c>
      <c r="Q2196" s="166"/>
      <c r="R2196" s="167"/>
    </row>
    <row r="2197" s="148" customFormat="1" ht="30" spans="1:18">
      <c r="A2197" s="186" t="s">
        <v>61</v>
      </c>
      <c r="B2197" s="101" t="s">
        <v>561</v>
      </c>
      <c r="C2197" s="86" t="s">
        <v>5600</v>
      </c>
      <c r="D2197" s="161" t="s">
        <v>5601</v>
      </c>
      <c r="E2197" s="161" t="s">
        <v>1689</v>
      </c>
      <c r="F2197" s="161" t="s">
        <v>5602</v>
      </c>
      <c r="G2197" s="163">
        <v>623.504</v>
      </c>
      <c r="H2197" s="163">
        <f t="shared" si="174"/>
        <v>17.4</v>
      </c>
      <c r="I2197" s="163">
        <v>17.4</v>
      </c>
      <c r="J2197" s="163"/>
      <c r="K2197" s="163">
        <f t="shared" si="175"/>
        <v>620428</v>
      </c>
      <c r="L2197" s="163"/>
      <c r="M2197" s="161" t="s">
        <v>5111</v>
      </c>
      <c r="N2197" s="161" t="s">
        <v>1299</v>
      </c>
      <c r="O2197" s="161" t="s">
        <v>25</v>
      </c>
      <c r="P2197" s="49" t="s">
        <v>25</v>
      </c>
      <c r="Q2197" s="166"/>
      <c r="R2197" s="167"/>
    </row>
    <row r="2198" s="148" customFormat="1" ht="30" spans="1:18">
      <c r="A2198" s="186" t="s">
        <v>61</v>
      </c>
      <c r="B2198" s="101" t="s">
        <v>561</v>
      </c>
      <c r="C2198" s="86" t="s">
        <v>5603</v>
      </c>
      <c r="D2198" s="161" t="s">
        <v>5604</v>
      </c>
      <c r="E2198" s="161" t="s">
        <v>1689</v>
      </c>
      <c r="F2198" s="161" t="s">
        <v>5602</v>
      </c>
      <c r="G2198" s="163">
        <v>636.704</v>
      </c>
      <c r="H2198" s="163">
        <f t="shared" si="174"/>
        <v>13.1999999999999</v>
      </c>
      <c r="I2198" s="163">
        <v>4.5</v>
      </c>
      <c r="J2198" s="163"/>
      <c r="K2198" s="163">
        <f t="shared" ref="K2198:K2228" si="176">K2197+J2198</f>
        <v>620428</v>
      </c>
      <c r="L2198" s="163"/>
      <c r="M2198" s="161" t="s">
        <v>5111</v>
      </c>
      <c r="N2198" s="161" t="s">
        <v>1299</v>
      </c>
      <c r="O2198" s="161" t="s">
        <v>25</v>
      </c>
      <c r="P2198" s="49" t="s">
        <v>25</v>
      </c>
      <c r="Q2198" s="166"/>
      <c r="R2198" s="167"/>
    </row>
    <row r="2199" s="148" customFormat="1" ht="30" spans="1:18">
      <c r="A2199" s="186" t="s">
        <v>61</v>
      </c>
      <c r="B2199" s="101" t="s">
        <v>561</v>
      </c>
      <c r="C2199" s="86" t="s">
        <v>5605</v>
      </c>
      <c r="D2199" s="161" t="s">
        <v>5606</v>
      </c>
      <c r="E2199" s="161" t="s">
        <v>1689</v>
      </c>
      <c r="F2199" s="161" t="s">
        <v>5602</v>
      </c>
      <c r="G2199" s="163">
        <v>659.404</v>
      </c>
      <c r="H2199" s="163">
        <f t="shared" si="174"/>
        <v>22.7</v>
      </c>
      <c r="I2199" s="163">
        <v>3.6</v>
      </c>
      <c r="J2199" s="163"/>
      <c r="K2199" s="163">
        <f t="shared" si="176"/>
        <v>620428</v>
      </c>
      <c r="L2199" s="163"/>
      <c r="M2199" s="161" t="s">
        <v>5111</v>
      </c>
      <c r="N2199" s="161" t="s">
        <v>1299</v>
      </c>
      <c r="O2199" s="161" t="s">
        <v>25</v>
      </c>
      <c r="P2199" s="49" t="s">
        <v>25</v>
      </c>
      <c r="Q2199" s="166"/>
      <c r="R2199" s="167"/>
    </row>
    <row r="2200" s="148" customFormat="1" ht="30" spans="1:18">
      <c r="A2200" s="186" t="s">
        <v>61</v>
      </c>
      <c r="B2200" s="101" t="s">
        <v>561</v>
      </c>
      <c r="C2200" s="86" t="s">
        <v>5607</v>
      </c>
      <c r="D2200" s="161" t="s">
        <v>5607</v>
      </c>
      <c r="E2200" s="161" t="s">
        <v>1689</v>
      </c>
      <c r="F2200" s="161" t="s">
        <v>5602</v>
      </c>
      <c r="G2200" s="163">
        <v>673.504</v>
      </c>
      <c r="H2200" s="163">
        <f t="shared" si="174"/>
        <v>14.1</v>
      </c>
      <c r="I2200" s="163">
        <v>2.8</v>
      </c>
      <c r="J2200" s="163">
        <v>117177</v>
      </c>
      <c r="K2200" s="163">
        <f t="shared" si="176"/>
        <v>737605</v>
      </c>
      <c r="L2200" s="163"/>
      <c r="M2200" s="161" t="s">
        <v>5111</v>
      </c>
      <c r="N2200" s="161"/>
      <c r="O2200" s="161" t="s">
        <v>15</v>
      </c>
      <c r="P2200" s="49" t="s">
        <v>15</v>
      </c>
      <c r="Q2200" s="166"/>
      <c r="R2200" s="167"/>
    </row>
    <row r="2201" s="148" customFormat="1" ht="30" spans="1:18">
      <c r="A2201" s="186" t="s">
        <v>61</v>
      </c>
      <c r="B2201" s="101" t="s">
        <v>561</v>
      </c>
      <c r="C2201" s="86" t="s">
        <v>5608</v>
      </c>
      <c r="D2201" s="161" t="s">
        <v>5609</v>
      </c>
      <c r="E2201" s="161" t="s">
        <v>1689</v>
      </c>
      <c r="F2201" s="161" t="s">
        <v>5610</v>
      </c>
      <c r="G2201" s="163">
        <v>690.204</v>
      </c>
      <c r="H2201" s="163">
        <f t="shared" si="174"/>
        <v>16.6999999999999</v>
      </c>
      <c r="I2201" s="163">
        <v>2.9</v>
      </c>
      <c r="J2201" s="163"/>
      <c r="K2201" s="163">
        <f t="shared" si="176"/>
        <v>737605</v>
      </c>
      <c r="L2201" s="163"/>
      <c r="M2201" s="161" t="s">
        <v>5111</v>
      </c>
      <c r="N2201" s="161" t="s">
        <v>1299</v>
      </c>
      <c r="O2201" s="161" t="s">
        <v>25</v>
      </c>
      <c r="P2201" s="49" t="s">
        <v>25</v>
      </c>
      <c r="Q2201" s="166"/>
      <c r="R2201" s="167"/>
    </row>
    <row r="2202" s="148" customFormat="1" ht="30" spans="1:18">
      <c r="A2202" s="186" t="s">
        <v>61</v>
      </c>
      <c r="B2202" s="101" t="s">
        <v>561</v>
      </c>
      <c r="C2202" s="86" t="s">
        <v>5611</v>
      </c>
      <c r="D2202" s="161" t="s">
        <v>5612</v>
      </c>
      <c r="E2202" s="161" t="s">
        <v>1689</v>
      </c>
      <c r="F2202" s="161" t="s">
        <v>5610</v>
      </c>
      <c r="G2202" s="163">
        <v>708.704</v>
      </c>
      <c r="H2202" s="163">
        <f t="shared" si="174"/>
        <v>18.5</v>
      </c>
      <c r="I2202" s="163">
        <v>4.4</v>
      </c>
      <c r="J2202" s="163"/>
      <c r="K2202" s="163">
        <f t="shared" si="176"/>
        <v>737605</v>
      </c>
      <c r="L2202" s="163"/>
      <c r="M2202" s="161" t="s">
        <v>5111</v>
      </c>
      <c r="N2202" s="161" t="s">
        <v>1299</v>
      </c>
      <c r="O2202" s="161" t="s">
        <v>25</v>
      </c>
      <c r="P2202" s="49" t="s">
        <v>25</v>
      </c>
      <c r="Q2202" s="166"/>
      <c r="R2202" s="167"/>
    </row>
    <row r="2203" s="148" customFormat="1" ht="30" spans="1:18">
      <c r="A2203" s="186" t="s">
        <v>61</v>
      </c>
      <c r="B2203" s="101" t="s">
        <v>561</v>
      </c>
      <c r="C2203" s="86" t="s">
        <v>5613</v>
      </c>
      <c r="D2203" s="161" t="s">
        <v>5614</v>
      </c>
      <c r="E2203" s="161" t="s">
        <v>1689</v>
      </c>
      <c r="F2203" s="161" t="s">
        <v>5610</v>
      </c>
      <c r="G2203" s="163">
        <v>724.804</v>
      </c>
      <c r="H2203" s="163">
        <f t="shared" si="174"/>
        <v>16.1</v>
      </c>
      <c r="I2203" s="163">
        <v>3.8</v>
      </c>
      <c r="J2203" s="163"/>
      <c r="K2203" s="163">
        <f t="shared" si="176"/>
        <v>737605</v>
      </c>
      <c r="L2203" s="163"/>
      <c r="M2203" s="161" t="s">
        <v>5111</v>
      </c>
      <c r="N2203" s="161" t="s">
        <v>1299</v>
      </c>
      <c r="O2203" s="161" t="s">
        <v>25</v>
      </c>
      <c r="P2203" s="49" t="s">
        <v>25</v>
      </c>
      <c r="Q2203" s="166"/>
      <c r="R2203" s="167"/>
    </row>
    <row r="2204" s="148" customFormat="1" ht="30" spans="1:18">
      <c r="A2204" s="186" t="s">
        <v>61</v>
      </c>
      <c r="B2204" s="101" t="s">
        <v>561</v>
      </c>
      <c r="C2204" s="86" t="s">
        <v>5615</v>
      </c>
      <c r="D2204" s="161" t="s">
        <v>5616</v>
      </c>
      <c r="E2204" s="161" t="s">
        <v>1689</v>
      </c>
      <c r="F2204" s="161" t="s">
        <v>5610</v>
      </c>
      <c r="G2204" s="163">
        <v>738.604</v>
      </c>
      <c r="H2204" s="163">
        <f t="shared" si="174"/>
        <v>13.8000000000001</v>
      </c>
      <c r="I2204" s="163">
        <v>2.9</v>
      </c>
      <c r="J2204" s="163"/>
      <c r="K2204" s="163">
        <f t="shared" si="176"/>
        <v>737605</v>
      </c>
      <c r="L2204" s="163"/>
      <c r="M2204" s="161" t="s">
        <v>5111</v>
      </c>
      <c r="N2204" s="161" t="s">
        <v>1299</v>
      </c>
      <c r="O2204" s="161" t="s">
        <v>25</v>
      </c>
      <c r="P2204" s="49" t="s">
        <v>25</v>
      </c>
      <c r="Q2204" s="166"/>
      <c r="R2204" s="167"/>
    </row>
    <row r="2205" s="148" customFormat="1" ht="30" spans="1:18">
      <c r="A2205" s="186" t="s">
        <v>61</v>
      </c>
      <c r="B2205" s="101" t="s">
        <v>561</v>
      </c>
      <c r="C2205" s="86" t="s">
        <v>5617</v>
      </c>
      <c r="D2205" s="161" t="s">
        <v>5618</v>
      </c>
      <c r="E2205" s="161" t="s">
        <v>1689</v>
      </c>
      <c r="F2205" s="161" t="s">
        <v>5610</v>
      </c>
      <c r="G2205" s="163">
        <v>750.004</v>
      </c>
      <c r="H2205" s="163">
        <f t="shared" si="174"/>
        <v>11.4</v>
      </c>
      <c r="I2205" s="163">
        <v>2.7</v>
      </c>
      <c r="J2205" s="163"/>
      <c r="K2205" s="163">
        <f t="shared" si="176"/>
        <v>737605</v>
      </c>
      <c r="L2205" s="163"/>
      <c r="M2205" s="161" t="s">
        <v>5111</v>
      </c>
      <c r="N2205" s="161" t="s">
        <v>1299</v>
      </c>
      <c r="O2205" s="161" t="s">
        <v>25</v>
      </c>
      <c r="P2205" s="49" t="s">
        <v>25</v>
      </c>
      <c r="Q2205" s="166"/>
      <c r="R2205" s="167"/>
    </row>
    <row r="2206" s="148" customFormat="1" ht="30" spans="1:18">
      <c r="A2206" s="186" t="s">
        <v>61</v>
      </c>
      <c r="B2206" s="101" t="s">
        <v>561</v>
      </c>
      <c r="C2206" s="86" t="s">
        <v>5619</v>
      </c>
      <c r="D2206" s="161" t="s">
        <v>5619</v>
      </c>
      <c r="E2206" s="161" t="s">
        <v>1689</v>
      </c>
      <c r="F2206" s="161" t="s">
        <v>5610</v>
      </c>
      <c r="G2206" s="163">
        <v>761.904</v>
      </c>
      <c r="H2206" s="163">
        <f t="shared" si="174"/>
        <v>11.9</v>
      </c>
      <c r="I2206" s="163">
        <v>3</v>
      </c>
      <c r="J2206" s="163">
        <v>95807</v>
      </c>
      <c r="K2206" s="163">
        <f t="shared" si="176"/>
        <v>833412</v>
      </c>
      <c r="L2206" s="163"/>
      <c r="M2206" s="161" t="s">
        <v>5111</v>
      </c>
      <c r="N2206" s="161"/>
      <c r="O2206" s="161" t="s">
        <v>14</v>
      </c>
      <c r="P2206" s="49" t="s">
        <v>14</v>
      </c>
      <c r="Q2206" s="166"/>
      <c r="R2206" s="167"/>
    </row>
    <row r="2207" s="148" customFormat="1" ht="30" spans="1:18">
      <c r="A2207" s="186" t="s">
        <v>61</v>
      </c>
      <c r="B2207" s="101" t="s">
        <v>561</v>
      </c>
      <c r="C2207" s="86" t="s">
        <v>5620</v>
      </c>
      <c r="D2207" s="161" t="s">
        <v>5621</v>
      </c>
      <c r="E2207" s="161" t="s">
        <v>1689</v>
      </c>
      <c r="F2207" s="161" t="s">
        <v>5610</v>
      </c>
      <c r="G2207" s="163">
        <v>775.604</v>
      </c>
      <c r="H2207" s="163">
        <f t="shared" si="174"/>
        <v>13.7</v>
      </c>
      <c r="I2207" s="163">
        <v>3.9</v>
      </c>
      <c r="J2207" s="163"/>
      <c r="K2207" s="163">
        <f t="shared" si="176"/>
        <v>833412</v>
      </c>
      <c r="L2207" s="163"/>
      <c r="M2207" s="161" t="s">
        <v>5111</v>
      </c>
      <c r="N2207" s="161" t="s">
        <v>1299</v>
      </c>
      <c r="O2207" s="161" t="s">
        <v>25</v>
      </c>
      <c r="P2207" s="49" t="s">
        <v>25</v>
      </c>
      <c r="Q2207" s="166"/>
      <c r="R2207" s="167"/>
    </row>
    <row r="2208" s="148" customFormat="1" ht="30" spans="1:18">
      <c r="A2208" s="186" t="s">
        <v>61</v>
      </c>
      <c r="B2208" s="101" t="s">
        <v>561</v>
      </c>
      <c r="C2208" s="86" t="s">
        <v>5622</v>
      </c>
      <c r="D2208" s="161" t="s">
        <v>5623</v>
      </c>
      <c r="E2208" s="161" t="s">
        <v>1689</v>
      </c>
      <c r="F2208" s="161" t="s">
        <v>5624</v>
      </c>
      <c r="G2208" s="163">
        <v>796.604</v>
      </c>
      <c r="H2208" s="163">
        <f t="shared" si="174"/>
        <v>21</v>
      </c>
      <c r="I2208" s="163">
        <v>3.4</v>
      </c>
      <c r="J2208" s="163"/>
      <c r="K2208" s="163">
        <f t="shared" si="176"/>
        <v>833412</v>
      </c>
      <c r="L2208" s="163"/>
      <c r="M2208" s="161" t="s">
        <v>5111</v>
      </c>
      <c r="N2208" s="161" t="s">
        <v>1299</v>
      </c>
      <c r="O2208" s="161" t="s">
        <v>25</v>
      </c>
      <c r="P2208" s="49" t="s">
        <v>25</v>
      </c>
      <c r="Q2208" s="166"/>
      <c r="R2208" s="167"/>
    </row>
    <row r="2209" s="148" customFormat="1" ht="30" spans="1:18">
      <c r="A2209" s="186" t="s">
        <v>61</v>
      </c>
      <c r="B2209" s="101" t="s">
        <v>561</v>
      </c>
      <c r="C2209" s="86" t="s">
        <v>5625</v>
      </c>
      <c r="D2209" s="161" t="s">
        <v>5626</v>
      </c>
      <c r="E2209" s="161" t="s">
        <v>1689</v>
      </c>
      <c r="F2209" s="161" t="s">
        <v>5624</v>
      </c>
      <c r="G2209" s="163">
        <v>805.204</v>
      </c>
      <c r="H2209" s="163">
        <f t="shared" si="174"/>
        <v>8.59999999999991</v>
      </c>
      <c r="I2209" s="163">
        <v>2.5</v>
      </c>
      <c r="J2209" s="163"/>
      <c r="K2209" s="163">
        <f t="shared" si="176"/>
        <v>833412</v>
      </c>
      <c r="L2209" s="163"/>
      <c r="M2209" s="161" t="s">
        <v>5111</v>
      </c>
      <c r="N2209" s="161" t="s">
        <v>1299</v>
      </c>
      <c r="O2209" s="161" t="s">
        <v>25</v>
      </c>
      <c r="P2209" s="49" t="s">
        <v>25</v>
      </c>
      <c r="Q2209" s="166"/>
      <c r="R2209" s="167"/>
    </row>
    <row r="2210" s="148" customFormat="1" ht="30" spans="1:18">
      <c r="A2210" s="186" t="s">
        <v>61</v>
      </c>
      <c r="B2210" s="101" t="s">
        <v>561</v>
      </c>
      <c r="C2210" s="86" t="s">
        <v>5627</v>
      </c>
      <c r="D2210" s="161" t="s">
        <v>5627</v>
      </c>
      <c r="E2210" s="161" t="s">
        <v>1689</v>
      </c>
      <c r="F2210" s="161" t="s">
        <v>5624</v>
      </c>
      <c r="G2210" s="163">
        <v>813.904</v>
      </c>
      <c r="H2210" s="163">
        <f t="shared" si="174"/>
        <v>8.70000000000005</v>
      </c>
      <c r="I2210" s="163" t="s">
        <v>147</v>
      </c>
      <c r="J2210" s="163"/>
      <c r="K2210" s="163">
        <f t="shared" si="176"/>
        <v>833412</v>
      </c>
      <c r="L2210" s="163"/>
      <c r="M2210" s="161" t="s">
        <v>5111</v>
      </c>
      <c r="N2210" s="161"/>
      <c r="O2210" s="161" t="s">
        <v>15</v>
      </c>
      <c r="P2210" s="49" t="s">
        <v>15</v>
      </c>
      <c r="Q2210" s="166"/>
      <c r="R2210" s="167"/>
    </row>
    <row r="2211" s="148" customFormat="1" ht="30" spans="1:18">
      <c r="A2211" s="186" t="s">
        <v>61</v>
      </c>
      <c r="B2211" s="101" t="s">
        <v>561</v>
      </c>
      <c r="C2211" s="86" t="s">
        <v>5628</v>
      </c>
      <c r="D2211" s="161" t="s">
        <v>5628</v>
      </c>
      <c r="E2211" s="161" t="s">
        <v>1689</v>
      </c>
      <c r="F2211" s="161" t="s">
        <v>5624</v>
      </c>
      <c r="G2211" s="163">
        <v>822.704</v>
      </c>
      <c r="H2211" s="163">
        <f t="shared" si="174"/>
        <v>8.79999999999995</v>
      </c>
      <c r="I2211" s="163">
        <v>2.1</v>
      </c>
      <c r="J2211" s="163">
        <v>65894</v>
      </c>
      <c r="K2211" s="163">
        <f t="shared" si="176"/>
        <v>899306</v>
      </c>
      <c r="L2211" s="163"/>
      <c r="M2211" s="161" t="s">
        <v>5111</v>
      </c>
      <c r="N2211" s="161"/>
      <c r="O2211" s="161" t="s">
        <v>15</v>
      </c>
      <c r="P2211" s="49" t="s">
        <v>15</v>
      </c>
      <c r="Q2211" s="166"/>
      <c r="R2211" s="167"/>
    </row>
    <row r="2212" s="148" customFormat="1" ht="30" spans="1:18">
      <c r="A2212" s="186" t="s">
        <v>61</v>
      </c>
      <c r="B2212" s="101" t="s">
        <v>561</v>
      </c>
      <c r="C2212" s="86" t="s">
        <v>5629</v>
      </c>
      <c r="D2212" s="161" t="s">
        <v>5630</v>
      </c>
      <c r="E2212" s="161" t="s">
        <v>1689</v>
      </c>
      <c r="F2212" s="161" t="s">
        <v>5624</v>
      </c>
      <c r="G2212" s="163">
        <v>834.704</v>
      </c>
      <c r="H2212" s="163">
        <f t="shared" ref="H2212:H2228" si="177">G2212-G2211</f>
        <v>12</v>
      </c>
      <c r="I2212" s="163">
        <v>0.9</v>
      </c>
      <c r="J2212" s="163"/>
      <c r="K2212" s="163">
        <f t="shared" si="176"/>
        <v>899306</v>
      </c>
      <c r="L2212" s="163"/>
      <c r="M2212" s="161" t="s">
        <v>5111</v>
      </c>
      <c r="N2212" s="161" t="s">
        <v>1299</v>
      </c>
      <c r="O2212" s="161" t="s">
        <v>25</v>
      </c>
      <c r="P2212" s="49" t="s">
        <v>25</v>
      </c>
      <c r="Q2212" s="166"/>
      <c r="R2212" s="167"/>
    </row>
    <row r="2213" s="148" customFormat="1" ht="30" spans="1:18">
      <c r="A2213" s="186" t="s">
        <v>61</v>
      </c>
      <c r="B2213" s="101" t="s">
        <v>561</v>
      </c>
      <c r="C2213" s="86" t="s">
        <v>5631</v>
      </c>
      <c r="D2213" s="161" t="s">
        <v>5632</v>
      </c>
      <c r="E2213" s="161" t="s">
        <v>1689</v>
      </c>
      <c r="F2213" s="161" t="s">
        <v>5633</v>
      </c>
      <c r="G2213" s="163">
        <v>850.504</v>
      </c>
      <c r="H2213" s="163">
        <f t="shared" si="177"/>
        <v>15.8000000000001</v>
      </c>
      <c r="I2213" s="163">
        <v>1.1</v>
      </c>
      <c r="J2213" s="163"/>
      <c r="K2213" s="163">
        <f t="shared" si="176"/>
        <v>899306</v>
      </c>
      <c r="L2213" s="163"/>
      <c r="M2213" s="161" t="s">
        <v>5111</v>
      </c>
      <c r="N2213" s="161" t="s">
        <v>1299</v>
      </c>
      <c r="O2213" s="161" t="s">
        <v>25</v>
      </c>
      <c r="P2213" s="49" t="s">
        <v>25</v>
      </c>
      <c r="Q2213" s="166"/>
      <c r="R2213" s="167"/>
    </row>
    <row r="2214" s="148" customFormat="1" ht="30" spans="1:18">
      <c r="A2214" s="186" t="s">
        <v>61</v>
      </c>
      <c r="B2214" s="101" t="s">
        <v>561</v>
      </c>
      <c r="C2214" s="86" t="s">
        <v>5634</v>
      </c>
      <c r="D2214" s="161" t="s">
        <v>5634</v>
      </c>
      <c r="E2214" s="161" t="s">
        <v>1689</v>
      </c>
      <c r="F2214" s="161" t="s">
        <v>5633</v>
      </c>
      <c r="G2214" s="163">
        <v>865.104</v>
      </c>
      <c r="H2214" s="163">
        <f t="shared" si="177"/>
        <v>14.6</v>
      </c>
      <c r="I2214" s="163">
        <v>1</v>
      </c>
      <c r="J2214" s="163">
        <v>45953</v>
      </c>
      <c r="K2214" s="163">
        <f t="shared" si="176"/>
        <v>945259</v>
      </c>
      <c r="L2214" s="163"/>
      <c r="M2214" s="161" t="s">
        <v>5111</v>
      </c>
      <c r="N2214" s="161"/>
      <c r="O2214" s="161" t="s">
        <v>14</v>
      </c>
      <c r="P2214" s="49" t="s">
        <v>14</v>
      </c>
      <c r="Q2214" s="166"/>
      <c r="R2214" s="167"/>
    </row>
    <row r="2215" s="148" customFormat="1" ht="30" spans="1:18">
      <c r="A2215" s="186" t="s">
        <v>61</v>
      </c>
      <c r="B2215" s="101" t="s">
        <v>561</v>
      </c>
      <c r="C2215" s="86" t="s">
        <v>5635</v>
      </c>
      <c r="D2215" s="161" t="s">
        <v>5636</v>
      </c>
      <c r="E2215" s="161" t="s">
        <v>1689</v>
      </c>
      <c r="F2215" s="161" t="s">
        <v>5633</v>
      </c>
      <c r="G2215" s="163">
        <v>878.204</v>
      </c>
      <c r="H2215" s="163">
        <f t="shared" si="177"/>
        <v>13.0999999999999</v>
      </c>
      <c r="I2215" s="163">
        <v>1.6</v>
      </c>
      <c r="J2215" s="163"/>
      <c r="K2215" s="163">
        <f t="shared" si="176"/>
        <v>945259</v>
      </c>
      <c r="L2215" s="163"/>
      <c r="M2215" s="161" t="s">
        <v>5111</v>
      </c>
      <c r="N2215" s="161" t="s">
        <v>1299</v>
      </c>
      <c r="O2215" s="161" t="s">
        <v>25</v>
      </c>
      <c r="P2215" s="49" t="s">
        <v>25</v>
      </c>
      <c r="Q2215" s="166"/>
      <c r="R2215" s="167"/>
    </row>
    <row r="2216" s="148" customFormat="1" ht="30" spans="1:18">
      <c r="A2216" s="186" t="s">
        <v>61</v>
      </c>
      <c r="B2216" s="101" t="s">
        <v>561</v>
      </c>
      <c r="C2216" s="86" t="s">
        <v>5637</v>
      </c>
      <c r="D2216" s="161" t="s">
        <v>5637</v>
      </c>
      <c r="E2216" s="161" t="s">
        <v>1689</v>
      </c>
      <c r="F2216" s="161" t="s">
        <v>5638</v>
      </c>
      <c r="G2216" s="163">
        <v>893.904</v>
      </c>
      <c r="H2216" s="163">
        <f t="shared" si="177"/>
        <v>15.7</v>
      </c>
      <c r="I2216" s="163">
        <v>2</v>
      </c>
      <c r="J2216" s="163">
        <v>31213</v>
      </c>
      <c r="K2216" s="163">
        <f t="shared" si="176"/>
        <v>976472</v>
      </c>
      <c r="L2216" s="163"/>
      <c r="M2216" s="161" t="s">
        <v>5111</v>
      </c>
      <c r="N2216" s="161"/>
      <c r="O2216" s="161" t="s">
        <v>15</v>
      </c>
      <c r="P2216" s="49" t="s">
        <v>15</v>
      </c>
      <c r="Q2216" s="166"/>
      <c r="R2216" s="167"/>
    </row>
    <row r="2217" s="148" customFormat="1" ht="30" spans="1:18">
      <c r="A2217" s="186" t="s">
        <v>61</v>
      </c>
      <c r="B2217" s="101" t="s">
        <v>561</v>
      </c>
      <c r="C2217" s="86" t="s">
        <v>5639</v>
      </c>
      <c r="D2217" s="161" t="s">
        <v>5639</v>
      </c>
      <c r="E2217" s="161" t="s">
        <v>1689</v>
      </c>
      <c r="F2217" s="161" t="s">
        <v>5638</v>
      </c>
      <c r="G2217" s="163">
        <v>911.704</v>
      </c>
      <c r="H2217" s="163">
        <f t="shared" si="177"/>
        <v>17.8</v>
      </c>
      <c r="I2217" s="163">
        <v>2.1</v>
      </c>
      <c r="J2217" s="163">
        <v>19291</v>
      </c>
      <c r="K2217" s="163">
        <f t="shared" si="176"/>
        <v>995763</v>
      </c>
      <c r="L2217" s="163"/>
      <c r="M2217" s="161" t="s">
        <v>5111</v>
      </c>
      <c r="N2217" s="161"/>
      <c r="O2217" s="161" t="s">
        <v>15</v>
      </c>
      <c r="P2217" s="49" t="s">
        <v>15</v>
      </c>
      <c r="Q2217" s="166"/>
      <c r="R2217" s="167"/>
    </row>
    <row r="2218" s="148" customFormat="1" ht="30" spans="1:18">
      <c r="A2218" s="186" t="s">
        <v>61</v>
      </c>
      <c r="B2218" s="101" t="s">
        <v>561</v>
      </c>
      <c r="C2218" s="86" t="s">
        <v>5640</v>
      </c>
      <c r="D2218" s="161" t="s">
        <v>5640</v>
      </c>
      <c r="E2218" s="161" t="s">
        <v>1689</v>
      </c>
      <c r="F2218" s="161" t="s">
        <v>5638</v>
      </c>
      <c r="G2218" s="163">
        <v>919.104</v>
      </c>
      <c r="H2218" s="163">
        <f t="shared" si="177"/>
        <v>7.40000000000009</v>
      </c>
      <c r="I2218" s="163">
        <v>2.4</v>
      </c>
      <c r="J2218" s="163">
        <v>7912</v>
      </c>
      <c r="K2218" s="163">
        <f t="shared" si="176"/>
        <v>1003675</v>
      </c>
      <c r="L2218" s="163"/>
      <c r="M2218" s="161" t="s">
        <v>5111</v>
      </c>
      <c r="N2218" s="161"/>
      <c r="O2218" s="161" t="s">
        <v>15</v>
      </c>
      <c r="P2218" s="49" t="s">
        <v>15</v>
      </c>
      <c r="Q2218" s="166"/>
      <c r="R2218" s="167"/>
    </row>
    <row r="2219" s="148" customFormat="1" ht="30" spans="1:18">
      <c r="A2219" s="186" t="s">
        <v>61</v>
      </c>
      <c r="B2219" s="101" t="s">
        <v>561</v>
      </c>
      <c r="C2219" s="86" t="s">
        <v>5641</v>
      </c>
      <c r="D2219" s="161" t="s">
        <v>5642</v>
      </c>
      <c r="E2219" s="161" t="s">
        <v>1689</v>
      </c>
      <c r="F2219" s="161" t="s">
        <v>5638</v>
      </c>
      <c r="G2219" s="163">
        <v>934.104</v>
      </c>
      <c r="H2219" s="163">
        <f t="shared" si="177"/>
        <v>15</v>
      </c>
      <c r="I2219" s="163">
        <v>2.2</v>
      </c>
      <c r="J2219" s="163"/>
      <c r="K2219" s="163">
        <f t="shared" si="176"/>
        <v>1003675</v>
      </c>
      <c r="L2219" s="163"/>
      <c r="M2219" s="161" t="s">
        <v>5111</v>
      </c>
      <c r="N2219" s="161" t="s">
        <v>1299</v>
      </c>
      <c r="O2219" s="161" t="s">
        <v>25</v>
      </c>
      <c r="P2219" s="49" t="s">
        <v>25</v>
      </c>
      <c r="Q2219" s="166"/>
      <c r="R2219" s="167"/>
    </row>
    <row r="2220" s="148" customFormat="1" ht="30" spans="1:18">
      <c r="A2220" s="186" t="s">
        <v>61</v>
      </c>
      <c r="B2220" s="101" t="s">
        <v>561</v>
      </c>
      <c r="C2220" s="86" t="s">
        <v>5643</v>
      </c>
      <c r="D2220" s="161" t="s">
        <v>5644</v>
      </c>
      <c r="E2220" s="161" t="s">
        <v>1689</v>
      </c>
      <c r="F2220" s="161" t="s">
        <v>5638</v>
      </c>
      <c r="G2220" s="163">
        <v>950.704</v>
      </c>
      <c r="H2220" s="163">
        <f t="shared" si="177"/>
        <v>16.5999999999999</v>
      </c>
      <c r="I2220" s="163">
        <v>2.5</v>
      </c>
      <c r="J2220" s="163"/>
      <c r="K2220" s="163">
        <f t="shared" si="176"/>
        <v>1003675</v>
      </c>
      <c r="L2220" s="163"/>
      <c r="M2220" s="161" t="s">
        <v>5111</v>
      </c>
      <c r="N2220" s="161" t="s">
        <v>1299</v>
      </c>
      <c r="O2220" s="161" t="s">
        <v>25</v>
      </c>
      <c r="P2220" s="49" t="s">
        <v>25</v>
      </c>
      <c r="Q2220" s="166"/>
      <c r="R2220" s="167"/>
    </row>
    <row r="2221" s="148" customFormat="1" ht="30" spans="1:18">
      <c r="A2221" s="186" t="s">
        <v>61</v>
      </c>
      <c r="B2221" s="101" t="s">
        <v>561</v>
      </c>
      <c r="C2221" s="86" t="s">
        <v>5645</v>
      </c>
      <c r="D2221" s="161" t="s">
        <v>5645</v>
      </c>
      <c r="E2221" s="161" t="s">
        <v>1689</v>
      </c>
      <c r="F2221" s="161" t="s">
        <v>5646</v>
      </c>
      <c r="G2221" s="163">
        <v>963.504</v>
      </c>
      <c r="H2221" s="163">
        <f t="shared" si="177"/>
        <v>12.8000000000001</v>
      </c>
      <c r="I2221" s="163">
        <v>2.5</v>
      </c>
      <c r="J2221" s="163">
        <v>48229</v>
      </c>
      <c r="K2221" s="163">
        <f t="shared" si="176"/>
        <v>1051904</v>
      </c>
      <c r="L2221" s="163"/>
      <c r="M2221" s="161" t="s">
        <v>5111</v>
      </c>
      <c r="N2221" s="161"/>
      <c r="O2221" s="161" t="s">
        <v>15</v>
      </c>
      <c r="P2221" s="49" t="s">
        <v>15</v>
      </c>
      <c r="Q2221" s="166"/>
      <c r="R2221" s="167"/>
    </row>
    <row r="2222" s="148" customFormat="1" ht="30" spans="1:18">
      <c r="A2222" s="186" t="s">
        <v>61</v>
      </c>
      <c r="B2222" s="101" t="s">
        <v>561</v>
      </c>
      <c r="C2222" s="86" t="s">
        <v>5647</v>
      </c>
      <c r="D2222" s="161" t="s">
        <v>5648</v>
      </c>
      <c r="E2222" s="161" t="s">
        <v>1689</v>
      </c>
      <c r="F2222" s="161" t="s">
        <v>5646</v>
      </c>
      <c r="G2222" s="163">
        <v>978.104</v>
      </c>
      <c r="H2222" s="163">
        <f t="shared" si="177"/>
        <v>14.6</v>
      </c>
      <c r="I2222" s="163">
        <v>2.8</v>
      </c>
      <c r="J2222" s="163"/>
      <c r="K2222" s="163">
        <f t="shared" si="176"/>
        <v>1051904</v>
      </c>
      <c r="L2222" s="163"/>
      <c r="M2222" s="161" t="s">
        <v>5111</v>
      </c>
      <c r="N2222" s="161" t="s">
        <v>1299</v>
      </c>
      <c r="O2222" s="161" t="s">
        <v>25</v>
      </c>
      <c r="P2222" s="49" t="s">
        <v>25</v>
      </c>
      <c r="Q2222" s="166"/>
      <c r="R2222" s="167"/>
    </row>
    <row r="2223" s="148" customFormat="1" ht="30" spans="1:18">
      <c r="A2223" s="186" t="s">
        <v>61</v>
      </c>
      <c r="B2223" s="101" t="s">
        <v>561</v>
      </c>
      <c r="C2223" s="86" t="s">
        <v>5649</v>
      </c>
      <c r="D2223" s="161" t="s">
        <v>5649</v>
      </c>
      <c r="E2223" s="161" t="s">
        <v>1689</v>
      </c>
      <c r="F2223" s="161" t="s">
        <v>5650</v>
      </c>
      <c r="G2223" s="163">
        <v>990.504</v>
      </c>
      <c r="H2223" s="163">
        <f t="shared" si="177"/>
        <v>12.4</v>
      </c>
      <c r="I2223" s="163">
        <v>2.8</v>
      </c>
      <c r="J2223" s="163">
        <v>29262</v>
      </c>
      <c r="K2223" s="163">
        <f t="shared" si="176"/>
        <v>1081166</v>
      </c>
      <c r="L2223" s="163"/>
      <c r="M2223" s="161" t="s">
        <v>5111</v>
      </c>
      <c r="N2223" s="161"/>
      <c r="O2223" s="161" t="s">
        <v>15</v>
      </c>
      <c r="P2223" s="49" t="s">
        <v>15</v>
      </c>
      <c r="Q2223" s="166"/>
      <c r="R2223" s="167"/>
    </row>
    <row r="2224" s="148" customFormat="1" ht="30" spans="1:18">
      <c r="A2224" s="186" t="s">
        <v>61</v>
      </c>
      <c r="B2224" s="101" t="s">
        <v>561</v>
      </c>
      <c r="C2224" s="86" t="s">
        <v>5651</v>
      </c>
      <c r="D2224" s="161" t="s">
        <v>5652</v>
      </c>
      <c r="E2224" s="161" t="s">
        <v>1689</v>
      </c>
      <c r="F2224" s="161" t="s">
        <v>5650</v>
      </c>
      <c r="G2224" s="163">
        <v>1002.504</v>
      </c>
      <c r="H2224" s="163">
        <f t="shared" si="177"/>
        <v>12</v>
      </c>
      <c r="I2224" s="163">
        <v>4</v>
      </c>
      <c r="J2224" s="163"/>
      <c r="K2224" s="163">
        <f t="shared" si="176"/>
        <v>1081166</v>
      </c>
      <c r="L2224" s="163"/>
      <c r="M2224" s="161" t="s">
        <v>5111</v>
      </c>
      <c r="N2224" s="161" t="s">
        <v>1299</v>
      </c>
      <c r="O2224" s="161" t="s">
        <v>25</v>
      </c>
      <c r="P2224" s="49" t="s">
        <v>25</v>
      </c>
      <c r="Q2224" s="166"/>
      <c r="R2224" s="167"/>
    </row>
    <row r="2225" s="148" customFormat="1" ht="30" spans="1:18">
      <c r="A2225" s="186" t="s">
        <v>61</v>
      </c>
      <c r="B2225" s="101" t="s">
        <v>561</v>
      </c>
      <c r="C2225" s="86" t="s">
        <v>5653</v>
      </c>
      <c r="D2225" s="161" t="s">
        <v>5654</v>
      </c>
      <c r="E2225" s="161" t="s">
        <v>1689</v>
      </c>
      <c r="F2225" s="161" t="s">
        <v>5650</v>
      </c>
      <c r="G2225" s="163">
        <v>1012.204</v>
      </c>
      <c r="H2225" s="163">
        <f t="shared" si="177"/>
        <v>9.69999999999993</v>
      </c>
      <c r="I2225" s="163">
        <v>4.5</v>
      </c>
      <c r="J2225" s="163"/>
      <c r="K2225" s="163">
        <f t="shared" si="176"/>
        <v>1081166</v>
      </c>
      <c r="L2225" s="163"/>
      <c r="M2225" s="161" t="s">
        <v>5111</v>
      </c>
      <c r="N2225" s="161" t="s">
        <v>1299</v>
      </c>
      <c r="O2225" s="161" t="s">
        <v>25</v>
      </c>
      <c r="P2225" s="49" t="s">
        <v>25</v>
      </c>
      <c r="Q2225" s="166"/>
      <c r="R2225" s="167"/>
    </row>
    <row r="2226" s="148" customFormat="1" ht="30" spans="1:18">
      <c r="A2226" s="186" t="s">
        <v>61</v>
      </c>
      <c r="B2226" s="101" t="s">
        <v>561</v>
      </c>
      <c r="C2226" s="86" t="s">
        <v>5655</v>
      </c>
      <c r="D2226" s="161" t="s">
        <v>5656</v>
      </c>
      <c r="E2226" s="161" t="s">
        <v>1689</v>
      </c>
      <c r="F2226" s="161" t="s">
        <v>2103</v>
      </c>
      <c r="G2226" s="163">
        <v>1027.404</v>
      </c>
      <c r="H2226" s="163">
        <f t="shared" si="177"/>
        <v>15.2</v>
      </c>
      <c r="I2226" s="163">
        <v>3.9</v>
      </c>
      <c r="J2226" s="163"/>
      <c r="K2226" s="163">
        <f t="shared" si="176"/>
        <v>1081166</v>
      </c>
      <c r="L2226" s="163"/>
      <c r="M2226" s="161" t="s">
        <v>5111</v>
      </c>
      <c r="N2226" s="161" t="s">
        <v>1299</v>
      </c>
      <c r="O2226" s="161" t="s">
        <v>25</v>
      </c>
      <c r="P2226" s="49" t="s">
        <v>25</v>
      </c>
      <c r="Q2226" s="166"/>
      <c r="R2226" s="167"/>
    </row>
    <row r="2227" s="148" customFormat="1" ht="30" spans="1:18">
      <c r="A2227" s="186" t="s">
        <v>61</v>
      </c>
      <c r="B2227" s="101" t="s">
        <v>561</v>
      </c>
      <c r="C2227" s="86" t="s">
        <v>5657</v>
      </c>
      <c r="D2227" s="161" t="s">
        <v>5658</v>
      </c>
      <c r="E2227" s="161" t="s">
        <v>1689</v>
      </c>
      <c r="F2227" s="161" t="s">
        <v>2103</v>
      </c>
      <c r="G2227" s="163">
        <v>1044.904</v>
      </c>
      <c r="H2227" s="163">
        <f t="shared" si="177"/>
        <v>17.5</v>
      </c>
      <c r="I2227" s="163">
        <v>4.3</v>
      </c>
      <c r="J2227" s="163"/>
      <c r="K2227" s="163">
        <f t="shared" si="176"/>
        <v>1081166</v>
      </c>
      <c r="L2227" s="163"/>
      <c r="M2227" s="161" t="s">
        <v>5111</v>
      </c>
      <c r="N2227" s="161" t="s">
        <v>1299</v>
      </c>
      <c r="O2227" s="161" t="s">
        <v>25</v>
      </c>
      <c r="P2227" s="49" t="s">
        <v>25</v>
      </c>
      <c r="Q2227" s="166"/>
      <c r="R2227" s="167"/>
    </row>
    <row r="2228" s="148" customFormat="1" ht="30" spans="1:18">
      <c r="A2228" s="186" t="s">
        <v>61</v>
      </c>
      <c r="B2228" s="101" t="s">
        <v>561</v>
      </c>
      <c r="C2228" s="135" t="s">
        <v>5659</v>
      </c>
      <c r="D2228" s="161" t="s">
        <v>5659</v>
      </c>
      <c r="E2228" s="161" t="s">
        <v>1689</v>
      </c>
      <c r="F2228" s="161" t="s">
        <v>2103</v>
      </c>
      <c r="G2228" s="163">
        <v>1061.104</v>
      </c>
      <c r="H2228" s="163">
        <f t="shared" si="177"/>
        <v>16.2</v>
      </c>
      <c r="I2228" s="163">
        <v>4.9</v>
      </c>
      <c r="J2228" s="163">
        <v>76407</v>
      </c>
      <c r="K2228" s="163">
        <f t="shared" si="176"/>
        <v>1157573</v>
      </c>
      <c r="L2228" s="163"/>
      <c r="M2228" s="161" t="s">
        <v>5111</v>
      </c>
      <c r="N2228" s="161"/>
      <c r="O2228" s="161"/>
      <c r="P2228" s="49"/>
      <c r="Q2228" s="166"/>
      <c r="R2228" s="167"/>
    </row>
    <row r="2229" s="148" customFormat="1" ht="30" spans="1:18">
      <c r="A2229" s="186" t="s">
        <v>61</v>
      </c>
      <c r="B2229" s="101" t="s">
        <v>563</v>
      </c>
      <c r="C2229" s="135" t="s">
        <v>564</v>
      </c>
      <c r="D2229" s="186" t="s">
        <v>564</v>
      </c>
      <c r="E2229" s="161" t="s">
        <v>1689</v>
      </c>
      <c r="F2229" s="161"/>
      <c r="G2229" s="163">
        <v>0</v>
      </c>
      <c r="H2229" s="163">
        <v>0</v>
      </c>
      <c r="I2229" s="176"/>
      <c r="J2229" s="176">
        <v>0</v>
      </c>
      <c r="K2229" s="176">
        <v>0</v>
      </c>
      <c r="L2229" s="163"/>
      <c r="M2229" s="161" t="s">
        <v>5111</v>
      </c>
      <c r="N2229" s="161"/>
      <c r="O2229" s="161"/>
      <c r="P2229" s="49"/>
      <c r="Q2229" s="166"/>
      <c r="R2229" s="167"/>
    </row>
    <row r="2230" s="148" customFormat="1" ht="30" spans="1:18">
      <c r="A2230" s="186" t="s">
        <v>61</v>
      </c>
      <c r="B2230" s="101" t="s">
        <v>563</v>
      </c>
      <c r="C2230" s="86" t="s">
        <v>5660</v>
      </c>
      <c r="D2230" s="186" t="s">
        <v>5661</v>
      </c>
      <c r="E2230" s="161" t="s">
        <v>1689</v>
      </c>
      <c r="F2230" s="161"/>
      <c r="G2230" s="163">
        <v>14</v>
      </c>
      <c r="H2230" s="163">
        <f t="shared" ref="H2230:H2246" si="178">G2230-G2229</f>
        <v>14</v>
      </c>
      <c r="I2230" s="176"/>
      <c r="J2230" s="176">
        <v>20142.797731569</v>
      </c>
      <c r="K2230" s="176">
        <v>20142.797731569</v>
      </c>
      <c r="L2230" s="163"/>
      <c r="M2230" s="161" t="s">
        <v>5111</v>
      </c>
      <c r="N2230" s="161" t="s">
        <v>1299</v>
      </c>
      <c r="O2230" s="161"/>
      <c r="P2230" s="49" t="s">
        <v>25</v>
      </c>
      <c r="Q2230" s="166"/>
      <c r="R2230" s="167"/>
    </row>
    <row r="2231" s="148" customFormat="1" ht="30" spans="1:18">
      <c r="A2231" s="186" t="s">
        <v>61</v>
      </c>
      <c r="B2231" s="101" t="s">
        <v>563</v>
      </c>
      <c r="C2231" s="86" t="s">
        <v>5662</v>
      </c>
      <c r="D2231" s="191" t="s">
        <v>5663</v>
      </c>
      <c r="E2231" s="161" t="s">
        <v>1689</v>
      </c>
      <c r="F2231" s="161"/>
      <c r="G2231" s="163">
        <v>23.9</v>
      </c>
      <c r="H2231" s="163">
        <f t="shared" si="178"/>
        <v>9.9</v>
      </c>
      <c r="I2231" s="176"/>
      <c r="J2231" s="176">
        <v>14243.8355387524</v>
      </c>
      <c r="K2231" s="176">
        <v>34386.6332703214</v>
      </c>
      <c r="L2231" s="163"/>
      <c r="M2231" s="161" t="s">
        <v>5111</v>
      </c>
      <c r="N2231" s="161" t="s">
        <v>1299</v>
      </c>
      <c r="O2231" s="161"/>
      <c r="P2231" s="49" t="s">
        <v>25</v>
      </c>
      <c r="Q2231" s="166"/>
      <c r="R2231" s="167"/>
    </row>
    <row r="2232" s="148" customFormat="1" ht="30" spans="1:18">
      <c r="A2232" s="186" t="s">
        <v>61</v>
      </c>
      <c r="B2232" s="101" t="s">
        <v>563</v>
      </c>
      <c r="C2232" s="86" t="s">
        <v>5664</v>
      </c>
      <c r="D2232" s="186" t="s">
        <v>5665</v>
      </c>
      <c r="E2232" s="161" t="s">
        <v>1689</v>
      </c>
      <c r="F2232" s="161"/>
      <c r="G2232" s="163">
        <v>36.5</v>
      </c>
      <c r="H2232" s="163">
        <f t="shared" si="178"/>
        <v>12.6</v>
      </c>
      <c r="I2232" s="176"/>
      <c r="J2232" s="176">
        <v>18128.5179584121</v>
      </c>
      <c r="K2232" s="176">
        <v>52515.1512287335</v>
      </c>
      <c r="L2232" s="163"/>
      <c r="M2232" s="161" t="s">
        <v>5111</v>
      </c>
      <c r="N2232" s="161" t="s">
        <v>1299</v>
      </c>
      <c r="O2232" s="161"/>
      <c r="P2232" s="49" t="s">
        <v>25</v>
      </c>
      <c r="Q2232" s="166"/>
      <c r="R2232" s="167"/>
    </row>
    <row r="2233" s="148" customFormat="1" ht="30" spans="1:18">
      <c r="A2233" s="186" t="s">
        <v>61</v>
      </c>
      <c r="B2233" s="101" t="s">
        <v>563</v>
      </c>
      <c r="C2233" s="86" t="s">
        <v>5666</v>
      </c>
      <c r="D2233" s="186" t="s">
        <v>5667</v>
      </c>
      <c r="E2233" s="161" t="s">
        <v>1689</v>
      </c>
      <c r="F2233" s="161"/>
      <c r="G2233" s="163">
        <v>50.9</v>
      </c>
      <c r="H2233" s="163">
        <f t="shared" si="178"/>
        <v>14.4</v>
      </c>
      <c r="I2233" s="176"/>
      <c r="J2233" s="176">
        <v>20718.3062381853</v>
      </c>
      <c r="K2233" s="176">
        <v>73233.4574669187</v>
      </c>
      <c r="L2233" s="163"/>
      <c r="M2233" s="161" t="s">
        <v>5111</v>
      </c>
      <c r="N2233" s="161" t="s">
        <v>1299</v>
      </c>
      <c r="O2233" s="161"/>
      <c r="P2233" s="49" t="s">
        <v>25</v>
      </c>
      <c r="Q2233" s="166"/>
      <c r="R2233" s="167"/>
    </row>
    <row r="2234" s="148" customFormat="1" ht="30" spans="1:18">
      <c r="A2234" s="186" t="s">
        <v>61</v>
      </c>
      <c r="B2234" s="101" t="s">
        <v>563</v>
      </c>
      <c r="C2234" s="86" t="s">
        <v>5668</v>
      </c>
      <c r="D2234" s="186" t="s">
        <v>5669</v>
      </c>
      <c r="E2234" s="161" t="s">
        <v>1689</v>
      </c>
      <c r="F2234" s="161"/>
      <c r="G2234" s="163">
        <v>61.9</v>
      </c>
      <c r="H2234" s="163">
        <f t="shared" si="178"/>
        <v>11</v>
      </c>
      <c r="I2234" s="176"/>
      <c r="J2234" s="176">
        <v>15826.4839319471</v>
      </c>
      <c r="K2234" s="176">
        <v>89059.9413988658</v>
      </c>
      <c r="L2234" s="163"/>
      <c r="M2234" s="161" t="s">
        <v>5111</v>
      </c>
      <c r="N2234" s="161" t="s">
        <v>1299</v>
      </c>
      <c r="O2234" s="161"/>
      <c r="P2234" s="49" t="s">
        <v>25</v>
      </c>
      <c r="Q2234" s="166"/>
      <c r="R2234" s="167"/>
    </row>
    <row r="2235" s="148" customFormat="1" ht="30" spans="1:18">
      <c r="A2235" s="186" t="s">
        <v>61</v>
      </c>
      <c r="B2235" s="101" t="s">
        <v>563</v>
      </c>
      <c r="C2235" s="86" t="s">
        <v>5670</v>
      </c>
      <c r="D2235" s="186" t="s">
        <v>5671</v>
      </c>
      <c r="E2235" s="161" t="s">
        <v>1689</v>
      </c>
      <c r="F2235" s="161"/>
      <c r="G2235" s="163">
        <v>68.4</v>
      </c>
      <c r="H2235" s="163">
        <f t="shared" si="178"/>
        <v>6.50000000000001</v>
      </c>
      <c r="I2235" s="176"/>
      <c r="J2235" s="176">
        <v>9352.01323251419</v>
      </c>
      <c r="K2235" s="176">
        <v>98411.95463138</v>
      </c>
      <c r="L2235" s="163"/>
      <c r="M2235" s="161" t="s">
        <v>5111</v>
      </c>
      <c r="N2235" s="161" t="s">
        <v>1299</v>
      </c>
      <c r="O2235" s="161"/>
      <c r="P2235" s="49" t="s">
        <v>25</v>
      </c>
      <c r="Q2235" s="166"/>
      <c r="R2235" s="167"/>
    </row>
    <row r="2236" s="148" customFormat="1" ht="30" spans="1:18">
      <c r="A2236" s="186" t="s">
        <v>61</v>
      </c>
      <c r="B2236" s="101" t="s">
        <v>563</v>
      </c>
      <c r="C2236" s="86" t="s">
        <v>5672</v>
      </c>
      <c r="D2236" s="186" t="s">
        <v>5673</v>
      </c>
      <c r="E2236" s="161" t="s">
        <v>1689</v>
      </c>
      <c r="F2236" s="161"/>
      <c r="G2236" s="163">
        <v>73.6</v>
      </c>
      <c r="H2236" s="163">
        <f t="shared" si="178"/>
        <v>5.19999999999999</v>
      </c>
      <c r="I2236" s="176"/>
      <c r="J2236" s="176">
        <v>7481.61058601133</v>
      </c>
      <c r="K2236" s="176">
        <v>105893.565217391</v>
      </c>
      <c r="L2236" s="163"/>
      <c r="M2236" s="161" t="s">
        <v>5111</v>
      </c>
      <c r="N2236" s="161" t="s">
        <v>1299</v>
      </c>
      <c r="O2236" s="161"/>
      <c r="P2236" s="49" t="s">
        <v>25</v>
      </c>
      <c r="Q2236" s="166"/>
      <c r="R2236" s="167"/>
    </row>
    <row r="2237" s="148" customFormat="1" ht="30" spans="1:18">
      <c r="A2237" s="186" t="s">
        <v>61</v>
      </c>
      <c r="B2237" s="101" t="s">
        <v>563</v>
      </c>
      <c r="C2237" s="86" t="s">
        <v>5674</v>
      </c>
      <c r="D2237" s="186" t="s">
        <v>5675</v>
      </c>
      <c r="E2237" s="161" t="s">
        <v>1689</v>
      </c>
      <c r="F2237" s="161"/>
      <c r="G2237" s="163">
        <v>81.4</v>
      </c>
      <c r="H2237" s="163">
        <f t="shared" si="178"/>
        <v>7.80000000000001</v>
      </c>
      <c r="I2237" s="176"/>
      <c r="J2237" s="176">
        <v>11222.415879017</v>
      </c>
      <c r="K2237" s="176">
        <v>117115.981096408</v>
      </c>
      <c r="L2237" s="163"/>
      <c r="M2237" s="161" t="s">
        <v>5111</v>
      </c>
      <c r="N2237" s="161" t="s">
        <v>1299</v>
      </c>
      <c r="O2237" s="161"/>
      <c r="P2237" s="49" t="s">
        <v>25</v>
      </c>
      <c r="Q2237" s="166"/>
      <c r="R2237" s="167"/>
    </row>
    <row r="2238" s="148" customFormat="1" ht="30" spans="1:18">
      <c r="A2238" s="186" t="s">
        <v>61</v>
      </c>
      <c r="B2238" s="101" t="s">
        <v>563</v>
      </c>
      <c r="C2238" s="86" t="s">
        <v>5676</v>
      </c>
      <c r="D2238" s="186" t="s">
        <v>5677</v>
      </c>
      <c r="E2238" s="161" t="s">
        <v>1689</v>
      </c>
      <c r="F2238" s="161"/>
      <c r="G2238" s="163">
        <v>87.9</v>
      </c>
      <c r="H2238" s="163">
        <f t="shared" si="178"/>
        <v>6.5</v>
      </c>
      <c r="I2238" s="176"/>
      <c r="J2238" s="176">
        <v>9352.01323251418</v>
      </c>
      <c r="K2238" s="176">
        <v>126467.994328923</v>
      </c>
      <c r="L2238" s="163"/>
      <c r="M2238" s="161" t="s">
        <v>5111</v>
      </c>
      <c r="N2238" s="161" t="s">
        <v>1299</v>
      </c>
      <c r="O2238" s="161"/>
      <c r="P2238" s="49" t="s">
        <v>25</v>
      </c>
      <c r="Q2238" s="166"/>
      <c r="R2238" s="167"/>
    </row>
    <row r="2239" s="148" customFormat="1" ht="30" spans="1:18">
      <c r="A2239" s="186" t="s">
        <v>61</v>
      </c>
      <c r="B2239" s="101" t="s">
        <v>563</v>
      </c>
      <c r="C2239" s="86" t="s">
        <v>5678</v>
      </c>
      <c r="D2239" s="186" t="s">
        <v>5679</v>
      </c>
      <c r="E2239" s="161" t="s">
        <v>1689</v>
      </c>
      <c r="F2239" s="161"/>
      <c r="G2239" s="163">
        <v>93.6</v>
      </c>
      <c r="H2239" s="163">
        <f t="shared" si="178"/>
        <v>5.69999999999999</v>
      </c>
      <c r="I2239" s="176"/>
      <c r="J2239" s="176">
        <v>8200.99621928165</v>
      </c>
      <c r="K2239" s="176">
        <v>134668.990548204</v>
      </c>
      <c r="L2239" s="163"/>
      <c r="M2239" s="161" t="s">
        <v>5111</v>
      </c>
      <c r="N2239" s="161" t="s">
        <v>1299</v>
      </c>
      <c r="O2239" s="161"/>
      <c r="P2239" s="49" t="s">
        <v>25</v>
      </c>
      <c r="Q2239" s="166"/>
      <c r="R2239" s="167"/>
    </row>
    <row r="2240" s="148" customFormat="1" ht="30" spans="1:18">
      <c r="A2240" s="186" t="s">
        <v>61</v>
      </c>
      <c r="B2240" s="101" t="s">
        <v>563</v>
      </c>
      <c r="C2240" s="86" t="s">
        <v>5680</v>
      </c>
      <c r="D2240" s="186" t="s">
        <v>5680</v>
      </c>
      <c r="E2240" s="161" t="s">
        <v>1689</v>
      </c>
      <c r="F2240" s="161"/>
      <c r="G2240" s="163">
        <v>105.8</v>
      </c>
      <c r="H2240" s="163">
        <f t="shared" si="178"/>
        <v>12.2</v>
      </c>
      <c r="I2240" s="176"/>
      <c r="J2240" s="176">
        <v>17553.0094517958</v>
      </c>
      <c r="K2240" s="176">
        <v>152222</v>
      </c>
      <c r="L2240" s="163"/>
      <c r="M2240" s="161" t="s">
        <v>5111</v>
      </c>
      <c r="N2240" s="161"/>
      <c r="O2240" s="161"/>
      <c r="P2240" s="49" t="s">
        <v>14</v>
      </c>
      <c r="Q2240" s="166"/>
      <c r="R2240" s="167"/>
    </row>
    <row r="2241" s="148" customFormat="1" ht="30" spans="1:18">
      <c r="A2241" s="186" t="s">
        <v>61</v>
      </c>
      <c r="B2241" s="101" t="s">
        <v>563</v>
      </c>
      <c r="C2241" s="86" t="s">
        <v>5681</v>
      </c>
      <c r="D2241" s="186" t="s">
        <v>5682</v>
      </c>
      <c r="E2241" s="161" t="s">
        <v>1689</v>
      </c>
      <c r="F2241" s="161"/>
      <c r="G2241" s="163">
        <v>113.6</v>
      </c>
      <c r="H2241" s="163">
        <f t="shared" si="178"/>
        <v>7.8</v>
      </c>
      <c r="I2241" s="176"/>
      <c r="J2241" s="176">
        <v>11049.7450980392</v>
      </c>
      <c r="K2241" s="176">
        <v>163271.745098039</v>
      </c>
      <c r="L2241" s="163"/>
      <c r="M2241" s="161" t="s">
        <v>5111</v>
      </c>
      <c r="N2241" s="161" t="s">
        <v>1299</v>
      </c>
      <c r="O2241" s="161"/>
      <c r="P2241" s="49" t="s">
        <v>25</v>
      </c>
      <c r="Q2241" s="166"/>
      <c r="R2241" s="167"/>
    </row>
    <row r="2242" s="148" customFormat="1" ht="30" spans="1:18">
      <c r="A2242" s="186" t="s">
        <v>61</v>
      </c>
      <c r="B2242" s="101" t="s">
        <v>563</v>
      </c>
      <c r="C2242" s="86" t="s">
        <v>5683</v>
      </c>
      <c r="D2242" s="186" t="s">
        <v>5684</v>
      </c>
      <c r="E2242" s="161" t="s">
        <v>1689</v>
      </c>
      <c r="F2242" s="161"/>
      <c r="G2242" s="163">
        <v>129</v>
      </c>
      <c r="H2242" s="163">
        <f t="shared" si="178"/>
        <v>15.4</v>
      </c>
      <c r="I2242" s="176"/>
      <c r="J2242" s="176">
        <v>21816.1633986928</v>
      </c>
      <c r="K2242" s="176">
        <v>185087.908496732</v>
      </c>
      <c r="L2242" s="163"/>
      <c r="M2242" s="161" t="s">
        <v>5111</v>
      </c>
      <c r="N2242" s="161" t="s">
        <v>1299</v>
      </c>
      <c r="O2242" s="161"/>
      <c r="P2242" s="49" t="s">
        <v>25</v>
      </c>
      <c r="Q2242" s="166"/>
      <c r="R2242" s="167"/>
    </row>
    <row r="2243" s="148" customFormat="1" ht="30" spans="1:18">
      <c r="A2243" s="186" t="s">
        <v>61</v>
      </c>
      <c r="B2243" s="101" t="s">
        <v>563</v>
      </c>
      <c r="C2243" s="86" t="s">
        <v>5685</v>
      </c>
      <c r="D2243" s="186" t="s">
        <v>5686</v>
      </c>
      <c r="E2243" s="161" t="s">
        <v>1689</v>
      </c>
      <c r="F2243" s="161"/>
      <c r="G2243" s="163">
        <v>144.5</v>
      </c>
      <c r="H2243" s="163">
        <f t="shared" si="178"/>
        <v>15.5</v>
      </c>
      <c r="I2243" s="176"/>
      <c r="J2243" s="176">
        <v>21957.8267973856</v>
      </c>
      <c r="K2243" s="176">
        <v>207045.735294118</v>
      </c>
      <c r="L2243" s="163"/>
      <c r="M2243" s="161" t="s">
        <v>5111</v>
      </c>
      <c r="N2243" s="161" t="s">
        <v>1299</v>
      </c>
      <c r="O2243" s="161"/>
      <c r="P2243" s="49" t="s">
        <v>25</v>
      </c>
      <c r="Q2243" s="166"/>
      <c r="R2243" s="167"/>
    </row>
    <row r="2244" s="148" customFormat="1" ht="30" spans="1:18">
      <c r="A2244" s="186" t="s">
        <v>61</v>
      </c>
      <c r="B2244" s="101" t="s">
        <v>563</v>
      </c>
      <c r="C2244" s="86" t="s">
        <v>5687</v>
      </c>
      <c r="D2244" s="186" t="s">
        <v>5688</v>
      </c>
      <c r="E2244" s="161" t="s">
        <v>1689</v>
      </c>
      <c r="F2244" s="161"/>
      <c r="G2244" s="163">
        <v>151.5</v>
      </c>
      <c r="H2244" s="163">
        <f t="shared" si="178"/>
        <v>7</v>
      </c>
      <c r="I2244" s="176"/>
      <c r="J2244" s="176">
        <v>9916.43790849673</v>
      </c>
      <c r="K2244" s="176">
        <v>216962.173202614</v>
      </c>
      <c r="L2244" s="163"/>
      <c r="M2244" s="161" t="s">
        <v>5111</v>
      </c>
      <c r="N2244" s="161" t="s">
        <v>1299</v>
      </c>
      <c r="O2244" s="161"/>
      <c r="P2244" s="49" t="s">
        <v>25</v>
      </c>
      <c r="Q2244" s="166"/>
      <c r="R2244" s="167"/>
    </row>
    <row r="2245" s="148" customFormat="1" ht="30" spans="1:18">
      <c r="A2245" s="186" t="s">
        <v>61</v>
      </c>
      <c r="B2245" s="101" t="s">
        <v>563</v>
      </c>
      <c r="C2245" s="86" t="s">
        <v>5689</v>
      </c>
      <c r="D2245" s="186" t="s">
        <v>5690</v>
      </c>
      <c r="E2245" s="161" t="s">
        <v>1689</v>
      </c>
      <c r="F2245" s="161"/>
      <c r="G2245" s="163">
        <v>159.9</v>
      </c>
      <c r="H2245" s="163">
        <f t="shared" si="178"/>
        <v>8.40000000000001</v>
      </c>
      <c r="I2245" s="176"/>
      <c r="J2245" s="176">
        <v>11899.7254901961</v>
      </c>
      <c r="K2245" s="176">
        <v>228861.89869281</v>
      </c>
      <c r="L2245" s="163"/>
      <c r="M2245" s="161" t="s">
        <v>5111</v>
      </c>
      <c r="N2245" s="161" t="s">
        <v>1299</v>
      </c>
      <c r="O2245" s="161"/>
      <c r="P2245" s="49" t="s">
        <v>25</v>
      </c>
      <c r="Q2245" s="166"/>
      <c r="R2245" s="167"/>
    </row>
    <row r="2246" s="148" customFormat="1" ht="30" spans="1:18">
      <c r="A2246" s="186" t="s">
        <v>61</v>
      </c>
      <c r="B2246" s="101" t="s">
        <v>563</v>
      </c>
      <c r="C2246" s="135" t="s">
        <v>565</v>
      </c>
      <c r="D2246" s="186" t="s">
        <v>565</v>
      </c>
      <c r="E2246" s="161" t="s">
        <v>1689</v>
      </c>
      <c r="F2246" s="161"/>
      <c r="G2246" s="163">
        <v>167</v>
      </c>
      <c r="H2246" s="163">
        <f t="shared" si="178"/>
        <v>7.09999999999999</v>
      </c>
      <c r="I2246" s="176"/>
      <c r="J2246" s="176">
        <v>10058.1013071895</v>
      </c>
      <c r="K2246" s="176">
        <v>238920</v>
      </c>
      <c r="L2246" s="163"/>
      <c r="M2246" s="161" t="s">
        <v>5111</v>
      </c>
      <c r="N2246" s="161"/>
      <c r="O2246" s="161"/>
      <c r="P2246" s="49"/>
      <c r="Q2246" s="166"/>
      <c r="R2246" s="167"/>
    </row>
    <row r="2247" s="148" customFormat="1" spans="1:18">
      <c r="A2247" s="186" t="s">
        <v>61</v>
      </c>
      <c r="B2247" s="101" t="s">
        <v>567</v>
      </c>
      <c r="C2247" s="135" t="s">
        <v>541</v>
      </c>
      <c r="D2247" s="161" t="s">
        <v>541</v>
      </c>
      <c r="E2247" s="161" t="s">
        <v>5092</v>
      </c>
      <c r="F2247" s="161" t="s">
        <v>5437</v>
      </c>
      <c r="G2247" s="171">
        <v>0</v>
      </c>
      <c r="H2247" s="163">
        <v>0</v>
      </c>
      <c r="I2247" s="176">
        <v>176</v>
      </c>
      <c r="J2247" s="176">
        <v>0</v>
      </c>
      <c r="K2247" s="176">
        <v>0</v>
      </c>
      <c r="L2247" s="163"/>
      <c r="M2247" s="161" t="s">
        <v>5293</v>
      </c>
      <c r="N2247" s="161" t="s">
        <v>1331</v>
      </c>
      <c r="O2247" s="161"/>
      <c r="P2247" s="49"/>
      <c r="Q2247" s="166" t="s">
        <v>5338</v>
      </c>
      <c r="R2247" s="167"/>
    </row>
    <row r="2248" s="148" customFormat="1" spans="1:18">
      <c r="A2248" s="186" t="s">
        <v>61</v>
      </c>
      <c r="B2248" s="101" t="s">
        <v>567</v>
      </c>
      <c r="C2248" s="84" t="s">
        <v>5691</v>
      </c>
      <c r="D2248" s="161" t="s">
        <v>1899</v>
      </c>
      <c r="E2248" s="161" t="s">
        <v>5092</v>
      </c>
      <c r="F2248" s="161" t="s">
        <v>5437</v>
      </c>
      <c r="G2248" s="171">
        <v>19.4</v>
      </c>
      <c r="H2248" s="163">
        <f>G2248-G2247</f>
        <v>19.4</v>
      </c>
      <c r="I2248" s="176">
        <v>217</v>
      </c>
      <c r="J2248" s="176">
        <v>15728</v>
      </c>
      <c r="K2248" s="176">
        <v>15728</v>
      </c>
      <c r="L2248" s="163"/>
      <c r="M2248" s="161" t="s">
        <v>5692</v>
      </c>
      <c r="N2248" s="161" t="s">
        <v>1901</v>
      </c>
      <c r="O2248" s="161" t="s">
        <v>25</v>
      </c>
      <c r="P2248" s="49" t="s">
        <v>25</v>
      </c>
      <c r="Q2248" s="166" t="s">
        <v>5693</v>
      </c>
      <c r="R2248" s="167"/>
    </row>
    <row r="2249" s="148" customFormat="1" spans="1:18">
      <c r="A2249" s="186" t="s">
        <v>61</v>
      </c>
      <c r="B2249" s="101" t="s">
        <v>567</v>
      </c>
      <c r="C2249" s="84" t="s">
        <v>5694</v>
      </c>
      <c r="D2249" s="161" t="s">
        <v>1904</v>
      </c>
      <c r="E2249" s="161" t="s">
        <v>5092</v>
      </c>
      <c r="F2249" s="161" t="s">
        <v>5437</v>
      </c>
      <c r="G2249" s="171">
        <v>41.1</v>
      </c>
      <c r="H2249" s="163">
        <f>G2249-G2248</f>
        <v>21.7</v>
      </c>
      <c r="I2249" s="176">
        <v>199</v>
      </c>
      <c r="J2249" s="176">
        <v>17593</v>
      </c>
      <c r="K2249" s="176">
        <v>33321</v>
      </c>
      <c r="L2249" s="163"/>
      <c r="M2249" s="161" t="s">
        <v>5692</v>
      </c>
      <c r="N2249" s="161" t="s">
        <v>1901</v>
      </c>
      <c r="O2249" s="161" t="s">
        <v>25</v>
      </c>
      <c r="P2249" s="49" t="s">
        <v>25</v>
      </c>
      <c r="Q2249" s="166" t="s">
        <v>5695</v>
      </c>
      <c r="R2249" s="167"/>
    </row>
    <row r="2250" s="148" customFormat="1" spans="1:18">
      <c r="A2250" s="186" t="s">
        <v>61</v>
      </c>
      <c r="B2250" s="101" t="s">
        <v>567</v>
      </c>
      <c r="C2250" s="84" t="s">
        <v>5696</v>
      </c>
      <c r="D2250" s="161" t="s">
        <v>1305</v>
      </c>
      <c r="E2250" s="161" t="s">
        <v>5092</v>
      </c>
      <c r="F2250" s="161" t="s">
        <v>5437</v>
      </c>
      <c r="G2250" s="171">
        <v>62.7</v>
      </c>
      <c r="H2250" s="163">
        <f>G2250-G2249</f>
        <v>21.6</v>
      </c>
      <c r="I2250" s="176">
        <v>197</v>
      </c>
      <c r="J2250" s="176">
        <v>17512</v>
      </c>
      <c r="K2250" s="176">
        <v>50833</v>
      </c>
      <c r="L2250" s="163"/>
      <c r="M2250" s="161" t="s">
        <v>5692</v>
      </c>
      <c r="N2250" s="161" t="s">
        <v>1299</v>
      </c>
      <c r="O2250" s="161" t="s">
        <v>25</v>
      </c>
      <c r="P2250" s="49" t="s">
        <v>25</v>
      </c>
      <c r="Q2250" s="166" t="s">
        <v>5695</v>
      </c>
      <c r="R2250" s="167"/>
    </row>
    <row r="2251" s="148" customFormat="1" spans="1:18">
      <c r="A2251" s="186" t="s">
        <v>61</v>
      </c>
      <c r="B2251" s="101" t="s">
        <v>567</v>
      </c>
      <c r="C2251" s="84" t="s">
        <v>5697</v>
      </c>
      <c r="D2251" s="161" t="s">
        <v>2820</v>
      </c>
      <c r="E2251" s="161" t="s">
        <v>5092</v>
      </c>
      <c r="F2251" s="161" t="s">
        <v>5292</v>
      </c>
      <c r="G2251" s="171">
        <v>85.6</v>
      </c>
      <c r="H2251" s="163">
        <f>G2251-G2250</f>
        <v>22.9</v>
      </c>
      <c r="I2251" s="176">
        <v>188</v>
      </c>
      <c r="J2251" s="176">
        <v>18566</v>
      </c>
      <c r="K2251" s="176">
        <v>69399</v>
      </c>
      <c r="L2251" s="163"/>
      <c r="M2251" s="161" t="s">
        <v>5692</v>
      </c>
      <c r="N2251" s="161" t="s">
        <v>1901</v>
      </c>
      <c r="O2251" s="161" t="s">
        <v>25</v>
      </c>
      <c r="P2251" s="49" t="s">
        <v>25</v>
      </c>
      <c r="Q2251" s="166" t="s">
        <v>5695</v>
      </c>
      <c r="R2251" s="167"/>
    </row>
    <row r="2252" s="148" customFormat="1" spans="1:18">
      <c r="A2252" s="186" t="s">
        <v>61</v>
      </c>
      <c r="B2252" s="101" t="s">
        <v>567</v>
      </c>
      <c r="C2252" s="135" t="s">
        <v>533</v>
      </c>
      <c r="D2252" s="161" t="s">
        <v>533</v>
      </c>
      <c r="E2252" s="161" t="s">
        <v>5092</v>
      </c>
      <c r="F2252" s="161" t="s">
        <v>5292</v>
      </c>
      <c r="G2252" s="171">
        <v>109</v>
      </c>
      <c r="H2252" s="163">
        <f>G2252-G2251</f>
        <v>23.4</v>
      </c>
      <c r="I2252" s="176">
        <v>209</v>
      </c>
      <c r="J2252" s="176">
        <v>18971</v>
      </c>
      <c r="K2252" s="176">
        <v>88370</v>
      </c>
      <c r="L2252" s="163"/>
      <c r="M2252" s="161" t="s">
        <v>5293</v>
      </c>
      <c r="N2252" s="161" t="s">
        <v>1331</v>
      </c>
      <c r="O2252" s="161"/>
      <c r="P2252" s="49"/>
      <c r="Q2252" s="166" t="s">
        <v>5294</v>
      </c>
      <c r="R2252" s="167"/>
    </row>
    <row r="2253" s="148" customFormat="1" spans="1:18">
      <c r="A2253" s="186" t="s">
        <v>61</v>
      </c>
      <c r="B2253" s="101" t="s">
        <v>568</v>
      </c>
      <c r="C2253" s="135" t="s">
        <v>569</v>
      </c>
      <c r="D2253" s="161" t="s">
        <v>569</v>
      </c>
      <c r="E2253" s="161" t="s">
        <v>5092</v>
      </c>
      <c r="F2253" s="161" t="s">
        <v>5395</v>
      </c>
      <c r="G2253" s="163">
        <v>0</v>
      </c>
      <c r="H2253" s="163">
        <v>0</v>
      </c>
      <c r="I2253" s="176">
        <v>255.35</v>
      </c>
      <c r="J2253" s="176">
        <v>0</v>
      </c>
      <c r="K2253" s="176">
        <v>0</v>
      </c>
      <c r="L2253" s="163"/>
      <c r="M2253" s="161" t="s">
        <v>5111</v>
      </c>
      <c r="N2253" s="161" t="s">
        <v>1331</v>
      </c>
      <c r="O2253" s="161"/>
      <c r="P2253" s="49"/>
      <c r="Q2253" s="166" t="s">
        <v>5404</v>
      </c>
      <c r="R2253" s="167"/>
    </row>
    <row r="2254" s="148" customFormat="1" spans="1:18">
      <c r="A2254" s="186" t="s">
        <v>61</v>
      </c>
      <c r="B2254" s="101" t="s">
        <v>568</v>
      </c>
      <c r="C2254" s="84" t="s">
        <v>5698</v>
      </c>
      <c r="D2254" s="161" t="s">
        <v>1899</v>
      </c>
      <c r="E2254" s="161" t="s">
        <v>5092</v>
      </c>
      <c r="F2254" s="161" t="s">
        <v>5395</v>
      </c>
      <c r="G2254" s="163">
        <v>14.4530621</v>
      </c>
      <c r="H2254" s="163">
        <f>G2254-G2253</f>
        <v>14.4530621</v>
      </c>
      <c r="I2254" s="176">
        <v>212.4</v>
      </c>
      <c r="J2254" s="176"/>
      <c r="K2254" s="176">
        <f>K2253+J2254</f>
        <v>0</v>
      </c>
      <c r="L2254" s="163"/>
      <c r="M2254" s="161" t="s">
        <v>5699</v>
      </c>
      <c r="N2254" s="161" t="s">
        <v>1901</v>
      </c>
      <c r="O2254" s="161" t="s">
        <v>25</v>
      </c>
      <c r="P2254" s="49" t="s">
        <v>25</v>
      </c>
      <c r="Q2254" s="166"/>
      <c r="R2254" s="167"/>
    </row>
    <row r="2255" s="148" customFormat="1" spans="1:18">
      <c r="A2255" s="186" t="s">
        <v>61</v>
      </c>
      <c r="B2255" s="101" t="s">
        <v>568</v>
      </c>
      <c r="C2255" s="84" t="s">
        <v>5700</v>
      </c>
      <c r="D2255" s="161" t="s">
        <v>1904</v>
      </c>
      <c r="E2255" s="161" t="s">
        <v>5092</v>
      </c>
      <c r="F2255" s="161" t="s">
        <v>5395</v>
      </c>
      <c r="G2255" s="163">
        <v>31.87593148</v>
      </c>
      <c r="H2255" s="163">
        <f t="shared" ref="H2255:H2261" si="179">G2255-G2254</f>
        <v>17.42286938</v>
      </c>
      <c r="I2255" s="176">
        <v>187.5</v>
      </c>
      <c r="J2255" s="176"/>
      <c r="K2255" s="176">
        <f t="shared" ref="K2255:K2261" si="180">K2254+J2255</f>
        <v>0</v>
      </c>
      <c r="L2255" s="163"/>
      <c r="M2255" s="161" t="s">
        <v>5699</v>
      </c>
      <c r="N2255" s="161" t="s">
        <v>1901</v>
      </c>
      <c r="O2255" s="161" t="s">
        <v>25</v>
      </c>
      <c r="P2255" s="49" t="s">
        <v>25</v>
      </c>
      <c r="Q2255" s="166"/>
      <c r="R2255" s="167"/>
    </row>
    <row r="2256" s="148" customFormat="1" spans="1:18">
      <c r="A2256" s="186" t="s">
        <v>61</v>
      </c>
      <c r="B2256" s="101" t="s">
        <v>568</v>
      </c>
      <c r="C2256" s="84" t="s">
        <v>5701</v>
      </c>
      <c r="D2256" s="161" t="s">
        <v>1305</v>
      </c>
      <c r="E2256" s="161" t="s">
        <v>5092</v>
      </c>
      <c r="F2256" s="161" t="s">
        <v>5395</v>
      </c>
      <c r="G2256" s="163">
        <v>53.75351178</v>
      </c>
      <c r="H2256" s="163">
        <f t="shared" si="179"/>
        <v>21.8775803</v>
      </c>
      <c r="I2256" s="176">
        <v>170.1</v>
      </c>
      <c r="J2256" s="176"/>
      <c r="K2256" s="176">
        <f t="shared" si="180"/>
        <v>0</v>
      </c>
      <c r="L2256" s="163"/>
      <c r="M2256" s="161" t="s">
        <v>5699</v>
      </c>
      <c r="N2256" s="161" t="s">
        <v>1299</v>
      </c>
      <c r="O2256" s="161" t="s">
        <v>25</v>
      </c>
      <c r="P2256" s="49" t="s">
        <v>25</v>
      </c>
      <c r="Q2256" s="166"/>
      <c r="R2256" s="167"/>
    </row>
    <row r="2257" s="148" customFormat="1" spans="1:18">
      <c r="A2257" s="186" t="s">
        <v>61</v>
      </c>
      <c r="B2257" s="101" t="s">
        <v>568</v>
      </c>
      <c r="C2257" s="84" t="s">
        <v>5702</v>
      </c>
      <c r="D2257" s="161" t="s">
        <v>1307</v>
      </c>
      <c r="E2257" s="161" t="s">
        <v>5092</v>
      </c>
      <c r="F2257" s="161" t="s">
        <v>5395</v>
      </c>
      <c r="G2257" s="163">
        <v>73.15625268</v>
      </c>
      <c r="H2257" s="163">
        <f t="shared" si="179"/>
        <v>19.4027409</v>
      </c>
      <c r="I2257" s="176">
        <v>134.1</v>
      </c>
      <c r="J2257" s="176"/>
      <c r="K2257" s="176">
        <f t="shared" si="180"/>
        <v>0</v>
      </c>
      <c r="L2257" s="163"/>
      <c r="M2257" s="161" t="s">
        <v>5699</v>
      </c>
      <c r="N2257" s="161" t="s">
        <v>1299</v>
      </c>
      <c r="O2257" s="161" t="s">
        <v>25</v>
      </c>
      <c r="P2257" s="49" t="s">
        <v>25</v>
      </c>
      <c r="Q2257" s="166"/>
      <c r="R2257" s="167"/>
    </row>
    <row r="2258" s="148" customFormat="1" spans="1:18">
      <c r="A2258" s="186" t="s">
        <v>61</v>
      </c>
      <c r="B2258" s="101" t="s">
        <v>568</v>
      </c>
      <c r="C2258" s="84" t="s">
        <v>572</v>
      </c>
      <c r="D2258" s="161" t="s">
        <v>572</v>
      </c>
      <c r="E2258" s="161" t="s">
        <v>5092</v>
      </c>
      <c r="F2258" s="161" t="s">
        <v>5395</v>
      </c>
      <c r="G2258" s="163">
        <v>92.46</v>
      </c>
      <c r="H2258" s="163">
        <f t="shared" si="179"/>
        <v>19.30374732</v>
      </c>
      <c r="I2258" s="176">
        <v>133.6</v>
      </c>
      <c r="J2258" s="176">
        <v>21701</v>
      </c>
      <c r="K2258" s="176">
        <f t="shared" si="180"/>
        <v>21701</v>
      </c>
      <c r="L2258" s="163"/>
      <c r="M2258" s="161" t="s">
        <v>5699</v>
      </c>
      <c r="N2258" s="161"/>
      <c r="O2258" s="161" t="s">
        <v>15</v>
      </c>
      <c r="P2258" s="49" t="s">
        <v>15</v>
      </c>
      <c r="Q2258" s="166"/>
      <c r="R2258" s="167"/>
    </row>
    <row r="2259" s="148" customFormat="1" spans="1:18">
      <c r="A2259" s="186" t="s">
        <v>61</v>
      </c>
      <c r="B2259" s="101" t="s">
        <v>568</v>
      </c>
      <c r="C2259" s="84" t="s">
        <v>5703</v>
      </c>
      <c r="D2259" s="161" t="s">
        <v>2252</v>
      </c>
      <c r="E2259" s="161" t="s">
        <v>5092</v>
      </c>
      <c r="F2259" s="161" t="s">
        <v>5395</v>
      </c>
      <c r="G2259" s="163">
        <v>113.39837687</v>
      </c>
      <c r="H2259" s="163">
        <f t="shared" si="179"/>
        <v>20.93837687</v>
      </c>
      <c r="I2259" s="176">
        <v>132.2</v>
      </c>
      <c r="J2259" s="176"/>
      <c r="K2259" s="176">
        <f t="shared" si="180"/>
        <v>21701</v>
      </c>
      <c r="L2259" s="163"/>
      <c r="M2259" s="161" t="s">
        <v>5699</v>
      </c>
      <c r="N2259" s="161" t="s">
        <v>1901</v>
      </c>
      <c r="O2259" s="161" t="s">
        <v>25</v>
      </c>
      <c r="P2259" s="49" t="s">
        <v>25</v>
      </c>
      <c r="Q2259" s="166"/>
      <c r="R2259" s="167"/>
    </row>
    <row r="2260" s="148" customFormat="1" spans="1:18">
      <c r="A2260" s="186" t="s">
        <v>61</v>
      </c>
      <c r="B2260" s="101" t="s">
        <v>568</v>
      </c>
      <c r="C2260" s="84" t="s">
        <v>5704</v>
      </c>
      <c r="D2260" s="161" t="s">
        <v>2258</v>
      </c>
      <c r="E2260" s="161" t="s">
        <v>5092</v>
      </c>
      <c r="F2260" s="161" t="s">
        <v>5395</v>
      </c>
      <c r="G2260" s="163">
        <v>131.9775</v>
      </c>
      <c r="H2260" s="163">
        <f t="shared" si="179"/>
        <v>18.57912313</v>
      </c>
      <c r="I2260" s="176">
        <v>126.3</v>
      </c>
      <c r="J2260" s="176"/>
      <c r="K2260" s="176">
        <f t="shared" si="180"/>
        <v>21701</v>
      </c>
      <c r="L2260" s="163"/>
      <c r="M2260" s="161" t="s">
        <v>5699</v>
      </c>
      <c r="N2260" s="161" t="s">
        <v>1901</v>
      </c>
      <c r="O2260" s="161" t="s">
        <v>25</v>
      </c>
      <c r="P2260" s="49" t="s">
        <v>25</v>
      </c>
      <c r="Q2260" s="166"/>
      <c r="R2260" s="167"/>
    </row>
    <row r="2261" s="148" customFormat="1" spans="1:18">
      <c r="A2261" s="186" t="s">
        <v>61</v>
      </c>
      <c r="B2261" s="101" t="s">
        <v>568</v>
      </c>
      <c r="C2261" s="84" t="s">
        <v>570</v>
      </c>
      <c r="D2261" s="161" t="s">
        <v>570</v>
      </c>
      <c r="E2261" s="161" t="s">
        <v>5092</v>
      </c>
      <c r="F2261" s="161" t="s">
        <v>5395</v>
      </c>
      <c r="G2261" s="163">
        <v>145.15</v>
      </c>
      <c r="H2261" s="163">
        <f t="shared" si="179"/>
        <v>13.1725</v>
      </c>
      <c r="I2261" s="176">
        <v>124.8</v>
      </c>
      <c r="J2261" s="176">
        <v>12335</v>
      </c>
      <c r="K2261" s="176">
        <f t="shared" si="180"/>
        <v>34036</v>
      </c>
      <c r="L2261" s="163"/>
      <c r="M2261" s="161" t="s">
        <v>5699</v>
      </c>
      <c r="N2261" s="161"/>
      <c r="O2261" s="161" t="s">
        <v>15</v>
      </c>
      <c r="P2261" s="49" t="s">
        <v>15</v>
      </c>
      <c r="Q2261" s="166"/>
      <c r="R2261" s="167"/>
    </row>
    <row r="2262" s="148" customFormat="1" spans="1:18">
      <c r="A2262" s="186" t="s">
        <v>61</v>
      </c>
      <c r="B2262" s="101" t="s">
        <v>571</v>
      </c>
      <c r="C2262" s="135" t="s">
        <v>572</v>
      </c>
      <c r="D2262" s="161" t="s">
        <v>572</v>
      </c>
      <c r="E2262" s="161" t="s">
        <v>5092</v>
      </c>
      <c r="F2262" s="161" t="s">
        <v>5395</v>
      </c>
      <c r="G2262" s="163">
        <v>0</v>
      </c>
      <c r="H2262" s="163">
        <v>0</v>
      </c>
      <c r="I2262" s="176">
        <v>136.1</v>
      </c>
      <c r="J2262" s="176">
        <v>0</v>
      </c>
      <c r="K2262" s="176">
        <v>0</v>
      </c>
      <c r="L2262" s="163"/>
      <c r="M2262" s="161" t="s">
        <v>5699</v>
      </c>
      <c r="N2262" s="161"/>
      <c r="O2262" s="161"/>
      <c r="P2262" s="49"/>
      <c r="Q2262" s="166"/>
      <c r="R2262" s="167"/>
    </row>
    <row r="2263" s="148" customFormat="1" spans="1:18">
      <c r="A2263" s="186" t="s">
        <v>61</v>
      </c>
      <c r="B2263" s="101" t="s">
        <v>571</v>
      </c>
      <c r="C2263" s="84" t="s">
        <v>573</v>
      </c>
      <c r="D2263" s="161" t="s">
        <v>573</v>
      </c>
      <c r="E2263" s="161" t="s">
        <v>5092</v>
      </c>
      <c r="F2263" s="161" t="s">
        <v>5395</v>
      </c>
      <c r="G2263" s="163">
        <v>29.79</v>
      </c>
      <c r="H2263" s="163">
        <v>29.79</v>
      </c>
      <c r="I2263" s="176">
        <v>158.7</v>
      </c>
      <c r="J2263" s="176">
        <v>73525.59326</v>
      </c>
      <c r="K2263" s="176">
        <v>73525.59326</v>
      </c>
      <c r="L2263" s="163"/>
      <c r="M2263" s="161" t="s">
        <v>5699</v>
      </c>
      <c r="N2263" s="161"/>
      <c r="O2263" s="161" t="s">
        <v>14</v>
      </c>
      <c r="P2263" s="49" t="s">
        <v>14</v>
      </c>
      <c r="Q2263" s="166"/>
      <c r="R2263" s="167"/>
    </row>
    <row r="2264" s="148" customFormat="1" spans="1:18">
      <c r="A2264" s="186" t="s">
        <v>61</v>
      </c>
      <c r="B2264" s="101" t="s">
        <v>574</v>
      </c>
      <c r="C2264" s="135" t="s">
        <v>575</v>
      </c>
      <c r="D2264" s="161" t="s">
        <v>575</v>
      </c>
      <c r="E2264" s="161" t="s">
        <v>5092</v>
      </c>
      <c r="F2264" s="161" t="s">
        <v>5412</v>
      </c>
      <c r="G2264" s="171">
        <v>0</v>
      </c>
      <c r="H2264" s="163">
        <v>0</v>
      </c>
      <c r="I2264" s="176">
        <v>163.11</v>
      </c>
      <c r="J2264" s="176">
        <v>0</v>
      </c>
      <c r="K2264" s="176">
        <v>0</v>
      </c>
      <c r="L2264" s="163"/>
      <c r="M2264" s="161" t="s">
        <v>5111</v>
      </c>
      <c r="N2264" s="161" t="s">
        <v>1331</v>
      </c>
      <c r="O2264" s="161"/>
      <c r="P2264" s="49"/>
      <c r="Q2264" s="166" t="s">
        <v>5421</v>
      </c>
      <c r="R2264" s="167"/>
    </row>
    <row r="2265" s="148" customFormat="1" spans="1:18">
      <c r="A2265" s="186" t="s">
        <v>61</v>
      </c>
      <c r="B2265" s="101" t="s">
        <v>574</v>
      </c>
      <c r="C2265" s="84" t="s">
        <v>5705</v>
      </c>
      <c r="D2265" s="161" t="s">
        <v>5706</v>
      </c>
      <c r="E2265" s="161" t="s">
        <v>5092</v>
      </c>
      <c r="F2265" s="161" t="s">
        <v>5412</v>
      </c>
      <c r="G2265" s="171">
        <v>15.54</v>
      </c>
      <c r="H2265" s="163">
        <f>G2265-G2264</f>
        <v>15.54</v>
      </c>
      <c r="I2265" s="176">
        <v>178.4</v>
      </c>
      <c r="J2265" s="176">
        <v>67.536</v>
      </c>
      <c r="K2265" s="176">
        <v>67.536</v>
      </c>
      <c r="L2265" s="163"/>
      <c r="M2265" s="161">
        <v>0</v>
      </c>
      <c r="N2265" s="161" t="s">
        <v>1901</v>
      </c>
      <c r="O2265" s="161" t="s">
        <v>26</v>
      </c>
      <c r="P2265" s="49" t="s">
        <v>26</v>
      </c>
      <c r="Q2265" s="166" t="s">
        <v>5707</v>
      </c>
      <c r="R2265" s="167"/>
    </row>
    <row r="2266" s="148" customFormat="1" spans="1:18">
      <c r="A2266" s="186" t="s">
        <v>61</v>
      </c>
      <c r="B2266" s="101" t="s">
        <v>574</v>
      </c>
      <c r="C2266" s="84" t="s">
        <v>5708</v>
      </c>
      <c r="D2266" s="161" t="s">
        <v>5709</v>
      </c>
      <c r="E2266" s="161" t="s">
        <v>5092</v>
      </c>
      <c r="F2266" s="161" t="s">
        <v>5412</v>
      </c>
      <c r="G2266" s="171">
        <v>33</v>
      </c>
      <c r="H2266" s="163">
        <f>G2266-G2265</f>
        <v>17.46</v>
      </c>
      <c r="I2266" s="176">
        <v>205.45</v>
      </c>
      <c r="J2266" s="176">
        <v>73.1006</v>
      </c>
      <c r="K2266" s="176">
        <v>140.6366</v>
      </c>
      <c r="L2266" s="163"/>
      <c r="M2266" s="161">
        <v>0</v>
      </c>
      <c r="N2266" s="161" t="s">
        <v>1901</v>
      </c>
      <c r="O2266" s="161" t="s">
        <v>26</v>
      </c>
      <c r="P2266" s="49" t="s">
        <v>26</v>
      </c>
      <c r="Q2266" s="166" t="s">
        <v>5710</v>
      </c>
      <c r="R2266" s="167"/>
    </row>
    <row r="2267" s="148" customFormat="1" spans="1:18">
      <c r="A2267" s="186" t="s">
        <v>61</v>
      </c>
      <c r="B2267" s="101" t="s">
        <v>574</v>
      </c>
      <c r="C2267" s="84" t="s">
        <v>576</v>
      </c>
      <c r="D2267" s="161" t="s">
        <v>576</v>
      </c>
      <c r="E2267" s="161" t="s">
        <v>5092</v>
      </c>
      <c r="F2267" s="161" t="s">
        <v>5412</v>
      </c>
      <c r="G2267" s="171">
        <v>51.72</v>
      </c>
      <c r="H2267" s="163">
        <f>G2267-G2266</f>
        <v>18.72</v>
      </c>
      <c r="I2267" s="176">
        <v>156.5</v>
      </c>
      <c r="J2267" s="176">
        <v>80.9072</v>
      </c>
      <c r="K2267" s="176">
        <v>221.5438</v>
      </c>
      <c r="L2267" s="163"/>
      <c r="M2267" s="161">
        <v>0</v>
      </c>
      <c r="N2267" s="161"/>
      <c r="O2267" s="161" t="s">
        <v>15</v>
      </c>
      <c r="P2267" s="49" t="s">
        <v>15</v>
      </c>
      <c r="Q2267" s="166" t="s">
        <v>5420</v>
      </c>
      <c r="R2267" s="167"/>
    </row>
    <row r="2268" s="148" customFormat="1" spans="1:18">
      <c r="A2268" s="186" t="s">
        <v>61</v>
      </c>
      <c r="B2268" s="101" t="s">
        <v>577</v>
      </c>
      <c r="C2268" s="135" t="s">
        <v>578</v>
      </c>
      <c r="D2268" s="161" t="s">
        <v>578</v>
      </c>
      <c r="E2268" s="161" t="s">
        <v>5092</v>
      </c>
      <c r="F2268" s="161" t="s">
        <v>5122</v>
      </c>
      <c r="G2268" s="163">
        <v>0</v>
      </c>
      <c r="H2268" s="163">
        <v>0</v>
      </c>
      <c r="I2268" s="176">
        <v>6.1</v>
      </c>
      <c r="J2268" s="176">
        <v>0</v>
      </c>
      <c r="K2268" s="176">
        <v>0</v>
      </c>
      <c r="L2268" s="163"/>
      <c r="M2268" s="161" t="s">
        <v>5111</v>
      </c>
      <c r="N2268" s="161"/>
      <c r="O2268" s="161"/>
      <c r="P2268" s="49"/>
      <c r="Q2268" s="166"/>
      <c r="R2268" s="167"/>
    </row>
    <row r="2269" s="148" customFormat="1" spans="1:18">
      <c r="A2269" s="186" t="s">
        <v>61</v>
      </c>
      <c r="B2269" s="101" t="s">
        <v>577</v>
      </c>
      <c r="C2269" s="84" t="s">
        <v>5711</v>
      </c>
      <c r="D2269" s="161" t="s">
        <v>1298</v>
      </c>
      <c r="E2269" s="161" t="s">
        <v>5092</v>
      </c>
      <c r="F2269" s="161" t="s">
        <v>5122</v>
      </c>
      <c r="G2269" s="163">
        <v>20</v>
      </c>
      <c r="H2269" s="163">
        <f>G2269-G2268</f>
        <v>20</v>
      </c>
      <c r="I2269" s="176">
        <v>3</v>
      </c>
      <c r="J2269" s="176">
        <v>22434</v>
      </c>
      <c r="K2269" s="176">
        <v>22434</v>
      </c>
      <c r="L2269" s="163"/>
      <c r="M2269" s="161" t="s">
        <v>5712</v>
      </c>
      <c r="N2269" s="161" t="s">
        <v>1299</v>
      </c>
      <c r="O2269" s="161" t="s">
        <v>25</v>
      </c>
      <c r="P2269" s="49" t="s">
        <v>25</v>
      </c>
      <c r="Q2269" s="166" t="s">
        <v>5713</v>
      </c>
      <c r="R2269" s="167"/>
    </row>
    <row r="2270" s="148" customFormat="1" spans="1:18">
      <c r="A2270" s="186" t="s">
        <v>61</v>
      </c>
      <c r="B2270" s="101" t="s">
        <v>577</v>
      </c>
      <c r="C2270" s="84" t="s">
        <v>5714</v>
      </c>
      <c r="D2270" s="161" t="s">
        <v>1302</v>
      </c>
      <c r="E2270" s="161" t="s">
        <v>5092</v>
      </c>
      <c r="F2270" s="161" t="s">
        <v>5122</v>
      </c>
      <c r="G2270" s="163">
        <v>35.6</v>
      </c>
      <c r="H2270" s="163">
        <f t="shared" ref="H2270:H2271" si="181">G2270-G2269</f>
        <v>15.6</v>
      </c>
      <c r="I2270" s="176">
        <v>2.2</v>
      </c>
      <c r="J2270" s="176">
        <v>17449</v>
      </c>
      <c r="K2270" s="176">
        <v>39883</v>
      </c>
      <c r="L2270" s="163"/>
      <c r="M2270" s="161" t="s">
        <v>5712</v>
      </c>
      <c r="N2270" s="161" t="s">
        <v>1299</v>
      </c>
      <c r="O2270" s="161" t="s">
        <v>25</v>
      </c>
      <c r="P2270" s="49" t="s">
        <v>25</v>
      </c>
      <c r="Q2270" s="166" t="s">
        <v>5715</v>
      </c>
      <c r="R2270" s="167"/>
    </row>
    <row r="2271" s="148" customFormat="1" spans="1:18">
      <c r="A2271" s="186" t="s">
        <v>61</v>
      </c>
      <c r="B2271" s="101" t="s">
        <v>577</v>
      </c>
      <c r="C2271" s="84" t="s">
        <v>579</v>
      </c>
      <c r="D2271" s="186" t="s">
        <v>579</v>
      </c>
      <c r="E2271" s="161" t="s">
        <v>5092</v>
      </c>
      <c r="F2271" s="161" t="s">
        <v>5122</v>
      </c>
      <c r="G2271" s="163">
        <v>48.2</v>
      </c>
      <c r="H2271" s="163">
        <f t="shared" si="181"/>
        <v>12.6</v>
      </c>
      <c r="I2271" s="176">
        <v>2.1</v>
      </c>
      <c r="J2271" s="176">
        <v>14306</v>
      </c>
      <c r="K2271" s="176">
        <v>54189</v>
      </c>
      <c r="L2271" s="163"/>
      <c r="M2271" s="161" t="s">
        <v>5712</v>
      </c>
      <c r="N2271" s="161"/>
      <c r="O2271" s="161" t="s">
        <v>15</v>
      </c>
      <c r="P2271" s="49" t="s">
        <v>15</v>
      </c>
      <c r="Q2271" s="166" t="s">
        <v>5716</v>
      </c>
      <c r="R2271" s="167"/>
    </row>
    <row r="2272" s="148" customFormat="1" spans="1:18">
      <c r="A2272" s="186" t="s">
        <v>61</v>
      </c>
      <c r="B2272" s="101" t="s">
        <v>580</v>
      </c>
      <c r="C2272" s="135" t="s">
        <v>5717</v>
      </c>
      <c r="D2272" s="161" t="s">
        <v>5718</v>
      </c>
      <c r="E2272" s="161" t="s">
        <v>1640</v>
      </c>
      <c r="F2272" s="161"/>
      <c r="G2272" s="163">
        <v>0</v>
      </c>
      <c r="H2272" s="163">
        <v>0</v>
      </c>
      <c r="I2272" s="176" t="s">
        <v>147</v>
      </c>
      <c r="J2272" s="176">
        <v>0</v>
      </c>
      <c r="K2272" s="176">
        <v>0</v>
      </c>
      <c r="L2272" s="163"/>
      <c r="M2272" s="161"/>
      <c r="N2272" s="161"/>
      <c r="O2272" s="161"/>
      <c r="P2272" s="49"/>
      <c r="Q2272" s="166"/>
      <c r="R2272" s="167"/>
    </row>
    <row r="2273" s="148" customFormat="1" spans="1:18">
      <c r="A2273" s="186" t="s">
        <v>61</v>
      </c>
      <c r="B2273" s="101" t="s">
        <v>580</v>
      </c>
      <c r="C2273" s="84" t="s">
        <v>5719</v>
      </c>
      <c r="D2273" s="161" t="s">
        <v>5719</v>
      </c>
      <c r="E2273" s="161" t="s">
        <v>1640</v>
      </c>
      <c r="F2273" s="161"/>
      <c r="G2273" s="163" t="s">
        <v>147</v>
      </c>
      <c r="H2273" s="163" t="s">
        <v>147</v>
      </c>
      <c r="I2273" s="176" t="s">
        <v>147</v>
      </c>
      <c r="J2273" s="176">
        <v>69</v>
      </c>
      <c r="K2273" s="176">
        <v>69</v>
      </c>
      <c r="L2273" s="163"/>
      <c r="M2273" s="161"/>
      <c r="N2273" s="161"/>
      <c r="O2273" s="161" t="s">
        <v>15</v>
      </c>
      <c r="P2273" s="49" t="s">
        <v>15</v>
      </c>
      <c r="Q2273" s="166"/>
      <c r="R2273" s="167"/>
    </row>
    <row r="2274" s="148" customFormat="1" spans="1:18">
      <c r="A2274" s="186" t="s">
        <v>61</v>
      </c>
      <c r="B2274" s="101" t="s">
        <v>580</v>
      </c>
      <c r="C2274" s="135" t="s">
        <v>582</v>
      </c>
      <c r="D2274" s="161" t="s">
        <v>582</v>
      </c>
      <c r="E2274" s="161" t="s">
        <v>1640</v>
      </c>
      <c r="F2274" s="161"/>
      <c r="G2274" s="163">
        <v>0.245</v>
      </c>
      <c r="H2274" s="163">
        <v>0.245</v>
      </c>
      <c r="I2274" s="176" t="s">
        <v>147</v>
      </c>
      <c r="J2274" s="176">
        <v>25</v>
      </c>
      <c r="K2274" s="176">
        <v>94</v>
      </c>
      <c r="L2274" s="163"/>
      <c r="M2274" s="161"/>
      <c r="N2274" s="161"/>
      <c r="O2274" s="161"/>
      <c r="P2274" s="49"/>
      <c r="Q2274" s="166"/>
      <c r="R2274" s="167"/>
    </row>
    <row r="2275" s="148" customFormat="1" spans="1:18">
      <c r="A2275" s="186" t="s">
        <v>61</v>
      </c>
      <c r="B2275" s="101" t="s">
        <v>583</v>
      </c>
      <c r="C2275" s="135" t="s">
        <v>584</v>
      </c>
      <c r="D2275" s="161" t="s">
        <v>5394</v>
      </c>
      <c r="E2275" s="161" t="s">
        <v>5092</v>
      </c>
      <c r="F2275" s="161"/>
      <c r="G2275" s="163">
        <v>0</v>
      </c>
      <c r="H2275" s="163">
        <v>0</v>
      </c>
      <c r="I2275" s="176"/>
      <c r="J2275" s="176">
        <v>0</v>
      </c>
      <c r="K2275" s="176">
        <v>0</v>
      </c>
      <c r="L2275" s="163"/>
      <c r="M2275" s="161"/>
      <c r="N2275" s="161" t="s">
        <v>1299</v>
      </c>
      <c r="O2275" s="161"/>
      <c r="P2275" s="49"/>
      <c r="Q2275" s="166" t="s">
        <v>5720</v>
      </c>
      <c r="R2275" s="167"/>
    </row>
    <row r="2276" s="148" customFormat="1" spans="1:18">
      <c r="A2276" s="186" t="s">
        <v>61</v>
      </c>
      <c r="B2276" s="101" t="s">
        <v>583</v>
      </c>
      <c r="C2276" s="84" t="s">
        <v>5721</v>
      </c>
      <c r="D2276" s="186" t="s">
        <v>5721</v>
      </c>
      <c r="E2276" s="161" t="s">
        <v>5092</v>
      </c>
      <c r="F2276" s="161"/>
      <c r="G2276" s="163">
        <v>0.3</v>
      </c>
      <c r="H2276" s="163">
        <f>G2276-G2275</f>
        <v>0.3</v>
      </c>
      <c r="I2276" s="176"/>
      <c r="J2276" s="176">
        <v>56.6018957345972</v>
      </c>
      <c r="K2276" s="176">
        <v>56.6018957345972</v>
      </c>
      <c r="L2276" s="163"/>
      <c r="M2276" s="161"/>
      <c r="N2276" s="161"/>
      <c r="O2276" s="161"/>
      <c r="P2276" s="49" t="s">
        <v>15</v>
      </c>
      <c r="Q2276" s="166" t="s">
        <v>5720</v>
      </c>
      <c r="R2276" s="167"/>
    </row>
    <row r="2277" s="148" customFormat="1" spans="1:18">
      <c r="A2277" s="186" t="s">
        <v>61</v>
      </c>
      <c r="B2277" s="101" t="s">
        <v>583</v>
      </c>
      <c r="C2277" s="84" t="s">
        <v>5722</v>
      </c>
      <c r="D2277" s="161" t="s">
        <v>5722</v>
      </c>
      <c r="E2277" s="161" t="s">
        <v>5092</v>
      </c>
      <c r="F2277" s="161"/>
      <c r="G2277" s="163">
        <v>21.1</v>
      </c>
      <c r="H2277" s="163">
        <f t="shared" ref="H2277:H2285" si="182">G2277-G2276</f>
        <v>20.8</v>
      </c>
      <c r="I2277" s="176"/>
      <c r="J2277" s="176">
        <v>3924.3981042654</v>
      </c>
      <c r="K2277" s="176">
        <v>3981</v>
      </c>
      <c r="L2277" s="163"/>
      <c r="M2277" s="161"/>
      <c r="N2277" s="161"/>
      <c r="O2277" s="161"/>
      <c r="P2277" s="49" t="s">
        <v>14</v>
      </c>
      <c r="Q2277" s="166" t="s">
        <v>5723</v>
      </c>
      <c r="R2277" s="167"/>
    </row>
    <row r="2278" s="148" customFormat="1" spans="1:18">
      <c r="A2278" s="186" t="s">
        <v>61</v>
      </c>
      <c r="B2278" s="101" t="s">
        <v>583</v>
      </c>
      <c r="C2278" s="84" t="s">
        <v>1811</v>
      </c>
      <c r="D2278" s="186" t="s">
        <v>1298</v>
      </c>
      <c r="E2278" s="161" t="s">
        <v>5092</v>
      </c>
      <c r="F2278" s="161"/>
      <c r="G2278" s="163">
        <v>40.3</v>
      </c>
      <c r="H2278" s="163">
        <f t="shared" si="182"/>
        <v>19.2</v>
      </c>
      <c r="I2278" s="176"/>
      <c r="J2278" s="176">
        <v>3739.68539325843</v>
      </c>
      <c r="K2278" s="176">
        <v>7720.68539325843</v>
      </c>
      <c r="L2278" s="163"/>
      <c r="M2278" s="161"/>
      <c r="N2278" s="161" t="s">
        <v>1299</v>
      </c>
      <c r="O2278" s="161"/>
      <c r="P2278" s="49" t="s">
        <v>25</v>
      </c>
      <c r="Q2278" s="166" t="s">
        <v>5724</v>
      </c>
      <c r="R2278" s="167"/>
    </row>
    <row r="2279" s="148" customFormat="1" spans="1:18">
      <c r="A2279" s="186" t="s">
        <v>61</v>
      </c>
      <c r="B2279" s="101" t="s">
        <v>583</v>
      </c>
      <c r="C2279" s="84" t="s">
        <v>1815</v>
      </c>
      <c r="D2279" s="186" t="s">
        <v>1302</v>
      </c>
      <c r="E2279" s="161" t="s">
        <v>5092</v>
      </c>
      <c r="F2279" s="161"/>
      <c r="G2279" s="163">
        <v>58.4</v>
      </c>
      <c r="H2279" s="163">
        <f t="shared" si="182"/>
        <v>18.1</v>
      </c>
      <c r="I2279" s="176"/>
      <c r="J2279" s="176">
        <v>3525.43258426966</v>
      </c>
      <c r="K2279" s="176">
        <v>11246.1179775281</v>
      </c>
      <c r="L2279" s="163"/>
      <c r="M2279" s="161"/>
      <c r="N2279" s="161" t="s">
        <v>1299</v>
      </c>
      <c r="O2279" s="161"/>
      <c r="P2279" s="49" t="s">
        <v>25</v>
      </c>
      <c r="Q2279" s="166" t="s">
        <v>5725</v>
      </c>
      <c r="R2279" s="167"/>
    </row>
    <row r="2280" s="148" customFormat="1" spans="1:18">
      <c r="A2280" s="186" t="s">
        <v>61</v>
      </c>
      <c r="B2280" s="101" t="s">
        <v>583</v>
      </c>
      <c r="C2280" s="84" t="s">
        <v>5726</v>
      </c>
      <c r="D2280" s="186" t="s">
        <v>5726</v>
      </c>
      <c r="E2280" s="161" t="s">
        <v>5092</v>
      </c>
      <c r="F2280" s="161"/>
      <c r="G2280" s="163">
        <v>74.5</v>
      </c>
      <c r="H2280" s="163">
        <f t="shared" si="182"/>
        <v>16.1</v>
      </c>
      <c r="I2280" s="176"/>
      <c r="J2280" s="176">
        <v>3135.88202247191</v>
      </c>
      <c r="K2280" s="176">
        <v>14382</v>
      </c>
      <c r="L2280" s="163"/>
      <c r="M2280" s="161"/>
      <c r="N2280" s="161"/>
      <c r="O2280" s="161"/>
      <c r="P2280" s="49" t="s">
        <v>14</v>
      </c>
      <c r="Q2280" s="166" t="s">
        <v>5727</v>
      </c>
      <c r="R2280" s="167"/>
    </row>
    <row r="2281" s="148" customFormat="1" spans="1:18">
      <c r="A2281" s="186" t="s">
        <v>61</v>
      </c>
      <c r="B2281" s="101" t="s">
        <v>583</v>
      </c>
      <c r="C2281" s="84" t="s">
        <v>1210</v>
      </c>
      <c r="D2281" s="186" t="s">
        <v>1305</v>
      </c>
      <c r="E2281" s="161" t="s">
        <v>5092</v>
      </c>
      <c r="F2281" s="161"/>
      <c r="G2281" s="163">
        <v>100.1</v>
      </c>
      <c r="H2281" s="163">
        <f t="shared" si="182"/>
        <v>25.6</v>
      </c>
      <c r="I2281" s="176"/>
      <c r="J2281" s="176">
        <v>5186.18372703412</v>
      </c>
      <c r="K2281" s="176">
        <v>19568.1837270341</v>
      </c>
      <c r="L2281" s="163"/>
      <c r="M2281" s="161"/>
      <c r="N2281" s="161" t="s">
        <v>1299</v>
      </c>
      <c r="O2281" s="161"/>
      <c r="P2281" s="49" t="s">
        <v>25</v>
      </c>
      <c r="Q2281" s="166" t="s">
        <v>5728</v>
      </c>
      <c r="R2281" s="167"/>
    </row>
    <row r="2282" s="148" customFormat="1" spans="1:18">
      <c r="A2282" s="186" t="s">
        <v>61</v>
      </c>
      <c r="B2282" s="101" t="s">
        <v>583</v>
      </c>
      <c r="C2282" s="84" t="s">
        <v>1820</v>
      </c>
      <c r="D2282" s="186" t="s">
        <v>1307</v>
      </c>
      <c r="E2282" s="161" t="s">
        <v>5092</v>
      </c>
      <c r="F2282" s="161"/>
      <c r="G2282" s="163">
        <v>126.8</v>
      </c>
      <c r="H2282" s="163">
        <f t="shared" si="182"/>
        <v>26.7</v>
      </c>
      <c r="I2282" s="176"/>
      <c r="J2282" s="176">
        <v>5409.02755905512</v>
      </c>
      <c r="K2282" s="176">
        <v>24977.2112860892</v>
      </c>
      <c r="L2282" s="163"/>
      <c r="M2282" s="161"/>
      <c r="N2282" s="161" t="s">
        <v>1299</v>
      </c>
      <c r="O2282" s="161"/>
      <c r="P2282" s="49" t="s">
        <v>25</v>
      </c>
      <c r="Q2282" s="166" t="s">
        <v>5729</v>
      </c>
      <c r="R2282" s="167"/>
    </row>
    <row r="2283" s="148" customFormat="1" spans="1:18">
      <c r="A2283" s="186" t="s">
        <v>61</v>
      </c>
      <c r="B2283" s="101" t="s">
        <v>583</v>
      </c>
      <c r="C2283" s="84" t="s">
        <v>5730</v>
      </c>
      <c r="D2283" s="166" t="s">
        <v>5730</v>
      </c>
      <c r="E2283" s="161" t="s">
        <v>5092</v>
      </c>
      <c r="F2283" s="161"/>
      <c r="G2283" s="163">
        <v>150.7</v>
      </c>
      <c r="H2283" s="163">
        <f t="shared" si="182"/>
        <v>23.9</v>
      </c>
      <c r="I2283" s="176"/>
      <c r="J2283" s="176">
        <v>4841.78871391076</v>
      </c>
      <c r="K2283" s="176">
        <v>29819</v>
      </c>
      <c r="L2283" s="163"/>
      <c r="M2283" s="161"/>
      <c r="N2283" s="161"/>
      <c r="O2283" s="161"/>
      <c r="P2283" s="49" t="s">
        <v>14</v>
      </c>
      <c r="Q2283" s="166" t="s">
        <v>5731</v>
      </c>
      <c r="R2283" s="167"/>
    </row>
    <row r="2284" s="148" customFormat="1" spans="1:18">
      <c r="A2284" s="186" t="s">
        <v>61</v>
      </c>
      <c r="B2284" s="101" t="s">
        <v>583</v>
      </c>
      <c r="C2284" s="84" t="s">
        <v>741</v>
      </c>
      <c r="D2284" s="186" t="s">
        <v>1311</v>
      </c>
      <c r="E2284" s="161" t="s">
        <v>5092</v>
      </c>
      <c r="F2284" s="161"/>
      <c r="G2284" s="163">
        <v>171.1</v>
      </c>
      <c r="H2284" s="163">
        <f t="shared" si="182"/>
        <v>20.4</v>
      </c>
      <c r="I2284" s="176"/>
      <c r="J2284" s="176">
        <v>2639.49260042283</v>
      </c>
      <c r="K2284" s="176">
        <v>32458.4926004228</v>
      </c>
      <c r="L2284" s="163"/>
      <c r="M2284" s="161"/>
      <c r="N2284" s="161" t="s">
        <v>1299</v>
      </c>
      <c r="O2284" s="161"/>
      <c r="P2284" s="49" t="s">
        <v>25</v>
      </c>
      <c r="Q2284" s="166" t="s">
        <v>5732</v>
      </c>
      <c r="R2284" s="167"/>
    </row>
    <row r="2285" s="148" customFormat="1" spans="1:18">
      <c r="A2285" s="186" t="s">
        <v>61</v>
      </c>
      <c r="B2285" s="101" t="s">
        <v>583</v>
      </c>
      <c r="C2285" s="84" t="s">
        <v>585</v>
      </c>
      <c r="D2285" s="191" t="s">
        <v>585</v>
      </c>
      <c r="E2285" s="161" t="s">
        <v>5092</v>
      </c>
      <c r="F2285" s="161"/>
      <c r="G2285" s="163">
        <v>198</v>
      </c>
      <c r="H2285" s="163">
        <f t="shared" si="182"/>
        <v>26.9</v>
      </c>
      <c r="I2285" s="176"/>
      <c r="J2285" s="176">
        <v>3480.50739957717</v>
      </c>
      <c r="K2285" s="176">
        <v>35939</v>
      </c>
      <c r="L2285" s="163"/>
      <c r="M2285" s="161"/>
      <c r="N2285" s="161"/>
      <c r="O2285" s="161"/>
      <c r="P2285" s="49" t="s">
        <v>14</v>
      </c>
      <c r="Q2285" s="166" t="s">
        <v>5733</v>
      </c>
      <c r="R2285" s="167"/>
    </row>
    <row r="2286" s="148" customFormat="1" ht="30" spans="1:18">
      <c r="A2286" s="186" t="s">
        <v>61</v>
      </c>
      <c r="B2286" s="101" t="s">
        <v>589</v>
      </c>
      <c r="C2286" s="86" t="s">
        <v>590</v>
      </c>
      <c r="D2286" s="186" t="s">
        <v>590</v>
      </c>
      <c r="E2286" s="161" t="s">
        <v>1980</v>
      </c>
      <c r="F2286" s="161"/>
      <c r="G2286" s="163">
        <v>0</v>
      </c>
      <c r="H2286" s="163">
        <v>0</v>
      </c>
      <c r="I2286" s="176">
        <v>25</v>
      </c>
      <c r="J2286" s="176">
        <v>0</v>
      </c>
      <c r="K2286" s="176">
        <v>0</v>
      </c>
      <c r="L2286" s="163"/>
      <c r="M2286" s="161"/>
      <c r="N2286" s="161"/>
      <c r="O2286" s="161"/>
      <c r="P2286" s="49" t="s">
        <v>14</v>
      </c>
      <c r="Q2286" s="166" t="s">
        <v>5734</v>
      </c>
      <c r="R2286" s="167"/>
    </row>
    <row r="2287" s="148" customFormat="1" ht="30" spans="1:18">
      <c r="A2287" s="186" t="s">
        <v>61</v>
      </c>
      <c r="B2287" s="101" t="s">
        <v>589</v>
      </c>
      <c r="C2287" s="135" t="s">
        <v>591</v>
      </c>
      <c r="D2287" s="101" t="s">
        <v>591</v>
      </c>
      <c r="E2287" s="161" t="s">
        <v>1980</v>
      </c>
      <c r="F2287" s="161"/>
      <c r="G2287" s="163">
        <v>19.2</v>
      </c>
      <c r="H2287" s="163">
        <v>19.2</v>
      </c>
      <c r="I2287" s="176">
        <v>21</v>
      </c>
      <c r="J2287" s="176">
        <v>9274</v>
      </c>
      <c r="K2287" s="176">
        <v>9274</v>
      </c>
      <c r="L2287" s="163"/>
      <c r="M2287" s="161"/>
      <c r="N2287" s="161"/>
      <c r="O2287" s="161"/>
      <c r="P2287" s="49"/>
      <c r="Q2287" s="166" t="s">
        <v>5735</v>
      </c>
      <c r="R2287" s="167"/>
    </row>
    <row r="2288" spans="1:18">
      <c r="A2288" s="186" t="s">
        <v>62</v>
      </c>
      <c r="B2288" s="101" t="s">
        <v>593</v>
      </c>
      <c r="C2288" s="135" t="s">
        <v>182</v>
      </c>
      <c r="D2288" s="161" t="s">
        <v>182</v>
      </c>
      <c r="E2288" s="161" t="s">
        <v>1980</v>
      </c>
      <c r="F2288" s="161" t="s">
        <v>2005</v>
      </c>
      <c r="G2288" s="163">
        <v>0</v>
      </c>
      <c r="H2288" s="163">
        <v>0</v>
      </c>
      <c r="I2288" s="176">
        <v>151</v>
      </c>
      <c r="J2288" s="176">
        <v>0</v>
      </c>
      <c r="K2288" s="176">
        <v>0</v>
      </c>
      <c r="L2288" s="163"/>
      <c r="M2288" s="161" t="s">
        <v>1913</v>
      </c>
      <c r="N2288" s="161"/>
      <c r="O2288" s="161"/>
      <c r="P2288" s="49"/>
      <c r="Q2288" s="166" t="s">
        <v>3125</v>
      </c>
      <c r="R2288" s="151"/>
    </row>
    <row r="2289" spans="1:18">
      <c r="A2289" s="186" t="s">
        <v>62</v>
      </c>
      <c r="B2289" s="101" t="s">
        <v>593</v>
      </c>
      <c r="C2289" s="86" t="s">
        <v>5736</v>
      </c>
      <c r="D2289" s="161" t="s">
        <v>1899</v>
      </c>
      <c r="E2289" s="161" t="s">
        <v>1980</v>
      </c>
      <c r="F2289" s="161" t="s">
        <v>2005</v>
      </c>
      <c r="G2289" s="163">
        <v>11.875</v>
      </c>
      <c r="H2289" s="163">
        <f>G2289-G2288</f>
        <v>11.875</v>
      </c>
      <c r="I2289" s="176">
        <v>174</v>
      </c>
      <c r="J2289" s="176">
        <v>9314.7</v>
      </c>
      <c r="K2289" s="176">
        <f t="shared" ref="K2289:K2301" si="183">J2289+K2288</f>
        <v>9314.7</v>
      </c>
      <c r="L2289" s="163"/>
      <c r="M2289" s="161" t="s">
        <v>5737</v>
      </c>
      <c r="N2289" s="161" t="s">
        <v>1901</v>
      </c>
      <c r="O2289" s="161" t="s">
        <v>25</v>
      </c>
      <c r="P2289" s="49" t="s">
        <v>25</v>
      </c>
      <c r="Q2289" s="166" t="s">
        <v>5738</v>
      </c>
      <c r="R2289" s="151"/>
    </row>
    <row r="2290" spans="1:18">
      <c r="A2290" s="186" t="s">
        <v>62</v>
      </c>
      <c r="B2290" s="101" t="s">
        <v>593</v>
      </c>
      <c r="C2290" s="86" t="s">
        <v>5739</v>
      </c>
      <c r="D2290" s="161" t="s">
        <v>1302</v>
      </c>
      <c r="E2290" s="161" t="s">
        <v>1980</v>
      </c>
      <c r="F2290" s="161" t="s">
        <v>2005</v>
      </c>
      <c r="G2290" s="163">
        <v>27.67</v>
      </c>
      <c r="H2290" s="163">
        <f t="shared" ref="H2290:H2308" si="184">G2290-G2289</f>
        <v>15.795</v>
      </c>
      <c r="I2290" s="176">
        <v>124</v>
      </c>
      <c r="J2290" s="176">
        <v>11792.6</v>
      </c>
      <c r="K2290" s="176">
        <f t="shared" si="183"/>
        <v>21107.3</v>
      </c>
      <c r="L2290" s="163"/>
      <c r="M2290" s="161" t="s">
        <v>5737</v>
      </c>
      <c r="N2290" s="161" t="s">
        <v>1299</v>
      </c>
      <c r="O2290" s="161" t="s">
        <v>25</v>
      </c>
      <c r="P2290" s="49" t="s">
        <v>25</v>
      </c>
      <c r="Q2290" s="166" t="s">
        <v>5740</v>
      </c>
      <c r="R2290" s="151"/>
    </row>
    <row r="2291" spans="1:18">
      <c r="A2291" s="186" t="s">
        <v>62</v>
      </c>
      <c r="B2291" s="101" t="s">
        <v>593</v>
      </c>
      <c r="C2291" s="86" t="s">
        <v>5741</v>
      </c>
      <c r="D2291" s="161" t="s">
        <v>5741</v>
      </c>
      <c r="E2291" s="161" t="s">
        <v>1980</v>
      </c>
      <c r="F2291" s="161" t="s">
        <v>2005</v>
      </c>
      <c r="G2291" s="163">
        <v>48.07</v>
      </c>
      <c r="H2291" s="163">
        <f t="shared" si="184"/>
        <v>20.4</v>
      </c>
      <c r="I2291" s="176">
        <v>146</v>
      </c>
      <c r="J2291" s="176">
        <v>15305.5</v>
      </c>
      <c r="K2291" s="176">
        <f t="shared" si="183"/>
        <v>36412.8</v>
      </c>
      <c r="L2291" s="163" t="s">
        <v>1891</v>
      </c>
      <c r="M2291" s="161" t="s">
        <v>5737</v>
      </c>
      <c r="N2291" s="161" t="s">
        <v>1331</v>
      </c>
      <c r="O2291" s="161" t="s">
        <v>14</v>
      </c>
      <c r="P2291" s="49" t="s">
        <v>14</v>
      </c>
      <c r="Q2291" s="166" t="s">
        <v>5742</v>
      </c>
      <c r="R2291" s="151"/>
    </row>
    <row r="2292" spans="1:18">
      <c r="A2292" s="186" t="s">
        <v>62</v>
      </c>
      <c r="B2292" s="101" t="s">
        <v>593</v>
      </c>
      <c r="C2292" s="86" t="s">
        <v>5743</v>
      </c>
      <c r="D2292" s="161" t="s">
        <v>2820</v>
      </c>
      <c r="E2292" s="161" t="s">
        <v>1980</v>
      </c>
      <c r="F2292" s="161" t="s">
        <v>2005</v>
      </c>
      <c r="G2292" s="163">
        <v>63.67</v>
      </c>
      <c r="H2292" s="163">
        <f t="shared" si="184"/>
        <v>15.6</v>
      </c>
      <c r="I2292" s="176">
        <v>174</v>
      </c>
      <c r="J2292" s="176">
        <v>11754.9</v>
      </c>
      <c r="K2292" s="176">
        <f t="shared" si="183"/>
        <v>48167.7</v>
      </c>
      <c r="L2292" s="163"/>
      <c r="M2292" s="161" t="s">
        <v>5737</v>
      </c>
      <c r="N2292" s="161" t="s">
        <v>1901</v>
      </c>
      <c r="O2292" s="161" t="s">
        <v>26</v>
      </c>
      <c r="P2292" s="49" t="s">
        <v>26</v>
      </c>
      <c r="Q2292" s="166" t="s">
        <v>5744</v>
      </c>
      <c r="R2292" s="151"/>
    </row>
    <row r="2293" spans="1:18">
      <c r="A2293" s="186" t="s">
        <v>62</v>
      </c>
      <c r="B2293" s="101" t="s">
        <v>593</v>
      </c>
      <c r="C2293" s="86" t="s">
        <v>596</v>
      </c>
      <c r="D2293" s="161" t="s">
        <v>596</v>
      </c>
      <c r="E2293" s="161" t="s">
        <v>1980</v>
      </c>
      <c r="F2293" s="161" t="s">
        <v>2005</v>
      </c>
      <c r="G2293" s="163">
        <v>77.72</v>
      </c>
      <c r="H2293" s="163">
        <f t="shared" si="184"/>
        <v>14.05</v>
      </c>
      <c r="I2293" s="176">
        <v>207</v>
      </c>
      <c r="J2293" s="176">
        <v>10538.6</v>
      </c>
      <c r="K2293" s="176">
        <f t="shared" si="183"/>
        <v>58706.3</v>
      </c>
      <c r="L2293" s="163"/>
      <c r="M2293" s="161" t="s">
        <v>5737</v>
      </c>
      <c r="N2293" s="161" t="s">
        <v>1331</v>
      </c>
      <c r="O2293" s="161" t="s">
        <v>14</v>
      </c>
      <c r="P2293" s="49" t="s">
        <v>14</v>
      </c>
      <c r="Q2293" s="166" t="s">
        <v>5745</v>
      </c>
      <c r="R2293" s="151"/>
    </row>
    <row r="2294" spans="1:18">
      <c r="A2294" s="186" t="s">
        <v>62</v>
      </c>
      <c r="B2294" s="101" t="s">
        <v>593</v>
      </c>
      <c r="C2294" s="86" t="s">
        <v>5746</v>
      </c>
      <c r="D2294" s="161" t="s">
        <v>2252</v>
      </c>
      <c r="E2294" s="161" t="s">
        <v>1980</v>
      </c>
      <c r="F2294" s="161" t="s">
        <v>2005</v>
      </c>
      <c r="G2294" s="163">
        <v>89.67</v>
      </c>
      <c r="H2294" s="163">
        <f t="shared" si="184"/>
        <v>11.95</v>
      </c>
      <c r="I2294" s="176">
        <v>249</v>
      </c>
      <c r="J2294" s="176">
        <v>8846.4</v>
      </c>
      <c r="K2294" s="176">
        <f t="shared" si="183"/>
        <v>67552.7</v>
      </c>
      <c r="L2294" s="163"/>
      <c r="M2294" s="161" t="s">
        <v>5737</v>
      </c>
      <c r="N2294" s="161" t="s">
        <v>1901</v>
      </c>
      <c r="O2294" s="161" t="s">
        <v>26</v>
      </c>
      <c r="P2294" s="49" t="s">
        <v>26</v>
      </c>
      <c r="Q2294" s="166" t="s">
        <v>5747</v>
      </c>
      <c r="R2294" s="151"/>
    </row>
    <row r="2295" spans="1:18">
      <c r="A2295" s="186" t="s">
        <v>62</v>
      </c>
      <c r="B2295" s="101" t="s">
        <v>593</v>
      </c>
      <c r="C2295" s="86" t="s">
        <v>5748</v>
      </c>
      <c r="D2295" s="161" t="s">
        <v>2258</v>
      </c>
      <c r="E2295" s="161" t="s">
        <v>1980</v>
      </c>
      <c r="F2295" s="161" t="s">
        <v>2005</v>
      </c>
      <c r="G2295" s="163">
        <v>104</v>
      </c>
      <c r="H2295" s="163">
        <f t="shared" si="184"/>
        <v>14.33</v>
      </c>
      <c r="I2295" s="176">
        <v>390</v>
      </c>
      <c r="J2295" s="176">
        <v>10825.6</v>
      </c>
      <c r="K2295" s="176">
        <f t="shared" si="183"/>
        <v>78378.3</v>
      </c>
      <c r="L2295" s="163"/>
      <c r="M2295" s="161" t="s">
        <v>5737</v>
      </c>
      <c r="N2295" s="161" t="s">
        <v>1901</v>
      </c>
      <c r="O2295" s="161" t="s">
        <v>26</v>
      </c>
      <c r="P2295" s="49" t="s">
        <v>26</v>
      </c>
      <c r="Q2295" s="166" t="s">
        <v>5749</v>
      </c>
      <c r="R2295" s="151"/>
    </row>
    <row r="2296" spans="1:18">
      <c r="A2296" s="186" t="s">
        <v>62</v>
      </c>
      <c r="B2296" s="101" t="s">
        <v>593</v>
      </c>
      <c r="C2296" s="86" t="s">
        <v>599</v>
      </c>
      <c r="D2296" s="161" t="s">
        <v>599</v>
      </c>
      <c r="E2296" s="161" t="s">
        <v>1980</v>
      </c>
      <c r="F2296" s="161" t="s">
        <v>2005</v>
      </c>
      <c r="G2296" s="163">
        <v>118.04</v>
      </c>
      <c r="H2296" s="163">
        <f t="shared" si="184"/>
        <v>14.04</v>
      </c>
      <c r="I2296" s="176">
        <v>366</v>
      </c>
      <c r="J2296" s="176">
        <v>10795.4</v>
      </c>
      <c r="K2296" s="176">
        <f t="shared" si="183"/>
        <v>89173.7</v>
      </c>
      <c r="L2296" s="163"/>
      <c r="M2296" s="161" t="s">
        <v>5737</v>
      </c>
      <c r="N2296" s="161" t="s">
        <v>1331</v>
      </c>
      <c r="O2296" s="161" t="s">
        <v>14</v>
      </c>
      <c r="P2296" s="49" t="s">
        <v>14</v>
      </c>
      <c r="Q2296" s="166" t="s">
        <v>5750</v>
      </c>
      <c r="R2296" s="151"/>
    </row>
    <row r="2297" spans="1:18">
      <c r="A2297" s="186" t="s">
        <v>62</v>
      </c>
      <c r="B2297" s="101" t="s">
        <v>593</v>
      </c>
      <c r="C2297" s="86" t="s">
        <v>5751</v>
      </c>
      <c r="D2297" s="161" t="s">
        <v>2261</v>
      </c>
      <c r="E2297" s="161" t="s">
        <v>1980</v>
      </c>
      <c r="F2297" s="161" t="s">
        <v>2005</v>
      </c>
      <c r="G2297" s="163">
        <v>143.53</v>
      </c>
      <c r="H2297" s="163">
        <f t="shared" si="184"/>
        <v>25.49</v>
      </c>
      <c r="I2297" s="176">
        <v>416</v>
      </c>
      <c r="J2297" s="176">
        <v>19256.5</v>
      </c>
      <c r="K2297" s="176">
        <f t="shared" si="183"/>
        <v>108430.2</v>
      </c>
      <c r="L2297" s="163"/>
      <c r="M2297" s="161" t="s">
        <v>5737</v>
      </c>
      <c r="N2297" s="161" t="s">
        <v>1901</v>
      </c>
      <c r="O2297" s="161" t="s">
        <v>26</v>
      </c>
      <c r="P2297" s="49" t="s">
        <v>26</v>
      </c>
      <c r="Q2297" s="166" t="s">
        <v>5752</v>
      </c>
      <c r="R2297" s="151"/>
    </row>
    <row r="2298" spans="1:18">
      <c r="A2298" s="186" t="s">
        <v>62</v>
      </c>
      <c r="B2298" s="101" t="s">
        <v>593</v>
      </c>
      <c r="C2298" s="86" t="s">
        <v>5753</v>
      </c>
      <c r="D2298" s="161" t="s">
        <v>2827</v>
      </c>
      <c r="E2298" s="161" t="s">
        <v>1980</v>
      </c>
      <c r="F2298" s="161" t="s">
        <v>5754</v>
      </c>
      <c r="G2298" s="163">
        <v>162.38</v>
      </c>
      <c r="H2298" s="163">
        <f t="shared" si="184"/>
        <v>18.85</v>
      </c>
      <c r="I2298" s="176">
        <v>307</v>
      </c>
      <c r="J2298" s="176">
        <v>14240.3</v>
      </c>
      <c r="K2298" s="176">
        <f t="shared" si="183"/>
        <v>122670.5</v>
      </c>
      <c r="L2298" s="163"/>
      <c r="M2298" s="161" t="s">
        <v>5737</v>
      </c>
      <c r="N2298" s="161" t="s">
        <v>1901</v>
      </c>
      <c r="O2298" s="161" t="s">
        <v>26</v>
      </c>
      <c r="P2298" s="49" t="s">
        <v>26</v>
      </c>
      <c r="Q2298" s="166" t="s">
        <v>5755</v>
      </c>
      <c r="R2298" s="151"/>
    </row>
    <row r="2299" spans="1:18">
      <c r="A2299" s="186" t="s">
        <v>62</v>
      </c>
      <c r="B2299" s="101" t="s">
        <v>593</v>
      </c>
      <c r="C2299" s="86" t="s">
        <v>5756</v>
      </c>
      <c r="D2299" s="161" t="s">
        <v>2266</v>
      </c>
      <c r="E2299" s="161" t="s">
        <v>1980</v>
      </c>
      <c r="F2299" s="161" t="s">
        <v>5754</v>
      </c>
      <c r="G2299" s="163">
        <v>176.67</v>
      </c>
      <c r="H2299" s="163">
        <f t="shared" si="184"/>
        <v>14.29</v>
      </c>
      <c r="I2299" s="176">
        <v>159</v>
      </c>
      <c r="J2299" s="176">
        <v>10795.4</v>
      </c>
      <c r="K2299" s="176">
        <f t="shared" si="183"/>
        <v>133465.9</v>
      </c>
      <c r="L2299" s="163"/>
      <c r="M2299" s="161" t="s">
        <v>5737</v>
      </c>
      <c r="N2299" s="161" t="s">
        <v>1901</v>
      </c>
      <c r="O2299" s="161" t="s">
        <v>26</v>
      </c>
      <c r="P2299" s="49" t="s">
        <v>26</v>
      </c>
      <c r="Q2299" s="166" t="s">
        <v>5757</v>
      </c>
      <c r="R2299" s="151"/>
    </row>
    <row r="2300" spans="1:18">
      <c r="A2300" s="186" t="s">
        <v>62</v>
      </c>
      <c r="B2300" s="101" t="s">
        <v>593</v>
      </c>
      <c r="C2300" s="86" t="s">
        <v>5758</v>
      </c>
      <c r="D2300" s="161" t="s">
        <v>5758</v>
      </c>
      <c r="E2300" s="161" t="s">
        <v>1980</v>
      </c>
      <c r="F2300" s="161" t="s">
        <v>5754</v>
      </c>
      <c r="G2300" s="163">
        <v>187.86</v>
      </c>
      <c r="H2300" s="163">
        <f t="shared" si="184"/>
        <v>11.19</v>
      </c>
      <c r="I2300" s="176">
        <v>154</v>
      </c>
      <c r="J2300" s="176">
        <v>8453.5</v>
      </c>
      <c r="K2300" s="176">
        <f t="shared" si="183"/>
        <v>141919.4</v>
      </c>
      <c r="L2300" s="163"/>
      <c r="M2300" s="161" t="s">
        <v>5737</v>
      </c>
      <c r="N2300" s="161" t="s">
        <v>1331</v>
      </c>
      <c r="O2300" s="161" t="s">
        <v>14</v>
      </c>
      <c r="P2300" s="49" t="s">
        <v>14</v>
      </c>
      <c r="Q2300" s="166" t="s">
        <v>5759</v>
      </c>
      <c r="R2300" s="151"/>
    </row>
    <row r="2301" spans="1:18">
      <c r="A2301" s="186" t="s">
        <v>62</v>
      </c>
      <c r="B2301" s="101" t="s">
        <v>593</v>
      </c>
      <c r="C2301" s="86" t="s">
        <v>5760</v>
      </c>
      <c r="D2301" s="161" t="s">
        <v>2270</v>
      </c>
      <c r="E2301" s="161" t="s">
        <v>1980</v>
      </c>
      <c r="F2301" s="161" t="s">
        <v>5754</v>
      </c>
      <c r="G2301" s="163">
        <v>210.19</v>
      </c>
      <c r="H2301" s="163">
        <f t="shared" si="184"/>
        <v>22.33</v>
      </c>
      <c r="I2301" s="176">
        <v>155</v>
      </c>
      <c r="J2301" s="176">
        <v>16869.3</v>
      </c>
      <c r="K2301" s="176">
        <f t="shared" si="183"/>
        <v>158788.7</v>
      </c>
      <c r="L2301" s="163"/>
      <c r="M2301" s="161" t="s">
        <v>5737</v>
      </c>
      <c r="N2301" s="161" t="s">
        <v>1901</v>
      </c>
      <c r="O2301" s="161" t="s">
        <v>26</v>
      </c>
      <c r="P2301" s="49" t="s">
        <v>26</v>
      </c>
      <c r="Q2301" s="166" t="s">
        <v>5761</v>
      </c>
      <c r="R2301" s="151"/>
    </row>
    <row r="2302" spans="1:18">
      <c r="A2302" s="186" t="s">
        <v>62</v>
      </c>
      <c r="B2302" s="101" t="s">
        <v>593</v>
      </c>
      <c r="C2302" s="86" t="s">
        <v>5762</v>
      </c>
      <c r="D2302" s="186" t="s">
        <v>5762</v>
      </c>
      <c r="E2302" s="161" t="s">
        <v>1980</v>
      </c>
      <c r="F2302" s="161" t="s">
        <v>5754</v>
      </c>
      <c r="G2302" s="163">
        <v>210.19</v>
      </c>
      <c r="H2302" s="163">
        <f t="shared" si="184"/>
        <v>0</v>
      </c>
      <c r="I2302" s="176" t="s">
        <v>147</v>
      </c>
      <c r="J2302" s="176" t="s">
        <v>147</v>
      </c>
      <c r="K2302" s="176" t="s">
        <v>147</v>
      </c>
      <c r="L2302" s="163"/>
      <c r="M2302" s="161" t="s">
        <v>5737</v>
      </c>
      <c r="N2302" s="161"/>
      <c r="O2302" s="161" t="s">
        <v>16</v>
      </c>
      <c r="P2302" s="49" t="s">
        <v>16</v>
      </c>
      <c r="Q2302" s="166"/>
      <c r="R2302" s="151"/>
    </row>
    <row r="2303" spans="1:18">
      <c r="A2303" s="186" t="s">
        <v>62</v>
      </c>
      <c r="B2303" s="101" t="s">
        <v>593</v>
      </c>
      <c r="C2303" s="86" t="s">
        <v>5763</v>
      </c>
      <c r="D2303" s="161" t="s">
        <v>2832</v>
      </c>
      <c r="E2303" s="161" t="s">
        <v>1980</v>
      </c>
      <c r="F2303" s="161" t="s">
        <v>5754</v>
      </c>
      <c r="G2303" s="163">
        <v>227.61</v>
      </c>
      <c r="H2303" s="163">
        <f t="shared" si="184"/>
        <v>17.42</v>
      </c>
      <c r="I2303" s="176">
        <v>118</v>
      </c>
      <c r="J2303" s="176">
        <v>13160</v>
      </c>
      <c r="K2303" s="176">
        <f>J2303+K2301</f>
        <v>171948.7</v>
      </c>
      <c r="L2303" s="163"/>
      <c r="M2303" s="161" t="s">
        <v>5737</v>
      </c>
      <c r="N2303" s="161" t="s">
        <v>1901</v>
      </c>
      <c r="O2303" s="161" t="s">
        <v>26</v>
      </c>
      <c r="P2303" s="49" t="s">
        <v>26</v>
      </c>
      <c r="Q2303" s="166" t="s">
        <v>5764</v>
      </c>
      <c r="R2303" s="151"/>
    </row>
    <row r="2304" spans="1:18">
      <c r="A2304" s="186" t="s">
        <v>62</v>
      </c>
      <c r="B2304" s="101" t="s">
        <v>593</v>
      </c>
      <c r="C2304" s="86" t="s">
        <v>5765</v>
      </c>
      <c r="D2304" s="161" t="s">
        <v>5765</v>
      </c>
      <c r="E2304" s="161" t="s">
        <v>1980</v>
      </c>
      <c r="F2304" s="161" t="s">
        <v>5754</v>
      </c>
      <c r="G2304" s="163">
        <v>242.42</v>
      </c>
      <c r="H2304" s="163">
        <f t="shared" si="184"/>
        <v>14.81</v>
      </c>
      <c r="I2304" s="176">
        <v>118</v>
      </c>
      <c r="J2304" s="176">
        <v>11188.3</v>
      </c>
      <c r="K2304" s="176">
        <f>J2304+K2303</f>
        <v>183137</v>
      </c>
      <c r="L2304" s="163"/>
      <c r="M2304" s="161" t="s">
        <v>5737</v>
      </c>
      <c r="N2304" s="161" t="s">
        <v>1331</v>
      </c>
      <c r="O2304" s="161" t="s">
        <v>14</v>
      </c>
      <c r="P2304" s="49" t="s">
        <v>14</v>
      </c>
      <c r="Q2304" s="166" t="s">
        <v>5766</v>
      </c>
      <c r="R2304" s="151"/>
    </row>
    <row r="2305" spans="1:18">
      <c r="A2305" s="186" t="s">
        <v>62</v>
      </c>
      <c r="B2305" s="101" t="s">
        <v>593</v>
      </c>
      <c r="C2305" s="86" t="s">
        <v>5767</v>
      </c>
      <c r="D2305" s="161" t="s">
        <v>1344</v>
      </c>
      <c r="E2305" s="161" t="s">
        <v>1980</v>
      </c>
      <c r="F2305" s="161" t="s">
        <v>5754</v>
      </c>
      <c r="G2305" s="163">
        <v>256.95</v>
      </c>
      <c r="H2305" s="163">
        <f t="shared" si="184"/>
        <v>14.53</v>
      </c>
      <c r="I2305" s="176">
        <v>35</v>
      </c>
      <c r="J2305" s="176">
        <v>10976.7</v>
      </c>
      <c r="K2305" s="176">
        <f>J2305+K2304</f>
        <v>194113.7</v>
      </c>
      <c r="L2305" s="163"/>
      <c r="M2305" s="161" t="s">
        <v>5737</v>
      </c>
      <c r="N2305" s="161" t="s">
        <v>1299</v>
      </c>
      <c r="O2305" s="161" t="s">
        <v>25</v>
      </c>
      <c r="P2305" s="49" t="s">
        <v>25</v>
      </c>
      <c r="Q2305" s="166" t="s">
        <v>5768</v>
      </c>
      <c r="R2305" s="151"/>
    </row>
    <row r="2306" spans="1:18">
      <c r="A2306" s="186" t="s">
        <v>62</v>
      </c>
      <c r="B2306" s="101" t="s">
        <v>593</v>
      </c>
      <c r="C2306" s="86" t="s">
        <v>5769</v>
      </c>
      <c r="D2306" s="161" t="s">
        <v>5769</v>
      </c>
      <c r="E2306" s="161" t="s">
        <v>1980</v>
      </c>
      <c r="F2306" s="161" t="s">
        <v>5754</v>
      </c>
      <c r="G2306" s="163">
        <v>256.95</v>
      </c>
      <c r="H2306" s="163">
        <f t="shared" si="184"/>
        <v>0</v>
      </c>
      <c r="I2306" s="176" t="s">
        <v>147</v>
      </c>
      <c r="J2306" s="176" t="s">
        <v>147</v>
      </c>
      <c r="K2306" s="176" t="s">
        <v>147</v>
      </c>
      <c r="L2306" s="163" t="s">
        <v>2209</v>
      </c>
      <c r="M2306" s="161" t="s">
        <v>5737</v>
      </c>
      <c r="N2306" s="161"/>
      <c r="O2306" s="161" t="s">
        <v>16</v>
      </c>
      <c r="P2306" s="49" t="s">
        <v>16</v>
      </c>
      <c r="Q2306" s="166"/>
      <c r="R2306" s="151"/>
    </row>
    <row r="2307" spans="1:18">
      <c r="A2307" s="186" t="s">
        <v>62</v>
      </c>
      <c r="B2307" s="101" t="s">
        <v>593</v>
      </c>
      <c r="C2307" s="86" t="s">
        <v>5770</v>
      </c>
      <c r="D2307" s="161" t="s">
        <v>2280</v>
      </c>
      <c r="E2307" s="161" t="s">
        <v>1980</v>
      </c>
      <c r="F2307" s="161" t="s">
        <v>5754</v>
      </c>
      <c r="G2307" s="163">
        <v>275.99</v>
      </c>
      <c r="H2307" s="163">
        <f t="shared" si="184"/>
        <v>19.04</v>
      </c>
      <c r="I2307" s="176">
        <v>38</v>
      </c>
      <c r="J2307" s="176">
        <v>14383.8</v>
      </c>
      <c r="K2307" s="176">
        <f>J2307+K2305</f>
        <v>208497.5</v>
      </c>
      <c r="L2307" s="163"/>
      <c r="M2307" s="161" t="s">
        <v>5737</v>
      </c>
      <c r="N2307" s="161" t="s">
        <v>1901</v>
      </c>
      <c r="O2307" s="161" t="s">
        <v>26</v>
      </c>
      <c r="P2307" s="49" t="s">
        <v>26</v>
      </c>
      <c r="Q2307" s="166" t="s">
        <v>5771</v>
      </c>
      <c r="R2307" s="151"/>
    </row>
    <row r="2308" spans="1:18">
      <c r="A2308" s="186" t="s">
        <v>62</v>
      </c>
      <c r="B2308" s="101" t="s">
        <v>593</v>
      </c>
      <c r="C2308" s="86" t="s">
        <v>604</v>
      </c>
      <c r="D2308" s="161" t="s">
        <v>604</v>
      </c>
      <c r="E2308" s="161" t="s">
        <v>1980</v>
      </c>
      <c r="F2308" s="161" t="s">
        <v>5754</v>
      </c>
      <c r="G2308" s="163">
        <v>297.09</v>
      </c>
      <c r="H2308" s="163">
        <f t="shared" si="184"/>
        <v>21.1</v>
      </c>
      <c r="I2308" s="176">
        <v>11</v>
      </c>
      <c r="J2308" s="176">
        <v>15940.1</v>
      </c>
      <c r="K2308" s="176">
        <f t="shared" ref="K2308:K2322" si="185">J2308+K2307</f>
        <v>224437.6</v>
      </c>
      <c r="L2308" s="163"/>
      <c r="M2308" s="161" t="s">
        <v>5737</v>
      </c>
      <c r="N2308" s="161" t="s">
        <v>1331</v>
      </c>
      <c r="O2308" s="161" t="s">
        <v>14</v>
      </c>
      <c r="P2308" s="49" t="s">
        <v>14</v>
      </c>
      <c r="Q2308" s="166" t="s">
        <v>5772</v>
      </c>
      <c r="R2308" s="151"/>
    </row>
    <row r="2309" spans="1:18">
      <c r="A2309" s="186" t="s">
        <v>62</v>
      </c>
      <c r="B2309" s="101" t="s">
        <v>593</v>
      </c>
      <c r="C2309" s="86" t="s">
        <v>5773</v>
      </c>
      <c r="D2309" s="161" t="s">
        <v>2283</v>
      </c>
      <c r="E2309" s="161" t="s">
        <v>1980</v>
      </c>
      <c r="F2309" s="161" t="s">
        <v>5754</v>
      </c>
      <c r="G2309" s="163">
        <v>316.69</v>
      </c>
      <c r="H2309" s="163">
        <f t="shared" ref="H2309:H2322" si="186">G2309-G2308</f>
        <v>19.6</v>
      </c>
      <c r="I2309" s="176">
        <v>11</v>
      </c>
      <c r="J2309" s="176">
        <v>14806.9</v>
      </c>
      <c r="K2309" s="176">
        <f t="shared" si="185"/>
        <v>239244.5</v>
      </c>
      <c r="L2309" s="163"/>
      <c r="M2309" s="161" t="s">
        <v>5737</v>
      </c>
      <c r="N2309" s="161" t="s">
        <v>1901</v>
      </c>
      <c r="O2309" s="161" t="s">
        <v>26</v>
      </c>
      <c r="P2309" s="49" t="s">
        <v>26</v>
      </c>
      <c r="Q2309" s="166" t="s">
        <v>5774</v>
      </c>
      <c r="R2309" s="151"/>
    </row>
    <row r="2310" spans="1:18">
      <c r="A2310" s="186" t="s">
        <v>62</v>
      </c>
      <c r="B2310" s="101" t="s">
        <v>593</v>
      </c>
      <c r="C2310" s="86" t="s">
        <v>594</v>
      </c>
      <c r="D2310" s="161" t="s">
        <v>594</v>
      </c>
      <c r="E2310" s="161" t="s">
        <v>1980</v>
      </c>
      <c r="F2310" s="161" t="s">
        <v>5775</v>
      </c>
      <c r="G2310" s="163">
        <v>336.56</v>
      </c>
      <c r="H2310" s="163">
        <f t="shared" si="186"/>
        <v>19.87</v>
      </c>
      <c r="I2310" s="176">
        <v>10</v>
      </c>
      <c r="J2310" s="176">
        <v>15010.9</v>
      </c>
      <c r="K2310" s="176">
        <f t="shared" si="185"/>
        <v>254255.4</v>
      </c>
      <c r="L2310" s="163"/>
      <c r="M2310" s="161" t="s">
        <v>5737</v>
      </c>
      <c r="N2310" s="161" t="s">
        <v>1331</v>
      </c>
      <c r="O2310" s="161" t="s">
        <v>14</v>
      </c>
      <c r="P2310" s="49" t="s">
        <v>14</v>
      </c>
      <c r="Q2310" s="166" t="s">
        <v>5776</v>
      </c>
      <c r="R2310" s="151"/>
    </row>
    <row r="2311" spans="1:18">
      <c r="A2311" s="186" t="s">
        <v>62</v>
      </c>
      <c r="B2311" s="101" t="s">
        <v>593</v>
      </c>
      <c r="C2311" s="86" t="s">
        <v>5777</v>
      </c>
      <c r="D2311" s="161" t="s">
        <v>2286</v>
      </c>
      <c r="E2311" s="161" t="s">
        <v>1980</v>
      </c>
      <c r="F2311" s="161" t="s">
        <v>5775</v>
      </c>
      <c r="G2311" s="163">
        <v>351.53</v>
      </c>
      <c r="H2311" s="163">
        <f t="shared" si="186"/>
        <v>14.97</v>
      </c>
      <c r="I2311" s="176">
        <v>14.5</v>
      </c>
      <c r="J2311" s="176">
        <v>11309.1</v>
      </c>
      <c r="K2311" s="176">
        <f t="shared" si="185"/>
        <v>265564.5</v>
      </c>
      <c r="L2311" s="163"/>
      <c r="M2311" s="161" t="s">
        <v>5737</v>
      </c>
      <c r="N2311" s="161" t="s">
        <v>1901</v>
      </c>
      <c r="O2311" s="161" t="s">
        <v>26</v>
      </c>
      <c r="P2311" s="49" t="s">
        <v>26</v>
      </c>
      <c r="Q2311" s="166" t="s">
        <v>5778</v>
      </c>
      <c r="R2311" s="151"/>
    </row>
    <row r="2312" spans="1:18">
      <c r="A2312" s="186" t="s">
        <v>62</v>
      </c>
      <c r="B2312" s="101" t="s">
        <v>593</v>
      </c>
      <c r="C2312" s="86" t="s">
        <v>5779</v>
      </c>
      <c r="D2312" s="161" t="s">
        <v>2294</v>
      </c>
      <c r="E2312" s="161" t="s">
        <v>1980</v>
      </c>
      <c r="F2312" s="161" t="s">
        <v>5775</v>
      </c>
      <c r="G2312" s="163">
        <v>376.21</v>
      </c>
      <c r="H2312" s="163">
        <f t="shared" si="186"/>
        <v>24.68</v>
      </c>
      <c r="I2312" s="176">
        <v>30.3</v>
      </c>
      <c r="J2312" s="176">
        <v>18644.6</v>
      </c>
      <c r="K2312" s="176">
        <f t="shared" si="185"/>
        <v>284209.1</v>
      </c>
      <c r="L2312" s="163"/>
      <c r="M2312" s="161" t="s">
        <v>5737</v>
      </c>
      <c r="N2312" s="161" t="s">
        <v>1901</v>
      </c>
      <c r="O2312" s="161" t="s">
        <v>26</v>
      </c>
      <c r="P2312" s="49" t="s">
        <v>26</v>
      </c>
      <c r="Q2312" s="166" t="s">
        <v>5780</v>
      </c>
      <c r="R2312" s="151"/>
    </row>
    <row r="2313" spans="1:18">
      <c r="A2313" s="186" t="s">
        <v>62</v>
      </c>
      <c r="B2313" s="101" t="s">
        <v>593</v>
      </c>
      <c r="C2313" s="86" t="s">
        <v>5781</v>
      </c>
      <c r="D2313" s="161" t="s">
        <v>2297</v>
      </c>
      <c r="E2313" s="161" t="s">
        <v>1980</v>
      </c>
      <c r="F2313" s="161" t="s">
        <v>5775</v>
      </c>
      <c r="G2313" s="163">
        <v>388.4</v>
      </c>
      <c r="H2313" s="163">
        <f t="shared" si="186"/>
        <v>12.19</v>
      </c>
      <c r="I2313" s="176">
        <v>45.1</v>
      </c>
      <c r="J2313" s="176">
        <v>9209</v>
      </c>
      <c r="K2313" s="176">
        <f t="shared" si="185"/>
        <v>293418.1</v>
      </c>
      <c r="L2313" s="163"/>
      <c r="M2313" s="161" t="s">
        <v>5737</v>
      </c>
      <c r="N2313" s="161" t="s">
        <v>1901</v>
      </c>
      <c r="O2313" s="161" t="s">
        <v>26</v>
      </c>
      <c r="P2313" s="49" t="s">
        <v>26</v>
      </c>
      <c r="Q2313" s="166" t="s">
        <v>5782</v>
      </c>
      <c r="R2313" s="151"/>
    </row>
    <row r="2314" spans="1:18">
      <c r="A2314" s="186" t="s">
        <v>62</v>
      </c>
      <c r="B2314" s="101" t="s">
        <v>593</v>
      </c>
      <c r="C2314" s="86" t="s">
        <v>5783</v>
      </c>
      <c r="D2314" s="161" t="s">
        <v>2994</v>
      </c>
      <c r="E2314" s="161" t="s">
        <v>1980</v>
      </c>
      <c r="F2314" s="161" t="s">
        <v>5775</v>
      </c>
      <c r="G2314" s="163">
        <v>403.09</v>
      </c>
      <c r="H2314" s="163">
        <f t="shared" si="186"/>
        <v>14.69</v>
      </c>
      <c r="I2314" s="176">
        <v>43.4</v>
      </c>
      <c r="J2314" s="176">
        <v>11097.6</v>
      </c>
      <c r="K2314" s="176">
        <f t="shared" si="185"/>
        <v>304515.7</v>
      </c>
      <c r="L2314" s="163"/>
      <c r="M2314" s="161" t="s">
        <v>5737</v>
      </c>
      <c r="N2314" s="161" t="s">
        <v>1901</v>
      </c>
      <c r="O2314" s="161" t="s">
        <v>26</v>
      </c>
      <c r="P2314" s="49" t="s">
        <v>26</v>
      </c>
      <c r="Q2314" s="166" t="s">
        <v>5784</v>
      </c>
      <c r="R2314" s="151"/>
    </row>
    <row r="2315" spans="1:18">
      <c r="A2315" s="186" t="s">
        <v>62</v>
      </c>
      <c r="B2315" s="101" t="s">
        <v>593</v>
      </c>
      <c r="C2315" s="86" t="s">
        <v>5785</v>
      </c>
      <c r="D2315" s="161" t="s">
        <v>5785</v>
      </c>
      <c r="E2315" s="161" t="s">
        <v>1980</v>
      </c>
      <c r="F2315" s="161" t="s">
        <v>5775</v>
      </c>
      <c r="G2315" s="163">
        <v>417.06</v>
      </c>
      <c r="H2315" s="163">
        <f t="shared" si="186"/>
        <v>13.97</v>
      </c>
      <c r="I2315" s="176">
        <v>51.2</v>
      </c>
      <c r="J2315" s="176">
        <v>10553.7</v>
      </c>
      <c r="K2315" s="176">
        <f t="shared" si="185"/>
        <v>315069.4</v>
      </c>
      <c r="L2315" s="163"/>
      <c r="M2315" s="161" t="s">
        <v>5737</v>
      </c>
      <c r="N2315" s="161" t="s">
        <v>1331</v>
      </c>
      <c r="O2315" s="161" t="s">
        <v>14</v>
      </c>
      <c r="P2315" s="49" t="s">
        <v>14</v>
      </c>
      <c r="Q2315" s="166" t="s">
        <v>5786</v>
      </c>
      <c r="R2315" s="151"/>
    </row>
    <row r="2316" spans="1:18">
      <c r="A2316" s="186" t="s">
        <v>62</v>
      </c>
      <c r="B2316" s="101" t="s">
        <v>593</v>
      </c>
      <c r="C2316" s="86" t="s">
        <v>5787</v>
      </c>
      <c r="D2316" s="161" t="s">
        <v>2999</v>
      </c>
      <c r="E2316" s="161" t="s">
        <v>1980</v>
      </c>
      <c r="F2316" s="161" t="s">
        <v>5775</v>
      </c>
      <c r="G2316" s="163">
        <v>431.31</v>
      </c>
      <c r="H2316" s="163">
        <f t="shared" si="186"/>
        <v>14.25</v>
      </c>
      <c r="I2316" s="176">
        <v>87.5</v>
      </c>
      <c r="J2316" s="176">
        <v>10765.2</v>
      </c>
      <c r="K2316" s="176">
        <f t="shared" si="185"/>
        <v>325834.6</v>
      </c>
      <c r="L2316" s="163"/>
      <c r="M2316" s="161" t="s">
        <v>5737</v>
      </c>
      <c r="N2316" s="161" t="s">
        <v>1901</v>
      </c>
      <c r="O2316" s="161" t="s">
        <v>26</v>
      </c>
      <c r="P2316" s="49" t="s">
        <v>26</v>
      </c>
      <c r="Q2316" s="166" t="s">
        <v>5788</v>
      </c>
      <c r="R2316" s="151"/>
    </row>
    <row r="2317" spans="1:18">
      <c r="A2317" s="186" t="s">
        <v>62</v>
      </c>
      <c r="B2317" s="101" t="s">
        <v>593</v>
      </c>
      <c r="C2317" s="86" t="s">
        <v>5789</v>
      </c>
      <c r="D2317" s="161" t="s">
        <v>5790</v>
      </c>
      <c r="E2317" s="161" t="s">
        <v>1980</v>
      </c>
      <c r="F2317" s="161" t="s">
        <v>5775</v>
      </c>
      <c r="G2317" s="163">
        <v>450.21</v>
      </c>
      <c r="H2317" s="163">
        <f t="shared" si="186"/>
        <v>18.9</v>
      </c>
      <c r="I2317" s="176">
        <v>162.1</v>
      </c>
      <c r="J2317" s="176">
        <v>14278.1</v>
      </c>
      <c r="K2317" s="176">
        <f t="shared" si="185"/>
        <v>340112.7</v>
      </c>
      <c r="L2317" s="163"/>
      <c r="M2317" s="161" t="s">
        <v>5737</v>
      </c>
      <c r="N2317" s="161" t="s">
        <v>1901</v>
      </c>
      <c r="O2317" s="161" t="s">
        <v>26</v>
      </c>
      <c r="P2317" s="49" t="s">
        <v>26</v>
      </c>
      <c r="Q2317" s="166" t="s">
        <v>5791</v>
      </c>
      <c r="R2317" s="151"/>
    </row>
    <row r="2318" spans="1:18">
      <c r="A2318" s="186" t="s">
        <v>62</v>
      </c>
      <c r="B2318" s="101" t="s">
        <v>593</v>
      </c>
      <c r="C2318" s="86" t="s">
        <v>5792</v>
      </c>
      <c r="D2318" s="161" t="s">
        <v>2311</v>
      </c>
      <c r="E2318" s="161" t="s">
        <v>1980</v>
      </c>
      <c r="F2318" s="161" t="s">
        <v>5775</v>
      </c>
      <c r="G2318" s="163">
        <v>471.84</v>
      </c>
      <c r="H2318" s="163">
        <f t="shared" si="186"/>
        <v>21.63</v>
      </c>
      <c r="I2318" s="176">
        <v>92.5</v>
      </c>
      <c r="J2318" s="176">
        <v>16340.5</v>
      </c>
      <c r="K2318" s="176">
        <f t="shared" si="185"/>
        <v>356453.2</v>
      </c>
      <c r="L2318" s="163"/>
      <c r="M2318" s="161" t="s">
        <v>5737</v>
      </c>
      <c r="N2318" s="161" t="s">
        <v>1901</v>
      </c>
      <c r="O2318" s="161" t="s">
        <v>26</v>
      </c>
      <c r="P2318" s="49" t="s">
        <v>26</v>
      </c>
      <c r="Q2318" s="166" t="s">
        <v>5793</v>
      </c>
      <c r="R2318" s="151"/>
    </row>
    <row r="2319" spans="1:18">
      <c r="A2319" s="186" t="s">
        <v>62</v>
      </c>
      <c r="B2319" s="101" t="s">
        <v>593</v>
      </c>
      <c r="C2319" s="86" t="s">
        <v>5794</v>
      </c>
      <c r="D2319" s="161" t="s">
        <v>5794</v>
      </c>
      <c r="E2319" s="161" t="s">
        <v>1980</v>
      </c>
      <c r="F2319" s="161" t="s">
        <v>5775</v>
      </c>
      <c r="G2319" s="163">
        <v>494.21</v>
      </c>
      <c r="H2319" s="163">
        <f t="shared" si="186"/>
        <v>22.37</v>
      </c>
      <c r="I2319" s="176">
        <v>127.3</v>
      </c>
      <c r="J2319" s="176">
        <v>16899.5</v>
      </c>
      <c r="K2319" s="176">
        <f t="shared" si="185"/>
        <v>373352.7</v>
      </c>
      <c r="L2319" s="163"/>
      <c r="M2319" s="161" t="s">
        <v>5737</v>
      </c>
      <c r="N2319" s="161" t="s">
        <v>1331</v>
      </c>
      <c r="O2319" s="161" t="s">
        <v>14</v>
      </c>
      <c r="P2319" s="49" t="s">
        <v>14</v>
      </c>
      <c r="Q2319" s="166" t="s">
        <v>5795</v>
      </c>
      <c r="R2319" s="151"/>
    </row>
    <row r="2320" spans="1:18">
      <c r="A2320" s="186" t="s">
        <v>62</v>
      </c>
      <c r="B2320" s="101" t="s">
        <v>593</v>
      </c>
      <c r="C2320" s="86" t="s">
        <v>5796</v>
      </c>
      <c r="D2320" s="161" t="s">
        <v>2314</v>
      </c>
      <c r="E2320" s="161" t="s">
        <v>1980</v>
      </c>
      <c r="F2320" s="161" t="s">
        <v>5775</v>
      </c>
      <c r="G2320" s="163">
        <v>517.62</v>
      </c>
      <c r="H2320" s="163">
        <f t="shared" si="186"/>
        <v>23.41</v>
      </c>
      <c r="I2320" s="176">
        <v>69.3</v>
      </c>
      <c r="J2320" s="176">
        <v>17685.2</v>
      </c>
      <c r="K2320" s="176">
        <f t="shared" si="185"/>
        <v>391037.9</v>
      </c>
      <c r="L2320" s="163"/>
      <c r="M2320" s="161" t="s">
        <v>5737</v>
      </c>
      <c r="N2320" s="161" t="s">
        <v>1901</v>
      </c>
      <c r="O2320" s="161" t="s">
        <v>26</v>
      </c>
      <c r="P2320" s="49" t="s">
        <v>26</v>
      </c>
      <c r="Q2320" s="166" t="s">
        <v>5797</v>
      </c>
      <c r="R2320" s="151"/>
    </row>
    <row r="2321" spans="1:18">
      <c r="A2321" s="186" t="s">
        <v>62</v>
      </c>
      <c r="B2321" s="101" t="s">
        <v>593</v>
      </c>
      <c r="C2321" s="86" t="s">
        <v>5798</v>
      </c>
      <c r="D2321" s="161" t="s">
        <v>2317</v>
      </c>
      <c r="E2321" s="161" t="s">
        <v>1980</v>
      </c>
      <c r="F2321" s="161" t="s">
        <v>5775</v>
      </c>
      <c r="G2321" s="163">
        <v>541.34</v>
      </c>
      <c r="H2321" s="163">
        <f t="shared" si="186"/>
        <v>23.72</v>
      </c>
      <c r="I2321" s="176">
        <v>14.9</v>
      </c>
      <c r="J2321" s="176">
        <v>17919.4</v>
      </c>
      <c r="K2321" s="176">
        <f t="shared" si="185"/>
        <v>408957.3</v>
      </c>
      <c r="L2321" s="163"/>
      <c r="M2321" s="161" t="s">
        <v>5737</v>
      </c>
      <c r="N2321" s="161" t="s">
        <v>1901</v>
      </c>
      <c r="O2321" s="161" t="s">
        <v>26</v>
      </c>
      <c r="P2321" s="49" t="s">
        <v>26</v>
      </c>
      <c r="Q2321" s="166" t="s">
        <v>5799</v>
      </c>
      <c r="R2321" s="151"/>
    </row>
    <row r="2322" spans="1:18">
      <c r="A2322" s="186" t="s">
        <v>62</v>
      </c>
      <c r="B2322" s="101" t="s">
        <v>593</v>
      </c>
      <c r="C2322" s="86" t="s">
        <v>5800</v>
      </c>
      <c r="D2322" s="161" t="s">
        <v>5800</v>
      </c>
      <c r="E2322" s="161" t="s">
        <v>1980</v>
      </c>
      <c r="F2322" s="161" t="s">
        <v>5775</v>
      </c>
      <c r="G2322" s="163">
        <v>556.957</v>
      </c>
      <c r="H2322" s="163">
        <f t="shared" si="186"/>
        <v>15.617</v>
      </c>
      <c r="I2322" s="176">
        <v>39.5</v>
      </c>
      <c r="J2322" s="176">
        <v>11797.9</v>
      </c>
      <c r="K2322" s="176">
        <f t="shared" si="185"/>
        <v>420755.2</v>
      </c>
      <c r="L2322" s="163"/>
      <c r="M2322" s="161" t="s">
        <v>5737</v>
      </c>
      <c r="N2322" s="161" t="s">
        <v>1331</v>
      </c>
      <c r="O2322" s="161" t="s">
        <v>14</v>
      </c>
      <c r="P2322" s="49" t="s">
        <v>14</v>
      </c>
      <c r="Q2322" s="166" t="s">
        <v>5801</v>
      </c>
      <c r="R2322" s="151"/>
    </row>
    <row r="2323" spans="1:18">
      <c r="A2323" s="186" t="s">
        <v>62</v>
      </c>
      <c r="B2323" s="101" t="s">
        <v>595</v>
      </c>
      <c r="C2323" s="135" t="s">
        <v>596</v>
      </c>
      <c r="D2323" s="161" t="s">
        <v>596</v>
      </c>
      <c r="E2323" s="161" t="s">
        <v>1980</v>
      </c>
      <c r="F2323" s="161" t="s">
        <v>2005</v>
      </c>
      <c r="G2323" s="163">
        <v>0</v>
      </c>
      <c r="H2323" s="163">
        <v>0</v>
      </c>
      <c r="I2323" s="176">
        <v>222.89</v>
      </c>
      <c r="J2323" s="176">
        <v>0</v>
      </c>
      <c r="K2323" s="176">
        <v>0</v>
      </c>
      <c r="L2323" s="163"/>
      <c r="M2323" s="161" t="s">
        <v>5737</v>
      </c>
      <c r="N2323" s="161" t="s">
        <v>1331</v>
      </c>
      <c r="O2323" s="161"/>
      <c r="P2323" s="49"/>
      <c r="Q2323" s="166" t="s">
        <v>5745</v>
      </c>
      <c r="R2323" s="151"/>
    </row>
    <row r="2324" spans="1:18">
      <c r="A2324" s="186" t="s">
        <v>62</v>
      </c>
      <c r="B2324" s="101" t="s">
        <v>595</v>
      </c>
      <c r="C2324" s="86" t="s">
        <v>5802</v>
      </c>
      <c r="D2324" s="161" t="s">
        <v>1899</v>
      </c>
      <c r="E2324" s="161" t="s">
        <v>1980</v>
      </c>
      <c r="F2324" s="161" t="s">
        <v>2005</v>
      </c>
      <c r="G2324" s="163">
        <v>15.2</v>
      </c>
      <c r="H2324" s="163">
        <v>15.2</v>
      </c>
      <c r="I2324" s="176">
        <v>281.17</v>
      </c>
      <c r="J2324" s="176">
        <v>765</v>
      </c>
      <c r="K2324" s="176">
        <v>765</v>
      </c>
      <c r="L2324" s="163"/>
      <c r="M2324" s="161" t="s">
        <v>5803</v>
      </c>
      <c r="N2324" s="161" t="s">
        <v>1901</v>
      </c>
      <c r="O2324" s="161" t="s">
        <v>26</v>
      </c>
      <c r="P2324" s="49" t="s">
        <v>26</v>
      </c>
      <c r="Q2324" s="166" t="s">
        <v>5804</v>
      </c>
      <c r="R2324" s="151"/>
    </row>
    <row r="2325" spans="1:18">
      <c r="A2325" s="186" t="s">
        <v>62</v>
      </c>
      <c r="B2325" s="101" t="s">
        <v>595</v>
      </c>
      <c r="C2325" s="86" t="s">
        <v>597</v>
      </c>
      <c r="D2325" s="161" t="s">
        <v>597</v>
      </c>
      <c r="E2325" s="161" t="s">
        <v>1980</v>
      </c>
      <c r="F2325" s="161" t="s">
        <v>2005</v>
      </c>
      <c r="G2325" s="163">
        <v>38.087</v>
      </c>
      <c r="H2325" s="163">
        <v>22.887</v>
      </c>
      <c r="I2325" s="176">
        <v>275.11</v>
      </c>
      <c r="J2325" s="176">
        <v>1151</v>
      </c>
      <c r="K2325" s="176">
        <v>1916</v>
      </c>
      <c r="L2325" s="163"/>
      <c r="M2325" s="161" t="s">
        <v>5803</v>
      </c>
      <c r="N2325" s="161" t="s">
        <v>1331</v>
      </c>
      <c r="O2325" s="161" t="s">
        <v>14</v>
      </c>
      <c r="P2325" s="49" t="s">
        <v>14</v>
      </c>
      <c r="Q2325" s="166" t="s">
        <v>5805</v>
      </c>
      <c r="R2325" s="151"/>
    </row>
    <row r="2326" spans="1:18">
      <c r="A2326" s="186" t="s">
        <v>62</v>
      </c>
      <c r="B2326" s="101" t="s">
        <v>598</v>
      </c>
      <c r="C2326" s="135" t="s">
        <v>599</v>
      </c>
      <c r="D2326" s="161" t="s">
        <v>599</v>
      </c>
      <c r="E2326" s="161" t="s">
        <v>1980</v>
      </c>
      <c r="F2326" s="161" t="s">
        <v>2005</v>
      </c>
      <c r="G2326" s="163">
        <v>0</v>
      </c>
      <c r="H2326" s="163">
        <v>0</v>
      </c>
      <c r="I2326" s="176">
        <v>366.94</v>
      </c>
      <c r="J2326" s="176">
        <v>0</v>
      </c>
      <c r="K2326" s="176">
        <v>0</v>
      </c>
      <c r="L2326" s="163"/>
      <c r="M2326" s="161" t="s">
        <v>5737</v>
      </c>
      <c r="N2326" s="161" t="s">
        <v>1331</v>
      </c>
      <c r="O2326" s="161"/>
      <c r="P2326" s="49"/>
      <c r="Q2326" s="166" t="s">
        <v>5750</v>
      </c>
      <c r="R2326" s="151"/>
    </row>
    <row r="2327" spans="1:18">
      <c r="A2327" s="186" t="s">
        <v>62</v>
      </c>
      <c r="B2327" s="101" t="s">
        <v>598</v>
      </c>
      <c r="C2327" s="86" t="s">
        <v>5806</v>
      </c>
      <c r="D2327" s="161" t="s">
        <v>5806</v>
      </c>
      <c r="E2327" s="161" t="s">
        <v>1980</v>
      </c>
      <c r="F2327" s="161" t="s">
        <v>2005</v>
      </c>
      <c r="G2327" s="163">
        <v>20.9</v>
      </c>
      <c r="H2327" s="163">
        <f>G2327-G2326</f>
        <v>20.9</v>
      </c>
      <c r="I2327" s="176">
        <v>363.52</v>
      </c>
      <c r="J2327" s="176">
        <v>4000.26</v>
      </c>
      <c r="K2327" s="176">
        <f>K2326+J2327</f>
        <v>4000.26</v>
      </c>
      <c r="L2327" s="163"/>
      <c r="M2327" s="161" t="s">
        <v>5807</v>
      </c>
      <c r="N2327" s="161" t="s">
        <v>1331</v>
      </c>
      <c r="O2327" s="161" t="s">
        <v>15</v>
      </c>
      <c r="P2327" s="49" t="s">
        <v>15</v>
      </c>
      <c r="Q2327" s="166" t="s">
        <v>5808</v>
      </c>
      <c r="R2327" s="151"/>
    </row>
    <row r="2328" spans="1:18">
      <c r="A2328" s="186" t="s">
        <v>62</v>
      </c>
      <c r="B2328" s="101" t="s">
        <v>598</v>
      </c>
      <c r="C2328" s="86" t="s">
        <v>5809</v>
      </c>
      <c r="D2328" s="161" t="s">
        <v>1899</v>
      </c>
      <c r="E2328" s="161" t="s">
        <v>1980</v>
      </c>
      <c r="F2328" s="161" t="s">
        <v>2005</v>
      </c>
      <c r="G2328" s="163">
        <v>41.593</v>
      </c>
      <c r="H2328" s="163">
        <f t="shared" ref="H2328:H2335" si="187">G2328-G2327</f>
        <v>20.693</v>
      </c>
      <c r="I2328" s="176">
        <v>217.82</v>
      </c>
      <c r="J2328" s="176">
        <v>3942.84</v>
      </c>
      <c r="K2328" s="176">
        <f>K2327+J2328</f>
        <v>7943.1</v>
      </c>
      <c r="L2328" s="163"/>
      <c r="M2328" s="161" t="s">
        <v>5807</v>
      </c>
      <c r="N2328" s="161" t="s">
        <v>1901</v>
      </c>
      <c r="O2328" s="161" t="s">
        <v>26</v>
      </c>
      <c r="P2328" s="49" t="s">
        <v>26</v>
      </c>
      <c r="Q2328" s="166" t="s">
        <v>5810</v>
      </c>
      <c r="R2328" s="151"/>
    </row>
    <row r="2329" spans="1:18">
      <c r="A2329" s="186" t="s">
        <v>62</v>
      </c>
      <c r="B2329" s="101" t="s">
        <v>598</v>
      </c>
      <c r="C2329" s="86" t="s">
        <v>5811</v>
      </c>
      <c r="D2329" s="161" t="s">
        <v>1904</v>
      </c>
      <c r="E2329" s="161" t="s">
        <v>1980</v>
      </c>
      <c r="F2329" s="161" t="s">
        <v>2005</v>
      </c>
      <c r="G2329" s="163">
        <v>52.3</v>
      </c>
      <c r="H2329" s="163">
        <f t="shared" si="187"/>
        <v>10.707</v>
      </c>
      <c r="I2329" s="176">
        <v>211.54</v>
      </c>
      <c r="J2329" s="176">
        <v>2067.12</v>
      </c>
      <c r="K2329" s="176">
        <f>K2328+J2329</f>
        <v>10010.22</v>
      </c>
      <c r="L2329" s="163"/>
      <c r="M2329" s="161" t="s">
        <v>5807</v>
      </c>
      <c r="N2329" s="161" t="s">
        <v>1901</v>
      </c>
      <c r="O2329" s="161" t="s">
        <v>26</v>
      </c>
      <c r="P2329" s="49" t="s">
        <v>26</v>
      </c>
      <c r="Q2329" s="166"/>
      <c r="R2329" s="151"/>
    </row>
    <row r="2330" ht="45" spans="1:18">
      <c r="A2330" s="186" t="s">
        <v>62</v>
      </c>
      <c r="B2330" s="101" t="s">
        <v>598</v>
      </c>
      <c r="C2330" s="86" t="s">
        <v>5812</v>
      </c>
      <c r="D2330" s="161" t="s">
        <v>5812</v>
      </c>
      <c r="E2330" s="161" t="s">
        <v>1980</v>
      </c>
      <c r="F2330" s="161" t="s">
        <v>2005</v>
      </c>
      <c r="G2330" s="163">
        <v>52.3</v>
      </c>
      <c r="H2330" s="163">
        <f t="shared" si="187"/>
        <v>0</v>
      </c>
      <c r="I2330" s="176" t="s">
        <v>147</v>
      </c>
      <c r="J2330" s="176" t="s">
        <v>147</v>
      </c>
      <c r="K2330" s="176" t="s">
        <v>147</v>
      </c>
      <c r="L2330" s="163" t="s">
        <v>5813</v>
      </c>
      <c r="M2330" s="161" t="s">
        <v>5807</v>
      </c>
      <c r="N2330" s="161" t="s">
        <v>1331</v>
      </c>
      <c r="O2330" s="161" t="s">
        <v>16</v>
      </c>
      <c r="P2330" s="49" t="s">
        <v>16</v>
      </c>
      <c r="Q2330" s="166" t="s">
        <v>5814</v>
      </c>
      <c r="R2330" s="151"/>
    </row>
    <row r="2331" spans="1:18">
      <c r="A2331" s="186" t="s">
        <v>62</v>
      </c>
      <c r="B2331" s="101" t="s">
        <v>598</v>
      </c>
      <c r="C2331" s="86" t="s">
        <v>5815</v>
      </c>
      <c r="D2331" s="161" t="s">
        <v>2847</v>
      </c>
      <c r="E2331" s="161" t="s">
        <v>1980</v>
      </c>
      <c r="F2331" s="161" t="s">
        <v>2005</v>
      </c>
      <c r="G2331" s="163">
        <v>71.8</v>
      </c>
      <c r="H2331" s="163">
        <f t="shared" si="187"/>
        <v>19.5</v>
      </c>
      <c r="I2331" s="176">
        <v>83.22</v>
      </c>
      <c r="J2331" s="176">
        <v>3732.3</v>
      </c>
      <c r="K2331" s="176">
        <f>K2329+J2331</f>
        <v>13742.52</v>
      </c>
      <c r="L2331" s="163"/>
      <c r="M2331" s="161" t="s">
        <v>5807</v>
      </c>
      <c r="N2331" s="161" t="s">
        <v>1901</v>
      </c>
      <c r="O2331" s="161" t="s">
        <v>26</v>
      </c>
      <c r="P2331" s="49" t="s">
        <v>26</v>
      </c>
      <c r="Q2331" s="166" t="s">
        <v>5816</v>
      </c>
      <c r="R2331" s="151"/>
    </row>
    <row r="2332" spans="1:18">
      <c r="A2332" s="186" t="s">
        <v>62</v>
      </c>
      <c r="B2332" s="101" t="s">
        <v>598</v>
      </c>
      <c r="C2332" s="86" t="s">
        <v>5817</v>
      </c>
      <c r="D2332" s="161" t="s">
        <v>5817</v>
      </c>
      <c r="E2332" s="161" t="s">
        <v>1980</v>
      </c>
      <c r="F2332" s="161" t="s">
        <v>2005</v>
      </c>
      <c r="G2332" s="163">
        <v>71.8</v>
      </c>
      <c r="H2332" s="163">
        <f t="shared" si="187"/>
        <v>0</v>
      </c>
      <c r="I2332" s="176" t="s">
        <v>147</v>
      </c>
      <c r="J2332" s="176" t="s">
        <v>147</v>
      </c>
      <c r="K2332" s="176" t="s">
        <v>147</v>
      </c>
      <c r="L2332" s="163" t="s">
        <v>2183</v>
      </c>
      <c r="M2332" s="161" t="s">
        <v>5807</v>
      </c>
      <c r="N2332" s="161" t="s">
        <v>1331</v>
      </c>
      <c r="O2332" s="161" t="s">
        <v>16</v>
      </c>
      <c r="P2332" s="49" t="s">
        <v>16</v>
      </c>
      <c r="Q2332" s="166" t="s">
        <v>5816</v>
      </c>
      <c r="R2332" s="151"/>
    </row>
    <row r="2333" spans="1:18">
      <c r="A2333" s="186" t="s">
        <v>62</v>
      </c>
      <c r="B2333" s="101" t="s">
        <v>598</v>
      </c>
      <c r="C2333" s="86" t="s">
        <v>5818</v>
      </c>
      <c r="D2333" s="161" t="s">
        <v>2820</v>
      </c>
      <c r="E2333" s="161" t="s">
        <v>1980</v>
      </c>
      <c r="F2333" s="161" t="s">
        <v>2005</v>
      </c>
      <c r="G2333" s="163">
        <v>89.2</v>
      </c>
      <c r="H2333" s="163">
        <f t="shared" si="187"/>
        <v>17.4</v>
      </c>
      <c r="I2333" s="176">
        <v>123.88</v>
      </c>
      <c r="J2333" s="176">
        <v>3163.668</v>
      </c>
      <c r="K2333" s="176">
        <f>K2331+J2333</f>
        <v>16906.188</v>
      </c>
      <c r="L2333" s="163"/>
      <c r="M2333" s="161" t="s">
        <v>5807</v>
      </c>
      <c r="N2333" s="161" t="s">
        <v>1901</v>
      </c>
      <c r="O2333" s="161" t="s">
        <v>26</v>
      </c>
      <c r="P2333" s="49" t="s">
        <v>26</v>
      </c>
      <c r="Q2333" s="166" t="s">
        <v>5819</v>
      </c>
      <c r="R2333" s="151"/>
    </row>
    <row r="2334" spans="1:18">
      <c r="A2334" s="186" t="s">
        <v>62</v>
      </c>
      <c r="B2334" s="101" t="s">
        <v>598</v>
      </c>
      <c r="C2334" s="86" t="s">
        <v>600</v>
      </c>
      <c r="D2334" s="161" t="s">
        <v>600</v>
      </c>
      <c r="E2334" s="161" t="s">
        <v>1980</v>
      </c>
      <c r="F2334" s="161" t="s">
        <v>2005</v>
      </c>
      <c r="G2334" s="163">
        <v>99.7</v>
      </c>
      <c r="H2334" s="163">
        <f t="shared" si="187"/>
        <v>10.5</v>
      </c>
      <c r="I2334" s="176">
        <v>38.49</v>
      </c>
      <c r="J2334" s="176">
        <v>1836.382</v>
      </c>
      <c r="K2334" s="176">
        <f>K2333+J2334</f>
        <v>18742.57</v>
      </c>
      <c r="L2334" s="163"/>
      <c r="M2334" s="161" t="s">
        <v>5807</v>
      </c>
      <c r="N2334" s="161" t="s">
        <v>1331</v>
      </c>
      <c r="O2334" s="161" t="s">
        <v>14</v>
      </c>
      <c r="P2334" s="49" t="s">
        <v>14</v>
      </c>
      <c r="Q2334" s="166" t="s">
        <v>5820</v>
      </c>
      <c r="R2334" s="151"/>
    </row>
    <row r="2335" spans="1:18">
      <c r="A2335" s="186" t="s">
        <v>62</v>
      </c>
      <c r="B2335" s="101" t="s">
        <v>598</v>
      </c>
      <c r="C2335" s="135" t="s">
        <v>5821</v>
      </c>
      <c r="D2335" s="161" t="s">
        <v>5821</v>
      </c>
      <c r="E2335" s="161" t="s">
        <v>1980</v>
      </c>
      <c r="F2335" s="161" t="s">
        <v>2005</v>
      </c>
      <c r="G2335" s="163">
        <v>100.7</v>
      </c>
      <c r="H2335" s="163">
        <f t="shared" si="187"/>
        <v>1</v>
      </c>
      <c r="I2335" s="176" t="s">
        <v>147</v>
      </c>
      <c r="J2335" s="176">
        <v>90.91</v>
      </c>
      <c r="K2335" s="176">
        <f>K2334+J2335</f>
        <v>18833.48</v>
      </c>
      <c r="L2335" s="163"/>
      <c r="M2335" s="161" t="s">
        <v>5807</v>
      </c>
      <c r="N2335" s="161" t="s">
        <v>1331</v>
      </c>
      <c r="O2335" s="161"/>
      <c r="P2335" s="49"/>
      <c r="Q2335" s="166" t="s">
        <v>5822</v>
      </c>
      <c r="R2335" s="151"/>
    </row>
    <row r="2336" spans="1:18">
      <c r="A2336" s="186" t="s">
        <v>62</v>
      </c>
      <c r="B2336" s="186" t="s">
        <v>601</v>
      </c>
      <c r="C2336" s="135" t="s">
        <v>594</v>
      </c>
      <c r="D2336" s="161" t="s">
        <v>594</v>
      </c>
      <c r="E2336" s="161" t="s">
        <v>1980</v>
      </c>
      <c r="F2336" s="161" t="s">
        <v>5775</v>
      </c>
      <c r="G2336" s="163">
        <v>0</v>
      </c>
      <c r="H2336" s="163">
        <v>0</v>
      </c>
      <c r="I2336" s="176">
        <v>9.82</v>
      </c>
      <c r="J2336" s="176">
        <v>0</v>
      </c>
      <c r="K2336" s="176">
        <v>0</v>
      </c>
      <c r="L2336" s="163"/>
      <c r="M2336" s="161" t="s">
        <v>5737</v>
      </c>
      <c r="N2336" s="161" t="s">
        <v>1331</v>
      </c>
      <c r="O2336" s="161"/>
      <c r="P2336" s="49"/>
      <c r="Q2336" s="166" t="s">
        <v>5776</v>
      </c>
      <c r="R2336" s="151"/>
    </row>
    <row r="2337" spans="1:18">
      <c r="A2337" s="186" t="s">
        <v>62</v>
      </c>
      <c r="B2337" s="186" t="s">
        <v>601</v>
      </c>
      <c r="C2337" s="86" t="s">
        <v>5823</v>
      </c>
      <c r="D2337" s="161" t="s">
        <v>1899</v>
      </c>
      <c r="E2337" s="161" t="s">
        <v>1980</v>
      </c>
      <c r="F2337" s="161" t="s">
        <v>5775</v>
      </c>
      <c r="G2337" s="171">
        <v>19.356</v>
      </c>
      <c r="H2337" s="163">
        <f t="shared" ref="H2337:H2346" si="188">G2337-G2336</f>
        <v>19.356</v>
      </c>
      <c r="I2337" s="176">
        <v>26.1</v>
      </c>
      <c r="J2337" s="176">
        <v>2356</v>
      </c>
      <c r="K2337" s="176">
        <v>2356</v>
      </c>
      <c r="L2337" s="163"/>
      <c r="M2337" s="161" t="s">
        <v>5824</v>
      </c>
      <c r="N2337" s="161" t="s">
        <v>1901</v>
      </c>
      <c r="O2337" s="161" t="s">
        <v>26</v>
      </c>
      <c r="P2337" s="49" t="s">
        <v>26</v>
      </c>
      <c r="Q2337" s="166" t="s">
        <v>5825</v>
      </c>
      <c r="R2337" s="151"/>
    </row>
    <row r="2338" spans="1:18">
      <c r="A2338" s="186" t="s">
        <v>62</v>
      </c>
      <c r="B2338" s="186" t="s">
        <v>601</v>
      </c>
      <c r="C2338" s="86" t="s">
        <v>5826</v>
      </c>
      <c r="D2338" s="161" t="s">
        <v>1904</v>
      </c>
      <c r="E2338" s="161" t="s">
        <v>1980</v>
      </c>
      <c r="F2338" s="161" t="s">
        <v>5775</v>
      </c>
      <c r="G2338" s="163">
        <v>36.896</v>
      </c>
      <c r="H2338" s="163">
        <f t="shared" si="188"/>
        <v>17.54</v>
      </c>
      <c r="I2338" s="176">
        <v>56.11</v>
      </c>
      <c r="J2338" s="176">
        <v>2135</v>
      </c>
      <c r="K2338" s="176">
        <f>K2337+J2338</f>
        <v>4491</v>
      </c>
      <c r="L2338" s="163"/>
      <c r="M2338" s="161" t="s">
        <v>5824</v>
      </c>
      <c r="N2338" s="161" t="s">
        <v>1901</v>
      </c>
      <c r="O2338" s="161" t="s">
        <v>26</v>
      </c>
      <c r="P2338" s="49" t="s">
        <v>26</v>
      </c>
      <c r="Q2338" s="166" t="s">
        <v>5827</v>
      </c>
      <c r="R2338" s="151"/>
    </row>
    <row r="2339" spans="1:18">
      <c r="A2339" s="186" t="s">
        <v>62</v>
      </c>
      <c r="B2339" s="186" t="s">
        <v>601</v>
      </c>
      <c r="C2339" s="86" t="s">
        <v>5828</v>
      </c>
      <c r="D2339" s="161" t="s">
        <v>2847</v>
      </c>
      <c r="E2339" s="161" t="s">
        <v>1980</v>
      </c>
      <c r="F2339" s="161" t="s">
        <v>5775</v>
      </c>
      <c r="G2339" s="163">
        <v>60.75</v>
      </c>
      <c r="H2339" s="163">
        <f t="shared" si="188"/>
        <v>23.854</v>
      </c>
      <c r="I2339" s="176">
        <v>53.02</v>
      </c>
      <c r="J2339" s="176">
        <v>2903</v>
      </c>
      <c r="K2339" s="176">
        <f>K2338+J2339</f>
        <v>7394</v>
      </c>
      <c r="L2339" s="163"/>
      <c r="M2339" s="161" t="s">
        <v>5824</v>
      </c>
      <c r="N2339" s="161" t="s">
        <v>1901</v>
      </c>
      <c r="O2339" s="161" t="s">
        <v>26</v>
      </c>
      <c r="P2339" s="49" t="s">
        <v>26</v>
      </c>
      <c r="Q2339" s="166" t="s">
        <v>5829</v>
      </c>
      <c r="R2339" s="151"/>
    </row>
    <row r="2340" spans="1:18">
      <c r="A2340" s="186" t="s">
        <v>62</v>
      </c>
      <c r="B2340" s="186" t="s">
        <v>601</v>
      </c>
      <c r="C2340" s="86" t="s">
        <v>5830</v>
      </c>
      <c r="D2340" s="161" t="s">
        <v>1307</v>
      </c>
      <c r="E2340" s="161" t="s">
        <v>1980</v>
      </c>
      <c r="F2340" s="161" t="s">
        <v>5775</v>
      </c>
      <c r="G2340" s="163">
        <v>81.528</v>
      </c>
      <c r="H2340" s="163">
        <f t="shared" si="188"/>
        <v>20.778</v>
      </c>
      <c r="I2340" s="176">
        <v>63.22</v>
      </c>
      <c r="J2340" s="176">
        <v>2529</v>
      </c>
      <c r="K2340" s="176">
        <f>K2339+J2340</f>
        <v>9923</v>
      </c>
      <c r="L2340" s="163"/>
      <c r="M2340" s="161" t="s">
        <v>5824</v>
      </c>
      <c r="N2340" s="161" t="s">
        <v>1299</v>
      </c>
      <c r="O2340" s="161" t="s">
        <v>25</v>
      </c>
      <c r="P2340" s="49" t="s">
        <v>25</v>
      </c>
      <c r="Q2340" s="166" t="s">
        <v>5831</v>
      </c>
      <c r="R2340" s="151"/>
    </row>
    <row r="2341" spans="1:18">
      <c r="A2341" s="186" t="s">
        <v>62</v>
      </c>
      <c r="B2341" s="186" t="s">
        <v>601</v>
      </c>
      <c r="C2341" s="86" t="s">
        <v>5832</v>
      </c>
      <c r="D2341" s="161" t="s">
        <v>2252</v>
      </c>
      <c r="E2341" s="161" t="s">
        <v>1980</v>
      </c>
      <c r="F2341" s="161" t="s">
        <v>5775</v>
      </c>
      <c r="G2341" s="163">
        <v>96.569</v>
      </c>
      <c r="H2341" s="163">
        <f t="shared" si="188"/>
        <v>15.041</v>
      </c>
      <c r="I2341" s="176">
        <v>65.1</v>
      </c>
      <c r="J2341" s="176">
        <v>1831</v>
      </c>
      <c r="K2341" s="176">
        <f>K2340+J2341</f>
        <v>11754</v>
      </c>
      <c r="L2341" s="163"/>
      <c r="M2341" s="161" t="s">
        <v>5824</v>
      </c>
      <c r="N2341" s="161" t="s">
        <v>1901</v>
      </c>
      <c r="O2341" s="161" t="s">
        <v>26</v>
      </c>
      <c r="P2341" s="49" t="s">
        <v>26</v>
      </c>
      <c r="Q2341" s="166" t="s">
        <v>5833</v>
      </c>
      <c r="R2341" s="151"/>
    </row>
    <row r="2342" spans="1:18">
      <c r="A2342" s="186" t="s">
        <v>62</v>
      </c>
      <c r="B2342" s="186" t="s">
        <v>601</v>
      </c>
      <c r="C2342" s="86" t="s">
        <v>5834</v>
      </c>
      <c r="D2342" s="161" t="s">
        <v>2258</v>
      </c>
      <c r="E2342" s="161" t="s">
        <v>1980</v>
      </c>
      <c r="F2342" s="161" t="s">
        <v>5775</v>
      </c>
      <c r="G2342" s="163">
        <v>116.266</v>
      </c>
      <c r="H2342" s="163">
        <f t="shared" si="188"/>
        <v>19.697</v>
      </c>
      <c r="I2342" s="176">
        <v>41.63</v>
      </c>
      <c r="J2342" s="176">
        <v>2397</v>
      </c>
      <c r="K2342" s="176">
        <f>K2341+J2342</f>
        <v>14151</v>
      </c>
      <c r="L2342" s="163"/>
      <c r="M2342" s="161" t="s">
        <v>5824</v>
      </c>
      <c r="N2342" s="161" t="s">
        <v>1901</v>
      </c>
      <c r="O2342" s="161" t="s">
        <v>26</v>
      </c>
      <c r="P2342" s="49" t="s">
        <v>26</v>
      </c>
      <c r="Q2342" s="166" t="s">
        <v>5835</v>
      </c>
      <c r="R2342" s="151"/>
    </row>
    <row r="2343" ht="30" spans="1:18">
      <c r="A2343" s="186" t="s">
        <v>62</v>
      </c>
      <c r="B2343" s="186" t="s">
        <v>601</v>
      </c>
      <c r="C2343" s="86" t="s">
        <v>5836</v>
      </c>
      <c r="D2343" s="186" t="s">
        <v>5836</v>
      </c>
      <c r="E2343" s="161" t="s">
        <v>1980</v>
      </c>
      <c r="F2343" s="161" t="s">
        <v>5775</v>
      </c>
      <c r="G2343" s="163">
        <v>116.266</v>
      </c>
      <c r="H2343" s="163">
        <f t="shared" si="188"/>
        <v>0</v>
      </c>
      <c r="I2343" s="176" t="s">
        <v>147</v>
      </c>
      <c r="J2343" s="176" t="s">
        <v>147</v>
      </c>
      <c r="K2343" s="176" t="s">
        <v>147</v>
      </c>
      <c r="L2343" s="163" t="s">
        <v>5837</v>
      </c>
      <c r="M2343" s="161"/>
      <c r="N2343" s="161"/>
      <c r="O2343" s="161"/>
      <c r="P2343" s="49" t="s">
        <v>14</v>
      </c>
      <c r="Q2343" s="166"/>
      <c r="R2343" s="151"/>
    </row>
    <row r="2344" spans="1:18">
      <c r="A2344" s="186" t="s">
        <v>62</v>
      </c>
      <c r="B2344" s="186" t="s">
        <v>601</v>
      </c>
      <c r="C2344" s="86" t="s">
        <v>5838</v>
      </c>
      <c r="D2344" s="161" t="s">
        <v>2261</v>
      </c>
      <c r="E2344" s="161" t="s">
        <v>1980</v>
      </c>
      <c r="F2344" s="161" t="s">
        <v>2070</v>
      </c>
      <c r="G2344" s="163">
        <v>140.341</v>
      </c>
      <c r="H2344" s="163">
        <f t="shared" si="188"/>
        <v>24.075</v>
      </c>
      <c r="I2344" s="176">
        <v>57.41</v>
      </c>
      <c r="J2344" s="176">
        <v>2837</v>
      </c>
      <c r="K2344" s="176">
        <f>K2342+J2344</f>
        <v>16988</v>
      </c>
      <c r="L2344" s="163"/>
      <c r="M2344" s="161" t="s">
        <v>5824</v>
      </c>
      <c r="N2344" s="161" t="s">
        <v>1901</v>
      </c>
      <c r="O2344" s="161" t="s">
        <v>26</v>
      </c>
      <c r="P2344" s="49" t="s">
        <v>26</v>
      </c>
      <c r="Q2344" s="166" t="s">
        <v>5839</v>
      </c>
      <c r="R2344" s="151"/>
    </row>
    <row r="2345" spans="1:18">
      <c r="A2345" s="186" t="s">
        <v>62</v>
      </c>
      <c r="B2345" s="186" t="s">
        <v>601</v>
      </c>
      <c r="C2345" s="86" t="s">
        <v>5840</v>
      </c>
      <c r="D2345" s="161" t="s">
        <v>2827</v>
      </c>
      <c r="E2345" s="161" t="s">
        <v>1980</v>
      </c>
      <c r="F2345" s="161" t="s">
        <v>2070</v>
      </c>
      <c r="G2345" s="163">
        <v>154.146</v>
      </c>
      <c r="H2345" s="163">
        <f t="shared" si="188"/>
        <v>13.805</v>
      </c>
      <c r="I2345" s="176">
        <v>66.28</v>
      </c>
      <c r="J2345" s="176">
        <v>1680</v>
      </c>
      <c r="K2345" s="176">
        <f>K2344+J2345</f>
        <v>18668</v>
      </c>
      <c r="L2345" s="163"/>
      <c r="M2345" s="161" t="s">
        <v>5824</v>
      </c>
      <c r="N2345" s="161" t="s">
        <v>1901</v>
      </c>
      <c r="O2345" s="161" t="s">
        <v>26</v>
      </c>
      <c r="P2345" s="49" t="s">
        <v>26</v>
      </c>
      <c r="Q2345" s="166" t="s">
        <v>5841</v>
      </c>
      <c r="R2345" s="151"/>
    </row>
    <row r="2346" spans="1:18">
      <c r="A2346" s="186" t="s">
        <v>62</v>
      </c>
      <c r="B2346" s="186" t="s">
        <v>601</v>
      </c>
      <c r="C2346" s="86" t="s">
        <v>602</v>
      </c>
      <c r="D2346" s="161" t="s">
        <v>602</v>
      </c>
      <c r="E2346" s="161" t="s">
        <v>1980</v>
      </c>
      <c r="F2346" s="161" t="s">
        <v>2070</v>
      </c>
      <c r="G2346" s="163">
        <v>171.484</v>
      </c>
      <c r="H2346" s="163">
        <f t="shared" si="188"/>
        <v>17.338</v>
      </c>
      <c r="I2346" s="176">
        <v>37.49</v>
      </c>
      <c r="J2346" s="176">
        <v>2110</v>
      </c>
      <c r="K2346" s="176">
        <f>K2345+J2346</f>
        <v>20778</v>
      </c>
      <c r="L2346" s="163"/>
      <c r="M2346" s="161" t="s">
        <v>5824</v>
      </c>
      <c r="N2346" s="161" t="s">
        <v>1331</v>
      </c>
      <c r="O2346" s="161" t="s">
        <v>16</v>
      </c>
      <c r="P2346" s="49" t="s">
        <v>16</v>
      </c>
      <c r="Q2346" s="166" t="s">
        <v>5842</v>
      </c>
      <c r="R2346" s="151"/>
    </row>
    <row r="2347" spans="1:18">
      <c r="A2347" s="186" t="s">
        <v>62</v>
      </c>
      <c r="B2347" s="186" t="s">
        <v>603</v>
      </c>
      <c r="C2347" s="135" t="s">
        <v>605</v>
      </c>
      <c r="D2347" s="186" t="s">
        <v>605</v>
      </c>
      <c r="E2347" s="161" t="s">
        <v>1980</v>
      </c>
      <c r="F2347" s="161"/>
      <c r="G2347" s="163">
        <v>0</v>
      </c>
      <c r="H2347" s="163">
        <v>0</v>
      </c>
      <c r="I2347" s="176"/>
      <c r="J2347" s="176"/>
      <c r="K2347" s="176"/>
      <c r="L2347" s="163"/>
      <c r="M2347" s="161"/>
      <c r="N2347" s="161"/>
      <c r="O2347" s="161"/>
      <c r="P2347" s="49"/>
      <c r="Q2347" s="166"/>
      <c r="R2347" s="151"/>
    </row>
    <row r="2348" spans="1:18">
      <c r="A2348" s="186" t="s">
        <v>62</v>
      </c>
      <c r="B2348" s="186" t="s">
        <v>603</v>
      </c>
      <c r="C2348" s="86" t="s">
        <v>1811</v>
      </c>
      <c r="D2348" s="186" t="s">
        <v>1298</v>
      </c>
      <c r="E2348" s="161" t="s">
        <v>1980</v>
      </c>
      <c r="F2348" s="161"/>
      <c r="G2348" s="163">
        <v>15.9</v>
      </c>
      <c r="H2348" s="163">
        <f>G2348-G2347</f>
        <v>15.9</v>
      </c>
      <c r="I2348" s="176"/>
      <c r="J2348" s="176"/>
      <c r="K2348" s="176"/>
      <c r="L2348" s="163"/>
      <c r="M2348" s="161"/>
      <c r="N2348" s="161"/>
      <c r="O2348" s="161"/>
      <c r="P2348" s="49" t="s">
        <v>25</v>
      </c>
      <c r="Q2348" s="166"/>
      <c r="R2348" s="151"/>
    </row>
    <row r="2349" spans="1:18">
      <c r="A2349" s="186" t="s">
        <v>62</v>
      </c>
      <c r="B2349" s="186" t="s">
        <v>603</v>
      </c>
      <c r="C2349" s="86" t="s">
        <v>1815</v>
      </c>
      <c r="D2349" s="186" t="s">
        <v>1302</v>
      </c>
      <c r="E2349" s="161" t="s">
        <v>1980</v>
      </c>
      <c r="F2349" s="161"/>
      <c r="G2349" s="163">
        <v>17.2</v>
      </c>
      <c r="H2349" s="163">
        <f>G2349-G2348</f>
        <v>1.3</v>
      </c>
      <c r="I2349" s="176"/>
      <c r="J2349" s="176"/>
      <c r="K2349" s="176"/>
      <c r="L2349" s="163"/>
      <c r="M2349" s="161"/>
      <c r="N2349" s="161"/>
      <c r="O2349" s="161"/>
      <c r="P2349" s="49" t="s">
        <v>25</v>
      </c>
      <c r="Q2349" s="166"/>
      <c r="R2349" s="151"/>
    </row>
    <row r="2350" spans="1:18">
      <c r="A2350" s="186" t="s">
        <v>62</v>
      </c>
      <c r="B2350" s="186" t="s">
        <v>603</v>
      </c>
      <c r="C2350" s="135" t="s">
        <v>604</v>
      </c>
      <c r="D2350" s="186" t="s">
        <v>604</v>
      </c>
      <c r="E2350" s="161" t="s">
        <v>1980</v>
      </c>
      <c r="F2350" s="161"/>
      <c r="G2350" s="163">
        <v>37.9</v>
      </c>
      <c r="H2350" s="163">
        <f>G2350-G2349</f>
        <v>20.7</v>
      </c>
      <c r="I2350" s="176"/>
      <c r="J2350" s="176">
        <v>18315</v>
      </c>
      <c r="K2350" s="176">
        <v>18315</v>
      </c>
      <c r="L2350" s="163"/>
      <c r="M2350" s="161"/>
      <c r="N2350" s="161"/>
      <c r="O2350" s="161"/>
      <c r="P2350" s="49"/>
      <c r="Q2350" s="166"/>
      <c r="R2350" s="151"/>
    </row>
    <row r="2351" ht="60" spans="1:18">
      <c r="A2351" s="190" t="s">
        <v>63</v>
      </c>
      <c r="B2351" s="101" t="s">
        <v>606</v>
      </c>
      <c r="C2351" s="135" t="s">
        <v>114</v>
      </c>
      <c r="D2351" s="161" t="s">
        <v>1504</v>
      </c>
      <c r="E2351" s="161" t="s">
        <v>1491</v>
      </c>
      <c r="F2351" s="161" t="s">
        <v>114</v>
      </c>
      <c r="G2351" s="171">
        <v>0</v>
      </c>
      <c r="H2351" s="163">
        <v>0</v>
      </c>
      <c r="I2351" s="173">
        <v>1246</v>
      </c>
      <c r="J2351" s="173">
        <v>0</v>
      </c>
      <c r="K2351" s="173">
        <v>0</v>
      </c>
      <c r="L2351" s="163" t="s">
        <v>2461</v>
      </c>
      <c r="M2351" s="161" t="s">
        <v>1294</v>
      </c>
      <c r="N2351" s="161"/>
      <c r="O2351" s="161"/>
      <c r="P2351" s="49"/>
      <c r="Q2351" s="166" t="s">
        <v>1503</v>
      </c>
      <c r="R2351" s="151"/>
    </row>
    <row r="2352" spans="1:18">
      <c r="A2352" s="190" t="s">
        <v>63</v>
      </c>
      <c r="B2352" s="101" t="s">
        <v>606</v>
      </c>
      <c r="C2352" s="87" t="s">
        <v>5843</v>
      </c>
      <c r="D2352" s="161" t="s">
        <v>1899</v>
      </c>
      <c r="E2352" s="161" t="s">
        <v>1491</v>
      </c>
      <c r="F2352" s="161" t="s">
        <v>5844</v>
      </c>
      <c r="G2352" s="171">
        <v>32.949</v>
      </c>
      <c r="H2352" s="163">
        <f>G2352-G2351</f>
        <v>32.949</v>
      </c>
      <c r="I2352" s="173">
        <v>1352.134223</v>
      </c>
      <c r="J2352" s="173">
        <v>24874.8248</v>
      </c>
      <c r="K2352" s="173">
        <f>K2351+J2352</f>
        <v>24874.8248</v>
      </c>
      <c r="L2352" s="174"/>
      <c r="M2352" s="161" t="s">
        <v>5845</v>
      </c>
      <c r="N2352" s="161" t="s">
        <v>1901</v>
      </c>
      <c r="O2352" s="161" t="s">
        <v>26</v>
      </c>
      <c r="P2352" s="49" t="s">
        <v>26</v>
      </c>
      <c r="Q2352" s="166" t="s">
        <v>5846</v>
      </c>
      <c r="R2352" s="151"/>
    </row>
    <row r="2353" spans="1:18">
      <c r="A2353" s="190" t="s">
        <v>63</v>
      </c>
      <c r="B2353" s="101" t="s">
        <v>606</v>
      </c>
      <c r="C2353" s="87" t="s">
        <v>5847</v>
      </c>
      <c r="D2353" s="161" t="s">
        <v>1904</v>
      </c>
      <c r="E2353" s="161" t="s">
        <v>1491</v>
      </c>
      <c r="F2353" s="161" t="s">
        <v>5844</v>
      </c>
      <c r="G2353" s="171">
        <v>63.938</v>
      </c>
      <c r="H2353" s="163">
        <f t="shared" ref="H2353:H2389" si="189">G2353-G2352</f>
        <v>30.989</v>
      </c>
      <c r="I2353" s="173">
        <v>1312.69178</v>
      </c>
      <c r="J2353" s="173">
        <v>22090.54</v>
      </c>
      <c r="K2353" s="173">
        <f t="shared" ref="K2353:K2365" si="190">K2352+J2353</f>
        <v>46965.3648</v>
      </c>
      <c r="L2353" s="174"/>
      <c r="M2353" s="161" t="s">
        <v>5845</v>
      </c>
      <c r="N2353" s="161" t="s">
        <v>1901</v>
      </c>
      <c r="O2353" s="161" t="s">
        <v>26</v>
      </c>
      <c r="P2353" s="49" t="s">
        <v>26</v>
      </c>
      <c r="Q2353" s="166" t="s">
        <v>5848</v>
      </c>
      <c r="R2353" s="151"/>
    </row>
    <row r="2354" spans="1:18">
      <c r="A2354" s="190" t="s">
        <v>63</v>
      </c>
      <c r="B2354" s="101" t="s">
        <v>606</v>
      </c>
      <c r="C2354" s="87" t="s">
        <v>5849</v>
      </c>
      <c r="D2354" s="161" t="s">
        <v>1305</v>
      </c>
      <c r="E2354" s="161" t="s">
        <v>1491</v>
      </c>
      <c r="F2354" s="161" t="s">
        <v>5844</v>
      </c>
      <c r="G2354" s="171">
        <v>96.26</v>
      </c>
      <c r="H2354" s="163">
        <f t="shared" si="189"/>
        <v>32.322</v>
      </c>
      <c r="I2354" s="173">
        <v>1351.111417</v>
      </c>
      <c r="J2354" s="173">
        <v>23948.5088</v>
      </c>
      <c r="K2354" s="173">
        <f t="shared" si="190"/>
        <v>70913.8736</v>
      </c>
      <c r="L2354" s="174" t="s">
        <v>5850</v>
      </c>
      <c r="M2354" s="161" t="s">
        <v>5845</v>
      </c>
      <c r="N2354" s="161" t="s">
        <v>1299</v>
      </c>
      <c r="O2354" s="161" t="s">
        <v>25</v>
      </c>
      <c r="P2354" s="49" t="s">
        <v>25</v>
      </c>
      <c r="Q2354" s="166" t="s">
        <v>5851</v>
      </c>
      <c r="R2354" s="151"/>
    </row>
    <row r="2355" spans="1:18">
      <c r="A2355" s="190" t="s">
        <v>63</v>
      </c>
      <c r="B2355" s="101" t="s">
        <v>606</v>
      </c>
      <c r="C2355" s="87" t="s">
        <v>5852</v>
      </c>
      <c r="D2355" s="161" t="s">
        <v>1307</v>
      </c>
      <c r="E2355" s="161" t="s">
        <v>1491</v>
      </c>
      <c r="F2355" s="161" t="s">
        <v>5844</v>
      </c>
      <c r="G2355" s="171">
        <v>117.003</v>
      </c>
      <c r="H2355" s="163">
        <f t="shared" si="189"/>
        <v>20.743</v>
      </c>
      <c r="I2355" s="173">
        <v>1386.375577</v>
      </c>
      <c r="J2355" s="173">
        <v>22137.8088</v>
      </c>
      <c r="K2355" s="173">
        <f t="shared" si="190"/>
        <v>93051.6824</v>
      </c>
      <c r="L2355" s="174"/>
      <c r="M2355" s="161" t="s">
        <v>5845</v>
      </c>
      <c r="N2355" s="161" t="s">
        <v>1299</v>
      </c>
      <c r="O2355" s="161" t="s">
        <v>25</v>
      </c>
      <c r="P2355" s="49" t="s">
        <v>25</v>
      </c>
      <c r="Q2355" s="166" t="s">
        <v>5853</v>
      </c>
      <c r="R2355" s="151"/>
    </row>
    <row r="2356" spans="1:18">
      <c r="A2356" s="190" t="s">
        <v>63</v>
      </c>
      <c r="B2356" s="101" t="s">
        <v>606</v>
      </c>
      <c r="C2356" s="87" t="s">
        <v>5854</v>
      </c>
      <c r="D2356" s="161" t="s">
        <v>2252</v>
      </c>
      <c r="E2356" s="161" t="s">
        <v>1491</v>
      </c>
      <c r="F2356" s="161" t="s">
        <v>5844</v>
      </c>
      <c r="G2356" s="171">
        <v>139.974</v>
      </c>
      <c r="H2356" s="163">
        <f t="shared" si="189"/>
        <v>22.971</v>
      </c>
      <c r="I2356" s="173">
        <v>1471.203702</v>
      </c>
      <c r="J2356" s="173">
        <v>18349.4432</v>
      </c>
      <c r="K2356" s="173">
        <f t="shared" si="190"/>
        <v>111401.1256</v>
      </c>
      <c r="L2356" s="174"/>
      <c r="M2356" s="161" t="s">
        <v>5845</v>
      </c>
      <c r="N2356" s="161" t="s">
        <v>1901</v>
      </c>
      <c r="O2356" s="161" t="s">
        <v>26</v>
      </c>
      <c r="P2356" s="49" t="s">
        <v>26</v>
      </c>
      <c r="Q2356" s="166" t="s">
        <v>5853</v>
      </c>
      <c r="R2356" s="151"/>
    </row>
    <row r="2357" spans="1:18">
      <c r="A2357" s="190" t="s">
        <v>63</v>
      </c>
      <c r="B2357" s="101" t="s">
        <v>606</v>
      </c>
      <c r="C2357" s="87" t="s">
        <v>5855</v>
      </c>
      <c r="D2357" s="161" t="s">
        <v>2258</v>
      </c>
      <c r="E2357" s="161" t="s">
        <v>1491</v>
      </c>
      <c r="F2357" s="161" t="s">
        <v>5844</v>
      </c>
      <c r="G2357" s="171">
        <v>162.804</v>
      </c>
      <c r="H2357" s="163">
        <f t="shared" si="189"/>
        <v>22.83</v>
      </c>
      <c r="I2357" s="173">
        <v>1510.324381</v>
      </c>
      <c r="J2357" s="173">
        <v>18318.9472</v>
      </c>
      <c r="K2357" s="173">
        <f t="shared" si="190"/>
        <v>129720.0728</v>
      </c>
      <c r="L2357" s="174"/>
      <c r="M2357" s="161" t="s">
        <v>5845</v>
      </c>
      <c r="N2357" s="161" t="s">
        <v>1901</v>
      </c>
      <c r="O2357" s="161" t="s">
        <v>26</v>
      </c>
      <c r="P2357" s="49" t="s">
        <v>26</v>
      </c>
      <c r="Q2357" s="166" t="s">
        <v>5856</v>
      </c>
      <c r="R2357" s="151"/>
    </row>
    <row r="2358" spans="1:18">
      <c r="A2358" s="190" t="s">
        <v>63</v>
      </c>
      <c r="B2358" s="101" t="s">
        <v>606</v>
      </c>
      <c r="C2358" s="87" t="s">
        <v>5857</v>
      </c>
      <c r="D2358" s="161" t="s">
        <v>2261</v>
      </c>
      <c r="E2358" s="161" t="s">
        <v>1491</v>
      </c>
      <c r="F2358" s="161" t="s">
        <v>5844</v>
      </c>
      <c r="G2358" s="171">
        <v>180.48</v>
      </c>
      <c r="H2358" s="163">
        <f t="shared" si="189"/>
        <v>17.676</v>
      </c>
      <c r="I2358" s="173">
        <v>1554.761492</v>
      </c>
      <c r="J2358" s="173">
        <v>14796.6592</v>
      </c>
      <c r="K2358" s="173">
        <f t="shared" si="190"/>
        <v>144516.732</v>
      </c>
      <c r="L2358" s="174"/>
      <c r="M2358" s="161" t="s">
        <v>5845</v>
      </c>
      <c r="N2358" s="161" t="s">
        <v>1901</v>
      </c>
      <c r="O2358" s="161" t="s">
        <v>26</v>
      </c>
      <c r="P2358" s="49" t="s">
        <v>26</v>
      </c>
      <c r="Q2358" s="166" t="s">
        <v>5856</v>
      </c>
      <c r="R2358" s="151"/>
    </row>
    <row r="2359" spans="1:18">
      <c r="A2359" s="190" t="s">
        <v>63</v>
      </c>
      <c r="B2359" s="101" t="s">
        <v>606</v>
      </c>
      <c r="C2359" s="87" t="s">
        <v>5858</v>
      </c>
      <c r="D2359" s="161" t="s">
        <v>2827</v>
      </c>
      <c r="E2359" s="161" t="s">
        <v>1491</v>
      </c>
      <c r="F2359" s="161" t="s">
        <v>5844</v>
      </c>
      <c r="G2359" s="171">
        <v>196.789</v>
      </c>
      <c r="H2359" s="163">
        <f t="shared" si="189"/>
        <v>16.309</v>
      </c>
      <c r="I2359" s="173">
        <v>1693.497645</v>
      </c>
      <c r="J2359" s="173">
        <v>12911.244</v>
      </c>
      <c r="K2359" s="173">
        <f t="shared" si="190"/>
        <v>157427.976</v>
      </c>
      <c r="L2359" s="174"/>
      <c r="M2359" s="161" t="s">
        <v>5845</v>
      </c>
      <c r="N2359" s="161" t="s">
        <v>1901</v>
      </c>
      <c r="O2359" s="161" t="s">
        <v>26</v>
      </c>
      <c r="P2359" s="49" t="s">
        <v>26</v>
      </c>
      <c r="Q2359" s="166" t="s">
        <v>5856</v>
      </c>
      <c r="R2359" s="151"/>
    </row>
    <row r="2360" spans="1:18">
      <c r="A2360" s="190" t="s">
        <v>63</v>
      </c>
      <c r="B2360" s="101" t="s">
        <v>606</v>
      </c>
      <c r="C2360" s="87" t="s">
        <v>627</v>
      </c>
      <c r="D2360" s="161" t="s">
        <v>627</v>
      </c>
      <c r="E2360" s="161" t="s">
        <v>1491</v>
      </c>
      <c r="F2360" s="161" t="s">
        <v>5844</v>
      </c>
      <c r="G2360" s="171">
        <v>214.24</v>
      </c>
      <c r="H2360" s="163">
        <f t="shared" si="189"/>
        <v>17.451</v>
      </c>
      <c r="I2360" s="173">
        <v>1771.186904</v>
      </c>
      <c r="J2360" s="173">
        <v>8966.5864</v>
      </c>
      <c r="K2360" s="173">
        <f t="shared" si="190"/>
        <v>166394.5624</v>
      </c>
      <c r="L2360" s="174"/>
      <c r="M2360" s="161" t="s">
        <v>5845</v>
      </c>
      <c r="N2360" s="161" t="s">
        <v>1331</v>
      </c>
      <c r="O2360" s="161" t="s">
        <v>6</v>
      </c>
      <c r="P2360" s="49" t="s">
        <v>6</v>
      </c>
      <c r="Q2360" s="166" t="s">
        <v>5856</v>
      </c>
      <c r="R2360" s="151"/>
    </row>
    <row r="2361" spans="1:18">
      <c r="A2361" s="190" t="s">
        <v>63</v>
      </c>
      <c r="B2361" s="101" t="s">
        <v>606</v>
      </c>
      <c r="C2361" s="87" t="s">
        <v>5859</v>
      </c>
      <c r="D2361" s="161" t="s">
        <v>2266</v>
      </c>
      <c r="E2361" s="161" t="s">
        <v>1491</v>
      </c>
      <c r="F2361" s="161" t="s">
        <v>5844</v>
      </c>
      <c r="G2361" s="171">
        <v>245.69</v>
      </c>
      <c r="H2361" s="163">
        <f t="shared" si="189"/>
        <v>31.45</v>
      </c>
      <c r="I2361" s="173">
        <v>1857.351549</v>
      </c>
      <c r="J2361" s="173">
        <v>20994.2088</v>
      </c>
      <c r="K2361" s="173">
        <f t="shared" si="190"/>
        <v>187388.7712</v>
      </c>
      <c r="L2361" s="174"/>
      <c r="M2361" s="161" t="s">
        <v>5845</v>
      </c>
      <c r="N2361" s="161" t="s">
        <v>1901</v>
      </c>
      <c r="O2361" s="161" t="s">
        <v>25</v>
      </c>
      <c r="P2361" s="49" t="s">
        <v>25</v>
      </c>
      <c r="Q2361" s="166" t="s">
        <v>5860</v>
      </c>
      <c r="R2361" s="151"/>
    </row>
    <row r="2362" spans="1:18">
      <c r="A2362" s="190" t="s">
        <v>63</v>
      </c>
      <c r="B2362" s="101" t="s">
        <v>606</v>
      </c>
      <c r="C2362" s="87" t="s">
        <v>5861</v>
      </c>
      <c r="D2362" s="161" t="s">
        <v>5861</v>
      </c>
      <c r="E2362" s="161" t="s">
        <v>1491</v>
      </c>
      <c r="F2362" s="161" t="s">
        <v>5844</v>
      </c>
      <c r="G2362" s="171">
        <v>245.69</v>
      </c>
      <c r="H2362" s="163">
        <f t="shared" si="189"/>
        <v>0</v>
      </c>
      <c r="I2362" s="163">
        <v>0</v>
      </c>
      <c r="J2362" s="163">
        <v>0</v>
      </c>
      <c r="K2362" s="173">
        <f t="shared" si="190"/>
        <v>187388.7712</v>
      </c>
      <c r="L2362" s="174" t="s">
        <v>5862</v>
      </c>
      <c r="M2362" s="161">
        <v>0</v>
      </c>
      <c r="N2362" s="161"/>
      <c r="O2362" s="161" t="s">
        <v>16</v>
      </c>
      <c r="P2362" s="49" t="s">
        <v>16</v>
      </c>
      <c r="Q2362" s="166"/>
      <c r="R2362" s="151"/>
    </row>
    <row r="2363" spans="1:18">
      <c r="A2363" s="190" t="s">
        <v>63</v>
      </c>
      <c r="B2363" s="101" t="s">
        <v>606</v>
      </c>
      <c r="C2363" s="87" t="s">
        <v>5863</v>
      </c>
      <c r="D2363" s="161" t="s">
        <v>2270</v>
      </c>
      <c r="E2363" s="161" t="s">
        <v>1491</v>
      </c>
      <c r="F2363" s="161" t="s">
        <v>5844</v>
      </c>
      <c r="G2363" s="171">
        <v>260.537</v>
      </c>
      <c r="H2363" s="163">
        <f t="shared" si="189"/>
        <v>14.847</v>
      </c>
      <c r="I2363" s="173">
        <v>1775.400905</v>
      </c>
      <c r="J2363" s="173">
        <v>11256.0736</v>
      </c>
      <c r="K2363" s="173">
        <f t="shared" si="190"/>
        <v>198644.8448</v>
      </c>
      <c r="L2363" s="174"/>
      <c r="M2363" s="161" t="s">
        <v>5845</v>
      </c>
      <c r="N2363" s="161" t="s">
        <v>1901</v>
      </c>
      <c r="O2363" s="161" t="s">
        <v>26</v>
      </c>
      <c r="P2363" s="49" t="s">
        <v>26</v>
      </c>
      <c r="Q2363" s="166" t="s">
        <v>5860</v>
      </c>
      <c r="R2363" s="151"/>
    </row>
    <row r="2364" spans="1:18">
      <c r="A2364" s="190" t="s">
        <v>63</v>
      </c>
      <c r="B2364" s="101" t="s">
        <v>606</v>
      </c>
      <c r="C2364" s="87" t="s">
        <v>5864</v>
      </c>
      <c r="D2364" s="161" t="s">
        <v>5864</v>
      </c>
      <c r="E2364" s="161" t="s">
        <v>1491</v>
      </c>
      <c r="F2364" s="161" t="s">
        <v>5844</v>
      </c>
      <c r="G2364" s="171">
        <v>278.99</v>
      </c>
      <c r="H2364" s="163">
        <f t="shared" si="189"/>
        <v>18.453</v>
      </c>
      <c r="I2364" s="173">
        <v>1695.962726</v>
      </c>
      <c r="J2364" s="173">
        <v>14050.2696</v>
      </c>
      <c r="K2364" s="173">
        <f t="shared" si="190"/>
        <v>212695.1144</v>
      </c>
      <c r="L2364" s="174"/>
      <c r="M2364" s="161" t="s">
        <v>5845</v>
      </c>
      <c r="N2364" s="161" t="s">
        <v>1331</v>
      </c>
      <c r="O2364" s="161" t="s">
        <v>15</v>
      </c>
      <c r="P2364" s="49" t="s">
        <v>15</v>
      </c>
      <c r="Q2364" s="166" t="s">
        <v>5860</v>
      </c>
      <c r="R2364" s="151"/>
    </row>
    <row r="2365" ht="30" spans="1:18">
      <c r="A2365" s="190" t="s">
        <v>63</v>
      </c>
      <c r="B2365" s="101" t="s">
        <v>606</v>
      </c>
      <c r="C2365" s="87" t="s">
        <v>5865</v>
      </c>
      <c r="D2365" s="161" t="s">
        <v>1338</v>
      </c>
      <c r="E2365" s="161" t="s">
        <v>1384</v>
      </c>
      <c r="F2365" s="161" t="s">
        <v>5844</v>
      </c>
      <c r="G2365" s="171">
        <v>295.42</v>
      </c>
      <c r="H2365" s="163">
        <f t="shared" si="189"/>
        <v>16.43</v>
      </c>
      <c r="I2365" s="173">
        <v>1848.120973</v>
      </c>
      <c r="J2365" s="173">
        <v>14979.6352</v>
      </c>
      <c r="K2365" s="173">
        <f t="shared" si="190"/>
        <v>227674.7496</v>
      </c>
      <c r="L2365" s="174" t="s">
        <v>5866</v>
      </c>
      <c r="M2365" s="161" t="s">
        <v>5845</v>
      </c>
      <c r="N2365" s="161" t="s">
        <v>1299</v>
      </c>
      <c r="O2365" s="161" t="s">
        <v>25</v>
      </c>
      <c r="P2365" s="49" t="s">
        <v>25</v>
      </c>
      <c r="Q2365" s="166" t="s">
        <v>5867</v>
      </c>
      <c r="R2365" s="151"/>
    </row>
    <row r="2366" spans="1:18">
      <c r="A2366" s="190" t="s">
        <v>63</v>
      </c>
      <c r="B2366" s="101" t="s">
        <v>606</v>
      </c>
      <c r="C2366" s="87" t="s">
        <v>5868</v>
      </c>
      <c r="D2366" s="161" t="s">
        <v>2835</v>
      </c>
      <c r="E2366" s="161" t="s">
        <v>1384</v>
      </c>
      <c r="F2366" s="161" t="s">
        <v>5844</v>
      </c>
      <c r="G2366" s="171">
        <v>312.347</v>
      </c>
      <c r="H2366" s="163">
        <f t="shared" si="189"/>
        <v>16.927</v>
      </c>
      <c r="I2366" s="173">
        <v>1677.060558</v>
      </c>
      <c r="J2366" s="173">
        <v>15051.3008</v>
      </c>
      <c r="K2366" s="173">
        <f t="shared" ref="K2366:K2397" si="191">K2365+J2366</f>
        <v>242726.0504</v>
      </c>
      <c r="L2366" s="174"/>
      <c r="M2366" s="161" t="s">
        <v>5845</v>
      </c>
      <c r="N2366" s="161" t="s">
        <v>1901</v>
      </c>
      <c r="O2366" s="161" t="s">
        <v>26</v>
      </c>
      <c r="P2366" s="49" t="s">
        <v>26</v>
      </c>
      <c r="Q2366" s="166" t="s">
        <v>5867</v>
      </c>
      <c r="R2366" s="151"/>
    </row>
    <row r="2367" ht="30" spans="1:18">
      <c r="A2367" s="190" t="s">
        <v>63</v>
      </c>
      <c r="B2367" s="101" t="s">
        <v>606</v>
      </c>
      <c r="C2367" s="87" t="s">
        <v>5869</v>
      </c>
      <c r="D2367" s="161" t="s">
        <v>1346</v>
      </c>
      <c r="E2367" s="161" t="s">
        <v>1384</v>
      </c>
      <c r="F2367" s="161" t="s">
        <v>5844</v>
      </c>
      <c r="G2367" s="171">
        <v>329.23</v>
      </c>
      <c r="H2367" s="163">
        <f t="shared" si="189"/>
        <v>16.883</v>
      </c>
      <c r="I2367" s="173">
        <v>1619.878254</v>
      </c>
      <c r="J2367" s="173">
        <v>13216.204</v>
      </c>
      <c r="K2367" s="173">
        <f t="shared" si="191"/>
        <v>255942.2544</v>
      </c>
      <c r="L2367" s="174" t="s">
        <v>5870</v>
      </c>
      <c r="M2367" s="161" t="s">
        <v>5845</v>
      </c>
      <c r="N2367" s="161" t="s">
        <v>1299</v>
      </c>
      <c r="O2367" s="161" t="s">
        <v>25</v>
      </c>
      <c r="P2367" s="49" t="s">
        <v>25</v>
      </c>
      <c r="Q2367" s="166" t="s">
        <v>5871</v>
      </c>
      <c r="R2367" s="151"/>
    </row>
    <row r="2368" spans="1:18">
      <c r="A2368" s="190" t="s">
        <v>63</v>
      </c>
      <c r="B2368" s="101" t="s">
        <v>606</v>
      </c>
      <c r="C2368" s="87" t="s">
        <v>5872</v>
      </c>
      <c r="D2368" s="161" t="s">
        <v>1349</v>
      </c>
      <c r="E2368" s="161" t="s">
        <v>1384</v>
      </c>
      <c r="F2368" s="161" t="s">
        <v>5873</v>
      </c>
      <c r="G2368" s="171">
        <v>352.083</v>
      </c>
      <c r="H2368" s="163">
        <f t="shared" si="189"/>
        <v>22.853</v>
      </c>
      <c r="I2368" s="173">
        <v>1587.965589</v>
      </c>
      <c r="J2368" s="173">
        <v>12568.164</v>
      </c>
      <c r="K2368" s="173">
        <f t="shared" si="191"/>
        <v>268510.4184</v>
      </c>
      <c r="L2368" s="174"/>
      <c r="M2368" s="161" t="s">
        <v>5845</v>
      </c>
      <c r="N2368" s="161" t="s">
        <v>1299</v>
      </c>
      <c r="O2368" s="161" t="s">
        <v>26</v>
      </c>
      <c r="P2368" s="49" t="s">
        <v>25</v>
      </c>
      <c r="Q2368" s="166" t="s">
        <v>5871</v>
      </c>
      <c r="R2368" s="151"/>
    </row>
    <row r="2369" spans="1:18">
      <c r="A2369" s="190" t="s">
        <v>63</v>
      </c>
      <c r="B2369" s="101" t="s">
        <v>606</v>
      </c>
      <c r="C2369" s="87" t="s">
        <v>5874</v>
      </c>
      <c r="D2369" s="161" t="s">
        <v>2286</v>
      </c>
      <c r="E2369" s="161" t="s">
        <v>1384</v>
      </c>
      <c r="F2369" s="161" t="s">
        <v>5873</v>
      </c>
      <c r="G2369" s="171">
        <v>371.646</v>
      </c>
      <c r="H2369" s="163">
        <f t="shared" si="189"/>
        <v>19.563</v>
      </c>
      <c r="I2369" s="173">
        <v>1308.15739</v>
      </c>
      <c r="J2369" s="173">
        <v>18144.3576</v>
      </c>
      <c r="K2369" s="173">
        <f t="shared" si="191"/>
        <v>286654.776</v>
      </c>
      <c r="L2369" s="174"/>
      <c r="M2369" s="161" t="s">
        <v>5845</v>
      </c>
      <c r="N2369" s="161" t="s">
        <v>1901</v>
      </c>
      <c r="O2369" s="161" t="s">
        <v>26</v>
      </c>
      <c r="P2369" s="49" t="s">
        <v>26</v>
      </c>
      <c r="Q2369" s="166" t="s">
        <v>5875</v>
      </c>
      <c r="R2369" s="151"/>
    </row>
    <row r="2370" ht="30" spans="1:18">
      <c r="A2370" s="190" t="s">
        <v>63</v>
      </c>
      <c r="B2370" s="101" t="s">
        <v>606</v>
      </c>
      <c r="C2370" s="87" t="s">
        <v>5876</v>
      </c>
      <c r="D2370" s="161" t="s">
        <v>1354</v>
      </c>
      <c r="E2370" s="161" t="s">
        <v>1384</v>
      </c>
      <c r="F2370" s="161" t="s">
        <v>5873</v>
      </c>
      <c r="G2370" s="171">
        <v>392.5</v>
      </c>
      <c r="H2370" s="163">
        <f t="shared" si="189"/>
        <v>20.854</v>
      </c>
      <c r="I2370" s="173">
        <v>1752.31892</v>
      </c>
      <c r="J2370" s="173">
        <v>12605.5216</v>
      </c>
      <c r="K2370" s="173">
        <f t="shared" si="191"/>
        <v>299260.2976</v>
      </c>
      <c r="L2370" s="174" t="s">
        <v>5877</v>
      </c>
      <c r="M2370" s="161" t="s">
        <v>5845</v>
      </c>
      <c r="N2370" s="161" t="s">
        <v>1299</v>
      </c>
      <c r="O2370" s="161" t="s">
        <v>25</v>
      </c>
      <c r="P2370" s="49" t="s">
        <v>25</v>
      </c>
      <c r="Q2370" s="166" t="s">
        <v>5875</v>
      </c>
      <c r="R2370" s="151"/>
    </row>
    <row r="2371" spans="1:18">
      <c r="A2371" s="190" t="s">
        <v>63</v>
      </c>
      <c r="B2371" s="101" t="s">
        <v>606</v>
      </c>
      <c r="C2371" s="87" t="s">
        <v>5878</v>
      </c>
      <c r="D2371" s="161" t="s">
        <v>2297</v>
      </c>
      <c r="E2371" s="161" t="s">
        <v>1384</v>
      </c>
      <c r="F2371" s="161" t="s">
        <v>5873</v>
      </c>
      <c r="G2371" s="171">
        <v>416.139</v>
      </c>
      <c r="H2371" s="163">
        <f t="shared" si="189"/>
        <v>23.639</v>
      </c>
      <c r="I2371" s="173">
        <v>1783.483044</v>
      </c>
      <c r="J2371" s="173">
        <v>21197.0072</v>
      </c>
      <c r="K2371" s="173">
        <f t="shared" si="191"/>
        <v>320457.3048</v>
      </c>
      <c r="L2371" s="174"/>
      <c r="M2371" s="161" t="s">
        <v>5845</v>
      </c>
      <c r="N2371" s="161" t="s">
        <v>1901</v>
      </c>
      <c r="O2371" s="161" t="s">
        <v>26</v>
      </c>
      <c r="P2371" s="49" t="s">
        <v>26</v>
      </c>
      <c r="Q2371" s="166" t="s">
        <v>5879</v>
      </c>
      <c r="R2371" s="151"/>
    </row>
    <row r="2372" spans="1:18">
      <c r="A2372" s="190" t="s">
        <v>63</v>
      </c>
      <c r="B2372" s="101" t="s">
        <v>606</v>
      </c>
      <c r="C2372" s="87" t="s">
        <v>5880</v>
      </c>
      <c r="D2372" s="161" t="s">
        <v>2994</v>
      </c>
      <c r="E2372" s="161" t="s">
        <v>1384</v>
      </c>
      <c r="F2372" s="161" t="s">
        <v>5873</v>
      </c>
      <c r="G2372" s="171">
        <v>437.311</v>
      </c>
      <c r="H2372" s="163">
        <f t="shared" si="189"/>
        <v>21.172</v>
      </c>
      <c r="I2372" s="173">
        <v>1740.924563</v>
      </c>
      <c r="J2372" s="173">
        <v>13194.8568</v>
      </c>
      <c r="K2372" s="173">
        <f t="shared" si="191"/>
        <v>333652.1616</v>
      </c>
      <c r="L2372" s="174"/>
      <c r="M2372" s="161" t="s">
        <v>5845</v>
      </c>
      <c r="N2372" s="161" t="s">
        <v>1901</v>
      </c>
      <c r="O2372" s="161" t="s">
        <v>26</v>
      </c>
      <c r="P2372" s="49" t="s">
        <v>26</v>
      </c>
      <c r="Q2372" s="166" t="s">
        <v>5881</v>
      </c>
      <c r="R2372" s="151"/>
    </row>
    <row r="2373" spans="1:18">
      <c r="A2373" s="190" t="s">
        <v>63</v>
      </c>
      <c r="B2373" s="101" t="s">
        <v>606</v>
      </c>
      <c r="C2373" s="87" t="s">
        <v>610</v>
      </c>
      <c r="D2373" s="161" t="s">
        <v>610</v>
      </c>
      <c r="E2373" s="161" t="s">
        <v>1384</v>
      </c>
      <c r="F2373" s="161" t="s">
        <v>5873</v>
      </c>
      <c r="G2373" s="171">
        <v>457.62</v>
      </c>
      <c r="H2373" s="163">
        <f t="shared" si="189"/>
        <v>20.309</v>
      </c>
      <c r="I2373" s="173">
        <v>1536.54386</v>
      </c>
      <c r="J2373" s="173">
        <v>15252.5744</v>
      </c>
      <c r="K2373" s="173">
        <f t="shared" si="191"/>
        <v>348904.736</v>
      </c>
      <c r="L2373" s="174"/>
      <c r="M2373" s="161" t="s">
        <v>5845</v>
      </c>
      <c r="N2373" s="161" t="s">
        <v>1331</v>
      </c>
      <c r="O2373" s="161" t="s">
        <v>6</v>
      </c>
      <c r="P2373" s="49" t="s">
        <v>6</v>
      </c>
      <c r="Q2373" s="166" t="s">
        <v>5881</v>
      </c>
      <c r="R2373" s="151"/>
    </row>
    <row r="2374" spans="1:18">
      <c r="A2374" s="190" t="s">
        <v>63</v>
      </c>
      <c r="B2374" s="101" t="s">
        <v>606</v>
      </c>
      <c r="C2374" s="87" t="s">
        <v>5882</v>
      </c>
      <c r="D2374" s="161" t="s">
        <v>1361</v>
      </c>
      <c r="E2374" s="161" t="s">
        <v>1384</v>
      </c>
      <c r="F2374" s="161" t="s">
        <v>5873</v>
      </c>
      <c r="G2374" s="171">
        <v>481.52</v>
      </c>
      <c r="H2374" s="163">
        <f t="shared" si="189"/>
        <v>23.9</v>
      </c>
      <c r="I2374" s="173">
        <v>1614.798694</v>
      </c>
      <c r="J2374" s="173">
        <v>17998.7392</v>
      </c>
      <c r="K2374" s="173">
        <f t="shared" si="191"/>
        <v>366903.4752</v>
      </c>
      <c r="L2374" s="174" t="s">
        <v>5883</v>
      </c>
      <c r="M2374" s="161" t="s">
        <v>5845</v>
      </c>
      <c r="N2374" s="161" t="s">
        <v>1299</v>
      </c>
      <c r="O2374" s="161" t="s">
        <v>25</v>
      </c>
      <c r="P2374" s="49" t="s">
        <v>25</v>
      </c>
      <c r="Q2374" s="166" t="s">
        <v>5884</v>
      </c>
      <c r="R2374" s="151"/>
    </row>
    <row r="2375" ht="30" spans="1:18">
      <c r="A2375" s="190" t="s">
        <v>63</v>
      </c>
      <c r="B2375" s="101" t="s">
        <v>606</v>
      </c>
      <c r="C2375" s="87" t="s">
        <v>5885</v>
      </c>
      <c r="D2375" s="161" t="s">
        <v>1363</v>
      </c>
      <c r="E2375" s="161" t="s">
        <v>1384</v>
      </c>
      <c r="F2375" s="161" t="s">
        <v>5886</v>
      </c>
      <c r="G2375" s="171">
        <v>502.87</v>
      </c>
      <c r="H2375" s="163">
        <f t="shared" si="189"/>
        <v>21.35</v>
      </c>
      <c r="I2375" s="173">
        <v>1733.208549</v>
      </c>
      <c r="J2375" s="173">
        <v>16470.1272</v>
      </c>
      <c r="K2375" s="173">
        <f t="shared" si="191"/>
        <v>383373.6024</v>
      </c>
      <c r="L2375" s="174" t="s">
        <v>5887</v>
      </c>
      <c r="M2375" s="161" t="s">
        <v>5845</v>
      </c>
      <c r="N2375" s="161" t="s">
        <v>1299</v>
      </c>
      <c r="O2375" s="161" t="s">
        <v>25</v>
      </c>
      <c r="P2375" s="49" t="s">
        <v>25</v>
      </c>
      <c r="Q2375" s="166" t="s">
        <v>5888</v>
      </c>
      <c r="R2375" s="151"/>
    </row>
    <row r="2376" spans="1:18">
      <c r="A2376" s="190" t="s">
        <v>63</v>
      </c>
      <c r="B2376" s="101" t="s">
        <v>606</v>
      </c>
      <c r="C2376" s="87" t="s">
        <v>5889</v>
      </c>
      <c r="D2376" s="161" t="s">
        <v>2314</v>
      </c>
      <c r="E2376" s="161" t="s">
        <v>1384</v>
      </c>
      <c r="F2376" s="161" t="s">
        <v>5886</v>
      </c>
      <c r="G2376" s="171">
        <v>526.852</v>
      </c>
      <c r="H2376" s="163">
        <f t="shared" si="189"/>
        <v>23.982</v>
      </c>
      <c r="I2376" s="173">
        <v>1371.514592</v>
      </c>
      <c r="J2376" s="173">
        <v>18234.3208</v>
      </c>
      <c r="K2376" s="173">
        <f t="shared" si="191"/>
        <v>401607.9232</v>
      </c>
      <c r="L2376" s="174"/>
      <c r="M2376" s="161" t="s">
        <v>5845</v>
      </c>
      <c r="N2376" s="161" t="s">
        <v>1901</v>
      </c>
      <c r="O2376" s="161" t="s">
        <v>26</v>
      </c>
      <c r="P2376" s="49" t="s">
        <v>26</v>
      </c>
      <c r="Q2376" s="166" t="s">
        <v>5890</v>
      </c>
      <c r="R2376" s="151"/>
    </row>
    <row r="2377" spans="1:18">
      <c r="A2377" s="190" t="s">
        <v>63</v>
      </c>
      <c r="B2377" s="101" t="s">
        <v>606</v>
      </c>
      <c r="C2377" s="87" t="s">
        <v>5891</v>
      </c>
      <c r="D2377" s="161" t="s">
        <v>1367</v>
      </c>
      <c r="E2377" s="161" t="s">
        <v>1384</v>
      </c>
      <c r="F2377" s="161" t="s">
        <v>5886</v>
      </c>
      <c r="G2377" s="171">
        <v>548.12</v>
      </c>
      <c r="H2377" s="163">
        <f t="shared" si="189"/>
        <v>21.268</v>
      </c>
      <c r="I2377" s="173">
        <v>1418.138031</v>
      </c>
      <c r="J2377" s="173">
        <v>16242.932</v>
      </c>
      <c r="K2377" s="173">
        <f t="shared" si="191"/>
        <v>417850.8552</v>
      </c>
      <c r="L2377" s="174" t="s">
        <v>5892</v>
      </c>
      <c r="M2377" s="161" t="s">
        <v>5845</v>
      </c>
      <c r="N2377" s="161" t="s">
        <v>1299</v>
      </c>
      <c r="O2377" s="161" t="s">
        <v>25</v>
      </c>
      <c r="P2377" s="49" t="s">
        <v>25</v>
      </c>
      <c r="Q2377" s="166" t="s">
        <v>5890</v>
      </c>
      <c r="R2377" s="151"/>
    </row>
    <row r="2378" spans="1:18">
      <c r="A2378" s="190" t="s">
        <v>63</v>
      </c>
      <c r="B2378" s="101" t="s">
        <v>606</v>
      </c>
      <c r="C2378" s="87" t="s">
        <v>5893</v>
      </c>
      <c r="D2378" s="161" t="s">
        <v>1370</v>
      </c>
      <c r="E2378" s="161" t="s">
        <v>1384</v>
      </c>
      <c r="F2378" s="161" t="s">
        <v>5886</v>
      </c>
      <c r="G2378" s="171">
        <v>567.927</v>
      </c>
      <c r="H2378" s="163">
        <f t="shared" si="189"/>
        <v>19.807</v>
      </c>
      <c r="I2378" s="173">
        <v>1146.360742</v>
      </c>
      <c r="J2378" s="173">
        <v>15261.7232</v>
      </c>
      <c r="K2378" s="173">
        <f t="shared" si="191"/>
        <v>433112.5784</v>
      </c>
      <c r="L2378" s="174"/>
      <c r="M2378" s="161" t="s">
        <v>5845</v>
      </c>
      <c r="N2378" s="161" t="s">
        <v>1299</v>
      </c>
      <c r="O2378" s="161" t="s">
        <v>25</v>
      </c>
      <c r="P2378" s="49" t="s">
        <v>25</v>
      </c>
      <c r="Q2378" s="166" t="s">
        <v>5890</v>
      </c>
      <c r="R2378" s="151"/>
    </row>
    <row r="2379" spans="1:18">
      <c r="A2379" s="190" t="s">
        <v>63</v>
      </c>
      <c r="B2379" s="101" t="s">
        <v>606</v>
      </c>
      <c r="C2379" s="87" t="s">
        <v>5894</v>
      </c>
      <c r="D2379" s="161" t="s">
        <v>2323</v>
      </c>
      <c r="E2379" s="161" t="s">
        <v>1384</v>
      </c>
      <c r="F2379" s="161" t="s">
        <v>5886</v>
      </c>
      <c r="G2379" s="171">
        <v>586.735</v>
      </c>
      <c r="H2379" s="163">
        <f t="shared" si="189"/>
        <v>18.808</v>
      </c>
      <c r="I2379" s="173">
        <v>1061.298689</v>
      </c>
      <c r="J2379" s="173">
        <v>14234.7704</v>
      </c>
      <c r="K2379" s="173">
        <f t="shared" si="191"/>
        <v>447347.3488</v>
      </c>
      <c r="L2379" s="174"/>
      <c r="M2379" s="161" t="s">
        <v>5845</v>
      </c>
      <c r="N2379" s="161" t="s">
        <v>1901</v>
      </c>
      <c r="O2379" s="161" t="s">
        <v>26</v>
      </c>
      <c r="P2379" s="49" t="s">
        <v>26</v>
      </c>
      <c r="Q2379" s="166" t="s">
        <v>5895</v>
      </c>
      <c r="R2379" s="151"/>
    </row>
    <row r="2380" spans="1:18">
      <c r="A2380" s="190" t="s">
        <v>63</v>
      </c>
      <c r="B2380" s="101" t="s">
        <v>606</v>
      </c>
      <c r="C2380" s="87" t="s">
        <v>613</v>
      </c>
      <c r="D2380" s="161" t="s">
        <v>613</v>
      </c>
      <c r="E2380" s="161" t="s">
        <v>1384</v>
      </c>
      <c r="F2380" s="161" t="s">
        <v>5896</v>
      </c>
      <c r="G2380" s="171">
        <v>600.12</v>
      </c>
      <c r="H2380" s="163">
        <f t="shared" si="189"/>
        <v>13.385</v>
      </c>
      <c r="I2380" s="173">
        <v>1177.666478</v>
      </c>
      <c r="J2380" s="173">
        <v>10209.2984</v>
      </c>
      <c r="K2380" s="173">
        <f t="shared" si="191"/>
        <v>457556.6472</v>
      </c>
      <c r="L2380" s="174"/>
      <c r="M2380" s="161" t="s">
        <v>5845</v>
      </c>
      <c r="N2380" s="161" t="s">
        <v>1331</v>
      </c>
      <c r="O2380" s="161" t="s">
        <v>14</v>
      </c>
      <c r="P2380" s="49" t="s">
        <v>14</v>
      </c>
      <c r="Q2380" s="166" t="s">
        <v>5895</v>
      </c>
      <c r="R2380" s="151"/>
    </row>
    <row r="2381" spans="1:18">
      <c r="A2381" s="190" t="s">
        <v>63</v>
      </c>
      <c r="B2381" s="101" t="s">
        <v>606</v>
      </c>
      <c r="C2381" s="87" t="s">
        <v>5897</v>
      </c>
      <c r="D2381" s="161" t="s">
        <v>2326</v>
      </c>
      <c r="E2381" s="161" t="s">
        <v>1384</v>
      </c>
      <c r="F2381" s="161" t="s">
        <v>5896</v>
      </c>
      <c r="G2381" s="171">
        <v>611.177</v>
      </c>
      <c r="H2381" s="163">
        <f t="shared" si="189"/>
        <v>11.057</v>
      </c>
      <c r="I2381" s="173">
        <v>1012.385301</v>
      </c>
      <c r="J2381" s="173">
        <v>8309.3976</v>
      </c>
      <c r="K2381" s="173">
        <f t="shared" si="191"/>
        <v>465866.0448</v>
      </c>
      <c r="L2381" s="174"/>
      <c r="M2381" s="161" t="s">
        <v>5845</v>
      </c>
      <c r="N2381" s="161" t="s">
        <v>1901</v>
      </c>
      <c r="O2381" s="161" t="s">
        <v>26</v>
      </c>
      <c r="P2381" s="49" t="s">
        <v>26</v>
      </c>
      <c r="Q2381" s="166" t="s">
        <v>5895</v>
      </c>
      <c r="R2381" s="151"/>
    </row>
    <row r="2382" spans="1:18">
      <c r="A2382" s="190" t="s">
        <v>63</v>
      </c>
      <c r="B2382" s="101" t="s">
        <v>606</v>
      </c>
      <c r="C2382" s="87" t="s">
        <v>5898</v>
      </c>
      <c r="D2382" s="161" t="s">
        <v>2332</v>
      </c>
      <c r="E2382" s="161" t="s">
        <v>1384</v>
      </c>
      <c r="F2382" s="161" t="s">
        <v>5896</v>
      </c>
      <c r="G2382" s="171">
        <v>630.609</v>
      </c>
      <c r="H2382" s="163">
        <f t="shared" si="189"/>
        <v>19.432</v>
      </c>
      <c r="I2382" s="173">
        <v>756.357191</v>
      </c>
      <c r="J2382" s="173">
        <v>14748.628</v>
      </c>
      <c r="K2382" s="173">
        <f t="shared" si="191"/>
        <v>480614.6728</v>
      </c>
      <c r="L2382" s="174"/>
      <c r="M2382" s="161" t="s">
        <v>5845</v>
      </c>
      <c r="N2382" s="161" t="s">
        <v>1901</v>
      </c>
      <c r="O2382" s="161" t="s">
        <v>26</v>
      </c>
      <c r="P2382" s="49" t="s">
        <v>26</v>
      </c>
      <c r="Q2382" s="166" t="s">
        <v>5895</v>
      </c>
      <c r="R2382" s="151"/>
    </row>
    <row r="2383" spans="1:18">
      <c r="A2383" s="190" t="s">
        <v>63</v>
      </c>
      <c r="B2383" s="101" t="s">
        <v>606</v>
      </c>
      <c r="C2383" s="87" t="s">
        <v>5899</v>
      </c>
      <c r="D2383" s="161" t="s">
        <v>1378</v>
      </c>
      <c r="E2383" s="161" t="s">
        <v>1384</v>
      </c>
      <c r="F2383" s="161" t="s">
        <v>5896</v>
      </c>
      <c r="G2383" s="171">
        <v>651.272</v>
      </c>
      <c r="H2383" s="163">
        <f t="shared" si="189"/>
        <v>20.663</v>
      </c>
      <c r="I2383" s="173">
        <v>828.172054</v>
      </c>
      <c r="J2383" s="173">
        <v>13438.0624</v>
      </c>
      <c r="K2383" s="173">
        <f t="shared" si="191"/>
        <v>494052.7352</v>
      </c>
      <c r="L2383" s="174"/>
      <c r="M2383" s="161" t="s">
        <v>5845</v>
      </c>
      <c r="N2383" s="161" t="s">
        <v>1299</v>
      </c>
      <c r="O2383" s="161" t="s">
        <v>25</v>
      </c>
      <c r="P2383" s="49" t="s">
        <v>25</v>
      </c>
      <c r="Q2383" s="166" t="s">
        <v>5895</v>
      </c>
      <c r="R2383" s="151"/>
    </row>
    <row r="2384" ht="30" spans="1:18">
      <c r="A2384" s="190" t="s">
        <v>63</v>
      </c>
      <c r="B2384" s="101" t="s">
        <v>606</v>
      </c>
      <c r="C2384" s="87" t="s">
        <v>5900</v>
      </c>
      <c r="D2384" s="161" t="s">
        <v>1380</v>
      </c>
      <c r="E2384" s="161" t="s">
        <v>4952</v>
      </c>
      <c r="F2384" s="161" t="s">
        <v>5901</v>
      </c>
      <c r="G2384" s="171">
        <v>673.56</v>
      </c>
      <c r="H2384" s="163">
        <f t="shared" si="189"/>
        <v>22.2879999999999</v>
      </c>
      <c r="I2384" s="173">
        <v>594.050694</v>
      </c>
      <c r="J2384" s="173">
        <v>16782</v>
      </c>
      <c r="K2384" s="173">
        <f t="shared" si="191"/>
        <v>510834.7352</v>
      </c>
      <c r="L2384" s="174" t="s">
        <v>5902</v>
      </c>
      <c r="M2384" s="161" t="s">
        <v>5845</v>
      </c>
      <c r="N2384" s="161" t="s">
        <v>1299</v>
      </c>
      <c r="O2384" s="161" t="s">
        <v>25</v>
      </c>
      <c r="P2384" s="49" t="s">
        <v>25</v>
      </c>
      <c r="Q2384" s="166" t="s">
        <v>5903</v>
      </c>
      <c r="R2384" s="151"/>
    </row>
    <row r="2385" spans="1:18">
      <c r="A2385" s="190" t="s">
        <v>63</v>
      </c>
      <c r="B2385" s="101" t="s">
        <v>606</v>
      </c>
      <c r="C2385" s="87" t="s">
        <v>5904</v>
      </c>
      <c r="D2385" s="161" t="s">
        <v>1389</v>
      </c>
      <c r="E2385" s="161" t="s">
        <v>4952</v>
      </c>
      <c r="F2385" s="161" t="s">
        <v>5901</v>
      </c>
      <c r="G2385" s="171">
        <v>687.549</v>
      </c>
      <c r="H2385" s="163">
        <f t="shared" si="189"/>
        <v>13.989</v>
      </c>
      <c r="I2385" s="173">
        <v>832.703675</v>
      </c>
      <c r="J2385" s="173">
        <v>16264</v>
      </c>
      <c r="K2385" s="173">
        <f t="shared" si="191"/>
        <v>527098.7352</v>
      </c>
      <c r="L2385" s="174"/>
      <c r="M2385" s="161" t="s">
        <v>5845</v>
      </c>
      <c r="N2385" s="161" t="s">
        <v>1299</v>
      </c>
      <c r="O2385" s="161" t="s">
        <v>25</v>
      </c>
      <c r="P2385" s="49" t="s">
        <v>25</v>
      </c>
      <c r="Q2385" s="166" t="s">
        <v>5905</v>
      </c>
      <c r="R2385" s="151"/>
    </row>
    <row r="2386" spans="1:18">
      <c r="A2386" s="190" t="s">
        <v>63</v>
      </c>
      <c r="B2386" s="101" t="s">
        <v>606</v>
      </c>
      <c r="C2386" s="87" t="s">
        <v>5906</v>
      </c>
      <c r="D2386" s="161" t="s">
        <v>1391</v>
      </c>
      <c r="E2386" s="161" t="s">
        <v>4952</v>
      </c>
      <c r="F2386" s="161" t="s">
        <v>5901</v>
      </c>
      <c r="G2386" s="171">
        <v>708.357</v>
      </c>
      <c r="H2386" s="163">
        <f t="shared" si="189"/>
        <v>20.808</v>
      </c>
      <c r="I2386" s="173">
        <v>977.92284</v>
      </c>
      <c r="J2386" s="173">
        <v>15650.17264522</v>
      </c>
      <c r="K2386" s="173">
        <f t="shared" si="191"/>
        <v>542748.90784522</v>
      </c>
      <c r="L2386" s="174"/>
      <c r="M2386" s="161" t="s">
        <v>5845</v>
      </c>
      <c r="N2386" s="161" t="s">
        <v>1299</v>
      </c>
      <c r="O2386" s="161" t="s">
        <v>25</v>
      </c>
      <c r="P2386" s="49" t="s">
        <v>25</v>
      </c>
      <c r="Q2386" s="166" t="s">
        <v>5905</v>
      </c>
      <c r="R2386" s="151"/>
    </row>
    <row r="2387" spans="1:18">
      <c r="A2387" s="190" t="s">
        <v>63</v>
      </c>
      <c r="B2387" s="101" t="s">
        <v>606</v>
      </c>
      <c r="C2387" s="87" t="s">
        <v>5907</v>
      </c>
      <c r="D2387" s="161" t="s">
        <v>2351</v>
      </c>
      <c r="E2387" s="161" t="s">
        <v>4952</v>
      </c>
      <c r="F2387" s="161" t="s">
        <v>5901</v>
      </c>
      <c r="G2387" s="171">
        <v>722.19</v>
      </c>
      <c r="H2387" s="163">
        <f t="shared" si="189"/>
        <v>13.8330000000001</v>
      </c>
      <c r="I2387" s="173">
        <v>578.189374</v>
      </c>
      <c r="J2387" s="173">
        <v>10317.1808923399</v>
      </c>
      <c r="K2387" s="173">
        <f t="shared" si="191"/>
        <v>553066.08873756</v>
      </c>
      <c r="L2387" s="174"/>
      <c r="M2387" s="161" t="s">
        <v>5845</v>
      </c>
      <c r="N2387" s="161" t="s">
        <v>1901</v>
      </c>
      <c r="O2387" s="161" t="s">
        <v>26</v>
      </c>
      <c r="P2387" s="49" t="s">
        <v>26</v>
      </c>
      <c r="Q2387" s="166" t="s">
        <v>5908</v>
      </c>
      <c r="R2387" s="151"/>
    </row>
    <row r="2388" spans="1:18">
      <c r="A2388" s="190" t="s">
        <v>63</v>
      </c>
      <c r="B2388" s="101" t="s">
        <v>606</v>
      </c>
      <c r="C2388" s="87" t="s">
        <v>5909</v>
      </c>
      <c r="D2388" s="161" t="s">
        <v>5909</v>
      </c>
      <c r="E2388" s="161" t="s">
        <v>4952</v>
      </c>
      <c r="F2388" s="161" t="s">
        <v>5901</v>
      </c>
      <c r="G2388" s="171">
        <v>730.65</v>
      </c>
      <c r="H2388" s="163">
        <f t="shared" si="189"/>
        <v>8.45999999999992</v>
      </c>
      <c r="I2388" s="173">
        <v>537.984851</v>
      </c>
      <c r="J2388" s="173">
        <v>6616.78769777999</v>
      </c>
      <c r="K2388" s="173">
        <f t="shared" si="191"/>
        <v>559682.87643534</v>
      </c>
      <c r="L2388" s="174"/>
      <c r="M2388" s="161" t="s">
        <v>5845</v>
      </c>
      <c r="N2388" s="161" t="s">
        <v>1331</v>
      </c>
      <c r="O2388" s="161" t="s">
        <v>6</v>
      </c>
      <c r="P2388" s="49" t="s">
        <v>6</v>
      </c>
      <c r="Q2388" s="166" t="s">
        <v>5908</v>
      </c>
      <c r="R2388" s="151"/>
    </row>
    <row r="2389" spans="1:18">
      <c r="A2389" s="190" t="s">
        <v>63</v>
      </c>
      <c r="B2389" s="101" t="s">
        <v>606</v>
      </c>
      <c r="C2389" s="87" t="s">
        <v>5910</v>
      </c>
      <c r="D2389" s="161" t="s">
        <v>2354</v>
      </c>
      <c r="E2389" s="161" t="s">
        <v>4952</v>
      </c>
      <c r="F2389" s="161" t="s">
        <v>5901</v>
      </c>
      <c r="G2389" s="171">
        <v>736.627</v>
      </c>
      <c r="H2389" s="163">
        <f t="shared" si="189"/>
        <v>5.97699999999998</v>
      </c>
      <c r="I2389" s="173">
        <v>497.416231</v>
      </c>
      <c r="J2389" s="173">
        <v>3945.82342384009</v>
      </c>
      <c r="K2389" s="173">
        <f t="shared" si="191"/>
        <v>563628.69985918</v>
      </c>
      <c r="L2389" s="174" t="s">
        <v>5911</v>
      </c>
      <c r="M2389" s="161" t="s">
        <v>5845</v>
      </c>
      <c r="N2389" s="161" t="s">
        <v>1901</v>
      </c>
      <c r="O2389" s="161" t="s">
        <v>26</v>
      </c>
      <c r="P2389" s="49" t="s">
        <v>26</v>
      </c>
      <c r="Q2389" s="166" t="s">
        <v>5908</v>
      </c>
      <c r="R2389" s="151"/>
    </row>
    <row r="2390" spans="1:18">
      <c r="A2390" s="190" t="s">
        <v>63</v>
      </c>
      <c r="B2390" s="101" t="s">
        <v>606</v>
      </c>
      <c r="C2390" s="87" t="s">
        <v>5912</v>
      </c>
      <c r="D2390" s="161" t="s">
        <v>2356</v>
      </c>
      <c r="E2390" s="161" t="s">
        <v>4952</v>
      </c>
      <c r="F2390" s="161" t="s">
        <v>5901</v>
      </c>
      <c r="G2390" s="171">
        <v>759.671</v>
      </c>
      <c r="H2390" s="163">
        <f t="shared" ref="H2390:H2421" si="192">G2390-G2389</f>
        <v>23.0440000000001</v>
      </c>
      <c r="I2390" s="173">
        <v>983.271676</v>
      </c>
      <c r="J2390" s="173">
        <v>17446.21409408</v>
      </c>
      <c r="K2390" s="173">
        <f t="shared" si="191"/>
        <v>581074.91395326</v>
      </c>
      <c r="L2390" s="174"/>
      <c r="M2390" s="161" t="s">
        <v>5845</v>
      </c>
      <c r="N2390" s="161" t="s">
        <v>1901</v>
      </c>
      <c r="O2390" s="161" t="s">
        <v>26</v>
      </c>
      <c r="P2390" s="49" t="s">
        <v>26</v>
      </c>
      <c r="Q2390" s="166" t="s">
        <v>5913</v>
      </c>
      <c r="R2390" s="151"/>
    </row>
    <row r="2391" spans="1:18">
      <c r="A2391" s="190" t="s">
        <v>63</v>
      </c>
      <c r="B2391" s="101" t="s">
        <v>606</v>
      </c>
      <c r="C2391" s="87" t="s">
        <v>5914</v>
      </c>
      <c r="D2391" s="161" t="s">
        <v>3037</v>
      </c>
      <c r="E2391" s="161" t="s">
        <v>4952</v>
      </c>
      <c r="F2391" s="161" t="s">
        <v>5901</v>
      </c>
      <c r="G2391" s="171">
        <v>780.156</v>
      </c>
      <c r="H2391" s="163">
        <f t="shared" si="192"/>
        <v>20.4849999999999</v>
      </c>
      <c r="I2391" s="173">
        <v>913.027</v>
      </c>
      <c r="J2391" s="173">
        <v>16393.96299996</v>
      </c>
      <c r="K2391" s="173">
        <f t="shared" si="191"/>
        <v>597468.87695322</v>
      </c>
      <c r="L2391" s="174"/>
      <c r="M2391" s="161" t="s">
        <v>5845</v>
      </c>
      <c r="N2391" s="161" t="s">
        <v>1901</v>
      </c>
      <c r="O2391" s="161" t="s">
        <v>26</v>
      </c>
      <c r="P2391" s="49" t="s">
        <v>26</v>
      </c>
      <c r="Q2391" s="166" t="s">
        <v>5913</v>
      </c>
      <c r="R2391" s="151"/>
    </row>
    <row r="2392" spans="1:18">
      <c r="A2392" s="190" t="s">
        <v>63</v>
      </c>
      <c r="B2392" s="101" t="s">
        <v>606</v>
      </c>
      <c r="C2392" s="87" t="s">
        <v>5915</v>
      </c>
      <c r="D2392" s="161" t="s">
        <v>2360</v>
      </c>
      <c r="E2392" s="161" t="s">
        <v>4952</v>
      </c>
      <c r="F2392" s="161" t="s">
        <v>5901</v>
      </c>
      <c r="G2392" s="171">
        <v>803.508</v>
      </c>
      <c r="H2392" s="163">
        <f t="shared" si="192"/>
        <v>23.3520000000001</v>
      </c>
      <c r="I2392" s="173">
        <v>882.566294</v>
      </c>
      <c r="J2392" s="173">
        <v>17949.8774546999</v>
      </c>
      <c r="K2392" s="173">
        <f t="shared" si="191"/>
        <v>615418.75440792</v>
      </c>
      <c r="L2392" s="174"/>
      <c r="M2392" s="161" t="s">
        <v>5845</v>
      </c>
      <c r="N2392" s="161" t="s">
        <v>1901</v>
      </c>
      <c r="O2392" s="161" t="s">
        <v>26</v>
      </c>
      <c r="P2392" s="49" t="s">
        <v>26</v>
      </c>
      <c r="Q2392" s="166" t="s">
        <v>5916</v>
      </c>
      <c r="R2392" s="151"/>
    </row>
    <row r="2393" ht="30" spans="1:18">
      <c r="A2393" s="190" t="s">
        <v>63</v>
      </c>
      <c r="B2393" s="101" t="s">
        <v>606</v>
      </c>
      <c r="C2393" s="87" t="s">
        <v>5917</v>
      </c>
      <c r="D2393" s="161" t="s">
        <v>1412</v>
      </c>
      <c r="E2393" s="161" t="s">
        <v>4952</v>
      </c>
      <c r="F2393" s="161" t="s">
        <v>5901</v>
      </c>
      <c r="G2393" s="171">
        <v>825.83</v>
      </c>
      <c r="H2393" s="163">
        <f t="shared" si="192"/>
        <v>22.322</v>
      </c>
      <c r="I2393" s="173">
        <v>398.996298</v>
      </c>
      <c r="J2393" s="173">
        <v>16791.7260639201</v>
      </c>
      <c r="K2393" s="173">
        <f t="shared" si="191"/>
        <v>632210.48047184</v>
      </c>
      <c r="L2393" s="174" t="s">
        <v>5918</v>
      </c>
      <c r="M2393" s="161" t="s">
        <v>5845</v>
      </c>
      <c r="N2393" s="161" t="s">
        <v>1299</v>
      </c>
      <c r="O2393" s="161" t="s">
        <v>25</v>
      </c>
      <c r="P2393" s="49" t="s">
        <v>25</v>
      </c>
      <c r="Q2393" s="166" t="s">
        <v>5916</v>
      </c>
      <c r="R2393" s="151"/>
    </row>
    <row r="2394" ht="30" spans="1:18">
      <c r="A2394" s="190" t="s">
        <v>63</v>
      </c>
      <c r="B2394" s="101" t="s">
        <v>606</v>
      </c>
      <c r="C2394" s="87" t="s">
        <v>5919</v>
      </c>
      <c r="D2394" s="161" t="s">
        <v>1415</v>
      </c>
      <c r="E2394" s="161" t="s">
        <v>4952</v>
      </c>
      <c r="F2394" s="161" t="s">
        <v>5920</v>
      </c>
      <c r="G2394" s="171">
        <v>847.52</v>
      </c>
      <c r="H2394" s="163">
        <f t="shared" si="192"/>
        <v>21.6899999999999</v>
      </c>
      <c r="I2394" s="173">
        <v>368.420147</v>
      </c>
      <c r="J2394" s="173">
        <v>16552.3558581799</v>
      </c>
      <c r="K2394" s="173">
        <f t="shared" si="191"/>
        <v>648762.83633002</v>
      </c>
      <c r="L2394" s="174" t="s">
        <v>5921</v>
      </c>
      <c r="M2394" s="161" t="s">
        <v>5845</v>
      </c>
      <c r="N2394" s="161" t="s">
        <v>1299</v>
      </c>
      <c r="O2394" s="161" t="s">
        <v>25</v>
      </c>
      <c r="P2394" s="49" t="s">
        <v>25</v>
      </c>
      <c r="Q2394" s="166" t="s">
        <v>5922</v>
      </c>
      <c r="R2394" s="151"/>
    </row>
    <row r="2395" spans="1:18">
      <c r="A2395" s="190" t="s">
        <v>63</v>
      </c>
      <c r="B2395" s="101" t="s">
        <v>606</v>
      </c>
      <c r="C2395" s="87" t="s">
        <v>5923</v>
      </c>
      <c r="D2395" s="161" t="s">
        <v>2368</v>
      </c>
      <c r="E2395" s="161" t="s">
        <v>4952</v>
      </c>
      <c r="F2395" s="161" t="s">
        <v>5920</v>
      </c>
      <c r="G2395" s="171">
        <v>867.04</v>
      </c>
      <c r="H2395" s="163">
        <f t="shared" si="192"/>
        <v>19.52</v>
      </c>
      <c r="I2395" s="174">
        <v>365.566117</v>
      </c>
      <c r="J2395" s="174">
        <v>14898.2527415001</v>
      </c>
      <c r="K2395" s="173">
        <f t="shared" si="191"/>
        <v>663661.08907152</v>
      </c>
      <c r="L2395" s="174"/>
      <c r="M2395" s="161" t="s">
        <v>5845</v>
      </c>
      <c r="N2395" s="161" t="s">
        <v>1901</v>
      </c>
      <c r="O2395" s="161" t="s">
        <v>26</v>
      </c>
      <c r="P2395" s="49" t="s">
        <v>26</v>
      </c>
      <c r="Q2395" s="166" t="s">
        <v>5922</v>
      </c>
      <c r="R2395" s="151"/>
    </row>
    <row r="2396" ht="30" spans="1:18">
      <c r="A2396" s="190" t="s">
        <v>63</v>
      </c>
      <c r="B2396" s="101" t="s">
        <v>606</v>
      </c>
      <c r="C2396" s="87" t="s">
        <v>5924</v>
      </c>
      <c r="D2396" s="161" t="s">
        <v>5924</v>
      </c>
      <c r="E2396" s="161" t="s">
        <v>4952</v>
      </c>
      <c r="F2396" s="161" t="s">
        <v>5920</v>
      </c>
      <c r="G2396" s="171">
        <v>890.42</v>
      </c>
      <c r="H2396" s="163">
        <f t="shared" si="192"/>
        <v>23.38</v>
      </c>
      <c r="I2396" s="173">
        <v>350.160967</v>
      </c>
      <c r="J2396" s="173">
        <v>17846.12595228</v>
      </c>
      <c r="K2396" s="173">
        <f t="shared" si="191"/>
        <v>681507.2150238</v>
      </c>
      <c r="L2396" s="174" t="s">
        <v>5925</v>
      </c>
      <c r="M2396" s="161" t="s">
        <v>5845</v>
      </c>
      <c r="N2396" s="161" t="s">
        <v>1331</v>
      </c>
      <c r="O2396" s="161" t="s">
        <v>14</v>
      </c>
      <c r="P2396" s="49" t="s">
        <v>14</v>
      </c>
      <c r="Q2396" s="166" t="s">
        <v>5926</v>
      </c>
      <c r="R2396" s="151"/>
    </row>
    <row r="2397" spans="1:18">
      <c r="A2397" s="190" t="s">
        <v>63</v>
      </c>
      <c r="B2397" s="101" t="s">
        <v>606</v>
      </c>
      <c r="C2397" s="87" t="s">
        <v>5927</v>
      </c>
      <c r="D2397" s="161" t="s">
        <v>2370</v>
      </c>
      <c r="E2397" s="161" t="s">
        <v>4952</v>
      </c>
      <c r="F2397" s="161" t="s">
        <v>5920</v>
      </c>
      <c r="G2397" s="171">
        <v>909.84</v>
      </c>
      <c r="H2397" s="163">
        <f t="shared" si="192"/>
        <v>19.4200000000001</v>
      </c>
      <c r="I2397" s="173">
        <v>375.47763</v>
      </c>
      <c r="J2397" s="173">
        <v>14799.0431126601</v>
      </c>
      <c r="K2397" s="173">
        <f t="shared" si="191"/>
        <v>696306.25813646</v>
      </c>
      <c r="L2397" s="174"/>
      <c r="M2397" s="161" t="s">
        <v>5845</v>
      </c>
      <c r="N2397" s="161" t="s">
        <v>1901</v>
      </c>
      <c r="O2397" s="161" t="s">
        <v>26</v>
      </c>
      <c r="P2397" s="49" t="s">
        <v>26</v>
      </c>
      <c r="Q2397" s="166" t="s">
        <v>5928</v>
      </c>
      <c r="R2397" s="151"/>
    </row>
    <row r="2398" ht="30" spans="1:18">
      <c r="A2398" s="190" t="s">
        <v>63</v>
      </c>
      <c r="B2398" s="101" t="s">
        <v>606</v>
      </c>
      <c r="C2398" s="87" t="s">
        <v>5929</v>
      </c>
      <c r="D2398" s="161" t="s">
        <v>1427</v>
      </c>
      <c r="E2398" s="161" t="s">
        <v>4952</v>
      </c>
      <c r="F2398" s="161" t="s">
        <v>5920</v>
      </c>
      <c r="G2398" s="171">
        <v>929.89</v>
      </c>
      <c r="H2398" s="163">
        <f t="shared" si="192"/>
        <v>20.05</v>
      </c>
      <c r="I2398" s="173">
        <v>315.129543</v>
      </c>
      <c r="J2398" s="173">
        <v>15238.89066852</v>
      </c>
      <c r="K2398" s="173">
        <f t="shared" ref="K2398:K2438" si="193">K2397+J2398</f>
        <v>711545.14880498</v>
      </c>
      <c r="L2398" s="174" t="s">
        <v>5930</v>
      </c>
      <c r="M2398" s="161" t="s">
        <v>5845</v>
      </c>
      <c r="N2398" s="161" t="s">
        <v>1299</v>
      </c>
      <c r="O2398" s="161" t="s">
        <v>25</v>
      </c>
      <c r="P2398" s="49" t="s">
        <v>25</v>
      </c>
      <c r="Q2398" s="166" t="s">
        <v>5931</v>
      </c>
      <c r="R2398" s="151"/>
    </row>
    <row r="2399" spans="1:18">
      <c r="A2399" s="190" t="s">
        <v>63</v>
      </c>
      <c r="B2399" s="101" t="s">
        <v>606</v>
      </c>
      <c r="C2399" s="87" t="s">
        <v>5932</v>
      </c>
      <c r="D2399" s="161" t="s">
        <v>5932</v>
      </c>
      <c r="E2399" s="161" t="s">
        <v>4952</v>
      </c>
      <c r="F2399" s="161" t="s">
        <v>5920</v>
      </c>
      <c r="G2399" s="171">
        <v>952.46</v>
      </c>
      <c r="H2399" s="163">
        <f t="shared" si="192"/>
        <v>22.5700000000001</v>
      </c>
      <c r="I2399" s="173">
        <v>326.373763</v>
      </c>
      <c r="J2399" s="173">
        <v>17201.9919517999</v>
      </c>
      <c r="K2399" s="173">
        <f t="shared" si="193"/>
        <v>728747.14075678</v>
      </c>
      <c r="L2399" s="174"/>
      <c r="M2399" s="161" t="s">
        <v>5845</v>
      </c>
      <c r="N2399" s="161" t="s">
        <v>1331</v>
      </c>
      <c r="O2399" s="161" t="s">
        <v>6</v>
      </c>
      <c r="P2399" s="49" t="s">
        <v>6</v>
      </c>
      <c r="Q2399" s="166" t="s">
        <v>5933</v>
      </c>
      <c r="R2399" s="151"/>
    </row>
    <row r="2400" spans="1:18">
      <c r="A2400" s="190" t="s">
        <v>63</v>
      </c>
      <c r="B2400" s="101" t="s">
        <v>606</v>
      </c>
      <c r="C2400" s="87" t="s">
        <v>5934</v>
      </c>
      <c r="D2400" s="161" t="s">
        <v>2374</v>
      </c>
      <c r="E2400" s="161" t="s">
        <v>4952</v>
      </c>
      <c r="F2400" s="161" t="s">
        <v>5920</v>
      </c>
      <c r="G2400" s="171">
        <v>975.804</v>
      </c>
      <c r="H2400" s="163">
        <f t="shared" si="192"/>
        <v>23.3439999999999</v>
      </c>
      <c r="I2400" s="173">
        <v>291.191198</v>
      </c>
      <c r="J2400" s="173">
        <v>17836.9679668401</v>
      </c>
      <c r="K2400" s="173">
        <f t="shared" si="193"/>
        <v>746584.10872362</v>
      </c>
      <c r="L2400" s="174"/>
      <c r="M2400" s="161" t="s">
        <v>5845</v>
      </c>
      <c r="N2400" s="161" t="s">
        <v>1901</v>
      </c>
      <c r="O2400" s="161" t="s">
        <v>26</v>
      </c>
      <c r="P2400" s="49" t="s">
        <v>26</v>
      </c>
      <c r="Q2400" s="166" t="s">
        <v>5933</v>
      </c>
      <c r="R2400" s="151"/>
    </row>
    <row r="2401" ht="30" spans="1:18">
      <c r="A2401" s="190" t="s">
        <v>63</v>
      </c>
      <c r="B2401" s="101" t="s">
        <v>606</v>
      </c>
      <c r="C2401" s="87" t="s">
        <v>5935</v>
      </c>
      <c r="D2401" s="161" t="s">
        <v>5935</v>
      </c>
      <c r="E2401" s="161" t="s">
        <v>4952</v>
      </c>
      <c r="F2401" s="161" t="s">
        <v>5920</v>
      </c>
      <c r="G2401" s="171">
        <v>998.64</v>
      </c>
      <c r="H2401" s="163">
        <f t="shared" si="192"/>
        <v>22.836</v>
      </c>
      <c r="I2401" s="173">
        <v>347.046237</v>
      </c>
      <c r="J2401" s="173">
        <v>17379.12593606</v>
      </c>
      <c r="K2401" s="173">
        <f t="shared" si="193"/>
        <v>763963.23465968</v>
      </c>
      <c r="L2401" s="174" t="s">
        <v>5936</v>
      </c>
      <c r="M2401" s="161" t="s">
        <v>5845</v>
      </c>
      <c r="N2401" s="161" t="s">
        <v>1331</v>
      </c>
      <c r="O2401" s="161" t="s">
        <v>14</v>
      </c>
      <c r="P2401" s="49" t="s">
        <v>14</v>
      </c>
      <c r="Q2401" s="166" t="s">
        <v>5937</v>
      </c>
      <c r="R2401" s="151"/>
    </row>
    <row r="2402" ht="30" spans="1:18">
      <c r="A2402" s="190" t="s">
        <v>63</v>
      </c>
      <c r="B2402" s="101" t="s">
        <v>606</v>
      </c>
      <c r="C2402" s="87" t="s">
        <v>5938</v>
      </c>
      <c r="D2402" s="161" t="s">
        <v>1433</v>
      </c>
      <c r="E2402" s="161" t="s">
        <v>4952</v>
      </c>
      <c r="F2402" s="161" t="s">
        <v>5920</v>
      </c>
      <c r="G2402" s="171">
        <v>1003.69</v>
      </c>
      <c r="H2402" s="163">
        <f t="shared" si="192"/>
        <v>5.05000000000007</v>
      </c>
      <c r="I2402" s="173">
        <v>324.216</v>
      </c>
      <c r="J2402" s="173">
        <v>3831.62208320001</v>
      </c>
      <c r="K2402" s="173">
        <f t="shared" si="193"/>
        <v>767794.85674288</v>
      </c>
      <c r="L2402" s="174" t="s">
        <v>5939</v>
      </c>
      <c r="M2402" s="161" t="s">
        <v>5845</v>
      </c>
      <c r="N2402" s="161" t="s">
        <v>1299</v>
      </c>
      <c r="O2402" s="161" t="s">
        <v>25</v>
      </c>
      <c r="P2402" s="49" t="s">
        <v>25</v>
      </c>
      <c r="Q2402" s="166" t="s">
        <v>5940</v>
      </c>
      <c r="R2402" s="151"/>
    </row>
    <row r="2403" ht="30" spans="1:18">
      <c r="A2403" s="190" t="s">
        <v>63</v>
      </c>
      <c r="B2403" s="101" t="s">
        <v>606</v>
      </c>
      <c r="C2403" s="87" t="s">
        <v>5941</v>
      </c>
      <c r="D2403" s="161" t="s">
        <v>1436</v>
      </c>
      <c r="E2403" s="161" t="s">
        <v>4952</v>
      </c>
      <c r="F2403" s="161" t="s">
        <v>5920</v>
      </c>
      <c r="G2403" s="171">
        <v>1016.12</v>
      </c>
      <c r="H2403" s="163">
        <f t="shared" si="192"/>
        <v>12.4299999999999</v>
      </c>
      <c r="I2403" s="173">
        <v>336.648</v>
      </c>
      <c r="J2403" s="173">
        <v>9471.43165336002</v>
      </c>
      <c r="K2403" s="173">
        <f t="shared" si="193"/>
        <v>777266.28839624</v>
      </c>
      <c r="L2403" s="174" t="s">
        <v>5942</v>
      </c>
      <c r="M2403" s="161" t="s">
        <v>5845</v>
      </c>
      <c r="N2403" s="161" t="s">
        <v>1299</v>
      </c>
      <c r="O2403" s="161" t="s">
        <v>25</v>
      </c>
      <c r="P2403" s="49" t="s">
        <v>25</v>
      </c>
      <c r="Q2403" s="166" t="s">
        <v>5943</v>
      </c>
      <c r="R2403" s="151"/>
    </row>
    <row r="2404" spans="1:18">
      <c r="A2404" s="190" t="s">
        <v>63</v>
      </c>
      <c r="B2404" s="101" t="s">
        <v>606</v>
      </c>
      <c r="C2404" s="87" t="s">
        <v>5944</v>
      </c>
      <c r="D2404" s="161" t="s">
        <v>2379</v>
      </c>
      <c r="E2404" s="161" t="s">
        <v>4952</v>
      </c>
      <c r="F2404" s="161" t="s">
        <v>5945</v>
      </c>
      <c r="G2404" s="171">
        <v>1038.61</v>
      </c>
      <c r="H2404" s="163">
        <f t="shared" si="192"/>
        <v>22.4899999999999</v>
      </c>
      <c r="I2404" s="173">
        <v>278.491</v>
      </c>
      <c r="J2404" s="173">
        <v>17114.8830101601</v>
      </c>
      <c r="K2404" s="173">
        <f t="shared" si="193"/>
        <v>794381.1714064</v>
      </c>
      <c r="L2404" s="174"/>
      <c r="M2404" s="161" t="s">
        <v>5845</v>
      </c>
      <c r="N2404" s="161" t="s">
        <v>1901</v>
      </c>
      <c r="O2404" s="161" t="s">
        <v>26</v>
      </c>
      <c r="P2404" s="49" t="s">
        <v>26</v>
      </c>
      <c r="Q2404" s="166" t="s">
        <v>5946</v>
      </c>
      <c r="R2404" s="151"/>
    </row>
    <row r="2405" spans="1:18">
      <c r="A2405" s="190" t="s">
        <v>63</v>
      </c>
      <c r="B2405" s="101" t="s">
        <v>606</v>
      </c>
      <c r="C2405" s="87" t="s">
        <v>5947</v>
      </c>
      <c r="D2405" s="161" t="s">
        <v>5947</v>
      </c>
      <c r="E2405" s="161" t="s">
        <v>4952</v>
      </c>
      <c r="F2405" s="161" t="s">
        <v>5945</v>
      </c>
      <c r="G2405" s="171">
        <v>1059</v>
      </c>
      <c r="H2405" s="163">
        <f t="shared" si="192"/>
        <v>20.3900000000001</v>
      </c>
      <c r="I2405" s="173">
        <v>310.798</v>
      </c>
      <c r="J2405" s="173">
        <v>15518.0454276599</v>
      </c>
      <c r="K2405" s="173">
        <f t="shared" si="193"/>
        <v>809899.21683406</v>
      </c>
      <c r="L2405" s="174"/>
      <c r="M2405" s="161" t="s">
        <v>5845</v>
      </c>
      <c r="N2405" s="161" t="s">
        <v>1331</v>
      </c>
      <c r="O2405" s="161" t="s">
        <v>14</v>
      </c>
      <c r="P2405" s="49" t="s">
        <v>14</v>
      </c>
      <c r="Q2405" s="166" t="s">
        <v>5946</v>
      </c>
      <c r="R2405" s="151"/>
    </row>
    <row r="2406" ht="30" spans="1:18">
      <c r="A2406" s="190" t="s">
        <v>63</v>
      </c>
      <c r="B2406" s="101" t="s">
        <v>606</v>
      </c>
      <c r="C2406" s="87" t="s">
        <v>5948</v>
      </c>
      <c r="D2406" s="161" t="s">
        <v>1445</v>
      </c>
      <c r="E2406" s="161" t="s">
        <v>4952</v>
      </c>
      <c r="F2406" s="161" t="s">
        <v>5945</v>
      </c>
      <c r="G2406" s="171">
        <v>1075.12</v>
      </c>
      <c r="H2406" s="163">
        <f t="shared" si="192"/>
        <v>16.1199999999999</v>
      </c>
      <c r="I2406" s="173">
        <v>269.311</v>
      </c>
      <c r="J2406" s="173">
        <v>12336.6418351</v>
      </c>
      <c r="K2406" s="173">
        <f t="shared" si="193"/>
        <v>822235.85866916</v>
      </c>
      <c r="L2406" s="174" t="s">
        <v>5949</v>
      </c>
      <c r="M2406" s="161" t="s">
        <v>5845</v>
      </c>
      <c r="N2406" s="161" t="s">
        <v>1299</v>
      </c>
      <c r="O2406" s="161" t="s">
        <v>25</v>
      </c>
      <c r="P2406" s="49" t="s">
        <v>25</v>
      </c>
      <c r="Q2406" s="166" t="s">
        <v>5946</v>
      </c>
      <c r="R2406" s="151"/>
    </row>
    <row r="2407" spans="1:18">
      <c r="A2407" s="190" t="s">
        <v>63</v>
      </c>
      <c r="B2407" s="101" t="s">
        <v>606</v>
      </c>
      <c r="C2407" s="87" t="s">
        <v>5950</v>
      </c>
      <c r="D2407" s="161" t="s">
        <v>2388</v>
      </c>
      <c r="E2407" s="161" t="s">
        <v>4952</v>
      </c>
      <c r="F2407" s="161" t="s">
        <v>5945</v>
      </c>
      <c r="G2407" s="171">
        <v>1095.506</v>
      </c>
      <c r="H2407" s="163">
        <f t="shared" si="192"/>
        <v>20.3860000000002</v>
      </c>
      <c r="I2407" s="173">
        <v>291.891</v>
      </c>
      <c r="J2407" s="173">
        <v>15495.5779058199</v>
      </c>
      <c r="K2407" s="173">
        <f t="shared" si="193"/>
        <v>837731.43657498</v>
      </c>
      <c r="L2407" s="174"/>
      <c r="M2407" s="161" t="s">
        <v>5845</v>
      </c>
      <c r="N2407" s="161" t="s">
        <v>1901</v>
      </c>
      <c r="O2407" s="161" t="s">
        <v>26</v>
      </c>
      <c r="P2407" s="49" t="s">
        <v>26</v>
      </c>
      <c r="Q2407" s="166" t="s">
        <v>5946</v>
      </c>
      <c r="R2407" s="151"/>
    </row>
    <row r="2408" ht="30" spans="1:18">
      <c r="A2408" s="190" t="s">
        <v>63</v>
      </c>
      <c r="B2408" s="101" t="s">
        <v>606</v>
      </c>
      <c r="C2408" s="87" t="s">
        <v>5951</v>
      </c>
      <c r="D2408" s="161" t="s">
        <v>1451</v>
      </c>
      <c r="E2408" s="161" t="s">
        <v>4952</v>
      </c>
      <c r="F2408" s="161" t="s">
        <v>5945</v>
      </c>
      <c r="G2408" s="171">
        <v>1112.09</v>
      </c>
      <c r="H2408" s="163">
        <f t="shared" si="192"/>
        <v>16.5839999999998</v>
      </c>
      <c r="I2408" s="173">
        <v>302.398</v>
      </c>
      <c r="J2408" s="173">
        <v>12687.0146567401</v>
      </c>
      <c r="K2408" s="173">
        <f t="shared" si="193"/>
        <v>850418.45123172</v>
      </c>
      <c r="L2408" s="174" t="s">
        <v>5952</v>
      </c>
      <c r="M2408" s="161" t="s">
        <v>5845</v>
      </c>
      <c r="N2408" s="161" t="s">
        <v>1299</v>
      </c>
      <c r="O2408" s="161" t="s">
        <v>25</v>
      </c>
      <c r="P2408" s="49" t="s">
        <v>25</v>
      </c>
      <c r="Q2408" s="166" t="s">
        <v>5953</v>
      </c>
      <c r="R2408" s="151"/>
    </row>
    <row r="2409" ht="45" spans="1:18">
      <c r="A2409" s="190" t="s">
        <v>63</v>
      </c>
      <c r="B2409" s="101" t="s">
        <v>606</v>
      </c>
      <c r="C2409" s="87" t="s">
        <v>5954</v>
      </c>
      <c r="D2409" s="161" t="s">
        <v>400</v>
      </c>
      <c r="E2409" s="161" t="s">
        <v>4952</v>
      </c>
      <c r="F2409" s="161" t="s">
        <v>5945</v>
      </c>
      <c r="G2409" s="171">
        <v>1130.87</v>
      </c>
      <c r="H2409" s="163">
        <f t="shared" si="192"/>
        <v>18.78</v>
      </c>
      <c r="I2409" s="173">
        <v>258.257</v>
      </c>
      <c r="J2409" s="173">
        <v>14311.0361022402</v>
      </c>
      <c r="K2409" s="173">
        <f t="shared" si="193"/>
        <v>864729.48733396</v>
      </c>
      <c r="L2409" s="174" t="s">
        <v>5955</v>
      </c>
      <c r="M2409" s="161" t="s">
        <v>5845</v>
      </c>
      <c r="N2409" s="161"/>
      <c r="O2409" s="161" t="s">
        <v>14</v>
      </c>
      <c r="P2409" s="49" t="s">
        <v>14</v>
      </c>
      <c r="Q2409" s="166" t="s">
        <v>5956</v>
      </c>
      <c r="R2409" s="151"/>
    </row>
    <row r="2410" spans="1:18">
      <c r="A2410" s="190" t="s">
        <v>63</v>
      </c>
      <c r="B2410" s="101" t="s">
        <v>606</v>
      </c>
      <c r="C2410" s="87" t="s">
        <v>5957</v>
      </c>
      <c r="D2410" s="161" t="s">
        <v>1460</v>
      </c>
      <c r="E2410" s="161" t="s">
        <v>4952</v>
      </c>
      <c r="F2410" s="161" t="s">
        <v>5945</v>
      </c>
      <c r="G2410" s="171">
        <v>1149.177</v>
      </c>
      <c r="H2410" s="163">
        <f t="shared" si="192"/>
        <v>18.307</v>
      </c>
      <c r="I2410" s="173">
        <v>302.556</v>
      </c>
      <c r="J2410" s="173">
        <v>14194.6009820599</v>
      </c>
      <c r="K2410" s="173">
        <f t="shared" si="193"/>
        <v>878924.08831602</v>
      </c>
      <c r="L2410" s="174" t="s">
        <v>5958</v>
      </c>
      <c r="M2410" s="161" t="s">
        <v>5845</v>
      </c>
      <c r="N2410" s="161" t="s">
        <v>1299</v>
      </c>
      <c r="O2410" s="161" t="s">
        <v>26</v>
      </c>
      <c r="P2410" s="49" t="s">
        <v>25</v>
      </c>
      <c r="Q2410" s="166" t="s">
        <v>5959</v>
      </c>
      <c r="R2410" s="151"/>
    </row>
    <row r="2411" spans="1:18">
      <c r="A2411" s="190" t="s">
        <v>63</v>
      </c>
      <c r="B2411" s="101" t="s">
        <v>606</v>
      </c>
      <c r="C2411" s="87" t="s">
        <v>5960</v>
      </c>
      <c r="D2411" s="161" t="s">
        <v>2401</v>
      </c>
      <c r="E2411" s="161" t="s">
        <v>4952</v>
      </c>
      <c r="F2411" s="161" t="s">
        <v>5945</v>
      </c>
      <c r="G2411" s="171">
        <v>1160.594</v>
      </c>
      <c r="H2411" s="163">
        <f t="shared" si="192"/>
        <v>11.4170000000001</v>
      </c>
      <c r="I2411" s="173">
        <v>260.383</v>
      </c>
      <c r="J2411" s="173">
        <v>8717.47240731998</v>
      </c>
      <c r="K2411" s="173">
        <f t="shared" si="193"/>
        <v>887641.56072334</v>
      </c>
      <c r="L2411" s="174" t="s">
        <v>5958</v>
      </c>
      <c r="M2411" s="161" t="s">
        <v>5845</v>
      </c>
      <c r="N2411" s="161" t="s">
        <v>1901</v>
      </c>
      <c r="O2411" s="161" t="s">
        <v>26</v>
      </c>
      <c r="P2411" s="49" t="s">
        <v>26</v>
      </c>
      <c r="Q2411" s="166" t="s">
        <v>5959</v>
      </c>
      <c r="R2411" s="151"/>
    </row>
    <row r="2412" ht="30" spans="1:18">
      <c r="A2412" s="190" t="s">
        <v>63</v>
      </c>
      <c r="B2412" s="101" t="s">
        <v>606</v>
      </c>
      <c r="C2412" s="87" t="s">
        <v>618</v>
      </c>
      <c r="D2412" s="161" t="s">
        <v>618</v>
      </c>
      <c r="E2412" s="161" t="s">
        <v>4952</v>
      </c>
      <c r="F2412" s="161" t="s">
        <v>5945</v>
      </c>
      <c r="G2412" s="171">
        <v>1175.4</v>
      </c>
      <c r="H2412" s="163">
        <f t="shared" si="192"/>
        <v>14.806</v>
      </c>
      <c r="I2412" s="173">
        <v>233.335</v>
      </c>
      <c r="J2412" s="173">
        <v>11029.58667122</v>
      </c>
      <c r="K2412" s="173">
        <f t="shared" si="193"/>
        <v>898671.14739456</v>
      </c>
      <c r="L2412" s="174" t="s">
        <v>5961</v>
      </c>
      <c r="M2412" s="161" t="s">
        <v>5845</v>
      </c>
      <c r="N2412" s="161" t="s">
        <v>1331</v>
      </c>
      <c r="O2412" s="161" t="s">
        <v>6</v>
      </c>
      <c r="P2412" s="49" t="s">
        <v>6</v>
      </c>
      <c r="Q2412" s="166" t="s">
        <v>5959</v>
      </c>
      <c r="R2412" s="151"/>
    </row>
    <row r="2413" spans="1:18">
      <c r="A2413" s="190" t="s">
        <v>63</v>
      </c>
      <c r="B2413" s="101" t="s">
        <v>606</v>
      </c>
      <c r="C2413" s="87" t="s">
        <v>5962</v>
      </c>
      <c r="D2413" s="161" t="s">
        <v>2404</v>
      </c>
      <c r="E2413" s="161" t="s">
        <v>4952</v>
      </c>
      <c r="F2413" s="161" t="s">
        <v>5945</v>
      </c>
      <c r="G2413" s="171">
        <v>1192.952</v>
      </c>
      <c r="H2413" s="163">
        <f t="shared" si="192"/>
        <v>17.5519999999999</v>
      </c>
      <c r="I2413" s="173">
        <v>290.503</v>
      </c>
      <c r="J2413" s="173">
        <v>13289.4677502199</v>
      </c>
      <c r="K2413" s="173">
        <f t="shared" si="193"/>
        <v>911960.61514478</v>
      </c>
      <c r="L2413" s="174"/>
      <c r="M2413" s="161" t="s">
        <v>5845</v>
      </c>
      <c r="N2413" s="161" t="s">
        <v>1901</v>
      </c>
      <c r="O2413" s="161" t="s">
        <v>26</v>
      </c>
      <c r="P2413" s="49" t="s">
        <v>26</v>
      </c>
      <c r="Q2413" s="166" t="s">
        <v>5959</v>
      </c>
      <c r="R2413" s="151"/>
    </row>
    <row r="2414" spans="1:18">
      <c r="A2414" s="190" t="s">
        <v>63</v>
      </c>
      <c r="B2414" s="101" t="s">
        <v>606</v>
      </c>
      <c r="C2414" s="87" t="s">
        <v>5963</v>
      </c>
      <c r="D2414" s="161" t="s">
        <v>2407</v>
      </c>
      <c r="E2414" s="161" t="s">
        <v>4952</v>
      </c>
      <c r="F2414" s="161" t="s">
        <v>5945</v>
      </c>
      <c r="G2414" s="171">
        <v>1225.882</v>
      </c>
      <c r="H2414" s="163">
        <f t="shared" si="192"/>
        <v>32.9300000000001</v>
      </c>
      <c r="I2414" s="173">
        <v>247.435</v>
      </c>
      <c r="J2414" s="173">
        <v>15816.91730994</v>
      </c>
      <c r="K2414" s="173">
        <f t="shared" si="193"/>
        <v>927777.53245472</v>
      </c>
      <c r="L2414" s="174"/>
      <c r="M2414" s="161" t="s">
        <v>5845</v>
      </c>
      <c r="N2414" s="161" t="s">
        <v>1901</v>
      </c>
      <c r="O2414" s="161" t="s">
        <v>26</v>
      </c>
      <c r="P2414" s="49" t="s">
        <v>26</v>
      </c>
      <c r="Q2414" s="166" t="s">
        <v>5959</v>
      </c>
      <c r="R2414" s="151"/>
    </row>
    <row r="2415" spans="1:18">
      <c r="A2415" s="190" t="s">
        <v>63</v>
      </c>
      <c r="B2415" s="101" t="s">
        <v>606</v>
      </c>
      <c r="C2415" s="87" t="s">
        <v>5964</v>
      </c>
      <c r="D2415" s="161" t="s">
        <v>5965</v>
      </c>
      <c r="E2415" s="161" t="s">
        <v>4952</v>
      </c>
      <c r="F2415" s="161" t="s">
        <v>5945</v>
      </c>
      <c r="G2415" s="171">
        <v>1240.535</v>
      </c>
      <c r="H2415" s="163">
        <f t="shared" si="192"/>
        <v>14.653</v>
      </c>
      <c r="I2415" s="173">
        <v>515.877</v>
      </c>
      <c r="J2415" s="173">
        <v>11325.76120392</v>
      </c>
      <c r="K2415" s="173">
        <f t="shared" si="193"/>
        <v>939103.29365864</v>
      </c>
      <c r="L2415" s="174"/>
      <c r="M2415" s="161" t="s">
        <v>5845</v>
      </c>
      <c r="N2415" s="161" t="s">
        <v>1901</v>
      </c>
      <c r="O2415" s="161" t="s">
        <v>26</v>
      </c>
      <c r="P2415" s="49" t="s">
        <v>26</v>
      </c>
      <c r="Q2415" s="166" t="s">
        <v>5959</v>
      </c>
      <c r="R2415" s="151"/>
    </row>
    <row r="2416" spans="1:18">
      <c r="A2416" s="190" t="s">
        <v>63</v>
      </c>
      <c r="B2416" s="101" t="s">
        <v>606</v>
      </c>
      <c r="C2416" s="87" t="s">
        <v>5966</v>
      </c>
      <c r="D2416" s="161" t="s">
        <v>2412</v>
      </c>
      <c r="E2416" s="161" t="s">
        <v>4952</v>
      </c>
      <c r="F2416" s="161" t="s">
        <v>5967</v>
      </c>
      <c r="G2416" s="171">
        <v>1249.222</v>
      </c>
      <c r="H2416" s="163">
        <f t="shared" si="192"/>
        <v>8.6869999999999</v>
      </c>
      <c r="I2416" s="173">
        <v>1059.608</v>
      </c>
      <c r="J2416" s="173">
        <v>14342</v>
      </c>
      <c r="K2416" s="173">
        <f t="shared" si="193"/>
        <v>953445.29365864</v>
      </c>
      <c r="L2416" s="174"/>
      <c r="M2416" s="161" t="s">
        <v>5845</v>
      </c>
      <c r="N2416" s="161" t="s">
        <v>1901</v>
      </c>
      <c r="O2416" s="161" t="s">
        <v>26</v>
      </c>
      <c r="P2416" s="49" t="s">
        <v>26</v>
      </c>
      <c r="Q2416" s="166" t="s">
        <v>5968</v>
      </c>
      <c r="R2416" s="151"/>
    </row>
    <row r="2417" ht="30" spans="1:18">
      <c r="A2417" s="190" t="s">
        <v>63</v>
      </c>
      <c r="B2417" s="101" t="s">
        <v>606</v>
      </c>
      <c r="C2417" s="87" t="s">
        <v>5969</v>
      </c>
      <c r="D2417" s="161" t="s">
        <v>5970</v>
      </c>
      <c r="E2417" s="161" t="s">
        <v>4952</v>
      </c>
      <c r="F2417" s="161" t="s">
        <v>5967</v>
      </c>
      <c r="G2417" s="171">
        <v>1267</v>
      </c>
      <c r="H2417" s="163">
        <f t="shared" si="192"/>
        <v>17.778</v>
      </c>
      <c r="I2417" s="173">
        <v>976.723</v>
      </c>
      <c r="J2417" s="173">
        <v>13307</v>
      </c>
      <c r="K2417" s="173">
        <f t="shared" si="193"/>
        <v>966752.29365864</v>
      </c>
      <c r="L2417" s="174" t="s">
        <v>5971</v>
      </c>
      <c r="M2417" s="161" t="s">
        <v>5845</v>
      </c>
      <c r="N2417" s="161" t="s">
        <v>1299</v>
      </c>
      <c r="O2417" s="161" t="s">
        <v>25</v>
      </c>
      <c r="P2417" s="49" t="s">
        <v>25</v>
      </c>
      <c r="Q2417" s="166" t="s">
        <v>5968</v>
      </c>
      <c r="R2417" s="151"/>
    </row>
    <row r="2418" spans="1:18">
      <c r="A2418" s="190" t="s">
        <v>63</v>
      </c>
      <c r="B2418" s="101" t="s">
        <v>606</v>
      </c>
      <c r="C2418" s="87" t="s">
        <v>5972</v>
      </c>
      <c r="D2418" s="161" t="s">
        <v>1482</v>
      </c>
      <c r="E2418" s="161" t="s">
        <v>4952</v>
      </c>
      <c r="F2418" s="161" t="s">
        <v>5967</v>
      </c>
      <c r="G2418" s="171">
        <v>1290.889</v>
      </c>
      <c r="H2418" s="163">
        <f t="shared" si="192"/>
        <v>23.8889999999999</v>
      </c>
      <c r="I2418" s="173">
        <v>1296.814</v>
      </c>
      <c r="J2418" s="173">
        <v>17743</v>
      </c>
      <c r="K2418" s="173">
        <f t="shared" si="193"/>
        <v>984495.29365864</v>
      </c>
      <c r="L2418" s="174"/>
      <c r="M2418" s="161" t="s">
        <v>5845</v>
      </c>
      <c r="N2418" s="161" t="s">
        <v>1299</v>
      </c>
      <c r="O2418" s="161" t="s">
        <v>25</v>
      </c>
      <c r="P2418" s="49" t="s">
        <v>25</v>
      </c>
      <c r="Q2418" s="166" t="s">
        <v>5968</v>
      </c>
      <c r="R2418" s="151"/>
    </row>
    <row r="2419" spans="1:18">
      <c r="A2419" s="190" t="s">
        <v>63</v>
      </c>
      <c r="B2419" s="101" t="s">
        <v>606</v>
      </c>
      <c r="C2419" s="87" t="s">
        <v>5973</v>
      </c>
      <c r="D2419" s="161" t="s">
        <v>1485</v>
      </c>
      <c r="E2419" s="161" t="s">
        <v>4952</v>
      </c>
      <c r="F2419" s="161" t="s">
        <v>5967</v>
      </c>
      <c r="G2419" s="171">
        <v>1309.054</v>
      </c>
      <c r="H2419" s="163">
        <f t="shared" si="192"/>
        <v>18.1650000000002</v>
      </c>
      <c r="I2419" s="173">
        <v>1257.97</v>
      </c>
      <c r="J2419" s="173">
        <v>14120</v>
      </c>
      <c r="K2419" s="173">
        <f t="shared" si="193"/>
        <v>998615.29365864</v>
      </c>
      <c r="L2419" s="174"/>
      <c r="M2419" s="161" t="s">
        <v>5845</v>
      </c>
      <c r="N2419" s="161" t="s">
        <v>1299</v>
      </c>
      <c r="O2419" s="161" t="s">
        <v>25</v>
      </c>
      <c r="P2419" s="49" t="s">
        <v>25</v>
      </c>
      <c r="Q2419" s="166" t="s">
        <v>5974</v>
      </c>
      <c r="R2419" s="151"/>
    </row>
    <row r="2420" spans="1:18">
      <c r="A2420" s="190" t="s">
        <v>63</v>
      </c>
      <c r="B2420" s="101" t="s">
        <v>606</v>
      </c>
      <c r="C2420" s="87" t="s">
        <v>1256</v>
      </c>
      <c r="D2420" s="161" t="s">
        <v>1488</v>
      </c>
      <c r="E2420" s="161" t="s">
        <v>4952</v>
      </c>
      <c r="F2420" s="161" t="s">
        <v>5967</v>
      </c>
      <c r="G2420" s="171">
        <v>1322.15</v>
      </c>
      <c r="H2420" s="163">
        <f t="shared" si="192"/>
        <v>13.096</v>
      </c>
      <c r="I2420" s="173">
        <v>1041.977</v>
      </c>
      <c r="J2420" s="173">
        <v>9389</v>
      </c>
      <c r="K2420" s="173">
        <f t="shared" si="193"/>
        <v>1008004.29365864</v>
      </c>
      <c r="L2420" s="174"/>
      <c r="M2420" s="161" t="s">
        <v>5845</v>
      </c>
      <c r="N2420" s="161" t="s">
        <v>1299</v>
      </c>
      <c r="O2420" s="161" t="s">
        <v>25</v>
      </c>
      <c r="P2420" s="49" t="s">
        <v>25</v>
      </c>
      <c r="Q2420" s="166" t="s">
        <v>5974</v>
      </c>
      <c r="R2420" s="151"/>
    </row>
    <row r="2421" spans="1:18">
      <c r="A2421" s="190" t="s">
        <v>63</v>
      </c>
      <c r="B2421" s="101" t="s">
        <v>606</v>
      </c>
      <c r="C2421" s="87" t="s">
        <v>5975</v>
      </c>
      <c r="D2421" s="161" t="s">
        <v>2428</v>
      </c>
      <c r="E2421" s="161" t="s">
        <v>4952</v>
      </c>
      <c r="F2421" s="161" t="s">
        <v>5967</v>
      </c>
      <c r="G2421" s="171">
        <v>1334.058</v>
      </c>
      <c r="H2421" s="163">
        <f t="shared" si="192"/>
        <v>11.9079999999999</v>
      </c>
      <c r="I2421" s="173">
        <v>1192.749</v>
      </c>
      <c r="J2421" s="173">
        <v>8428</v>
      </c>
      <c r="K2421" s="173">
        <f t="shared" si="193"/>
        <v>1016432.29365864</v>
      </c>
      <c r="L2421" s="174"/>
      <c r="M2421" s="161" t="s">
        <v>5845</v>
      </c>
      <c r="N2421" s="161" t="s">
        <v>1901</v>
      </c>
      <c r="O2421" s="161" t="s">
        <v>26</v>
      </c>
      <c r="P2421" s="49" t="s">
        <v>26</v>
      </c>
      <c r="Q2421" s="166" t="s">
        <v>5974</v>
      </c>
      <c r="R2421" s="151"/>
    </row>
    <row r="2422" spans="1:18">
      <c r="A2422" s="190" t="s">
        <v>63</v>
      </c>
      <c r="B2422" s="101" t="s">
        <v>606</v>
      </c>
      <c r="C2422" s="87" t="s">
        <v>5976</v>
      </c>
      <c r="D2422" s="161" t="s">
        <v>2434</v>
      </c>
      <c r="E2422" s="161" t="s">
        <v>4952</v>
      </c>
      <c r="F2422" s="161" t="s">
        <v>5967</v>
      </c>
      <c r="G2422" s="171">
        <v>1346.918</v>
      </c>
      <c r="H2422" s="163">
        <f t="shared" ref="H2422:H2432" si="194">G2422-G2421</f>
        <v>12.8599999999999</v>
      </c>
      <c r="I2422" s="173">
        <v>946.696</v>
      </c>
      <c r="J2422" s="173">
        <v>9611</v>
      </c>
      <c r="K2422" s="173">
        <f t="shared" si="193"/>
        <v>1026043.29365864</v>
      </c>
      <c r="L2422" s="174"/>
      <c r="M2422" s="161" t="s">
        <v>5845</v>
      </c>
      <c r="N2422" s="161" t="s">
        <v>1901</v>
      </c>
      <c r="O2422" s="161" t="s">
        <v>26</v>
      </c>
      <c r="P2422" s="49" t="s">
        <v>26</v>
      </c>
      <c r="Q2422" s="166" t="s">
        <v>5977</v>
      </c>
      <c r="R2422" s="151"/>
    </row>
    <row r="2423" spans="1:18">
      <c r="A2423" s="190" t="s">
        <v>63</v>
      </c>
      <c r="B2423" s="101" t="s">
        <v>606</v>
      </c>
      <c r="C2423" s="87" t="s">
        <v>5978</v>
      </c>
      <c r="D2423" s="161" t="s">
        <v>2436</v>
      </c>
      <c r="E2423" s="161" t="s">
        <v>4952</v>
      </c>
      <c r="F2423" s="161" t="s">
        <v>5967</v>
      </c>
      <c r="G2423" s="171">
        <v>1363.366</v>
      </c>
      <c r="H2423" s="163">
        <f t="shared" si="194"/>
        <v>16.4480000000001</v>
      </c>
      <c r="I2423" s="173">
        <v>870.1</v>
      </c>
      <c r="J2423" s="173">
        <v>11755</v>
      </c>
      <c r="K2423" s="173">
        <f t="shared" si="193"/>
        <v>1037798.29365864</v>
      </c>
      <c r="L2423" s="174"/>
      <c r="M2423" s="161" t="s">
        <v>5845</v>
      </c>
      <c r="N2423" s="161" t="s">
        <v>1901</v>
      </c>
      <c r="O2423" s="161" t="s">
        <v>26</v>
      </c>
      <c r="P2423" s="49" t="s">
        <v>26</v>
      </c>
      <c r="Q2423" s="166" t="s">
        <v>5977</v>
      </c>
      <c r="R2423" s="151"/>
    </row>
    <row r="2424" spans="1:18">
      <c r="A2424" s="190" t="s">
        <v>63</v>
      </c>
      <c r="B2424" s="101" t="s">
        <v>606</v>
      </c>
      <c r="C2424" s="87" t="s">
        <v>1244</v>
      </c>
      <c r="D2424" s="161" t="s">
        <v>1244</v>
      </c>
      <c r="E2424" s="161" t="s">
        <v>4952</v>
      </c>
      <c r="F2424" s="161" t="s">
        <v>5967</v>
      </c>
      <c r="G2424" s="171">
        <v>1385.29</v>
      </c>
      <c r="H2424" s="163">
        <f t="shared" si="194"/>
        <v>21.924</v>
      </c>
      <c r="I2424" s="173">
        <v>891.801</v>
      </c>
      <c r="J2424" s="173">
        <v>15821</v>
      </c>
      <c r="K2424" s="173">
        <f t="shared" si="193"/>
        <v>1053619.29365864</v>
      </c>
      <c r="L2424" s="174"/>
      <c r="M2424" s="161" t="s">
        <v>5845</v>
      </c>
      <c r="N2424" s="161" t="s">
        <v>1331</v>
      </c>
      <c r="O2424" s="161" t="s">
        <v>6</v>
      </c>
      <c r="P2424" s="49" t="s">
        <v>6</v>
      </c>
      <c r="Q2424" s="166" t="s">
        <v>5977</v>
      </c>
      <c r="R2424" s="151"/>
    </row>
    <row r="2425" spans="1:18">
      <c r="A2425" s="190" t="s">
        <v>63</v>
      </c>
      <c r="B2425" s="101" t="s">
        <v>606</v>
      </c>
      <c r="C2425" s="87" t="s">
        <v>5979</v>
      </c>
      <c r="D2425" s="161" t="s">
        <v>5980</v>
      </c>
      <c r="E2425" s="161" t="s">
        <v>4952</v>
      </c>
      <c r="F2425" s="161" t="s">
        <v>5967</v>
      </c>
      <c r="G2425" s="171">
        <v>1407.103</v>
      </c>
      <c r="H2425" s="163">
        <f t="shared" si="194"/>
        <v>21.8130000000001</v>
      </c>
      <c r="I2425" s="173">
        <v>814.706</v>
      </c>
      <c r="J2425" s="173">
        <v>16264</v>
      </c>
      <c r="K2425" s="173">
        <f t="shared" si="193"/>
        <v>1069883.29365864</v>
      </c>
      <c r="L2425" s="174"/>
      <c r="M2425" s="161" t="s">
        <v>5845</v>
      </c>
      <c r="N2425" s="161" t="s">
        <v>1901</v>
      </c>
      <c r="O2425" s="161" t="s">
        <v>26</v>
      </c>
      <c r="P2425" s="49" t="s">
        <v>26</v>
      </c>
      <c r="Q2425" s="166" t="s">
        <v>5981</v>
      </c>
      <c r="R2425" s="151"/>
    </row>
    <row r="2426" ht="30" spans="1:18">
      <c r="A2426" s="190" t="s">
        <v>63</v>
      </c>
      <c r="B2426" s="101" t="s">
        <v>606</v>
      </c>
      <c r="C2426" s="87" t="s">
        <v>1241</v>
      </c>
      <c r="D2426" s="161" t="s">
        <v>1502</v>
      </c>
      <c r="E2426" s="161" t="s">
        <v>4952</v>
      </c>
      <c r="F2426" s="161" t="s">
        <v>5967</v>
      </c>
      <c r="G2426" s="171">
        <v>1426.38</v>
      </c>
      <c r="H2426" s="163">
        <f t="shared" si="194"/>
        <v>19.277</v>
      </c>
      <c r="I2426" s="173">
        <v>976.465</v>
      </c>
      <c r="J2426" s="173">
        <v>15747</v>
      </c>
      <c r="K2426" s="173">
        <f t="shared" si="193"/>
        <v>1085630.29365864</v>
      </c>
      <c r="L2426" s="174" t="s">
        <v>5982</v>
      </c>
      <c r="M2426" s="161" t="s">
        <v>5845</v>
      </c>
      <c r="N2426" s="161" t="s">
        <v>1299</v>
      </c>
      <c r="O2426" s="161" t="s">
        <v>25</v>
      </c>
      <c r="P2426" s="49" t="s">
        <v>25</v>
      </c>
      <c r="Q2426" s="166" t="s">
        <v>5981</v>
      </c>
      <c r="R2426" s="151"/>
    </row>
    <row r="2427" spans="1:18">
      <c r="A2427" s="190" t="s">
        <v>63</v>
      </c>
      <c r="B2427" s="101" t="s">
        <v>606</v>
      </c>
      <c r="C2427" s="87" t="s">
        <v>5983</v>
      </c>
      <c r="D2427" s="161" t="s">
        <v>1507</v>
      </c>
      <c r="E2427" s="161" t="s">
        <v>4952</v>
      </c>
      <c r="F2427" s="161" t="s">
        <v>5967</v>
      </c>
      <c r="G2427" s="171">
        <v>1451.419</v>
      </c>
      <c r="H2427" s="163">
        <f t="shared" si="194"/>
        <v>25.039</v>
      </c>
      <c r="I2427" s="173">
        <v>855.952</v>
      </c>
      <c r="J2427" s="173">
        <v>16264</v>
      </c>
      <c r="K2427" s="173">
        <f t="shared" si="193"/>
        <v>1101894.29365864</v>
      </c>
      <c r="L2427" s="174" t="s">
        <v>5984</v>
      </c>
      <c r="M2427" s="161" t="s">
        <v>5845</v>
      </c>
      <c r="N2427" s="161" t="s">
        <v>1299</v>
      </c>
      <c r="O2427" s="161" t="s">
        <v>25</v>
      </c>
      <c r="P2427" s="49" t="s">
        <v>25</v>
      </c>
      <c r="Q2427" s="166" t="s">
        <v>5981</v>
      </c>
      <c r="R2427" s="151"/>
    </row>
    <row r="2428" spans="1:18">
      <c r="A2428" s="190" t="s">
        <v>63</v>
      </c>
      <c r="B2428" s="101" t="s">
        <v>606</v>
      </c>
      <c r="C2428" s="87" t="s">
        <v>5985</v>
      </c>
      <c r="D2428" s="161" t="s">
        <v>2445</v>
      </c>
      <c r="E2428" s="161" t="s">
        <v>4952</v>
      </c>
      <c r="F2428" s="161" t="s">
        <v>5986</v>
      </c>
      <c r="G2428" s="171">
        <v>1460.83</v>
      </c>
      <c r="H2428" s="163">
        <f t="shared" si="194"/>
        <v>9.41099999999983</v>
      </c>
      <c r="I2428" s="173">
        <v>964.019</v>
      </c>
      <c r="J2428" s="173">
        <v>6784</v>
      </c>
      <c r="K2428" s="173">
        <f t="shared" si="193"/>
        <v>1108678.29365864</v>
      </c>
      <c r="L2428" s="174" t="s">
        <v>5987</v>
      </c>
      <c r="M2428" s="161" t="s">
        <v>5845</v>
      </c>
      <c r="N2428" s="161" t="s">
        <v>1901</v>
      </c>
      <c r="O2428" s="161" t="s">
        <v>26</v>
      </c>
      <c r="P2428" s="49" t="s">
        <v>26</v>
      </c>
      <c r="Q2428" s="166" t="s">
        <v>5988</v>
      </c>
      <c r="R2428" s="151"/>
    </row>
    <row r="2429" ht="30" spans="1:18">
      <c r="A2429" s="190" t="s">
        <v>63</v>
      </c>
      <c r="B2429" s="101" t="s">
        <v>606</v>
      </c>
      <c r="C2429" s="87" t="s">
        <v>5989</v>
      </c>
      <c r="D2429" s="161" t="s">
        <v>1513</v>
      </c>
      <c r="E2429" s="161" t="s">
        <v>4952</v>
      </c>
      <c r="F2429" s="161" t="s">
        <v>5986</v>
      </c>
      <c r="G2429" s="171">
        <v>1483.91</v>
      </c>
      <c r="H2429" s="163">
        <f t="shared" si="194"/>
        <v>23.0800000000002</v>
      </c>
      <c r="I2429" s="173">
        <v>942.099</v>
      </c>
      <c r="J2429" s="173">
        <v>16922</v>
      </c>
      <c r="K2429" s="173">
        <f t="shared" si="193"/>
        <v>1125600.29365864</v>
      </c>
      <c r="L2429" s="174" t="s">
        <v>5990</v>
      </c>
      <c r="M2429" s="161" t="s">
        <v>5845</v>
      </c>
      <c r="N2429" s="161" t="s">
        <v>1299</v>
      </c>
      <c r="O2429" s="161" t="s">
        <v>25</v>
      </c>
      <c r="P2429" s="49" t="s">
        <v>25</v>
      </c>
      <c r="Q2429" s="166" t="s">
        <v>5988</v>
      </c>
      <c r="R2429" s="151"/>
    </row>
    <row r="2430" spans="1:18">
      <c r="A2430" s="190" t="s">
        <v>63</v>
      </c>
      <c r="B2430" s="101" t="s">
        <v>606</v>
      </c>
      <c r="C2430" s="87" t="s">
        <v>5991</v>
      </c>
      <c r="D2430" s="161" t="s">
        <v>5992</v>
      </c>
      <c r="E2430" s="161" t="s">
        <v>4952</v>
      </c>
      <c r="F2430" s="161" t="s">
        <v>5986</v>
      </c>
      <c r="G2430" s="171">
        <v>1505.842</v>
      </c>
      <c r="H2430" s="163">
        <f t="shared" si="194"/>
        <v>21.932</v>
      </c>
      <c r="I2430" s="173">
        <v>1257.899</v>
      </c>
      <c r="J2430" s="173">
        <v>17151</v>
      </c>
      <c r="K2430" s="173">
        <f t="shared" si="193"/>
        <v>1142751.29365864</v>
      </c>
      <c r="L2430" s="174"/>
      <c r="M2430" s="161" t="s">
        <v>5845</v>
      </c>
      <c r="N2430" s="161" t="s">
        <v>1901</v>
      </c>
      <c r="O2430" s="161" t="s">
        <v>26</v>
      </c>
      <c r="P2430" s="49" t="s">
        <v>26</v>
      </c>
      <c r="Q2430" s="166" t="s">
        <v>5988</v>
      </c>
      <c r="R2430" s="151"/>
    </row>
    <row r="2431" ht="30" spans="1:18">
      <c r="A2431" s="190" t="s">
        <v>63</v>
      </c>
      <c r="B2431" s="101" t="s">
        <v>606</v>
      </c>
      <c r="C2431" s="87" t="s">
        <v>1250</v>
      </c>
      <c r="D2431" s="161" t="s">
        <v>1519</v>
      </c>
      <c r="E2431" s="161" t="s">
        <v>4952</v>
      </c>
      <c r="F2431" s="161" t="s">
        <v>5986</v>
      </c>
      <c r="G2431" s="171">
        <v>1522.22</v>
      </c>
      <c r="H2431" s="163">
        <f t="shared" si="194"/>
        <v>16.3779999999999</v>
      </c>
      <c r="I2431" s="173">
        <v>1294.703</v>
      </c>
      <c r="J2431" s="173">
        <v>11976</v>
      </c>
      <c r="K2431" s="173">
        <f t="shared" si="193"/>
        <v>1154727.29365864</v>
      </c>
      <c r="L2431" s="174" t="s">
        <v>5993</v>
      </c>
      <c r="M2431" s="161" t="s">
        <v>5845</v>
      </c>
      <c r="N2431" s="161" t="s">
        <v>1299</v>
      </c>
      <c r="O2431" s="161" t="s">
        <v>25</v>
      </c>
      <c r="P2431" s="49" t="s">
        <v>25</v>
      </c>
      <c r="Q2431" s="166" t="s">
        <v>5994</v>
      </c>
      <c r="R2431" s="151"/>
    </row>
    <row r="2432" spans="1:18">
      <c r="A2432" s="190" t="s">
        <v>63</v>
      </c>
      <c r="B2432" s="101" t="s">
        <v>606</v>
      </c>
      <c r="C2432" s="87" t="s">
        <v>5995</v>
      </c>
      <c r="D2432" s="161" t="s">
        <v>2456</v>
      </c>
      <c r="E2432" s="161" t="s">
        <v>4952</v>
      </c>
      <c r="F2432" s="161" t="s">
        <v>5986</v>
      </c>
      <c r="G2432" s="171">
        <v>1534.831</v>
      </c>
      <c r="H2432" s="163">
        <f t="shared" si="194"/>
        <v>12.6109999999999</v>
      </c>
      <c r="I2432" s="173">
        <v>1301.306</v>
      </c>
      <c r="J2432" s="173">
        <v>9080</v>
      </c>
      <c r="K2432" s="173">
        <f t="shared" si="193"/>
        <v>1163807.29365864</v>
      </c>
      <c r="L2432" s="174"/>
      <c r="M2432" s="161" t="s">
        <v>5845</v>
      </c>
      <c r="N2432" s="161" t="s">
        <v>1901</v>
      </c>
      <c r="O2432" s="161" t="s">
        <v>26</v>
      </c>
      <c r="P2432" s="49" t="s">
        <v>26</v>
      </c>
      <c r="Q2432" s="166" t="s">
        <v>5994</v>
      </c>
      <c r="R2432" s="151"/>
    </row>
    <row r="2433" spans="1:18">
      <c r="A2433" s="190" t="s">
        <v>63</v>
      </c>
      <c r="B2433" s="101" t="s">
        <v>606</v>
      </c>
      <c r="C2433" s="87" t="s">
        <v>5996</v>
      </c>
      <c r="D2433" s="161" t="s">
        <v>5997</v>
      </c>
      <c r="E2433" s="161" t="s">
        <v>4952</v>
      </c>
      <c r="F2433" s="161" t="s">
        <v>5986</v>
      </c>
      <c r="G2433" s="171">
        <v>1544.8606</v>
      </c>
      <c r="H2433" s="163">
        <f t="shared" ref="H2433:H2438" si="195">G2433-G2432</f>
        <v>10.0296000000001</v>
      </c>
      <c r="I2433" s="173">
        <v>1266.015</v>
      </c>
      <c r="J2433" s="173">
        <v>6936</v>
      </c>
      <c r="K2433" s="173">
        <f t="shared" si="193"/>
        <v>1170743.29365864</v>
      </c>
      <c r="L2433" s="174"/>
      <c r="M2433" s="161" t="s">
        <v>5845</v>
      </c>
      <c r="N2433" s="161" t="s">
        <v>1331</v>
      </c>
      <c r="O2433" s="161" t="s">
        <v>14</v>
      </c>
      <c r="P2433" s="49" t="s">
        <v>14</v>
      </c>
      <c r="Q2433" s="166" t="s">
        <v>5998</v>
      </c>
      <c r="R2433" s="151"/>
    </row>
    <row r="2434" spans="1:18">
      <c r="A2434" s="190" t="s">
        <v>63</v>
      </c>
      <c r="B2434" s="101" t="s">
        <v>606</v>
      </c>
      <c r="C2434" s="87" t="s">
        <v>5999</v>
      </c>
      <c r="D2434" s="161" t="s">
        <v>1526</v>
      </c>
      <c r="E2434" s="161" t="s">
        <v>4952</v>
      </c>
      <c r="F2434" s="161" t="s">
        <v>5986</v>
      </c>
      <c r="G2434" s="171">
        <v>1557.4498</v>
      </c>
      <c r="H2434" s="163">
        <f t="shared" si="195"/>
        <v>12.5892000000001</v>
      </c>
      <c r="I2434" s="173">
        <v>1222.215</v>
      </c>
      <c r="J2434" s="173">
        <v>7301</v>
      </c>
      <c r="K2434" s="173">
        <f t="shared" si="193"/>
        <v>1178044.29365864</v>
      </c>
      <c r="L2434" s="174"/>
      <c r="M2434" s="161" t="s">
        <v>5845</v>
      </c>
      <c r="N2434" s="161" t="s">
        <v>1299</v>
      </c>
      <c r="O2434" s="161" t="s">
        <v>25</v>
      </c>
      <c r="P2434" s="49" t="s">
        <v>25</v>
      </c>
      <c r="Q2434" s="166" t="s">
        <v>6000</v>
      </c>
      <c r="R2434" s="151"/>
    </row>
    <row r="2435" spans="1:18">
      <c r="A2435" s="190" t="s">
        <v>63</v>
      </c>
      <c r="B2435" s="101" t="s">
        <v>606</v>
      </c>
      <c r="C2435" s="87" t="s">
        <v>1238</v>
      </c>
      <c r="D2435" s="161" t="s">
        <v>1528</v>
      </c>
      <c r="E2435" s="161" t="s">
        <v>4952</v>
      </c>
      <c r="F2435" s="161" t="s">
        <v>5986</v>
      </c>
      <c r="G2435" s="171">
        <v>1567.1703</v>
      </c>
      <c r="H2435" s="163">
        <f t="shared" si="195"/>
        <v>9.7204999999999</v>
      </c>
      <c r="I2435" s="173">
        <v>1307.305</v>
      </c>
      <c r="J2435" s="173">
        <v>7828</v>
      </c>
      <c r="K2435" s="173">
        <f t="shared" si="193"/>
        <v>1185872.29365864</v>
      </c>
      <c r="L2435" s="174"/>
      <c r="M2435" s="161" t="s">
        <v>5845</v>
      </c>
      <c r="N2435" s="161" t="s">
        <v>1299</v>
      </c>
      <c r="O2435" s="161" t="s">
        <v>25</v>
      </c>
      <c r="P2435" s="49" t="s">
        <v>25</v>
      </c>
      <c r="Q2435" s="166" t="s">
        <v>6000</v>
      </c>
      <c r="R2435" s="151"/>
    </row>
    <row r="2436" spans="1:18">
      <c r="A2436" s="190" t="s">
        <v>63</v>
      </c>
      <c r="B2436" s="101" t="s">
        <v>606</v>
      </c>
      <c r="C2436" s="87" t="s">
        <v>6001</v>
      </c>
      <c r="D2436" s="161" t="s">
        <v>1531</v>
      </c>
      <c r="E2436" s="161" t="s">
        <v>4952</v>
      </c>
      <c r="F2436" s="161" t="s">
        <v>5986</v>
      </c>
      <c r="G2436" s="171">
        <v>1579.2715</v>
      </c>
      <c r="H2436" s="163">
        <f t="shared" si="195"/>
        <v>12.1012000000001</v>
      </c>
      <c r="I2436" s="173">
        <v>1241.337</v>
      </c>
      <c r="J2436" s="173">
        <v>7075</v>
      </c>
      <c r="K2436" s="173">
        <f t="shared" si="193"/>
        <v>1192947.29365864</v>
      </c>
      <c r="L2436" s="174"/>
      <c r="M2436" s="161" t="s">
        <v>5845</v>
      </c>
      <c r="N2436" s="161" t="s">
        <v>1299</v>
      </c>
      <c r="O2436" s="161" t="s">
        <v>25</v>
      </c>
      <c r="P2436" s="49" t="s">
        <v>25</v>
      </c>
      <c r="Q2436" s="166" t="s">
        <v>6002</v>
      </c>
      <c r="R2436" s="151"/>
    </row>
    <row r="2437" spans="1:18">
      <c r="A2437" s="190" t="s">
        <v>63</v>
      </c>
      <c r="B2437" s="101" t="s">
        <v>606</v>
      </c>
      <c r="C2437" s="87" t="s">
        <v>6003</v>
      </c>
      <c r="D2437" s="161" t="s">
        <v>1537</v>
      </c>
      <c r="E2437" s="161" t="s">
        <v>4952</v>
      </c>
      <c r="F2437" s="161" t="s">
        <v>5986</v>
      </c>
      <c r="G2437" s="171">
        <v>1594.5237</v>
      </c>
      <c r="H2437" s="163">
        <f t="shared" si="195"/>
        <v>15.2521999999999</v>
      </c>
      <c r="I2437" s="173">
        <v>1212.12</v>
      </c>
      <c r="J2437" s="173">
        <v>9860</v>
      </c>
      <c r="K2437" s="173">
        <f t="shared" si="193"/>
        <v>1202807.29365864</v>
      </c>
      <c r="L2437" s="174"/>
      <c r="M2437" s="161" t="s">
        <v>5845</v>
      </c>
      <c r="N2437" s="161" t="s">
        <v>1299</v>
      </c>
      <c r="O2437" s="161" t="s">
        <v>25</v>
      </c>
      <c r="P2437" s="49" t="s">
        <v>25</v>
      </c>
      <c r="Q2437" s="166" t="s">
        <v>6002</v>
      </c>
      <c r="R2437" s="151"/>
    </row>
    <row r="2438" spans="1:18">
      <c r="A2438" s="190" t="s">
        <v>63</v>
      </c>
      <c r="B2438" s="101" t="s">
        <v>606</v>
      </c>
      <c r="C2438" s="135" t="s">
        <v>607</v>
      </c>
      <c r="D2438" s="161" t="s">
        <v>607</v>
      </c>
      <c r="E2438" s="161" t="s">
        <v>4952</v>
      </c>
      <c r="F2438" s="161" t="s">
        <v>5986</v>
      </c>
      <c r="G2438" s="171">
        <v>1605.662</v>
      </c>
      <c r="H2438" s="163">
        <f t="shared" si="195"/>
        <v>11.1383000000001</v>
      </c>
      <c r="I2438" s="173">
        <v>1278.096</v>
      </c>
      <c r="J2438" s="173">
        <v>9634</v>
      </c>
      <c r="K2438" s="173">
        <f t="shared" si="193"/>
        <v>1212441.29365864</v>
      </c>
      <c r="L2438" s="174"/>
      <c r="M2438" s="161" t="s">
        <v>3174</v>
      </c>
      <c r="N2438" s="161"/>
      <c r="O2438" s="161"/>
      <c r="P2438" s="49"/>
      <c r="Q2438" s="166" t="s">
        <v>6004</v>
      </c>
      <c r="R2438" s="151"/>
    </row>
    <row r="2439" spans="1:18">
      <c r="A2439" s="190" t="s">
        <v>63</v>
      </c>
      <c r="B2439" s="101" t="s">
        <v>615</v>
      </c>
      <c r="C2439" s="135" t="s">
        <v>610</v>
      </c>
      <c r="D2439" s="161" t="s">
        <v>610</v>
      </c>
      <c r="E2439" s="161" t="s">
        <v>1384</v>
      </c>
      <c r="F2439" s="161" t="s">
        <v>5873</v>
      </c>
      <c r="G2439" s="163">
        <v>0</v>
      </c>
      <c r="H2439" s="163">
        <v>0</v>
      </c>
      <c r="I2439" s="176">
        <v>0</v>
      </c>
      <c r="J2439" s="176">
        <v>0</v>
      </c>
      <c r="K2439" s="176">
        <v>0</v>
      </c>
      <c r="L2439" s="174"/>
      <c r="M2439" s="161" t="s">
        <v>5845</v>
      </c>
      <c r="N2439" s="161" t="s">
        <v>1331</v>
      </c>
      <c r="O2439" s="161"/>
      <c r="P2439" s="49"/>
      <c r="Q2439" s="166" t="s">
        <v>5881</v>
      </c>
      <c r="R2439" s="151"/>
    </row>
    <row r="2440" spans="1:18">
      <c r="A2440" s="190" t="s">
        <v>63</v>
      </c>
      <c r="B2440" s="101" t="s">
        <v>615</v>
      </c>
      <c r="C2440" s="87" t="s">
        <v>6005</v>
      </c>
      <c r="D2440" s="161" t="s">
        <v>1899</v>
      </c>
      <c r="E2440" s="161" t="s">
        <v>1384</v>
      </c>
      <c r="F2440" s="161" t="s">
        <v>5873</v>
      </c>
      <c r="G2440" s="163">
        <v>19.431</v>
      </c>
      <c r="H2440" s="163">
        <v>20.3</v>
      </c>
      <c r="I2440" s="176">
        <v>1674</v>
      </c>
      <c r="J2440" s="176">
        <v>878.99</v>
      </c>
      <c r="K2440" s="176">
        <f>K2439+J2440</f>
        <v>878.99</v>
      </c>
      <c r="L2440" s="174"/>
      <c r="M2440" s="161" t="s">
        <v>6006</v>
      </c>
      <c r="N2440" s="161" t="s">
        <v>1901</v>
      </c>
      <c r="O2440" s="161" t="s">
        <v>26</v>
      </c>
      <c r="P2440" s="49" t="s">
        <v>26</v>
      </c>
      <c r="Q2440" s="166" t="s">
        <v>6007</v>
      </c>
      <c r="R2440" s="151"/>
    </row>
    <row r="2441" spans="1:18">
      <c r="A2441" s="190" t="s">
        <v>63</v>
      </c>
      <c r="B2441" s="101" t="s">
        <v>615</v>
      </c>
      <c r="C2441" s="87" t="s">
        <v>6008</v>
      </c>
      <c r="D2441" s="161" t="s">
        <v>1904</v>
      </c>
      <c r="E2441" s="161" t="s">
        <v>1384</v>
      </c>
      <c r="F2441" s="161" t="s">
        <v>5873</v>
      </c>
      <c r="G2441" s="163">
        <v>40.723</v>
      </c>
      <c r="H2441" s="163">
        <v>19.2</v>
      </c>
      <c r="I2441" s="176">
        <v>1762.8</v>
      </c>
      <c r="J2441" s="176">
        <v>831.36</v>
      </c>
      <c r="K2441" s="176">
        <f t="shared" ref="K2441:K2447" si="196">K2440+J2441</f>
        <v>1710.35</v>
      </c>
      <c r="L2441" s="174"/>
      <c r="M2441" s="161" t="s">
        <v>6006</v>
      </c>
      <c r="N2441" s="161" t="s">
        <v>1901</v>
      </c>
      <c r="O2441" s="161" t="s">
        <v>26</v>
      </c>
      <c r="P2441" s="49" t="s">
        <v>26</v>
      </c>
      <c r="Q2441" s="166" t="s">
        <v>6009</v>
      </c>
      <c r="R2441" s="151"/>
    </row>
    <row r="2442" spans="1:18">
      <c r="A2442" s="190" t="s">
        <v>63</v>
      </c>
      <c r="B2442" s="101" t="s">
        <v>615</v>
      </c>
      <c r="C2442" s="87" t="s">
        <v>6010</v>
      </c>
      <c r="D2442" s="161" t="s">
        <v>1305</v>
      </c>
      <c r="E2442" s="161" t="s">
        <v>1384</v>
      </c>
      <c r="F2442" s="161" t="s">
        <v>6011</v>
      </c>
      <c r="G2442" s="163">
        <v>63.583</v>
      </c>
      <c r="H2442" s="163">
        <v>18.5</v>
      </c>
      <c r="I2442" s="176">
        <v>1883.1</v>
      </c>
      <c r="J2442" s="176">
        <v>801.05</v>
      </c>
      <c r="K2442" s="176">
        <f t="shared" si="196"/>
        <v>2511.4</v>
      </c>
      <c r="L2442" s="174"/>
      <c r="M2442" s="161" t="s">
        <v>6006</v>
      </c>
      <c r="N2442" s="161" t="s">
        <v>1299</v>
      </c>
      <c r="O2442" s="161" t="s">
        <v>25</v>
      </c>
      <c r="P2442" s="49" t="s">
        <v>25</v>
      </c>
      <c r="Q2442" s="166" t="s">
        <v>6012</v>
      </c>
      <c r="R2442" s="151"/>
    </row>
    <row r="2443" spans="1:18">
      <c r="A2443" s="190" t="s">
        <v>63</v>
      </c>
      <c r="B2443" s="101" t="s">
        <v>615</v>
      </c>
      <c r="C2443" s="87" t="s">
        <v>6013</v>
      </c>
      <c r="D2443" s="161" t="s">
        <v>1307</v>
      </c>
      <c r="E2443" s="161" t="s">
        <v>1384</v>
      </c>
      <c r="F2443" s="161" t="s">
        <v>6011</v>
      </c>
      <c r="G2443" s="163">
        <v>74.98</v>
      </c>
      <c r="H2443" s="163">
        <v>11.7</v>
      </c>
      <c r="I2443" s="176">
        <v>1333.5</v>
      </c>
      <c r="J2443" s="176">
        <v>506.61</v>
      </c>
      <c r="K2443" s="176">
        <f t="shared" si="196"/>
        <v>3018.01</v>
      </c>
      <c r="L2443" s="174"/>
      <c r="M2443" s="161" t="s">
        <v>6006</v>
      </c>
      <c r="N2443" s="161" t="s">
        <v>1299</v>
      </c>
      <c r="O2443" s="161" t="s">
        <v>25</v>
      </c>
      <c r="P2443" s="49" t="s">
        <v>25</v>
      </c>
      <c r="Q2443" s="166" t="s">
        <v>6014</v>
      </c>
      <c r="R2443" s="151"/>
    </row>
    <row r="2444" spans="1:18">
      <c r="A2444" s="190" t="s">
        <v>63</v>
      </c>
      <c r="B2444" s="101" t="s">
        <v>615</v>
      </c>
      <c r="C2444" s="87" t="s">
        <v>6015</v>
      </c>
      <c r="D2444" s="161" t="s">
        <v>1311</v>
      </c>
      <c r="E2444" s="161" t="s">
        <v>1384</v>
      </c>
      <c r="F2444" s="161" t="s">
        <v>6011</v>
      </c>
      <c r="G2444" s="163">
        <v>93.322</v>
      </c>
      <c r="H2444" s="163">
        <v>19.4</v>
      </c>
      <c r="I2444" s="176">
        <v>1893.5</v>
      </c>
      <c r="J2444" s="176">
        <v>840.02</v>
      </c>
      <c r="K2444" s="176">
        <f t="shared" si="196"/>
        <v>3858.03</v>
      </c>
      <c r="L2444" s="174"/>
      <c r="M2444" s="161" t="s">
        <v>6006</v>
      </c>
      <c r="N2444" s="161" t="s">
        <v>1299</v>
      </c>
      <c r="O2444" s="161" t="s">
        <v>25</v>
      </c>
      <c r="P2444" s="49" t="s">
        <v>25</v>
      </c>
      <c r="Q2444" s="166" t="s">
        <v>6016</v>
      </c>
      <c r="R2444" s="151"/>
    </row>
    <row r="2445" spans="1:18">
      <c r="A2445" s="190" t="s">
        <v>63</v>
      </c>
      <c r="B2445" s="101" t="s">
        <v>615</v>
      </c>
      <c r="C2445" s="87" t="s">
        <v>6017</v>
      </c>
      <c r="D2445" s="161" t="s">
        <v>1318</v>
      </c>
      <c r="E2445" s="161" t="s">
        <v>1384</v>
      </c>
      <c r="F2445" s="161" t="s">
        <v>6011</v>
      </c>
      <c r="G2445" s="163">
        <v>105.53</v>
      </c>
      <c r="H2445" s="163">
        <v>18.3</v>
      </c>
      <c r="I2445" s="176">
        <v>1445</v>
      </c>
      <c r="J2445" s="176">
        <v>792.39</v>
      </c>
      <c r="K2445" s="176">
        <f t="shared" si="196"/>
        <v>4650.42</v>
      </c>
      <c r="L2445" s="174"/>
      <c r="M2445" s="161" t="s">
        <v>6006</v>
      </c>
      <c r="N2445" s="161" t="s">
        <v>1299</v>
      </c>
      <c r="O2445" s="161" t="s">
        <v>25</v>
      </c>
      <c r="P2445" s="49" t="s">
        <v>25</v>
      </c>
      <c r="Q2445" s="166" t="s">
        <v>6018</v>
      </c>
      <c r="R2445" s="151"/>
    </row>
    <row r="2446" spans="1:18">
      <c r="A2446" s="190" t="s">
        <v>63</v>
      </c>
      <c r="B2446" s="101" t="s">
        <v>615</v>
      </c>
      <c r="C2446" s="87" t="s">
        <v>6019</v>
      </c>
      <c r="D2446" s="161" t="s">
        <v>1321</v>
      </c>
      <c r="E2446" s="161" t="s">
        <v>1384</v>
      </c>
      <c r="F2446" s="161" t="s">
        <v>6011</v>
      </c>
      <c r="G2446" s="163">
        <v>128.829</v>
      </c>
      <c r="H2446" s="163">
        <v>19.7</v>
      </c>
      <c r="I2446" s="176">
        <v>2079</v>
      </c>
      <c r="J2446" s="176">
        <v>853.01</v>
      </c>
      <c r="K2446" s="176">
        <f t="shared" si="196"/>
        <v>5503.43</v>
      </c>
      <c r="L2446" s="174"/>
      <c r="M2446" s="161" t="s">
        <v>6006</v>
      </c>
      <c r="N2446" s="161" t="s">
        <v>1299</v>
      </c>
      <c r="O2446" s="161" t="s">
        <v>25</v>
      </c>
      <c r="P2446" s="49" t="s">
        <v>25</v>
      </c>
      <c r="Q2446" s="166" t="s">
        <v>6020</v>
      </c>
      <c r="R2446" s="151"/>
    </row>
    <row r="2447" spans="1:18">
      <c r="A2447" s="190" t="s">
        <v>63</v>
      </c>
      <c r="B2447" s="101" t="s">
        <v>615</v>
      </c>
      <c r="C2447" s="87" t="s">
        <v>616</v>
      </c>
      <c r="D2447" s="161" t="s">
        <v>616</v>
      </c>
      <c r="E2447" s="161" t="s">
        <v>1384</v>
      </c>
      <c r="F2447" s="161" t="s">
        <v>6011</v>
      </c>
      <c r="G2447" s="163">
        <v>144.36</v>
      </c>
      <c r="H2447" s="163">
        <v>20.3</v>
      </c>
      <c r="I2447" s="176">
        <v>1669.8</v>
      </c>
      <c r="J2447" s="176">
        <v>878.99</v>
      </c>
      <c r="K2447" s="176">
        <f t="shared" si="196"/>
        <v>6382.42</v>
      </c>
      <c r="L2447" s="174"/>
      <c r="M2447" s="161" t="s">
        <v>6006</v>
      </c>
      <c r="N2447" s="161" t="s">
        <v>1331</v>
      </c>
      <c r="O2447" s="161" t="s">
        <v>14</v>
      </c>
      <c r="P2447" s="49" t="s">
        <v>14</v>
      </c>
      <c r="Q2447" s="166" t="s">
        <v>6021</v>
      </c>
      <c r="R2447" s="151"/>
    </row>
    <row r="2448" spans="1:18">
      <c r="A2448" s="190" t="s">
        <v>63</v>
      </c>
      <c r="B2448" s="101" t="s">
        <v>612</v>
      </c>
      <c r="C2448" s="135" t="s">
        <v>613</v>
      </c>
      <c r="D2448" s="161" t="s">
        <v>613</v>
      </c>
      <c r="E2448" s="161" t="s">
        <v>1384</v>
      </c>
      <c r="F2448" s="161" t="s">
        <v>5896</v>
      </c>
      <c r="G2448" s="163">
        <v>0</v>
      </c>
      <c r="H2448" s="163">
        <v>0</v>
      </c>
      <c r="I2448" s="176">
        <v>0</v>
      </c>
      <c r="J2448" s="176">
        <v>0</v>
      </c>
      <c r="K2448" s="176">
        <v>0</v>
      </c>
      <c r="L2448" s="174"/>
      <c r="M2448" s="161" t="s">
        <v>5845</v>
      </c>
      <c r="N2448" s="161" t="s">
        <v>1331</v>
      </c>
      <c r="O2448" s="161"/>
      <c r="P2448" s="49"/>
      <c r="Q2448" s="166" t="s">
        <v>5895</v>
      </c>
      <c r="R2448" s="151"/>
    </row>
    <row r="2449" spans="1:18">
      <c r="A2449" s="190" t="s">
        <v>63</v>
      </c>
      <c r="B2449" s="101" t="s">
        <v>612</v>
      </c>
      <c r="C2449" s="87" t="s">
        <v>6022</v>
      </c>
      <c r="D2449" s="161" t="s">
        <v>1899</v>
      </c>
      <c r="E2449" s="161" t="s">
        <v>1384</v>
      </c>
      <c r="F2449" s="161" t="s">
        <v>5896</v>
      </c>
      <c r="G2449" s="163">
        <v>23.155</v>
      </c>
      <c r="H2449" s="163">
        <f t="shared" ref="H2449:H2452" si="197">G2449-G2448</f>
        <v>23.155</v>
      </c>
      <c r="I2449" s="176">
        <v>1387</v>
      </c>
      <c r="J2449" s="176">
        <v>787.1</v>
      </c>
      <c r="K2449" s="176">
        <v>787.1</v>
      </c>
      <c r="L2449" s="174"/>
      <c r="M2449" s="161" t="s">
        <v>6023</v>
      </c>
      <c r="N2449" s="161" t="s">
        <v>1901</v>
      </c>
      <c r="O2449" s="161" t="s">
        <v>26</v>
      </c>
      <c r="P2449" s="49" t="s">
        <v>26</v>
      </c>
      <c r="Q2449" s="166" t="s">
        <v>6024</v>
      </c>
      <c r="R2449" s="151"/>
    </row>
    <row r="2450" spans="1:18">
      <c r="A2450" s="190" t="s">
        <v>63</v>
      </c>
      <c r="B2450" s="101" t="s">
        <v>612</v>
      </c>
      <c r="C2450" s="87" t="s">
        <v>6025</v>
      </c>
      <c r="D2450" s="161" t="s">
        <v>1904</v>
      </c>
      <c r="E2450" s="161" t="s">
        <v>1384</v>
      </c>
      <c r="F2450" s="161" t="s">
        <v>5896</v>
      </c>
      <c r="G2450" s="163">
        <v>47.952</v>
      </c>
      <c r="H2450" s="163">
        <f t="shared" si="197"/>
        <v>24.797</v>
      </c>
      <c r="I2450" s="176">
        <v>1203.6</v>
      </c>
      <c r="J2450" s="176">
        <v>841.5</v>
      </c>
      <c r="K2450" s="176">
        <v>1628.6</v>
      </c>
      <c r="L2450" s="174"/>
      <c r="M2450" s="161" t="s">
        <v>6026</v>
      </c>
      <c r="N2450" s="161" t="s">
        <v>1901</v>
      </c>
      <c r="O2450" s="161" t="s">
        <v>26</v>
      </c>
      <c r="P2450" s="49" t="s">
        <v>26</v>
      </c>
      <c r="Q2450" s="166" t="s">
        <v>6027</v>
      </c>
      <c r="R2450" s="151"/>
    </row>
    <row r="2451" ht="30" spans="1:18">
      <c r="A2451" s="190" t="s">
        <v>63</v>
      </c>
      <c r="B2451" s="101" t="s">
        <v>612</v>
      </c>
      <c r="C2451" s="87" t="s">
        <v>6028</v>
      </c>
      <c r="D2451" s="161" t="s">
        <v>2847</v>
      </c>
      <c r="E2451" s="161" t="s">
        <v>1384</v>
      </c>
      <c r="F2451" s="161" t="s">
        <v>5896</v>
      </c>
      <c r="G2451" s="163">
        <v>68.956</v>
      </c>
      <c r="H2451" s="163">
        <f t="shared" si="197"/>
        <v>21.004</v>
      </c>
      <c r="I2451" s="176">
        <v>1700</v>
      </c>
      <c r="J2451" s="176">
        <v>707.2</v>
      </c>
      <c r="K2451" s="176">
        <v>2335.8</v>
      </c>
      <c r="L2451" s="174"/>
      <c r="M2451" s="161" t="s">
        <v>6029</v>
      </c>
      <c r="N2451" s="161" t="s">
        <v>1901</v>
      </c>
      <c r="O2451" s="161" t="s">
        <v>26</v>
      </c>
      <c r="P2451" s="49" t="s">
        <v>26</v>
      </c>
      <c r="Q2451" s="166" t="s">
        <v>6030</v>
      </c>
      <c r="R2451" s="151"/>
    </row>
    <row r="2452" spans="1:18">
      <c r="A2452" s="190" t="s">
        <v>63</v>
      </c>
      <c r="B2452" s="101" t="s">
        <v>612</v>
      </c>
      <c r="C2452" s="135" t="s">
        <v>614</v>
      </c>
      <c r="D2452" s="161" t="s">
        <v>614</v>
      </c>
      <c r="E2452" s="161" t="s">
        <v>1384</v>
      </c>
      <c r="F2452" s="161" t="s">
        <v>5896</v>
      </c>
      <c r="G2452" s="163">
        <v>90.351</v>
      </c>
      <c r="H2452" s="163">
        <f t="shared" si="197"/>
        <v>21.395</v>
      </c>
      <c r="I2452" s="176">
        <v>1101</v>
      </c>
      <c r="J2452" s="176">
        <v>802.4</v>
      </c>
      <c r="K2452" s="176">
        <v>3138.2</v>
      </c>
      <c r="L2452" s="174"/>
      <c r="M2452" s="161" t="s">
        <v>6031</v>
      </c>
      <c r="N2452" s="161" t="s">
        <v>1331</v>
      </c>
      <c r="O2452" s="161"/>
      <c r="P2452" s="49"/>
      <c r="Q2452" s="166" t="s">
        <v>6032</v>
      </c>
      <c r="R2452" s="151"/>
    </row>
    <row r="2453" spans="1:18">
      <c r="A2453" s="190" t="s">
        <v>63</v>
      </c>
      <c r="B2453" s="101" t="s">
        <v>609</v>
      </c>
      <c r="C2453" s="135" t="s">
        <v>610</v>
      </c>
      <c r="D2453" s="161" t="s">
        <v>610</v>
      </c>
      <c r="E2453" s="161" t="s">
        <v>1384</v>
      </c>
      <c r="F2453" s="161" t="s">
        <v>5873</v>
      </c>
      <c r="G2453" s="163">
        <v>0</v>
      </c>
      <c r="H2453" s="163">
        <v>0</v>
      </c>
      <c r="I2453" s="176">
        <v>233</v>
      </c>
      <c r="J2453" s="176">
        <v>0</v>
      </c>
      <c r="K2453" s="176">
        <v>0</v>
      </c>
      <c r="L2453" s="174"/>
      <c r="M2453" s="161" t="s">
        <v>5845</v>
      </c>
      <c r="N2453" s="161" t="s">
        <v>1331</v>
      </c>
      <c r="O2453" s="161"/>
      <c r="P2453" s="49"/>
      <c r="Q2453" s="166" t="s">
        <v>5881</v>
      </c>
      <c r="R2453" s="151"/>
    </row>
    <row r="2454" spans="1:18">
      <c r="A2454" s="190" t="s">
        <v>63</v>
      </c>
      <c r="B2454" s="101" t="s">
        <v>609</v>
      </c>
      <c r="C2454" s="87" t="s">
        <v>6033</v>
      </c>
      <c r="D2454" s="161" t="s">
        <v>1899</v>
      </c>
      <c r="E2454" s="161" t="s">
        <v>1384</v>
      </c>
      <c r="F2454" s="161" t="s">
        <v>5873</v>
      </c>
      <c r="G2454" s="163">
        <v>22.947</v>
      </c>
      <c r="H2454" s="163">
        <v>25.186</v>
      </c>
      <c r="I2454" s="176">
        <v>278.463</v>
      </c>
      <c r="J2454" s="176">
        <v>500</v>
      </c>
      <c r="K2454" s="176">
        <f>K2453+J2454</f>
        <v>500</v>
      </c>
      <c r="L2454" s="174"/>
      <c r="M2454" s="161" t="s">
        <v>6034</v>
      </c>
      <c r="N2454" s="161" t="s">
        <v>1901</v>
      </c>
      <c r="O2454" s="161" t="s">
        <v>26</v>
      </c>
      <c r="P2454" s="49" t="s">
        <v>26</v>
      </c>
      <c r="Q2454" s="166" t="s">
        <v>6035</v>
      </c>
      <c r="R2454" s="151"/>
    </row>
    <row r="2455" spans="1:18">
      <c r="A2455" s="190" t="s">
        <v>63</v>
      </c>
      <c r="B2455" s="101" t="s">
        <v>609</v>
      </c>
      <c r="C2455" s="87" t="s">
        <v>611</v>
      </c>
      <c r="D2455" s="190" t="s">
        <v>611</v>
      </c>
      <c r="E2455" s="161" t="s">
        <v>1384</v>
      </c>
      <c r="F2455" s="161" t="s">
        <v>5873</v>
      </c>
      <c r="G2455" s="163">
        <v>51.55</v>
      </c>
      <c r="H2455" s="163">
        <v>26.364</v>
      </c>
      <c r="I2455" s="176">
        <v>1325.9</v>
      </c>
      <c r="J2455" s="176">
        <v>1421.0196</v>
      </c>
      <c r="K2455" s="176">
        <f>K2454+J2455</f>
        <v>1921.0196</v>
      </c>
      <c r="L2455" s="174"/>
      <c r="M2455" s="161" t="s">
        <v>6034</v>
      </c>
      <c r="N2455" s="161" t="s">
        <v>1331</v>
      </c>
      <c r="O2455" s="161" t="s">
        <v>14</v>
      </c>
      <c r="P2455" s="49" t="s">
        <v>14</v>
      </c>
      <c r="Q2455" s="166" t="s">
        <v>6036</v>
      </c>
      <c r="R2455" s="151"/>
    </row>
    <row r="2456" spans="1:18">
      <c r="A2456" s="190" t="s">
        <v>63</v>
      </c>
      <c r="B2456" s="101" t="s">
        <v>617</v>
      </c>
      <c r="C2456" s="135" t="s">
        <v>618</v>
      </c>
      <c r="D2456" s="161" t="s">
        <v>618</v>
      </c>
      <c r="E2456" s="161" t="s">
        <v>4952</v>
      </c>
      <c r="F2456" s="161" t="s">
        <v>5945</v>
      </c>
      <c r="G2456" s="171">
        <v>0</v>
      </c>
      <c r="H2456" s="163">
        <v>0</v>
      </c>
      <c r="I2456" s="173">
        <v>240</v>
      </c>
      <c r="J2456" s="173">
        <v>0</v>
      </c>
      <c r="K2456" s="173">
        <v>0</v>
      </c>
      <c r="L2456" s="174"/>
      <c r="M2456" s="161"/>
      <c r="N2456" s="161" t="s">
        <v>1331</v>
      </c>
      <c r="O2456" s="161"/>
      <c r="P2456" s="49"/>
      <c r="Q2456" s="166" t="s">
        <v>5959</v>
      </c>
      <c r="R2456" s="151"/>
    </row>
    <row r="2457" spans="1:18">
      <c r="A2457" s="190" t="s">
        <v>63</v>
      </c>
      <c r="B2457" s="101" t="s">
        <v>617</v>
      </c>
      <c r="C2457" s="87" t="s">
        <v>619</v>
      </c>
      <c r="D2457" s="161" t="s">
        <v>619</v>
      </c>
      <c r="E2457" s="161" t="s">
        <v>4952</v>
      </c>
      <c r="F2457" s="161" t="s">
        <v>5945</v>
      </c>
      <c r="G2457" s="171">
        <v>18.19</v>
      </c>
      <c r="H2457" s="163">
        <v>18.19</v>
      </c>
      <c r="I2457" s="173">
        <v>282</v>
      </c>
      <c r="J2457" s="173">
        <v>20727.7569</v>
      </c>
      <c r="K2457" s="173">
        <v>20727.7569</v>
      </c>
      <c r="L2457" s="174"/>
      <c r="M2457" s="161"/>
      <c r="N2457" s="161"/>
      <c r="O2457" s="161" t="s">
        <v>15</v>
      </c>
      <c r="P2457" s="49" t="s">
        <v>15</v>
      </c>
      <c r="Q2457" s="166" t="s">
        <v>6037</v>
      </c>
      <c r="R2457" s="151"/>
    </row>
    <row r="2458" ht="30" spans="1:18">
      <c r="A2458" s="190" t="s">
        <v>63</v>
      </c>
      <c r="B2458" s="101" t="s">
        <v>620</v>
      </c>
      <c r="C2458" s="135" t="s">
        <v>621</v>
      </c>
      <c r="D2458" s="161" t="s">
        <v>621</v>
      </c>
      <c r="E2458" s="161" t="s">
        <v>4952</v>
      </c>
      <c r="F2458" s="161" t="s">
        <v>6038</v>
      </c>
      <c r="G2458" s="163">
        <v>0</v>
      </c>
      <c r="H2458" s="163">
        <v>0</v>
      </c>
      <c r="I2458" s="173">
        <v>484</v>
      </c>
      <c r="J2458" s="173">
        <v>0</v>
      </c>
      <c r="K2458" s="173">
        <v>0</v>
      </c>
      <c r="L2458" s="174"/>
      <c r="M2458" s="161" t="s">
        <v>6039</v>
      </c>
      <c r="N2458" s="161"/>
      <c r="O2458" s="161"/>
      <c r="P2458" s="49"/>
      <c r="Q2458" s="166" t="s">
        <v>6040</v>
      </c>
      <c r="R2458" s="151"/>
    </row>
    <row r="2459" ht="30" spans="1:18">
      <c r="A2459" s="190" t="s">
        <v>63</v>
      </c>
      <c r="B2459" s="101" t="s">
        <v>620</v>
      </c>
      <c r="C2459" s="87" t="s">
        <v>622</v>
      </c>
      <c r="D2459" s="161" t="s">
        <v>622</v>
      </c>
      <c r="E2459" s="161" t="s">
        <v>4952</v>
      </c>
      <c r="F2459" s="161" t="s">
        <v>6038</v>
      </c>
      <c r="G2459" s="163">
        <v>14.5</v>
      </c>
      <c r="H2459" s="163">
        <v>14.5</v>
      </c>
      <c r="I2459" s="173">
        <v>698</v>
      </c>
      <c r="J2459" s="173">
        <v>10954</v>
      </c>
      <c r="K2459" s="173">
        <v>10954</v>
      </c>
      <c r="L2459" s="174"/>
      <c r="M2459" s="161" t="s">
        <v>5845</v>
      </c>
      <c r="N2459" s="161"/>
      <c r="O2459" s="161" t="s">
        <v>15</v>
      </c>
      <c r="P2459" s="49" t="s">
        <v>15</v>
      </c>
      <c r="Q2459" s="166" t="s">
        <v>5916</v>
      </c>
      <c r="R2459" s="151"/>
    </row>
    <row r="2460" s="148" customFormat="1" spans="1:18">
      <c r="A2460" s="190" t="s">
        <v>63</v>
      </c>
      <c r="B2460" s="101" t="s">
        <v>623</v>
      </c>
      <c r="C2460" s="135" t="s">
        <v>5909</v>
      </c>
      <c r="D2460" s="190" t="s">
        <v>5909</v>
      </c>
      <c r="E2460" s="161" t="s">
        <v>4952</v>
      </c>
      <c r="F2460" s="161" t="s">
        <v>5901</v>
      </c>
      <c r="G2460" s="171">
        <v>0</v>
      </c>
      <c r="H2460" s="163">
        <v>0</v>
      </c>
      <c r="I2460" s="173"/>
      <c r="J2460" s="173">
        <v>0</v>
      </c>
      <c r="K2460" s="173">
        <v>0</v>
      </c>
      <c r="L2460" s="174"/>
      <c r="M2460" s="161"/>
      <c r="N2460" s="161"/>
      <c r="O2460" s="161"/>
      <c r="P2460" s="49"/>
      <c r="Q2460" s="166"/>
      <c r="R2460" s="167"/>
    </row>
    <row r="2461" spans="1:18">
      <c r="A2461" s="190" t="s">
        <v>63</v>
      </c>
      <c r="B2461" s="101" t="s">
        <v>623</v>
      </c>
      <c r="C2461" s="87" t="s">
        <v>6041</v>
      </c>
      <c r="D2461" s="190" t="s">
        <v>6041</v>
      </c>
      <c r="E2461" s="161" t="s">
        <v>4952</v>
      </c>
      <c r="F2461" s="161" t="s">
        <v>5901</v>
      </c>
      <c r="G2461" s="171">
        <v>5.8</v>
      </c>
      <c r="H2461" s="163">
        <v>5.8</v>
      </c>
      <c r="I2461" s="173"/>
      <c r="J2461" s="173">
        <v>1168</v>
      </c>
      <c r="K2461" s="173">
        <v>1168</v>
      </c>
      <c r="L2461" s="174"/>
      <c r="M2461" s="161"/>
      <c r="N2461" s="161"/>
      <c r="O2461" s="161" t="s">
        <v>14</v>
      </c>
      <c r="P2461" s="49" t="s">
        <v>14</v>
      </c>
      <c r="Q2461" s="166"/>
      <c r="R2461" s="151"/>
    </row>
    <row r="2462" s="149" customFormat="1" spans="1:18">
      <c r="A2462" s="190" t="s">
        <v>63</v>
      </c>
      <c r="B2462" s="101" t="s">
        <v>626</v>
      </c>
      <c r="C2462" s="135" t="s">
        <v>627</v>
      </c>
      <c r="D2462" s="190" t="s">
        <v>627</v>
      </c>
      <c r="E2462" s="164"/>
      <c r="F2462" s="164"/>
      <c r="G2462" s="171">
        <v>0</v>
      </c>
      <c r="H2462" s="163">
        <v>0</v>
      </c>
      <c r="I2462" s="173">
        <v>1776</v>
      </c>
      <c r="J2462" s="173">
        <v>0</v>
      </c>
      <c r="K2462" s="173">
        <v>0</v>
      </c>
      <c r="L2462" s="174"/>
      <c r="M2462" s="161"/>
      <c r="N2462" s="161"/>
      <c r="O2462" s="161"/>
      <c r="P2462" s="49"/>
      <c r="Q2462" s="166"/>
      <c r="R2462" s="151"/>
    </row>
    <row r="2463" s="150" customFormat="1" spans="1:18">
      <c r="A2463" s="190" t="s">
        <v>63</v>
      </c>
      <c r="B2463" s="101" t="s">
        <v>626</v>
      </c>
      <c r="C2463" s="87" t="s">
        <v>6042</v>
      </c>
      <c r="D2463" s="190" t="s">
        <v>6042</v>
      </c>
      <c r="E2463" s="164"/>
      <c r="F2463" s="164"/>
      <c r="G2463" s="171">
        <v>5.6</v>
      </c>
      <c r="H2463" s="163">
        <v>5.6</v>
      </c>
      <c r="I2463" s="173">
        <v>1852</v>
      </c>
      <c r="J2463" s="173">
        <v>4722</v>
      </c>
      <c r="K2463" s="173">
        <v>4722</v>
      </c>
      <c r="L2463" s="174"/>
      <c r="M2463" s="161"/>
      <c r="N2463" s="161"/>
      <c r="O2463" s="161"/>
      <c r="P2463" s="49" t="s">
        <v>15</v>
      </c>
      <c r="Q2463" s="166"/>
      <c r="R2463" s="22"/>
    </row>
    <row r="2464" spans="1:18">
      <c r="A2464" s="190" t="s">
        <v>64</v>
      </c>
      <c r="B2464" s="101" t="s">
        <v>64</v>
      </c>
      <c r="C2464" s="135" t="s">
        <v>630</v>
      </c>
      <c r="D2464" s="161" t="s">
        <v>630</v>
      </c>
      <c r="E2464" s="161" t="s">
        <v>6043</v>
      </c>
      <c r="F2464" s="161"/>
      <c r="G2464" s="163">
        <v>0</v>
      </c>
      <c r="H2464" s="163">
        <v>0</v>
      </c>
      <c r="I2464" s="173" t="s">
        <v>147</v>
      </c>
      <c r="J2464" s="173">
        <v>0</v>
      </c>
      <c r="K2464" s="173">
        <v>0</v>
      </c>
      <c r="L2464" s="174"/>
      <c r="M2464" s="161" t="s">
        <v>3174</v>
      </c>
      <c r="N2464" s="161" t="s">
        <v>1331</v>
      </c>
      <c r="O2464" s="161"/>
      <c r="P2464" s="49"/>
      <c r="Q2464" s="166"/>
      <c r="R2464" s="151"/>
    </row>
    <row r="2465" ht="75" spans="1:18">
      <c r="A2465" s="190" t="s">
        <v>64</v>
      </c>
      <c r="B2465" s="101" t="s">
        <v>64</v>
      </c>
      <c r="C2465" s="87" t="s">
        <v>6044</v>
      </c>
      <c r="D2465" s="161" t="s">
        <v>6044</v>
      </c>
      <c r="E2465" s="161" t="s">
        <v>6043</v>
      </c>
      <c r="F2465" s="161" t="s">
        <v>6045</v>
      </c>
      <c r="G2465" s="171">
        <v>4.51</v>
      </c>
      <c r="H2465" s="163">
        <f>G2465-G2464</f>
        <v>4.51</v>
      </c>
      <c r="I2465" s="173">
        <v>750</v>
      </c>
      <c r="J2465" s="173">
        <f>K2465-K2464</f>
        <v>0</v>
      </c>
      <c r="K2465" s="173">
        <v>0</v>
      </c>
      <c r="L2465" s="174" t="s">
        <v>6046</v>
      </c>
      <c r="M2465" s="161" t="s">
        <v>3174</v>
      </c>
      <c r="N2465" s="161" t="s">
        <v>1331</v>
      </c>
      <c r="O2465" s="161" t="s">
        <v>14</v>
      </c>
      <c r="P2465" s="49" t="s">
        <v>14</v>
      </c>
      <c r="Q2465" s="166" t="s">
        <v>6047</v>
      </c>
      <c r="R2465" s="151"/>
    </row>
    <row r="2466" spans="1:18">
      <c r="A2466" s="190" t="s">
        <v>64</v>
      </c>
      <c r="B2466" s="101" t="s">
        <v>64</v>
      </c>
      <c r="C2466" s="87" t="s">
        <v>6048</v>
      </c>
      <c r="D2466" s="161" t="s">
        <v>1899</v>
      </c>
      <c r="E2466" s="161" t="s">
        <v>6043</v>
      </c>
      <c r="F2466" s="161" t="s">
        <v>6045</v>
      </c>
      <c r="G2466" s="171">
        <v>21.462</v>
      </c>
      <c r="H2466" s="163">
        <f t="shared" ref="H2466:H2529" si="198">G2466-G2465</f>
        <v>16.952</v>
      </c>
      <c r="I2466" s="173">
        <v>827</v>
      </c>
      <c r="J2466" s="173">
        <f t="shared" ref="J2466:J2529" si="199">K2466-K2465</f>
        <v>13049</v>
      </c>
      <c r="K2466" s="173">
        <v>13049</v>
      </c>
      <c r="L2466" s="174"/>
      <c r="M2466" s="161" t="s">
        <v>3174</v>
      </c>
      <c r="N2466" s="161" t="s">
        <v>1901</v>
      </c>
      <c r="O2466" s="161" t="s">
        <v>26</v>
      </c>
      <c r="P2466" s="49" t="s">
        <v>26</v>
      </c>
      <c r="Q2466" s="166" t="s">
        <v>6049</v>
      </c>
      <c r="R2466" s="151"/>
    </row>
    <row r="2467" spans="1:18">
      <c r="A2467" s="190" t="s">
        <v>64</v>
      </c>
      <c r="B2467" s="101" t="s">
        <v>64</v>
      </c>
      <c r="C2467" s="87" t="s">
        <v>6050</v>
      </c>
      <c r="D2467" s="161" t="s">
        <v>1302</v>
      </c>
      <c r="E2467" s="161" t="s">
        <v>6043</v>
      </c>
      <c r="F2467" s="161" t="s">
        <v>6045</v>
      </c>
      <c r="G2467" s="171">
        <v>43.573</v>
      </c>
      <c r="H2467" s="163">
        <f t="shared" si="198"/>
        <v>22.111</v>
      </c>
      <c r="I2467" s="173">
        <v>773</v>
      </c>
      <c r="J2467" s="173">
        <f t="shared" si="199"/>
        <v>16137</v>
      </c>
      <c r="K2467" s="173">
        <v>29186</v>
      </c>
      <c r="L2467" s="174"/>
      <c r="M2467" s="161" t="s">
        <v>3174</v>
      </c>
      <c r="N2467" s="161" t="s">
        <v>1299</v>
      </c>
      <c r="O2467" s="161" t="s">
        <v>25</v>
      </c>
      <c r="P2467" s="49" t="s">
        <v>25</v>
      </c>
      <c r="Q2467" s="166" t="s">
        <v>6051</v>
      </c>
      <c r="R2467" s="151"/>
    </row>
    <row r="2468" spans="1:18">
      <c r="A2468" s="190" t="s">
        <v>64</v>
      </c>
      <c r="B2468" s="101" t="s">
        <v>64</v>
      </c>
      <c r="C2468" s="87" t="s">
        <v>6052</v>
      </c>
      <c r="D2468" s="161" t="s">
        <v>2847</v>
      </c>
      <c r="E2468" s="161" t="s">
        <v>6043</v>
      </c>
      <c r="F2468" s="161" t="s">
        <v>6045</v>
      </c>
      <c r="G2468" s="171">
        <v>59.774</v>
      </c>
      <c r="H2468" s="163">
        <f t="shared" si="198"/>
        <v>16.201</v>
      </c>
      <c r="I2468" s="173">
        <v>1125</v>
      </c>
      <c r="J2468" s="173">
        <f t="shared" si="199"/>
        <v>12896</v>
      </c>
      <c r="K2468" s="173">
        <v>42082</v>
      </c>
      <c r="L2468" s="174"/>
      <c r="M2468" s="161" t="s">
        <v>3174</v>
      </c>
      <c r="N2468" s="161" t="s">
        <v>1901</v>
      </c>
      <c r="O2468" s="161" t="s">
        <v>26</v>
      </c>
      <c r="P2468" s="49" t="s">
        <v>26</v>
      </c>
      <c r="Q2468" s="166" t="s">
        <v>6051</v>
      </c>
      <c r="R2468" s="151"/>
    </row>
    <row r="2469" spans="1:18">
      <c r="A2469" s="190" t="s">
        <v>64</v>
      </c>
      <c r="B2469" s="101" t="s">
        <v>64</v>
      </c>
      <c r="C2469" s="87" t="s">
        <v>6053</v>
      </c>
      <c r="D2469" s="161" t="s">
        <v>2820</v>
      </c>
      <c r="E2469" s="161" t="s">
        <v>6043</v>
      </c>
      <c r="F2469" s="161" t="s">
        <v>6045</v>
      </c>
      <c r="G2469" s="171">
        <v>85.929</v>
      </c>
      <c r="H2469" s="163">
        <f t="shared" si="198"/>
        <v>26.155</v>
      </c>
      <c r="I2469" s="173">
        <v>797</v>
      </c>
      <c r="J2469" s="173">
        <f t="shared" si="199"/>
        <v>19584</v>
      </c>
      <c r="K2469" s="173">
        <v>61666</v>
      </c>
      <c r="L2469" s="174"/>
      <c r="M2469" s="161" t="s">
        <v>3174</v>
      </c>
      <c r="N2469" s="161" t="s">
        <v>1901</v>
      </c>
      <c r="O2469" s="161" t="s">
        <v>26</v>
      </c>
      <c r="P2469" s="49" t="s">
        <v>26</v>
      </c>
      <c r="Q2469" s="166" t="s">
        <v>6054</v>
      </c>
      <c r="R2469" s="151"/>
    </row>
    <row r="2470" ht="45" spans="1:18">
      <c r="A2470" s="190" t="s">
        <v>64</v>
      </c>
      <c r="B2470" s="101" t="s">
        <v>64</v>
      </c>
      <c r="C2470" s="87" t="s">
        <v>6055</v>
      </c>
      <c r="D2470" s="161" t="s">
        <v>6055</v>
      </c>
      <c r="E2470" s="161" t="s">
        <v>6043</v>
      </c>
      <c r="F2470" s="161" t="s">
        <v>6045</v>
      </c>
      <c r="G2470" s="171">
        <v>109.07</v>
      </c>
      <c r="H2470" s="163">
        <f t="shared" si="198"/>
        <v>23.141</v>
      </c>
      <c r="I2470" s="173">
        <v>886</v>
      </c>
      <c r="J2470" s="173">
        <f t="shared" si="199"/>
        <v>18121</v>
      </c>
      <c r="K2470" s="173">
        <v>79787</v>
      </c>
      <c r="L2470" s="174" t="s">
        <v>6056</v>
      </c>
      <c r="M2470" s="161" t="s">
        <v>3174</v>
      </c>
      <c r="N2470" s="161" t="s">
        <v>1331</v>
      </c>
      <c r="O2470" s="161" t="s">
        <v>14</v>
      </c>
      <c r="P2470" s="49" t="s">
        <v>14</v>
      </c>
      <c r="Q2470" s="166" t="s">
        <v>6057</v>
      </c>
      <c r="R2470" s="151"/>
    </row>
    <row r="2471" spans="1:18">
      <c r="A2471" s="190" t="s">
        <v>64</v>
      </c>
      <c r="B2471" s="101" t="s">
        <v>64</v>
      </c>
      <c r="C2471" s="87" t="s">
        <v>6058</v>
      </c>
      <c r="D2471" s="161" t="s">
        <v>1311</v>
      </c>
      <c r="E2471" s="161" t="s">
        <v>6043</v>
      </c>
      <c r="F2471" s="161" t="s">
        <v>6045</v>
      </c>
      <c r="G2471" s="171">
        <v>117.907</v>
      </c>
      <c r="H2471" s="163">
        <f t="shared" si="198"/>
        <v>8.837</v>
      </c>
      <c r="I2471" s="173">
        <v>937</v>
      </c>
      <c r="J2471" s="173">
        <f t="shared" si="199"/>
        <v>6566</v>
      </c>
      <c r="K2471" s="173">
        <v>86353</v>
      </c>
      <c r="L2471" s="174"/>
      <c r="M2471" s="161" t="s">
        <v>3174</v>
      </c>
      <c r="N2471" s="161" t="s">
        <v>1299</v>
      </c>
      <c r="O2471" s="161" t="s">
        <v>25</v>
      </c>
      <c r="P2471" s="49" t="s">
        <v>25</v>
      </c>
      <c r="Q2471" s="166" t="s">
        <v>6059</v>
      </c>
      <c r="R2471" s="151"/>
    </row>
    <row r="2472" spans="1:18">
      <c r="A2472" s="190" t="s">
        <v>64</v>
      </c>
      <c r="B2472" s="101" t="s">
        <v>64</v>
      </c>
      <c r="C2472" s="87" t="s">
        <v>6060</v>
      </c>
      <c r="D2472" s="161" t="s">
        <v>2258</v>
      </c>
      <c r="E2472" s="161" t="s">
        <v>6043</v>
      </c>
      <c r="F2472" s="161" t="s">
        <v>6045</v>
      </c>
      <c r="G2472" s="171">
        <v>135.127</v>
      </c>
      <c r="H2472" s="163">
        <f t="shared" si="198"/>
        <v>17.22</v>
      </c>
      <c r="I2472" s="173">
        <v>1015</v>
      </c>
      <c r="J2472" s="173">
        <f t="shared" si="199"/>
        <v>12743</v>
      </c>
      <c r="K2472" s="173">
        <v>99096</v>
      </c>
      <c r="L2472" s="174"/>
      <c r="M2472" s="161" t="s">
        <v>3174</v>
      </c>
      <c r="N2472" s="161" t="s">
        <v>1901</v>
      </c>
      <c r="O2472" s="161" t="s">
        <v>26</v>
      </c>
      <c r="P2472" s="49" t="s">
        <v>26</v>
      </c>
      <c r="Q2472" s="166" t="s">
        <v>6061</v>
      </c>
      <c r="R2472" s="151"/>
    </row>
    <row r="2473" ht="45" spans="1:18">
      <c r="A2473" s="190" t="s">
        <v>64</v>
      </c>
      <c r="B2473" s="101" t="s">
        <v>64</v>
      </c>
      <c r="C2473" s="87" t="s">
        <v>6062</v>
      </c>
      <c r="D2473" s="161" t="s">
        <v>6062</v>
      </c>
      <c r="E2473" s="161" t="s">
        <v>6043</v>
      </c>
      <c r="F2473" s="161" t="s">
        <v>6063</v>
      </c>
      <c r="G2473" s="171">
        <v>156.73</v>
      </c>
      <c r="H2473" s="163">
        <f t="shared" si="198"/>
        <v>21.603</v>
      </c>
      <c r="I2473" s="173">
        <v>1840</v>
      </c>
      <c r="J2473" s="173">
        <f t="shared" si="199"/>
        <v>20721</v>
      </c>
      <c r="K2473" s="173">
        <v>119817</v>
      </c>
      <c r="L2473" s="174" t="s">
        <v>6064</v>
      </c>
      <c r="M2473" s="161" t="s">
        <v>3174</v>
      </c>
      <c r="N2473" s="161" t="s">
        <v>1331</v>
      </c>
      <c r="O2473" s="161" t="s">
        <v>14</v>
      </c>
      <c r="P2473" s="49" t="s">
        <v>14</v>
      </c>
      <c r="Q2473" s="166" t="s">
        <v>6065</v>
      </c>
      <c r="R2473" s="151"/>
    </row>
    <row r="2474" spans="1:18">
      <c r="A2474" s="190" t="s">
        <v>64</v>
      </c>
      <c r="B2474" s="101" t="s">
        <v>64</v>
      </c>
      <c r="C2474" s="87" t="s">
        <v>6066</v>
      </c>
      <c r="D2474" s="161" t="s">
        <v>1321</v>
      </c>
      <c r="E2474" s="161" t="s">
        <v>6043</v>
      </c>
      <c r="F2474" s="161" t="s">
        <v>6063</v>
      </c>
      <c r="G2474" s="171">
        <v>164.907</v>
      </c>
      <c r="H2474" s="163">
        <f t="shared" si="198"/>
        <v>8.17700000000002</v>
      </c>
      <c r="I2474" s="173">
        <v>1952</v>
      </c>
      <c r="J2474" s="173">
        <f t="shared" si="199"/>
        <v>1655</v>
      </c>
      <c r="K2474" s="173">
        <v>121472</v>
      </c>
      <c r="L2474" s="174"/>
      <c r="M2474" s="161" t="s">
        <v>3174</v>
      </c>
      <c r="N2474" s="161" t="s">
        <v>1299</v>
      </c>
      <c r="O2474" s="161" t="s">
        <v>25</v>
      </c>
      <c r="P2474" s="49" t="s">
        <v>25</v>
      </c>
      <c r="Q2474" s="166" t="s">
        <v>6067</v>
      </c>
      <c r="R2474" s="151"/>
    </row>
    <row r="2475" spans="1:18">
      <c r="A2475" s="190" t="s">
        <v>64</v>
      </c>
      <c r="B2475" s="101" t="s">
        <v>64</v>
      </c>
      <c r="C2475" s="87" t="s">
        <v>6068</v>
      </c>
      <c r="D2475" s="161" t="s">
        <v>1324</v>
      </c>
      <c r="E2475" s="161" t="s">
        <v>6043</v>
      </c>
      <c r="F2475" s="161" t="s">
        <v>6063</v>
      </c>
      <c r="G2475" s="171">
        <v>196.593</v>
      </c>
      <c r="H2475" s="163">
        <f t="shared" si="198"/>
        <v>31.686</v>
      </c>
      <c r="I2475" s="173">
        <v>949</v>
      </c>
      <c r="J2475" s="173">
        <f t="shared" si="199"/>
        <v>23359</v>
      </c>
      <c r="K2475" s="173">
        <v>144831</v>
      </c>
      <c r="L2475" s="174"/>
      <c r="M2475" s="161" t="s">
        <v>3174</v>
      </c>
      <c r="N2475" s="161" t="s">
        <v>1299</v>
      </c>
      <c r="O2475" s="161" t="s">
        <v>25</v>
      </c>
      <c r="P2475" s="49" t="s">
        <v>25</v>
      </c>
      <c r="Q2475" s="166" t="s">
        <v>6069</v>
      </c>
      <c r="R2475" s="151"/>
    </row>
    <row r="2476" spans="1:18">
      <c r="A2476" s="190" t="s">
        <v>64</v>
      </c>
      <c r="B2476" s="101" t="s">
        <v>64</v>
      </c>
      <c r="C2476" s="87" t="s">
        <v>6070</v>
      </c>
      <c r="D2476" s="161" t="s">
        <v>1327</v>
      </c>
      <c r="E2476" s="161" t="s">
        <v>6043</v>
      </c>
      <c r="F2476" s="161" t="s">
        <v>6063</v>
      </c>
      <c r="G2476" s="171">
        <v>224.54</v>
      </c>
      <c r="H2476" s="163">
        <f t="shared" si="198"/>
        <v>27.947</v>
      </c>
      <c r="I2476" s="173">
        <v>1835</v>
      </c>
      <c r="J2476" s="173">
        <f t="shared" si="199"/>
        <v>19867</v>
      </c>
      <c r="K2476" s="173">
        <v>164698</v>
      </c>
      <c r="L2476" s="174"/>
      <c r="M2476" s="161" t="s">
        <v>3174</v>
      </c>
      <c r="N2476" s="161" t="s">
        <v>1299</v>
      </c>
      <c r="O2476" s="161" t="s">
        <v>25</v>
      </c>
      <c r="P2476" s="49" t="s">
        <v>25</v>
      </c>
      <c r="Q2476" s="166" t="s">
        <v>6071</v>
      </c>
      <c r="R2476" s="151"/>
    </row>
    <row r="2477" spans="1:18">
      <c r="A2477" s="190" t="s">
        <v>64</v>
      </c>
      <c r="B2477" s="101" t="s">
        <v>64</v>
      </c>
      <c r="C2477" s="87" t="s">
        <v>6072</v>
      </c>
      <c r="D2477" s="161" t="s">
        <v>1334</v>
      </c>
      <c r="E2477" s="161" t="s">
        <v>6043</v>
      </c>
      <c r="F2477" s="161" t="s">
        <v>6063</v>
      </c>
      <c r="G2477" s="171">
        <v>240.127</v>
      </c>
      <c r="H2477" s="163">
        <f t="shared" si="198"/>
        <v>15.587</v>
      </c>
      <c r="I2477" s="173">
        <v>1644</v>
      </c>
      <c r="J2477" s="173">
        <f t="shared" si="199"/>
        <v>10700</v>
      </c>
      <c r="K2477" s="173">
        <v>175398</v>
      </c>
      <c r="L2477" s="174"/>
      <c r="M2477" s="161" t="s">
        <v>3174</v>
      </c>
      <c r="N2477" s="161" t="s">
        <v>1299</v>
      </c>
      <c r="O2477" s="161" t="s">
        <v>26</v>
      </c>
      <c r="P2477" s="49" t="s">
        <v>25</v>
      </c>
      <c r="Q2477" s="166" t="s">
        <v>6073</v>
      </c>
      <c r="R2477" s="151"/>
    </row>
    <row r="2478" ht="60" spans="1:18">
      <c r="A2478" s="190" t="s">
        <v>64</v>
      </c>
      <c r="B2478" s="101" t="s">
        <v>64</v>
      </c>
      <c r="C2478" s="87" t="s">
        <v>6074</v>
      </c>
      <c r="D2478" s="161" t="s">
        <v>6074</v>
      </c>
      <c r="E2478" s="161" t="s">
        <v>6043</v>
      </c>
      <c r="F2478" s="161" t="s">
        <v>6063</v>
      </c>
      <c r="G2478" s="171">
        <v>253.29</v>
      </c>
      <c r="H2478" s="163">
        <f t="shared" si="198"/>
        <v>13.163</v>
      </c>
      <c r="I2478" s="173">
        <v>1670</v>
      </c>
      <c r="J2478" s="173">
        <f t="shared" si="199"/>
        <v>11348</v>
      </c>
      <c r="K2478" s="173">
        <v>186746</v>
      </c>
      <c r="L2478" s="174" t="s">
        <v>6075</v>
      </c>
      <c r="M2478" s="161" t="s">
        <v>3174</v>
      </c>
      <c r="N2478" s="161" t="s">
        <v>1331</v>
      </c>
      <c r="O2478" s="161" t="s">
        <v>6</v>
      </c>
      <c r="P2478" s="49" t="s">
        <v>6</v>
      </c>
      <c r="Q2478" s="166" t="s">
        <v>6076</v>
      </c>
      <c r="R2478" s="151"/>
    </row>
    <row r="2479" spans="1:18">
      <c r="A2479" s="190" t="s">
        <v>64</v>
      </c>
      <c r="B2479" s="101" t="s">
        <v>64</v>
      </c>
      <c r="C2479" s="87" t="s">
        <v>6077</v>
      </c>
      <c r="D2479" s="161" t="s">
        <v>1338</v>
      </c>
      <c r="E2479" s="161" t="s">
        <v>6043</v>
      </c>
      <c r="F2479" s="161" t="s">
        <v>6063</v>
      </c>
      <c r="G2479" s="171">
        <v>264.028</v>
      </c>
      <c r="H2479" s="163">
        <f t="shared" si="198"/>
        <v>10.738</v>
      </c>
      <c r="I2479" s="173">
        <v>2402</v>
      </c>
      <c r="J2479" s="173">
        <f t="shared" si="199"/>
        <v>7313</v>
      </c>
      <c r="K2479" s="173">
        <v>194059</v>
      </c>
      <c r="L2479" s="174"/>
      <c r="M2479" s="161" t="s">
        <v>3174</v>
      </c>
      <c r="N2479" s="161" t="s">
        <v>1299</v>
      </c>
      <c r="O2479" s="161" t="s">
        <v>26</v>
      </c>
      <c r="P2479" s="49" t="s">
        <v>25</v>
      </c>
      <c r="Q2479" s="166" t="s">
        <v>6078</v>
      </c>
      <c r="R2479" s="151"/>
    </row>
    <row r="2480" spans="1:18">
      <c r="A2480" s="190" t="s">
        <v>64</v>
      </c>
      <c r="B2480" s="101" t="s">
        <v>64</v>
      </c>
      <c r="C2480" s="87" t="s">
        <v>6079</v>
      </c>
      <c r="D2480" s="161" t="s">
        <v>1344</v>
      </c>
      <c r="E2480" s="161" t="s">
        <v>6043</v>
      </c>
      <c r="F2480" s="161" t="s">
        <v>6063</v>
      </c>
      <c r="G2480" s="171">
        <v>276.99</v>
      </c>
      <c r="H2480" s="163">
        <f t="shared" si="198"/>
        <v>12.962</v>
      </c>
      <c r="I2480" s="173">
        <v>1327</v>
      </c>
      <c r="J2480" s="173">
        <f t="shared" si="199"/>
        <v>11028</v>
      </c>
      <c r="K2480" s="173">
        <v>205087</v>
      </c>
      <c r="L2480" s="174"/>
      <c r="M2480" s="161" t="s">
        <v>3174</v>
      </c>
      <c r="N2480" s="161" t="s">
        <v>1299</v>
      </c>
      <c r="O2480" s="161" t="s">
        <v>25</v>
      </c>
      <c r="P2480" s="49" t="s">
        <v>25</v>
      </c>
      <c r="Q2480" s="166" t="s">
        <v>6080</v>
      </c>
      <c r="R2480" s="151"/>
    </row>
    <row r="2481" spans="1:18">
      <c r="A2481" s="190" t="s">
        <v>64</v>
      </c>
      <c r="B2481" s="101" t="s">
        <v>64</v>
      </c>
      <c r="C2481" s="87" t="s">
        <v>6081</v>
      </c>
      <c r="D2481" s="161" t="s">
        <v>1346</v>
      </c>
      <c r="E2481" s="161" t="s">
        <v>6043</v>
      </c>
      <c r="F2481" s="161" t="s">
        <v>6063</v>
      </c>
      <c r="G2481" s="171">
        <v>308.13</v>
      </c>
      <c r="H2481" s="163">
        <f t="shared" si="198"/>
        <v>31.14</v>
      </c>
      <c r="I2481" s="173">
        <v>1546</v>
      </c>
      <c r="J2481" s="173">
        <f t="shared" si="199"/>
        <v>19767</v>
      </c>
      <c r="K2481" s="173">
        <v>224854</v>
      </c>
      <c r="L2481" s="174"/>
      <c r="M2481" s="161" t="s">
        <v>3174</v>
      </c>
      <c r="N2481" s="161" t="s">
        <v>1299</v>
      </c>
      <c r="O2481" s="161" t="s">
        <v>25</v>
      </c>
      <c r="P2481" s="49" t="s">
        <v>25</v>
      </c>
      <c r="Q2481" s="166" t="s">
        <v>6082</v>
      </c>
      <c r="R2481" s="151"/>
    </row>
    <row r="2482" spans="1:18">
      <c r="A2482" s="190" t="s">
        <v>64</v>
      </c>
      <c r="B2482" s="101" t="s">
        <v>64</v>
      </c>
      <c r="C2482" s="87" t="s">
        <v>6083</v>
      </c>
      <c r="D2482" s="161" t="s">
        <v>1349</v>
      </c>
      <c r="E2482" s="161" t="s">
        <v>6043</v>
      </c>
      <c r="F2482" s="161" t="s">
        <v>6063</v>
      </c>
      <c r="G2482" s="171">
        <v>334.72</v>
      </c>
      <c r="H2482" s="163">
        <f t="shared" si="198"/>
        <v>26.59</v>
      </c>
      <c r="I2482" s="173">
        <v>1780</v>
      </c>
      <c r="J2482" s="173">
        <f t="shared" si="199"/>
        <v>20210</v>
      </c>
      <c r="K2482" s="173">
        <v>245064</v>
      </c>
      <c r="L2482" s="174"/>
      <c r="M2482" s="161" t="s">
        <v>3174</v>
      </c>
      <c r="N2482" s="161" t="s">
        <v>1299</v>
      </c>
      <c r="O2482" s="161" t="s">
        <v>26</v>
      </c>
      <c r="P2482" s="49" t="s">
        <v>25</v>
      </c>
      <c r="Q2482" s="166" t="s">
        <v>6084</v>
      </c>
      <c r="R2482" s="151"/>
    </row>
    <row r="2483" spans="1:18">
      <c r="A2483" s="190" t="s">
        <v>64</v>
      </c>
      <c r="B2483" s="101" t="s">
        <v>64</v>
      </c>
      <c r="C2483" s="87" t="s">
        <v>6085</v>
      </c>
      <c r="D2483" s="161" t="s">
        <v>1352</v>
      </c>
      <c r="E2483" s="161" t="s">
        <v>6043</v>
      </c>
      <c r="F2483" s="161" t="s">
        <v>6063</v>
      </c>
      <c r="G2483" s="171">
        <v>361.84</v>
      </c>
      <c r="H2483" s="163">
        <f t="shared" si="198"/>
        <v>27.1199999999999</v>
      </c>
      <c r="I2483" s="173">
        <v>1382</v>
      </c>
      <c r="J2483" s="173">
        <f t="shared" si="199"/>
        <v>20111</v>
      </c>
      <c r="K2483" s="173">
        <v>265175</v>
      </c>
      <c r="L2483" s="174"/>
      <c r="M2483" s="161" t="s">
        <v>3174</v>
      </c>
      <c r="N2483" s="161" t="s">
        <v>1299</v>
      </c>
      <c r="O2483" s="161" t="s">
        <v>25</v>
      </c>
      <c r="P2483" s="49" t="s">
        <v>25</v>
      </c>
      <c r="Q2483" s="166" t="s">
        <v>6086</v>
      </c>
      <c r="R2483" s="151"/>
    </row>
    <row r="2484" spans="1:18">
      <c r="A2484" s="190" t="s">
        <v>64</v>
      </c>
      <c r="B2484" s="101" t="s">
        <v>64</v>
      </c>
      <c r="C2484" s="87" t="s">
        <v>6087</v>
      </c>
      <c r="D2484" s="161" t="s">
        <v>2294</v>
      </c>
      <c r="E2484" s="161" t="s">
        <v>6043</v>
      </c>
      <c r="F2484" s="161" t="s">
        <v>6088</v>
      </c>
      <c r="G2484" s="171">
        <v>391.542</v>
      </c>
      <c r="H2484" s="163">
        <f t="shared" si="198"/>
        <v>29.702</v>
      </c>
      <c r="I2484" s="173">
        <v>1864</v>
      </c>
      <c r="J2484" s="173">
        <f t="shared" si="199"/>
        <v>22734</v>
      </c>
      <c r="K2484" s="173">
        <v>287909</v>
      </c>
      <c r="L2484" s="174"/>
      <c r="M2484" s="161" t="s">
        <v>3174</v>
      </c>
      <c r="N2484" s="161" t="s">
        <v>1901</v>
      </c>
      <c r="O2484" s="161" t="s">
        <v>26</v>
      </c>
      <c r="P2484" s="49" t="s">
        <v>26</v>
      </c>
      <c r="Q2484" s="166" t="s">
        <v>6089</v>
      </c>
      <c r="R2484" s="151"/>
    </row>
    <row r="2485" ht="60" spans="1:18">
      <c r="A2485" s="190" t="s">
        <v>64</v>
      </c>
      <c r="B2485" s="101" t="s">
        <v>64</v>
      </c>
      <c r="C2485" s="87" t="s">
        <v>654</v>
      </c>
      <c r="D2485" s="161" t="s">
        <v>654</v>
      </c>
      <c r="E2485" s="161" t="s">
        <v>6043</v>
      </c>
      <c r="F2485" s="161" t="s">
        <v>6088</v>
      </c>
      <c r="G2485" s="171">
        <v>412.8</v>
      </c>
      <c r="H2485" s="163">
        <f t="shared" si="198"/>
        <v>21.258</v>
      </c>
      <c r="I2485" s="173">
        <v>1820</v>
      </c>
      <c r="J2485" s="173">
        <f t="shared" si="199"/>
        <v>15618</v>
      </c>
      <c r="K2485" s="173">
        <v>303527</v>
      </c>
      <c r="L2485" s="174" t="s">
        <v>6090</v>
      </c>
      <c r="M2485" s="161" t="s">
        <v>3174</v>
      </c>
      <c r="N2485" s="161" t="s">
        <v>1331</v>
      </c>
      <c r="O2485" s="161" t="s">
        <v>14</v>
      </c>
      <c r="P2485" s="49" t="s">
        <v>14</v>
      </c>
      <c r="Q2485" s="166" t="s">
        <v>6091</v>
      </c>
      <c r="R2485" s="151"/>
    </row>
    <row r="2486" spans="1:18">
      <c r="A2486" s="190" t="s">
        <v>64</v>
      </c>
      <c r="B2486" s="101" t="s">
        <v>64</v>
      </c>
      <c r="C2486" s="87" t="s">
        <v>6092</v>
      </c>
      <c r="D2486" s="161" t="s">
        <v>1356</v>
      </c>
      <c r="E2486" s="161" t="s">
        <v>6043</v>
      </c>
      <c r="F2486" s="161" t="s">
        <v>6088</v>
      </c>
      <c r="G2486" s="171">
        <v>437.6</v>
      </c>
      <c r="H2486" s="163">
        <f t="shared" si="198"/>
        <v>24.8</v>
      </c>
      <c r="I2486" s="173">
        <v>1989</v>
      </c>
      <c r="J2486" s="173">
        <f t="shared" si="199"/>
        <v>19219</v>
      </c>
      <c r="K2486" s="173">
        <v>322746</v>
      </c>
      <c r="L2486" s="174"/>
      <c r="M2486" s="161" t="s">
        <v>3174</v>
      </c>
      <c r="N2486" s="161" t="s">
        <v>1299</v>
      </c>
      <c r="O2486" s="161" t="s">
        <v>25</v>
      </c>
      <c r="P2486" s="49" t="s">
        <v>25</v>
      </c>
      <c r="Q2486" s="166" t="s">
        <v>6093</v>
      </c>
      <c r="R2486" s="151"/>
    </row>
    <row r="2487" spans="1:18">
      <c r="A2487" s="190" t="s">
        <v>64</v>
      </c>
      <c r="B2487" s="101" t="s">
        <v>64</v>
      </c>
      <c r="C2487" s="87" t="s">
        <v>6094</v>
      </c>
      <c r="D2487" s="161" t="s">
        <v>1358</v>
      </c>
      <c r="E2487" s="161" t="s">
        <v>6043</v>
      </c>
      <c r="F2487" s="161" t="s">
        <v>6088</v>
      </c>
      <c r="G2487" s="171">
        <v>469.682</v>
      </c>
      <c r="H2487" s="163">
        <f t="shared" si="198"/>
        <v>32.082</v>
      </c>
      <c r="I2487" s="173">
        <v>2339</v>
      </c>
      <c r="J2487" s="173">
        <f t="shared" si="199"/>
        <v>23763</v>
      </c>
      <c r="K2487" s="173">
        <v>346509</v>
      </c>
      <c r="L2487" s="174"/>
      <c r="M2487" s="161" t="s">
        <v>3174</v>
      </c>
      <c r="N2487" s="161" t="s">
        <v>1299</v>
      </c>
      <c r="O2487" s="161" t="s">
        <v>25</v>
      </c>
      <c r="P2487" s="49" t="s">
        <v>25</v>
      </c>
      <c r="Q2487" s="166" t="s">
        <v>6093</v>
      </c>
      <c r="R2487" s="151"/>
    </row>
    <row r="2488" spans="1:18">
      <c r="A2488" s="190" t="s">
        <v>64</v>
      </c>
      <c r="B2488" s="101" t="s">
        <v>64</v>
      </c>
      <c r="C2488" s="87" t="s">
        <v>6095</v>
      </c>
      <c r="D2488" s="161" t="s">
        <v>1361</v>
      </c>
      <c r="E2488" s="161" t="s">
        <v>6043</v>
      </c>
      <c r="F2488" s="161" t="s">
        <v>6096</v>
      </c>
      <c r="G2488" s="171">
        <v>504.188</v>
      </c>
      <c r="H2488" s="163">
        <f t="shared" si="198"/>
        <v>34.506</v>
      </c>
      <c r="I2488" s="173">
        <v>1959</v>
      </c>
      <c r="J2488" s="173">
        <f t="shared" si="199"/>
        <v>23467</v>
      </c>
      <c r="K2488" s="173">
        <v>369976</v>
      </c>
      <c r="L2488" s="174"/>
      <c r="M2488" s="161" t="s">
        <v>3174</v>
      </c>
      <c r="N2488" s="161" t="s">
        <v>1299</v>
      </c>
      <c r="O2488" s="161" t="s">
        <v>25</v>
      </c>
      <c r="P2488" s="49" t="s">
        <v>25</v>
      </c>
      <c r="Q2488" s="166" t="s">
        <v>6097</v>
      </c>
      <c r="R2488" s="151"/>
    </row>
    <row r="2489" spans="1:18">
      <c r="A2489" s="190" t="s">
        <v>64</v>
      </c>
      <c r="B2489" s="101" t="s">
        <v>64</v>
      </c>
      <c r="C2489" s="87" t="s">
        <v>6098</v>
      </c>
      <c r="D2489" s="161" t="s">
        <v>1363</v>
      </c>
      <c r="E2489" s="161" t="s">
        <v>6043</v>
      </c>
      <c r="F2489" s="161" t="s">
        <v>6096</v>
      </c>
      <c r="G2489" s="171">
        <v>525.64</v>
      </c>
      <c r="H2489" s="163">
        <f t="shared" si="198"/>
        <v>21.452</v>
      </c>
      <c r="I2489" s="173">
        <v>1908</v>
      </c>
      <c r="J2489" s="173">
        <f t="shared" si="199"/>
        <v>17853</v>
      </c>
      <c r="K2489" s="173">
        <v>387829</v>
      </c>
      <c r="L2489" s="174"/>
      <c r="M2489" s="161" t="s">
        <v>3174</v>
      </c>
      <c r="N2489" s="161" t="s">
        <v>1299</v>
      </c>
      <c r="O2489" s="161" t="s">
        <v>25</v>
      </c>
      <c r="P2489" s="49" t="s">
        <v>25</v>
      </c>
      <c r="Q2489" s="166" t="s">
        <v>6099</v>
      </c>
      <c r="R2489" s="151"/>
    </row>
    <row r="2490" spans="1:18">
      <c r="A2490" s="190" t="s">
        <v>64</v>
      </c>
      <c r="B2490" s="101" t="s">
        <v>64</v>
      </c>
      <c r="C2490" s="87" t="s">
        <v>6100</v>
      </c>
      <c r="D2490" s="161" t="s">
        <v>1365</v>
      </c>
      <c r="E2490" s="161" t="s">
        <v>6043</v>
      </c>
      <c r="F2490" s="161" t="s">
        <v>6096</v>
      </c>
      <c r="G2490" s="171">
        <v>547.65</v>
      </c>
      <c r="H2490" s="163">
        <f t="shared" si="198"/>
        <v>22.01</v>
      </c>
      <c r="I2490" s="173">
        <v>1850</v>
      </c>
      <c r="J2490" s="173">
        <f t="shared" si="199"/>
        <v>16152</v>
      </c>
      <c r="K2490" s="173">
        <v>403981</v>
      </c>
      <c r="L2490" s="174"/>
      <c r="M2490" s="161" t="s">
        <v>3174</v>
      </c>
      <c r="N2490" s="161" t="s">
        <v>1299</v>
      </c>
      <c r="O2490" s="161" t="s">
        <v>25</v>
      </c>
      <c r="P2490" s="49" t="s">
        <v>25</v>
      </c>
      <c r="Q2490" s="166" t="s">
        <v>6101</v>
      </c>
      <c r="R2490" s="151"/>
    </row>
    <row r="2491" spans="1:18">
      <c r="A2491" s="190" t="s">
        <v>64</v>
      </c>
      <c r="B2491" s="101" t="s">
        <v>64</v>
      </c>
      <c r="C2491" s="87" t="s">
        <v>6102</v>
      </c>
      <c r="D2491" s="161" t="s">
        <v>6102</v>
      </c>
      <c r="E2491" s="161" t="s">
        <v>6043</v>
      </c>
      <c r="F2491" s="161" t="s">
        <v>6096</v>
      </c>
      <c r="G2491" s="171">
        <v>569.52</v>
      </c>
      <c r="H2491" s="163">
        <f t="shared" si="198"/>
        <v>21.87</v>
      </c>
      <c r="I2491" s="173">
        <v>1810</v>
      </c>
      <c r="J2491" s="173">
        <f t="shared" si="199"/>
        <v>17472</v>
      </c>
      <c r="K2491" s="173">
        <v>421453</v>
      </c>
      <c r="L2491" s="174"/>
      <c r="M2491" s="161" t="s">
        <v>3174</v>
      </c>
      <c r="N2491" s="161" t="s">
        <v>1331</v>
      </c>
      <c r="O2491" s="161" t="s">
        <v>14</v>
      </c>
      <c r="P2491" s="49" t="s">
        <v>14</v>
      </c>
      <c r="Q2491" s="166" t="s">
        <v>6103</v>
      </c>
      <c r="R2491" s="151"/>
    </row>
    <row r="2492" spans="1:18">
      <c r="A2492" s="190" t="s">
        <v>64</v>
      </c>
      <c r="B2492" s="101" t="s">
        <v>64</v>
      </c>
      <c r="C2492" s="87" t="s">
        <v>6104</v>
      </c>
      <c r="D2492" s="161" t="s">
        <v>2317</v>
      </c>
      <c r="E2492" s="161" t="s">
        <v>6043</v>
      </c>
      <c r="F2492" s="161" t="s">
        <v>6096</v>
      </c>
      <c r="G2492" s="171">
        <v>595.117</v>
      </c>
      <c r="H2492" s="163">
        <f t="shared" si="198"/>
        <v>25.597</v>
      </c>
      <c r="I2492" s="173">
        <v>1459</v>
      </c>
      <c r="J2492" s="173">
        <f t="shared" si="199"/>
        <v>20042</v>
      </c>
      <c r="K2492" s="173">
        <v>441495</v>
      </c>
      <c r="L2492" s="174"/>
      <c r="M2492" s="161" t="s">
        <v>3174</v>
      </c>
      <c r="N2492" s="161" t="s">
        <v>1901</v>
      </c>
      <c r="O2492" s="161" t="s">
        <v>26</v>
      </c>
      <c r="P2492" s="49" t="s">
        <v>26</v>
      </c>
      <c r="Q2492" s="166" t="s">
        <v>6105</v>
      </c>
      <c r="R2492" s="151"/>
    </row>
    <row r="2493" ht="60" spans="1:18">
      <c r="A2493" s="190" t="s">
        <v>64</v>
      </c>
      <c r="B2493" s="101" t="s">
        <v>64</v>
      </c>
      <c r="C2493" s="87" t="s">
        <v>635</v>
      </c>
      <c r="D2493" s="161" t="s">
        <v>635</v>
      </c>
      <c r="E2493" s="161" t="s">
        <v>6043</v>
      </c>
      <c r="F2493" s="161" t="s">
        <v>6096</v>
      </c>
      <c r="G2493" s="171">
        <v>617.82</v>
      </c>
      <c r="H2493" s="163">
        <f t="shared" si="198"/>
        <v>22.7030000000001</v>
      </c>
      <c r="I2493" s="173">
        <v>1644</v>
      </c>
      <c r="J2493" s="173">
        <f t="shared" si="199"/>
        <v>17472</v>
      </c>
      <c r="K2493" s="173">
        <v>458967</v>
      </c>
      <c r="L2493" s="174" t="s">
        <v>6106</v>
      </c>
      <c r="M2493" s="161" t="s">
        <v>3174</v>
      </c>
      <c r="N2493" s="161" t="s">
        <v>1331</v>
      </c>
      <c r="O2493" s="161" t="s">
        <v>14</v>
      </c>
      <c r="P2493" s="49" t="s">
        <v>14</v>
      </c>
      <c r="Q2493" s="166" t="s">
        <v>6107</v>
      </c>
      <c r="R2493" s="151"/>
    </row>
    <row r="2494" spans="1:18">
      <c r="A2494" s="190" t="s">
        <v>64</v>
      </c>
      <c r="B2494" s="101" t="s">
        <v>64</v>
      </c>
      <c r="C2494" s="87" t="s">
        <v>6108</v>
      </c>
      <c r="D2494" s="161" t="s">
        <v>1370</v>
      </c>
      <c r="E2494" s="161" t="s">
        <v>6043</v>
      </c>
      <c r="F2494" s="161" t="s">
        <v>6096</v>
      </c>
      <c r="G2494" s="171">
        <v>648.697</v>
      </c>
      <c r="H2494" s="163">
        <f t="shared" si="198"/>
        <v>30.877</v>
      </c>
      <c r="I2494" s="173">
        <v>1877</v>
      </c>
      <c r="J2494" s="173">
        <f t="shared" si="199"/>
        <v>24206</v>
      </c>
      <c r="K2494" s="173">
        <v>483173</v>
      </c>
      <c r="L2494" s="174"/>
      <c r="M2494" s="161" t="s">
        <v>3174</v>
      </c>
      <c r="N2494" s="161" t="s">
        <v>1299</v>
      </c>
      <c r="O2494" s="161" t="s">
        <v>26</v>
      </c>
      <c r="P2494" s="49" t="s">
        <v>25</v>
      </c>
      <c r="Q2494" s="166" t="s">
        <v>6109</v>
      </c>
      <c r="R2494" s="151"/>
    </row>
    <row r="2495" spans="1:18">
      <c r="A2495" s="190" t="s">
        <v>64</v>
      </c>
      <c r="B2495" s="101" t="s">
        <v>64</v>
      </c>
      <c r="C2495" s="87" t="s">
        <v>6110</v>
      </c>
      <c r="D2495" s="161" t="s">
        <v>2323</v>
      </c>
      <c r="E2495" s="161" t="s">
        <v>6043</v>
      </c>
      <c r="F2495" s="161" t="s">
        <v>6111</v>
      </c>
      <c r="G2495" s="171">
        <v>681.03</v>
      </c>
      <c r="H2495" s="163">
        <f t="shared" si="198"/>
        <v>32.333</v>
      </c>
      <c r="I2495" s="173">
        <v>1825</v>
      </c>
      <c r="J2495" s="173">
        <f t="shared" si="199"/>
        <v>24366</v>
      </c>
      <c r="K2495" s="173">
        <v>507539</v>
      </c>
      <c r="L2495" s="174"/>
      <c r="M2495" s="161" t="s">
        <v>3174</v>
      </c>
      <c r="N2495" s="161" t="s">
        <v>1901</v>
      </c>
      <c r="O2495" s="161" t="s">
        <v>26</v>
      </c>
      <c r="P2495" s="49" t="s">
        <v>26</v>
      </c>
      <c r="Q2495" s="166" t="s">
        <v>6112</v>
      </c>
      <c r="R2495" s="151"/>
    </row>
    <row r="2496" spans="1:18">
      <c r="A2496" s="190" t="s">
        <v>64</v>
      </c>
      <c r="B2496" s="101" t="s">
        <v>64</v>
      </c>
      <c r="C2496" s="87" t="s">
        <v>6113</v>
      </c>
      <c r="D2496" s="161" t="s">
        <v>1374</v>
      </c>
      <c r="E2496" s="161" t="s">
        <v>6043</v>
      </c>
      <c r="F2496" s="161" t="s">
        <v>6111</v>
      </c>
      <c r="G2496" s="171">
        <v>712.348</v>
      </c>
      <c r="H2496" s="163">
        <f t="shared" si="198"/>
        <v>31.318</v>
      </c>
      <c r="I2496" s="173">
        <v>1766</v>
      </c>
      <c r="J2496" s="173">
        <f t="shared" si="199"/>
        <v>23794</v>
      </c>
      <c r="K2496" s="173">
        <v>531333</v>
      </c>
      <c r="L2496" s="174"/>
      <c r="M2496" s="161" t="s">
        <v>3174</v>
      </c>
      <c r="N2496" s="161" t="s">
        <v>1299</v>
      </c>
      <c r="O2496" s="161" t="s">
        <v>25</v>
      </c>
      <c r="P2496" s="49" t="s">
        <v>25</v>
      </c>
      <c r="Q2496" s="166" t="s">
        <v>6114</v>
      </c>
      <c r="R2496" s="151"/>
    </row>
    <row r="2497" spans="1:18">
      <c r="A2497" s="190" t="s">
        <v>64</v>
      </c>
      <c r="B2497" s="101" t="s">
        <v>64</v>
      </c>
      <c r="C2497" s="87" t="s">
        <v>6115</v>
      </c>
      <c r="D2497" s="161" t="s">
        <v>1376</v>
      </c>
      <c r="E2497" s="161" t="s">
        <v>6043</v>
      </c>
      <c r="F2497" s="161" t="s">
        <v>6116</v>
      </c>
      <c r="G2497" s="171">
        <v>735.108</v>
      </c>
      <c r="H2497" s="163">
        <f t="shared" si="198"/>
        <v>22.76</v>
      </c>
      <c r="I2497" s="173">
        <v>2223</v>
      </c>
      <c r="J2497" s="173">
        <f t="shared" si="199"/>
        <v>17953</v>
      </c>
      <c r="K2497" s="173">
        <v>549286</v>
      </c>
      <c r="L2497" s="174"/>
      <c r="M2497" s="161" t="s">
        <v>3174</v>
      </c>
      <c r="N2497" s="161" t="s">
        <v>1299</v>
      </c>
      <c r="O2497" s="161" t="s">
        <v>25</v>
      </c>
      <c r="P2497" s="49" t="s">
        <v>25</v>
      </c>
      <c r="Q2497" s="166" t="s">
        <v>6117</v>
      </c>
      <c r="R2497" s="151"/>
    </row>
    <row r="2498" ht="30" spans="1:18">
      <c r="A2498" s="190" t="s">
        <v>64</v>
      </c>
      <c r="B2498" s="101" t="s">
        <v>64</v>
      </c>
      <c r="C2498" s="87" t="s">
        <v>6118</v>
      </c>
      <c r="D2498" s="161" t="s">
        <v>6118</v>
      </c>
      <c r="E2498" s="161" t="s">
        <v>6043</v>
      </c>
      <c r="F2498" s="161" t="s">
        <v>6116</v>
      </c>
      <c r="G2498" s="171">
        <v>760.97</v>
      </c>
      <c r="H2498" s="163">
        <f t="shared" si="198"/>
        <v>25.8620000000001</v>
      </c>
      <c r="I2498" s="173">
        <v>2220</v>
      </c>
      <c r="J2498" s="173">
        <f t="shared" si="199"/>
        <v>12629</v>
      </c>
      <c r="K2498" s="173">
        <v>561915</v>
      </c>
      <c r="L2498" s="174" t="s">
        <v>6119</v>
      </c>
      <c r="M2498" s="161" t="s">
        <v>3174</v>
      </c>
      <c r="N2498" s="161" t="s">
        <v>1331</v>
      </c>
      <c r="O2498" s="161" t="s">
        <v>14</v>
      </c>
      <c r="P2498" s="49" t="s">
        <v>14</v>
      </c>
      <c r="Q2498" s="166" t="s">
        <v>6120</v>
      </c>
      <c r="R2498" s="151"/>
    </row>
    <row r="2499" spans="1:18">
      <c r="A2499" s="190" t="s">
        <v>64</v>
      </c>
      <c r="B2499" s="101" t="s">
        <v>64</v>
      </c>
      <c r="C2499" s="87" t="s">
        <v>6121</v>
      </c>
      <c r="D2499" s="161" t="s">
        <v>1378</v>
      </c>
      <c r="E2499" s="161" t="s">
        <v>6043</v>
      </c>
      <c r="F2499" s="161" t="s">
        <v>6116</v>
      </c>
      <c r="G2499" s="171">
        <v>781.087</v>
      </c>
      <c r="H2499" s="163">
        <f t="shared" si="198"/>
        <v>20.117</v>
      </c>
      <c r="I2499" s="173">
        <v>2063</v>
      </c>
      <c r="J2499" s="173">
        <f t="shared" si="199"/>
        <v>21498</v>
      </c>
      <c r="K2499" s="173">
        <v>583413</v>
      </c>
      <c r="L2499" s="174"/>
      <c r="M2499" s="161" t="s">
        <v>3174</v>
      </c>
      <c r="N2499" s="161" t="s">
        <v>1299</v>
      </c>
      <c r="O2499" s="161" t="s">
        <v>25</v>
      </c>
      <c r="P2499" s="49" t="s">
        <v>25</v>
      </c>
      <c r="Q2499" s="166" t="s">
        <v>6122</v>
      </c>
      <c r="R2499" s="151"/>
    </row>
    <row r="2500" spans="1:18">
      <c r="A2500" s="190" t="s">
        <v>64</v>
      </c>
      <c r="B2500" s="101" t="s">
        <v>64</v>
      </c>
      <c r="C2500" s="87" t="s">
        <v>6123</v>
      </c>
      <c r="D2500" s="161" t="s">
        <v>1380</v>
      </c>
      <c r="E2500" s="161" t="s">
        <v>6043</v>
      </c>
      <c r="F2500" s="161" t="s">
        <v>6116</v>
      </c>
      <c r="G2500" s="171">
        <v>796.1</v>
      </c>
      <c r="H2500" s="163">
        <f t="shared" si="198"/>
        <v>15.013</v>
      </c>
      <c r="I2500" s="173">
        <v>2037</v>
      </c>
      <c r="J2500" s="173">
        <f t="shared" si="199"/>
        <v>11417</v>
      </c>
      <c r="K2500" s="173">
        <v>594830</v>
      </c>
      <c r="L2500" s="174"/>
      <c r="M2500" s="161" t="s">
        <v>3174</v>
      </c>
      <c r="N2500" s="161" t="s">
        <v>1299</v>
      </c>
      <c r="O2500" s="161" t="s">
        <v>26</v>
      </c>
      <c r="P2500" s="49" t="s">
        <v>25</v>
      </c>
      <c r="Q2500" s="166" t="s">
        <v>6124</v>
      </c>
      <c r="R2500" s="151"/>
    </row>
    <row r="2501" ht="45" spans="1:18">
      <c r="A2501" s="190" t="s">
        <v>64</v>
      </c>
      <c r="B2501" s="101" t="s">
        <v>64</v>
      </c>
      <c r="C2501" s="87" t="s">
        <v>6125</v>
      </c>
      <c r="D2501" s="161" t="s">
        <v>6125</v>
      </c>
      <c r="E2501" s="161" t="s">
        <v>6043</v>
      </c>
      <c r="F2501" s="161" t="s">
        <v>6116</v>
      </c>
      <c r="G2501" s="171">
        <v>820.93</v>
      </c>
      <c r="H2501" s="163">
        <f t="shared" si="198"/>
        <v>24.8299999999999</v>
      </c>
      <c r="I2501" s="173">
        <v>1930</v>
      </c>
      <c r="J2501" s="173">
        <f t="shared" si="199"/>
        <v>19348</v>
      </c>
      <c r="K2501" s="173">
        <v>614178</v>
      </c>
      <c r="L2501" s="174" t="s">
        <v>6126</v>
      </c>
      <c r="M2501" s="161" t="s">
        <v>3174</v>
      </c>
      <c r="N2501" s="161" t="s">
        <v>1331</v>
      </c>
      <c r="O2501" s="161" t="s">
        <v>14</v>
      </c>
      <c r="P2501" s="49" t="s">
        <v>14</v>
      </c>
      <c r="Q2501" s="166" t="s">
        <v>6127</v>
      </c>
      <c r="R2501" s="151"/>
    </row>
    <row r="2502" spans="1:18">
      <c r="A2502" s="190" t="s">
        <v>64</v>
      </c>
      <c r="B2502" s="101" t="s">
        <v>64</v>
      </c>
      <c r="C2502" s="87" t="s">
        <v>6128</v>
      </c>
      <c r="D2502" s="161" t="s">
        <v>1389</v>
      </c>
      <c r="E2502" s="161" t="s">
        <v>6043</v>
      </c>
      <c r="F2502" s="161" t="s">
        <v>6116</v>
      </c>
      <c r="G2502" s="171">
        <v>831.855</v>
      </c>
      <c r="H2502" s="163">
        <f t="shared" si="198"/>
        <v>10.9250000000001</v>
      </c>
      <c r="I2502" s="173">
        <v>2019</v>
      </c>
      <c r="J2502" s="173">
        <f t="shared" si="199"/>
        <v>8252</v>
      </c>
      <c r="K2502" s="173">
        <v>622430</v>
      </c>
      <c r="L2502" s="174"/>
      <c r="M2502" s="161" t="s">
        <v>3174</v>
      </c>
      <c r="N2502" s="161" t="s">
        <v>1299</v>
      </c>
      <c r="O2502" s="161" t="s">
        <v>25</v>
      </c>
      <c r="P2502" s="49" t="s">
        <v>25</v>
      </c>
      <c r="Q2502" s="166" t="s">
        <v>6129</v>
      </c>
      <c r="R2502" s="151"/>
    </row>
    <row r="2503" spans="1:18">
      <c r="A2503" s="190" t="s">
        <v>64</v>
      </c>
      <c r="B2503" s="101" t="s">
        <v>64</v>
      </c>
      <c r="C2503" s="87" t="s">
        <v>6130</v>
      </c>
      <c r="D2503" s="161" t="s">
        <v>2344</v>
      </c>
      <c r="E2503" s="161" t="s">
        <v>6043</v>
      </c>
      <c r="F2503" s="161" t="s">
        <v>6116</v>
      </c>
      <c r="G2503" s="171">
        <v>854.35</v>
      </c>
      <c r="H2503" s="163">
        <f t="shared" si="198"/>
        <v>22.495</v>
      </c>
      <c r="I2503" s="173">
        <v>2031</v>
      </c>
      <c r="J2503" s="173">
        <f t="shared" si="199"/>
        <v>17449</v>
      </c>
      <c r="K2503" s="173">
        <v>639879</v>
      </c>
      <c r="L2503" s="174"/>
      <c r="M2503" s="161" t="s">
        <v>3174</v>
      </c>
      <c r="N2503" s="161" t="s">
        <v>1901</v>
      </c>
      <c r="O2503" s="161" t="s">
        <v>26</v>
      </c>
      <c r="P2503" s="49" t="s">
        <v>26</v>
      </c>
      <c r="Q2503" s="166" t="s">
        <v>6131</v>
      </c>
      <c r="R2503" s="151"/>
    </row>
    <row r="2504" spans="1:18">
      <c r="A2504" s="190" t="s">
        <v>64</v>
      </c>
      <c r="B2504" s="101" t="s">
        <v>64</v>
      </c>
      <c r="C2504" s="87" t="s">
        <v>6132</v>
      </c>
      <c r="D2504" s="161" t="s">
        <v>1394</v>
      </c>
      <c r="E2504" s="161" t="s">
        <v>6043</v>
      </c>
      <c r="F2504" s="161" t="s">
        <v>6116</v>
      </c>
      <c r="G2504" s="171">
        <v>870.15</v>
      </c>
      <c r="H2504" s="163">
        <f t="shared" si="198"/>
        <v>15.8</v>
      </c>
      <c r="I2504" s="173">
        <v>2263</v>
      </c>
      <c r="J2504" s="173">
        <f t="shared" si="199"/>
        <v>12644</v>
      </c>
      <c r="K2504" s="173">
        <v>652523</v>
      </c>
      <c r="L2504" s="174"/>
      <c r="M2504" s="161" t="s">
        <v>3174</v>
      </c>
      <c r="N2504" s="161" t="s">
        <v>1299</v>
      </c>
      <c r="O2504" s="161" t="s">
        <v>25</v>
      </c>
      <c r="P2504" s="49" t="s">
        <v>25</v>
      </c>
      <c r="Q2504" s="166" t="s">
        <v>6133</v>
      </c>
      <c r="R2504" s="151"/>
    </row>
    <row r="2505" spans="1:18">
      <c r="A2505" s="190" t="s">
        <v>64</v>
      </c>
      <c r="B2505" s="101" t="s">
        <v>64</v>
      </c>
      <c r="C2505" s="87" t="s">
        <v>6134</v>
      </c>
      <c r="D2505" s="161" t="s">
        <v>2354</v>
      </c>
      <c r="E2505" s="161" t="s">
        <v>6043</v>
      </c>
      <c r="F2505" s="161" t="s">
        <v>6116</v>
      </c>
      <c r="G2505" s="171">
        <v>902.164</v>
      </c>
      <c r="H2505" s="163">
        <f t="shared" si="198"/>
        <v>32.014</v>
      </c>
      <c r="I2505" s="173">
        <v>1892</v>
      </c>
      <c r="J2505" s="173">
        <f t="shared" si="199"/>
        <v>23916</v>
      </c>
      <c r="K2505" s="173">
        <v>676439</v>
      </c>
      <c r="L2505" s="174"/>
      <c r="M2505" s="161" t="s">
        <v>3174</v>
      </c>
      <c r="N2505" s="161" t="s">
        <v>1901</v>
      </c>
      <c r="O2505" s="161" t="s">
        <v>26</v>
      </c>
      <c r="P2505" s="49" t="s">
        <v>26</v>
      </c>
      <c r="Q2505" s="166" t="s">
        <v>6135</v>
      </c>
      <c r="R2505" s="151"/>
    </row>
    <row r="2506" spans="1:18">
      <c r="A2506" s="190" t="s">
        <v>64</v>
      </c>
      <c r="B2506" s="101" t="s">
        <v>64</v>
      </c>
      <c r="C2506" s="87" t="s">
        <v>1247</v>
      </c>
      <c r="D2506" s="161" t="s">
        <v>1402</v>
      </c>
      <c r="E2506" s="161" t="s">
        <v>4952</v>
      </c>
      <c r="F2506" s="161" t="s">
        <v>6136</v>
      </c>
      <c r="G2506" s="171">
        <v>932.68</v>
      </c>
      <c r="H2506" s="163">
        <f t="shared" si="198"/>
        <v>30.516</v>
      </c>
      <c r="I2506" s="173">
        <v>1600</v>
      </c>
      <c r="J2506" s="173">
        <f t="shared" si="199"/>
        <v>23421</v>
      </c>
      <c r="K2506" s="173">
        <v>699860</v>
      </c>
      <c r="L2506" s="174"/>
      <c r="M2506" s="161" t="s">
        <v>3174</v>
      </c>
      <c r="N2506" s="161" t="s">
        <v>1299</v>
      </c>
      <c r="O2506" s="161" t="s">
        <v>25</v>
      </c>
      <c r="P2506" s="49" t="s">
        <v>25</v>
      </c>
      <c r="Q2506" s="166" t="s">
        <v>6137</v>
      </c>
      <c r="R2506" s="151"/>
    </row>
    <row r="2507" spans="1:18">
      <c r="A2507" s="190" t="s">
        <v>64</v>
      </c>
      <c r="B2507" s="101" t="s">
        <v>64</v>
      </c>
      <c r="C2507" s="87" t="s">
        <v>6138</v>
      </c>
      <c r="D2507" s="161" t="s">
        <v>1405</v>
      </c>
      <c r="E2507" s="161" t="s">
        <v>4952</v>
      </c>
      <c r="F2507" s="161" t="s">
        <v>6136</v>
      </c>
      <c r="G2507" s="171">
        <v>949.223</v>
      </c>
      <c r="H2507" s="163">
        <f t="shared" si="198"/>
        <v>16.543</v>
      </c>
      <c r="I2507" s="173">
        <v>1595</v>
      </c>
      <c r="J2507" s="173">
        <f t="shared" si="199"/>
        <v>16083</v>
      </c>
      <c r="K2507" s="173">
        <v>715943</v>
      </c>
      <c r="L2507" s="174"/>
      <c r="M2507" s="161" t="s">
        <v>3174</v>
      </c>
      <c r="N2507" s="161" t="s">
        <v>1299</v>
      </c>
      <c r="O2507" s="161" t="s">
        <v>25</v>
      </c>
      <c r="P2507" s="49" t="s">
        <v>25</v>
      </c>
      <c r="Q2507" s="166" t="s">
        <v>6139</v>
      </c>
      <c r="R2507" s="151"/>
    </row>
    <row r="2508" spans="1:18">
      <c r="A2508" s="190" t="s">
        <v>64</v>
      </c>
      <c r="B2508" s="101" t="s">
        <v>64</v>
      </c>
      <c r="C2508" s="87" t="s">
        <v>1262</v>
      </c>
      <c r="D2508" s="161" t="s">
        <v>1409</v>
      </c>
      <c r="E2508" s="161" t="s">
        <v>4952</v>
      </c>
      <c r="F2508" s="161" t="s">
        <v>6136</v>
      </c>
      <c r="G2508" s="171">
        <v>980.52</v>
      </c>
      <c r="H2508" s="163">
        <f t="shared" si="198"/>
        <v>31.297</v>
      </c>
      <c r="I2508" s="173">
        <v>1269</v>
      </c>
      <c r="J2508" s="173">
        <f t="shared" si="199"/>
        <v>20000</v>
      </c>
      <c r="K2508" s="173">
        <v>735943</v>
      </c>
      <c r="L2508" s="174"/>
      <c r="M2508" s="161" t="s">
        <v>3174</v>
      </c>
      <c r="N2508" s="161" t="s">
        <v>1299</v>
      </c>
      <c r="O2508" s="161" t="s">
        <v>25</v>
      </c>
      <c r="P2508" s="49" t="s">
        <v>25</v>
      </c>
      <c r="Q2508" s="166" t="s">
        <v>6140</v>
      </c>
      <c r="R2508" s="151"/>
    </row>
    <row r="2509" ht="30" spans="1:18">
      <c r="A2509" s="190" t="s">
        <v>64</v>
      </c>
      <c r="B2509" s="101" t="s">
        <v>64</v>
      </c>
      <c r="C2509" s="87" t="s">
        <v>6141</v>
      </c>
      <c r="D2509" s="161" t="s">
        <v>6142</v>
      </c>
      <c r="E2509" s="161" t="s">
        <v>4952</v>
      </c>
      <c r="F2509" s="161" t="s">
        <v>6136</v>
      </c>
      <c r="G2509" s="171">
        <v>1003.339</v>
      </c>
      <c r="H2509" s="163">
        <f t="shared" si="198"/>
        <v>22.8190000000001</v>
      </c>
      <c r="I2509" s="173">
        <v>1335</v>
      </c>
      <c r="J2509" s="173">
        <f t="shared" si="199"/>
        <v>19956</v>
      </c>
      <c r="K2509" s="173">
        <v>755899</v>
      </c>
      <c r="L2509" s="174" t="s">
        <v>6143</v>
      </c>
      <c r="M2509" s="161" t="s">
        <v>3174</v>
      </c>
      <c r="N2509" s="161" t="s">
        <v>1299</v>
      </c>
      <c r="O2509" s="161" t="s">
        <v>25</v>
      </c>
      <c r="P2509" s="49" t="s">
        <v>25</v>
      </c>
      <c r="Q2509" s="166" t="s">
        <v>6144</v>
      </c>
      <c r="R2509" s="151"/>
    </row>
    <row r="2510" ht="30" spans="1:18">
      <c r="A2510" s="190" t="s">
        <v>64</v>
      </c>
      <c r="B2510" s="101" t="s">
        <v>64</v>
      </c>
      <c r="C2510" s="87" t="s">
        <v>6145</v>
      </c>
      <c r="D2510" s="161" t="s">
        <v>1412</v>
      </c>
      <c r="E2510" s="161" t="s">
        <v>4952</v>
      </c>
      <c r="F2510" s="161" t="s">
        <v>6136</v>
      </c>
      <c r="G2510" s="171">
        <v>1017.564</v>
      </c>
      <c r="H2510" s="163">
        <f t="shared" si="198"/>
        <v>14.2249999999999</v>
      </c>
      <c r="I2510" s="173">
        <v>1363</v>
      </c>
      <c r="J2510" s="173">
        <f t="shared" si="199"/>
        <v>6908</v>
      </c>
      <c r="K2510" s="173">
        <v>762807</v>
      </c>
      <c r="L2510" s="174" t="s">
        <v>6143</v>
      </c>
      <c r="M2510" s="161" t="s">
        <v>3174</v>
      </c>
      <c r="N2510" s="161" t="s">
        <v>1299</v>
      </c>
      <c r="O2510" s="161" t="s">
        <v>25</v>
      </c>
      <c r="P2510" s="49" t="s">
        <v>25</v>
      </c>
      <c r="Q2510" s="166" t="s">
        <v>6146</v>
      </c>
      <c r="R2510" s="151"/>
    </row>
    <row r="2511" spans="1:18">
      <c r="A2511" s="190" t="s">
        <v>64</v>
      </c>
      <c r="B2511" s="101" t="s">
        <v>64</v>
      </c>
      <c r="C2511" s="87" t="s">
        <v>6147</v>
      </c>
      <c r="D2511" s="161" t="s">
        <v>1415</v>
      </c>
      <c r="E2511" s="161" t="s">
        <v>4952</v>
      </c>
      <c r="F2511" s="161" t="s">
        <v>6136</v>
      </c>
      <c r="G2511" s="171">
        <v>1038.35</v>
      </c>
      <c r="H2511" s="163">
        <f t="shared" si="198"/>
        <v>20.7859999999999</v>
      </c>
      <c r="I2511" s="173">
        <v>1165</v>
      </c>
      <c r="J2511" s="173">
        <f t="shared" si="199"/>
        <v>16801</v>
      </c>
      <c r="K2511" s="173">
        <v>779608</v>
      </c>
      <c r="L2511" s="174"/>
      <c r="M2511" s="161" t="s">
        <v>3174</v>
      </c>
      <c r="N2511" s="161" t="s">
        <v>1299</v>
      </c>
      <c r="O2511" s="161" t="s">
        <v>25</v>
      </c>
      <c r="P2511" s="49" t="s">
        <v>25</v>
      </c>
      <c r="Q2511" s="166" t="s">
        <v>6148</v>
      </c>
      <c r="R2511" s="151"/>
    </row>
    <row r="2512" spans="1:18">
      <c r="A2512" s="190" t="s">
        <v>64</v>
      </c>
      <c r="B2512" s="101" t="s">
        <v>64</v>
      </c>
      <c r="C2512" s="87" t="s">
        <v>1265</v>
      </c>
      <c r="D2512" s="161" t="s">
        <v>1421</v>
      </c>
      <c r="E2512" s="161" t="s">
        <v>4952</v>
      </c>
      <c r="F2512" s="161" t="s">
        <v>6136</v>
      </c>
      <c r="G2512" s="171">
        <v>1062.04</v>
      </c>
      <c r="H2512" s="163">
        <f t="shared" si="198"/>
        <v>23.6900000000001</v>
      </c>
      <c r="I2512" s="173">
        <v>1292</v>
      </c>
      <c r="J2512" s="173">
        <f t="shared" si="199"/>
        <v>17815</v>
      </c>
      <c r="K2512" s="173">
        <v>797423</v>
      </c>
      <c r="L2512" s="174"/>
      <c r="M2512" s="161" t="s">
        <v>3174</v>
      </c>
      <c r="N2512" s="161" t="s">
        <v>1299</v>
      </c>
      <c r="O2512" s="161" t="s">
        <v>25</v>
      </c>
      <c r="P2512" s="49" t="s">
        <v>25</v>
      </c>
      <c r="Q2512" s="166" t="s">
        <v>6149</v>
      </c>
      <c r="R2512" s="151"/>
    </row>
    <row r="2513" spans="1:18">
      <c r="A2513" s="190" t="s">
        <v>64</v>
      </c>
      <c r="B2513" s="101" t="s">
        <v>64</v>
      </c>
      <c r="C2513" s="87" t="s">
        <v>6150</v>
      </c>
      <c r="D2513" s="161" t="s">
        <v>1424</v>
      </c>
      <c r="E2513" s="161" t="s">
        <v>4952</v>
      </c>
      <c r="F2513" s="161" t="s">
        <v>6136</v>
      </c>
      <c r="G2513" s="171">
        <v>1084.818</v>
      </c>
      <c r="H2513" s="163">
        <f t="shared" si="198"/>
        <v>22.778</v>
      </c>
      <c r="I2513" s="173">
        <v>1415</v>
      </c>
      <c r="J2513" s="173">
        <f t="shared" si="199"/>
        <v>17411</v>
      </c>
      <c r="K2513" s="173">
        <v>814834</v>
      </c>
      <c r="L2513" s="174"/>
      <c r="M2513" s="161" t="s">
        <v>3174</v>
      </c>
      <c r="N2513" s="161" t="s">
        <v>1299</v>
      </c>
      <c r="O2513" s="161" t="s">
        <v>25</v>
      </c>
      <c r="P2513" s="49" t="s">
        <v>25</v>
      </c>
      <c r="Q2513" s="166" t="s">
        <v>6151</v>
      </c>
      <c r="R2513" s="151"/>
    </row>
    <row r="2514" ht="45" spans="1:18">
      <c r="A2514" s="190" t="s">
        <v>64</v>
      </c>
      <c r="B2514" s="101" t="s">
        <v>64</v>
      </c>
      <c r="C2514" s="87" t="s">
        <v>1268</v>
      </c>
      <c r="D2514" s="161" t="s">
        <v>1268</v>
      </c>
      <c r="E2514" s="161" t="s">
        <v>4952</v>
      </c>
      <c r="F2514" s="161" t="s">
        <v>6136</v>
      </c>
      <c r="G2514" s="171">
        <v>1104.03</v>
      </c>
      <c r="H2514" s="163">
        <f t="shared" si="198"/>
        <v>19.212</v>
      </c>
      <c r="I2514" s="173">
        <v>1442</v>
      </c>
      <c r="J2514" s="173">
        <f t="shared" si="199"/>
        <v>13872</v>
      </c>
      <c r="K2514" s="173">
        <v>828706</v>
      </c>
      <c r="L2514" s="174" t="s">
        <v>6152</v>
      </c>
      <c r="M2514" s="161" t="s">
        <v>3174</v>
      </c>
      <c r="N2514" s="161" t="s">
        <v>1331</v>
      </c>
      <c r="O2514" s="161" t="s">
        <v>14</v>
      </c>
      <c r="P2514" s="49" t="s">
        <v>14</v>
      </c>
      <c r="Q2514" s="166" t="s">
        <v>6153</v>
      </c>
      <c r="R2514" s="151"/>
    </row>
    <row r="2515" spans="1:18">
      <c r="A2515" s="190" t="s">
        <v>64</v>
      </c>
      <c r="B2515" s="101" t="s">
        <v>64</v>
      </c>
      <c r="C2515" s="87" t="s">
        <v>6154</v>
      </c>
      <c r="D2515" s="161" t="s">
        <v>2372</v>
      </c>
      <c r="E2515" s="161" t="s">
        <v>4952</v>
      </c>
      <c r="F2515" s="161" t="s">
        <v>6136</v>
      </c>
      <c r="G2515" s="171">
        <v>1125.79</v>
      </c>
      <c r="H2515" s="163">
        <f t="shared" si="198"/>
        <v>21.76</v>
      </c>
      <c r="I2515" s="173">
        <v>1277</v>
      </c>
      <c r="J2515" s="173">
        <f t="shared" si="199"/>
        <v>17480</v>
      </c>
      <c r="K2515" s="173">
        <v>846186</v>
      </c>
      <c r="L2515" s="174"/>
      <c r="M2515" s="161" t="s">
        <v>3174</v>
      </c>
      <c r="N2515" s="161" t="s">
        <v>1901</v>
      </c>
      <c r="O2515" s="161" t="s">
        <v>26</v>
      </c>
      <c r="P2515" s="49" t="s">
        <v>26</v>
      </c>
      <c r="Q2515" s="166" t="s">
        <v>6155</v>
      </c>
      <c r="R2515" s="151"/>
    </row>
    <row r="2516" spans="1:18">
      <c r="A2516" s="190" t="s">
        <v>64</v>
      </c>
      <c r="B2516" s="101" t="s">
        <v>64</v>
      </c>
      <c r="C2516" s="87" t="s">
        <v>1271</v>
      </c>
      <c r="D2516" s="161" t="s">
        <v>1430</v>
      </c>
      <c r="E2516" s="161" t="s">
        <v>4952</v>
      </c>
      <c r="F2516" s="161" t="s">
        <v>6136</v>
      </c>
      <c r="G2516" s="171">
        <v>1147.48</v>
      </c>
      <c r="H2516" s="163">
        <f t="shared" si="198"/>
        <v>21.6900000000001</v>
      </c>
      <c r="I2516" s="173">
        <v>1256</v>
      </c>
      <c r="J2516" s="173">
        <f t="shared" si="199"/>
        <v>15252</v>
      </c>
      <c r="K2516" s="173">
        <v>861438</v>
      </c>
      <c r="L2516" s="174"/>
      <c r="M2516" s="161" t="s">
        <v>3174</v>
      </c>
      <c r="N2516" s="161" t="s">
        <v>1299</v>
      </c>
      <c r="O2516" s="161" t="s">
        <v>25</v>
      </c>
      <c r="P2516" s="49" t="s">
        <v>25</v>
      </c>
      <c r="Q2516" s="166" t="s">
        <v>6156</v>
      </c>
      <c r="R2516" s="151"/>
    </row>
    <row r="2517" spans="1:18">
      <c r="A2517" s="190" t="s">
        <v>64</v>
      </c>
      <c r="B2517" s="101" t="s">
        <v>64</v>
      </c>
      <c r="C2517" s="87" t="s">
        <v>6157</v>
      </c>
      <c r="D2517" s="161" t="s">
        <v>1433</v>
      </c>
      <c r="E2517" s="161" t="s">
        <v>4952</v>
      </c>
      <c r="F2517" s="161" t="s">
        <v>5986</v>
      </c>
      <c r="G2517" s="171">
        <v>1164.404</v>
      </c>
      <c r="H2517" s="163">
        <f t="shared" si="198"/>
        <v>16.924</v>
      </c>
      <c r="I2517" s="173">
        <v>1333</v>
      </c>
      <c r="J2517" s="173">
        <f t="shared" si="199"/>
        <v>16305</v>
      </c>
      <c r="K2517" s="173">
        <v>877743</v>
      </c>
      <c r="L2517" s="174"/>
      <c r="M2517" s="161" t="s">
        <v>3174</v>
      </c>
      <c r="N2517" s="161" t="s">
        <v>1299</v>
      </c>
      <c r="O2517" s="161" t="s">
        <v>25</v>
      </c>
      <c r="P2517" s="49" t="s">
        <v>25</v>
      </c>
      <c r="Q2517" s="166" t="s">
        <v>6158</v>
      </c>
      <c r="R2517" s="151"/>
    </row>
    <row r="2518" ht="60" spans="1:18">
      <c r="A2518" s="190" t="s">
        <v>64</v>
      </c>
      <c r="B2518" s="101" t="s">
        <v>64</v>
      </c>
      <c r="C2518" s="87" t="s">
        <v>607</v>
      </c>
      <c r="D2518" s="161" t="s">
        <v>607</v>
      </c>
      <c r="E2518" s="161" t="s">
        <v>4952</v>
      </c>
      <c r="F2518" s="161" t="s">
        <v>5986</v>
      </c>
      <c r="G2518" s="171">
        <v>1182.235</v>
      </c>
      <c r="H2518" s="163">
        <f t="shared" si="198"/>
        <v>17.8309999999999</v>
      </c>
      <c r="I2518" s="173">
        <v>1240</v>
      </c>
      <c r="J2518" s="173">
        <f t="shared" si="199"/>
        <v>10487</v>
      </c>
      <c r="K2518" s="173">
        <v>888230</v>
      </c>
      <c r="L2518" s="174" t="s">
        <v>6159</v>
      </c>
      <c r="M2518" s="161" t="s">
        <v>3174</v>
      </c>
      <c r="N2518" s="161" t="s">
        <v>1331</v>
      </c>
      <c r="O2518" s="161" t="s">
        <v>6</v>
      </c>
      <c r="P2518" s="49" t="s">
        <v>6</v>
      </c>
      <c r="Q2518" s="166" t="s">
        <v>6004</v>
      </c>
      <c r="R2518" s="151"/>
    </row>
    <row r="2519" spans="1:18">
      <c r="A2519" s="190" t="s">
        <v>64</v>
      </c>
      <c r="B2519" s="101" t="s">
        <v>64</v>
      </c>
      <c r="C2519" s="87" t="s">
        <v>6160</v>
      </c>
      <c r="D2519" s="161" t="s">
        <v>3059</v>
      </c>
      <c r="E2519" s="161" t="s">
        <v>4952</v>
      </c>
      <c r="F2519" s="161" t="s">
        <v>5986</v>
      </c>
      <c r="G2519" s="171">
        <v>1201.429</v>
      </c>
      <c r="H2519" s="163">
        <f t="shared" si="198"/>
        <v>19.1940000000002</v>
      </c>
      <c r="I2519" s="173">
        <v>1177</v>
      </c>
      <c r="J2519" s="173">
        <f t="shared" si="199"/>
        <v>13712</v>
      </c>
      <c r="K2519" s="173">
        <v>901942</v>
      </c>
      <c r="L2519" s="174"/>
      <c r="M2519" s="161" t="s">
        <v>3174</v>
      </c>
      <c r="N2519" s="161" t="s">
        <v>1901</v>
      </c>
      <c r="O2519" s="161" t="s">
        <v>26</v>
      </c>
      <c r="P2519" s="49" t="s">
        <v>26</v>
      </c>
      <c r="Q2519" s="166" t="s">
        <v>6161</v>
      </c>
      <c r="R2519" s="151"/>
    </row>
    <row r="2520" spans="1:18">
      <c r="A2520" s="190" t="s">
        <v>64</v>
      </c>
      <c r="B2520" s="101" t="s">
        <v>64</v>
      </c>
      <c r="C2520" s="87" t="s">
        <v>6162</v>
      </c>
      <c r="D2520" s="161" t="s">
        <v>1442</v>
      </c>
      <c r="E2520" s="161" t="s">
        <v>4952</v>
      </c>
      <c r="F2520" s="161" t="s">
        <v>6163</v>
      </c>
      <c r="G2520" s="171">
        <v>1224.73</v>
      </c>
      <c r="H2520" s="163">
        <f t="shared" si="198"/>
        <v>23.3009999999999</v>
      </c>
      <c r="I2520" s="173">
        <v>1053</v>
      </c>
      <c r="J2520" s="173">
        <f t="shared" si="199"/>
        <v>17647</v>
      </c>
      <c r="K2520" s="173">
        <v>919589</v>
      </c>
      <c r="L2520" s="174"/>
      <c r="M2520" s="161" t="s">
        <v>3174</v>
      </c>
      <c r="N2520" s="161" t="s">
        <v>1299</v>
      </c>
      <c r="O2520" s="161" t="s">
        <v>25</v>
      </c>
      <c r="P2520" s="49" t="s">
        <v>25</v>
      </c>
      <c r="Q2520" s="166" t="s">
        <v>6164</v>
      </c>
      <c r="R2520" s="151"/>
    </row>
    <row r="2521" spans="1:18">
      <c r="A2521" s="190" t="s">
        <v>64</v>
      </c>
      <c r="B2521" s="101" t="s">
        <v>64</v>
      </c>
      <c r="C2521" s="87" t="s">
        <v>664</v>
      </c>
      <c r="D2521" s="161" t="s">
        <v>6165</v>
      </c>
      <c r="E2521" s="161" t="s">
        <v>4952</v>
      </c>
      <c r="F2521" s="161" t="s">
        <v>6163</v>
      </c>
      <c r="G2521" s="171">
        <v>1247.279</v>
      </c>
      <c r="H2521" s="163">
        <f t="shared" si="198"/>
        <v>22.549</v>
      </c>
      <c r="I2521" s="173">
        <v>1002</v>
      </c>
      <c r="J2521" s="173">
        <f t="shared" si="199"/>
        <v>17213</v>
      </c>
      <c r="K2521" s="173">
        <v>936802</v>
      </c>
      <c r="L2521" s="174"/>
      <c r="M2521" s="161" t="s">
        <v>3174</v>
      </c>
      <c r="N2521" s="161" t="s">
        <v>1901</v>
      </c>
      <c r="O2521" s="161" t="s">
        <v>25</v>
      </c>
      <c r="P2521" s="49" t="s">
        <v>25</v>
      </c>
      <c r="Q2521" s="166" t="s">
        <v>6166</v>
      </c>
      <c r="R2521" s="151"/>
    </row>
    <row r="2522" spans="1:18">
      <c r="A2522" s="190" t="s">
        <v>64</v>
      </c>
      <c r="B2522" s="101" t="s">
        <v>64</v>
      </c>
      <c r="C2522" s="87" t="s">
        <v>6167</v>
      </c>
      <c r="D2522" s="161" t="s">
        <v>2388</v>
      </c>
      <c r="E2522" s="161" t="s">
        <v>4952</v>
      </c>
      <c r="F2522" s="161" t="s">
        <v>6163</v>
      </c>
      <c r="G2522" s="171">
        <v>1266.58</v>
      </c>
      <c r="H2522" s="163">
        <f t="shared" si="198"/>
        <v>19.3009999999999</v>
      </c>
      <c r="I2522" s="173">
        <v>952</v>
      </c>
      <c r="J2522" s="173">
        <f t="shared" si="199"/>
        <v>14513</v>
      </c>
      <c r="K2522" s="173">
        <v>951315</v>
      </c>
      <c r="L2522" s="174"/>
      <c r="M2522" s="161" t="s">
        <v>3174</v>
      </c>
      <c r="N2522" s="161" t="s">
        <v>1901</v>
      </c>
      <c r="O2522" s="161" t="s">
        <v>26</v>
      </c>
      <c r="P2522" s="49" t="s">
        <v>26</v>
      </c>
      <c r="Q2522" s="166" t="s">
        <v>6168</v>
      </c>
      <c r="R2522" s="151"/>
    </row>
    <row r="2523" spans="1:18">
      <c r="A2523" s="190" t="s">
        <v>64</v>
      </c>
      <c r="B2523" s="101" t="s">
        <v>64</v>
      </c>
      <c r="C2523" s="87" t="s">
        <v>639</v>
      </c>
      <c r="D2523" s="161" t="s">
        <v>639</v>
      </c>
      <c r="E2523" s="161" t="s">
        <v>4952</v>
      </c>
      <c r="F2523" s="161" t="s">
        <v>6163</v>
      </c>
      <c r="G2523" s="171">
        <v>1285.85</v>
      </c>
      <c r="H2523" s="163">
        <f t="shared" si="198"/>
        <v>19.27</v>
      </c>
      <c r="I2523" s="173">
        <v>1106</v>
      </c>
      <c r="J2523" s="173">
        <f t="shared" si="199"/>
        <v>14749</v>
      </c>
      <c r="K2523" s="173">
        <v>966064</v>
      </c>
      <c r="L2523" s="174" t="s">
        <v>6169</v>
      </c>
      <c r="M2523" s="161" t="s">
        <v>3174</v>
      </c>
      <c r="N2523" s="161" t="s">
        <v>1331</v>
      </c>
      <c r="O2523" s="161" t="s">
        <v>14</v>
      </c>
      <c r="P2523" s="49" t="s">
        <v>14</v>
      </c>
      <c r="Q2523" s="166" t="s">
        <v>6170</v>
      </c>
      <c r="R2523" s="151"/>
    </row>
    <row r="2524" spans="1:18">
      <c r="A2524" s="190" t="s">
        <v>64</v>
      </c>
      <c r="B2524" s="101" t="s">
        <v>64</v>
      </c>
      <c r="C2524" s="87" t="s">
        <v>658</v>
      </c>
      <c r="D2524" s="161" t="s">
        <v>6171</v>
      </c>
      <c r="E2524" s="161" t="s">
        <v>4952</v>
      </c>
      <c r="F2524" s="161" t="s">
        <v>6163</v>
      </c>
      <c r="G2524" s="171">
        <v>1309.659</v>
      </c>
      <c r="H2524" s="163">
        <f t="shared" si="198"/>
        <v>23.8090000000002</v>
      </c>
      <c r="I2524" s="173">
        <v>985</v>
      </c>
      <c r="J2524" s="173">
        <f t="shared" si="199"/>
        <v>18128</v>
      </c>
      <c r="K2524" s="173">
        <v>984192</v>
      </c>
      <c r="L2524" s="174"/>
      <c r="M2524" s="161" t="s">
        <v>3174</v>
      </c>
      <c r="N2524" s="161" t="s">
        <v>1901</v>
      </c>
      <c r="O2524" s="161" t="s">
        <v>26</v>
      </c>
      <c r="P2524" s="49" t="s">
        <v>26</v>
      </c>
      <c r="Q2524" s="166" t="s">
        <v>6172</v>
      </c>
      <c r="R2524" s="151"/>
    </row>
    <row r="2525" spans="1:18">
      <c r="A2525" s="190" t="s">
        <v>64</v>
      </c>
      <c r="B2525" s="101" t="s">
        <v>64</v>
      </c>
      <c r="C2525" s="87" t="s">
        <v>6173</v>
      </c>
      <c r="D2525" s="161" t="s">
        <v>1455</v>
      </c>
      <c r="E2525" s="161" t="s">
        <v>4952</v>
      </c>
      <c r="F2525" s="161" t="s">
        <v>6163</v>
      </c>
      <c r="G2525" s="171">
        <v>1334.11</v>
      </c>
      <c r="H2525" s="163">
        <f t="shared" si="198"/>
        <v>24.4509999999998</v>
      </c>
      <c r="I2525" s="173">
        <v>847</v>
      </c>
      <c r="J2525" s="173">
        <f t="shared" si="199"/>
        <v>18364</v>
      </c>
      <c r="K2525" s="173">
        <v>1002556</v>
      </c>
      <c r="L2525" s="174"/>
      <c r="M2525" s="161" t="s">
        <v>3174</v>
      </c>
      <c r="N2525" s="161" t="s">
        <v>1299</v>
      </c>
      <c r="O2525" s="161" t="s">
        <v>25</v>
      </c>
      <c r="P2525" s="49" t="s">
        <v>25</v>
      </c>
      <c r="Q2525" s="166" t="s">
        <v>6174</v>
      </c>
      <c r="R2525" s="151"/>
    </row>
    <row r="2526" spans="1:18">
      <c r="A2526" s="190" t="s">
        <v>64</v>
      </c>
      <c r="B2526" s="101" t="s">
        <v>64</v>
      </c>
      <c r="C2526" s="87" t="s">
        <v>6175</v>
      </c>
      <c r="D2526" s="161" t="s">
        <v>6176</v>
      </c>
      <c r="E2526" s="161" t="s">
        <v>4952</v>
      </c>
      <c r="F2526" s="161" t="s">
        <v>6163</v>
      </c>
      <c r="G2526" s="171">
        <v>1353.6911</v>
      </c>
      <c r="H2526" s="163">
        <f t="shared" si="198"/>
        <v>19.5811000000001</v>
      </c>
      <c r="I2526" s="173">
        <v>504</v>
      </c>
      <c r="J2526" s="173">
        <f t="shared" si="199"/>
        <v>15428</v>
      </c>
      <c r="K2526" s="173">
        <v>1017984</v>
      </c>
      <c r="L2526" s="174"/>
      <c r="M2526" s="161" t="s">
        <v>3174</v>
      </c>
      <c r="N2526" s="161" t="s">
        <v>1901</v>
      </c>
      <c r="O2526" s="161" t="s">
        <v>26</v>
      </c>
      <c r="P2526" s="49" t="s">
        <v>26</v>
      </c>
      <c r="Q2526" s="166" t="s">
        <v>6177</v>
      </c>
      <c r="R2526" s="151"/>
    </row>
    <row r="2527" spans="1:18">
      <c r="A2527" s="190" t="s">
        <v>64</v>
      </c>
      <c r="B2527" s="101" t="s">
        <v>64</v>
      </c>
      <c r="C2527" s="87" t="s">
        <v>668</v>
      </c>
      <c r="D2527" s="161" t="s">
        <v>1463</v>
      </c>
      <c r="E2527" s="161" t="s">
        <v>4952</v>
      </c>
      <c r="F2527" s="161" t="s">
        <v>6163</v>
      </c>
      <c r="G2527" s="171">
        <v>1377.72</v>
      </c>
      <c r="H2527" s="163">
        <f t="shared" si="198"/>
        <v>24.0289</v>
      </c>
      <c r="I2527" s="173">
        <v>591</v>
      </c>
      <c r="J2527" s="173">
        <f t="shared" si="199"/>
        <v>18463</v>
      </c>
      <c r="K2527" s="173">
        <v>1036447</v>
      </c>
      <c r="L2527" s="174"/>
      <c r="M2527" s="161" t="s">
        <v>3174</v>
      </c>
      <c r="N2527" s="161" t="s">
        <v>1299</v>
      </c>
      <c r="O2527" s="161" t="s">
        <v>25</v>
      </c>
      <c r="P2527" s="49" t="s">
        <v>25</v>
      </c>
      <c r="Q2527" s="166" t="s">
        <v>6178</v>
      </c>
      <c r="R2527" s="151"/>
    </row>
    <row r="2528" spans="1:18">
      <c r="A2528" s="190" t="s">
        <v>64</v>
      </c>
      <c r="B2528" s="101" t="s">
        <v>64</v>
      </c>
      <c r="C2528" s="87" t="s">
        <v>6179</v>
      </c>
      <c r="D2528" s="161" t="s">
        <v>2404</v>
      </c>
      <c r="E2528" s="161" t="s">
        <v>4952</v>
      </c>
      <c r="F2528" s="161" t="s">
        <v>6163</v>
      </c>
      <c r="G2528" s="171">
        <v>1409.342</v>
      </c>
      <c r="H2528" s="163">
        <f t="shared" si="198"/>
        <v>31.6220000000001</v>
      </c>
      <c r="I2528" s="173">
        <v>474</v>
      </c>
      <c r="J2528" s="173">
        <f t="shared" si="199"/>
        <v>23611</v>
      </c>
      <c r="K2528" s="173">
        <v>1060058</v>
      </c>
      <c r="L2528" s="174"/>
      <c r="M2528" s="161" t="s">
        <v>3174</v>
      </c>
      <c r="N2528" s="161" t="s">
        <v>1901</v>
      </c>
      <c r="O2528" s="161" t="s">
        <v>26</v>
      </c>
      <c r="P2528" s="49" t="s">
        <v>26</v>
      </c>
      <c r="Q2528" s="166" t="s">
        <v>6180</v>
      </c>
      <c r="R2528" s="151"/>
    </row>
    <row r="2529" spans="1:18">
      <c r="A2529" s="190" t="s">
        <v>64</v>
      </c>
      <c r="B2529" s="101" t="s">
        <v>64</v>
      </c>
      <c r="C2529" s="87" t="s">
        <v>6181</v>
      </c>
      <c r="D2529" s="161" t="s">
        <v>2407</v>
      </c>
      <c r="E2529" s="161" t="s">
        <v>3154</v>
      </c>
      <c r="F2529" s="161" t="s">
        <v>6182</v>
      </c>
      <c r="G2529" s="171">
        <v>1437.586</v>
      </c>
      <c r="H2529" s="163">
        <f t="shared" si="198"/>
        <v>28.2439999999999</v>
      </c>
      <c r="I2529" s="173">
        <v>244</v>
      </c>
      <c r="J2529" s="173">
        <f t="shared" si="199"/>
        <v>22300</v>
      </c>
      <c r="K2529" s="173">
        <v>1082358</v>
      </c>
      <c r="L2529" s="174"/>
      <c r="M2529" s="161" t="s">
        <v>3174</v>
      </c>
      <c r="N2529" s="161" t="s">
        <v>1901</v>
      </c>
      <c r="O2529" s="161" t="s">
        <v>26</v>
      </c>
      <c r="P2529" s="49" t="s">
        <v>26</v>
      </c>
      <c r="Q2529" s="166" t="s">
        <v>6183</v>
      </c>
      <c r="R2529" s="151"/>
    </row>
    <row r="2530" spans="1:18">
      <c r="A2530" s="190" t="s">
        <v>64</v>
      </c>
      <c r="B2530" s="101" t="s">
        <v>64</v>
      </c>
      <c r="C2530" s="87" t="s">
        <v>6184</v>
      </c>
      <c r="D2530" s="161" t="s">
        <v>5965</v>
      </c>
      <c r="E2530" s="161" t="s">
        <v>3154</v>
      </c>
      <c r="F2530" s="161" t="s">
        <v>6182</v>
      </c>
      <c r="G2530" s="171">
        <v>1465.957</v>
      </c>
      <c r="H2530" s="163">
        <f t="shared" ref="H2530:H2542" si="200">G2530-G2529</f>
        <v>28.3710000000001</v>
      </c>
      <c r="I2530" s="173">
        <v>252</v>
      </c>
      <c r="J2530" s="173">
        <f t="shared" ref="J2530:J2542" si="201">K2530-K2529</f>
        <v>21346</v>
      </c>
      <c r="K2530" s="173">
        <v>1103704</v>
      </c>
      <c r="L2530" s="174"/>
      <c r="M2530" s="161" t="s">
        <v>3174</v>
      </c>
      <c r="N2530" s="161" t="s">
        <v>1901</v>
      </c>
      <c r="O2530" s="161" t="s">
        <v>26</v>
      </c>
      <c r="P2530" s="49" t="s">
        <v>26</v>
      </c>
      <c r="Q2530" s="166" t="s">
        <v>6185</v>
      </c>
      <c r="R2530" s="151"/>
    </row>
    <row r="2531" ht="45" spans="1:18">
      <c r="A2531" s="190" t="s">
        <v>64</v>
      </c>
      <c r="B2531" s="101" t="s">
        <v>64</v>
      </c>
      <c r="C2531" s="87" t="s">
        <v>651</v>
      </c>
      <c r="D2531" s="161" t="s">
        <v>651</v>
      </c>
      <c r="E2531" s="161" t="s">
        <v>3154</v>
      </c>
      <c r="F2531" s="161" t="s">
        <v>6182</v>
      </c>
      <c r="G2531" s="171">
        <v>1493.96</v>
      </c>
      <c r="H2531" s="163">
        <f t="shared" si="200"/>
        <v>28.0029999999999</v>
      </c>
      <c r="I2531" s="173">
        <v>235</v>
      </c>
      <c r="J2531" s="173">
        <f t="shared" si="201"/>
        <v>21437</v>
      </c>
      <c r="K2531" s="173">
        <v>1125141</v>
      </c>
      <c r="L2531" s="174" t="s">
        <v>6186</v>
      </c>
      <c r="M2531" s="161" t="s">
        <v>3174</v>
      </c>
      <c r="N2531" s="161" t="s">
        <v>1331</v>
      </c>
      <c r="O2531" s="161" t="s">
        <v>6</v>
      </c>
      <c r="P2531" s="49" t="s">
        <v>6</v>
      </c>
      <c r="Q2531" s="166" t="s">
        <v>6187</v>
      </c>
      <c r="R2531" s="151"/>
    </row>
    <row r="2532" spans="1:18">
      <c r="A2532" s="190" t="s">
        <v>64</v>
      </c>
      <c r="B2532" s="101" t="s">
        <v>64</v>
      </c>
      <c r="C2532" s="87" t="s">
        <v>6188</v>
      </c>
      <c r="D2532" s="161" t="s">
        <v>1475</v>
      </c>
      <c r="E2532" s="161" t="s">
        <v>3154</v>
      </c>
      <c r="F2532" s="161" t="s">
        <v>6182</v>
      </c>
      <c r="G2532" s="171">
        <v>1522.13</v>
      </c>
      <c r="H2532" s="163">
        <f t="shared" si="200"/>
        <v>28.1700000000001</v>
      </c>
      <c r="I2532" s="173">
        <v>253</v>
      </c>
      <c r="J2532" s="173">
        <f t="shared" si="201"/>
        <v>22269</v>
      </c>
      <c r="K2532" s="173">
        <v>1147410</v>
      </c>
      <c r="L2532" s="174"/>
      <c r="M2532" s="161" t="s">
        <v>3174</v>
      </c>
      <c r="N2532" s="161" t="s">
        <v>1299</v>
      </c>
      <c r="O2532" s="161" t="s">
        <v>25</v>
      </c>
      <c r="P2532" s="49" t="s">
        <v>25</v>
      </c>
      <c r="Q2532" s="166" t="s">
        <v>6189</v>
      </c>
      <c r="R2532" s="151"/>
    </row>
    <row r="2533" spans="1:18">
      <c r="A2533" s="190" t="s">
        <v>64</v>
      </c>
      <c r="B2533" s="101" t="s">
        <v>64</v>
      </c>
      <c r="C2533" s="87" t="s">
        <v>6190</v>
      </c>
      <c r="D2533" s="161" t="s">
        <v>6190</v>
      </c>
      <c r="E2533" s="161" t="s">
        <v>3154</v>
      </c>
      <c r="F2533" s="161" t="s">
        <v>6182</v>
      </c>
      <c r="G2533" s="171">
        <v>1541.97</v>
      </c>
      <c r="H2533" s="163">
        <f t="shared" si="200"/>
        <v>19.8399999999999</v>
      </c>
      <c r="I2533" s="173">
        <v>146</v>
      </c>
      <c r="J2533" s="173">
        <f t="shared" si="201"/>
        <v>15436</v>
      </c>
      <c r="K2533" s="173">
        <v>1162846</v>
      </c>
      <c r="L2533" s="174"/>
      <c r="M2533" s="161" t="s">
        <v>3174</v>
      </c>
      <c r="N2533" s="161" t="s">
        <v>1331</v>
      </c>
      <c r="O2533" s="161" t="s">
        <v>14</v>
      </c>
      <c r="P2533" s="49" t="s">
        <v>14</v>
      </c>
      <c r="Q2533" s="166" t="s">
        <v>6191</v>
      </c>
      <c r="R2533" s="151"/>
    </row>
    <row r="2534" spans="1:18">
      <c r="A2534" s="190" t="s">
        <v>64</v>
      </c>
      <c r="B2534" s="101" t="s">
        <v>64</v>
      </c>
      <c r="C2534" s="87" t="s">
        <v>6192</v>
      </c>
      <c r="D2534" s="161" t="s">
        <v>2415</v>
      </c>
      <c r="E2534" s="161" t="s">
        <v>3154</v>
      </c>
      <c r="F2534" s="161" t="s">
        <v>6182</v>
      </c>
      <c r="G2534" s="171">
        <v>1554.84</v>
      </c>
      <c r="H2534" s="163">
        <f t="shared" si="200"/>
        <v>12.8699999999999</v>
      </c>
      <c r="I2534" s="173">
        <v>332</v>
      </c>
      <c r="J2534" s="173">
        <f t="shared" si="201"/>
        <v>9517</v>
      </c>
      <c r="K2534" s="173">
        <v>1172363</v>
      </c>
      <c r="L2534" s="174"/>
      <c r="M2534" s="161" t="s">
        <v>3174</v>
      </c>
      <c r="N2534" s="161" t="s">
        <v>1901</v>
      </c>
      <c r="O2534" s="161" t="s">
        <v>26</v>
      </c>
      <c r="P2534" s="49" t="s">
        <v>26</v>
      </c>
      <c r="Q2534" s="166" t="s">
        <v>6193</v>
      </c>
      <c r="R2534" s="151"/>
    </row>
    <row r="2535" spans="1:18">
      <c r="A2535" s="190" t="s">
        <v>64</v>
      </c>
      <c r="B2535" s="101" t="s">
        <v>64</v>
      </c>
      <c r="C2535" s="87" t="s">
        <v>645</v>
      </c>
      <c r="D2535" s="161" t="s">
        <v>645</v>
      </c>
      <c r="E2535" s="161" t="s">
        <v>3154</v>
      </c>
      <c r="F2535" s="161" t="s">
        <v>6194</v>
      </c>
      <c r="G2535" s="171">
        <v>1586.97</v>
      </c>
      <c r="H2535" s="163">
        <f t="shared" si="200"/>
        <v>32.1300000000001</v>
      </c>
      <c r="I2535" s="173">
        <v>363</v>
      </c>
      <c r="J2535" s="173">
        <f t="shared" si="201"/>
        <v>24496</v>
      </c>
      <c r="K2535" s="173">
        <v>1196859</v>
      </c>
      <c r="L2535" s="174"/>
      <c r="M2535" s="161" t="s">
        <v>3174</v>
      </c>
      <c r="N2535" s="161" t="s">
        <v>1331</v>
      </c>
      <c r="O2535" s="161" t="s">
        <v>14</v>
      </c>
      <c r="P2535" s="49" t="s">
        <v>14</v>
      </c>
      <c r="Q2535" s="166" t="s">
        <v>6195</v>
      </c>
      <c r="R2535" s="151"/>
    </row>
    <row r="2536" spans="1:18">
      <c r="A2536" s="190" t="s">
        <v>64</v>
      </c>
      <c r="B2536" s="101" t="s">
        <v>64</v>
      </c>
      <c r="C2536" s="87" t="s">
        <v>6196</v>
      </c>
      <c r="D2536" s="161" t="s">
        <v>2420</v>
      </c>
      <c r="E2536" s="161" t="s">
        <v>3154</v>
      </c>
      <c r="F2536" s="161" t="s">
        <v>6194</v>
      </c>
      <c r="G2536" s="171">
        <v>1613.888</v>
      </c>
      <c r="H2536" s="163">
        <f t="shared" si="200"/>
        <v>26.9179999999999</v>
      </c>
      <c r="I2536" s="173">
        <v>117</v>
      </c>
      <c r="J2536" s="173">
        <f t="shared" si="201"/>
        <v>21201</v>
      </c>
      <c r="K2536" s="173">
        <v>1218060</v>
      </c>
      <c r="L2536" s="174"/>
      <c r="M2536" s="161" t="s">
        <v>3174</v>
      </c>
      <c r="N2536" s="161" t="s">
        <v>1901</v>
      </c>
      <c r="O2536" s="161" t="s">
        <v>26</v>
      </c>
      <c r="P2536" s="49" t="s">
        <v>26</v>
      </c>
      <c r="Q2536" s="166" t="s">
        <v>6197</v>
      </c>
      <c r="R2536" s="151"/>
    </row>
    <row r="2537" spans="1:18">
      <c r="A2537" s="190" t="s">
        <v>64</v>
      </c>
      <c r="B2537" s="101" t="s">
        <v>64</v>
      </c>
      <c r="C2537" s="87" t="s">
        <v>6198</v>
      </c>
      <c r="D2537" s="161" t="s">
        <v>2423</v>
      </c>
      <c r="E2537" s="161" t="s">
        <v>3154</v>
      </c>
      <c r="F2537" s="161" t="s">
        <v>6194</v>
      </c>
      <c r="G2537" s="171">
        <v>1639.572</v>
      </c>
      <c r="H2537" s="163">
        <f t="shared" si="200"/>
        <v>25.684</v>
      </c>
      <c r="I2537" s="173">
        <v>98</v>
      </c>
      <c r="J2537" s="173">
        <f t="shared" si="201"/>
        <v>19013</v>
      </c>
      <c r="K2537" s="173">
        <v>1237073</v>
      </c>
      <c r="L2537" s="174"/>
      <c r="M2537" s="161" t="s">
        <v>3174</v>
      </c>
      <c r="N2537" s="161" t="s">
        <v>1901</v>
      </c>
      <c r="O2537" s="161" t="s">
        <v>26</v>
      </c>
      <c r="P2537" s="49" t="s">
        <v>26</v>
      </c>
      <c r="Q2537" s="166" t="s">
        <v>6199</v>
      </c>
      <c r="R2537" s="151"/>
    </row>
    <row r="2538" spans="1:18">
      <c r="A2538" s="190" t="s">
        <v>64</v>
      </c>
      <c r="B2538" s="101" t="s">
        <v>64</v>
      </c>
      <c r="C2538" s="87" t="s">
        <v>6200</v>
      </c>
      <c r="D2538" s="161" t="s">
        <v>1488</v>
      </c>
      <c r="E2538" s="161" t="s">
        <v>3154</v>
      </c>
      <c r="F2538" s="161" t="s">
        <v>6194</v>
      </c>
      <c r="G2538" s="171">
        <v>1651.493</v>
      </c>
      <c r="H2538" s="163">
        <f t="shared" si="200"/>
        <v>11.921</v>
      </c>
      <c r="I2538" s="173">
        <v>103</v>
      </c>
      <c r="J2538" s="173">
        <f t="shared" si="201"/>
        <v>9243</v>
      </c>
      <c r="K2538" s="173">
        <v>1246316</v>
      </c>
      <c r="L2538" s="174"/>
      <c r="M2538" s="161" t="s">
        <v>3174</v>
      </c>
      <c r="N2538" s="161" t="s">
        <v>1299</v>
      </c>
      <c r="O2538" s="161" t="s">
        <v>25</v>
      </c>
      <c r="P2538" s="49" t="s">
        <v>25</v>
      </c>
      <c r="Q2538" s="166" t="s">
        <v>6201</v>
      </c>
      <c r="R2538" s="151"/>
    </row>
    <row r="2539" spans="1:18">
      <c r="A2539" s="190" t="s">
        <v>64</v>
      </c>
      <c r="B2539" s="101" t="s">
        <v>64</v>
      </c>
      <c r="C2539" s="87" t="s">
        <v>6202</v>
      </c>
      <c r="D2539" s="161" t="s">
        <v>6202</v>
      </c>
      <c r="E2539" s="161" t="s">
        <v>3154</v>
      </c>
      <c r="F2539" s="161" t="s">
        <v>3166</v>
      </c>
      <c r="G2539" s="171">
        <v>1670.96</v>
      </c>
      <c r="H2539" s="163">
        <f t="shared" si="200"/>
        <v>19.4670000000001</v>
      </c>
      <c r="I2539" s="173">
        <v>85</v>
      </c>
      <c r="J2539" s="173">
        <f t="shared" si="201"/>
        <v>10577</v>
      </c>
      <c r="K2539" s="173">
        <v>1256893</v>
      </c>
      <c r="L2539" s="174"/>
      <c r="M2539" s="161" t="s">
        <v>3174</v>
      </c>
      <c r="N2539" s="161" t="s">
        <v>1331</v>
      </c>
      <c r="O2539" s="161" t="s">
        <v>14</v>
      </c>
      <c r="P2539" s="49" t="s">
        <v>14</v>
      </c>
      <c r="Q2539" s="166" t="s">
        <v>6203</v>
      </c>
      <c r="R2539" s="151"/>
    </row>
    <row r="2540" spans="1:18">
      <c r="A2540" s="190" t="s">
        <v>64</v>
      </c>
      <c r="B2540" s="101" t="s">
        <v>64</v>
      </c>
      <c r="C2540" s="87" t="s">
        <v>6204</v>
      </c>
      <c r="D2540" s="161" t="s">
        <v>2428</v>
      </c>
      <c r="E2540" s="161" t="s">
        <v>3154</v>
      </c>
      <c r="F2540" s="161" t="s">
        <v>3166</v>
      </c>
      <c r="G2540" s="171">
        <v>1702.671</v>
      </c>
      <c r="H2540" s="163">
        <f t="shared" si="200"/>
        <v>31.711</v>
      </c>
      <c r="I2540" s="173">
        <v>80</v>
      </c>
      <c r="J2540" s="173">
        <f t="shared" si="201"/>
        <v>24443</v>
      </c>
      <c r="K2540" s="173">
        <v>1281336</v>
      </c>
      <c r="L2540" s="174"/>
      <c r="M2540" s="161" t="s">
        <v>3174</v>
      </c>
      <c r="N2540" s="161" t="s">
        <v>1901</v>
      </c>
      <c r="O2540" s="161" t="s">
        <v>26</v>
      </c>
      <c r="P2540" s="49" t="s">
        <v>26</v>
      </c>
      <c r="Q2540" s="166" t="s">
        <v>6205</v>
      </c>
      <c r="R2540" s="151"/>
    </row>
    <row r="2541" spans="1:18">
      <c r="A2541" s="190" t="s">
        <v>64</v>
      </c>
      <c r="B2541" s="101" t="s">
        <v>64</v>
      </c>
      <c r="C2541" s="87" t="s">
        <v>6206</v>
      </c>
      <c r="D2541" s="161" t="s">
        <v>2434</v>
      </c>
      <c r="E2541" s="161" t="s">
        <v>3154</v>
      </c>
      <c r="F2541" s="161" t="s">
        <v>3166</v>
      </c>
      <c r="G2541" s="171">
        <v>1725.705</v>
      </c>
      <c r="H2541" s="163">
        <f t="shared" si="200"/>
        <v>23.0339999999999</v>
      </c>
      <c r="I2541" s="173">
        <v>94</v>
      </c>
      <c r="J2541" s="173">
        <f t="shared" si="201"/>
        <v>18051</v>
      </c>
      <c r="K2541" s="173">
        <v>1299387</v>
      </c>
      <c r="L2541" s="174"/>
      <c r="M2541" s="161" t="s">
        <v>3174</v>
      </c>
      <c r="N2541" s="161" t="s">
        <v>1901</v>
      </c>
      <c r="O2541" s="161" t="s">
        <v>26</v>
      </c>
      <c r="P2541" s="49" t="s">
        <v>26</v>
      </c>
      <c r="Q2541" s="166" t="s">
        <v>6207</v>
      </c>
      <c r="R2541" s="151"/>
    </row>
    <row r="2542" spans="1:18">
      <c r="A2542" s="190" t="s">
        <v>64</v>
      </c>
      <c r="B2542" s="101" t="s">
        <v>64</v>
      </c>
      <c r="C2542" s="87" t="s">
        <v>286</v>
      </c>
      <c r="D2542" s="161" t="s">
        <v>286</v>
      </c>
      <c r="E2542" s="161" t="s">
        <v>3154</v>
      </c>
      <c r="F2542" s="161" t="s">
        <v>3166</v>
      </c>
      <c r="G2542" s="171">
        <v>1744.21</v>
      </c>
      <c r="H2542" s="163">
        <f t="shared" si="200"/>
        <v>18.5050000000001</v>
      </c>
      <c r="I2542" s="173">
        <v>94.2</v>
      </c>
      <c r="J2542" s="173">
        <f t="shared" si="201"/>
        <v>14338</v>
      </c>
      <c r="K2542" s="173">
        <v>1313725</v>
      </c>
      <c r="L2542" s="174"/>
      <c r="M2542" s="161" t="s">
        <v>3174</v>
      </c>
      <c r="N2542" s="161"/>
      <c r="O2542" s="161" t="s">
        <v>6</v>
      </c>
      <c r="P2542" s="49" t="s">
        <v>6</v>
      </c>
      <c r="Q2542" s="166" t="s">
        <v>3175</v>
      </c>
      <c r="R2542" s="151"/>
    </row>
    <row r="2543" spans="1:18">
      <c r="A2543" s="190" t="s">
        <v>64</v>
      </c>
      <c r="B2543" s="101" t="s">
        <v>653</v>
      </c>
      <c r="C2543" s="135" t="s">
        <v>654</v>
      </c>
      <c r="D2543" s="161" t="s">
        <v>654</v>
      </c>
      <c r="E2543" s="161" t="s">
        <v>6043</v>
      </c>
      <c r="F2543" s="161" t="s">
        <v>6088</v>
      </c>
      <c r="G2543" s="163">
        <v>0</v>
      </c>
      <c r="H2543" s="163">
        <v>0</v>
      </c>
      <c r="I2543" s="173">
        <v>1800</v>
      </c>
      <c r="J2543" s="173">
        <v>0</v>
      </c>
      <c r="K2543" s="173">
        <v>0</v>
      </c>
      <c r="L2543" s="174"/>
      <c r="M2543" s="161" t="s">
        <v>3174</v>
      </c>
      <c r="N2543" s="161" t="s">
        <v>1331</v>
      </c>
      <c r="O2543" s="161"/>
      <c r="P2543" s="49"/>
      <c r="Q2543" s="166" t="s">
        <v>6091</v>
      </c>
      <c r="R2543" s="151"/>
    </row>
    <row r="2544" spans="1:18">
      <c r="A2544" s="190" t="s">
        <v>64</v>
      </c>
      <c r="B2544" s="101" t="s">
        <v>653</v>
      </c>
      <c r="C2544" s="87" t="s">
        <v>6208</v>
      </c>
      <c r="D2544" s="161" t="s">
        <v>6208</v>
      </c>
      <c r="E2544" s="161" t="s">
        <v>6043</v>
      </c>
      <c r="F2544" s="161" t="s">
        <v>6088</v>
      </c>
      <c r="G2544" s="163">
        <v>14.6</v>
      </c>
      <c r="H2544" s="163">
        <v>14.57</v>
      </c>
      <c r="I2544" s="173">
        <v>2046.7</v>
      </c>
      <c r="J2544" s="173">
        <v>485.97</v>
      </c>
      <c r="K2544" s="173">
        <v>485.97</v>
      </c>
      <c r="L2544" s="174"/>
      <c r="M2544" s="161" t="s">
        <v>6209</v>
      </c>
      <c r="N2544" s="161" t="s">
        <v>1331</v>
      </c>
      <c r="O2544" s="161" t="s">
        <v>14</v>
      </c>
      <c r="P2544" s="49" t="s">
        <v>14</v>
      </c>
      <c r="Q2544" s="166" t="s">
        <v>6210</v>
      </c>
      <c r="R2544" s="151"/>
    </row>
    <row r="2545" spans="1:18">
      <c r="A2545" s="190" t="s">
        <v>64</v>
      </c>
      <c r="B2545" s="101" t="s">
        <v>653</v>
      </c>
      <c r="C2545" s="87" t="s">
        <v>6211</v>
      </c>
      <c r="D2545" s="161" t="s">
        <v>1899</v>
      </c>
      <c r="E2545" s="161" t="s">
        <v>6043</v>
      </c>
      <c r="F2545" s="161" t="s">
        <v>6088</v>
      </c>
      <c r="G2545" s="163">
        <v>45.893</v>
      </c>
      <c r="H2545" s="163">
        <v>31.24</v>
      </c>
      <c r="I2545" s="173">
        <v>1851</v>
      </c>
      <c r="J2545" s="173">
        <v>1047.09</v>
      </c>
      <c r="K2545" s="173">
        <v>1533.06</v>
      </c>
      <c r="L2545" s="174"/>
      <c r="M2545" s="161" t="s">
        <v>6209</v>
      </c>
      <c r="N2545" s="161" t="s">
        <v>1901</v>
      </c>
      <c r="O2545" s="161" t="s">
        <v>26</v>
      </c>
      <c r="P2545" s="49" t="s">
        <v>26</v>
      </c>
      <c r="Q2545" s="166" t="s">
        <v>6212</v>
      </c>
      <c r="R2545" s="151"/>
    </row>
    <row r="2546" spans="1:18">
      <c r="A2546" s="190" t="s">
        <v>64</v>
      </c>
      <c r="B2546" s="101" t="s">
        <v>653</v>
      </c>
      <c r="C2546" s="87" t="s">
        <v>6213</v>
      </c>
      <c r="D2546" s="161" t="s">
        <v>1904</v>
      </c>
      <c r="E2546" s="161" t="s">
        <v>6043</v>
      </c>
      <c r="F2546" s="161" t="s">
        <v>6088</v>
      </c>
      <c r="G2546" s="163">
        <v>68.55</v>
      </c>
      <c r="H2546" s="163">
        <v>22.725</v>
      </c>
      <c r="I2546" s="173">
        <v>1812.5</v>
      </c>
      <c r="J2546" s="173">
        <v>758.18</v>
      </c>
      <c r="K2546" s="173">
        <v>2291.24</v>
      </c>
      <c r="L2546" s="174"/>
      <c r="M2546" s="161" t="s">
        <v>6209</v>
      </c>
      <c r="N2546" s="161" t="s">
        <v>1901</v>
      </c>
      <c r="O2546" s="161" t="s">
        <v>26</v>
      </c>
      <c r="P2546" s="49" t="s">
        <v>26</v>
      </c>
      <c r="Q2546" s="166" t="s">
        <v>6214</v>
      </c>
      <c r="R2546" s="151"/>
    </row>
    <row r="2547" spans="1:18">
      <c r="A2547" s="190" t="s">
        <v>64</v>
      </c>
      <c r="B2547" s="101" t="s">
        <v>653</v>
      </c>
      <c r="C2547" s="87" t="s">
        <v>6215</v>
      </c>
      <c r="D2547" s="161" t="s">
        <v>2847</v>
      </c>
      <c r="E2547" s="161" t="s">
        <v>6043</v>
      </c>
      <c r="F2547" s="161" t="s">
        <v>6088</v>
      </c>
      <c r="G2547" s="163">
        <v>94.31</v>
      </c>
      <c r="H2547" s="163">
        <v>26.025</v>
      </c>
      <c r="I2547" s="173">
        <v>1358.5</v>
      </c>
      <c r="J2547" s="173">
        <v>861.72</v>
      </c>
      <c r="K2547" s="173">
        <v>3152.96</v>
      </c>
      <c r="L2547" s="174"/>
      <c r="M2547" s="161" t="s">
        <v>6209</v>
      </c>
      <c r="N2547" s="161" t="s">
        <v>1901</v>
      </c>
      <c r="O2547" s="161" t="s">
        <v>26</v>
      </c>
      <c r="P2547" s="49" t="s">
        <v>26</v>
      </c>
      <c r="Q2547" s="166" t="s">
        <v>6216</v>
      </c>
      <c r="R2547" s="151"/>
    </row>
    <row r="2548" spans="1:18">
      <c r="A2548" s="190" t="s">
        <v>64</v>
      </c>
      <c r="B2548" s="101" t="s">
        <v>653</v>
      </c>
      <c r="C2548" s="87" t="s">
        <v>6217</v>
      </c>
      <c r="D2548" s="161" t="s">
        <v>1307</v>
      </c>
      <c r="E2548" s="161" t="s">
        <v>6043</v>
      </c>
      <c r="F2548" s="161" t="s">
        <v>6088</v>
      </c>
      <c r="G2548" s="163">
        <v>119.556</v>
      </c>
      <c r="H2548" s="163">
        <v>23.499</v>
      </c>
      <c r="I2548" s="173">
        <v>2258.5</v>
      </c>
      <c r="J2548" s="173">
        <v>841.68</v>
      </c>
      <c r="K2548" s="173">
        <v>3994.64</v>
      </c>
      <c r="L2548" s="174"/>
      <c r="M2548" s="161" t="s">
        <v>6209</v>
      </c>
      <c r="N2548" s="161" t="s">
        <v>1299</v>
      </c>
      <c r="O2548" s="161" t="s">
        <v>25</v>
      </c>
      <c r="P2548" s="49" t="s">
        <v>25</v>
      </c>
      <c r="Q2548" s="166" t="s">
        <v>6218</v>
      </c>
      <c r="R2548" s="151"/>
    </row>
    <row r="2549" spans="1:18">
      <c r="A2549" s="190" t="s">
        <v>64</v>
      </c>
      <c r="B2549" s="101" t="s">
        <v>653</v>
      </c>
      <c r="C2549" s="87" t="s">
        <v>6219</v>
      </c>
      <c r="D2549" s="161" t="s">
        <v>2252</v>
      </c>
      <c r="E2549" s="161" t="s">
        <v>6043</v>
      </c>
      <c r="F2549" s="161" t="s">
        <v>6088</v>
      </c>
      <c r="G2549" s="163">
        <v>148.385</v>
      </c>
      <c r="H2549" s="163">
        <v>30.68</v>
      </c>
      <c r="I2549" s="173">
        <v>2137.5</v>
      </c>
      <c r="J2549" s="173">
        <v>965.26</v>
      </c>
      <c r="K2549" s="173">
        <v>4959.9</v>
      </c>
      <c r="L2549" s="174"/>
      <c r="M2549" s="161" t="s">
        <v>6209</v>
      </c>
      <c r="N2549" s="161" t="s">
        <v>1901</v>
      </c>
      <c r="O2549" s="161" t="s">
        <v>26</v>
      </c>
      <c r="P2549" s="49" t="s">
        <v>26</v>
      </c>
      <c r="Q2549" s="166" t="s">
        <v>6220</v>
      </c>
      <c r="R2549" s="151"/>
    </row>
    <row r="2550" spans="1:18">
      <c r="A2550" s="190" t="s">
        <v>64</v>
      </c>
      <c r="B2550" s="101" t="s">
        <v>653</v>
      </c>
      <c r="C2550" s="87" t="s">
        <v>6221</v>
      </c>
      <c r="D2550" s="161" t="s">
        <v>1318</v>
      </c>
      <c r="E2550" s="161" t="s">
        <v>6043</v>
      </c>
      <c r="F2550" s="161" t="s">
        <v>6088</v>
      </c>
      <c r="G2550" s="163">
        <v>160.39</v>
      </c>
      <c r="H2550" s="163">
        <v>10.8</v>
      </c>
      <c r="I2550" s="173">
        <v>2215.3</v>
      </c>
      <c r="J2550" s="173">
        <v>400.8</v>
      </c>
      <c r="K2550" s="173">
        <v>5360.7</v>
      </c>
      <c r="L2550" s="174"/>
      <c r="M2550" s="161" t="s">
        <v>6209</v>
      </c>
      <c r="N2550" s="161" t="s">
        <v>1299</v>
      </c>
      <c r="O2550" s="161" t="s">
        <v>25</v>
      </c>
      <c r="P2550" s="49" t="s">
        <v>25</v>
      </c>
      <c r="Q2550" s="166" t="s">
        <v>6222</v>
      </c>
      <c r="R2550" s="151"/>
    </row>
    <row r="2551" spans="1:18">
      <c r="A2551" s="190" t="s">
        <v>64</v>
      </c>
      <c r="B2551" s="101" t="s">
        <v>653</v>
      </c>
      <c r="C2551" s="87" t="s">
        <v>6223</v>
      </c>
      <c r="D2551" s="161" t="s">
        <v>2261</v>
      </c>
      <c r="E2551" s="161" t="s">
        <v>6043</v>
      </c>
      <c r="F2551" s="161" t="s">
        <v>6088</v>
      </c>
      <c r="G2551" s="163">
        <v>177.071</v>
      </c>
      <c r="H2551" s="163">
        <v>15.9</v>
      </c>
      <c r="I2551" s="173">
        <v>2215.3</v>
      </c>
      <c r="J2551" s="173">
        <v>551.1</v>
      </c>
      <c r="K2551" s="173">
        <v>5911.8</v>
      </c>
      <c r="L2551" s="174"/>
      <c r="M2551" s="161" t="s">
        <v>6209</v>
      </c>
      <c r="N2551" s="161" t="s">
        <v>1901</v>
      </c>
      <c r="O2551" s="161" t="s">
        <v>26</v>
      </c>
      <c r="P2551" s="49" t="s">
        <v>26</v>
      </c>
      <c r="Q2551" s="166" t="s">
        <v>6224</v>
      </c>
      <c r="R2551" s="151"/>
    </row>
    <row r="2552" spans="1:18">
      <c r="A2552" s="190" t="s">
        <v>64</v>
      </c>
      <c r="B2552" s="101" t="s">
        <v>653</v>
      </c>
      <c r="C2552" s="87" t="s">
        <v>655</v>
      </c>
      <c r="D2552" s="161" t="s">
        <v>655</v>
      </c>
      <c r="E2552" s="161" t="s">
        <v>6043</v>
      </c>
      <c r="F2552" s="161" t="s">
        <v>6088</v>
      </c>
      <c r="G2552" s="163">
        <v>199.2</v>
      </c>
      <c r="H2552" s="163">
        <v>24.205</v>
      </c>
      <c r="I2552" s="173">
        <v>2364.6</v>
      </c>
      <c r="J2552" s="173">
        <v>741.48</v>
      </c>
      <c r="K2552" s="173">
        <v>6653.28</v>
      </c>
      <c r="L2552" s="174"/>
      <c r="M2552" s="161" t="s">
        <v>6209</v>
      </c>
      <c r="N2552" s="161" t="s">
        <v>1331</v>
      </c>
      <c r="O2552" s="161" t="s">
        <v>14</v>
      </c>
      <c r="P2552" s="49" t="s">
        <v>14</v>
      </c>
      <c r="Q2552" s="166" t="s">
        <v>6225</v>
      </c>
      <c r="R2552" s="151"/>
    </row>
    <row r="2553" spans="1:18">
      <c r="A2553" s="190" t="s">
        <v>64</v>
      </c>
      <c r="B2553" s="101" t="s">
        <v>634</v>
      </c>
      <c r="C2553" s="135" t="s">
        <v>635</v>
      </c>
      <c r="D2553" s="161" t="s">
        <v>635</v>
      </c>
      <c r="E2553" s="161" t="s">
        <v>6043</v>
      </c>
      <c r="F2553" s="161" t="s">
        <v>6096</v>
      </c>
      <c r="G2553" s="163">
        <v>0</v>
      </c>
      <c r="H2553" s="163">
        <v>0</v>
      </c>
      <c r="I2553" s="173">
        <v>1644</v>
      </c>
      <c r="J2553" s="176">
        <v>0</v>
      </c>
      <c r="K2553" s="173">
        <v>0</v>
      </c>
      <c r="L2553" s="174"/>
      <c r="M2553" s="161" t="s">
        <v>3174</v>
      </c>
      <c r="N2553" s="161" t="s">
        <v>1331</v>
      </c>
      <c r="O2553" s="161"/>
      <c r="P2553" s="49"/>
      <c r="Q2553" s="166" t="s">
        <v>6107</v>
      </c>
      <c r="R2553" s="151"/>
    </row>
    <row r="2554" spans="1:18">
      <c r="A2554" s="190" t="s">
        <v>64</v>
      </c>
      <c r="B2554" s="101" t="s">
        <v>634</v>
      </c>
      <c r="C2554" s="87" t="s">
        <v>6226</v>
      </c>
      <c r="D2554" s="161" t="s">
        <v>1298</v>
      </c>
      <c r="E2554" s="161" t="s">
        <v>6043</v>
      </c>
      <c r="F2554" s="161" t="s">
        <v>6111</v>
      </c>
      <c r="G2554" s="163">
        <v>24.2</v>
      </c>
      <c r="H2554" s="163">
        <v>24.2</v>
      </c>
      <c r="I2554" s="173">
        <v>1859</v>
      </c>
      <c r="J2554" s="176">
        <v>11712</v>
      </c>
      <c r="K2554" s="173">
        <v>11712</v>
      </c>
      <c r="L2554" s="174"/>
      <c r="M2554" s="161" t="s">
        <v>6227</v>
      </c>
      <c r="N2554" s="161" t="s">
        <v>1299</v>
      </c>
      <c r="O2554" s="161" t="s">
        <v>26</v>
      </c>
      <c r="P2554" s="49" t="s">
        <v>25</v>
      </c>
      <c r="Q2554" s="166" t="s">
        <v>6228</v>
      </c>
      <c r="R2554" s="151"/>
    </row>
    <row r="2555" ht="30" spans="1:18">
      <c r="A2555" s="190" t="s">
        <v>64</v>
      </c>
      <c r="B2555" s="101" t="s">
        <v>634</v>
      </c>
      <c r="C2555" s="87" t="s">
        <v>6229</v>
      </c>
      <c r="D2555" s="161" t="s">
        <v>6229</v>
      </c>
      <c r="E2555" s="161" t="s">
        <v>6043</v>
      </c>
      <c r="F2555" s="161" t="s">
        <v>6111</v>
      </c>
      <c r="G2555" s="163">
        <v>42.66</v>
      </c>
      <c r="H2555" s="163">
        <v>18.46</v>
      </c>
      <c r="I2555" s="173">
        <v>1925</v>
      </c>
      <c r="J2555" s="176">
        <v>9002</v>
      </c>
      <c r="K2555" s="173">
        <v>20714</v>
      </c>
      <c r="L2555" s="174" t="s">
        <v>6230</v>
      </c>
      <c r="M2555" s="161" t="s">
        <v>6227</v>
      </c>
      <c r="N2555" s="161" t="s">
        <v>1331</v>
      </c>
      <c r="O2555" s="161" t="s">
        <v>14</v>
      </c>
      <c r="P2555" s="49" t="s">
        <v>14</v>
      </c>
      <c r="Q2555" s="166" t="s">
        <v>6231</v>
      </c>
      <c r="R2555" s="151"/>
    </row>
    <row r="2556" spans="1:18">
      <c r="A2556" s="190" t="s">
        <v>64</v>
      </c>
      <c r="B2556" s="101" t="s">
        <v>634</v>
      </c>
      <c r="C2556" s="87" t="s">
        <v>6232</v>
      </c>
      <c r="D2556" s="161" t="s">
        <v>1302</v>
      </c>
      <c r="E2556" s="161" t="s">
        <v>6043</v>
      </c>
      <c r="F2556" s="161" t="s">
        <v>6233</v>
      </c>
      <c r="G2556" s="163">
        <v>69.637</v>
      </c>
      <c r="H2556" s="163">
        <v>26.98</v>
      </c>
      <c r="I2556" s="173">
        <v>1916</v>
      </c>
      <c r="J2556" s="176">
        <v>1756</v>
      </c>
      <c r="K2556" s="173">
        <v>22470</v>
      </c>
      <c r="L2556" s="174"/>
      <c r="M2556" s="161" t="s">
        <v>6227</v>
      </c>
      <c r="N2556" s="161" t="s">
        <v>1299</v>
      </c>
      <c r="O2556" s="161" t="s">
        <v>25</v>
      </c>
      <c r="P2556" s="49" t="s">
        <v>25</v>
      </c>
      <c r="Q2556" s="166" t="s">
        <v>6234</v>
      </c>
      <c r="R2556" s="151"/>
    </row>
    <row r="2557" spans="1:18">
      <c r="A2557" s="190" t="s">
        <v>64</v>
      </c>
      <c r="B2557" s="101" t="s">
        <v>634</v>
      </c>
      <c r="C2557" s="87" t="s">
        <v>6235</v>
      </c>
      <c r="D2557" s="161" t="s">
        <v>1305</v>
      </c>
      <c r="E2557" s="161" t="s">
        <v>6043</v>
      </c>
      <c r="F2557" s="161" t="s">
        <v>6233</v>
      </c>
      <c r="G2557" s="163">
        <v>93.08</v>
      </c>
      <c r="H2557" s="163">
        <v>23.44</v>
      </c>
      <c r="I2557" s="173">
        <v>1988</v>
      </c>
      <c r="J2557" s="176">
        <v>1741</v>
      </c>
      <c r="K2557" s="173">
        <v>24211</v>
      </c>
      <c r="L2557" s="174"/>
      <c r="M2557" s="161" t="s">
        <v>6227</v>
      </c>
      <c r="N2557" s="161" t="s">
        <v>1299</v>
      </c>
      <c r="O2557" s="161" t="s">
        <v>25</v>
      </c>
      <c r="P2557" s="49" t="s">
        <v>25</v>
      </c>
      <c r="Q2557" s="166" t="s">
        <v>6236</v>
      </c>
      <c r="R2557" s="151"/>
    </row>
    <row r="2558" spans="1:18">
      <c r="A2558" s="190" t="s">
        <v>64</v>
      </c>
      <c r="B2558" s="101" t="s">
        <v>634</v>
      </c>
      <c r="C2558" s="87" t="s">
        <v>636</v>
      </c>
      <c r="D2558" s="161" t="s">
        <v>636</v>
      </c>
      <c r="E2558" s="161" t="s">
        <v>6043</v>
      </c>
      <c r="F2558" s="161" t="s">
        <v>6233</v>
      </c>
      <c r="G2558" s="163">
        <v>112.41</v>
      </c>
      <c r="H2558" s="163">
        <v>19.31</v>
      </c>
      <c r="I2558" s="173">
        <v>1664</v>
      </c>
      <c r="J2558" s="176">
        <v>1300</v>
      </c>
      <c r="K2558" s="173">
        <v>25511</v>
      </c>
      <c r="L2558" s="174"/>
      <c r="M2558" s="161" t="s">
        <v>6227</v>
      </c>
      <c r="N2558" s="161" t="s">
        <v>1331</v>
      </c>
      <c r="O2558" s="161" t="s">
        <v>14</v>
      </c>
      <c r="P2558" s="49" t="s">
        <v>14</v>
      </c>
      <c r="Q2558" s="166" t="s">
        <v>6237</v>
      </c>
      <c r="R2558" s="151"/>
    </row>
    <row r="2559" spans="1:18">
      <c r="A2559" s="190" t="s">
        <v>64</v>
      </c>
      <c r="B2559" s="101" t="s">
        <v>638</v>
      </c>
      <c r="C2559" s="135" t="s">
        <v>639</v>
      </c>
      <c r="D2559" s="161" t="s">
        <v>639</v>
      </c>
      <c r="E2559" s="161" t="s">
        <v>4952</v>
      </c>
      <c r="F2559" s="161" t="s">
        <v>6163</v>
      </c>
      <c r="G2559" s="163">
        <v>0</v>
      </c>
      <c r="H2559" s="163">
        <v>0</v>
      </c>
      <c r="I2559" s="173">
        <v>1106</v>
      </c>
      <c r="J2559" s="173">
        <v>0</v>
      </c>
      <c r="K2559" s="173">
        <v>0</v>
      </c>
      <c r="L2559" s="174"/>
      <c r="M2559" s="161" t="s">
        <v>3174</v>
      </c>
      <c r="N2559" s="161" t="s">
        <v>1331</v>
      </c>
      <c r="O2559" s="161"/>
      <c r="P2559" s="49"/>
      <c r="Q2559" s="166" t="s">
        <v>6170</v>
      </c>
      <c r="R2559" s="151"/>
    </row>
    <row r="2560" spans="1:18">
      <c r="A2560" s="190" t="s">
        <v>64</v>
      </c>
      <c r="B2560" s="101" t="s">
        <v>638</v>
      </c>
      <c r="C2560" s="87" t="s">
        <v>6238</v>
      </c>
      <c r="D2560" s="161" t="s">
        <v>1899</v>
      </c>
      <c r="E2560" s="161" t="s">
        <v>4952</v>
      </c>
      <c r="F2560" s="161" t="s">
        <v>6163</v>
      </c>
      <c r="G2560" s="163">
        <v>15.169</v>
      </c>
      <c r="H2560" s="163">
        <v>15.37</v>
      </c>
      <c r="I2560" s="173">
        <v>863</v>
      </c>
      <c r="J2560" s="173">
        <v>1178</v>
      </c>
      <c r="K2560" s="173">
        <v>1178</v>
      </c>
      <c r="L2560" s="174"/>
      <c r="M2560" s="161" t="s">
        <v>6239</v>
      </c>
      <c r="N2560" s="161" t="s">
        <v>1901</v>
      </c>
      <c r="O2560" s="161" t="s">
        <v>26</v>
      </c>
      <c r="P2560" s="49" t="s">
        <v>26</v>
      </c>
      <c r="Q2560" s="166" t="s">
        <v>6240</v>
      </c>
      <c r="R2560" s="151"/>
    </row>
    <row r="2561" spans="1:18">
      <c r="A2561" s="190" t="s">
        <v>64</v>
      </c>
      <c r="B2561" s="101" t="s">
        <v>638</v>
      </c>
      <c r="C2561" s="87" t="s">
        <v>640</v>
      </c>
      <c r="D2561" s="161" t="s">
        <v>640</v>
      </c>
      <c r="E2561" s="161" t="s">
        <v>4952</v>
      </c>
      <c r="F2561" s="161" t="s">
        <v>6163</v>
      </c>
      <c r="G2561" s="163">
        <v>33.92</v>
      </c>
      <c r="H2561" s="163">
        <v>18.57</v>
      </c>
      <c r="I2561" s="173">
        <v>850</v>
      </c>
      <c r="J2561" s="173">
        <v>1421</v>
      </c>
      <c r="K2561" s="173">
        <v>2599</v>
      </c>
      <c r="L2561" s="174"/>
      <c r="M2561" s="161" t="s">
        <v>6239</v>
      </c>
      <c r="N2561" s="161" t="s">
        <v>1331</v>
      </c>
      <c r="O2561" s="161" t="s">
        <v>14</v>
      </c>
      <c r="P2561" s="49" t="s">
        <v>14</v>
      </c>
      <c r="Q2561" s="166" t="s">
        <v>6241</v>
      </c>
      <c r="R2561" s="151"/>
    </row>
    <row r="2562" spans="1:18">
      <c r="A2562" s="190" t="s">
        <v>64</v>
      </c>
      <c r="B2562" s="101" t="s">
        <v>644</v>
      </c>
      <c r="C2562" s="135" t="s">
        <v>645</v>
      </c>
      <c r="D2562" s="161" t="s">
        <v>645</v>
      </c>
      <c r="E2562" s="161" t="s">
        <v>3154</v>
      </c>
      <c r="F2562" s="161" t="s">
        <v>6182</v>
      </c>
      <c r="G2562" s="163">
        <v>0</v>
      </c>
      <c r="H2562" s="163">
        <v>0</v>
      </c>
      <c r="I2562" s="173">
        <v>363</v>
      </c>
      <c r="J2562" s="173">
        <v>0</v>
      </c>
      <c r="K2562" s="173">
        <v>0</v>
      </c>
      <c r="L2562" s="174"/>
      <c r="M2562" s="161" t="s">
        <v>3174</v>
      </c>
      <c r="N2562" s="161" t="s">
        <v>1331</v>
      </c>
      <c r="O2562" s="161"/>
      <c r="P2562" s="49"/>
      <c r="Q2562" s="166" t="s">
        <v>6195</v>
      </c>
      <c r="R2562" s="151"/>
    </row>
    <row r="2563" spans="1:18">
      <c r="A2563" s="190" t="s">
        <v>64</v>
      </c>
      <c r="B2563" s="101" t="s">
        <v>644</v>
      </c>
      <c r="C2563" s="87" t="s">
        <v>6242</v>
      </c>
      <c r="D2563" s="161" t="s">
        <v>1899</v>
      </c>
      <c r="E2563" s="161" t="s">
        <v>3154</v>
      </c>
      <c r="F2563" s="161" t="s">
        <v>6194</v>
      </c>
      <c r="G2563" s="163">
        <v>20.984</v>
      </c>
      <c r="H2563" s="163">
        <f>G2563-G2562</f>
        <v>20.984</v>
      </c>
      <c r="I2563" s="173">
        <v>377</v>
      </c>
      <c r="J2563" s="173">
        <v>3097</v>
      </c>
      <c r="K2563" s="173">
        <f>K2562+J2563</f>
        <v>3097</v>
      </c>
      <c r="L2563" s="174"/>
      <c r="M2563" s="161" t="s">
        <v>6243</v>
      </c>
      <c r="N2563" s="161" t="s">
        <v>1901</v>
      </c>
      <c r="O2563" s="161" t="s">
        <v>26</v>
      </c>
      <c r="P2563" s="49" t="s">
        <v>26</v>
      </c>
      <c r="Q2563" s="166" t="s">
        <v>6244</v>
      </c>
      <c r="R2563" s="151"/>
    </row>
    <row r="2564" spans="1:18">
      <c r="A2564" s="190" t="s">
        <v>64</v>
      </c>
      <c r="B2564" s="101" t="s">
        <v>644</v>
      </c>
      <c r="C2564" s="87" t="s">
        <v>6245</v>
      </c>
      <c r="D2564" s="161" t="s">
        <v>6245</v>
      </c>
      <c r="E2564" s="161" t="s">
        <v>3154</v>
      </c>
      <c r="F2564" s="161" t="s">
        <v>6194</v>
      </c>
      <c r="G2564" s="163">
        <v>42.73</v>
      </c>
      <c r="H2564" s="163">
        <f t="shared" ref="H2564:H2571" si="202">G2564-G2563</f>
        <v>21.746</v>
      </c>
      <c r="I2564" s="173">
        <v>133</v>
      </c>
      <c r="J2564" s="173">
        <v>3562</v>
      </c>
      <c r="K2564" s="173">
        <f t="shared" ref="K2564:K2571" si="203">K2563+J2564</f>
        <v>6659</v>
      </c>
      <c r="L2564" s="174"/>
      <c r="M2564" s="161" t="s">
        <v>6243</v>
      </c>
      <c r="N2564" s="161" t="s">
        <v>1331</v>
      </c>
      <c r="O2564" s="161" t="s">
        <v>14</v>
      </c>
      <c r="P2564" s="49" t="s">
        <v>14</v>
      </c>
      <c r="Q2564" s="166" t="s">
        <v>6246</v>
      </c>
      <c r="R2564" s="151"/>
    </row>
    <row r="2565" spans="1:18">
      <c r="A2565" s="190" t="s">
        <v>64</v>
      </c>
      <c r="B2565" s="101" t="s">
        <v>644</v>
      </c>
      <c r="C2565" s="87" t="s">
        <v>6247</v>
      </c>
      <c r="D2565" s="161" t="s">
        <v>1904</v>
      </c>
      <c r="E2565" s="161" t="s">
        <v>3154</v>
      </c>
      <c r="F2565" s="161" t="s">
        <v>6194</v>
      </c>
      <c r="G2565" s="163">
        <v>66.932</v>
      </c>
      <c r="H2565" s="163">
        <f t="shared" si="202"/>
        <v>24.202</v>
      </c>
      <c r="I2565" s="173">
        <v>93</v>
      </c>
      <c r="J2565" s="173">
        <v>3562</v>
      </c>
      <c r="K2565" s="173">
        <f t="shared" si="203"/>
        <v>10221</v>
      </c>
      <c r="L2565" s="174"/>
      <c r="M2565" s="161" t="s">
        <v>6243</v>
      </c>
      <c r="N2565" s="161" t="s">
        <v>1901</v>
      </c>
      <c r="O2565" s="161" t="s">
        <v>26</v>
      </c>
      <c r="P2565" s="49" t="s">
        <v>26</v>
      </c>
      <c r="Q2565" s="166" t="s">
        <v>6248</v>
      </c>
      <c r="R2565" s="151"/>
    </row>
    <row r="2566" spans="1:18">
      <c r="A2566" s="190" t="s">
        <v>64</v>
      </c>
      <c r="B2566" s="101" t="s">
        <v>644</v>
      </c>
      <c r="C2566" s="87" t="s">
        <v>6249</v>
      </c>
      <c r="D2566" s="161" t="s">
        <v>1305</v>
      </c>
      <c r="E2566" s="161" t="s">
        <v>3154</v>
      </c>
      <c r="F2566" s="161" t="s">
        <v>6194</v>
      </c>
      <c r="G2566" s="163">
        <v>90.37</v>
      </c>
      <c r="H2566" s="163">
        <f t="shared" si="202"/>
        <v>23.438</v>
      </c>
      <c r="I2566" s="173">
        <v>228</v>
      </c>
      <c r="J2566" s="173">
        <v>3872</v>
      </c>
      <c r="K2566" s="173">
        <f t="shared" si="203"/>
        <v>14093</v>
      </c>
      <c r="L2566" s="174"/>
      <c r="M2566" s="161" t="s">
        <v>6243</v>
      </c>
      <c r="N2566" s="161" t="s">
        <v>1299</v>
      </c>
      <c r="O2566" s="161" t="s">
        <v>25</v>
      </c>
      <c r="P2566" s="49" t="s">
        <v>25</v>
      </c>
      <c r="Q2566" s="166" t="s">
        <v>6250</v>
      </c>
      <c r="R2566" s="151"/>
    </row>
    <row r="2567" spans="1:18">
      <c r="A2567" s="190" t="s">
        <v>64</v>
      </c>
      <c r="B2567" s="101" t="s">
        <v>644</v>
      </c>
      <c r="C2567" s="87" t="s">
        <v>6251</v>
      </c>
      <c r="D2567" s="161" t="s">
        <v>2820</v>
      </c>
      <c r="E2567" s="161" t="s">
        <v>3154</v>
      </c>
      <c r="F2567" s="161" t="s">
        <v>6194</v>
      </c>
      <c r="G2567" s="163">
        <v>112.394</v>
      </c>
      <c r="H2567" s="163">
        <f t="shared" si="202"/>
        <v>22.024</v>
      </c>
      <c r="I2567" s="173">
        <v>118</v>
      </c>
      <c r="J2567" s="173">
        <v>3408</v>
      </c>
      <c r="K2567" s="173">
        <f t="shared" si="203"/>
        <v>17501</v>
      </c>
      <c r="L2567" s="174"/>
      <c r="M2567" s="161" t="s">
        <v>6243</v>
      </c>
      <c r="N2567" s="161" t="s">
        <v>1901</v>
      </c>
      <c r="O2567" s="161" t="s">
        <v>26</v>
      </c>
      <c r="P2567" s="49" t="s">
        <v>26</v>
      </c>
      <c r="Q2567" s="166" t="s">
        <v>6252</v>
      </c>
      <c r="R2567" s="151"/>
    </row>
    <row r="2568" spans="1:18">
      <c r="A2568" s="190" t="s">
        <v>64</v>
      </c>
      <c r="B2568" s="101" t="s">
        <v>644</v>
      </c>
      <c r="C2568" s="87" t="s">
        <v>6253</v>
      </c>
      <c r="D2568" s="161" t="s">
        <v>1311</v>
      </c>
      <c r="E2568" s="161" t="s">
        <v>3154</v>
      </c>
      <c r="F2568" s="161" t="s">
        <v>6194</v>
      </c>
      <c r="G2568" s="163">
        <v>132.887</v>
      </c>
      <c r="H2568" s="163">
        <f t="shared" si="202"/>
        <v>20.493</v>
      </c>
      <c r="I2568" s="173">
        <v>108</v>
      </c>
      <c r="J2568" s="173">
        <v>2943</v>
      </c>
      <c r="K2568" s="173">
        <f t="shared" si="203"/>
        <v>20444</v>
      </c>
      <c r="L2568" s="174"/>
      <c r="M2568" s="161" t="s">
        <v>6243</v>
      </c>
      <c r="N2568" s="161" t="s">
        <v>1299</v>
      </c>
      <c r="O2568" s="161" t="s">
        <v>25</v>
      </c>
      <c r="P2568" s="49" t="s">
        <v>25</v>
      </c>
      <c r="Q2568" s="166" t="s">
        <v>6254</v>
      </c>
      <c r="R2568" s="151"/>
    </row>
    <row r="2569" spans="1:18">
      <c r="A2569" s="190" t="s">
        <v>64</v>
      </c>
      <c r="B2569" s="101" t="s">
        <v>644</v>
      </c>
      <c r="C2569" s="87" t="s">
        <v>6255</v>
      </c>
      <c r="D2569" s="161" t="s">
        <v>2258</v>
      </c>
      <c r="E2569" s="161" t="s">
        <v>3154</v>
      </c>
      <c r="F2569" s="161" t="s">
        <v>6256</v>
      </c>
      <c r="G2569" s="163">
        <v>155.587</v>
      </c>
      <c r="H2569" s="163">
        <f t="shared" si="202"/>
        <v>22.7</v>
      </c>
      <c r="I2569" s="173">
        <v>180</v>
      </c>
      <c r="J2569" s="173">
        <v>3562</v>
      </c>
      <c r="K2569" s="173">
        <f t="shared" si="203"/>
        <v>24006</v>
      </c>
      <c r="L2569" s="174"/>
      <c r="M2569" s="161" t="s">
        <v>6243</v>
      </c>
      <c r="N2569" s="161" t="s">
        <v>1901</v>
      </c>
      <c r="O2569" s="161" t="s">
        <v>26</v>
      </c>
      <c r="P2569" s="49" t="s">
        <v>26</v>
      </c>
      <c r="Q2569" s="166" t="s">
        <v>6257</v>
      </c>
      <c r="R2569" s="151"/>
    </row>
    <row r="2570" spans="1:18">
      <c r="A2570" s="190" t="s">
        <v>64</v>
      </c>
      <c r="B2570" s="101" t="s">
        <v>644</v>
      </c>
      <c r="C2570" s="87" t="s">
        <v>6258</v>
      </c>
      <c r="D2570" s="161" t="s">
        <v>6258</v>
      </c>
      <c r="E2570" s="161" t="s">
        <v>3154</v>
      </c>
      <c r="F2570" s="161" t="s">
        <v>6256</v>
      </c>
      <c r="G2570" s="163">
        <v>173.05</v>
      </c>
      <c r="H2570" s="163">
        <f t="shared" si="202"/>
        <v>17.463</v>
      </c>
      <c r="I2570" s="173">
        <v>155</v>
      </c>
      <c r="J2570" s="173">
        <v>2788</v>
      </c>
      <c r="K2570" s="173">
        <f t="shared" si="203"/>
        <v>26794</v>
      </c>
      <c r="L2570" s="174"/>
      <c r="M2570" s="161" t="s">
        <v>6243</v>
      </c>
      <c r="N2570" s="161" t="s">
        <v>1331</v>
      </c>
      <c r="O2570" s="161" t="s">
        <v>14</v>
      </c>
      <c r="P2570" s="49" t="s">
        <v>14</v>
      </c>
      <c r="Q2570" s="166" t="s">
        <v>6259</v>
      </c>
      <c r="R2570" s="151"/>
    </row>
    <row r="2571" spans="1:18">
      <c r="A2571" s="190" t="s">
        <v>64</v>
      </c>
      <c r="B2571" s="101" t="s">
        <v>644</v>
      </c>
      <c r="C2571" s="87" t="s">
        <v>646</v>
      </c>
      <c r="D2571" s="161" t="s">
        <v>646</v>
      </c>
      <c r="E2571" s="161" t="s">
        <v>3154</v>
      </c>
      <c r="F2571" s="161" t="s">
        <v>6256</v>
      </c>
      <c r="G2571" s="163">
        <v>202.45</v>
      </c>
      <c r="H2571" s="163">
        <f t="shared" si="202"/>
        <v>29.4</v>
      </c>
      <c r="I2571" s="173">
        <v>155</v>
      </c>
      <c r="J2571" s="173">
        <v>4492</v>
      </c>
      <c r="K2571" s="173">
        <f t="shared" si="203"/>
        <v>31286</v>
      </c>
      <c r="L2571" s="174"/>
      <c r="M2571" s="161" t="s">
        <v>6243</v>
      </c>
      <c r="N2571" s="161" t="s">
        <v>1331</v>
      </c>
      <c r="O2571" s="161" t="s">
        <v>14</v>
      </c>
      <c r="P2571" s="49" t="s">
        <v>14</v>
      </c>
      <c r="Q2571" s="166" t="s">
        <v>6260</v>
      </c>
      <c r="R2571" s="151"/>
    </row>
    <row r="2572" spans="1:18">
      <c r="A2572" s="190" t="s">
        <v>64</v>
      </c>
      <c r="B2572" s="101" t="s">
        <v>641</v>
      </c>
      <c r="C2572" s="135" t="s">
        <v>274</v>
      </c>
      <c r="D2572" s="161" t="s">
        <v>274</v>
      </c>
      <c r="E2572" s="161" t="s">
        <v>3154</v>
      </c>
      <c r="F2572" s="161" t="s">
        <v>3177</v>
      </c>
      <c r="G2572" s="163">
        <v>0</v>
      </c>
      <c r="H2572" s="163">
        <v>0</v>
      </c>
      <c r="I2572" s="173">
        <v>108</v>
      </c>
      <c r="J2572" s="173">
        <v>0</v>
      </c>
      <c r="K2572" s="173">
        <v>0</v>
      </c>
      <c r="L2572" s="174"/>
      <c r="M2572" s="161" t="s">
        <v>3129</v>
      </c>
      <c r="N2572" s="161" t="s">
        <v>1331</v>
      </c>
      <c r="O2572" s="161"/>
      <c r="P2572" s="49"/>
      <c r="Q2572" s="166" t="s">
        <v>3187</v>
      </c>
      <c r="R2572" s="151"/>
    </row>
    <row r="2573" spans="1:18">
      <c r="A2573" s="190" t="s">
        <v>64</v>
      </c>
      <c r="B2573" s="101" t="s">
        <v>641</v>
      </c>
      <c r="C2573" s="87" t="s">
        <v>6261</v>
      </c>
      <c r="D2573" s="161" t="s">
        <v>1899</v>
      </c>
      <c r="E2573" s="161" t="s">
        <v>3154</v>
      </c>
      <c r="F2573" s="161" t="s">
        <v>3177</v>
      </c>
      <c r="G2573" s="163">
        <v>19.668</v>
      </c>
      <c r="H2573" s="163">
        <v>19.97</v>
      </c>
      <c r="I2573" s="173">
        <v>82</v>
      </c>
      <c r="J2573" s="173">
        <v>9665</v>
      </c>
      <c r="K2573" s="173">
        <f>K2572+J2573</f>
        <v>9665</v>
      </c>
      <c r="L2573" s="174"/>
      <c r="M2573" s="161" t="s">
        <v>6262</v>
      </c>
      <c r="N2573" s="161" t="s">
        <v>1901</v>
      </c>
      <c r="O2573" s="161" t="s">
        <v>26</v>
      </c>
      <c r="P2573" s="49" t="s">
        <v>26</v>
      </c>
      <c r="Q2573" s="166" t="s">
        <v>6263</v>
      </c>
      <c r="R2573" s="151"/>
    </row>
    <row r="2574" spans="1:18">
      <c r="A2574" s="190" t="s">
        <v>64</v>
      </c>
      <c r="B2574" s="101" t="s">
        <v>641</v>
      </c>
      <c r="C2574" s="87" t="s">
        <v>6264</v>
      </c>
      <c r="D2574" s="161" t="s">
        <v>1904</v>
      </c>
      <c r="E2574" s="161" t="s">
        <v>3154</v>
      </c>
      <c r="F2574" s="161" t="s">
        <v>6265</v>
      </c>
      <c r="G2574" s="163">
        <v>41.992</v>
      </c>
      <c r="H2574" s="163">
        <v>22.57</v>
      </c>
      <c r="I2574" s="173">
        <v>67</v>
      </c>
      <c r="J2574" s="173">
        <v>10924</v>
      </c>
      <c r="K2574" s="173">
        <f t="shared" ref="K2574:K2579" si="204">K2573+J2574</f>
        <v>20589</v>
      </c>
      <c r="L2574" s="174"/>
      <c r="M2574" s="161" t="s">
        <v>6262</v>
      </c>
      <c r="N2574" s="161" t="s">
        <v>1901</v>
      </c>
      <c r="O2574" s="161" t="s">
        <v>26</v>
      </c>
      <c r="P2574" s="49" t="s">
        <v>26</v>
      </c>
      <c r="Q2574" s="166" t="s">
        <v>6266</v>
      </c>
      <c r="R2574" s="151"/>
    </row>
    <row r="2575" spans="1:18">
      <c r="A2575" s="190" t="s">
        <v>64</v>
      </c>
      <c r="B2575" s="101" t="s">
        <v>641</v>
      </c>
      <c r="C2575" s="87" t="s">
        <v>6267</v>
      </c>
      <c r="D2575" s="161" t="s">
        <v>2847</v>
      </c>
      <c r="E2575" s="161" t="s">
        <v>3154</v>
      </c>
      <c r="F2575" s="161" t="s">
        <v>6265</v>
      </c>
      <c r="G2575" s="163">
        <v>59.787</v>
      </c>
      <c r="H2575" s="163">
        <v>17.65</v>
      </c>
      <c r="I2575" s="173">
        <v>41</v>
      </c>
      <c r="J2575" s="173">
        <v>8542</v>
      </c>
      <c r="K2575" s="173">
        <f t="shared" si="204"/>
        <v>29131</v>
      </c>
      <c r="L2575" s="174"/>
      <c r="M2575" s="161" t="s">
        <v>6262</v>
      </c>
      <c r="N2575" s="161" t="s">
        <v>1901</v>
      </c>
      <c r="O2575" s="161" t="s">
        <v>26</v>
      </c>
      <c r="P2575" s="49" t="s">
        <v>26</v>
      </c>
      <c r="Q2575" s="166" t="s">
        <v>6268</v>
      </c>
      <c r="R2575" s="151"/>
    </row>
    <row r="2576" spans="1:18">
      <c r="A2576" s="190" t="s">
        <v>64</v>
      </c>
      <c r="B2576" s="101" t="s">
        <v>641</v>
      </c>
      <c r="C2576" s="87" t="s">
        <v>648</v>
      </c>
      <c r="D2576" s="190" t="s">
        <v>648</v>
      </c>
      <c r="E2576" s="161" t="s">
        <v>3154</v>
      </c>
      <c r="F2576" s="161" t="s">
        <v>6265</v>
      </c>
      <c r="G2576" s="163">
        <v>80.699763</v>
      </c>
      <c r="H2576" s="163">
        <v>20.67</v>
      </c>
      <c r="I2576" s="173">
        <v>56</v>
      </c>
      <c r="J2576" s="173">
        <v>10004</v>
      </c>
      <c r="K2576" s="173">
        <f t="shared" si="204"/>
        <v>39135</v>
      </c>
      <c r="L2576" s="174"/>
      <c r="M2576" s="161" t="s">
        <v>6262</v>
      </c>
      <c r="N2576" s="161" t="s">
        <v>1331</v>
      </c>
      <c r="O2576" s="161" t="s">
        <v>14</v>
      </c>
      <c r="P2576" s="49" t="s">
        <v>14</v>
      </c>
      <c r="Q2576" s="166" t="s">
        <v>6269</v>
      </c>
      <c r="R2576" s="151"/>
    </row>
    <row r="2577" spans="1:18">
      <c r="A2577" s="190" t="s">
        <v>64</v>
      </c>
      <c r="B2577" s="101" t="s">
        <v>641</v>
      </c>
      <c r="C2577" s="87" t="s">
        <v>6270</v>
      </c>
      <c r="D2577" s="161" t="s">
        <v>1307</v>
      </c>
      <c r="E2577" s="161" t="s">
        <v>3154</v>
      </c>
      <c r="F2577" s="161" t="s">
        <v>6265</v>
      </c>
      <c r="G2577" s="163">
        <v>96.314</v>
      </c>
      <c r="H2577" s="163">
        <v>12.9</v>
      </c>
      <c r="I2577" s="173">
        <v>17</v>
      </c>
      <c r="J2577" s="173">
        <v>6247</v>
      </c>
      <c r="K2577" s="173">
        <f t="shared" si="204"/>
        <v>45382</v>
      </c>
      <c r="L2577" s="174"/>
      <c r="M2577" s="161" t="s">
        <v>6262</v>
      </c>
      <c r="N2577" s="161" t="s">
        <v>1299</v>
      </c>
      <c r="O2577" s="161" t="s">
        <v>25</v>
      </c>
      <c r="P2577" s="49" t="s">
        <v>25</v>
      </c>
      <c r="Q2577" s="166" t="s">
        <v>6271</v>
      </c>
      <c r="R2577" s="151"/>
    </row>
    <row r="2578" ht="45" spans="1:18">
      <c r="A2578" s="190" t="s">
        <v>64</v>
      </c>
      <c r="B2578" s="101" t="s">
        <v>641</v>
      </c>
      <c r="C2578" s="135" t="s">
        <v>6272</v>
      </c>
      <c r="D2578" s="161" t="s">
        <v>741</v>
      </c>
      <c r="E2578" s="161" t="s">
        <v>3154</v>
      </c>
      <c r="F2578" s="161" t="s">
        <v>6265</v>
      </c>
      <c r="G2578" s="163">
        <v>103.97</v>
      </c>
      <c r="H2578" s="163">
        <v>10.84</v>
      </c>
      <c r="I2578" s="173">
        <v>10</v>
      </c>
      <c r="J2578" s="173">
        <v>5247</v>
      </c>
      <c r="K2578" s="173">
        <f t="shared" si="204"/>
        <v>50629</v>
      </c>
      <c r="L2578" s="174" t="s">
        <v>6273</v>
      </c>
      <c r="M2578" s="161" t="s">
        <v>6262</v>
      </c>
      <c r="N2578" s="161" t="s">
        <v>1331</v>
      </c>
      <c r="O2578" s="161"/>
      <c r="P2578" s="49"/>
      <c r="Q2578" s="166" t="s">
        <v>6274</v>
      </c>
      <c r="R2578" s="151"/>
    </row>
    <row r="2579" spans="1:18">
      <c r="A2579" s="190" t="s">
        <v>64</v>
      </c>
      <c r="B2579" s="101" t="s">
        <v>641</v>
      </c>
      <c r="C2579" s="87" t="s">
        <v>6275</v>
      </c>
      <c r="D2579" s="161" t="s">
        <v>2258</v>
      </c>
      <c r="E2579" s="161" t="s">
        <v>3154</v>
      </c>
      <c r="F2579" s="161" t="s">
        <v>6265</v>
      </c>
      <c r="G2579" s="163">
        <v>118.34</v>
      </c>
      <c r="H2579" s="163">
        <v>13.72</v>
      </c>
      <c r="I2579" s="173">
        <v>53</v>
      </c>
      <c r="J2579" s="173">
        <v>6533</v>
      </c>
      <c r="K2579" s="173">
        <f t="shared" si="204"/>
        <v>57162</v>
      </c>
      <c r="L2579" s="174"/>
      <c r="M2579" s="161" t="s">
        <v>6262</v>
      </c>
      <c r="N2579" s="161" t="s">
        <v>1901</v>
      </c>
      <c r="O2579" s="161" t="s">
        <v>26</v>
      </c>
      <c r="P2579" s="49" t="s">
        <v>26</v>
      </c>
      <c r="Q2579" s="166" t="s">
        <v>6276</v>
      </c>
      <c r="R2579" s="151"/>
    </row>
    <row r="2580" spans="1:18">
      <c r="A2580" s="190" t="s">
        <v>64</v>
      </c>
      <c r="B2580" s="101" t="s">
        <v>641</v>
      </c>
      <c r="C2580" s="87" t="s">
        <v>6277</v>
      </c>
      <c r="D2580" s="161" t="s">
        <v>6277</v>
      </c>
      <c r="E2580" s="161" t="s">
        <v>3154</v>
      </c>
      <c r="F2580" s="161" t="s">
        <v>6265</v>
      </c>
      <c r="G2580" s="163" t="s">
        <v>6278</v>
      </c>
      <c r="H2580" s="163" t="s">
        <v>6278</v>
      </c>
      <c r="I2580" s="173">
        <v>53</v>
      </c>
      <c r="J2580" s="163" t="s">
        <v>6278</v>
      </c>
      <c r="K2580" s="173">
        <v>57162</v>
      </c>
      <c r="L2580" s="174" t="s">
        <v>6279</v>
      </c>
      <c r="M2580" s="161" t="s">
        <v>6262</v>
      </c>
      <c r="N2580" s="161"/>
      <c r="O2580" s="161" t="s">
        <v>16</v>
      </c>
      <c r="P2580" s="49" t="s">
        <v>16</v>
      </c>
      <c r="Q2580" s="166"/>
      <c r="R2580" s="151"/>
    </row>
    <row r="2581" spans="1:18">
      <c r="A2581" s="190" t="s">
        <v>64</v>
      </c>
      <c r="B2581" s="101" t="s">
        <v>641</v>
      </c>
      <c r="C2581" s="87" t="s">
        <v>6280</v>
      </c>
      <c r="D2581" s="161" t="s">
        <v>6280</v>
      </c>
      <c r="E2581" s="161" t="s">
        <v>3154</v>
      </c>
      <c r="F2581" s="161" t="s">
        <v>6265</v>
      </c>
      <c r="G2581" s="163" t="s">
        <v>6278</v>
      </c>
      <c r="H2581" s="163" t="s">
        <v>6278</v>
      </c>
      <c r="I2581" s="173">
        <v>53</v>
      </c>
      <c r="J2581" s="163" t="s">
        <v>6278</v>
      </c>
      <c r="K2581" s="173">
        <v>57162</v>
      </c>
      <c r="L2581" s="174" t="s">
        <v>6279</v>
      </c>
      <c r="M2581" s="161">
        <v>0</v>
      </c>
      <c r="N2581" s="161"/>
      <c r="O2581" s="161" t="s">
        <v>16</v>
      </c>
      <c r="P2581" s="49" t="s">
        <v>16</v>
      </c>
      <c r="Q2581" s="166"/>
      <c r="R2581" s="151"/>
    </row>
    <row r="2582" spans="1:18">
      <c r="A2582" s="190" t="s">
        <v>64</v>
      </c>
      <c r="B2582" s="101" t="s">
        <v>641</v>
      </c>
      <c r="C2582" s="87" t="s">
        <v>6281</v>
      </c>
      <c r="D2582" s="161" t="s">
        <v>2261</v>
      </c>
      <c r="E2582" s="161" t="s">
        <v>3154</v>
      </c>
      <c r="F2582" s="161" t="s">
        <v>6265</v>
      </c>
      <c r="G2582" s="163">
        <v>127.581</v>
      </c>
      <c r="H2582" s="163">
        <v>10.93</v>
      </c>
      <c r="I2582" s="173">
        <v>44</v>
      </c>
      <c r="J2582" s="173">
        <v>5205</v>
      </c>
      <c r="K2582" s="173">
        <v>62367</v>
      </c>
      <c r="L2582" s="174"/>
      <c r="M2582" s="161" t="s">
        <v>6262</v>
      </c>
      <c r="N2582" s="161" t="s">
        <v>1901</v>
      </c>
      <c r="O2582" s="161" t="s">
        <v>26</v>
      </c>
      <c r="P2582" s="49" t="s">
        <v>26</v>
      </c>
      <c r="Q2582" s="166" t="s">
        <v>6282</v>
      </c>
      <c r="R2582" s="151"/>
    </row>
    <row r="2583" spans="1:18">
      <c r="A2583" s="190" t="s">
        <v>64</v>
      </c>
      <c r="B2583" s="101" t="s">
        <v>641</v>
      </c>
      <c r="C2583" s="87" t="s">
        <v>6283</v>
      </c>
      <c r="D2583" s="161" t="s">
        <v>6283</v>
      </c>
      <c r="E2583" s="161" t="s">
        <v>3154</v>
      </c>
      <c r="F2583" s="161" t="s">
        <v>6265</v>
      </c>
      <c r="G2583" s="163">
        <v>141.24</v>
      </c>
      <c r="H2583" s="163">
        <v>12</v>
      </c>
      <c r="I2583" s="173">
        <v>10</v>
      </c>
      <c r="J2583" s="173">
        <v>5715</v>
      </c>
      <c r="K2583" s="173">
        <v>68082</v>
      </c>
      <c r="L2583" s="174"/>
      <c r="M2583" s="161" t="s">
        <v>6262</v>
      </c>
      <c r="N2583" s="161" t="s">
        <v>1331</v>
      </c>
      <c r="O2583" s="161" t="s">
        <v>14</v>
      </c>
      <c r="P2583" s="49" t="s">
        <v>14</v>
      </c>
      <c r="Q2583" s="166" t="s">
        <v>6284</v>
      </c>
      <c r="R2583" s="151"/>
    </row>
    <row r="2584" spans="1:18">
      <c r="A2584" s="190" t="s">
        <v>64</v>
      </c>
      <c r="B2584" s="101" t="s">
        <v>647</v>
      </c>
      <c r="C2584" s="135" t="s">
        <v>648</v>
      </c>
      <c r="D2584" s="161" t="s">
        <v>14</v>
      </c>
      <c r="E2584" s="161" t="s">
        <v>3154</v>
      </c>
      <c r="F2584" s="161" t="s">
        <v>3177</v>
      </c>
      <c r="G2584" s="163">
        <v>0</v>
      </c>
      <c r="H2584" s="163">
        <v>0</v>
      </c>
      <c r="I2584" s="173">
        <v>0</v>
      </c>
      <c r="J2584" s="173">
        <v>0</v>
      </c>
      <c r="K2584" s="173">
        <v>0</v>
      </c>
      <c r="L2584" s="174"/>
      <c r="M2584" s="161" t="s">
        <v>6262</v>
      </c>
      <c r="N2584" s="161"/>
      <c r="O2584" s="161"/>
      <c r="P2584" s="49"/>
      <c r="Q2584" s="166" t="s">
        <v>6269</v>
      </c>
      <c r="R2584" s="151"/>
    </row>
    <row r="2585" spans="1:18">
      <c r="A2585" s="190" t="s">
        <v>64</v>
      </c>
      <c r="B2585" s="101" t="s">
        <v>647</v>
      </c>
      <c r="C2585" s="87" t="s">
        <v>6285</v>
      </c>
      <c r="D2585" s="161" t="s">
        <v>1298</v>
      </c>
      <c r="E2585" s="161" t="s">
        <v>3154</v>
      </c>
      <c r="F2585" s="161" t="s">
        <v>6265</v>
      </c>
      <c r="G2585" s="163">
        <v>12.089</v>
      </c>
      <c r="H2585" s="163">
        <f>G2585-G2584</f>
        <v>12.089</v>
      </c>
      <c r="I2585" s="173">
        <v>673</v>
      </c>
      <c r="J2585" s="173">
        <v>663</v>
      </c>
      <c r="K2585" s="173">
        <v>663</v>
      </c>
      <c r="L2585" s="174"/>
      <c r="M2585" s="161" t="s">
        <v>6286</v>
      </c>
      <c r="N2585" s="161" t="s">
        <v>1299</v>
      </c>
      <c r="O2585" s="161" t="s">
        <v>25</v>
      </c>
      <c r="P2585" s="49" t="s">
        <v>25</v>
      </c>
      <c r="Q2585" s="166" t="s">
        <v>6287</v>
      </c>
      <c r="R2585" s="151"/>
    </row>
    <row r="2586" spans="1:18">
      <c r="A2586" s="190" t="s">
        <v>64</v>
      </c>
      <c r="B2586" s="101" t="s">
        <v>647</v>
      </c>
      <c r="C2586" s="87" t="s">
        <v>6288</v>
      </c>
      <c r="D2586" s="161" t="s">
        <v>1302</v>
      </c>
      <c r="E2586" s="161" t="s">
        <v>3154</v>
      </c>
      <c r="F2586" s="161" t="s">
        <v>6265</v>
      </c>
      <c r="G2586" s="163">
        <v>32.315</v>
      </c>
      <c r="H2586" s="163">
        <f>G2586-G2585</f>
        <v>20.226</v>
      </c>
      <c r="I2586" s="173">
        <v>1113</v>
      </c>
      <c r="J2586" s="173">
        <v>1098</v>
      </c>
      <c r="K2586" s="173">
        <v>1761</v>
      </c>
      <c r="L2586" s="174"/>
      <c r="M2586" s="161" t="s">
        <v>6286</v>
      </c>
      <c r="N2586" s="161" t="s">
        <v>1299</v>
      </c>
      <c r="O2586" s="161" t="s">
        <v>25</v>
      </c>
      <c r="P2586" s="49" t="s">
        <v>25</v>
      </c>
      <c r="Q2586" s="166" t="s">
        <v>6289</v>
      </c>
      <c r="R2586" s="151"/>
    </row>
    <row r="2587" spans="1:18">
      <c r="A2587" s="190" t="s">
        <v>64</v>
      </c>
      <c r="B2587" s="101" t="s">
        <v>647</v>
      </c>
      <c r="C2587" s="87" t="s">
        <v>6290</v>
      </c>
      <c r="D2587" s="161" t="s">
        <v>2847</v>
      </c>
      <c r="E2587" s="161" t="s">
        <v>3154</v>
      </c>
      <c r="F2587" s="161" t="s">
        <v>6265</v>
      </c>
      <c r="G2587" s="163">
        <v>48.051</v>
      </c>
      <c r="H2587" s="163">
        <f>G2587-G2586</f>
        <v>15.736</v>
      </c>
      <c r="I2587" s="173">
        <v>859</v>
      </c>
      <c r="J2587" s="173">
        <v>874</v>
      </c>
      <c r="K2587" s="173">
        <v>2635</v>
      </c>
      <c r="L2587" s="174"/>
      <c r="M2587" s="161" t="s">
        <v>6286</v>
      </c>
      <c r="N2587" s="161" t="s">
        <v>1901</v>
      </c>
      <c r="O2587" s="161" t="s">
        <v>26</v>
      </c>
      <c r="P2587" s="49" t="s">
        <v>26</v>
      </c>
      <c r="Q2587" s="166" t="s">
        <v>6291</v>
      </c>
      <c r="R2587" s="151"/>
    </row>
    <row r="2588" spans="1:18">
      <c r="A2588" s="190" t="s">
        <v>64</v>
      </c>
      <c r="B2588" s="101" t="s">
        <v>647</v>
      </c>
      <c r="C2588" s="87" t="s">
        <v>649</v>
      </c>
      <c r="D2588" s="161" t="s">
        <v>649</v>
      </c>
      <c r="E2588" s="161" t="s">
        <v>3154</v>
      </c>
      <c r="F2588" s="161" t="s">
        <v>6265</v>
      </c>
      <c r="G2588" s="163">
        <v>62.51</v>
      </c>
      <c r="H2588" s="163">
        <f>G2588-G2587</f>
        <v>14.459</v>
      </c>
      <c r="I2588" s="173">
        <v>862</v>
      </c>
      <c r="J2588" s="173">
        <v>875</v>
      </c>
      <c r="K2588" s="173">
        <v>3510</v>
      </c>
      <c r="L2588" s="174"/>
      <c r="M2588" s="161" t="s">
        <v>6286</v>
      </c>
      <c r="N2588" s="161" t="s">
        <v>1331</v>
      </c>
      <c r="O2588" s="161" t="s">
        <v>14</v>
      </c>
      <c r="P2588" s="49" t="s">
        <v>14</v>
      </c>
      <c r="Q2588" s="166" t="s">
        <v>6292</v>
      </c>
      <c r="R2588" s="151"/>
    </row>
    <row r="2589" spans="1:18">
      <c r="A2589" s="190" t="s">
        <v>64</v>
      </c>
      <c r="B2589" s="101" t="s">
        <v>650</v>
      </c>
      <c r="C2589" s="135" t="s">
        <v>651</v>
      </c>
      <c r="D2589" s="161" t="s">
        <v>651</v>
      </c>
      <c r="E2589" s="161" t="s">
        <v>3154</v>
      </c>
      <c r="F2589" s="161" t="s">
        <v>6182</v>
      </c>
      <c r="G2589" s="163">
        <v>0</v>
      </c>
      <c r="H2589" s="163">
        <v>0</v>
      </c>
      <c r="I2589" s="173">
        <v>235</v>
      </c>
      <c r="J2589" s="173">
        <v>0</v>
      </c>
      <c r="K2589" s="173">
        <v>0</v>
      </c>
      <c r="L2589" s="174"/>
      <c r="M2589" s="161" t="s">
        <v>3174</v>
      </c>
      <c r="N2589" s="161" t="s">
        <v>1331</v>
      </c>
      <c r="O2589" s="161"/>
      <c r="P2589" s="49"/>
      <c r="Q2589" s="166" t="s">
        <v>6187</v>
      </c>
      <c r="R2589" s="151"/>
    </row>
    <row r="2590" spans="1:18">
      <c r="A2590" s="190" t="s">
        <v>64</v>
      </c>
      <c r="B2590" s="101" t="s">
        <v>650</v>
      </c>
      <c r="C2590" s="87" t="s">
        <v>652</v>
      </c>
      <c r="D2590" s="161" t="s">
        <v>652</v>
      </c>
      <c r="E2590" s="161" t="s">
        <v>3154</v>
      </c>
      <c r="F2590" s="161" t="s">
        <v>6182</v>
      </c>
      <c r="G2590" s="163">
        <v>23.2</v>
      </c>
      <c r="H2590" s="163">
        <v>23.2</v>
      </c>
      <c r="I2590" s="173">
        <v>214</v>
      </c>
      <c r="J2590" s="173">
        <v>11433</v>
      </c>
      <c r="K2590" s="173">
        <v>11433</v>
      </c>
      <c r="L2590" s="174"/>
      <c r="M2590" s="161" t="s">
        <v>6293</v>
      </c>
      <c r="N2590" s="161" t="s">
        <v>1331</v>
      </c>
      <c r="O2590" s="161" t="s">
        <v>15</v>
      </c>
      <c r="P2590" s="49" t="s">
        <v>15</v>
      </c>
      <c r="Q2590" s="166" t="s">
        <v>6294</v>
      </c>
      <c r="R2590" s="151"/>
    </row>
    <row r="2591" spans="1:18">
      <c r="A2591" s="190" t="s">
        <v>64</v>
      </c>
      <c r="B2591" s="101" t="s">
        <v>657</v>
      </c>
      <c r="C2591" s="135" t="s">
        <v>658</v>
      </c>
      <c r="D2591" s="161" t="s">
        <v>6171</v>
      </c>
      <c r="E2591" s="161" t="s">
        <v>4952</v>
      </c>
      <c r="F2591" s="161" t="s">
        <v>6163</v>
      </c>
      <c r="G2591" s="171">
        <v>0</v>
      </c>
      <c r="H2591" s="163">
        <v>0</v>
      </c>
      <c r="I2591" s="173">
        <v>902</v>
      </c>
      <c r="J2591" s="173">
        <v>0</v>
      </c>
      <c r="K2591" s="173">
        <v>0</v>
      </c>
      <c r="L2591" s="174"/>
      <c r="M2591" s="161" t="s">
        <v>3174</v>
      </c>
      <c r="N2591" s="161"/>
      <c r="O2591" s="161"/>
      <c r="P2591" s="49"/>
      <c r="Q2591" s="166" t="s">
        <v>6172</v>
      </c>
      <c r="R2591" s="151"/>
    </row>
    <row r="2592" spans="1:18">
      <c r="A2592" s="190" t="s">
        <v>64</v>
      </c>
      <c r="B2592" s="101" t="s">
        <v>657</v>
      </c>
      <c r="C2592" s="87" t="s">
        <v>661</v>
      </c>
      <c r="D2592" s="161" t="s">
        <v>661</v>
      </c>
      <c r="E2592" s="161" t="s">
        <v>4952</v>
      </c>
      <c r="F2592" s="161" t="s">
        <v>6163</v>
      </c>
      <c r="G2592" s="171">
        <v>1.5</v>
      </c>
      <c r="H2592" s="163">
        <v>1.5</v>
      </c>
      <c r="I2592" s="173">
        <v>1024</v>
      </c>
      <c r="J2592" s="173">
        <v>48</v>
      </c>
      <c r="K2592" s="173">
        <v>48</v>
      </c>
      <c r="L2592" s="174"/>
      <c r="M2592" s="161" t="s">
        <v>6295</v>
      </c>
      <c r="N2592" s="161"/>
      <c r="O2592" s="161" t="s">
        <v>15</v>
      </c>
      <c r="P2592" s="49" t="s">
        <v>15</v>
      </c>
      <c r="Q2592" s="166"/>
      <c r="R2592" s="151"/>
    </row>
    <row r="2593" spans="1:18">
      <c r="A2593" s="190" t="s">
        <v>64</v>
      </c>
      <c r="B2593" s="101" t="s">
        <v>657</v>
      </c>
      <c r="C2593" s="87" t="s">
        <v>659</v>
      </c>
      <c r="D2593" s="161" t="s">
        <v>659</v>
      </c>
      <c r="E2593" s="161" t="s">
        <v>4952</v>
      </c>
      <c r="F2593" s="161" t="s">
        <v>6163</v>
      </c>
      <c r="G2593" s="171">
        <v>11.56</v>
      </c>
      <c r="H2593" s="163">
        <f>G2593-G2592</f>
        <v>10.06</v>
      </c>
      <c r="I2593" s="173">
        <v>896</v>
      </c>
      <c r="J2593" s="173">
        <v>320</v>
      </c>
      <c r="K2593" s="173">
        <v>368</v>
      </c>
      <c r="L2593" s="174"/>
      <c r="M2593" s="161" t="s">
        <v>6295</v>
      </c>
      <c r="N2593" s="161"/>
      <c r="O2593" s="161" t="s">
        <v>14</v>
      </c>
      <c r="P2593" s="49" t="s">
        <v>14</v>
      </c>
      <c r="Q2593" s="166" t="s">
        <v>6296</v>
      </c>
      <c r="R2593" s="151"/>
    </row>
    <row r="2594" spans="1:18">
      <c r="A2594" s="190" t="s">
        <v>64</v>
      </c>
      <c r="B2594" s="101" t="s">
        <v>660</v>
      </c>
      <c r="C2594" s="135" t="s">
        <v>661</v>
      </c>
      <c r="D2594" s="190" t="s">
        <v>661</v>
      </c>
      <c r="E2594" s="161" t="s">
        <v>4952</v>
      </c>
      <c r="F2594" s="161" t="s">
        <v>6163</v>
      </c>
      <c r="G2594" s="171">
        <v>0</v>
      </c>
      <c r="H2594" s="163">
        <v>0</v>
      </c>
      <c r="I2594" s="173">
        <v>0</v>
      </c>
      <c r="J2594" s="173">
        <v>0</v>
      </c>
      <c r="K2594" s="173">
        <v>0</v>
      </c>
      <c r="L2594" s="174"/>
      <c r="M2594" s="161" t="s">
        <v>6297</v>
      </c>
      <c r="N2594" s="161"/>
      <c r="O2594" s="161"/>
      <c r="P2594" s="49"/>
      <c r="Q2594" s="166"/>
      <c r="R2594" s="151"/>
    </row>
    <row r="2595" spans="1:18">
      <c r="A2595" s="190" t="s">
        <v>64</v>
      </c>
      <c r="B2595" s="101" t="s">
        <v>660</v>
      </c>
      <c r="C2595" s="87" t="s">
        <v>662</v>
      </c>
      <c r="D2595" s="190" t="s">
        <v>662</v>
      </c>
      <c r="E2595" s="161" t="s">
        <v>4952</v>
      </c>
      <c r="F2595" s="161" t="s">
        <v>6163</v>
      </c>
      <c r="G2595" s="171">
        <v>15.2</v>
      </c>
      <c r="H2595" s="163">
        <v>15.2</v>
      </c>
      <c r="I2595" s="173">
        <v>-285.7</v>
      </c>
      <c r="J2595" s="173">
        <v>1140.2</v>
      </c>
      <c r="K2595" s="173">
        <v>1140.2</v>
      </c>
      <c r="L2595" s="174"/>
      <c r="M2595" s="161" t="s">
        <v>6297</v>
      </c>
      <c r="N2595" s="161"/>
      <c r="O2595" s="161"/>
      <c r="P2595" s="49" t="s">
        <v>14</v>
      </c>
      <c r="Q2595" s="192" t="s">
        <v>6298</v>
      </c>
      <c r="R2595" s="151"/>
    </row>
    <row r="2596" spans="1:18">
      <c r="A2596" s="190" t="s">
        <v>64</v>
      </c>
      <c r="B2596" s="101" t="s">
        <v>663</v>
      </c>
      <c r="C2596" s="135" t="s">
        <v>664</v>
      </c>
      <c r="D2596" s="161" t="s">
        <v>664</v>
      </c>
      <c r="E2596" s="161" t="s">
        <v>4952</v>
      </c>
      <c r="F2596" s="161" t="s">
        <v>6163</v>
      </c>
      <c r="G2596" s="163">
        <v>0</v>
      </c>
      <c r="H2596" s="163"/>
      <c r="I2596" s="173">
        <v>1037</v>
      </c>
      <c r="J2596" s="173">
        <v>0</v>
      </c>
      <c r="K2596" s="173">
        <v>0</v>
      </c>
      <c r="L2596" s="174"/>
      <c r="M2596" s="161" t="s">
        <v>3174</v>
      </c>
      <c r="N2596" s="161"/>
      <c r="O2596" s="161"/>
      <c r="P2596" s="49"/>
      <c r="Q2596" s="166" t="s">
        <v>6166</v>
      </c>
      <c r="R2596" s="151"/>
    </row>
    <row r="2597" spans="1:18">
      <c r="A2597" s="190" t="s">
        <v>64</v>
      </c>
      <c r="B2597" s="101" t="s">
        <v>663</v>
      </c>
      <c r="C2597" s="87" t="s">
        <v>6299</v>
      </c>
      <c r="D2597" s="161" t="s">
        <v>6299</v>
      </c>
      <c r="E2597" s="161" t="s">
        <v>4952</v>
      </c>
      <c r="F2597" s="161" t="s">
        <v>6163</v>
      </c>
      <c r="G2597" s="163">
        <v>0.5</v>
      </c>
      <c r="H2597" s="163">
        <f t="shared" ref="H2597:H2602" si="205">G2597-G2596</f>
        <v>0.5</v>
      </c>
      <c r="I2597" s="173">
        <v>1053</v>
      </c>
      <c r="J2597" s="173">
        <v>59</v>
      </c>
      <c r="K2597" s="173">
        <f t="shared" ref="K2597:K2602" si="206">K2596+J2597</f>
        <v>59</v>
      </c>
      <c r="L2597" s="174"/>
      <c r="M2597" s="161" t="s">
        <v>6300</v>
      </c>
      <c r="N2597" s="161"/>
      <c r="O2597" s="161" t="s">
        <v>15</v>
      </c>
      <c r="P2597" s="49" t="s">
        <v>15</v>
      </c>
      <c r="Q2597" s="166"/>
      <c r="R2597" s="151"/>
    </row>
    <row r="2598" spans="1:18">
      <c r="A2598" s="190" t="s">
        <v>64</v>
      </c>
      <c r="B2598" s="101" t="s">
        <v>663</v>
      </c>
      <c r="C2598" s="87" t="s">
        <v>6301</v>
      </c>
      <c r="D2598" s="161" t="s">
        <v>6301</v>
      </c>
      <c r="E2598" s="161" t="s">
        <v>4952</v>
      </c>
      <c r="F2598" s="161" t="s">
        <v>6163</v>
      </c>
      <c r="G2598" s="163">
        <v>18.4</v>
      </c>
      <c r="H2598" s="163">
        <f t="shared" si="205"/>
        <v>17.9</v>
      </c>
      <c r="I2598" s="173">
        <v>1046</v>
      </c>
      <c r="J2598" s="173">
        <v>2125</v>
      </c>
      <c r="K2598" s="173">
        <f t="shared" si="206"/>
        <v>2184</v>
      </c>
      <c r="L2598" s="174"/>
      <c r="M2598" s="161" t="s">
        <v>6300</v>
      </c>
      <c r="N2598" s="161"/>
      <c r="O2598" s="161" t="s">
        <v>15</v>
      </c>
      <c r="P2598" s="49" t="s">
        <v>15</v>
      </c>
      <c r="Q2598" s="166"/>
      <c r="R2598" s="151"/>
    </row>
    <row r="2599" spans="1:18">
      <c r="A2599" s="190" t="s">
        <v>64</v>
      </c>
      <c r="B2599" s="101" t="s">
        <v>663</v>
      </c>
      <c r="C2599" s="87" t="s">
        <v>6302</v>
      </c>
      <c r="D2599" s="161" t="s">
        <v>1298</v>
      </c>
      <c r="E2599" s="161" t="s">
        <v>4952</v>
      </c>
      <c r="F2599" s="161" t="s">
        <v>6163</v>
      </c>
      <c r="G2599" s="163">
        <v>35.8</v>
      </c>
      <c r="H2599" s="163">
        <f t="shared" si="205"/>
        <v>17.4</v>
      </c>
      <c r="I2599" s="173">
        <v>1039</v>
      </c>
      <c r="J2599" s="173">
        <v>2066</v>
      </c>
      <c r="K2599" s="173">
        <f t="shared" si="206"/>
        <v>4250</v>
      </c>
      <c r="L2599" s="174"/>
      <c r="M2599" s="161" t="s">
        <v>6300</v>
      </c>
      <c r="N2599" s="161" t="s">
        <v>1299</v>
      </c>
      <c r="O2599" s="161" t="s">
        <v>25</v>
      </c>
      <c r="P2599" s="49" t="s">
        <v>25</v>
      </c>
      <c r="Q2599" s="166"/>
      <c r="R2599" s="151"/>
    </row>
    <row r="2600" spans="1:18">
      <c r="A2600" s="190" t="s">
        <v>64</v>
      </c>
      <c r="B2600" s="101" t="s">
        <v>663</v>
      </c>
      <c r="C2600" s="87" t="s">
        <v>6303</v>
      </c>
      <c r="D2600" s="161" t="s">
        <v>6303</v>
      </c>
      <c r="E2600" s="161" t="s">
        <v>4952</v>
      </c>
      <c r="F2600" s="161" t="s">
        <v>6163</v>
      </c>
      <c r="G2600" s="163">
        <v>52.4</v>
      </c>
      <c r="H2600" s="163">
        <f t="shared" si="205"/>
        <v>16.6</v>
      </c>
      <c r="I2600" s="173">
        <v>1044</v>
      </c>
      <c r="J2600" s="173">
        <v>1971</v>
      </c>
      <c r="K2600" s="173">
        <f t="shared" si="206"/>
        <v>6221</v>
      </c>
      <c r="L2600" s="174"/>
      <c r="M2600" s="161" t="s">
        <v>6300</v>
      </c>
      <c r="N2600" s="161"/>
      <c r="O2600" s="161" t="s">
        <v>15</v>
      </c>
      <c r="P2600" s="49" t="s">
        <v>15</v>
      </c>
      <c r="Q2600" s="166"/>
      <c r="R2600" s="151"/>
    </row>
    <row r="2601" spans="1:18">
      <c r="A2601" s="190" t="s">
        <v>64</v>
      </c>
      <c r="B2601" s="101" t="s">
        <v>663</v>
      </c>
      <c r="C2601" s="87" t="s">
        <v>6304</v>
      </c>
      <c r="D2601" s="161" t="s">
        <v>1302</v>
      </c>
      <c r="E2601" s="161" t="s">
        <v>4952</v>
      </c>
      <c r="F2601" s="161" t="s">
        <v>6163</v>
      </c>
      <c r="G2601" s="163">
        <v>70.2</v>
      </c>
      <c r="H2601" s="163">
        <f t="shared" si="205"/>
        <v>17.8</v>
      </c>
      <c r="I2601" s="173">
        <v>1082</v>
      </c>
      <c r="J2601" s="173">
        <v>2113</v>
      </c>
      <c r="K2601" s="173">
        <f t="shared" si="206"/>
        <v>8334</v>
      </c>
      <c r="L2601" s="174"/>
      <c r="M2601" s="161" t="s">
        <v>6300</v>
      </c>
      <c r="N2601" s="161" t="s">
        <v>1299</v>
      </c>
      <c r="O2601" s="161" t="s">
        <v>25</v>
      </c>
      <c r="P2601" s="49" t="s">
        <v>25</v>
      </c>
      <c r="Q2601" s="166"/>
      <c r="R2601" s="151"/>
    </row>
    <row r="2602" spans="1:18">
      <c r="A2602" s="190" t="s">
        <v>64</v>
      </c>
      <c r="B2602" s="101" t="s">
        <v>663</v>
      </c>
      <c r="C2602" s="87" t="s">
        <v>665</v>
      </c>
      <c r="D2602" s="161" t="s">
        <v>665</v>
      </c>
      <c r="E2602" s="161" t="s">
        <v>4952</v>
      </c>
      <c r="F2602" s="161" t="s">
        <v>6163</v>
      </c>
      <c r="G2602" s="163">
        <v>92.1</v>
      </c>
      <c r="H2602" s="163">
        <f t="shared" si="205"/>
        <v>21.9</v>
      </c>
      <c r="I2602" s="173">
        <v>1020</v>
      </c>
      <c r="J2602" s="173">
        <v>2600</v>
      </c>
      <c r="K2602" s="173">
        <f t="shared" si="206"/>
        <v>10934</v>
      </c>
      <c r="L2602" s="174"/>
      <c r="M2602" s="161" t="s">
        <v>6300</v>
      </c>
      <c r="N2602" s="161"/>
      <c r="O2602" s="161" t="s">
        <v>14</v>
      </c>
      <c r="P2602" s="49" t="s">
        <v>14</v>
      </c>
      <c r="Q2602" s="166"/>
      <c r="R2602" s="151"/>
    </row>
    <row r="2603" spans="1:18">
      <c r="A2603" s="190" t="s">
        <v>64</v>
      </c>
      <c r="B2603" s="101" t="s">
        <v>667</v>
      </c>
      <c r="C2603" s="135" t="s">
        <v>668</v>
      </c>
      <c r="D2603" s="161" t="s">
        <v>6058</v>
      </c>
      <c r="E2603" s="161" t="s">
        <v>4952</v>
      </c>
      <c r="F2603" s="161" t="s">
        <v>6163</v>
      </c>
      <c r="G2603" s="163">
        <v>0</v>
      </c>
      <c r="H2603" s="163">
        <v>0</v>
      </c>
      <c r="I2603" s="173">
        <v>512</v>
      </c>
      <c r="J2603" s="173">
        <v>0</v>
      </c>
      <c r="K2603" s="173">
        <v>0</v>
      </c>
      <c r="L2603" s="174"/>
      <c r="M2603" s="161" t="s">
        <v>3174</v>
      </c>
      <c r="N2603" s="161"/>
      <c r="O2603" s="161"/>
      <c r="P2603" s="49"/>
      <c r="Q2603" s="166" t="s">
        <v>6178</v>
      </c>
      <c r="R2603" s="151"/>
    </row>
    <row r="2604" spans="1:18">
      <c r="A2604" s="190" t="s">
        <v>64</v>
      </c>
      <c r="B2604" s="101" t="s">
        <v>667</v>
      </c>
      <c r="C2604" s="87" t="s">
        <v>673</v>
      </c>
      <c r="D2604" s="161" t="s">
        <v>673</v>
      </c>
      <c r="E2604" s="161" t="s">
        <v>4952</v>
      </c>
      <c r="F2604" s="161" t="s">
        <v>6163</v>
      </c>
      <c r="G2604" s="163">
        <v>1.184</v>
      </c>
      <c r="H2604" s="163">
        <f>G2604-G2603</f>
        <v>1.184</v>
      </c>
      <c r="I2604" s="173">
        <v>517.2</v>
      </c>
      <c r="J2604" s="173">
        <v>350</v>
      </c>
      <c r="K2604" s="173">
        <v>350</v>
      </c>
      <c r="L2604" s="174"/>
      <c r="M2604" s="161">
        <v>0</v>
      </c>
      <c r="N2604" s="161"/>
      <c r="O2604" s="161"/>
      <c r="P2604" s="49" t="s">
        <v>15</v>
      </c>
      <c r="Q2604" s="166"/>
      <c r="R2604" s="151"/>
    </row>
    <row r="2605" spans="1:18">
      <c r="A2605" s="190" t="s">
        <v>64</v>
      </c>
      <c r="B2605" s="101" t="s">
        <v>667</v>
      </c>
      <c r="C2605" s="87" t="s">
        <v>669</v>
      </c>
      <c r="D2605" s="161" t="s">
        <v>669</v>
      </c>
      <c r="E2605" s="161" t="s">
        <v>4952</v>
      </c>
      <c r="F2605" s="161" t="s">
        <v>6163</v>
      </c>
      <c r="G2605" s="163">
        <v>18.826</v>
      </c>
      <c r="H2605" s="163">
        <f>G2605-G2604</f>
        <v>17.642</v>
      </c>
      <c r="I2605" s="173">
        <v>603</v>
      </c>
      <c r="J2605" s="173">
        <v>1565</v>
      </c>
      <c r="K2605" s="173">
        <v>1915</v>
      </c>
      <c r="L2605" s="174"/>
      <c r="M2605" s="161">
        <v>0</v>
      </c>
      <c r="N2605" s="161"/>
      <c r="O2605" s="161"/>
      <c r="P2605" s="49" t="s">
        <v>14</v>
      </c>
      <c r="Q2605" s="166"/>
      <c r="R2605" s="151"/>
    </row>
    <row r="2606" s="152" customFormat="1" spans="1:18">
      <c r="A2606" s="190" t="s">
        <v>64</v>
      </c>
      <c r="B2606" s="101" t="s">
        <v>672</v>
      </c>
      <c r="C2606" s="135" t="s">
        <v>673</v>
      </c>
      <c r="D2606" s="190" t="s">
        <v>673</v>
      </c>
      <c r="E2606" s="161" t="s">
        <v>4952</v>
      </c>
      <c r="F2606" s="161" t="s">
        <v>6163</v>
      </c>
      <c r="G2606" s="163">
        <v>0</v>
      </c>
      <c r="H2606" s="163">
        <v>0</v>
      </c>
      <c r="I2606" s="173">
        <v>522.1</v>
      </c>
      <c r="J2606" s="173">
        <v>0</v>
      </c>
      <c r="K2606" s="173">
        <v>0</v>
      </c>
      <c r="L2606" s="174"/>
      <c r="M2606" s="161" t="s">
        <v>6305</v>
      </c>
      <c r="N2606" s="161"/>
      <c r="O2606" s="161"/>
      <c r="P2606" s="49"/>
      <c r="Q2606" s="166" t="s">
        <v>6306</v>
      </c>
      <c r="R2606" s="151"/>
    </row>
    <row r="2607" s="152" customFormat="1" spans="1:18">
      <c r="A2607" s="190" t="s">
        <v>64</v>
      </c>
      <c r="B2607" s="101" t="s">
        <v>672</v>
      </c>
      <c r="C2607" s="87" t="s">
        <v>1811</v>
      </c>
      <c r="D2607" s="190" t="s">
        <v>1298</v>
      </c>
      <c r="E2607" s="161" t="s">
        <v>4952</v>
      </c>
      <c r="F2607" s="161" t="s">
        <v>6163</v>
      </c>
      <c r="G2607" s="163">
        <v>17.14</v>
      </c>
      <c r="H2607" s="163">
        <v>17.14</v>
      </c>
      <c r="I2607" s="173">
        <v>622.743</v>
      </c>
      <c r="J2607" s="173">
        <v>4703.9</v>
      </c>
      <c r="K2607" s="173">
        <v>4703.9</v>
      </c>
      <c r="L2607" s="174"/>
      <c r="M2607" s="161" t="s">
        <v>6305</v>
      </c>
      <c r="N2607" s="161" t="s">
        <v>1299</v>
      </c>
      <c r="O2607" s="161"/>
      <c r="P2607" s="49" t="s">
        <v>25</v>
      </c>
      <c r="Q2607" s="166" t="s">
        <v>6307</v>
      </c>
      <c r="R2607" s="151"/>
    </row>
    <row r="2608" s="152" customFormat="1" spans="1:18">
      <c r="A2608" s="190" t="s">
        <v>64</v>
      </c>
      <c r="B2608" s="101" t="s">
        <v>672</v>
      </c>
      <c r="C2608" s="87" t="s">
        <v>6308</v>
      </c>
      <c r="D2608" s="190" t="s">
        <v>6309</v>
      </c>
      <c r="E2608" s="161" t="s">
        <v>4952</v>
      </c>
      <c r="F2608" s="161" t="s">
        <v>6163</v>
      </c>
      <c r="G2608" s="163">
        <v>30.07</v>
      </c>
      <c r="H2608" s="163">
        <v>12.93</v>
      </c>
      <c r="I2608" s="173">
        <v>746.128</v>
      </c>
      <c r="J2608" s="173">
        <v>3597.1</v>
      </c>
      <c r="K2608" s="173">
        <v>8301</v>
      </c>
      <c r="L2608" s="174"/>
      <c r="M2608" s="161" t="s">
        <v>6305</v>
      </c>
      <c r="N2608" s="161" t="s">
        <v>1299</v>
      </c>
      <c r="O2608" s="161"/>
      <c r="P2608" s="49" t="s">
        <v>25</v>
      </c>
      <c r="Q2608" s="166" t="s">
        <v>6310</v>
      </c>
      <c r="R2608" s="151"/>
    </row>
    <row r="2609" s="152" customFormat="1" spans="1:18">
      <c r="A2609" s="190" t="s">
        <v>64</v>
      </c>
      <c r="B2609" s="101" t="s">
        <v>672</v>
      </c>
      <c r="C2609" s="87" t="s">
        <v>1815</v>
      </c>
      <c r="D2609" s="190" t="s">
        <v>1302</v>
      </c>
      <c r="E2609" s="161" t="s">
        <v>4952</v>
      </c>
      <c r="F2609" s="161" t="s">
        <v>6163</v>
      </c>
      <c r="G2609" s="163">
        <v>43.1</v>
      </c>
      <c r="H2609" s="163">
        <v>13.03</v>
      </c>
      <c r="I2609" s="173">
        <v>649.53</v>
      </c>
      <c r="J2609" s="173">
        <v>3597.1</v>
      </c>
      <c r="K2609" s="173">
        <v>11898</v>
      </c>
      <c r="L2609" s="174"/>
      <c r="M2609" s="161" t="s">
        <v>6305</v>
      </c>
      <c r="N2609" s="161" t="s">
        <v>1299</v>
      </c>
      <c r="O2609" s="161"/>
      <c r="P2609" s="49" t="s">
        <v>25</v>
      </c>
      <c r="Q2609" s="166" t="s">
        <v>6311</v>
      </c>
      <c r="R2609" s="151"/>
    </row>
    <row r="2610" s="152" customFormat="1" spans="1:18">
      <c r="A2610" s="190" t="s">
        <v>64</v>
      </c>
      <c r="B2610" s="101" t="s">
        <v>672</v>
      </c>
      <c r="C2610" s="87" t="s">
        <v>674</v>
      </c>
      <c r="D2610" s="190" t="s">
        <v>674</v>
      </c>
      <c r="E2610" s="161" t="s">
        <v>4952</v>
      </c>
      <c r="F2610" s="161" t="s">
        <v>6163</v>
      </c>
      <c r="G2610" s="163">
        <v>59.8</v>
      </c>
      <c r="H2610" s="163">
        <v>16.7</v>
      </c>
      <c r="I2610" s="173">
        <v>496.742</v>
      </c>
      <c r="J2610" s="173">
        <v>4703.9</v>
      </c>
      <c r="K2610" s="173">
        <v>16602</v>
      </c>
      <c r="L2610" s="174"/>
      <c r="M2610" s="161" t="s">
        <v>6305</v>
      </c>
      <c r="N2610" s="161"/>
      <c r="O2610" s="161"/>
      <c r="P2610" s="49" t="s">
        <v>14</v>
      </c>
      <c r="Q2610" s="166" t="s">
        <v>6312</v>
      </c>
      <c r="R2610" s="151"/>
    </row>
    <row r="2611" s="150" customFormat="1" spans="1:18">
      <c r="A2611" s="190" t="s">
        <v>64</v>
      </c>
      <c r="B2611" s="101" t="s">
        <v>676</v>
      </c>
      <c r="C2611" s="135" t="s">
        <v>677</v>
      </c>
      <c r="D2611" s="190" t="s">
        <v>677</v>
      </c>
      <c r="E2611" s="164"/>
      <c r="F2611" s="164"/>
      <c r="G2611" s="163">
        <v>0</v>
      </c>
      <c r="H2611" s="163">
        <v>0</v>
      </c>
      <c r="I2611" s="173">
        <v>1283.04</v>
      </c>
      <c r="J2611" s="173">
        <v>0</v>
      </c>
      <c r="K2611" s="173">
        <v>0</v>
      </c>
      <c r="L2611" s="174" t="s">
        <v>6313</v>
      </c>
      <c r="M2611" s="161" t="s">
        <v>6314</v>
      </c>
      <c r="N2611" s="161"/>
      <c r="O2611" s="161"/>
      <c r="P2611" s="49"/>
      <c r="Q2611" s="192" t="s">
        <v>6315</v>
      </c>
      <c r="R2611" s="22"/>
    </row>
    <row r="2612" s="150" customFormat="1" spans="1:18">
      <c r="A2612" s="190" t="s">
        <v>64</v>
      </c>
      <c r="B2612" s="101" t="s">
        <v>676</v>
      </c>
      <c r="C2612" s="87" t="s">
        <v>6316</v>
      </c>
      <c r="D2612" s="190" t="s">
        <v>6316</v>
      </c>
      <c r="E2612" s="164"/>
      <c r="F2612" s="164"/>
      <c r="G2612" s="163">
        <v>20.68</v>
      </c>
      <c r="H2612" s="163">
        <v>20.68</v>
      </c>
      <c r="I2612" s="173">
        <v>1287.16</v>
      </c>
      <c r="J2612" s="173">
        <v>1500</v>
      </c>
      <c r="K2612" s="173">
        <v>1500</v>
      </c>
      <c r="L2612" s="174"/>
      <c r="M2612" s="161" t="s">
        <v>6314</v>
      </c>
      <c r="N2612" s="161"/>
      <c r="O2612" s="161"/>
      <c r="P2612" s="49" t="s">
        <v>14</v>
      </c>
      <c r="Q2612" s="166" t="s">
        <v>6317</v>
      </c>
      <c r="R2612" s="22"/>
    </row>
    <row r="2613" s="150" customFormat="1" spans="1:18">
      <c r="A2613" s="190" t="s">
        <v>64</v>
      </c>
      <c r="B2613" s="101" t="s">
        <v>676</v>
      </c>
      <c r="C2613" s="87" t="s">
        <v>6318</v>
      </c>
      <c r="D2613" s="190" t="s">
        <v>6318</v>
      </c>
      <c r="E2613" s="164"/>
      <c r="F2613" s="164"/>
      <c r="G2613" s="163">
        <v>43.39</v>
      </c>
      <c r="H2613" s="163">
        <v>22.71</v>
      </c>
      <c r="I2613" s="173">
        <v>1210.55</v>
      </c>
      <c r="J2613" s="173">
        <v>1700</v>
      </c>
      <c r="K2613" s="173">
        <v>3200</v>
      </c>
      <c r="L2613" s="174"/>
      <c r="M2613" s="161" t="s">
        <v>6314</v>
      </c>
      <c r="N2613" s="161"/>
      <c r="O2613" s="161"/>
      <c r="P2613" s="49" t="s">
        <v>14</v>
      </c>
      <c r="Q2613" s="166" t="s">
        <v>6319</v>
      </c>
      <c r="R2613" s="22"/>
    </row>
    <row r="2614" spans="1:18">
      <c r="A2614" s="190" t="s">
        <v>65</v>
      </c>
      <c r="B2614" s="101" t="s">
        <v>679</v>
      </c>
      <c r="C2614" s="135" t="s">
        <v>680</v>
      </c>
      <c r="D2614" s="161" t="s">
        <v>680</v>
      </c>
      <c r="E2614" s="161" t="s">
        <v>6320</v>
      </c>
      <c r="F2614" s="161"/>
      <c r="G2614" s="163">
        <v>0</v>
      </c>
      <c r="H2614" s="163">
        <v>0</v>
      </c>
      <c r="I2614" s="163">
        <v>38</v>
      </c>
      <c r="J2614" s="163">
        <v>0</v>
      </c>
      <c r="K2614" s="163">
        <v>0</v>
      </c>
      <c r="L2614" s="174"/>
      <c r="M2614" s="161" t="s">
        <v>1908</v>
      </c>
      <c r="N2614" s="161"/>
      <c r="O2614" s="161"/>
      <c r="P2614" s="49"/>
      <c r="Q2614" s="166" t="s">
        <v>6321</v>
      </c>
      <c r="R2614" s="151"/>
    </row>
    <row r="2615" spans="1:18">
      <c r="A2615" s="190" t="s">
        <v>65</v>
      </c>
      <c r="B2615" s="101" t="s">
        <v>679</v>
      </c>
      <c r="C2615" s="86" t="s">
        <v>6322</v>
      </c>
      <c r="D2615" s="161" t="s">
        <v>6323</v>
      </c>
      <c r="E2615" s="161" t="s">
        <v>1980</v>
      </c>
      <c r="F2615" s="161" t="s">
        <v>5775</v>
      </c>
      <c r="G2615" s="163">
        <v>14.16</v>
      </c>
      <c r="H2615" s="163">
        <f>G2615-G2614</f>
        <v>14.16</v>
      </c>
      <c r="I2615" s="163">
        <v>38.65</v>
      </c>
      <c r="J2615" s="163">
        <v>10723</v>
      </c>
      <c r="K2615" s="163">
        <f t="shared" ref="K2615:K2647" si="207">K2614+J2615</f>
        <v>10723</v>
      </c>
      <c r="L2615" s="174"/>
      <c r="M2615" s="161" t="s">
        <v>1908</v>
      </c>
      <c r="N2615" s="161"/>
      <c r="O2615" s="161" t="s">
        <v>15</v>
      </c>
      <c r="P2615" s="49" t="s">
        <v>15</v>
      </c>
      <c r="Q2615" s="166" t="s">
        <v>6321</v>
      </c>
      <c r="R2615" s="151"/>
    </row>
    <row r="2616" spans="1:18">
      <c r="A2616" s="190" t="s">
        <v>65</v>
      </c>
      <c r="B2616" s="101" t="s">
        <v>679</v>
      </c>
      <c r="C2616" s="86" t="s">
        <v>6324</v>
      </c>
      <c r="D2616" s="161" t="s">
        <v>6325</v>
      </c>
      <c r="E2616" s="161" t="s">
        <v>1980</v>
      </c>
      <c r="F2616" s="161" t="s">
        <v>5775</v>
      </c>
      <c r="G2616" s="163">
        <v>30.644</v>
      </c>
      <c r="H2616" s="163">
        <f t="shared" ref="H2616:H2647" si="208">G2616-G2615</f>
        <v>16.484</v>
      </c>
      <c r="I2616" s="163">
        <v>24</v>
      </c>
      <c r="J2616" s="163">
        <v>12472</v>
      </c>
      <c r="K2616" s="163">
        <f t="shared" si="207"/>
        <v>23195</v>
      </c>
      <c r="L2616" s="174"/>
      <c r="M2616" s="161" t="s">
        <v>1908</v>
      </c>
      <c r="N2616" s="161" t="s">
        <v>1299</v>
      </c>
      <c r="O2616" s="161" t="s">
        <v>25</v>
      </c>
      <c r="P2616" s="49" t="s">
        <v>25</v>
      </c>
      <c r="Q2616" s="166" t="s">
        <v>6326</v>
      </c>
      <c r="R2616" s="151"/>
    </row>
    <row r="2617" spans="1:18">
      <c r="A2617" s="190" t="s">
        <v>65</v>
      </c>
      <c r="B2617" s="101" t="s">
        <v>679</v>
      </c>
      <c r="C2617" s="86" t="s">
        <v>6327</v>
      </c>
      <c r="D2617" s="161" t="s">
        <v>6328</v>
      </c>
      <c r="E2617" s="161" t="s">
        <v>1980</v>
      </c>
      <c r="F2617" s="161" t="s">
        <v>2070</v>
      </c>
      <c r="G2617" s="163">
        <v>44.568</v>
      </c>
      <c r="H2617" s="163">
        <f t="shared" si="208"/>
        <v>13.924</v>
      </c>
      <c r="I2617" s="163">
        <v>41.1</v>
      </c>
      <c r="J2617" s="163">
        <v>10570</v>
      </c>
      <c r="K2617" s="163">
        <f t="shared" si="207"/>
        <v>33765</v>
      </c>
      <c r="L2617" s="174"/>
      <c r="M2617" s="161" t="s">
        <v>1908</v>
      </c>
      <c r="N2617" s="161" t="s">
        <v>1299</v>
      </c>
      <c r="O2617" s="161" t="s">
        <v>25</v>
      </c>
      <c r="P2617" s="49" t="s">
        <v>25</v>
      </c>
      <c r="Q2617" s="166" t="s">
        <v>6326</v>
      </c>
      <c r="R2617" s="151"/>
    </row>
    <row r="2618" spans="1:18">
      <c r="A2618" s="190" t="s">
        <v>65</v>
      </c>
      <c r="B2618" s="101" t="s">
        <v>679</v>
      </c>
      <c r="C2618" s="86" t="s">
        <v>6329</v>
      </c>
      <c r="D2618" s="161" t="s">
        <v>6330</v>
      </c>
      <c r="E2618" s="161" t="s">
        <v>1980</v>
      </c>
      <c r="F2618" s="161" t="s">
        <v>2070</v>
      </c>
      <c r="G2618" s="163">
        <v>61.368</v>
      </c>
      <c r="H2618" s="163">
        <f t="shared" si="208"/>
        <v>16.8</v>
      </c>
      <c r="I2618" s="163">
        <v>77</v>
      </c>
      <c r="J2618" s="163">
        <v>12852</v>
      </c>
      <c r="K2618" s="163">
        <f t="shared" si="207"/>
        <v>46617</v>
      </c>
      <c r="L2618" s="174"/>
      <c r="M2618" s="161" t="s">
        <v>1908</v>
      </c>
      <c r="N2618" s="161" t="s">
        <v>1299</v>
      </c>
      <c r="O2618" s="161" t="s">
        <v>25</v>
      </c>
      <c r="P2618" s="49" t="s">
        <v>25</v>
      </c>
      <c r="Q2618" s="166" t="s">
        <v>6326</v>
      </c>
      <c r="R2618" s="151"/>
    </row>
    <row r="2619" spans="1:18">
      <c r="A2619" s="190" t="s">
        <v>65</v>
      </c>
      <c r="B2619" s="101" t="s">
        <v>679</v>
      </c>
      <c r="C2619" s="86" t="s">
        <v>6331</v>
      </c>
      <c r="D2619" s="161" t="s">
        <v>6332</v>
      </c>
      <c r="E2619" s="161" t="s">
        <v>1980</v>
      </c>
      <c r="F2619" s="161" t="s">
        <v>2070</v>
      </c>
      <c r="G2619" s="163">
        <v>74.996</v>
      </c>
      <c r="H2619" s="163">
        <f t="shared" si="208"/>
        <v>13.628</v>
      </c>
      <c r="I2619" s="163">
        <v>39</v>
      </c>
      <c r="J2619" s="163">
        <v>10342</v>
      </c>
      <c r="K2619" s="163">
        <f t="shared" si="207"/>
        <v>56959</v>
      </c>
      <c r="L2619" s="174"/>
      <c r="M2619" s="161" t="s">
        <v>1908</v>
      </c>
      <c r="N2619" s="161" t="s">
        <v>1299</v>
      </c>
      <c r="O2619" s="161" t="s">
        <v>25</v>
      </c>
      <c r="P2619" s="49" t="s">
        <v>25</v>
      </c>
      <c r="Q2619" s="166" t="s">
        <v>6326</v>
      </c>
      <c r="R2619" s="151"/>
    </row>
    <row r="2620" spans="1:18">
      <c r="A2620" s="190" t="s">
        <v>65</v>
      </c>
      <c r="B2620" s="101" t="s">
        <v>679</v>
      </c>
      <c r="C2620" s="86" t="s">
        <v>6333</v>
      </c>
      <c r="D2620" s="161" t="s">
        <v>6334</v>
      </c>
      <c r="E2620" s="161" t="s">
        <v>1980</v>
      </c>
      <c r="F2620" s="161" t="s">
        <v>2070</v>
      </c>
      <c r="G2620" s="163">
        <v>92.62</v>
      </c>
      <c r="H2620" s="163">
        <f t="shared" si="208"/>
        <v>17.624</v>
      </c>
      <c r="I2620" s="163">
        <v>31.5</v>
      </c>
      <c r="J2620" s="163">
        <v>13384</v>
      </c>
      <c r="K2620" s="163">
        <f t="shared" si="207"/>
        <v>70343</v>
      </c>
      <c r="L2620" s="174"/>
      <c r="M2620" s="161" t="s">
        <v>1908</v>
      </c>
      <c r="N2620" s="161" t="s">
        <v>1299</v>
      </c>
      <c r="O2620" s="161" t="s">
        <v>25</v>
      </c>
      <c r="P2620" s="49" t="s">
        <v>25</v>
      </c>
      <c r="Q2620" s="166" t="s">
        <v>6326</v>
      </c>
      <c r="R2620" s="151"/>
    </row>
    <row r="2621" spans="1:18">
      <c r="A2621" s="190" t="s">
        <v>65</v>
      </c>
      <c r="B2621" s="101" t="s">
        <v>679</v>
      </c>
      <c r="C2621" s="86" t="s">
        <v>6335</v>
      </c>
      <c r="D2621" s="161" t="s">
        <v>6335</v>
      </c>
      <c r="E2621" s="161" t="s">
        <v>1980</v>
      </c>
      <c r="F2621" s="161" t="s">
        <v>2070</v>
      </c>
      <c r="G2621" s="163">
        <v>104.53</v>
      </c>
      <c r="H2621" s="163">
        <f t="shared" si="208"/>
        <v>11.91</v>
      </c>
      <c r="I2621" s="163">
        <v>33.7</v>
      </c>
      <c r="J2621" s="163">
        <v>9202</v>
      </c>
      <c r="K2621" s="163">
        <f t="shared" si="207"/>
        <v>79545</v>
      </c>
      <c r="L2621" s="174"/>
      <c r="M2621" s="161" t="s">
        <v>1908</v>
      </c>
      <c r="N2621" s="161"/>
      <c r="O2621" s="161" t="s">
        <v>15</v>
      </c>
      <c r="P2621" s="49" t="s">
        <v>15</v>
      </c>
      <c r="Q2621" s="166" t="s">
        <v>6326</v>
      </c>
      <c r="R2621" s="151"/>
    </row>
    <row r="2622" spans="1:18">
      <c r="A2622" s="190" t="s">
        <v>65</v>
      </c>
      <c r="B2622" s="101" t="s">
        <v>679</v>
      </c>
      <c r="C2622" s="86" t="s">
        <v>6336</v>
      </c>
      <c r="D2622" s="161" t="s">
        <v>6336</v>
      </c>
      <c r="E2622" s="161" t="s">
        <v>1689</v>
      </c>
      <c r="F2622" s="161" t="s">
        <v>6337</v>
      </c>
      <c r="G2622" s="163">
        <v>121.879</v>
      </c>
      <c r="H2622" s="163">
        <f t="shared" si="208"/>
        <v>17.349</v>
      </c>
      <c r="I2622" s="163">
        <v>44.85</v>
      </c>
      <c r="J2622" s="163">
        <v>12396</v>
      </c>
      <c r="K2622" s="163">
        <f t="shared" si="207"/>
        <v>91941</v>
      </c>
      <c r="L2622" s="174"/>
      <c r="M2622" s="161" t="s">
        <v>1908</v>
      </c>
      <c r="N2622" s="161"/>
      <c r="O2622" s="161" t="s">
        <v>15</v>
      </c>
      <c r="P2622" s="49" t="s">
        <v>15</v>
      </c>
      <c r="Q2622" s="166" t="s">
        <v>6338</v>
      </c>
      <c r="R2622" s="151"/>
    </row>
    <row r="2623" spans="1:18">
      <c r="A2623" s="190" t="s">
        <v>65</v>
      </c>
      <c r="B2623" s="101" t="s">
        <v>679</v>
      </c>
      <c r="C2623" s="86" t="s">
        <v>6339</v>
      </c>
      <c r="D2623" s="161" t="s">
        <v>6340</v>
      </c>
      <c r="E2623" s="161" t="s">
        <v>1689</v>
      </c>
      <c r="F2623" s="161" t="s">
        <v>6341</v>
      </c>
      <c r="G2623" s="163">
        <v>135.883</v>
      </c>
      <c r="H2623" s="163">
        <f t="shared" si="208"/>
        <v>14.004</v>
      </c>
      <c r="I2623" s="163">
        <v>15.1</v>
      </c>
      <c r="J2623" s="163">
        <v>10570</v>
      </c>
      <c r="K2623" s="163">
        <f t="shared" si="207"/>
        <v>102511</v>
      </c>
      <c r="L2623" s="174"/>
      <c r="M2623" s="161" t="s">
        <v>1908</v>
      </c>
      <c r="N2623" s="161" t="s">
        <v>1299</v>
      </c>
      <c r="O2623" s="161" t="s">
        <v>25</v>
      </c>
      <c r="P2623" s="49" t="s">
        <v>25</v>
      </c>
      <c r="Q2623" s="166" t="s">
        <v>6338</v>
      </c>
      <c r="R2623" s="151"/>
    </row>
    <row r="2624" spans="1:18">
      <c r="A2624" s="190" t="s">
        <v>65</v>
      </c>
      <c r="B2624" s="101" t="s">
        <v>679</v>
      </c>
      <c r="C2624" s="86" t="s">
        <v>6342</v>
      </c>
      <c r="D2624" s="161" t="s">
        <v>6342</v>
      </c>
      <c r="E2624" s="161" t="s">
        <v>1689</v>
      </c>
      <c r="F2624" s="161" t="s">
        <v>6337</v>
      </c>
      <c r="G2624" s="163">
        <v>155.999</v>
      </c>
      <c r="H2624" s="163">
        <f t="shared" si="208"/>
        <v>20.116</v>
      </c>
      <c r="I2624" s="163">
        <v>7.5</v>
      </c>
      <c r="J2624" s="163">
        <v>15209</v>
      </c>
      <c r="K2624" s="163">
        <f t="shared" si="207"/>
        <v>117720</v>
      </c>
      <c r="L2624" s="174"/>
      <c r="M2624" s="161" t="s">
        <v>1908</v>
      </c>
      <c r="N2624" s="161"/>
      <c r="O2624" s="161" t="s">
        <v>15</v>
      </c>
      <c r="P2624" s="49" t="s">
        <v>15</v>
      </c>
      <c r="Q2624" s="166" t="s">
        <v>6338</v>
      </c>
      <c r="R2624" s="151"/>
    </row>
    <row r="2625" spans="1:18">
      <c r="A2625" s="190" t="s">
        <v>65</v>
      </c>
      <c r="B2625" s="101" t="s">
        <v>679</v>
      </c>
      <c r="C2625" s="86" t="s">
        <v>6343</v>
      </c>
      <c r="D2625" s="161" t="s">
        <v>6344</v>
      </c>
      <c r="E2625" s="161" t="s">
        <v>1689</v>
      </c>
      <c r="F2625" s="161" t="s">
        <v>6345</v>
      </c>
      <c r="G2625" s="163">
        <v>170.81</v>
      </c>
      <c r="H2625" s="163">
        <f t="shared" si="208"/>
        <v>14.811</v>
      </c>
      <c r="I2625" s="163">
        <v>5.6</v>
      </c>
      <c r="J2625" s="163">
        <v>11179</v>
      </c>
      <c r="K2625" s="163">
        <f t="shared" si="207"/>
        <v>128899</v>
      </c>
      <c r="L2625" s="174"/>
      <c r="M2625" s="161" t="s">
        <v>1908</v>
      </c>
      <c r="N2625" s="161" t="s">
        <v>1299</v>
      </c>
      <c r="O2625" s="161" t="s">
        <v>25</v>
      </c>
      <c r="P2625" s="49" t="s">
        <v>25</v>
      </c>
      <c r="Q2625" s="166" t="s">
        <v>6338</v>
      </c>
      <c r="R2625" s="151"/>
    </row>
    <row r="2626" spans="1:18">
      <c r="A2626" s="190" t="s">
        <v>65</v>
      </c>
      <c r="B2626" s="101" t="s">
        <v>679</v>
      </c>
      <c r="C2626" s="86" t="s">
        <v>6346</v>
      </c>
      <c r="D2626" s="161" t="s">
        <v>175</v>
      </c>
      <c r="E2626" s="161" t="s">
        <v>1689</v>
      </c>
      <c r="F2626" s="161" t="s">
        <v>6337</v>
      </c>
      <c r="G2626" s="163">
        <v>186.689</v>
      </c>
      <c r="H2626" s="163">
        <f t="shared" si="208"/>
        <v>15.879</v>
      </c>
      <c r="I2626" s="163">
        <v>4.5</v>
      </c>
      <c r="J2626" s="163">
        <v>11939</v>
      </c>
      <c r="K2626" s="163">
        <f t="shared" si="207"/>
        <v>140838</v>
      </c>
      <c r="L2626" s="174"/>
      <c r="M2626" s="161" t="s">
        <v>1908</v>
      </c>
      <c r="N2626" s="161"/>
      <c r="O2626" s="161" t="s">
        <v>14</v>
      </c>
      <c r="P2626" s="49" t="s">
        <v>14</v>
      </c>
      <c r="Q2626" s="166" t="s">
        <v>6347</v>
      </c>
      <c r="R2626" s="151"/>
    </row>
    <row r="2627" spans="1:18">
      <c r="A2627" s="190" t="s">
        <v>65</v>
      </c>
      <c r="B2627" s="101" t="s">
        <v>679</v>
      </c>
      <c r="C2627" s="86" t="s">
        <v>6348</v>
      </c>
      <c r="D2627" s="161" t="s">
        <v>6349</v>
      </c>
      <c r="E2627" s="161" t="s">
        <v>1689</v>
      </c>
      <c r="F2627" s="161" t="s">
        <v>6346</v>
      </c>
      <c r="G2627" s="163">
        <v>205.519</v>
      </c>
      <c r="H2627" s="163">
        <f t="shared" si="208"/>
        <v>18.83</v>
      </c>
      <c r="I2627" s="163">
        <v>4.5</v>
      </c>
      <c r="J2627" s="163">
        <v>14221</v>
      </c>
      <c r="K2627" s="163">
        <f t="shared" si="207"/>
        <v>155059</v>
      </c>
      <c r="L2627" s="174"/>
      <c r="M2627" s="161" t="s">
        <v>1908</v>
      </c>
      <c r="N2627" s="161" t="s">
        <v>1299</v>
      </c>
      <c r="O2627" s="161" t="s">
        <v>25</v>
      </c>
      <c r="P2627" s="49" t="s">
        <v>25</v>
      </c>
      <c r="Q2627" s="166" t="s">
        <v>6350</v>
      </c>
      <c r="R2627" s="151"/>
    </row>
    <row r="2628" spans="1:18">
      <c r="A2628" s="190" t="s">
        <v>65</v>
      </c>
      <c r="B2628" s="101" t="s">
        <v>679</v>
      </c>
      <c r="C2628" s="86" t="s">
        <v>6351</v>
      </c>
      <c r="D2628" s="161" t="s">
        <v>6352</v>
      </c>
      <c r="E2628" s="161" t="s">
        <v>1689</v>
      </c>
      <c r="F2628" s="161" t="s">
        <v>6353</v>
      </c>
      <c r="G2628" s="163">
        <v>217.936</v>
      </c>
      <c r="H2628" s="163">
        <f t="shared" si="208"/>
        <v>12.417</v>
      </c>
      <c r="I2628" s="163">
        <v>3.6</v>
      </c>
      <c r="J2628" s="163">
        <v>9506</v>
      </c>
      <c r="K2628" s="163">
        <f t="shared" si="207"/>
        <v>164565</v>
      </c>
      <c r="L2628" s="174"/>
      <c r="M2628" s="161" t="s">
        <v>1908</v>
      </c>
      <c r="N2628" s="161" t="s">
        <v>1299</v>
      </c>
      <c r="O2628" s="161" t="s">
        <v>25</v>
      </c>
      <c r="P2628" s="49" t="s">
        <v>25</v>
      </c>
      <c r="Q2628" s="166" t="s">
        <v>6354</v>
      </c>
      <c r="R2628" s="151"/>
    </row>
    <row r="2629" spans="1:18">
      <c r="A2629" s="190" t="s">
        <v>65</v>
      </c>
      <c r="B2629" s="101" t="s">
        <v>679</v>
      </c>
      <c r="C2629" s="86" t="s">
        <v>6355</v>
      </c>
      <c r="D2629" s="161" t="s">
        <v>6356</v>
      </c>
      <c r="E2629" s="161" t="s">
        <v>1689</v>
      </c>
      <c r="F2629" s="161" t="s">
        <v>6353</v>
      </c>
      <c r="G2629" s="163">
        <v>236.689</v>
      </c>
      <c r="H2629" s="163">
        <f t="shared" si="208"/>
        <v>18.753</v>
      </c>
      <c r="I2629" s="163">
        <v>4.1</v>
      </c>
      <c r="J2629" s="163">
        <v>13993</v>
      </c>
      <c r="K2629" s="163">
        <f t="shared" si="207"/>
        <v>178558</v>
      </c>
      <c r="L2629" s="174"/>
      <c r="M2629" s="161" t="s">
        <v>1908</v>
      </c>
      <c r="N2629" s="161" t="s">
        <v>1299</v>
      </c>
      <c r="O2629" s="161" t="s">
        <v>25</v>
      </c>
      <c r="P2629" s="49" t="s">
        <v>25</v>
      </c>
      <c r="Q2629" s="166" t="s">
        <v>6354</v>
      </c>
      <c r="R2629" s="151"/>
    </row>
    <row r="2630" spans="1:18">
      <c r="A2630" s="190" t="s">
        <v>65</v>
      </c>
      <c r="B2630" s="101" t="s">
        <v>679</v>
      </c>
      <c r="C2630" s="86" t="s">
        <v>6353</v>
      </c>
      <c r="D2630" s="161" t="s">
        <v>1961</v>
      </c>
      <c r="E2630" s="161" t="s">
        <v>1689</v>
      </c>
      <c r="F2630" s="161" t="s">
        <v>6353</v>
      </c>
      <c r="G2630" s="163">
        <v>251.7</v>
      </c>
      <c r="H2630" s="163">
        <f t="shared" si="208"/>
        <v>15.011</v>
      </c>
      <c r="I2630" s="163">
        <v>4.6</v>
      </c>
      <c r="J2630" s="163">
        <v>11711</v>
      </c>
      <c r="K2630" s="163">
        <f t="shared" si="207"/>
        <v>190269</v>
      </c>
      <c r="L2630" s="174"/>
      <c r="M2630" s="161" t="s">
        <v>1908</v>
      </c>
      <c r="N2630" s="161"/>
      <c r="O2630" s="161" t="s">
        <v>15</v>
      </c>
      <c r="P2630" s="49" t="s">
        <v>15</v>
      </c>
      <c r="Q2630" s="166" t="s">
        <v>6354</v>
      </c>
      <c r="R2630" s="151"/>
    </row>
    <row r="2631" spans="1:18">
      <c r="A2631" s="190" t="s">
        <v>65</v>
      </c>
      <c r="B2631" s="101" t="s">
        <v>679</v>
      </c>
      <c r="C2631" s="86" t="s">
        <v>6357</v>
      </c>
      <c r="D2631" s="161" t="s">
        <v>6358</v>
      </c>
      <c r="E2631" s="161" t="s">
        <v>1689</v>
      </c>
      <c r="F2631" s="161" t="s">
        <v>6353</v>
      </c>
      <c r="G2631" s="163">
        <v>264.949</v>
      </c>
      <c r="H2631" s="163">
        <f t="shared" si="208"/>
        <v>13.249</v>
      </c>
      <c r="I2631" s="163">
        <v>5.6</v>
      </c>
      <c r="J2631" s="163">
        <v>10038</v>
      </c>
      <c r="K2631" s="163">
        <f t="shared" si="207"/>
        <v>200307</v>
      </c>
      <c r="L2631" s="174"/>
      <c r="M2631" s="161" t="s">
        <v>1908</v>
      </c>
      <c r="N2631" s="161" t="s">
        <v>1299</v>
      </c>
      <c r="O2631" s="161" t="s">
        <v>25</v>
      </c>
      <c r="P2631" s="49" t="s">
        <v>25</v>
      </c>
      <c r="Q2631" s="166" t="s">
        <v>6354</v>
      </c>
      <c r="R2631" s="151"/>
    </row>
    <row r="2632" spans="1:18">
      <c r="A2632" s="190" t="s">
        <v>65</v>
      </c>
      <c r="B2632" s="101" t="s">
        <v>679</v>
      </c>
      <c r="C2632" s="86" t="s">
        <v>6359</v>
      </c>
      <c r="D2632" s="161" t="s">
        <v>6360</v>
      </c>
      <c r="E2632" s="161" t="s">
        <v>1689</v>
      </c>
      <c r="F2632" s="161" t="s">
        <v>6361</v>
      </c>
      <c r="G2632" s="163">
        <v>284.614</v>
      </c>
      <c r="H2632" s="163">
        <f t="shared" si="208"/>
        <v>19.665</v>
      </c>
      <c r="I2632" s="163">
        <v>9.1</v>
      </c>
      <c r="J2632" s="163">
        <v>15209</v>
      </c>
      <c r="K2632" s="163">
        <f t="shared" si="207"/>
        <v>215516</v>
      </c>
      <c r="L2632" s="174"/>
      <c r="M2632" s="161" t="s">
        <v>1908</v>
      </c>
      <c r="N2632" s="161" t="s">
        <v>1299</v>
      </c>
      <c r="O2632" s="161" t="s">
        <v>25</v>
      </c>
      <c r="P2632" s="49" t="s">
        <v>25</v>
      </c>
      <c r="Q2632" s="166" t="s">
        <v>6362</v>
      </c>
      <c r="R2632" s="151"/>
    </row>
    <row r="2633" spans="1:18">
      <c r="A2633" s="190" t="s">
        <v>65</v>
      </c>
      <c r="B2633" s="101" t="s">
        <v>679</v>
      </c>
      <c r="C2633" s="86" t="s">
        <v>6363</v>
      </c>
      <c r="D2633" s="161" t="s">
        <v>6364</v>
      </c>
      <c r="E2633" s="161" t="s">
        <v>1689</v>
      </c>
      <c r="F2633" s="161" t="s">
        <v>6361</v>
      </c>
      <c r="G2633" s="163">
        <v>308.949</v>
      </c>
      <c r="H2633" s="163">
        <f t="shared" si="208"/>
        <v>24.335</v>
      </c>
      <c r="I2633" s="163">
        <v>9</v>
      </c>
      <c r="J2633" s="163">
        <v>18479</v>
      </c>
      <c r="K2633" s="163">
        <f t="shared" si="207"/>
        <v>233995</v>
      </c>
      <c r="L2633" s="174"/>
      <c r="M2633" s="161" t="s">
        <v>1908</v>
      </c>
      <c r="N2633" s="161" t="s">
        <v>1299</v>
      </c>
      <c r="O2633" s="161" t="s">
        <v>25</v>
      </c>
      <c r="P2633" s="49" t="s">
        <v>25</v>
      </c>
      <c r="Q2633" s="166" t="s">
        <v>6362</v>
      </c>
      <c r="R2633" s="151"/>
    </row>
    <row r="2634" spans="1:18">
      <c r="A2634" s="190" t="s">
        <v>65</v>
      </c>
      <c r="B2634" s="101" t="s">
        <v>679</v>
      </c>
      <c r="C2634" s="86" t="s">
        <v>6365</v>
      </c>
      <c r="D2634" s="161" t="s">
        <v>6366</v>
      </c>
      <c r="E2634" s="161" t="s">
        <v>1689</v>
      </c>
      <c r="F2634" s="161" t="s">
        <v>6361</v>
      </c>
      <c r="G2634" s="163">
        <v>324.245</v>
      </c>
      <c r="H2634" s="163">
        <f t="shared" si="208"/>
        <v>15.296</v>
      </c>
      <c r="I2634" s="163">
        <v>5.9</v>
      </c>
      <c r="J2634" s="163">
        <v>11711</v>
      </c>
      <c r="K2634" s="163">
        <f t="shared" si="207"/>
        <v>245706</v>
      </c>
      <c r="L2634" s="174"/>
      <c r="M2634" s="161" t="s">
        <v>1908</v>
      </c>
      <c r="N2634" s="161" t="s">
        <v>1299</v>
      </c>
      <c r="O2634" s="161" t="s">
        <v>25</v>
      </c>
      <c r="P2634" s="49" t="s">
        <v>25</v>
      </c>
      <c r="Q2634" s="166" t="s">
        <v>6367</v>
      </c>
      <c r="R2634" s="151"/>
    </row>
    <row r="2635" spans="1:18">
      <c r="A2635" s="190" t="s">
        <v>65</v>
      </c>
      <c r="B2635" s="101" t="s">
        <v>679</v>
      </c>
      <c r="C2635" s="86" t="s">
        <v>6361</v>
      </c>
      <c r="D2635" s="161" t="s">
        <v>184</v>
      </c>
      <c r="E2635" s="161" t="s">
        <v>1689</v>
      </c>
      <c r="F2635" s="161" t="s">
        <v>6361</v>
      </c>
      <c r="G2635" s="163">
        <v>338.915</v>
      </c>
      <c r="H2635" s="163">
        <f t="shared" si="208"/>
        <v>14.67</v>
      </c>
      <c r="I2635" s="163">
        <v>3.9</v>
      </c>
      <c r="J2635" s="163">
        <v>11027</v>
      </c>
      <c r="K2635" s="163">
        <f t="shared" si="207"/>
        <v>256733</v>
      </c>
      <c r="L2635" s="174"/>
      <c r="M2635" s="161" t="s">
        <v>1908</v>
      </c>
      <c r="N2635" s="161"/>
      <c r="O2635" s="161" t="s">
        <v>14</v>
      </c>
      <c r="P2635" s="49" t="s">
        <v>14</v>
      </c>
      <c r="Q2635" s="166" t="s">
        <v>6367</v>
      </c>
      <c r="R2635" s="151"/>
    </row>
    <row r="2636" spans="1:18">
      <c r="A2636" s="190" t="s">
        <v>65</v>
      </c>
      <c r="B2636" s="101" t="s">
        <v>679</v>
      </c>
      <c r="C2636" s="86" t="s">
        <v>6368</v>
      </c>
      <c r="D2636" s="161" t="s">
        <v>6369</v>
      </c>
      <c r="E2636" s="161" t="s">
        <v>1689</v>
      </c>
      <c r="F2636" s="161" t="s">
        <v>6370</v>
      </c>
      <c r="G2636" s="163">
        <v>357.287</v>
      </c>
      <c r="H2636" s="163">
        <f t="shared" si="208"/>
        <v>18.372</v>
      </c>
      <c r="I2636" s="163">
        <v>3.1</v>
      </c>
      <c r="J2636" s="163">
        <v>14145</v>
      </c>
      <c r="K2636" s="163">
        <f t="shared" si="207"/>
        <v>270878</v>
      </c>
      <c r="L2636" s="174"/>
      <c r="M2636" s="161" t="s">
        <v>1908</v>
      </c>
      <c r="N2636" s="161" t="s">
        <v>1299</v>
      </c>
      <c r="O2636" s="161" t="s">
        <v>25</v>
      </c>
      <c r="P2636" s="49" t="s">
        <v>25</v>
      </c>
      <c r="Q2636" s="166" t="s">
        <v>6371</v>
      </c>
      <c r="R2636" s="151"/>
    </row>
    <row r="2637" spans="1:18">
      <c r="A2637" s="190" t="s">
        <v>65</v>
      </c>
      <c r="B2637" s="101" t="s">
        <v>679</v>
      </c>
      <c r="C2637" s="86" t="s">
        <v>6372</v>
      </c>
      <c r="D2637" s="161" t="s">
        <v>6373</v>
      </c>
      <c r="E2637" s="161" t="s">
        <v>1689</v>
      </c>
      <c r="F2637" s="161" t="s">
        <v>6370</v>
      </c>
      <c r="G2637" s="163">
        <v>382.236</v>
      </c>
      <c r="H2637" s="163">
        <f t="shared" si="208"/>
        <v>24.949</v>
      </c>
      <c r="I2637" s="163">
        <v>1.4</v>
      </c>
      <c r="J2637" s="163">
        <v>18860</v>
      </c>
      <c r="K2637" s="163">
        <f t="shared" si="207"/>
        <v>289738</v>
      </c>
      <c r="L2637" s="174"/>
      <c r="M2637" s="161" t="s">
        <v>1908</v>
      </c>
      <c r="N2637" s="161" t="s">
        <v>1299</v>
      </c>
      <c r="O2637" s="161" t="s">
        <v>25</v>
      </c>
      <c r="P2637" s="49" t="s">
        <v>25</v>
      </c>
      <c r="Q2637" s="166" t="s">
        <v>6371</v>
      </c>
      <c r="R2637" s="151"/>
    </row>
    <row r="2638" spans="1:18">
      <c r="A2638" s="190" t="s">
        <v>65</v>
      </c>
      <c r="B2638" s="101" t="s">
        <v>679</v>
      </c>
      <c r="C2638" s="86" t="s">
        <v>6370</v>
      </c>
      <c r="D2638" s="161" t="s">
        <v>1938</v>
      </c>
      <c r="E2638" s="161" t="s">
        <v>1689</v>
      </c>
      <c r="F2638" s="161" t="s">
        <v>1923</v>
      </c>
      <c r="G2638" s="163">
        <v>393.249</v>
      </c>
      <c r="H2638" s="163">
        <f t="shared" si="208"/>
        <v>11.013</v>
      </c>
      <c r="I2638" s="163">
        <v>1.7</v>
      </c>
      <c r="J2638" s="163">
        <v>8441</v>
      </c>
      <c r="K2638" s="163">
        <f t="shared" si="207"/>
        <v>298179</v>
      </c>
      <c r="L2638" s="174"/>
      <c r="M2638" s="161" t="s">
        <v>1908</v>
      </c>
      <c r="N2638" s="161"/>
      <c r="O2638" s="161" t="s">
        <v>15</v>
      </c>
      <c r="P2638" s="49" t="s">
        <v>15</v>
      </c>
      <c r="Q2638" s="166" t="s">
        <v>6371</v>
      </c>
      <c r="R2638" s="151"/>
    </row>
    <row r="2639" spans="1:18">
      <c r="A2639" s="190" t="s">
        <v>65</v>
      </c>
      <c r="B2639" s="101" t="s">
        <v>679</v>
      </c>
      <c r="C2639" s="86" t="s">
        <v>6374</v>
      </c>
      <c r="D2639" s="161" t="s">
        <v>6375</v>
      </c>
      <c r="E2639" s="161" t="s">
        <v>1689</v>
      </c>
      <c r="F2639" s="161" t="s">
        <v>6370</v>
      </c>
      <c r="G2639" s="163">
        <v>414.569</v>
      </c>
      <c r="H2639" s="163">
        <f t="shared" si="208"/>
        <v>21.32</v>
      </c>
      <c r="I2639" s="163">
        <v>2.7</v>
      </c>
      <c r="J2639" s="163">
        <v>16274</v>
      </c>
      <c r="K2639" s="163">
        <f t="shared" si="207"/>
        <v>314453</v>
      </c>
      <c r="L2639" s="174"/>
      <c r="M2639" s="161" t="s">
        <v>1908</v>
      </c>
      <c r="N2639" s="161" t="s">
        <v>1299</v>
      </c>
      <c r="O2639" s="161" t="s">
        <v>25</v>
      </c>
      <c r="P2639" s="49" t="s">
        <v>25</v>
      </c>
      <c r="Q2639" s="166" t="s">
        <v>6376</v>
      </c>
      <c r="R2639" s="151"/>
    </row>
    <row r="2640" spans="1:18">
      <c r="A2640" s="190" t="s">
        <v>65</v>
      </c>
      <c r="B2640" s="101" t="s">
        <v>679</v>
      </c>
      <c r="C2640" s="86" t="s">
        <v>6377</v>
      </c>
      <c r="D2640" s="161" t="s">
        <v>1927</v>
      </c>
      <c r="E2640" s="161" t="s">
        <v>1689</v>
      </c>
      <c r="F2640" s="161" t="s">
        <v>1923</v>
      </c>
      <c r="G2640" s="163">
        <v>434.165</v>
      </c>
      <c r="H2640" s="163">
        <f t="shared" si="208"/>
        <v>19.596</v>
      </c>
      <c r="I2640" s="163">
        <v>2.2</v>
      </c>
      <c r="J2640" s="163">
        <v>14905</v>
      </c>
      <c r="K2640" s="163">
        <f t="shared" si="207"/>
        <v>329358</v>
      </c>
      <c r="L2640" s="174"/>
      <c r="M2640" s="161" t="s">
        <v>1908</v>
      </c>
      <c r="N2640" s="161"/>
      <c r="O2640" s="161" t="s">
        <v>15</v>
      </c>
      <c r="P2640" s="49" t="s">
        <v>15</v>
      </c>
      <c r="Q2640" s="166" t="s">
        <v>6376</v>
      </c>
      <c r="R2640" s="151"/>
    </row>
    <row r="2641" spans="1:18">
      <c r="A2641" s="190" t="s">
        <v>65</v>
      </c>
      <c r="B2641" s="101" t="s">
        <v>679</v>
      </c>
      <c r="C2641" s="86" t="s">
        <v>6378</v>
      </c>
      <c r="D2641" s="161" t="s">
        <v>6379</v>
      </c>
      <c r="E2641" s="161" t="s">
        <v>1689</v>
      </c>
      <c r="F2641" s="161" t="s">
        <v>6377</v>
      </c>
      <c r="G2641" s="163">
        <v>455.473</v>
      </c>
      <c r="H2641" s="163">
        <f t="shared" si="208"/>
        <v>21.308</v>
      </c>
      <c r="I2641" s="163">
        <v>4.5</v>
      </c>
      <c r="J2641" s="163">
        <v>16350</v>
      </c>
      <c r="K2641" s="163">
        <f t="shared" si="207"/>
        <v>345708</v>
      </c>
      <c r="L2641" s="174"/>
      <c r="M2641" s="161" t="s">
        <v>1908</v>
      </c>
      <c r="N2641" s="161" t="s">
        <v>1299</v>
      </c>
      <c r="O2641" s="161" t="s">
        <v>25</v>
      </c>
      <c r="P2641" s="49" t="s">
        <v>25</v>
      </c>
      <c r="Q2641" s="166" t="s">
        <v>6376</v>
      </c>
      <c r="R2641" s="151"/>
    </row>
    <row r="2642" spans="1:18">
      <c r="A2642" s="190" t="s">
        <v>65</v>
      </c>
      <c r="B2642" s="101" t="s">
        <v>679</v>
      </c>
      <c r="C2642" s="86" t="s">
        <v>6380</v>
      </c>
      <c r="D2642" s="161" t="s">
        <v>6381</v>
      </c>
      <c r="E2642" s="161" t="s">
        <v>1689</v>
      </c>
      <c r="F2642" s="161" t="s">
        <v>6377</v>
      </c>
      <c r="G2642" s="163">
        <v>464.955</v>
      </c>
      <c r="H2642" s="163">
        <f t="shared" si="208"/>
        <v>9.48199999999997</v>
      </c>
      <c r="I2642" s="163">
        <v>6.6</v>
      </c>
      <c r="J2642" s="163">
        <v>7148</v>
      </c>
      <c r="K2642" s="163">
        <f t="shared" si="207"/>
        <v>352856</v>
      </c>
      <c r="L2642" s="174"/>
      <c r="M2642" s="161" t="s">
        <v>1908</v>
      </c>
      <c r="N2642" s="161" t="s">
        <v>1299</v>
      </c>
      <c r="O2642" s="161" t="s">
        <v>25</v>
      </c>
      <c r="P2642" s="49" t="s">
        <v>25</v>
      </c>
      <c r="Q2642" s="166" t="s">
        <v>6376</v>
      </c>
      <c r="R2642" s="151"/>
    </row>
    <row r="2643" spans="1:18">
      <c r="A2643" s="190" t="s">
        <v>65</v>
      </c>
      <c r="B2643" s="101" t="s">
        <v>679</v>
      </c>
      <c r="C2643" s="86" t="s">
        <v>6382</v>
      </c>
      <c r="D2643" s="161" t="s">
        <v>6382</v>
      </c>
      <c r="E2643" s="161" t="s">
        <v>1689</v>
      </c>
      <c r="F2643" s="161" t="s">
        <v>6377</v>
      </c>
      <c r="G2643" s="163">
        <v>473.672</v>
      </c>
      <c r="H2643" s="163">
        <f t="shared" si="208"/>
        <v>8.71700000000004</v>
      </c>
      <c r="I2643" s="163">
        <v>10.8</v>
      </c>
      <c r="J2643" s="163">
        <v>6540</v>
      </c>
      <c r="K2643" s="163">
        <f t="shared" si="207"/>
        <v>359396</v>
      </c>
      <c r="L2643" s="174"/>
      <c r="M2643" s="161" t="s">
        <v>1908</v>
      </c>
      <c r="N2643" s="161"/>
      <c r="O2643" s="161" t="s">
        <v>14</v>
      </c>
      <c r="P2643" s="49" t="s">
        <v>14</v>
      </c>
      <c r="Q2643" s="166" t="s">
        <v>6376</v>
      </c>
      <c r="R2643" s="151"/>
    </row>
    <row r="2644" spans="1:18">
      <c r="A2644" s="190" t="s">
        <v>65</v>
      </c>
      <c r="B2644" s="101" t="s">
        <v>679</v>
      </c>
      <c r="C2644" s="86" t="s">
        <v>6383</v>
      </c>
      <c r="D2644" s="161" t="s">
        <v>6384</v>
      </c>
      <c r="E2644" s="161" t="s">
        <v>1689</v>
      </c>
      <c r="F2644" s="161" t="s">
        <v>6385</v>
      </c>
      <c r="G2644" s="163">
        <v>489.627</v>
      </c>
      <c r="H2644" s="163">
        <f t="shared" si="208"/>
        <v>15.955</v>
      </c>
      <c r="I2644" s="163">
        <v>12.4</v>
      </c>
      <c r="J2644" s="163">
        <v>12167</v>
      </c>
      <c r="K2644" s="163">
        <f t="shared" si="207"/>
        <v>371563</v>
      </c>
      <c r="L2644" s="174"/>
      <c r="M2644" s="161" t="s">
        <v>1908</v>
      </c>
      <c r="N2644" s="161" t="s">
        <v>1299</v>
      </c>
      <c r="O2644" s="161" t="s">
        <v>25</v>
      </c>
      <c r="P2644" s="49" t="s">
        <v>25</v>
      </c>
      <c r="Q2644" s="166" t="s">
        <v>1909</v>
      </c>
      <c r="R2644" s="151"/>
    </row>
    <row r="2645" spans="1:18">
      <c r="A2645" s="190" t="s">
        <v>65</v>
      </c>
      <c r="B2645" s="101" t="s">
        <v>679</v>
      </c>
      <c r="C2645" s="86" t="s">
        <v>6386</v>
      </c>
      <c r="D2645" s="161" t="s">
        <v>6387</v>
      </c>
      <c r="E2645" s="161" t="s">
        <v>1689</v>
      </c>
      <c r="F2645" s="161" t="s">
        <v>6385</v>
      </c>
      <c r="G2645" s="163">
        <v>501.779</v>
      </c>
      <c r="H2645" s="163">
        <f t="shared" si="208"/>
        <v>12.152</v>
      </c>
      <c r="I2645" s="163">
        <v>11.2</v>
      </c>
      <c r="J2645" s="163">
        <v>9126</v>
      </c>
      <c r="K2645" s="163">
        <f t="shared" si="207"/>
        <v>380689</v>
      </c>
      <c r="L2645" s="174"/>
      <c r="M2645" s="161" t="s">
        <v>1908</v>
      </c>
      <c r="N2645" s="161" t="s">
        <v>1299</v>
      </c>
      <c r="O2645" s="161" t="s">
        <v>25</v>
      </c>
      <c r="P2645" s="49" t="s">
        <v>25</v>
      </c>
      <c r="Q2645" s="166" t="s">
        <v>1909</v>
      </c>
      <c r="R2645" s="151"/>
    </row>
    <row r="2646" spans="1:18">
      <c r="A2646" s="190" t="s">
        <v>65</v>
      </c>
      <c r="B2646" s="101" t="s">
        <v>679</v>
      </c>
      <c r="C2646" s="86" t="s">
        <v>6385</v>
      </c>
      <c r="D2646" s="161" t="s">
        <v>1918</v>
      </c>
      <c r="E2646" s="161" t="s">
        <v>1689</v>
      </c>
      <c r="F2646" s="161" t="s">
        <v>1907</v>
      </c>
      <c r="G2646" s="163">
        <v>516.72</v>
      </c>
      <c r="H2646" s="163">
        <f t="shared" si="208"/>
        <v>14.941</v>
      </c>
      <c r="I2646" s="163">
        <v>28</v>
      </c>
      <c r="J2646" s="163">
        <v>11407</v>
      </c>
      <c r="K2646" s="163">
        <f t="shared" si="207"/>
        <v>392096</v>
      </c>
      <c r="L2646" s="174"/>
      <c r="M2646" s="161" t="s">
        <v>1908</v>
      </c>
      <c r="N2646" s="161"/>
      <c r="O2646" s="161" t="s">
        <v>15</v>
      </c>
      <c r="P2646" s="49" t="s">
        <v>15</v>
      </c>
      <c r="Q2646" s="166" t="s">
        <v>1909</v>
      </c>
      <c r="R2646" s="151"/>
    </row>
    <row r="2647" spans="1:18">
      <c r="A2647" s="190" t="s">
        <v>65</v>
      </c>
      <c r="B2647" s="101" t="s">
        <v>679</v>
      </c>
      <c r="C2647" s="86" t="s">
        <v>157</v>
      </c>
      <c r="D2647" s="161" t="s">
        <v>157</v>
      </c>
      <c r="E2647" s="161" t="s">
        <v>1689</v>
      </c>
      <c r="F2647" s="161" t="s">
        <v>1907</v>
      </c>
      <c r="G2647" s="163">
        <v>536.232</v>
      </c>
      <c r="H2647" s="163">
        <f t="shared" si="208"/>
        <v>19.5119999999999</v>
      </c>
      <c r="I2647" s="163">
        <v>5.1</v>
      </c>
      <c r="J2647" s="163">
        <v>14525</v>
      </c>
      <c r="K2647" s="163">
        <f t="shared" si="207"/>
        <v>406621</v>
      </c>
      <c r="L2647" s="174"/>
      <c r="M2647" s="161" t="s">
        <v>1908</v>
      </c>
      <c r="N2647" s="161"/>
      <c r="O2647" s="161" t="s">
        <v>15</v>
      </c>
      <c r="P2647" s="49" t="s">
        <v>15</v>
      </c>
      <c r="Q2647" s="166" t="s">
        <v>1909</v>
      </c>
      <c r="R2647" s="151"/>
    </row>
    <row r="2648" s="152" customFormat="1" spans="1:18">
      <c r="A2648" s="190" t="s">
        <v>65</v>
      </c>
      <c r="B2648" s="101" t="s">
        <v>683</v>
      </c>
      <c r="C2648" s="135" t="s">
        <v>6359</v>
      </c>
      <c r="D2648" s="190" t="s">
        <v>6388</v>
      </c>
      <c r="E2648" s="161" t="s">
        <v>1689</v>
      </c>
      <c r="F2648" s="161" t="s">
        <v>1907</v>
      </c>
      <c r="G2648" s="163">
        <v>0</v>
      </c>
      <c r="H2648" s="163">
        <v>0</v>
      </c>
      <c r="I2648" s="163">
        <v>5</v>
      </c>
      <c r="J2648" s="163"/>
      <c r="K2648" s="163"/>
      <c r="L2648" s="174"/>
      <c r="M2648" s="161" t="s">
        <v>1908</v>
      </c>
      <c r="N2648" s="161" t="s">
        <v>1299</v>
      </c>
      <c r="O2648" s="161"/>
      <c r="P2648" s="49"/>
      <c r="Q2648" s="161"/>
      <c r="R2648" s="167" t="s">
        <v>6362</v>
      </c>
    </row>
    <row r="2649" s="152" customFormat="1" spans="1:18">
      <c r="A2649" s="190" t="s">
        <v>65</v>
      </c>
      <c r="B2649" s="101" t="s">
        <v>683</v>
      </c>
      <c r="C2649" s="86" t="s">
        <v>6389</v>
      </c>
      <c r="D2649" s="190" t="s">
        <v>6389</v>
      </c>
      <c r="E2649" s="161" t="s">
        <v>1689</v>
      </c>
      <c r="F2649" s="161" t="s">
        <v>1907</v>
      </c>
      <c r="G2649" s="163">
        <v>0.685</v>
      </c>
      <c r="H2649" s="163">
        <v>0.685</v>
      </c>
      <c r="I2649" s="163">
        <v>5</v>
      </c>
      <c r="J2649" s="163"/>
      <c r="K2649" s="163"/>
      <c r="L2649" s="174"/>
      <c r="M2649" s="161" t="s">
        <v>1908</v>
      </c>
      <c r="N2649" s="161"/>
      <c r="O2649" s="161"/>
      <c r="P2649" s="49" t="s">
        <v>14</v>
      </c>
      <c r="Q2649" s="161" t="s">
        <v>6390</v>
      </c>
      <c r="R2649" s="167" t="s">
        <v>6362</v>
      </c>
    </row>
    <row r="2650" spans="1:18">
      <c r="A2650" s="186" t="s">
        <v>92</v>
      </c>
      <c r="B2650" s="101" t="s">
        <v>92</v>
      </c>
      <c r="C2650" s="83" t="s">
        <v>6391</v>
      </c>
      <c r="D2650" s="161" t="s">
        <v>6391</v>
      </c>
      <c r="E2650" s="161" t="s">
        <v>1291</v>
      </c>
      <c r="F2650" s="161" t="s">
        <v>2333</v>
      </c>
      <c r="G2650" s="163">
        <v>0</v>
      </c>
      <c r="H2650" s="163">
        <v>0</v>
      </c>
      <c r="I2650" s="176">
        <v>734</v>
      </c>
      <c r="J2650" s="163">
        <v>0</v>
      </c>
      <c r="K2650" s="173">
        <v>0</v>
      </c>
      <c r="L2650" s="163"/>
      <c r="M2650" s="161" t="s">
        <v>6392</v>
      </c>
      <c r="N2650" s="161" t="s">
        <v>1331</v>
      </c>
      <c r="O2650" s="161" t="s">
        <v>6</v>
      </c>
      <c r="P2650" s="49" t="s">
        <v>6</v>
      </c>
      <c r="Q2650" s="166" t="s">
        <v>6393</v>
      </c>
      <c r="R2650" s="151"/>
    </row>
    <row r="2651" spans="1:18">
      <c r="A2651" s="186" t="s">
        <v>92</v>
      </c>
      <c r="B2651" s="101" t="s">
        <v>92</v>
      </c>
      <c r="C2651" s="83" t="s">
        <v>6394</v>
      </c>
      <c r="D2651" s="161" t="s">
        <v>1899</v>
      </c>
      <c r="E2651" s="161" t="s">
        <v>1291</v>
      </c>
      <c r="F2651" s="161" t="s">
        <v>2333</v>
      </c>
      <c r="G2651" s="163">
        <v>34</v>
      </c>
      <c r="H2651" s="163">
        <f>G2651-G2650</f>
        <v>34</v>
      </c>
      <c r="I2651" s="176">
        <v>700</v>
      </c>
      <c r="J2651" s="176">
        <v>5200.58</v>
      </c>
      <c r="K2651" s="173">
        <f>K2650+J2651</f>
        <v>5200.58</v>
      </c>
      <c r="L2651" s="174"/>
      <c r="M2651" s="161" t="s">
        <v>6392</v>
      </c>
      <c r="N2651" s="161" t="s">
        <v>1901</v>
      </c>
      <c r="O2651" s="161" t="s">
        <v>26</v>
      </c>
      <c r="P2651" s="49" t="s">
        <v>26</v>
      </c>
      <c r="Q2651" s="166" t="s">
        <v>6393</v>
      </c>
      <c r="R2651" s="151"/>
    </row>
    <row r="2652" spans="1:18">
      <c r="A2652" s="186" t="s">
        <v>92</v>
      </c>
      <c r="B2652" s="101" t="s">
        <v>92</v>
      </c>
      <c r="C2652" s="83" t="s">
        <v>6395</v>
      </c>
      <c r="D2652" s="161" t="s">
        <v>1904</v>
      </c>
      <c r="E2652" s="161" t="s">
        <v>1291</v>
      </c>
      <c r="F2652" s="161" t="s">
        <v>2318</v>
      </c>
      <c r="G2652" s="163">
        <v>68</v>
      </c>
      <c r="H2652" s="163">
        <f t="shared" ref="H2652:H2661" si="209">G2652-G2651</f>
        <v>34</v>
      </c>
      <c r="I2652" s="176">
        <v>405</v>
      </c>
      <c r="J2652" s="176">
        <v>5236</v>
      </c>
      <c r="K2652" s="173">
        <f t="shared" ref="K2652:K2661" si="210">K2651+J2652</f>
        <v>10436.58</v>
      </c>
      <c r="L2652" s="163"/>
      <c r="M2652" s="161" t="s">
        <v>6392</v>
      </c>
      <c r="N2652" s="161" t="s">
        <v>1901</v>
      </c>
      <c r="O2652" s="161" t="s">
        <v>26</v>
      </c>
      <c r="P2652" s="49" t="s">
        <v>26</v>
      </c>
      <c r="Q2652" s="166" t="s">
        <v>6396</v>
      </c>
      <c r="R2652" s="151"/>
    </row>
    <row r="2653" spans="1:18">
      <c r="A2653" s="186" t="s">
        <v>92</v>
      </c>
      <c r="B2653" s="101" t="s">
        <v>92</v>
      </c>
      <c r="C2653" s="83" t="s">
        <v>6397</v>
      </c>
      <c r="D2653" s="161" t="s">
        <v>2847</v>
      </c>
      <c r="E2653" s="161" t="s">
        <v>1291</v>
      </c>
      <c r="F2653" s="161" t="s">
        <v>2318</v>
      </c>
      <c r="G2653" s="163">
        <v>101</v>
      </c>
      <c r="H2653" s="163">
        <f t="shared" si="209"/>
        <v>33</v>
      </c>
      <c r="I2653" s="176">
        <v>346</v>
      </c>
      <c r="J2653" s="176">
        <v>5134.36</v>
      </c>
      <c r="K2653" s="173">
        <f t="shared" si="210"/>
        <v>15570.94</v>
      </c>
      <c r="L2653" s="163"/>
      <c r="M2653" s="161" t="s">
        <v>6392</v>
      </c>
      <c r="N2653" s="161" t="s">
        <v>1901</v>
      </c>
      <c r="O2653" s="161" t="s">
        <v>26</v>
      </c>
      <c r="P2653" s="49" t="s">
        <v>26</v>
      </c>
      <c r="Q2653" s="166" t="s">
        <v>6398</v>
      </c>
      <c r="R2653" s="151"/>
    </row>
    <row r="2654" spans="1:18">
      <c r="A2654" s="186" t="s">
        <v>92</v>
      </c>
      <c r="B2654" s="101" t="s">
        <v>92</v>
      </c>
      <c r="C2654" s="83" t="s">
        <v>6399</v>
      </c>
      <c r="D2654" s="161" t="s">
        <v>6399</v>
      </c>
      <c r="E2654" s="161" t="s">
        <v>1291</v>
      </c>
      <c r="F2654" s="161" t="s">
        <v>2318</v>
      </c>
      <c r="G2654" s="163">
        <v>134</v>
      </c>
      <c r="H2654" s="163">
        <f t="shared" si="209"/>
        <v>33</v>
      </c>
      <c r="I2654" s="176">
        <v>650</v>
      </c>
      <c r="J2654" s="176">
        <v>5142.06</v>
      </c>
      <c r="K2654" s="173">
        <f t="shared" si="210"/>
        <v>20713</v>
      </c>
      <c r="L2654" s="163"/>
      <c r="M2654" s="161" t="s">
        <v>6392</v>
      </c>
      <c r="N2654" s="161" t="s">
        <v>1331</v>
      </c>
      <c r="O2654" s="161" t="s">
        <v>15</v>
      </c>
      <c r="P2654" s="49" t="s">
        <v>15</v>
      </c>
      <c r="Q2654" s="166" t="s">
        <v>2321</v>
      </c>
      <c r="R2654" s="151"/>
    </row>
    <row r="2655" spans="1:18">
      <c r="A2655" s="186" t="s">
        <v>92</v>
      </c>
      <c r="B2655" s="101" t="s">
        <v>92</v>
      </c>
      <c r="C2655" s="83" t="s">
        <v>6400</v>
      </c>
      <c r="D2655" s="161" t="s">
        <v>2820</v>
      </c>
      <c r="E2655" s="161" t="s">
        <v>1291</v>
      </c>
      <c r="F2655" s="161" t="s">
        <v>2308</v>
      </c>
      <c r="G2655" s="163">
        <v>174</v>
      </c>
      <c r="H2655" s="163">
        <f t="shared" si="209"/>
        <v>40</v>
      </c>
      <c r="I2655" s="176">
        <v>1008</v>
      </c>
      <c r="J2655" s="176">
        <v>6118.42</v>
      </c>
      <c r="K2655" s="173">
        <f t="shared" si="210"/>
        <v>26831.42</v>
      </c>
      <c r="L2655" s="163"/>
      <c r="M2655" s="161" t="s">
        <v>6392</v>
      </c>
      <c r="N2655" s="161" t="s">
        <v>1901</v>
      </c>
      <c r="O2655" s="161" t="s">
        <v>26</v>
      </c>
      <c r="P2655" s="49" t="s">
        <v>26</v>
      </c>
      <c r="Q2655" s="166" t="s">
        <v>2315</v>
      </c>
      <c r="R2655" s="151"/>
    </row>
    <row r="2656" spans="1:18">
      <c r="A2656" s="186" t="s">
        <v>92</v>
      </c>
      <c r="B2656" s="101" t="s">
        <v>92</v>
      </c>
      <c r="C2656" s="83" t="s">
        <v>6401</v>
      </c>
      <c r="D2656" s="161" t="s">
        <v>2252</v>
      </c>
      <c r="E2656" s="161" t="s">
        <v>1291</v>
      </c>
      <c r="F2656" s="161" t="s">
        <v>2308</v>
      </c>
      <c r="G2656" s="163">
        <v>196</v>
      </c>
      <c r="H2656" s="163">
        <f t="shared" si="209"/>
        <v>22</v>
      </c>
      <c r="I2656" s="176">
        <v>1110</v>
      </c>
      <c r="J2656" s="176">
        <v>5570.18</v>
      </c>
      <c r="K2656" s="173">
        <f t="shared" si="210"/>
        <v>32401.6</v>
      </c>
      <c r="L2656" s="174"/>
      <c r="M2656" s="161" t="s">
        <v>6392</v>
      </c>
      <c r="N2656" s="161" t="s">
        <v>1901</v>
      </c>
      <c r="O2656" s="161" t="s">
        <v>26</v>
      </c>
      <c r="P2656" s="49" t="s">
        <v>26</v>
      </c>
      <c r="Q2656" s="166" t="s">
        <v>2315</v>
      </c>
      <c r="R2656" s="151"/>
    </row>
    <row r="2657" spans="1:18">
      <c r="A2657" s="186" t="s">
        <v>92</v>
      </c>
      <c r="B2657" s="101" t="s">
        <v>92</v>
      </c>
      <c r="C2657" s="83" t="s">
        <v>6402</v>
      </c>
      <c r="D2657" s="161" t="s">
        <v>6402</v>
      </c>
      <c r="E2657" s="161" t="s">
        <v>1291</v>
      </c>
      <c r="F2657" s="161" t="s">
        <v>2308</v>
      </c>
      <c r="G2657" s="163">
        <v>251</v>
      </c>
      <c r="H2657" s="163">
        <f t="shared" si="209"/>
        <v>55</v>
      </c>
      <c r="I2657" s="176">
        <v>1139</v>
      </c>
      <c r="J2657" s="176">
        <v>7079.38</v>
      </c>
      <c r="K2657" s="173">
        <f t="shared" si="210"/>
        <v>39480.98</v>
      </c>
      <c r="L2657" s="163"/>
      <c r="M2657" s="161" t="s">
        <v>6392</v>
      </c>
      <c r="N2657" s="161" t="s">
        <v>1331</v>
      </c>
      <c r="O2657" s="161" t="s">
        <v>14</v>
      </c>
      <c r="P2657" s="49" t="s">
        <v>14</v>
      </c>
      <c r="Q2657" s="166" t="s">
        <v>6403</v>
      </c>
      <c r="R2657" s="151"/>
    </row>
    <row r="2658" spans="1:18">
      <c r="A2658" s="186" t="s">
        <v>92</v>
      </c>
      <c r="B2658" s="101" t="s">
        <v>92</v>
      </c>
      <c r="C2658" s="83" t="s">
        <v>6404</v>
      </c>
      <c r="D2658" s="161" t="s">
        <v>6404</v>
      </c>
      <c r="E2658" s="161" t="s">
        <v>1291</v>
      </c>
      <c r="F2658" s="161" t="s">
        <v>2308</v>
      </c>
      <c r="G2658" s="163">
        <v>274</v>
      </c>
      <c r="H2658" s="163">
        <f t="shared" si="209"/>
        <v>23</v>
      </c>
      <c r="I2658" s="176">
        <v>984</v>
      </c>
      <c r="J2658" s="176">
        <v>3589.74</v>
      </c>
      <c r="K2658" s="173">
        <f t="shared" si="210"/>
        <v>43070.72</v>
      </c>
      <c r="L2658" s="163" t="s">
        <v>6405</v>
      </c>
      <c r="M2658" s="161" t="s">
        <v>6392</v>
      </c>
      <c r="N2658" s="161" t="s">
        <v>1331</v>
      </c>
      <c r="O2658" s="161" t="s">
        <v>14</v>
      </c>
      <c r="P2658" s="49" t="s">
        <v>14</v>
      </c>
      <c r="Q2658" s="166" t="s">
        <v>6406</v>
      </c>
      <c r="R2658" s="151"/>
    </row>
    <row r="2659" spans="1:18">
      <c r="A2659" s="186" t="s">
        <v>92</v>
      </c>
      <c r="B2659" s="101" t="s">
        <v>92</v>
      </c>
      <c r="C2659" s="83" t="s">
        <v>6407</v>
      </c>
      <c r="D2659" s="161" t="s">
        <v>2258</v>
      </c>
      <c r="E2659" s="161" t="s">
        <v>1291</v>
      </c>
      <c r="F2659" s="161" t="s">
        <v>2308</v>
      </c>
      <c r="G2659" s="163">
        <v>290</v>
      </c>
      <c r="H2659" s="163">
        <f t="shared" si="209"/>
        <v>16</v>
      </c>
      <c r="I2659" s="176">
        <v>791</v>
      </c>
      <c r="J2659" s="176">
        <v>2544.08</v>
      </c>
      <c r="K2659" s="173">
        <f t="shared" si="210"/>
        <v>45614.8</v>
      </c>
      <c r="L2659" s="163"/>
      <c r="M2659" s="161" t="s">
        <v>6392</v>
      </c>
      <c r="N2659" s="161" t="s">
        <v>1901</v>
      </c>
      <c r="O2659" s="161" t="s">
        <v>26</v>
      </c>
      <c r="P2659" s="49" t="s">
        <v>26</v>
      </c>
      <c r="Q2659" s="166" t="s">
        <v>6406</v>
      </c>
      <c r="R2659" s="151"/>
    </row>
    <row r="2660" spans="1:18">
      <c r="A2660" s="186" t="s">
        <v>92</v>
      </c>
      <c r="B2660" s="101" t="s">
        <v>92</v>
      </c>
      <c r="C2660" s="83" t="s">
        <v>6408</v>
      </c>
      <c r="D2660" s="161" t="s">
        <v>2261</v>
      </c>
      <c r="E2660" s="161" t="s">
        <v>1291</v>
      </c>
      <c r="F2660" s="161" t="s">
        <v>2308</v>
      </c>
      <c r="G2660" s="163">
        <v>296.73</v>
      </c>
      <c r="H2660" s="163">
        <f t="shared" si="209"/>
        <v>6.73000000000002</v>
      </c>
      <c r="I2660" s="176">
        <v>737</v>
      </c>
      <c r="J2660" s="176">
        <v>1001</v>
      </c>
      <c r="K2660" s="173">
        <f t="shared" si="210"/>
        <v>46615.8</v>
      </c>
      <c r="L2660" s="163"/>
      <c r="M2660" s="161" t="s">
        <v>6392</v>
      </c>
      <c r="N2660" s="161" t="s">
        <v>1901</v>
      </c>
      <c r="O2660" s="161" t="s">
        <v>26</v>
      </c>
      <c r="P2660" s="49" t="s">
        <v>26</v>
      </c>
      <c r="Q2660" s="166" t="s">
        <v>6406</v>
      </c>
      <c r="R2660" s="151"/>
    </row>
    <row r="2661" spans="1:18">
      <c r="A2661" s="186" t="s">
        <v>92</v>
      </c>
      <c r="B2661" s="101" t="s">
        <v>92</v>
      </c>
      <c r="C2661" s="83" t="s">
        <v>6409</v>
      </c>
      <c r="D2661" s="161" t="s">
        <v>6409</v>
      </c>
      <c r="E2661" s="161" t="s">
        <v>1291</v>
      </c>
      <c r="F2661" s="161" t="s">
        <v>2308</v>
      </c>
      <c r="G2661" s="163">
        <v>301.73</v>
      </c>
      <c r="H2661" s="163">
        <f t="shared" si="209"/>
        <v>5</v>
      </c>
      <c r="I2661" s="176">
        <v>685</v>
      </c>
      <c r="J2661" s="176">
        <v>739.2</v>
      </c>
      <c r="K2661" s="173">
        <f t="shared" si="210"/>
        <v>47355</v>
      </c>
      <c r="L2661" s="163"/>
      <c r="M2661" s="161" t="s">
        <v>6392</v>
      </c>
      <c r="N2661" s="161" t="s">
        <v>1331</v>
      </c>
      <c r="O2661" s="161" t="s">
        <v>14</v>
      </c>
      <c r="P2661" s="49" t="s">
        <v>14</v>
      </c>
      <c r="Q2661" s="166" t="s">
        <v>6410</v>
      </c>
      <c r="R2661" s="151"/>
    </row>
    <row r="2662" spans="1:18">
      <c r="A2662" s="186" t="s">
        <v>52</v>
      </c>
      <c r="B2662" s="101" t="s">
        <v>434</v>
      </c>
      <c r="C2662" s="83" t="s">
        <v>6411</v>
      </c>
      <c r="D2662" s="161" t="s">
        <v>6412</v>
      </c>
      <c r="E2662" s="161" t="s">
        <v>147</v>
      </c>
      <c r="F2662" s="161" t="s">
        <v>147</v>
      </c>
      <c r="G2662" s="163"/>
      <c r="H2662" s="163"/>
      <c r="I2662" s="173"/>
      <c r="J2662" s="173"/>
      <c r="K2662" s="173"/>
      <c r="L2662" s="174"/>
      <c r="M2662" s="161" t="s">
        <v>4731</v>
      </c>
      <c r="N2662" s="161" t="s">
        <v>1331</v>
      </c>
      <c r="O2662" s="161" t="s">
        <v>2807</v>
      </c>
      <c r="P2662" s="49" t="s">
        <v>2807</v>
      </c>
      <c r="Q2662" s="166"/>
      <c r="R2662" s="151"/>
    </row>
    <row r="2663" spans="1:18">
      <c r="A2663" s="186" t="s">
        <v>53</v>
      </c>
      <c r="B2663" s="101" t="s">
        <v>53</v>
      </c>
      <c r="C2663" s="83" t="s">
        <v>6413</v>
      </c>
      <c r="D2663" s="161" t="s">
        <v>6414</v>
      </c>
      <c r="E2663" s="161" t="s">
        <v>147</v>
      </c>
      <c r="F2663" s="161" t="s">
        <v>147</v>
      </c>
      <c r="G2663" s="163"/>
      <c r="H2663" s="163"/>
      <c r="I2663" s="173"/>
      <c r="J2663" s="173"/>
      <c r="K2663" s="173"/>
      <c r="L2663" s="174"/>
      <c r="M2663" s="161" t="s">
        <v>4847</v>
      </c>
      <c r="N2663" s="161" t="s">
        <v>1331</v>
      </c>
      <c r="O2663" s="161" t="s">
        <v>2807</v>
      </c>
      <c r="P2663" s="49" t="s">
        <v>2807</v>
      </c>
      <c r="Q2663" s="166"/>
      <c r="R2663" s="151"/>
    </row>
    <row r="2664" spans="1:18">
      <c r="A2664" s="186" t="s">
        <v>55</v>
      </c>
      <c r="B2664" s="101" t="s">
        <v>485</v>
      </c>
      <c r="C2664" s="83" t="s">
        <v>6415</v>
      </c>
      <c r="D2664" s="161" t="s">
        <v>6416</v>
      </c>
      <c r="E2664" s="161" t="s">
        <v>147</v>
      </c>
      <c r="F2664" s="161" t="s">
        <v>147</v>
      </c>
      <c r="G2664" s="163"/>
      <c r="H2664" s="163"/>
      <c r="I2664" s="173"/>
      <c r="J2664" s="173"/>
      <c r="K2664" s="173"/>
      <c r="L2664" s="174"/>
      <c r="M2664" s="161" t="s">
        <v>4927</v>
      </c>
      <c r="N2664" s="161" t="s">
        <v>1331</v>
      </c>
      <c r="O2664" s="161" t="s">
        <v>2807</v>
      </c>
      <c r="P2664" s="49" t="s">
        <v>2807</v>
      </c>
      <c r="Q2664" s="166"/>
      <c r="R2664" s="151"/>
    </row>
    <row r="2665" spans="1:18">
      <c r="A2665" s="186" t="s">
        <v>55</v>
      </c>
      <c r="B2665" s="101" t="s">
        <v>485</v>
      </c>
      <c r="C2665" s="83" t="s">
        <v>6417</v>
      </c>
      <c r="D2665" s="161" t="s">
        <v>6418</v>
      </c>
      <c r="E2665" s="161" t="s">
        <v>147</v>
      </c>
      <c r="F2665" s="161" t="s">
        <v>147</v>
      </c>
      <c r="G2665" s="163"/>
      <c r="H2665" s="163"/>
      <c r="I2665" s="173"/>
      <c r="J2665" s="173"/>
      <c r="K2665" s="173"/>
      <c r="L2665" s="174"/>
      <c r="M2665" s="161" t="s">
        <v>4927</v>
      </c>
      <c r="N2665" s="161" t="s">
        <v>1331</v>
      </c>
      <c r="O2665" s="161" t="s">
        <v>2807</v>
      </c>
      <c r="P2665" s="49" t="s">
        <v>2807</v>
      </c>
      <c r="Q2665" s="166"/>
      <c r="R2665" s="151"/>
    </row>
    <row r="2666" spans="1:18">
      <c r="A2666" s="186" t="s">
        <v>55</v>
      </c>
      <c r="B2666" s="101" t="s">
        <v>485</v>
      </c>
      <c r="C2666" s="83" t="s">
        <v>6419</v>
      </c>
      <c r="D2666" s="161" t="s">
        <v>6420</v>
      </c>
      <c r="E2666" s="161" t="s">
        <v>147</v>
      </c>
      <c r="F2666" s="161" t="s">
        <v>147</v>
      </c>
      <c r="G2666" s="163"/>
      <c r="H2666" s="163"/>
      <c r="I2666" s="173"/>
      <c r="J2666" s="173"/>
      <c r="K2666" s="173"/>
      <c r="L2666" s="174"/>
      <c r="M2666" s="161" t="s">
        <v>4927</v>
      </c>
      <c r="N2666" s="161" t="s">
        <v>1331</v>
      </c>
      <c r="O2666" s="161" t="s">
        <v>2807</v>
      </c>
      <c r="P2666" s="49" t="s">
        <v>2807</v>
      </c>
      <c r="Q2666" s="166"/>
      <c r="R2666" s="151"/>
    </row>
    <row r="2667" spans="1:18">
      <c r="A2667" s="186" t="s">
        <v>55</v>
      </c>
      <c r="B2667" s="101" t="s">
        <v>485</v>
      </c>
      <c r="C2667" s="83" t="s">
        <v>6421</v>
      </c>
      <c r="D2667" s="161" t="s">
        <v>6422</v>
      </c>
      <c r="E2667" s="161" t="s">
        <v>147</v>
      </c>
      <c r="F2667" s="161" t="s">
        <v>147</v>
      </c>
      <c r="G2667" s="163"/>
      <c r="H2667" s="163"/>
      <c r="I2667" s="173"/>
      <c r="J2667" s="173"/>
      <c r="K2667" s="173"/>
      <c r="L2667" s="174"/>
      <c r="M2667" s="161" t="s">
        <v>4927</v>
      </c>
      <c r="N2667" s="161" t="s">
        <v>1331</v>
      </c>
      <c r="O2667" s="161" t="s">
        <v>2807</v>
      </c>
      <c r="P2667" s="49" t="s">
        <v>2807</v>
      </c>
      <c r="Q2667" s="166"/>
      <c r="R2667" s="151"/>
    </row>
    <row r="2668" spans="1:18">
      <c r="A2668" s="186" t="s">
        <v>55</v>
      </c>
      <c r="B2668" s="101" t="s">
        <v>485</v>
      </c>
      <c r="C2668" s="83" t="s">
        <v>6421</v>
      </c>
      <c r="D2668" s="161" t="s">
        <v>6422</v>
      </c>
      <c r="E2668" s="161" t="s">
        <v>147</v>
      </c>
      <c r="F2668" s="161" t="s">
        <v>147</v>
      </c>
      <c r="G2668" s="163"/>
      <c r="H2668" s="163"/>
      <c r="I2668" s="173"/>
      <c r="J2668" s="173"/>
      <c r="K2668" s="173"/>
      <c r="L2668" s="174"/>
      <c r="M2668" s="161" t="s">
        <v>4927</v>
      </c>
      <c r="N2668" s="161" t="s">
        <v>1331</v>
      </c>
      <c r="O2668" s="161" t="s">
        <v>2807</v>
      </c>
      <c r="P2668" s="49" t="s">
        <v>2807</v>
      </c>
      <c r="Q2668" s="166"/>
      <c r="R2668" s="151"/>
    </row>
    <row r="2669" spans="1:18">
      <c r="A2669" s="186" t="s">
        <v>55</v>
      </c>
      <c r="B2669" s="101" t="s">
        <v>485</v>
      </c>
      <c r="C2669" s="83" t="s">
        <v>6423</v>
      </c>
      <c r="D2669" s="161" t="s">
        <v>6424</v>
      </c>
      <c r="E2669" s="161" t="s">
        <v>147</v>
      </c>
      <c r="F2669" s="161" t="s">
        <v>147</v>
      </c>
      <c r="G2669" s="163"/>
      <c r="H2669" s="163"/>
      <c r="I2669" s="173"/>
      <c r="J2669" s="173"/>
      <c r="K2669" s="173"/>
      <c r="L2669" s="174"/>
      <c r="M2669" s="161" t="s">
        <v>4927</v>
      </c>
      <c r="N2669" s="161" t="s">
        <v>1331</v>
      </c>
      <c r="O2669" s="161" t="s">
        <v>2807</v>
      </c>
      <c r="P2669" s="49" t="s">
        <v>2807</v>
      </c>
      <c r="Q2669" s="166"/>
      <c r="R2669" s="151"/>
    </row>
    <row r="2670" spans="1:18">
      <c r="A2670" s="186" t="s">
        <v>54</v>
      </c>
      <c r="B2670" s="101" t="s">
        <v>466</v>
      </c>
      <c r="C2670" s="83" t="s">
        <v>6425</v>
      </c>
      <c r="D2670" s="161" t="s">
        <v>6426</v>
      </c>
      <c r="E2670" s="161" t="s">
        <v>147</v>
      </c>
      <c r="F2670" s="161" t="s">
        <v>147</v>
      </c>
      <c r="G2670" s="163"/>
      <c r="H2670" s="163"/>
      <c r="I2670" s="173"/>
      <c r="J2670" s="173"/>
      <c r="K2670" s="173"/>
      <c r="L2670" s="174"/>
      <c r="M2670" s="161" t="s">
        <v>4892</v>
      </c>
      <c r="N2670" s="161" t="s">
        <v>1331</v>
      </c>
      <c r="O2670" s="161" t="s">
        <v>2807</v>
      </c>
      <c r="P2670" s="49" t="s">
        <v>2807</v>
      </c>
      <c r="Q2670" s="166"/>
      <c r="R2670" s="151"/>
    </row>
    <row r="2671" spans="1:18">
      <c r="A2671" s="186" t="s">
        <v>54</v>
      </c>
      <c r="B2671" s="101" t="s">
        <v>466</v>
      </c>
      <c r="C2671" s="83" t="s">
        <v>6427</v>
      </c>
      <c r="D2671" s="161" t="s">
        <v>6428</v>
      </c>
      <c r="E2671" s="161" t="s">
        <v>147</v>
      </c>
      <c r="F2671" s="161" t="s">
        <v>147</v>
      </c>
      <c r="G2671" s="163"/>
      <c r="H2671" s="163"/>
      <c r="I2671" s="173"/>
      <c r="J2671" s="173"/>
      <c r="K2671" s="173"/>
      <c r="L2671" s="174"/>
      <c r="M2671" s="161" t="s">
        <v>4892</v>
      </c>
      <c r="N2671" s="161"/>
      <c r="O2671" s="161" t="s">
        <v>2807</v>
      </c>
      <c r="P2671" s="49" t="s">
        <v>2807</v>
      </c>
      <c r="Q2671" s="166"/>
      <c r="R2671" s="151"/>
    </row>
    <row r="2672" spans="1:18">
      <c r="A2672" s="166" t="s">
        <v>67</v>
      </c>
      <c r="B2672" s="166" t="s">
        <v>688</v>
      </c>
      <c r="C2672" s="85" t="s">
        <v>689</v>
      </c>
      <c r="D2672" s="161" t="s">
        <v>689</v>
      </c>
      <c r="E2672" s="161" t="s">
        <v>2204</v>
      </c>
      <c r="F2672" s="161" t="s">
        <v>6429</v>
      </c>
      <c r="G2672" s="163">
        <v>0</v>
      </c>
      <c r="H2672" s="163">
        <v>0</v>
      </c>
      <c r="I2672" s="174">
        <v>237.72015</v>
      </c>
      <c r="J2672" s="174">
        <v>0</v>
      </c>
      <c r="K2672" s="174">
        <v>0</v>
      </c>
      <c r="L2672" s="174"/>
      <c r="M2672" s="161" t="s">
        <v>6430</v>
      </c>
      <c r="N2672" s="161"/>
      <c r="O2672" s="161" t="s">
        <v>6</v>
      </c>
      <c r="P2672" s="49" t="s">
        <v>6</v>
      </c>
      <c r="Q2672" s="166"/>
      <c r="R2672" s="151"/>
    </row>
    <row r="2673" spans="1:18">
      <c r="A2673" s="166" t="s">
        <v>67</v>
      </c>
      <c r="B2673" s="166" t="s">
        <v>688</v>
      </c>
      <c r="C2673" s="85" t="s">
        <v>6431</v>
      </c>
      <c r="D2673" s="161" t="s">
        <v>6432</v>
      </c>
      <c r="E2673" s="161" t="s">
        <v>2204</v>
      </c>
      <c r="F2673" s="161" t="s">
        <v>6429</v>
      </c>
      <c r="G2673" s="163">
        <v>21.6498</v>
      </c>
      <c r="H2673" s="163">
        <f t="shared" ref="H2673:H2681" si="211">G2673-G2672</f>
        <v>21.6498</v>
      </c>
      <c r="I2673" s="174">
        <v>205.79152</v>
      </c>
      <c r="J2673" s="174">
        <v>16592.1680459055</v>
      </c>
      <c r="K2673" s="174">
        <f>K2672+J2673</f>
        <v>16592.1680459055</v>
      </c>
      <c r="L2673" s="174"/>
      <c r="M2673" s="161" t="s">
        <v>6430</v>
      </c>
      <c r="N2673" s="161" t="s">
        <v>1299</v>
      </c>
      <c r="O2673" s="161" t="s">
        <v>25</v>
      </c>
      <c r="P2673" s="49" t="s">
        <v>25</v>
      </c>
      <c r="Q2673" s="166"/>
      <c r="R2673" s="151"/>
    </row>
    <row r="2674" spans="1:18">
      <c r="A2674" s="166" t="s">
        <v>67</v>
      </c>
      <c r="B2674" s="166" t="s">
        <v>688</v>
      </c>
      <c r="C2674" s="85" t="s">
        <v>6433</v>
      </c>
      <c r="D2674" s="161" t="s">
        <v>6434</v>
      </c>
      <c r="E2674" s="161" t="s">
        <v>2204</v>
      </c>
      <c r="F2674" s="161" t="s">
        <v>6429</v>
      </c>
      <c r="G2674" s="163">
        <v>39.9685</v>
      </c>
      <c r="H2674" s="163">
        <f t="shared" si="211"/>
        <v>18.3187</v>
      </c>
      <c r="I2674" s="174">
        <v>274.84261</v>
      </c>
      <c r="J2674" s="174">
        <v>14039.2491834905</v>
      </c>
      <c r="K2674" s="174">
        <f t="shared" ref="K2674:K2705" si="212">K2673+J2674</f>
        <v>30631.417229396</v>
      </c>
      <c r="L2674" s="174"/>
      <c r="M2674" s="161" t="s">
        <v>6430</v>
      </c>
      <c r="N2674" s="161" t="s">
        <v>1299</v>
      </c>
      <c r="O2674" s="161" t="s">
        <v>25</v>
      </c>
      <c r="P2674" s="49" t="s">
        <v>25</v>
      </c>
      <c r="Q2674" s="166"/>
      <c r="R2674" s="151"/>
    </row>
    <row r="2675" spans="1:18">
      <c r="A2675" s="166" t="s">
        <v>67</v>
      </c>
      <c r="B2675" s="166" t="s">
        <v>688</v>
      </c>
      <c r="C2675" s="85" t="s">
        <v>6435</v>
      </c>
      <c r="D2675" s="161" t="s">
        <v>6436</v>
      </c>
      <c r="E2675" s="161" t="s">
        <v>2204</v>
      </c>
      <c r="F2675" s="161" t="s">
        <v>6429</v>
      </c>
      <c r="G2675" s="163">
        <v>57.727</v>
      </c>
      <c r="H2675" s="163">
        <f t="shared" si="211"/>
        <v>17.7585</v>
      </c>
      <c r="I2675" s="174">
        <v>314.69251</v>
      </c>
      <c r="J2675" s="174">
        <v>13609.885642777</v>
      </c>
      <c r="K2675" s="174">
        <f t="shared" si="212"/>
        <v>44241.302872173</v>
      </c>
      <c r="L2675" s="174"/>
      <c r="M2675" s="161" t="s">
        <v>6430</v>
      </c>
      <c r="N2675" s="161" t="s">
        <v>1299</v>
      </c>
      <c r="O2675" s="161" t="s">
        <v>25</v>
      </c>
      <c r="P2675" s="49" t="s">
        <v>25</v>
      </c>
      <c r="Q2675" s="166"/>
      <c r="R2675" s="151"/>
    </row>
    <row r="2676" spans="1:18">
      <c r="A2676" s="166" t="s">
        <v>67</v>
      </c>
      <c r="B2676" s="166" t="s">
        <v>688</v>
      </c>
      <c r="C2676" s="85" t="s">
        <v>6437</v>
      </c>
      <c r="D2676" s="161" t="s">
        <v>6438</v>
      </c>
      <c r="E2676" s="161" t="s">
        <v>2204</v>
      </c>
      <c r="F2676" s="161" t="s">
        <v>6429</v>
      </c>
      <c r="G2676" s="163">
        <v>77.5475</v>
      </c>
      <c r="H2676" s="163">
        <f t="shared" si="211"/>
        <v>19.8205</v>
      </c>
      <c r="I2676" s="174">
        <v>320.45971</v>
      </c>
      <c r="J2676" s="174">
        <v>15190.2393675001</v>
      </c>
      <c r="K2676" s="174">
        <f t="shared" si="212"/>
        <v>59431.5422396731</v>
      </c>
      <c r="L2676" s="174"/>
      <c r="M2676" s="161" t="s">
        <v>6430</v>
      </c>
      <c r="N2676" s="161" t="s">
        <v>1299</v>
      </c>
      <c r="O2676" s="161" t="s">
        <v>25</v>
      </c>
      <c r="P2676" s="49" t="s">
        <v>25</v>
      </c>
      <c r="Q2676" s="166"/>
      <c r="R2676" s="151"/>
    </row>
    <row r="2677" spans="1:18">
      <c r="A2677" s="166" t="s">
        <v>67</v>
      </c>
      <c r="B2677" s="166" t="s">
        <v>688</v>
      </c>
      <c r="C2677" s="85" t="s">
        <v>6439</v>
      </c>
      <c r="D2677" s="161" t="s">
        <v>6440</v>
      </c>
      <c r="E2677" s="161" t="s">
        <v>2204</v>
      </c>
      <c r="F2677" s="161" t="s">
        <v>6429</v>
      </c>
      <c r="G2677" s="163">
        <v>91.9665</v>
      </c>
      <c r="H2677" s="163">
        <f t="shared" si="211"/>
        <v>14.419</v>
      </c>
      <c r="I2677" s="174">
        <v>313.49121</v>
      </c>
      <c r="J2677" s="174">
        <v>11050.5792055772</v>
      </c>
      <c r="K2677" s="174">
        <f t="shared" si="212"/>
        <v>70482.1214452503</v>
      </c>
      <c r="L2677" s="174"/>
      <c r="M2677" s="161" t="s">
        <v>6430</v>
      </c>
      <c r="N2677" s="161" t="s">
        <v>1299</v>
      </c>
      <c r="O2677" s="161" t="s">
        <v>25</v>
      </c>
      <c r="P2677" s="49" t="s">
        <v>25</v>
      </c>
      <c r="Q2677" s="166"/>
      <c r="R2677" s="151"/>
    </row>
    <row r="2678" spans="1:18">
      <c r="A2678" s="166" t="s">
        <v>67</v>
      </c>
      <c r="B2678" s="166" t="s">
        <v>688</v>
      </c>
      <c r="C2678" s="85" t="s">
        <v>6441</v>
      </c>
      <c r="D2678" s="161" t="s">
        <v>6441</v>
      </c>
      <c r="E2678" s="161" t="s">
        <v>2204</v>
      </c>
      <c r="F2678" s="161" t="s">
        <v>6442</v>
      </c>
      <c r="G2678" s="163">
        <v>106.1593</v>
      </c>
      <c r="H2678" s="163">
        <f t="shared" si="211"/>
        <v>14.1928</v>
      </c>
      <c r="I2678" s="174">
        <v>334.07399</v>
      </c>
      <c r="J2678" s="174">
        <v>10877.196344964</v>
      </c>
      <c r="K2678" s="174">
        <f t="shared" si="212"/>
        <v>81359.3177902143</v>
      </c>
      <c r="L2678" s="174"/>
      <c r="M2678" s="161" t="s">
        <v>6430</v>
      </c>
      <c r="N2678" s="161"/>
      <c r="O2678" s="161" t="s">
        <v>15</v>
      </c>
      <c r="P2678" s="49" t="s">
        <v>15</v>
      </c>
      <c r="Q2678" s="166"/>
      <c r="R2678" s="151"/>
    </row>
    <row r="2679" spans="1:18">
      <c r="A2679" s="166" t="s">
        <v>67</v>
      </c>
      <c r="B2679" s="166" t="s">
        <v>688</v>
      </c>
      <c r="C2679" s="85" t="s">
        <v>6443</v>
      </c>
      <c r="D2679" s="161" t="s">
        <v>6444</v>
      </c>
      <c r="E2679" s="161" t="s">
        <v>2204</v>
      </c>
      <c r="F2679" s="161" t="s">
        <v>6442</v>
      </c>
      <c r="G2679" s="163">
        <v>128.9227</v>
      </c>
      <c r="H2679" s="163">
        <f t="shared" si="211"/>
        <v>22.7634</v>
      </c>
      <c r="I2679" s="174">
        <v>573.25373</v>
      </c>
      <c r="J2679" s="174">
        <v>17445.6322373519</v>
      </c>
      <c r="K2679" s="174">
        <f t="shared" si="212"/>
        <v>98804.9500275662</v>
      </c>
      <c r="L2679" s="174"/>
      <c r="M2679" s="161" t="s">
        <v>6430</v>
      </c>
      <c r="N2679" s="161" t="s">
        <v>1299</v>
      </c>
      <c r="O2679" s="161" t="s">
        <v>25</v>
      </c>
      <c r="P2679" s="49" t="s">
        <v>25</v>
      </c>
      <c r="Q2679" s="166"/>
      <c r="R2679" s="151"/>
    </row>
    <row r="2680" spans="1:18">
      <c r="A2680" s="166" t="s">
        <v>67</v>
      </c>
      <c r="B2680" s="166" t="s">
        <v>688</v>
      </c>
      <c r="C2680" s="85" t="s">
        <v>6445</v>
      </c>
      <c r="D2680" s="161" t="s">
        <v>6446</v>
      </c>
      <c r="E2680" s="161" t="s">
        <v>2204</v>
      </c>
      <c r="F2680" s="161" t="s">
        <v>6442</v>
      </c>
      <c r="G2680" s="163">
        <v>142.389</v>
      </c>
      <c r="H2680" s="163">
        <f t="shared" si="211"/>
        <v>13.4663</v>
      </c>
      <c r="I2680" s="174">
        <v>253.96461</v>
      </c>
      <c r="J2680" s="174">
        <v>10320.4410867574</v>
      </c>
      <c r="K2680" s="174">
        <f t="shared" si="212"/>
        <v>109125.391114324</v>
      </c>
      <c r="L2680" s="174"/>
      <c r="M2680" s="161" t="s">
        <v>6430</v>
      </c>
      <c r="N2680" s="161" t="s">
        <v>1299</v>
      </c>
      <c r="O2680" s="161" t="s">
        <v>25</v>
      </c>
      <c r="P2680" s="49" t="s">
        <v>25</v>
      </c>
      <c r="Q2680" s="166"/>
      <c r="R2680" s="151"/>
    </row>
    <row r="2681" spans="1:18">
      <c r="A2681" s="166" t="s">
        <v>67</v>
      </c>
      <c r="B2681" s="166" t="s">
        <v>688</v>
      </c>
      <c r="C2681" s="85" t="s">
        <v>6447</v>
      </c>
      <c r="D2681" s="161" t="s">
        <v>6447</v>
      </c>
      <c r="E2681" s="161" t="s">
        <v>2204</v>
      </c>
      <c r="F2681" s="161" t="s">
        <v>6442</v>
      </c>
      <c r="G2681" s="163">
        <v>154.6391</v>
      </c>
      <c r="H2681" s="163">
        <f t="shared" si="211"/>
        <v>12.2501</v>
      </c>
      <c r="I2681" s="174">
        <v>198.92286</v>
      </c>
      <c r="J2681" s="174">
        <v>9388.32000765761</v>
      </c>
      <c r="K2681" s="174">
        <f t="shared" si="212"/>
        <v>118513.711121981</v>
      </c>
      <c r="L2681" s="174"/>
      <c r="M2681" s="161" t="s">
        <v>6430</v>
      </c>
      <c r="N2681" s="161"/>
      <c r="O2681" s="161" t="s">
        <v>6</v>
      </c>
      <c r="P2681" s="49" t="s">
        <v>6</v>
      </c>
      <c r="Q2681" s="166"/>
      <c r="R2681" s="151"/>
    </row>
    <row r="2682" spans="1:18">
      <c r="A2682" s="166" t="s">
        <v>67</v>
      </c>
      <c r="B2682" s="166" t="s">
        <v>688</v>
      </c>
      <c r="C2682" s="85" t="s">
        <v>6448</v>
      </c>
      <c r="D2682" s="161" t="s">
        <v>6449</v>
      </c>
      <c r="E2682" s="161" t="s">
        <v>2204</v>
      </c>
      <c r="F2682" s="161" t="s">
        <v>6442</v>
      </c>
      <c r="G2682" s="163">
        <v>165.0855</v>
      </c>
      <c r="H2682" s="163">
        <f t="shared" ref="H2682:H2713" si="213">G2682-G2681</f>
        <v>10.4464</v>
      </c>
      <c r="I2682" s="174">
        <v>199.172</v>
      </c>
      <c r="J2682" s="174">
        <v>8005.99319464923</v>
      </c>
      <c r="K2682" s="174">
        <f t="shared" si="212"/>
        <v>126519.70431663</v>
      </c>
      <c r="L2682" s="174"/>
      <c r="M2682" s="161" t="s">
        <v>6430</v>
      </c>
      <c r="N2682" s="161" t="s">
        <v>1299</v>
      </c>
      <c r="O2682" s="161" t="s">
        <v>25</v>
      </c>
      <c r="P2682" s="49" t="s">
        <v>25</v>
      </c>
      <c r="Q2682" s="166"/>
      <c r="R2682" s="151"/>
    </row>
    <row r="2683" spans="1:18">
      <c r="A2683" s="166" t="s">
        <v>67</v>
      </c>
      <c r="B2683" s="166" t="s">
        <v>688</v>
      </c>
      <c r="C2683" s="85" t="s">
        <v>6450</v>
      </c>
      <c r="D2683" s="161" t="s">
        <v>6451</v>
      </c>
      <c r="E2683" s="161" t="s">
        <v>2204</v>
      </c>
      <c r="F2683" s="161" t="s">
        <v>6442</v>
      </c>
      <c r="G2683" s="163">
        <v>167.4091</v>
      </c>
      <c r="H2683" s="163">
        <f t="shared" si="213"/>
        <v>2.3236</v>
      </c>
      <c r="I2683" s="174">
        <v>236.15699</v>
      </c>
      <c r="J2683" s="174">
        <v>1780.7962900898</v>
      </c>
      <c r="K2683" s="174">
        <f t="shared" si="212"/>
        <v>128300.50060672</v>
      </c>
      <c r="L2683" s="174"/>
      <c r="M2683" s="161" t="s">
        <v>6430</v>
      </c>
      <c r="N2683" s="161" t="s">
        <v>1299</v>
      </c>
      <c r="O2683" s="161" t="s">
        <v>25</v>
      </c>
      <c r="P2683" s="49" t="s">
        <v>25</v>
      </c>
      <c r="Q2683" s="166"/>
      <c r="R2683" s="151"/>
    </row>
    <row r="2684" spans="1:18">
      <c r="A2684" s="166" t="s">
        <v>67</v>
      </c>
      <c r="B2684" s="166" t="s">
        <v>688</v>
      </c>
      <c r="C2684" s="85" t="s">
        <v>6452</v>
      </c>
      <c r="D2684" s="161" t="s">
        <v>6453</v>
      </c>
      <c r="E2684" s="161" t="s">
        <v>2204</v>
      </c>
      <c r="F2684" s="161" t="s">
        <v>6442</v>
      </c>
      <c r="G2684" s="163">
        <v>177.03</v>
      </c>
      <c r="H2684" s="163">
        <f t="shared" si="213"/>
        <v>9.62090000000001</v>
      </c>
      <c r="I2684" s="174">
        <v>260.66505</v>
      </c>
      <c r="J2684" s="174">
        <v>7373.35043395211</v>
      </c>
      <c r="K2684" s="174">
        <f t="shared" si="212"/>
        <v>135673.851040672</v>
      </c>
      <c r="L2684" s="174"/>
      <c r="M2684" s="161" t="s">
        <v>6430</v>
      </c>
      <c r="N2684" s="161" t="s">
        <v>1299</v>
      </c>
      <c r="O2684" s="161" t="s">
        <v>25</v>
      </c>
      <c r="P2684" s="49" t="s">
        <v>25</v>
      </c>
      <c r="Q2684" s="166"/>
      <c r="R2684" s="151"/>
    </row>
    <row r="2685" spans="1:18">
      <c r="A2685" s="166" t="s">
        <v>67</v>
      </c>
      <c r="B2685" s="166" t="s">
        <v>688</v>
      </c>
      <c r="C2685" s="85" t="s">
        <v>6454</v>
      </c>
      <c r="D2685" s="161" t="s">
        <v>6455</v>
      </c>
      <c r="E2685" s="161" t="s">
        <v>2204</v>
      </c>
      <c r="F2685" s="161" t="s">
        <v>6442</v>
      </c>
      <c r="G2685" s="163">
        <v>200.9737</v>
      </c>
      <c r="H2685" s="163">
        <f t="shared" si="213"/>
        <v>23.9437</v>
      </c>
      <c r="I2685" s="174">
        <v>1534.26598</v>
      </c>
      <c r="J2685" s="174">
        <v>18327.1077317833</v>
      </c>
      <c r="K2685" s="174">
        <f t="shared" si="212"/>
        <v>154000.958772456</v>
      </c>
      <c r="L2685" s="174"/>
      <c r="M2685" s="161" t="s">
        <v>6430</v>
      </c>
      <c r="N2685" s="161" t="s">
        <v>1299</v>
      </c>
      <c r="O2685" s="161" t="s">
        <v>25</v>
      </c>
      <c r="P2685" s="49" t="s">
        <v>25</v>
      </c>
      <c r="Q2685" s="166"/>
      <c r="R2685" s="151"/>
    </row>
    <row r="2686" spans="1:18">
      <c r="A2686" s="166" t="s">
        <v>67</v>
      </c>
      <c r="B2686" s="166" t="s">
        <v>688</v>
      </c>
      <c r="C2686" s="85" t="s">
        <v>6456</v>
      </c>
      <c r="D2686" s="161" t="s">
        <v>6457</v>
      </c>
      <c r="E2686" s="161" t="s">
        <v>2204</v>
      </c>
      <c r="F2686" s="161" t="s">
        <v>6458</v>
      </c>
      <c r="G2686" s="163">
        <v>221.8505</v>
      </c>
      <c r="H2686" s="163">
        <f t="shared" si="213"/>
        <v>20.8768</v>
      </c>
      <c r="I2686" s="174">
        <v>1390.88199</v>
      </c>
      <c r="J2686" s="174">
        <v>15979.5617566284</v>
      </c>
      <c r="K2686" s="174">
        <f t="shared" si="212"/>
        <v>169980.520529084</v>
      </c>
      <c r="L2686" s="174"/>
      <c r="M2686" s="161" t="s">
        <v>6430</v>
      </c>
      <c r="N2686" s="161" t="s">
        <v>1299</v>
      </c>
      <c r="O2686" s="161" t="s">
        <v>25</v>
      </c>
      <c r="P2686" s="49" t="s">
        <v>25</v>
      </c>
      <c r="Q2686" s="166"/>
      <c r="R2686" s="151"/>
    </row>
    <row r="2687" spans="1:18">
      <c r="A2687" s="166" t="s">
        <v>67</v>
      </c>
      <c r="B2687" s="166" t="s">
        <v>688</v>
      </c>
      <c r="C2687" s="85" t="s">
        <v>6459</v>
      </c>
      <c r="D2687" s="161" t="s">
        <v>6460</v>
      </c>
      <c r="E2687" s="161" t="s">
        <v>2204</v>
      </c>
      <c r="F2687" s="161" t="s">
        <v>6458</v>
      </c>
      <c r="G2687" s="163">
        <v>238.7991</v>
      </c>
      <c r="H2687" s="163">
        <f t="shared" si="213"/>
        <v>16.9486</v>
      </c>
      <c r="I2687" s="174">
        <v>1080.81</v>
      </c>
      <c r="J2687" s="174">
        <v>12972.8922868294</v>
      </c>
      <c r="K2687" s="174">
        <f t="shared" si="212"/>
        <v>182953.412815913</v>
      </c>
      <c r="L2687" s="174"/>
      <c r="M2687" s="161" t="s">
        <v>6430</v>
      </c>
      <c r="N2687" s="161" t="s">
        <v>1299</v>
      </c>
      <c r="O2687" s="161" t="s">
        <v>25</v>
      </c>
      <c r="P2687" s="49" t="s">
        <v>25</v>
      </c>
      <c r="Q2687" s="166"/>
      <c r="R2687" s="151"/>
    </row>
    <row r="2688" spans="1:18">
      <c r="A2688" s="166" t="s">
        <v>67</v>
      </c>
      <c r="B2688" s="166" t="s">
        <v>688</v>
      </c>
      <c r="C2688" s="85" t="s">
        <v>6461</v>
      </c>
      <c r="D2688" s="161" t="s">
        <v>6461</v>
      </c>
      <c r="E2688" s="161" t="s">
        <v>2204</v>
      </c>
      <c r="F2688" s="161" t="s">
        <v>6458</v>
      </c>
      <c r="G2688" s="163">
        <v>257.37</v>
      </c>
      <c r="H2688" s="163">
        <f t="shared" si="213"/>
        <v>18.5709</v>
      </c>
      <c r="I2688" s="174">
        <v>1047.926</v>
      </c>
      <c r="J2688" s="174">
        <v>14214.6009983475</v>
      </c>
      <c r="K2688" s="174">
        <f t="shared" si="212"/>
        <v>197168.013814261</v>
      </c>
      <c r="L2688" s="174"/>
      <c r="M2688" s="161" t="s">
        <v>6430</v>
      </c>
      <c r="N2688" s="161"/>
      <c r="O2688" s="161" t="s">
        <v>6</v>
      </c>
      <c r="P2688" s="49" t="s">
        <v>6</v>
      </c>
      <c r="Q2688" s="166"/>
      <c r="R2688" s="151"/>
    </row>
    <row r="2689" spans="1:18">
      <c r="A2689" s="166" t="s">
        <v>67</v>
      </c>
      <c r="B2689" s="166" t="s">
        <v>688</v>
      </c>
      <c r="C2689" s="85" t="s">
        <v>6462</v>
      </c>
      <c r="D2689" s="161" t="s">
        <v>6463</v>
      </c>
      <c r="E2689" s="161" t="s">
        <v>2204</v>
      </c>
      <c r="F2689" s="161" t="s">
        <v>6458</v>
      </c>
      <c r="G2689" s="163">
        <v>282.4817</v>
      </c>
      <c r="H2689" s="163">
        <f t="shared" si="213"/>
        <v>25.1117</v>
      </c>
      <c r="I2689" s="174">
        <v>974.5607</v>
      </c>
      <c r="J2689" s="174">
        <v>19102.6723838114</v>
      </c>
      <c r="K2689" s="174">
        <f t="shared" si="212"/>
        <v>216270.686198072</v>
      </c>
      <c r="L2689" s="174"/>
      <c r="M2689" s="161" t="s">
        <v>6430</v>
      </c>
      <c r="N2689" s="161" t="s">
        <v>1299</v>
      </c>
      <c r="O2689" s="161" t="s">
        <v>25</v>
      </c>
      <c r="P2689" s="49" t="s">
        <v>25</v>
      </c>
      <c r="Q2689" s="166"/>
      <c r="R2689" s="151"/>
    </row>
    <row r="2690" spans="1:18">
      <c r="A2690" s="166" t="s">
        <v>67</v>
      </c>
      <c r="B2690" s="166" t="s">
        <v>688</v>
      </c>
      <c r="C2690" s="85" t="s">
        <v>6464</v>
      </c>
      <c r="D2690" s="161" t="s">
        <v>6465</v>
      </c>
      <c r="E2690" s="161" t="s">
        <v>2204</v>
      </c>
      <c r="F2690" s="161" t="s">
        <v>6458</v>
      </c>
      <c r="G2690" s="163">
        <v>309.1694</v>
      </c>
      <c r="H2690" s="163">
        <f t="shared" si="213"/>
        <v>26.6877</v>
      </c>
      <c r="I2690" s="174">
        <v>695.788</v>
      </c>
      <c r="J2690" s="174">
        <v>20301.5508607114</v>
      </c>
      <c r="K2690" s="174">
        <f t="shared" si="212"/>
        <v>236572.237058784</v>
      </c>
      <c r="L2690" s="174"/>
      <c r="M2690" s="161" t="s">
        <v>6430</v>
      </c>
      <c r="N2690" s="161" t="s">
        <v>1299</v>
      </c>
      <c r="O2690" s="161" t="s">
        <v>25</v>
      </c>
      <c r="P2690" s="49" t="s">
        <v>25</v>
      </c>
      <c r="Q2690" s="166"/>
      <c r="R2690" s="151"/>
    </row>
    <row r="2691" spans="1:18">
      <c r="A2691" s="166" t="s">
        <v>67</v>
      </c>
      <c r="B2691" s="166" t="s">
        <v>688</v>
      </c>
      <c r="C2691" s="85" t="s">
        <v>6466</v>
      </c>
      <c r="D2691" s="161" t="s">
        <v>6467</v>
      </c>
      <c r="E2691" s="161" t="s">
        <v>2204</v>
      </c>
      <c r="F2691" s="161" t="s">
        <v>6458</v>
      </c>
      <c r="G2691" s="163">
        <v>332.4609</v>
      </c>
      <c r="H2691" s="163">
        <f t="shared" si="213"/>
        <v>23.2915</v>
      </c>
      <c r="I2691" s="174">
        <v>541.7981</v>
      </c>
      <c r="J2691" s="174">
        <v>17718.0372459429</v>
      </c>
      <c r="K2691" s="174">
        <f t="shared" si="212"/>
        <v>254290.274304727</v>
      </c>
      <c r="L2691" s="174"/>
      <c r="M2691" s="161" t="s">
        <v>6430</v>
      </c>
      <c r="N2691" s="161" t="s">
        <v>1299</v>
      </c>
      <c r="O2691" s="161" t="s">
        <v>25</v>
      </c>
      <c r="P2691" s="49" t="s">
        <v>25</v>
      </c>
      <c r="Q2691" s="166"/>
      <c r="R2691" s="151"/>
    </row>
    <row r="2692" spans="1:18">
      <c r="A2692" s="166" t="s">
        <v>67</v>
      </c>
      <c r="B2692" s="166" t="s">
        <v>688</v>
      </c>
      <c r="C2692" s="85" t="s">
        <v>6468</v>
      </c>
      <c r="D2692" s="161" t="s">
        <v>6468</v>
      </c>
      <c r="E2692" s="161" t="s">
        <v>2204</v>
      </c>
      <c r="F2692" s="161" t="s">
        <v>6458</v>
      </c>
      <c r="G2692" s="163">
        <v>354.7301</v>
      </c>
      <c r="H2692" s="163">
        <f t="shared" si="213"/>
        <v>22.2692</v>
      </c>
      <c r="I2692" s="174">
        <v>747.75816</v>
      </c>
      <c r="J2692" s="174">
        <v>16940.3675890898</v>
      </c>
      <c r="K2692" s="174">
        <f t="shared" si="212"/>
        <v>271230.641893816</v>
      </c>
      <c r="L2692" s="174"/>
      <c r="M2692" s="161" t="s">
        <v>6430</v>
      </c>
      <c r="N2692" s="161"/>
      <c r="O2692" s="161" t="s">
        <v>14</v>
      </c>
      <c r="P2692" s="49" t="s">
        <v>14</v>
      </c>
      <c r="Q2692" s="166"/>
      <c r="R2692" s="151"/>
    </row>
    <row r="2693" spans="1:18">
      <c r="A2693" s="166" t="s">
        <v>67</v>
      </c>
      <c r="B2693" s="166" t="s">
        <v>688</v>
      </c>
      <c r="C2693" s="85" t="s">
        <v>6469</v>
      </c>
      <c r="D2693" s="161" t="s">
        <v>6470</v>
      </c>
      <c r="E2693" s="161" t="s">
        <v>2204</v>
      </c>
      <c r="F2693" s="161" t="s">
        <v>6458</v>
      </c>
      <c r="G2693" s="163">
        <v>375.4369</v>
      </c>
      <c r="H2693" s="163">
        <f t="shared" si="213"/>
        <v>20.7068</v>
      </c>
      <c r="I2693" s="174">
        <v>786.6</v>
      </c>
      <c r="J2693" s="174">
        <v>15827.2478401789</v>
      </c>
      <c r="K2693" s="174">
        <f t="shared" si="212"/>
        <v>287057.889733995</v>
      </c>
      <c r="L2693" s="174"/>
      <c r="M2693" s="161" t="s">
        <v>6430</v>
      </c>
      <c r="N2693" s="161" t="s">
        <v>1299</v>
      </c>
      <c r="O2693" s="161" t="s">
        <v>25</v>
      </c>
      <c r="P2693" s="49" t="s">
        <v>25</v>
      </c>
      <c r="Q2693" s="166"/>
      <c r="R2693" s="151"/>
    </row>
    <row r="2694" spans="1:18">
      <c r="A2694" s="166" t="s">
        <v>67</v>
      </c>
      <c r="B2694" s="166" t="s">
        <v>688</v>
      </c>
      <c r="C2694" s="85" t="s">
        <v>6471</v>
      </c>
      <c r="D2694" s="161" t="s">
        <v>6472</v>
      </c>
      <c r="E2694" s="161" t="s">
        <v>2204</v>
      </c>
      <c r="F2694" s="161" t="s">
        <v>6458</v>
      </c>
      <c r="G2694" s="163">
        <v>390.4203</v>
      </c>
      <c r="H2694" s="163">
        <f t="shared" si="213"/>
        <v>14.9834</v>
      </c>
      <c r="I2694" s="174">
        <v>979</v>
      </c>
      <c r="J2694" s="174">
        <v>11452.5187283144</v>
      </c>
      <c r="K2694" s="174">
        <f t="shared" si="212"/>
        <v>298510.40846231</v>
      </c>
      <c r="L2694" s="174"/>
      <c r="M2694" s="161" t="s">
        <v>6430</v>
      </c>
      <c r="N2694" s="161" t="s">
        <v>1299</v>
      </c>
      <c r="O2694" s="161" t="s">
        <v>25</v>
      </c>
      <c r="P2694" s="49" t="s">
        <v>25</v>
      </c>
      <c r="Q2694" s="166"/>
      <c r="R2694" s="151"/>
    </row>
    <row r="2695" spans="1:18">
      <c r="A2695" s="166" t="s">
        <v>67</v>
      </c>
      <c r="B2695" s="166" t="s">
        <v>688</v>
      </c>
      <c r="C2695" s="85" t="s">
        <v>6473</v>
      </c>
      <c r="D2695" s="161" t="s">
        <v>6474</v>
      </c>
      <c r="E2695" s="161" t="s">
        <v>2204</v>
      </c>
      <c r="F2695" s="161" t="s">
        <v>6458</v>
      </c>
      <c r="G2695" s="163">
        <v>415.4632</v>
      </c>
      <c r="H2695" s="163">
        <f t="shared" si="213"/>
        <v>25.0429</v>
      </c>
      <c r="I2695" s="174">
        <v>764.9</v>
      </c>
      <c r="J2695" s="174">
        <v>19141.5080221997</v>
      </c>
      <c r="K2695" s="174">
        <f t="shared" si="212"/>
        <v>317651.916484509</v>
      </c>
      <c r="L2695" s="174"/>
      <c r="M2695" s="161" t="s">
        <v>6430</v>
      </c>
      <c r="N2695" s="161" t="s">
        <v>1299</v>
      </c>
      <c r="O2695" s="161" t="s">
        <v>25</v>
      </c>
      <c r="P2695" s="49" t="s">
        <v>25</v>
      </c>
      <c r="Q2695" s="166"/>
      <c r="R2695" s="151"/>
    </row>
    <row r="2696" spans="1:18">
      <c r="A2696" s="166" t="s">
        <v>67</v>
      </c>
      <c r="B2696" s="166" t="s">
        <v>688</v>
      </c>
      <c r="C2696" s="85" t="s">
        <v>6475</v>
      </c>
      <c r="D2696" s="161" t="s">
        <v>6476</v>
      </c>
      <c r="E2696" s="161" t="s">
        <v>2204</v>
      </c>
      <c r="F2696" s="161" t="s">
        <v>6458</v>
      </c>
      <c r="G2696" s="163">
        <v>431.0114</v>
      </c>
      <c r="H2696" s="163">
        <f t="shared" si="213"/>
        <v>15.5482</v>
      </c>
      <c r="I2696" s="174">
        <v>1111.9</v>
      </c>
      <c r="J2696" s="174">
        <v>11884.2298973893</v>
      </c>
      <c r="K2696" s="174">
        <f t="shared" si="212"/>
        <v>329536.146381899</v>
      </c>
      <c r="L2696" s="174"/>
      <c r="M2696" s="161" t="s">
        <v>6430</v>
      </c>
      <c r="N2696" s="161" t="s">
        <v>1299</v>
      </c>
      <c r="O2696" s="161" t="s">
        <v>25</v>
      </c>
      <c r="P2696" s="49" t="s">
        <v>25</v>
      </c>
      <c r="Q2696" s="166"/>
      <c r="R2696" s="151"/>
    </row>
    <row r="2697" spans="1:18">
      <c r="A2697" s="166" t="s">
        <v>67</v>
      </c>
      <c r="B2697" s="166" t="s">
        <v>688</v>
      </c>
      <c r="C2697" s="85" t="s">
        <v>6477</v>
      </c>
      <c r="D2697" s="161" t="s">
        <v>6477</v>
      </c>
      <c r="E2697" s="161" t="s">
        <v>2204</v>
      </c>
      <c r="F2697" s="161" t="s">
        <v>6458</v>
      </c>
      <c r="G2697" s="163">
        <v>448.4899</v>
      </c>
      <c r="H2697" s="163">
        <f t="shared" si="213"/>
        <v>17.4785</v>
      </c>
      <c r="I2697" s="174">
        <v>1083.1</v>
      </c>
      <c r="J2697" s="174">
        <v>13359.6455413644</v>
      </c>
      <c r="K2697" s="174">
        <f t="shared" si="212"/>
        <v>342895.791923263</v>
      </c>
      <c r="L2697" s="174"/>
      <c r="M2697" s="161" t="s">
        <v>6430</v>
      </c>
      <c r="N2697" s="161"/>
      <c r="O2697" s="161" t="s">
        <v>6</v>
      </c>
      <c r="P2697" s="49" t="s">
        <v>6</v>
      </c>
      <c r="Q2697" s="166"/>
      <c r="R2697" s="151"/>
    </row>
    <row r="2698" spans="1:18">
      <c r="A2698" s="166" t="s">
        <v>67</v>
      </c>
      <c r="B2698" s="166" t="s">
        <v>688</v>
      </c>
      <c r="C2698" s="85" t="s">
        <v>6478</v>
      </c>
      <c r="D2698" s="161" t="s">
        <v>6479</v>
      </c>
      <c r="E2698" s="161" t="s">
        <v>2204</v>
      </c>
      <c r="F2698" s="161" t="s">
        <v>6480</v>
      </c>
      <c r="G2698" s="163">
        <v>465.8917</v>
      </c>
      <c r="H2698" s="163">
        <f t="shared" si="213"/>
        <v>17.4018</v>
      </c>
      <c r="I2698" s="174">
        <v>834.1</v>
      </c>
      <c r="J2698" s="174">
        <v>13111.9387880405</v>
      </c>
      <c r="K2698" s="174">
        <f t="shared" si="212"/>
        <v>356007.730711304</v>
      </c>
      <c r="L2698" s="174"/>
      <c r="M2698" s="161" t="s">
        <v>6430</v>
      </c>
      <c r="N2698" s="161" t="s">
        <v>1299</v>
      </c>
      <c r="O2698" s="161" t="s">
        <v>25</v>
      </c>
      <c r="P2698" s="49" t="s">
        <v>25</v>
      </c>
      <c r="Q2698" s="166"/>
      <c r="R2698" s="151"/>
    </row>
    <row r="2699" spans="1:18">
      <c r="A2699" s="166" t="s">
        <v>67</v>
      </c>
      <c r="B2699" s="166" t="s">
        <v>688</v>
      </c>
      <c r="C2699" s="85" t="s">
        <v>6481</v>
      </c>
      <c r="D2699" s="161" t="s">
        <v>6482</v>
      </c>
      <c r="E2699" s="161" t="s">
        <v>2204</v>
      </c>
      <c r="F2699" s="161" t="s">
        <v>6480</v>
      </c>
      <c r="G2699" s="163">
        <v>486.985</v>
      </c>
      <c r="H2699" s="163">
        <f t="shared" si="213"/>
        <v>21.0933</v>
      </c>
      <c r="I2699" s="174">
        <v>1639.5</v>
      </c>
      <c r="J2699" s="174">
        <v>16122.6741187731</v>
      </c>
      <c r="K2699" s="174">
        <f t="shared" si="212"/>
        <v>372130.404830077</v>
      </c>
      <c r="L2699" s="174"/>
      <c r="M2699" s="161" t="s">
        <v>6430</v>
      </c>
      <c r="N2699" s="161" t="s">
        <v>1299</v>
      </c>
      <c r="O2699" s="161" t="s">
        <v>25</v>
      </c>
      <c r="P2699" s="49" t="s">
        <v>25</v>
      </c>
      <c r="Q2699" s="166"/>
      <c r="R2699" s="151"/>
    </row>
    <row r="2700" spans="1:18">
      <c r="A2700" s="166" t="s">
        <v>67</v>
      </c>
      <c r="B2700" s="166" t="s">
        <v>688</v>
      </c>
      <c r="C2700" s="85" t="s">
        <v>6483</v>
      </c>
      <c r="D2700" s="161" t="s">
        <v>6484</v>
      </c>
      <c r="E2700" s="161" t="s">
        <v>2204</v>
      </c>
      <c r="F2700" s="161" t="s">
        <v>6480</v>
      </c>
      <c r="G2700" s="163">
        <v>508.5697</v>
      </c>
      <c r="H2700" s="163">
        <f t="shared" si="213"/>
        <v>21.5847</v>
      </c>
      <c r="I2700" s="174">
        <v>293.3</v>
      </c>
      <c r="J2700" s="174">
        <v>16498.2493063938</v>
      </c>
      <c r="K2700" s="174">
        <f t="shared" si="212"/>
        <v>388628.65413647</v>
      </c>
      <c r="L2700" s="174"/>
      <c r="M2700" s="161" t="s">
        <v>6430</v>
      </c>
      <c r="N2700" s="161" t="s">
        <v>1299</v>
      </c>
      <c r="O2700" s="161" t="s">
        <v>25</v>
      </c>
      <c r="P2700" s="49" t="s">
        <v>25</v>
      </c>
      <c r="Q2700" s="166"/>
      <c r="R2700" s="151"/>
    </row>
    <row r="2701" spans="1:18">
      <c r="A2701" s="166" t="s">
        <v>67</v>
      </c>
      <c r="B2701" s="166" t="s">
        <v>688</v>
      </c>
      <c r="C2701" s="85" t="s">
        <v>6485</v>
      </c>
      <c r="D2701" s="161" t="s">
        <v>6486</v>
      </c>
      <c r="E2701" s="161" t="s">
        <v>2204</v>
      </c>
      <c r="F2701" s="161" t="s">
        <v>6480</v>
      </c>
      <c r="G2701" s="163">
        <v>534.6232</v>
      </c>
      <c r="H2701" s="163">
        <f t="shared" si="213"/>
        <v>26.0535</v>
      </c>
      <c r="I2701" s="174">
        <v>124.9</v>
      </c>
      <c r="J2701" s="174">
        <v>19913.9503133905</v>
      </c>
      <c r="K2701" s="174">
        <f t="shared" si="212"/>
        <v>408542.604449861</v>
      </c>
      <c r="L2701" s="174"/>
      <c r="M2701" s="161" t="s">
        <v>6430</v>
      </c>
      <c r="N2701" s="161" t="s">
        <v>1299</v>
      </c>
      <c r="O2701" s="161" t="s">
        <v>25</v>
      </c>
      <c r="P2701" s="49" t="s">
        <v>25</v>
      </c>
      <c r="Q2701" s="166"/>
      <c r="R2701" s="151"/>
    </row>
    <row r="2702" spans="1:18">
      <c r="A2702" s="166" t="s">
        <v>67</v>
      </c>
      <c r="B2702" s="166" t="s">
        <v>688</v>
      </c>
      <c r="C2702" s="85" t="s">
        <v>6487</v>
      </c>
      <c r="D2702" s="161" t="s">
        <v>6488</v>
      </c>
      <c r="E2702" s="161" t="s">
        <v>2204</v>
      </c>
      <c r="F2702" s="161" t="s">
        <v>6480</v>
      </c>
      <c r="G2702" s="163">
        <v>563.0675</v>
      </c>
      <c r="H2702" s="163">
        <f t="shared" si="213"/>
        <v>28.4443</v>
      </c>
      <c r="I2702" s="174">
        <v>77.8</v>
      </c>
      <c r="J2702" s="174">
        <v>21741.3968360824</v>
      </c>
      <c r="K2702" s="174">
        <f t="shared" si="212"/>
        <v>430284.001285943</v>
      </c>
      <c r="L2702" s="174"/>
      <c r="M2702" s="161" t="s">
        <v>6430</v>
      </c>
      <c r="N2702" s="161" t="s">
        <v>1299</v>
      </c>
      <c r="O2702" s="161" t="s">
        <v>25</v>
      </c>
      <c r="P2702" s="49" t="s">
        <v>25</v>
      </c>
      <c r="Q2702" s="166"/>
      <c r="R2702" s="151"/>
    </row>
    <row r="2703" spans="1:18">
      <c r="A2703" s="166" t="s">
        <v>67</v>
      </c>
      <c r="B2703" s="166" t="s">
        <v>688</v>
      </c>
      <c r="C2703" s="85" t="s">
        <v>6489</v>
      </c>
      <c r="D2703" s="161" t="s">
        <v>6489</v>
      </c>
      <c r="E2703" s="161" t="s">
        <v>2204</v>
      </c>
      <c r="F2703" s="161" t="s">
        <v>6480</v>
      </c>
      <c r="G2703" s="163">
        <v>564.4401</v>
      </c>
      <c r="H2703" s="163">
        <f t="shared" si="213"/>
        <v>1.37260000000003</v>
      </c>
      <c r="I2703" s="174"/>
      <c r="J2703" s="174"/>
      <c r="K2703" s="174">
        <f t="shared" si="212"/>
        <v>430284.001285943</v>
      </c>
      <c r="L2703" s="174"/>
      <c r="M2703" s="161" t="s">
        <v>6430</v>
      </c>
      <c r="N2703" s="161"/>
      <c r="O2703" s="161" t="s">
        <v>15</v>
      </c>
      <c r="P2703" s="49" t="s">
        <v>15</v>
      </c>
      <c r="Q2703" s="166"/>
      <c r="R2703" s="151"/>
    </row>
    <row r="2704" spans="1:18">
      <c r="A2704" s="166" t="s">
        <v>67</v>
      </c>
      <c r="B2704" s="166" t="s">
        <v>688</v>
      </c>
      <c r="C2704" s="85" t="s">
        <v>6490</v>
      </c>
      <c r="D2704" s="161" t="s">
        <v>6490</v>
      </c>
      <c r="E2704" s="161" t="s">
        <v>2204</v>
      </c>
      <c r="F2704" s="161" t="s">
        <v>6480</v>
      </c>
      <c r="G2704" s="163">
        <v>574.3127</v>
      </c>
      <c r="H2704" s="163">
        <f t="shared" si="213"/>
        <v>9.87259999999992</v>
      </c>
      <c r="I2704" s="174">
        <v>129</v>
      </c>
      <c r="J2704" s="174">
        <v>8692.61931427219</v>
      </c>
      <c r="K2704" s="174">
        <f t="shared" si="212"/>
        <v>438976.620600216</v>
      </c>
      <c r="L2704" s="174"/>
      <c r="M2704" s="161" t="s">
        <v>6430</v>
      </c>
      <c r="N2704" s="161"/>
      <c r="O2704" s="161" t="s">
        <v>6</v>
      </c>
      <c r="P2704" s="49" t="s">
        <v>6</v>
      </c>
      <c r="Q2704" s="166"/>
      <c r="R2704" s="151"/>
    </row>
    <row r="2705" spans="1:18">
      <c r="A2705" s="166" t="s">
        <v>67</v>
      </c>
      <c r="B2705" s="166" t="s">
        <v>688</v>
      </c>
      <c r="C2705" s="85" t="s">
        <v>6491</v>
      </c>
      <c r="D2705" s="161" t="s">
        <v>6492</v>
      </c>
      <c r="E2705" s="161" t="s">
        <v>2204</v>
      </c>
      <c r="F2705" s="161" t="s">
        <v>6480</v>
      </c>
      <c r="G2705" s="163">
        <v>590.5082</v>
      </c>
      <c r="H2705" s="163">
        <f t="shared" si="213"/>
        <v>16.1955</v>
      </c>
      <c r="I2705" s="174">
        <v>65.4</v>
      </c>
      <c r="J2705" s="174">
        <v>12606.1974229748</v>
      </c>
      <c r="K2705" s="174">
        <f t="shared" si="212"/>
        <v>451582.81802319</v>
      </c>
      <c r="L2705" s="174"/>
      <c r="M2705" s="161" t="s">
        <v>6430</v>
      </c>
      <c r="N2705" s="161" t="s">
        <v>1299</v>
      </c>
      <c r="O2705" s="161" t="s">
        <v>25</v>
      </c>
      <c r="P2705" s="49" t="s">
        <v>25</v>
      </c>
      <c r="Q2705" s="166"/>
      <c r="R2705" s="151"/>
    </row>
    <row r="2706" spans="1:18">
      <c r="A2706" s="166" t="s">
        <v>67</v>
      </c>
      <c r="B2706" s="166" t="s">
        <v>688</v>
      </c>
      <c r="C2706" s="85" t="s">
        <v>6493</v>
      </c>
      <c r="D2706" s="161" t="s">
        <v>6493</v>
      </c>
      <c r="E2706" s="161" t="s">
        <v>2204</v>
      </c>
      <c r="F2706" s="161" t="s">
        <v>6480</v>
      </c>
      <c r="G2706" s="163">
        <v>603.6427</v>
      </c>
      <c r="H2706" s="163">
        <f t="shared" si="213"/>
        <v>13.1345</v>
      </c>
      <c r="I2706" s="174">
        <v>66.9</v>
      </c>
      <c r="J2706" s="174">
        <v>10223.6494124738</v>
      </c>
      <c r="K2706" s="174">
        <f t="shared" ref="K2706:K2737" si="214">K2705+J2706</f>
        <v>461806.467435664</v>
      </c>
      <c r="L2706" s="174"/>
      <c r="M2706" s="161" t="s">
        <v>6430</v>
      </c>
      <c r="N2706" s="161"/>
      <c r="O2706" s="161" t="s">
        <v>14</v>
      </c>
      <c r="P2706" s="49" t="s">
        <v>14</v>
      </c>
      <c r="Q2706" s="166"/>
      <c r="R2706" s="151"/>
    </row>
    <row r="2707" spans="1:18">
      <c r="A2707" s="166" t="s">
        <v>67</v>
      </c>
      <c r="B2707" s="166" t="s">
        <v>688</v>
      </c>
      <c r="C2707" s="85" t="s">
        <v>6494</v>
      </c>
      <c r="D2707" s="161" t="s">
        <v>6495</v>
      </c>
      <c r="E2707" s="161" t="s">
        <v>2204</v>
      </c>
      <c r="F2707" s="161" t="s">
        <v>6480</v>
      </c>
      <c r="G2707" s="163">
        <v>626.359</v>
      </c>
      <c r="H2707" s="163">
        <f t="shared" si="213"/>
        <v>22.7163</v>
      </c>
      <c r="I2707" s="174">
        <v>34.8</v>
      </c>
      <c r="J2707" s="174">
        <v>17903.8483271438</v>
      </c>
      <c r="K2707" s="174">
        <f t="shared" si="214"/>
        <v>479710.315762808</v>
      </c>
      <c r="L2707" s="174"/>
      <c r="M2707" s="161" t="s">
        <v>6430</v>
      </c>
      <c r="N2707" s="161" t="s">
        <v>1901</v>
      </c>
      <c r="O2707" s="161" t="s">
        <v>25</v>
      </c>
      <c r="P2707" s="49" t="s">
        <v>25</v>
      </c>
      <c r="Q2707" s="166"/>
      <c r="R2707" s="151"/>
    </row>
    <row r="2708" spans="1:18">
      <c r="A2708" s="166" t="s">
        <v>67</v>
      </c>
      <c r="B2708" s="166" t="s">
        <v>688</v>
      </c>
      <c r="C2708" s="85" t="s">
        <v>6496</v>
      </c>
      <c r="D2708" s="161" t="s">
        <v>6496</v>
      </c>
      <c r="E2708" s="161" t="s">
        <v>2204</v>
      </c>
      <c r="F2708" s="161" t="s">
        <v>6480</v>
      </c>
      <c r="G2708" s="163">
        <v>644.4082</v>
      </c>
      <c r="H2708" s="163">
        <f t="shared" si="213"/>
        <v>18.0491999999999</v>
      </c>
      <c r="I2708" s="174">
        <v>28.2</v>
      </c>
      <c r="J2708" s="174">
        <v>17838.733007334</v>
      </c>
      <c r="K2708" s="174">
        <f t="shared" si="214"/>
        <v>497549.048770142</v>
      </c>
      <c r="L2708" s="174"/>
      <c r="M2708" s="161" t="s">
        <v>6430</v>
      </c>
      <c r="N2708" s="161"/>
      <c r="O2708" s="161" t="s">
        <v>14</v>
      </c>
      <c r="P2708" s="49" t="s">
        <v>14</v>
      </c>
      <c r="Q2708" s="166"/>
      <c r="R2708" s="151"/>
    </row>
    <row r="2709" spans="1:18">
      <c r="A2709" s="166" t="s">
        <v>67</v>
      </c>
      <c r="B2709" s="166" t="s">
        <v>688</v>
      </c>
      <c r="C2709" s="85" t="s">
        <v>6497</v>
      </c>
      <c r="D2709" s="161" t="s">
        <v>6498</v>
      </c>
      <c r="E2709" s="161" t="s">
        <v>2204</v>
      </c>
      <c r="F2709" s="161" t="s">
        <v>6480</v>
      </c>
      <c r="G2709" s="163">
        <v>648.9927</v>
      </c>
      <c r="H2709" s="163">
        <f t="shared" si="213"/>
        <v>4.58450000000005</v>
      </c>
      <c r="I2709" s="174">
        <v>28</v>
      </c>
      <c r="J2709" s="174">
        <v>4792.0038026066</v>
      </c>
      <c r="K2709" s="174">
        <f t="shared" si="214"/>
        <v>502341.052572749</v>
      </c>
      <c r="L2709" s="174"/>
      <c r="M2709" s="161" t="s">
        <v>6430</v>
      </c>
      <c r="N2709" s="161" t="s">
        <v>1901</v>
      </c>
      <c r="O2709" s="161" t="s">
        <v>26</v>
      </c>
      <c r="P2709" s="49" t="s">
        <v>26</v>
      </c>
      <c r="Q2709" s="166"/>
      <c r="R2709" s="151"/>
    </row>
    <row r="2710" spans="1:18">
      <c r="A2710" s="166" t="s">
        <v>67</v>
      </c>
      <c r="B2710" s="166" t="s">
        <v>688</v>
      </c>
      <c r="C2710" s="85" t="s">
        <v>6499</v>
      </c>
      <c r="D2710" s="161" t="s">
        <v>6500</v>
      </c>
      <c r="E2710" s="161" t="s">
        <v>2204</v>
      </c>
      <c r="F2710" s="161" t="s">
        <v>6480</v>
      </c>
      <c r="G2710" s="163">
        <v>668.3405</v>
      </c>
      <c r="H2710" s="163">
        <f t="shared" si="213"/>
        <v>19.3478</v>
      </c>
      <c r="I2710" s="174">
        <v>32</v>
      </c>
      <c r="J2710" s="174">
        <v>11534.0659349806</v>
      </c>
      <c r="K2710" s="174">
        <f t="shared" si="214"/>
        <v>513875.118507729</v>
      </c>
      <c r="L2710" s="174"/>
      <c r="M2710" s="161" t="s">
        <v>6430</v>
      </c>
      <c r="N2710" s="161" t="s">
        <v>1299</v>
      </c>
      <c r="O2710" s="161" t="s">
        <v>25</v>
      </c>
      <c r="P2710" s="49" t="s">
        <v>25</v>
      </c>
      <c r="Q2710" s="166"/>
      <c r="R2710" s="151"/>
    </row>
    <row r="2711" spans="1:18">
      <c r="A2711" s="166" t="s">
        <v>67</v>
      </c>
      <c r="B2711" s="166" t="s">
        <v>688</v>
      </c>
      <c r="C2711" s="85" t="s">
        <v>6501</v>
      </c>
      <c r="D2711" s="161" t="s">
        <v>6502</v>
      </c>
      <c r="E2711" s="161" t="s">
        <v>2204</v>
      </c>
      <c r="F2711" s="161" t="s">
        <v>6503</v>
      </c>
      <c r="G2711" s="163">
        <v>690.5184</v>
      </c>
      <c r="H2711" s="163">
        <f t="shared" si="213"/>
        <v>22.1779</v>
      </c>
      <c r="I2711" s="174">
        <v>25.1</v>
      </c>
      <c r="J2711" s="174">
        <v>16820.2583568708</v>
      </c>
      <c r="K2711" s="174">
        <f t="shared" si="214"/>
        <v>530695.3768646</v>
      </c>
      <c r="L2711" s="174"/>
      <c r="M2711" s="161" t="s">
        <v>6430</v>
      </c>
      <c r="N2711" s="161" t="s">
        <v>1901</v>
      </c>
      <c r="O2711" s="161" t="s">
        <v>25</v>
      </c>
      <c r="P2711" s="49" t="s">
        <v>25</v>
      </c>
      <c r="Q2711" s="166"/>
      <c r="R2711" s="151"/>
    </row>
    <row r="2712" spans="1:18">
      <c r="A2712" s="166" t="s">
        <v>67</v>
      </c>
      <c r="B2712" s="166" t="s">
        <v>688</v>
      </c>
      <c r="C2712" s="85" t="s">
        <v>6504</v>
      </c>
      <c r="D2712" s="161" t="s">
        <v>6505</v>
      </c>
      <c r="E2712" s="161" t="s">
        <v>2204</v>
      </c>
      <c r="F2712" s="161" t="s">
        <v>6503</v>
      </c>
      <c r="G2712" s="163">
        <v>711.205</v>
      </c>
      <c r="H2712" s="163">
        <f t="shared" si="213"/>
        <v>20.6866</v>
      </c>
      <c r="I2712" s="174">
        <v>28.9</v>
      </c>
      <c r="J2712" s="174">
        <v>15689.1867337776</v>
      </c>
      <c r="K2712" s="174">
        <f t="shared" si="214"/>
        <v>546384.563598378</v>
      </c>
      <c r="L2712" s="174"/>
      <c r="M2712" s="161" t="s">
        <v>6430</v>
      </c>
      <c r="N2712" s="161" t="s">
        <v>1901</v>
      </c>
      <c r="O2712" s="161" t="s">
        <v>25</v>
      </c>
      <c r="P2712" s="49" t="s">
        <v>25</v>
      </c>
      <c r="Q2712" s="166"/>
      <c r="R2712" s="151"/>
    </row>
    <row r="2713" spans="1:18">
      <c r="A2713" s="166" t="s">
        <v>67</v>
      </c>
      <c r="B2713" s="166" t="s">
        <v>688</v>
      </c>
      <c r="C2713" s="85" t="s">
        <v>720</v>
      </c>
      <c r="D2713" s="161" t="s">
        <v>720</v>
      </c>
      <c r="E2713" s="161" t="s">
        <v>2204</v>
      </c>
      <c r="F2713" s="161" t="s">
        <v>6503</v>
      </c>
      <c r="G2713" s="163">
        <v>723.6727</v>
      </c>
      <c r="H2713" s="163">
        <f t="shared" si="213"/>
        <v>12.4676999999999</v>
      </c>
      <c r="I2713" s="174">
        <v>32.1</v>
      </c>
      <c r="J2713" s="174">
        <v>9455.77993248258</v>
      </c>
      <c r="K2713" s="174">
        <f t="shared" si="214"/>
        <v>555840.34353086</v>
      </c>
      <c r="L2713" s="174"/>
      <c r="M2713" s="161" t="s">
        <v>6430</v>
      </c>
      <c r="N2713" s="161"/>
      <c r="O2713" s="161" t="s">
        <v>6</v>
      </c>
      <c r="P2713" s="49" t="s">
        <v>6</v>
      </c>
      <c r="Q2713" s="166"/>
      <c r="R2713" s="151"/>
    </row>
    <row r="2714" spans="1:18">
      <c r="A2714" s="166" t="s">
        <v>67</v>
      </c>
      <c r="B2714" s="166" t="s">
        <v>688</v>
      </c>
      <c r="C2714" s="85" t="s">
        <v>726</v>
      </c>
      <c r="D2714" s="161" t="s">
        <v>726</v>
      </c>
      <c r="E2714" s="161" t="s">
        <v>2204</v>
      </c>
      <c r="F2714" s="161"/>
      <c r="G2714" s="163">
        <v>723.6727</v>
      </c>
      <c r="H2714" s="163"/>
      <c r="I2714" s="174"/>
      <c r="J2714" s="174"/>
      <c r="K2714" s="174">
        <f t="shared" si="214"/>
        <v>555840.34353086</v>
      </c>
      <c r="L2714" s="174"/>
      <c r="M2714" s="161"/>
      <c r="N2714" s="161"/>
      <c r="O2714" s="161" t="s">
        <v>15</v>
      </c>
      <c r="P2714" s="49" t="s">
        <v>15</v>
      </c>
      <c r="Q2714" s="166"/>
      <c r="R2714" s="151"/>
    </row>
    <row r="2715" spans="1:18">
      <c r="A2715" s="166" t="s">
        <v>67</v>
      </c>
      <c r="B2715" s="166" t="s">
        <v>688</v>
      </c>
      <c r="C2715" s="85" t="s">
        <v>6506</v>
      </c>
      <c r="D2715" s="161" t="s">
        <v>6507</v>
      </c>
      <c r="E2715" s="161" t="s">
        <v>2204</v>
      </c>
      <c r="F2715" s="161" t="s">
        <v>6503</v>
      </c>
      <c r="G2715" s="163">
        <v>743.4795</v>
      </c>
      <c r="H2715" s="163">
        <f>G2715-G2713</f>
        <v>19.8068000000001</v>
      </c>
      <c r="I2715" s="174">
        <v>-1.256</v>
      </c>
      <c r="J2715" s="174">
        <v>14746.3048095458</v>
      </c>
      <c r="K2715" s="174">
        <f t="shared" si="214"/>
        <v>570586.648340406</v>
      </c>
      <c r="L2715" s="174"/>
      <c r="M2715" s="161" t="s">
        <v>6430</v>
      </c>
      <c r="N2715" s="161" t="s">
        <v>1901</v>
      </c>
      <c r="O2715" s="161" t="s">
        <v>25</v>
      </c>
      <c r="P2715" s="49" t="s">
        <v>25</v>
      </c>
      <c r="Q2715" s="166"/>
      <c r="R2715" s="151"/>
    </row>
    <row r="2716" spans="1:18">
      <c r="A2716" s="166" t="s">
        <v>67</v>
      </c>
      <c r="B2716" s="166" t="s">
        <v>688</v>
      </c>
      <c r="C2716" s="85" t="s">
        <v>6508</v>
      </c>
      <c r="D2716" s="161" t="s">
        <v>6509</v>
      </c>
      <c r="E2716" s="161" t="s">
        <v>2204</v>
      </c>
      <c r="F2716" s="161" t="s">
        <v>6503</v>
      </c>
      <c r="G2716" s="163">
        <v>765.0042</v>
      </c>
      <c r="H2716" s="163">
        <f>G2716-G2715</f>
        <v>21.5246999999999</v>
      </c>
      <c r="I2716" s="174">
        <v>-2.552</v>
      </c>
      <c r="J2716" s="174">
        <v>16025.3193462508</v>
      </c>
      <c r="K2716" s="174">
        <f t="shared" si="214"/>
        <v>586611.967686657</v>
      </c>
      <c r="L2716" s="174"/>
      <c r="M2716" s="161" t="s">
        <v>6430</v>
      </c>
      <c r="N2716" s="161" t="s">
        <v>1901</v>
      </c>
      <c r="O2716" s="161" t="s">
        <v>25</v>
      </c>
      <c r="P2716" s="49" t="s">
        <v>25</v>
      </c>
      <c r="Q2716" s="166"/>
      <c r="R2716" s="151"/>
    </row>
    <row r="2717" ht="30" spans="1:18">
      <c r="A2717" s="166" t="s">
        <v>67</v>
      </c>
      <c r="B2717" s="166" t="s">
        <v>688</v>
      </c>
      <c r="C2717" s="85" t="s">
        <v>6510</v>
      </c>
      <c r="D2717" s="161" t="s">
        <v>6511</v>
      </c>
      <c r="E2717" s="161" t="s">
        <v>2204</v>
      </c>
      <c r="F2717" s="161" t="s">
        <v>6503</v>
      </c>
      <c r="G2717" s="163">
        <v>783.5427</v>
      </c>
      <c r="H2717" s="163">
        <f>G2717-G2716</f>
        <v>18.5385</v>
      </c>
      <c r="I2717" s="174">
        <v>-2.914</v>
      </c>
      <c r="J2717" s="174">
        <v>13802.0963921477</v>
      </c>
      <c r="K2717" s="174">
        <f t="shared" si="214"/>
        <v>600414.064078804</v>
      </c>
      <c r="L2717" s="174" t="s">
        <v>6512</v>
      </c>
      <c r="M2717" s="161" t="s">
        <v>6430</v>
      </c>
      <c r="N2717" s="161" t="s">
        <v>1299</v>
      </c>
      <c r="O2717" s="161" t="s">
        <v>25</v>
      </c>
      <c r="P2717" s="49" t="s">
        <v>25</v>
      </c>
      <c r="Q2717" s="166"/>
      <c r="R2717" s="151"/>
    </row>
    <row r="2718" spans="1:18">
      <c r="A2718" s="166" t="s">
        <v>67</v>
      </c>
      <c r="B2718" s="166" t="s">
        <v>688</v>
      </c>
      <c r="C2718" s="85" t="s">
        <v>6513</v>
      </c>
      <c r="D2718" s="161" t="s">
        <v>6513</v>
      </c>
      <c r="E2718" s="161" t="s">
        <v>2204</v>
      </c>
      <c r="F2718" s="161" t="s">
        <v>6503</v>
      </c>
      <c r="G2718" s="163">
        <v>783.9765</v>
      </c>
      <c r="H2718" s="163">
        <f>G2718-G2717</f>
        <v>0.433800000000019</v>
      </c>
      <c r="I2718" s="174"/>
      <c r="J2718" s="174"/>
      <c r="K2718" s="174">
        <f t="shared" si="214"/>
        <v>600414.064078804</v>
      </c>
      <c r="L2718" s="174"/>
      <c r="M2718" s="161"/>
      <c r="N2718" s="161"/>
      <c r="O2718" s="161" t="s">
        <v>15</v>
      </c>
      <c r="P2718" s="49" t="s">
        <v>15</v>
      </c>
      <c r="Q2718" s="166"/>
      <c r="R2718" s="151"/>
    </row>
    <row r="2719" spans="1:18">
      <c r="A2719" s="166" t="s">
        <v>67</v>
      </c>
      <c r="B2719" s="166" t="s">
        <v>688</v>
      </c>
      <c r="C2719" s="85" t="s">
        <v>6514</v>
      </c>
      <c r="D2719" s="161" t="s">
        <v>6515</v>
      </c>
      <c r="E2719" s="161" t="s">
        <v>2204</v>
      </c>
      <c r="F2719" s="161" t="s">
        <v>6503</v>
      </c>
      <c r="G2719" s="163">
        <v>803.2229</v>
      </c>
      <c r="H2719" s="163">
        <f>G2719-G2718</f>
        <v>19.2464</v>
      </c>
      <c r="I2719" s="174">
        <v>-3.239</v>
      </c>
      <c r="J2719" s="174">
        <v>15534.7761267053</v>
      </c>
      <c r="K2719" s="174">
        <f t="shared" si="214"/>
        <v>615948.84020551</v>
      </c>
      <c r="L2719" s="174"/>
      <c r="M2719" s="161" t="s">
        <v>6430</v>
      </c>
      <c r="N2719" s="161" t="s">
        <v>1901</v>
      </c>
      <c r="O2719" s="161" t="s">
        <v>25</v>
      </c>
      <c r="P2719" s="49" t="s">
        <v>25</v>
      </c>
      <c r="Q2719" s="166"/>
      <c r="R2719" s="151"/>
    </row>
    <row r="2720" spans="1:18">
      <c r="A2720" s="166" t="s">
        <v>67</v>
      </c>
      <c r="B2720" s="166" t="s">
        <v>688</v>
      </c>
      <c r="C2720" s="85" t="s">
        <v>6516</v>
      </c>
      <c r="D2720" s="161" t="s">
        <v>6517</v>
      </c>
      <c r="E2720" s="161" t="s">
        <v>2204</v>
      </c>
      <c r="F2720" s="161" t="s">
        <v>6503</v>
      </c>
      <c r="G2720" s="163">
        <v>824.3489</v>
      </c>
      <c r="H2720" s="163">
        <f t="shared" ref="H2720:H2746" si="215">G2720-G2719</f>
        <v>21.126</v>
      </c>
      <c r="I2720" s="174">
        <v>-2.518</v>
      </c>
      <c r="J2720" s="174">
        <v>16675.9812505843</v>
      </c>
      <c r="K2720" s="174">
        <f t="shared" si="214"/>
        <v>632624.821456094</v>
      </c>
      <c r="L2720" s="174"/>
      <c r="M2720" s="161" t="s">
        <v>6430</v>
      </c>
      <c r="N2720" s="161" t="s">
        <v>1901</v>
      </c>
      <c r="O2720" s="161" t="s">
        <v>25</v>
      </c>
      <c r="P2720" s="49" t="s">
        <v>25</v>
      </c>
      <c r="Q2720" s="166"/>
      <c r="R2720" s="151"/>
    </row>
    <row r="2721" spans="1:18">
      <c r="A2721" s="166" t="s">
        <v>67</v>
      </c>
      <c r="B2721" s="166" t="s">
        <v>688</v>
      </c>
      <c r="C2721" s="85" t="s">
        <v>6518</v>
      </c>
      <c r="D2721" s="161" t="s">
        <v>6519</v>
      </c>
      <c r="E2721" s="161" t="s">
        <v>2204</v>
      </c>
      <c r="F2721" s="161" t="s">
        <v>2224</v>
      </c>
      <c r="G2721" s="163">
        <v>839.4779</v>
      </c>
      <c r="H2721" s="163">
        <f t="shared" si="215"/>
        <v>15.129</v>
      </c>
      <c r="I2721" s="174">
        <v>-2.6</v>
      </c>
      <c r="J2721" s="174">
        <v>11942.2176784202</v>
      </c>
      <c r="K2721" s="174">
        <f t="shared" si="214"/>
        <v>644567.039134514</v>
      </c>
      <c r="L2721" s="174"/>
      <c r="M2721" s="161" t="s">
        <v>6430</v>
      </c>
      <c r="N2721" s="161" t="s">
        <v>1299</v>
      </c>
      <c r="O2721" s="161" t="s">
        <v>25</v>
      </c>
      <c r="P2721" s="49" t="s">
        <v>25</v>
      </c>
      <c r="Q2721" s="166"/>
      <c r="R2721" s="151"/>
    </row>
    <row r="2722" spans="1:18">
      <c r="A2722" s="166" t="s">
        <v>67</v>
      </c>
      <c r="B2722" s="166" t="s">
        <v>688</v>
      </c>
      <c r="C2722" s="85" t="s">
        <v>6520</v>
      </c>
      <c r="D2722" s="161" t="s">
        <v>6521</v>
      </c>
      <c r="E2722" s="161" t="s">
        <v>2204</v>
      </c>
      <c r="F2722" s="161" t="s">
        <v>2224</v>
      </c>
      <c r="G2722" s="163">
        <v>849.1394</v>
      </c>
      <c r="H2722" s="163">
        <f t="shared" si="215"/>
        <v>9.66150000000005</v>
      </c>
      <c r="I2722" s="174">
        <v>-2.74</v>
      </c>
      <c r="J2722" s="174">
        <v>7626.3909098266</v>
      </c>
      <c r="K2722" s="174">
        <f t="shared" si="214"/>
        <v>652193.430044341</v>
      </c>
      <c r="L2722" s="174"/>
      <c r="M2722" s="161" t="s">
        <v>6430</v>
      </c>
      <c r="N2722" s="161" t="s">
        <v>1299</v>
      </c>
      <c r="O2722" s="161" t="s">
        <v>25</v>
      </c>
      <c r="P2722" s="49" t="s">
        <v>25</v>
      </c>
      <c r="Q2722" s="166"/>
      <c r="R2722" s="151"/>
    </row>
    <row r="2723" spans="1:18">
      <c r="A2723" s="166" t="s">
        <v>67</v>
      </c>
      <c r="B2723" s="166" t="s">
        <v>688</v>
      </c>
      <c r="C2723" s="85" t="s">
        <v>6522</v>
      </c>
      <c r="D2723" s="161" t="s">
        <v>6523</v>
      </c>
      <c r="E2723" s="161" t="s">
        <v>2204</v>
      </c>
      <c r="F2723" s="161" t="s">
        <v>2224</v>
      </c>
      <c r="G2723" s="163">
        <v>851.5361</v>
      </c>
      <c r="H2723" s="163">
        <f t="shared" si="215"/>
        <v>2.39670000000001</v>
      </c>
      <c r="I2723" s="174">
        <v>-2.697</v>
      </c>
      <c r="J2723" s="174">
        <v>1891.85891449911</v>
      </c>
      <c r="K2723" s="174">
        <f t="shared" si="214"/>
        <v>654085.28895884</v>
      </c>
      <c r="L2723" s="174"/>
      <c r="M2723" s="161" t="s">
        <v>6430</v>
      </c>
      <c r="N2723" s="161" t="s">
        <v>1901</v>
      </c>
      <c r="O2723" s="161" t="s">
        <v>25</v>
      </c>
      <c r="P2723" s="49" t="s">
        <v>25</v>
      </c>
      <c r="Q2723" s="166"/>
      <c r="R2723" s="151"/>
    </row>
    <row r="2724" spans="1:18">
      <c r="A2724" s="166" t="s">
        <v>67</v>
      </c>
      <c r="B2724" s="166" t="s">
        <v>688</v>
      </c>
      <c r="C2724" s="85" t="s">
        <v>6524</v>
      </c>
      <c r="D2724" s="161" t="s">
        <v>6524</v>
      </c>
      <c r="E2724" s="161" t="s">
        <v>2204</v>
      </c>
      <c r="F2724" s="161" t="s">
        <v>2224</v>
      </c>
      <c r="G2724" s="163">
        <v>873.3027</v>
      </c>
      <c r="H2724" s="163">
        <f t="shared" si="215"/>
        <v>21.7665999999999</v>
      </c>
      <c r="I2724" s="174">
        <v>-14.865</v>
      </c>
      <c r="J2724" s="174">
        <v>17181.6638764651</v>
      </c>
      <c r="K2724" s="174">
        <f t="shared" si="214"/>
        <v>671266.952835305</v>
      </c>
      <c r="L2724" s="174"/>
      <c r="M2724" s="161" t="s">
        <v>6430</v>
      </c>
      <c r="N2724" s="161"/>
      <c r="O2724" s="161" t="s">
        <v>14</v>
      </c>
      <c r="P2724" s="49" t="s">
        <v>14</v>
      </c>
      <c r="Q2724" s="166"/>
      <c r="R2724" s="151"/>
    </row>
    <row r="2725" spans="1:18">
      <c r="A2725" s="166" t="s">
        <v>67</v>
      </c>
      <c r="B2725" s="166" t="s">
        <v>688</v>
      </c>
      <c r="C2725" s="85" t="s">
        <v>6525</v>
      </c>
      <c r="D2725" s="161" t="s">
        <v>6526</v>
      </c>
      <c r="E2725" s="161" t="s">
        <v>2204</v>
      </c>
      <c r="F2725" s="161" t="s">
        <v>6527</v>
      </c>
      <c r="G2725" s="163">
        <v>892.2729</v>
      </c>
      <c r="H2725" s="163">
        <f t="shared" si="215"/>
        <v>18.9702000000001</v>
      </c>
      <c r="I2725" s="174">
        <v>-0.74</v>
      </c>
      <c r="J2725" s="174">
        <v>14093.1116085665</v>
      </c>
      <c r="K2725" s="174">
        <f t="shared" si="214"/>
        <v>685360.064443871</v>
      </c>
      <c r="L2725" s="174"/>
      <c r="M2725" s="161" t="s">
        <v>6430</v>
      </c>
      <c r="N2725" s="161" t="s">
        <v>1299</v>
      </c>
      <c r="O2725" s="161" t="s">
        <v>25</v>
      </c>
      <c r="P2725" s="49" t="s">
        <v>25</v>
      </c>
      <c r="Q2725" s="166"/>
      <c r="R2725" s="151"/>
    </row>
    <row r="2726" spans="1:18">
      <c r="A2726" s="166" t="s">
        <v>67</v>
      </c>
      <c r="B2726" s="166" t="s">
        <v>688</v>
      </c>
      <c r="C2726" s="85" t="s">
        <v>698</v>
      </c>
      <c r="D2726" s="161" t="s">
        <v>698</v>
      </c>
      <c r="E2726" s="161" t="s">
        <v>2204</v>
      </c>
      <c r="F2726" s="161" t="s">
        <v>6527</v>
      </c>
      <c r="G2726" s="163">
        <v>893.1464</v>
      </c>
      <c r="H2726" s="163">
        <f t="shared" si="215"/>
        <v>0.873499999999922</v>
      </c>
      <c r="I2726" s="174">
        <v>13.933</v>
      </c>
      <c r="J2726" s="174">
        <v>648.956737049719</v>
      </c>
      <c r="K2726" s="174">
        <f t="shared" si="214"/>
        <v>686009.021180921</v>
      </c>
      <c r="L2726" s="174"/>
      <c r="M2726" s="161" t="s">
        <v>6430</v>
      </c>
      <c r="N2726" s="161"/>
      <c r="O2726" s="161" t="s">
        <v>6</v>
      </c>
      <c r="P2726" s="49" t="s">
        <v>6</v>
      </c>
      <c r="Q2726" s="166"/>
      <c r="R2726" s="151"/>
    </row>
    <row r="2727" spans="1:18">
      <c r="A2727" s="166" t="s">
        <v>67</v>
      </c>
      <c r="B2727" s="166" t="s">
        <v>688</v>
      </c>
      <c r="C2727" s="85" t="s">
        <v>6528</v>
      </c>
      <c r="D2727" s="161" t="s">
        <v>6529</v>
      </c>
      <c r="E2727" s="161" t="s">
        <v>2204</v>
      </c>
      <c r="F2727" s="161" t="s">
        <v>6527</v>
      </c>
      <c r="G2727" s="163">
        <v>917.0856</v>
      </c>
      <c r="H2727" s="163">
        <f t="shared" si="215"/>
        <v>23.9392</v>
      </c>
      <c r="I2727" s="174">
        <v>5.799</v>
      </c>
      <c r="J2727" s="174">
        <v>17784.5916785667</v>
      </c>
      <c r="K2727" s="174">
        <f t="shared" si="214"/>
        <v>703793.612859488</v>
      </c>
      <c r="L2727" s="174"/>
      <c r="M2727" s="161" t="s">
        <v>6430</v>
      </c>
      <c r="N2727" s="161" t="s">
        <v>1901</v>
      </c>
      <c r="O2727" s="161" t="s">
        <v>25</v>
      </c>
      <c r="P2727" s="49" t="s">
        <v>25</v>
      </c>
      <c r="Q2727" s="166"/>
      <c r="R2727" s="151"/>
    </row>
    <row r="2728" spans="1:18">
      <c r="A2728" s="166" t="s">
        <v>67</v>
      </c>
      <c r="B2728" s="166" t="s">
        <v>688</v>
      </c>
      <c r="C2728" s="85" t="s">
        <v>6530</v>
      </c>
      <c r="D2728" s="161" t="s">
        <v>6531</v>
      </c>
      <c r="E2728" s="161" t="s">
        <v>2204</v>
      </c>
      <c r="F2728" s="161" t="s">
        <v>6527</v>
      </c>
      <c r="G2728" s="163">
        <v>938.6927</v>
      </c>
      <c r="H2728" s="163">
        <f t="shared" si="215"/>
        <v>21.6070999999999</v>
      </c>
      <c r="I2728" s="174">
        <v>6.057</v>
      </c>
      <c r="J2728" s="174">
        <v>16052.0782280527</v>
      </c>
      <c r="K2728" s="174">
        <f t="shared" si="214"/>
        <v>719845.691087541</v>
      </c>
      <c r="L2728" s="174"/>
      <c r="M2728" s="161" t="s">
        <v>6430</v>
      </c>
      <c r="N2728" s="161" t="s">
        <v>1299</v>
      </c>
      <c r="O2728" s="161" t="s">
        <v>25</v>
      </c>
      <c r="P2728" s="49" t="s">
        <v>25</v>
      </c>
      <c r="Q2728" s="166"/>
      <c r="R2728" s="151"/>
    </row>
    <row r="2729" spans="1:18">
      <c r="A2729" s="166" t="s">
        <v>67</v>
      </c>
      <c r="B2729" s="166" t="s">
        <v>688</v>
      </c>
      <c r="C2729" s="85" t="s">
        <v>6532</v>
      </c>
      <c r="D2729" s="161" t="s">
        <v>6532</v>
      </c>
      <c r="E2729" s="161" t="s">
        <v>2204</v>
      </c>
      <c r="F2729" s="161" t="s">
        <v>6527</v>
      </c>
      <c r="G2729" s="163">
        <v>957.6699</v>
      </c>
      <c r="H2729" s="163">
        <f t="shared" si="215"/>
        <v>18.9772</v>
      </c>
      <c r="I2729" s="174">
        <v>26.689</v>
      </c>
      <c r="J2729" s="174">
        <v>14006.3030235928</v>
      </c>
      <c r="K2729" s="174">
        <f t="shared" si="214"/>
        <v>733851.994111133</v>
      </c>
      <c r="L2729" s="174"/>
      <c r="M2729" s="161" t="s">
        <v>6430</v>
      </c>
      <c r="N2729" s="161"/>
      <c r="O2729" s="161" t="s">
        <v>14</v>
      </c>
      <c r="P2729" s="49" t="s">
        <v>14</v>
      </c>
      <c r="Q2729" s="166"/>
      <c r="R2729" s="151"/>
    </row>
    <row r="2730" spans="1:18">
      <c r="A2730" s="166" t="s">
        <v>67</v>
      </c>
      <c r="B2730" s="166" t="s">
        <v>688</v>
      </c>
      <c r="C2730" s="85" t="s">
        <v>6533</v>
      </c>
      <c r="D2730" s="161" t="s">
        <v>6534</v>
      </c>
      <c r="E2730" s="161" t="s">
        <v>2204</v>
      </c>
      <c r="F2730" s="161" t="s">
        <v>6527</v>
      </c>
      <c r="G2730" s="163">
        <v>980.1817</v>
      </c>
      <c r="H2730" s="163">
        <f t="shared" si="215"/>
        <v>22.5118</v>
      </c>
      <c r="I2730" s="174">
        <v>6.651</v>
      </c>
      <c r="J2730" s="174">
        <v>13103.6066618488</v>
      </c>
      <c r="K2730" s="174">
        <f t="shared" si="214"/>
        <v>746955.600772982</v>
      </c>
      <c r="L2730" s="174"/>
      <c r="M2730" s="161" t="s">
        <v>6430</v>
      </c>
      <c r="N2730" s="161" t="s">
        <v>1901</v>
      </c>
      <c r="O2730" s="161" t="s">
        <v>25</v>
      </c>
      <c r="P2730" s="49" t="s">
        <v>25</v>
      </c>
      <c r="Q2730" s="166"/>
      <c r="R2730" s="151"/>
    </row>
    <row r="2731" spans="1:18">
      <c r="A2731" s="166" t="s">
        <v>67</v>
      </c>
      <c r="B2731" s="166" t="s">
        <v>688</v>
      </c>
      <c r="C2731" s="85" t="s">
        <v>6535</v>
      </c>
      <c r="D2731" s="161" t="s">
        <v>6536</v>
      </c>
      <c r="E2731" s="161" t="s">
        <v>2204</v>
      </c>
      <c r="F2731" s="161" t="s">
        <v>6527</v>
      </c>
      <c r="G2731" s="163">
        <v>1002.6294</v>
      </c>
      <c r="H2731" s="163">
        <f t="shared" si="215"/>
        <v>22.4477000000001</v>
      </c>
      <c r="I2731" s="174">
        <v>-2.204</v>
      </c>
      <c r="J2731" s="174">
        <v>13066.3151975565</v>
      </c>
      <c r="K2731" s="174">
        <f t="shared" si="214"/>
        <v>760021.915970539</v>
      </c>
      <c r="L2731" s="174"/>
      <c r="M2731" s="161" t="s">
        <v>6430</v>
      </c>
      <c r="N2731" s="161" t="s">
        <v>1901</v>
      </c>
      <c r="O2731" s="161" t="s">
        <v>25</v>
      </c>
      <c r="P2731" s="49" t="s">
        <v>25</v>
      </c>
      <c r="Q2731" s="166"/>
      <c r="R2731" s="151"/>
    </row>
    <row r="2732" spans="1:18">
      <c r="A2732" s="166" t="s">
        <v>67</v>
      </c>
      <c r="B2732" s="166" t="s">
        <v>688</v>
      </c>
      <c r="C2732" s="85" t="s">
        <v>6537</v>
      </c>
      <c r="D2732" s="161" t="s">
        <v>6538</v>
      </c>
      <c r="E2732" s="161" t="s">
        <v>2204</v>
      </c>
      <c r="F2732" s="161" t="s">
        <v>2811</v>
      </c>
      <c r="G2732" s="163">
        <v>1005.2031</v>
      </c>
      <c r="H2732" s="163">
        <f t="shared" si="215"/>
        <v>2.57369999999992</v>
      </c>
      <c r="I2732" s="174">
        <v>-0.43</v>
      </c>
      <c r="J2732" s="174">
        <v>1498.06353071663</v>
      </c>
      <c r="K2732" s="174">
        <f t="shared" si="214"/>
        <v>761519.979501255</v>
      </c>
      <c r="L2732" s="174"/>
      <c r="M2732" s="161" t="s">
        <v>6430</v>
      </c>
      <c r="N2732" s="161" t="s">
        <v>1299</v>
      </c>
      <c r="O2732" s="161" t="s">
        <v>25</v>
      </c>
      <c r="P2732" s="49" t="s">
        <v>25</v>
      </c>
      <c r="Q2732" s="166"/>
      <c r="R2732" s="151"/>
    </row>
    <row r="2733" spans="1:18">
      <c r="A2733" s="166" t="s">
        <v>67</v>
      </c>
      <c r="B2733" s="166" t="s">
        <v>688</v>
      </c>
      <c r="C2733" s="85" t="s">
        <v>6539</v>
      </c>
      <c r="D2733" s="161" t="s">
        <v>6540</v>
      </c>
      <c r="E2733" s="161" t="s">
        <v>2204</v>
      </c>
      <c r="F2733" s="161" t="s">
        <v>2811</v>
      </c>
      <c r="G2733" s="163">
        <v>1032.5599</v>
      </c>
      <c r="H2733" s="163">
        <f t="shared" si="215"/>
        <v>27.3568</v>
      </c>
      <c r="I2733" s="174">
        <v>8.393</v>
      </c>
      <c r="J2733" s="174">
        <v>15923.7855533777</v>
      </c>
      <c r="K2733" s="174">
        <f t="shared" si="214"/>
        <v>777443.765054633</v>
      </c>
      <c r="L2733" s="174"/>
      <c r="M2733" s="161" t="s">
        <v>6430</v>
      </c>
      <c r="N2733" s="161" t="s">
        <v>1901</v>
      </c>
      <c r="O2733" s="161" t="s">
        <v>25</v>
      </c>
      <c r="P2733" s="49" t="s">
        <v>25</v>
      </c>
      <c r="Q2733" s="166"/>
      <c r="R2733" s="151"/>
    </row>
    <row r="2734" spans="1:18">
      <c r="A2734" s="166" t="s">
        <v>67</v>
      </c>
      <c r="B2734" s="166" t="s">
        <v>688</v>
      </c>
      <c r="C2734" s="85" t="s">
        <v>6541</v>
      </c>
      <c r="D2734" s="161" t="s">
        <v>6542</v>
      </c>
      <c r="E2734" s="161" t="s">
        <v>2204</v>
      </c>
      <c r="F2734" s="161" t="s">
        <v>2811</v>
      </c>
      <c r="G2734" s="163">
        <v>1049.6228</v>
      </c>
      <c r="H2734" s="163">
        <f t="shared" si="215"/>
        <v>17.0629000000001</v>
      </c>
      <c r="I2734" s="174">
        <v>4.688</v>
      </c>
      <c r="J2734" s="174">
        <v>12636.5744943985</v>
      </c>
      <c r="K2734" s="174">
        <f t="shared" si="214"/>
        <v>790080.339549032</v>
      </c>
      <c r="L2734" s="174"/>
      <c r="M2734" s="161" t="s">
        <v>6430</v>
      </c>
      <c r="N2734" s="161" t="s">
        <v>1901</v>
      </c>
      <c r="O2734" s="161" t="s">
        <v>25</v>
      </c>
      <c r="P2734" s="49" t="s">
        <v>25</v>
      </c>
      <c r="Q2734" s="166"/>
      <c r="R2734" s="151"/>
    </row>
    <row r="2735" spans="1:18">
      <c r="A2735" s="166" t="s">
        <v>67</v>
      </c>
      <c r="B2735" s="166" t="s">
        <v>688</v>
      </c>
      <c r="C2735" s="85" t="s">
        <v>701</v>
      </c>
      <c r="D2735" s="161" t="s">
        <v>701</v>
      </c>
      <c r="E2735" s="161" t="s">
        <v>2204</v>
      </c>
      <c r="F2735" s="161" t="s">
        <v>2811</v>
      </c>
      <c r="G2735" s="163">
        <v>1066.4099</v>
      </c>
      <c r="H2735" s="163">
        <f t="shared" si="215"/>
        <v>16.7871</v>
      </c>
      <c r="I2735" s="174">
        <v>20.999</v>
      </c>
      <c r="J2735" s="174">
        <v>12432.3708862998</v>
      </c>
      <c r="K2735" s="174">
        <f t="shared" si="214"/>
        <v>802512.710435331</v>
      </c>
      <c r="L2735" s="174"/>
      <c r="M2735" s="161" t="s">
        <v>6430</v>
      </c>
      <c r="N2735" s="161"/>
      <c r="O2735" s="161" t="s">
        <v>6</v>
      </c>
      <c r="P2735" s="49" t="s">
        <v>6</v>
      </c>
      <c r="Q2735" s="166"/>
      <c r="R2735" s="151"/>
    </row>
    <row r="2736" spans="1:18">
      <c r="A2736" s="166" t="s">
        <v>67</v>
      </c>
      <c r="B2736" s="166" t="s">
        <v>688</v>
      </c>
      <c r="C2736" s="85" t="s">
        <v>6543</v>
      </c>
      <c r="D2736" s="161" t="s">
        <v>6544</v>
      </c>
      <c r="E2736" s="161" t="s">
        <v>2204</v>
      </c>
      <c r="F2736" s="161" t="s">
        <v>2811</v>
      </c>
      <c r="G2736" s="163">
        <v>1081.8546</v>
      </c>
      <c r="H2736" s="163">
        <f t="shared" si="215"/>
        <v>15.4446999999998</v>
      </c>
      <c r="I2736" s="174">
        <v>8.36</v>
      </c>
      <c r="J2736" s="174">
        <v>11635.12128331</v>
      </c>
      <c r="K2736" s="174">
        <f t="shared" si="214"/>
        <v>814147.831718641</v>
      </c>
      <c r="L2736" s="174"/>
      <c r="M2736" s="161" t="s">
        <v>6430</v>
      </c>
      <c r="N2736" s="161" t="s">
        <v>1901</v>
      </c>
      <c r="O2736" s="161" t="s">
        <v>25</v>
      </c>
      <c r="P2736" s="49" t="s">
        <v>25</v>
      </c>
      <c r="Q2736" s="166"/>
      <c r="R2736" s="151"/>
    </row>
    <row r="2737" spans="1:18">
      <c r="A2737" s="166" t="s">
        <v>67</v>
      </c>
      <c r="B2737" s="166" t="s">
        <v>688</v>
      </c>
      <c r="C2737" s="85" t="s">
        <v>6545</v>
      </c>
      <c r="D2737" s="161" t="s">
        <v>6546</v>
      </c>
      <c r="E2737" s="161" t="s">
        <v>2204</v>
      </c>
      <c r="F2737" s="161" t="s">
        <v>6547</v>
      </c>
      <c r="G2737" s="163">
        <v>1097.0896</v>
      </c>
      <c r="H2737" s="163">
        <f t="shared" si="215"/>
        <v>15.2350000000001</v>
      </c>
      <c r="I2737" s="174">
        <v>-6.1</v>
      </c>
      <c r="J2737" s="174">
        <v>11477.1514418676</v>
      </c>
      <c r="K2737" s="174">
        <f t="shared" si="214"/>
        <v>825624.983160509</v>
      </c>
      <c r="L2737" s="174"/>
      <c r="M2737" s="161" t="s">
        <v>6430</v>
      </c>
      <c r="N2737" s="161" t="s">
        <v>1299</v>
      </c>
      <c r="O2737" s="161" t="s">
        <v>25</v>
      </c>
      <c r="P2737" s="49" t="s">
        <v>25</v>
      </c>
      <c r="Q2737" s="166"/>
      <c r="R2737" s="151"/>
    </row>
    <row r="2738" spans="1:18">
      <c r="A2738" s="166" t="s">
        <v>67</v>
      </c>
      <c r="B2738" s="166" t="s">
        <v>688</v>
      </c>
      <c r="C2738" s="85" t="s">
        <v>6548</v>
      </c>
      <c r="D2738" s="161" t="s">
        <v>6549</v>
      </c>
      <c r="E2738" s="161" t="s">
        <v>2204</v>
      </c>
      <c r="F2738" s="161" t="s">
        <v>6547</v>
      </c>
      <c r="G2738" s="163">
        <v>1115.4254</v>
      </c>
      <c r="H2738" s="163">
        <f t="shared" si="215"/>
        <v>18.3358000000001</v>
      </c>
      <c r="I2738" s="174">
        <v>-18.16</v>
      </c>
      <c r="J2738" s="174">
        <v>13813.139920154</v>
      </c>
      <c r="K2738" s="174">
        <f t="shared" ref="K2738:K2771" si="216">K2737+J2738</f>
        <v>839438.123080663</v>
      </c>
      <c r="L2738" s="174"/>
      <c r="M2738" s="161" t="s">
        <v>6430</v>
      </c>
      <c r="N2738" s="161" t="s">
        <v>1299</v>
      </c>
      <c r="O2738" s="161" t="s">
        <v>25</v>
      </c>
      <c r="P2738" s="49" t="s">
        <v>25</v>
      </c>
      <c r="Q2738" s="166"/>
      <c r="R2738" s="151"/>
    </row>
    <row r="2739" spans="1:18">
      <c r="A2739" s="166" t="s">
        <v>67</v>
      </c>
      <c r="B2739" s="166" t="s">
        <v>688</v>
      </c>
      <c r="C2739" s="85" t="s">
        <v>6550</v>
      </c>
      <c r="D2739" s="161" t="s">
        <v>6551</v>
      </c>
      <c r="E2739" s="161" t="s">
        <v>2204</v>
      </c>
      <c r="F2739" s="161" t="s">
        <v>6547</v>
      </c>
      <c r="G2739" s="163">
        <v>1130.8727</v>
      </c>
      <c r="H2739" s="163">
        <f t="shared" si="215"/>
        <v>15.4472999999998</v>
      </c>
      <c r="I2739" s="174">
        <v>1.82</v>
      </c>
      <c r="J2739" s="174">
        <v>11637.086458371</v>
      </c>
      <c r="K2739" s="174">
        <f t="shared" si="216"/>
        <v>851075.209539034</v>
      </c>
      <c r="L2739" s="174"/>
      <c r="M2739" s="161" t="s">
        <v>6430</v>
      </c>
      <c r="N2739" s="161" t="s">
        <v>1299</v>
      </c>
      <c r="O2739" s="161" t="s">
        <v>25</v>
      </c>
      <c r="P2739" s="49" t="s">
        <v>25</v>
      </c>
      <c r="Q2739" s="166"/>
      <c r="R2739" s="151"/>
    </row>
    <row r="2740" spans="1:18">
      <c r="A2740" s="166" t="s">
        <v>67</v>
      </c>
      <c r="B2740" s="166" t="s">
        <v>688</v>
      </c>
      <c r="C2740" s="85" t="s">
        <v>6552</v>
      </c>
      <c r="D2740" s="161" t="s">
        <v>6553</v>
      </c>
      <c r="E2740" s="161" t="s">
        <v>2204</v>
      </c>
      <c r="F2740" s="161" t="s">
        <v>6547</v>
      </c>
      <c r="G2740" s="163">
        <v>1146.4294</v>
      </c>
      <c r="H2740" s="163">
        <f t="shared" si="215"/>
        <v>15.5567000000001</v>
      </c>
      <c r="I2740" s="174">
        <v>3.66</v>
      </c>
      <c r="J2740" s="174">
        <v>11719.548227277</v>
      </c>
      <c r="K2740" s="174">
        <f t="shared" si="216"/>
        <v>862794.757766311</v>
      </c>
      <c r="L2740" s="174"/>
      <c r="M2740" s="161" t="s">
        <v>6430</v>
      </c>
      <c r="N2740" s="161" t="s">
        <v>1299</v>
      </c>
      <c r="O2740" s="161" t="s">
        <v>25</v>
      </c>
      <c r="P2740" s="49" t="s">
        <v>25</v>
      </c>
      <c r="Q2740" s="166"/>
      <c r="R2740" s="151"/>
    </row>
    <row r="2741" spans="1:18">
      <c r="A2741" s="166" t="s">
        <v>67</v>
      </c>
      <c r="B2741" s="166" t="s">
        <v>688</v>
      </c>
      <c r="C2741" s="85" t="s">
        <v>6554</v>
      </c>
      <c r="D2741" s="161" t="s">
        <v>6555</v>
      </c>
      <c r="E2741" s="161" t="s">
        <v>2204</v>
      </c>
      <c r="F2741" s="161" t="s">
        <v>6547</v>
      </c>
      <c r="G2741" s="163">
        <v>1168.5734</v>
      </c>
      <c r="H2741" s="163">
        <f t="shared" si="215"/>
        <v>22.144</v>
      </c>
      <c r="I2741" s="174">
        <v>-22.58</v>
      </c>
      <c r="J2741" s="174">
        <v>16681.9931745978</v>
      </c>
      <c r="K2741" s="174">
        <f t="shared" si="216"/>
        <v>879476.750940909</v>
      </c>
      <c r="L2741" s="174"/>
      <c r="M2741" s="161" t="s">
        <v>6430</v>
      </c>
      <c r="N2741" s="161" t="s">
        <v>1299</v>
      </c>
      <c r="O2741" s="161" t="s">
        <v>25</v>
      </c>
      <c r="P2741" s="49" t="s">
        <v>25</v>
      </c>
      <c r="Q2741" s="166"/>
      <c r="R2741" s="151"/>
    </row>
    <row r="2742" spans="1:18">
      <c r="A2742" s="166" t="s">
        <v>67</v>
      </c>
      <c r="B2742" s="166" t="s">
        <v>688</v>
      </c>
      <c r="C2742" s="85" t="s">
        <v>6556</v>
      </c>
      <c r="D2742" s="161" t="s">
        <v>6556</v>
      </c>
      <c r="E2742" s="161" t="s">
        <v>2204</v>
      </c>
      <c r="F2742" s="161" t="s">
        <v>6547</v>
      </c>
      <c r="G2742" s="163">
        <v>1179.9001</v>
      </c>
      <c r="H2742" s="163">
        <f t="shared" si="215"/>
        <v>11.3267000000001</v>
      </c>
      <c r="I2742" s="174">
        <v>-17.09</v>
      </c>
      <c r="J2742" s="174">
        <v>8411.52633931714</v>
      </c>
      <c r="K2742" s="174">
        <f t="shared" si="216"/>
        <v>887888.277280226</v>
      </c>
      <c r="L2742" s="174"/>
      <c r="M2742" s="161" t="s">
        <v>6430</v>
      </c>
      <c r="N2742" s="161"/>
      <c r="O2742" s="161" t="s">
        <v>14</v>
      </c>
      <c r="P2742" s="49" t="s">
        <v>14</v>
      </c>
      <c r="Q2742" s="166"/>
      <c r="R2742" s="151"/>
    </row>
    <row r="2743" spans="1:18">
      <c r="A2743" s="166" t="s">
        <v>67</v>
      </c>
      <c r="B2743" s="166" t="s">
        <v>688</v>
      </c>
      <c r="C2743" s="85" t="s">
        <v>6557</v>
      </c>
      <c r="D2743" s="161" t="s">
        <v>6558</v>
      </c>
      <c r="E2743" s="161" t="s">
        <v>2204</v>
      </c>
      <c r="F2743" s="161" t="s">
        <v>6547</v>
      </c>
      <c r="G2743" s="163">
        <v>1189.8557</v>
      </c>
      <c r="H2743" s="163">
        <f t="shared" si="215"/>
        <v>9.9556</v>
      </c>
      <c r="I2743" s="174">
        <v>7.2</v>
      </c>
      <c r="J2743" s="174">
        <v>7590.11075485418</v>
      </c>
      <c r="K2743" s="174">
        <f t="shared" si="216"/>
        <v>895478.38803508</v>
      </c>
      <c r="L2743" s="174"/>
      <c r="M2743" s="161" t="s">
        <v>6430</v>
      </c>
      <c r="N2743" s="161" t="s">
        <v>1299</v>
      </c>
      <c r="O2743" s="161" t="s">
        <v>25</v>
      </c>
      <c r="P2743" s="49" t="s">
        <v>25</v>
      </c>
      <c r="Q2743" s="166"/>
      <c r="R2743" s="151"/>
    </row>
    <row r="2744" spans="1:18">
      <c r="A2744" s="166" t="s">
        <v>67</v>
      </c>
      <c r="B2744" s="166" t="s">
        <v>688</v>
      </c>
      <c r="C2744" s="85" t="s">
        <v>6559</v>
      </c>
      <c r="D2744" s="161" t="s">
        <v>6560</v>
      </c>
      <c r="E2744" s="161" t="s">
        <v>2204</v>
      </c>
      <c r="F2744" s="161" t="s">
        <v>6547</v>
      </c>
      <c r="G2744" s="163">
        <v>1193.8401</v>
      </c>
      <c r="H2744" s="163">
        <f t="shared" si="215"/>
        <v>3.98439999999982</v>
      </c>
      <c r="I2744" s="174">
        <v>5</v>
      </c>
      <c r="J2744" s="174">
        <v>2930.90316717756</v>
      </c>
      <c r="K2744" s="174">
        <f t="shared" si="216"/>
        <v>898409.291202258</v>
      </c>
      <c r="L2744" s="174"/>
      <c r="M2744" s="161" t="s">
        <v>6430</v>
      </c>
      <c r="N2744" s="161" t="s">
        <v>1299</v>
      </c>
      <c r="O2744" s="161" t="s">
        <v>25</v>
      </c>
      <c r="P2744" s="49" t="s">
        <v>25</v>
      </c>
      <c r="Q2744" s="166"/>
      <c r="R2744" s="151"/>
    </row>
    <row r="2745" spans="1:18">
      <c r="A2745" s="166" t="s">
        <v>67</v>
      </c>
      <c r="B2745" s="166" t="s">
        <v>688</v>
      </c>
      <c r="C2745" s="85" t="s">
        <v>6561</v>
      </c>
      <c r="D2745" s="161" t="s">
        <v>6561</v>
      </c>
      <c r="E2745" s="161" t="s">
        <v>2204</v>
      </c>
      <c r="F2745" s="161" t="s">
        <v>6547</v>
      </c>
      <c r="G2745" s="163">
        <v>1212.2673</v>
      </c>
      <c r="H2745" s="163">
        <f t="shared" si="215"/>
        <v>18.4272000000001</v>
      </c>
      <c r="I2745" s="174">
        <v>2.8</v>
      </c>
      <c r="J2745" s="174">
        <v>13848.957868857</v>
      </c>
      <c r="K2745" s="174">
        <f t="shared" si="216"/>
        <v>912258.249071115</v>
      </c>
      <c r="L2745" s="174"/>
      <c r="M2745" s="161" t="s">
        <v>6430</v>
      </c>
      <c r="N2745" s="161"/>
      <c r="O2745" s="161" t="s">
        <v>27</v>
      </c>
      <c r="P2745" s="49" t="s">
        <v>27</v>
      </c>
      <c r="Q2745" s="166"/>
      <c r="R2745" s="151"/>
    </row>
    <row r="2746" spans="1:18">
      <c r="A2746" s="166" t="s">
        <v>67</v>
      </c>
      <c r="B2746" s="166" t="s">
        <v>688</v>
      </c>
      <c r="C2746" s="85" t="s">
        <v>6562</v>
      </c>
      <c r="D2746" s="161" t="s">
        <v>6563</v>
      </c>
      <c r="E2746" s="161" t="s">
        <v>2204</v>
      </c>
      <c r="F2746" s="161" t="s">
        <v>6547</v>
      </c>
      <c r="G2746" s="163">
        <v>1233.1799</v>
      </c>
      <c r="H2746" s="163">
        <f t="shared" si="215"/>
        <v>20.9126000000001</v>
      </c>
      <c r="I2746" s="174">
        <v>6.9</v>
      </c>
      <c r="J2746" s="174">
        <v>15943.6164372529</v>
      </c>
      <c r="K2746" s="174">
        <f t="shared" si="216"/>
        <v>928201.865508367</v>
      </c>
      <c r="L2746" s="174"/>
      <c r="M2746" s="161" t="s">
        <v>6430</v>
      </c>
      <c r="N2746" s="161" t="s">
        <v>1299</v>
      </c>
      <c r="O2746" s="161" t="s">
        <v>25</v>
      </c>
      <c r="P2746" s="49" t="s">
        <v>25</v>
      </c>
      <c r="Q2746" s="166"/>
      <c r="R2746" s="151"/>
    </row>
    <row r="2747" spans="1:18">
      <c r="A2747" s="166" t="s">
        <v>67</v>
      </c>
      <c r="B2747" s="166" t="s">
        <v>688</v>
      </c>
      <c r="C2747" s="85" t="s">
        <v>729</v>
      </c>
      <c r="D2747" s="161" t="s">
        <v>729</v>
      </c>
      <c r="E2747" s="161" t="s">
        <v>2204</v>
      </c>
      <c r="F2747" s="161"/>
      <c r="G2747" s="163">
        <v>1236.1799</v>
      </c>
      <c r="H2747" s="163"/>
      <c r="I2747" s="174"/>
      <c r="J2747" s="174"/>
      <c r="K2747" s="174">
        <f t="shared" si="216"/>
        <v>928201.865508367</v>
      </c>
      <c r="L2747" s="174"/>
      <c r="M2747" s="161"/>
      <c r="N2747" s="161"/>
      <c r="O2747" s="161" t="s">
        <v>15</v>
      </c>
      <c r="P2747" s="49" t="s">
        <v>15</v>
      </c>
      <c r="Q2747" s="166"/>
      <c r="R2747" s="151"/>
    </row>
    <row r="2748" spans="1:18">
      <c r="A2748" s="166" t="s">
        <v>67</v>
      </c>
      <c r="B2748" s="166" t="s">
        <v>688</v>
      </c>
      <c r="C2748" s="85" t="s">
        <v>6564</v>
      </c>
      <c r="D2748" s="161" t="s">
        <v>6565</v>
      </c>
      <c r="E2748" s="161" t="s">
        <v>2204</v>
      </c>
      <c r="F2748" s="161" t="s">
        <v>6547</v>
      </c>
      <c r="G2748" s="163">
        <v>1251.9949</v>
      </c>
      <c r="H2748" s="163">
        <f>G2748-G2746</f>
        <v>18.8149999999998</v>
      </c>
      <c r="I2748" s="174">
        <v>7.9</v>
      </c>
      <c r="J2748" s="174">
        <v>14221.0649126251</v>
      </c>
      <c r="K2748" s="174">
        <f t="shared" si="216"/>
        <v>942422.930420993</v>
      </c>
      <c r="L2748" s="174"/>
      <c r="M2748" s="161" t="s">
        <v>6430</v>
      </c>
      <c r="N2748" s="161" t="s">
        <v>1299</v>
      </c>
      <c r="O2748" s="161" t="s">
        <v>25</v>
      </c>
      <c r="P2748" s="49" t="s">
        <v>25</v>
      </c>
      <c r="Q2748" s="166"/>
      <c r="R2748" s="151"/>
    </row>
    <row r="2749" spans="1:18">
      <c r="A2749" s="166" t="s">
        <v>67</v>
      </c>
      <c r="B2749" s="166" t="s">
        <v>688</v>
      </c>
      <c r="C2749" s="85" t="s">
        <v>6566</v>
      </c>
      <c r="D2749" s="161" t="s">
        <v>6566</v>
      </c>
      <c r="E2749" s="161" t="s">
        <v>2204</v>
      </c>
      <c r="F2749" s="161" t="s">
        <v>6547</v>
      </c>
      <c r="G2749" s="163">
        <v>1265.4918</v>
      </c>
      <c r="H2749" s="163">
        <f t="shared" ref="H2749:H2771" si="217">G2749-G2748</f>
        <v>13.4969000000001</v>
      </c>
      <c r="I2749" s="174">
        <v>45.1</v>
      </c>
      <c r="J2749" s="174">
        <v>10289.9589540515</v>
      </c>
      <c r="K2749" s="174">
        <f t="shared" si="216"/>
        <v>952712.889375044</v>
      </c>
      <c r="L2749" s="174"/>
      <c r="M2749" s="161" t="s">
        <v>6430</v>
      </c>
      <c r="N2749" s="161"/>
      <c r="O2749" s="161" t="s">
        <v>14</v>
      </c>
      <c r="P2749" s="49" t="s">
        <v>14</v>
      </c>
      <c r="Q2749" s="166"/>
      <c r="R2749" s="151"/>
    </row>
    <row r="2750" spans="1:18">
      <c r="A2750" s="166" t="s">
        <v>67</v>
      </c>
      <c r="B2750" s="166" t="s">
        <v>688</v>
      </c>
      <c r="C2750" s="85" t="s">
        <v>6567</v>
      </c>
      <c r="D2750" s="161" t="s">
        <v>6568</v>
      </c>
      <c r="E2750" s="161" t="s">
        <v>2204</v>
      </c>
      <c r="F2750" s="161" t="s">
        <v>6547</v>
      </c>
      <c r="G2750" s="163">
        <v>1284.3934</v>
      </c>
      <c r="H2750" s="163">
        <f t="shared" si="217"/>
        <v>18.9015999999999</v>
      </c>
      <c r="I2750" s="174">
        <v>20.6</v>
      </c>
      <c r="J2750" s="174">
        <v>14524.9112105191</v>
      </c>
      <c r="K2750" s="174">
        <f t="shared" si="216"/>
        <v>967237.800585563</v>
      </c>
      <c r="L2750" s="174"/>
      <c r="M2750" s="161" t="s">
        <v>6430</v>
      </c>
      <c r="N2750" s="161" t="s">
        <v>1299</v>
      </c>
      <c r="O2750" s="161" t="s">
        <v>25</v>
      </c>
      <c r="P2750" s="49" t="s">
        <v>25</v>
      </c>
      <c r="Q2750" s="166"/>
      <c r="R2750" s="151"/>
    </row>
    <row r="2751" spans="1:18">
      <c r="A2751" s="166" t="s">
        <v>67</v>
      </c>
      <c r="B2751" s="166" t="s">
        <v>688</v>
      </c>
      <c r="C2751" s="85" t="s">
        <v>6569</v>
      </c>
      <c r="D2751" s="161" t="s">
        <v>6570</v>
      </c>
      <c r="E2751" s="161" t="s">
        <v>2204</v>
      </c>
      <c r="F2751" s="161" t="s">
        <v>6547</v>
      </c>
      <c r="G2751" s="163">
        <v>1306.6766</v>
      </c>
      <c r="H2751" s="163">
        <f t="shared" si="217"/>
        <v>22.2832000000001</v>
      </c>
      <c r="I2751" s="174">
        <v>34.4</v>
      </c>
      <c r="J2751" s="174">
        <v>17123.4773104184</v>
      </c>
      <c r="K2751" s="174">
        <f t="shared" si="216"/>
        <v>984361.277895982</v>
      </c>
      <c r="L2751" s="174"/>
      <c r="M2751" s="161" t="s">
        <v>6430</v>
      </c>
      <c r="N2751" s="161" t="s">
        <v>1299</v>
      </c>
      <c r="O2751" s="161" t="s">
        <v>25</v>
      </c>
      <c r="P2751" s="49" t="s">
        <v>25</v>
      </c>
      <c r="Q2751" s="166"/>
      <c r="R2751" s="151"/>
    </row>
    <row r="2752" spans="1:18">
      <c r="A2752" s="166" t="s">
        <v>67</v>
      </c>
      <c r="B2752" s="166" t="s">
        <v>688</v>
      </c>
      <c r="C2752" s="85" t="s">
        <v>6571</v>
      </c>
      <c r="D2752" s="161" t="s">
        <v>6572</v>
      </c>
      <c r="E2752" s="161" t="s">
        <v>2204</v>
      </c>
      <c r="F2752" s="161" t="s">
        <v>6573</v>
      </c>
      <c r="G2752" s="163">
        <v>1329.4515</v>
      </c>
      <c r="H2752" s="163">
        <f t="shared" si="217"/>
        <v>22.7748999999999</v>
      </c>
      <c r="I2752" s="174">
        <v>50.4</v>
      </c>
      <c r="J2752" s="174">
        <v>17501.3955913811</v>
      </c>
      <c r="K2752" s="174">
        <f t="shared" si="216"/>
        <v>1001862.67348736</v>
      </c>
      <c r="L2752" s="174"/>
      <c r="M2752" s="161" t="s">
        <v>6430</v>
      </c>
      <c r="N2752" s="161" t="s">
        <v>1299</v>
      </c>
      <c r="O2752" s="161" t="s">
        <v>25</v>
      </c>
      <c r="P2752" s="49" t="s">
        <v>25</v>
      </c>
      <c r="Q2752" s="166"/>
      <c r="R2752" s="151"/>
    </row>
    <row r="2753" s="152" customFormat="1" spans="1:18">
      <c r="A2753" s="166" t="s">
        <v>67</v>
      </c>
      <c r="B2753" s="166" t="s">
        <v>688</v>
      </c>
      <c r="C2753" s="85" t="s">
        <v>6574</v>
      </c>
      <c r="D2753" s="161" t="s">
        <v>6574</v>
      </c>
      <c r="E2753" s="161" t="s">
        <v>2204</v>
      </c>
      <c r="F2753" s="161" t="s">
        <v>6573</v>
      </c>
      <c r="G2753" s="163">
        <v>1343.7499</v>
      </c>
      <c r="H2753" s="163">
        <f t="shared" si="217"/>
        <v>14.2984000000001</v>
      </c>
      <c r="I2753" s="174">
        <v>7.5</v>
      </c>
      <c r="J2753" s="174">
        <v>10987.5961007085</v>
      </c>
      <c r="K2753" s="174">
        <f t="shared" si="216"/>
        <v>1012850.26958807</v>
      </c>
      <c r="L2753" s="174"/>
      <c r="M2753" s="161" t="s">
        <v>6430</v>
      </c>
      <c r="N2753" s="161"/>
      <c r="O2753" s="161" t="s">
        <v>25</v>
      </c>
      <c r="P2753" s="49" t="s">
        <v>14</v>
      </c>
      <c r="Q2753" s="166"/>
      <c r="R2753" s="151"/>
    </row>
    <row r="2754" spans="1:18">
      <c r="A2754" s="166" t="s">
        <v>67</v>
      </c>
      <c r="B2754" s="166" t="s">
        <v>688</v>
      </c>
      <c r="C2754" s="85" t="s">
        <v>6575</v>
      </c>
      <c r="D2754" s="161" t="s">
        <v>6576</v>
      </c>
      <c r="E2754" s="161" t="s">
        <v>2204</v>
      </c>
      <c r="F2754" s="161" t="s">
        <v>6573</v>
      </c>
      <c r="G2754" s="163">
        <v>1366.5189</v>
      </c>
      <c r="H2754" s="163">
        <f t="shared" si="217"/>
        <v>22.769</v>
      </c>
      <c r="I2754" s="174">
        <v>7.2</v>
      </c>
      <c r="J2754" s="174">
        <v>17496.8605720095</v>
      </c>
      <c r="K2754" s="174">
        <f t="shared" si="216"/>
        <v>1030347.13016008</v>
      </c>
      <c r="L2754" s="174"/>
      <c r="M2754" s="161" t="s">
        <v>6430</v>
      </c>
      <c r="N2754" s="161" t="s">
        <v>1299</v>
      </c>
      <c r="O2754" s="161" t="s">
        <v>25</v>
      </c>
      <c r="P2754" s="49" t="s">
        <v>25</v>
      </c>
      <c r="Q2754" s="166"/>
      <c r="R2754" s="151"/>
    </row>
    <row r="2755" spans="1:18">
      <c r="A2755" s="166" t="s">
        <v>67</v>
      </c>
      <c r="B2755" s="166" t="s">
        <v>688</v>
      </c>
      <c r="C2755" s="85" t="s">
        <v>6577</v>
      </c>
      <c r="D2755" s="161" t="s">
        <v>6577</v>
      </c>
      <c r="E2755" s="161" t="s">
        <v>2204</v>
      </c>
      <c r="F2755" s="161" t="s">
        <v>6573</v>
      </c>
      <c r="G2755" s="163">
        <v>1377.5518</v>
      </c>
      <c r="H2755" s="163">
        <f t="shared" si="217"/>
        <v>11.0328999999999</v>
      </c>
      <c r="I2755" s="174">
        <v>53</v>
      </c>
      <c r="J2755" s="174">
        <v>8357.65644886047</v>
      </c>
      <c r="K2755" s="174">
        <f t="shared" si="216"/>
        <v>1038704.78660894</v>
      </c>
      <c r="L2755" s="174"/>
      <c r="M2755" s="161" t="s">
        <v>6430</v>
      </c>
      <c r="N2755" s="161"/>
      <c r="O2755" s="161" t="s">
        <v>14</v>
      </c>
      <c r="P2755" s="49" t="s">
        <v>14</v>
      </c>
      <c r="Q2755" s="166"/>
      <c r="R2755" s="151"/>
    </row>
    <row r="2756" spans="1:18">
      <c r="A2756" s="166" t="s">
        <v>67</v>
      </c>
      <c r="B2756" s="166" t="s">
        <v>688</v>
      </c>
      <c r="C2756" s="85" t="s">
        <v>6578</v>
      </c>
      <c r="D2756" s="161" t="s">
        <v>6579</v>
      </c>
      <c r="E2756" s="161" t="s">
        <v>2204</v>
      </c>
      <c r="F2756" s="161" t="s">
        <v>6573</v>
      </c>
      <c r="G2756" s="163">
        <v>1394.372</v>
      </c>
      <c r="H2756" s="163">
        <f t="shared" si="217"/>
        <v>16.8202000000001</v>
      </c>
      <c r="I2756" s="174">
        <v>19.9</v>
      </c>
      <c r="J2756" s="174">
        <v>12997.365518868</v>
      </c>
      <c r="K2756" s="174">
        <f t="shared" si="216"/>
        <v>1051702.15212781</v>
      </c>
      <c r="L2756" s="174"/>
      <c r="M2756" s="161" t="s">
        <v>6430</v>
      </c>
      <c r="N2756" s="161" t="s">
        <v>1299</v>
      </c>
      <c r="O2756" s="161" t="s">
        <v>25</v>
      </c>
      <c r="P2756" s="49" t="s">
        <v>25</v>
      </c>
      <c r="Q2756" s="166"/>
      <c r="R2756" s="151"/>
    </row>
    <row r="2757" spans="1:18">
      <c r="A2757" s="166" t="s">
        <v>67</v>
      </c>
      <c r="B2757" s="166" t="s">
        <v>688</v>
      </c>
      <c r="C2757" s="85" t="s">
        <v>6580</v>
      </c>
      <c r="D2757" s="161" t="s">
        <v>6581</v>
      </c>
      <c r="E2757" s="161" t="s">
        <v>2204</v>
      </c>
      <c r="F2757" s="161" t="s">
        <v>6573</v>
      </c>
      <c r="G2757" s="163">
        <v>1411.6823</v>
      </c>
      <c r="H2757" s="163">
        <f t="shared" si="217"/>
        <v>17.3102999999999</v>
      </c>
      <c r="I2757" s="174">
        <v>26.5</v>
      </c>
      <c r="J2757" s="174">
        <v>13185.8292034843</v>
      </c>
      <c r="K2757" s="174">
        <f t="shared" si="216"/>
        <v>1064887.98133129</v>
      </c>
      <c r="L2757" s="174"/>
      <c r="M2757" s="161" t="s">
        <v>6430</v>
      </c>
      <c r="N2757" s="161" t="s">
        <v>1299</v>
      </c>
      <c r="O2757" s="161" t="s">
        <v>25</v>
      </c>
      <c r="P2757" s="49" t="s">
        <v>25</v>
      </c>
      <c r="Q2757" s="166"/>
      <c r="R2757" s="151"/>
    </row>
    <row r="2758" spans="1:18">
      <c r="A2758" s="166" t="s">
        <v>67</v>
      </c>
      <c r="B2758" s="166" t="s">
        <v>688</v>
      </c>
      <c r="C2758" s="85" t="s">
        <v>6582</v>
      </c>
      <c r="D2758" s="161" t="s">
        <v>6582</v>
      </c>
      <c r="E2758" s="161" t="s">
        <v>2204</v>
      </c>
      <c r="F2758" s="161" t="s">
        <v>6573</v>
      </c>
      <c r="G2758" s="163">
        <v>1430.1918</v>
      </c>
      <c r="H2758" s="163">
        <f t="shared" si="217"/>
        <v>18.5095000000001</v>
      </c>
      <c r="I2758" s="174">
        <v>45.598</v>
      </c>
      <c r="J2758" s="174">
        <v>14302.6952613131</v>
      </c>
      <c r="K2758" s="174">
        <f t="shared" si="216"/>
        <v>1079190.67659261</v>
      </c>
      <c r="L2758" s="174"/>
      <c r="M2758" s="161" t="s">
        <v>6430</v>
      </c>
      <c r="N2758" s="161"/>
      <c r="O2758" s="161" t="s">
        <v>14</v>
      </c>
      <c r="P2758" s="49" t="s">
        <v>14</v>
      </c>
      <c r="Q2758" s="166"/>
      <c r="R2758" s="151"/>
    </row>
    <row r="2759" spans="1:18">
      <c r="A2759" s="166" t="s">
        <v>67</v>
      </c>
      <c r="B2759" s="166" t="s">
        <v>688</v>
      </c>
      <c r="C2759" s="85" t="s">
        <v>6583</v>
      </c>
      <c r="D2759" s="161" t="s">
        <v>6583</v>
      </c>
      <c r="E2759" s="161" t="s">
        <v>2204</v>
      </c>
      <c r="F2759" s="161" t="s">
        <v>6573</v>
      </c>
      <c r="G2759" s="163">
        <v>1442.1237</v>
      </c>
      <c r="H2759" s="163">
        <f t="shared" si="217"/>
        <v>11.9319</v>
      </c>
      <c r="I2759" s="174">
        <v>26.972</v>
      </c>
      <c r="J2759" s="174">
        <v>9185.78075166817</v>
      </c>
      <c r="K2759" s="174">
        <f t="shared" si="216"/>
        <v>1088376.45734427</v>
      </c>
      <c r="L2759" s="174"/>
      <c r="M2759" s="161" t="s">
        <v>6430</v>
      </c>
      <c r="N2759" s="161"/>
      <c r="O2759" s="161" t="s">
        <v>27</v>
      </c>
      <c r="P2759" s="49" t="s">
        <v>27</v>
      </c>
      <c r="Q2759" s="166"/>
      <c r="R2759" s="151"/>
    </row>
    <row r="2760" spans="1:18">
      <c r="A2760" s="166" t="s">
        <v>67</v>
      </c>
      <c r="B2760" s="166" t="s">
        <v>688</v>
      </c>
      <c r="C2760" s="85" t="s">
        <v>6584</v>
      </c>
      <c r="D2760" s="161" t="s">
        <v>6585</v>
      </c>
      <c r="E2760" s="161" t="s">
        <v>2204</v>
      </c>
      <c r="F2760" s="161" t="s">
        <v>6573</v>
      </c>
      <c r="G2760" s="163">
        <v>1464.4343</v>
      </c>
      <c r="H2760" s="163">
        <f t="shared" si="217"/>
        <v>22.3105999999998</v>
      </c>
      <c r="I2760" s="174">
        <v>61.545</v>
      </c>
      <c r="J2760" s="174">
        <v>16931.5874688577</v>
      </c>
      <c r="K2760" s="174">
        <f t="shared" si="216"/>
        <v>1105308.04481313</v>
      </c>
      <c r="L2760" s="174"/>
      <c r="M2760" s="161" t="s">
        <v>6430</v>
      </c>
      <c r="N2760" s="161" t="s">
        <v>1299</v>
      </c>
      <c r="O2760" s="161" t="s">
        <v>25</v>
      </c>
      <c r="P2760" s="49" t="s">
        <v>25</v>
      </c>
      <c r="Q2760" s="166"/>
      <c r="R2760" s="151"/>
    </row>
    <row r="2761" spans="1:18">
      <c r="A2761" s="166" t="s">
        <v>67</v>
      </c>
      <c r="B2761" s="166" t="s">
        <v>688</v>
      </c>
      <c r="C2761" s="85" t="s">
        <v>6586</v>
      </c>
      <c r="D2761" s="161" t="s">
        <v>6587</v>
      </c>
      <c r="E2761" s="161" t="s">
        <v>2204</v>
      </c>
      <c r="F2761" s="161" t="s">
        <v>6588</v>
      </c>
      <c r="G2761" s="163">
        <v>1484.71</v>
      </c>
      <c r="H2761" s="163">
        <f t="shared" si="217"/>
        <v>20.2757000000001</v>
      </c>
      <c r="I2761" s="174">
        <v>24.874</v>
      </c>
      <c r="J2761" s="174">
        <v>15609.2517264981</v>
      </c>
      <c r="K2761" s="174">
        <f t="shared" si="216"/>
        <v>1120917.29653963</v>
      </c>
      <c r="L2761" s="174"/>
      <c r="M2761" s="161" t="s">
        <v>6430</v>
      </c>
      <c r="N2761" s="161" t="s">
        <v>1299</v>
      </c>
      <c r="O2761" s="161" t="s">
        <v>25</v>
      </c>
      <c r="P2761" s="49" t="s">
        <v>25</v>
      </c>
      <c r="Q2761" s="166"/>
      <c r="R2761" s="151"/>
    </row>
    <row r="2762" spans="1:18">
      <c r="A2762" s="166" t="s">
        <v>67</v>
      </c>
      <c r="B2762" s="166" t="s">
        <v>688</v>
      </c>
      <c r="C2762" s="85" t="s">
        <v>6589</v>
      </c>
      <c r="D2762" s="161" t="s">
        <v>6590</v>
      </c>
      <c r="E2762" s="161" t="s">
        <v>2204</v>
      </c>
      <c r="F2762" s="161" t="s">
        <v>6588</v>
      </c>
      <c r="G2762" s="163">
        <v>1500.3188</v>
      </c>
      <c r="H2762" s="163">
        <f t="shared" si="217"/>
        <v>15.6088</v>
      </c>
      <c r="I2762" s="174">
        <v>5.466</v>
      </c>
      <c r="J2762" s="174">
        <v>11845.5649561318</v>
      </c>
      <c r="K2762" s="174">
        <f t="shared" si="216"/>
        <v>1132762.86149576</v>
      </c>
      <c r="L2762" s="174"/>
      <c r="M2762" s="161" t="s">
        <v>6430</v>
      </c>
      <c r="N2762" s="161" t="s">
        <v>1299</v>
      </c>
      <c r="O2762" s="161" t="s">
        <v>25</v>
      </c>
      <c r="P2762" s="49" t="s">
        <v>25</v>
      </c>
      <c r="Q2762" s="166"/>
      <c r="R2762" s="151"/>
    </row>
    <row r="2763" spans="1:18">
      <c r="A2763" s="166" t="s">
        <v>67</v>
      </c>
      <c r="B2763" s="166" t="s">
        <v>688</v>
      </c>
      <c r="C2763" s="85" t="s">
        <v>6591</v>
      </c>
      <c r="D2763" s="161" t="s">
        <v>6592</v>
      </c>
      <c r="E2763" s="161" t="s">
        <v>2204</v>
      </c>
      <c r="F2763" s="161" t="s">
        <v>6588</v>
      </c>
      <c r="G2763" s="163">
        <v>1518.8012</v>
      </c>
      <c r="H2763" s="163">
        <f t="shared" si="217"/>
        <v>18.4824000000001</v>
      </c>
      <c r="I2763" s="174">
        <v>6.524</v>
      </c>
      <c r="J2763" s="174">
        <v>14026.346277021</v>
      </c>
      <c r="K2763" s="174">
        <f t="shared" si="216"/>
        <v>1146789.20777278</v>
      </c>
      <c r="L2763" s="174"/>
      <c r="M2763" s="161" t="s">
        <v>6430</v>
      </c>
      <c r="N2763" s="161" t="s">
        <v>1299</v>
      </c>
      <c r="O2763" s="161" t="s">
        <v>25</v>
      </c>
      <c r="P2763" s="49" t="s">
        <v>25</v>
      </c>
      <c r="Q2763" s="166"/>
      <c r="R2763" s="151"/>
    </row>
    <row r="2764" spans="1:18">
      <c r="A2764" s="166" t="s">
        <v>67</v>
      </c>
      <c r="B2764" s="166" t="s">
        <v>688</v>
      </c>
      <c r="C2764" s="85" t="s">
        <v>6593</v>
      </c>
      <c r="D2764" s="161" t="s">
        <v>6593</v>
      </c>
      <c r="E2764" s="161" t="s">
        <v>2204</v>
      </c>
      <c r="F2764" s="161" t="s">
        <v>6588</v>
      </c>
      <c r="G2764" s="163">
        <v>1535.6918</v>
      </c>
      <c r="H2764" s="163">
        <f t="shared" si="217"/>
        <v>16.8905999999999</v>
      </c>
      <c r="I2764" s="174">
        <v>29.046</v>
      </c>
      <c r="J2764" s="174">
        <v>12818.3255323999</v>
      </c>
      <c r="K2764" s="174">
        <f t="shared" si="216"/>
        <v>1159607.53330518</v>
      </c>
      <c r="L2764" s="174"/>
      <c r="M2764" s="161" t="s">
        <v>6430</v>
      </c>
      <c r="N2764" s="161"/>
      <c r="O2764" s="161" t="s">
        <v>14</v>
      </c>
      <c r="P2764" s="49" t="s">
        <v>14</v>
      </c>
      <c r="Q2764" s="166"/>
      <c r="R2764" s="151"/>
    </row>
    <row r="2765" spans="1:18">
      <c r="A2765" s="166" t="s">
        <v>67</v>
      </c>
      <c r="B2765" s="166" t="s">
        <v>688</v>
      </c>
      <c r="C2765" s="85" t="s">
        <v>6594</v>
      </c>
      <c r="D2765" s="161" t="s">
        <v>6595</v>
      </c>
      <c r="E2765" s="161" t="s">
        <v>2204</v>
      </c>
      <c r="F2765" s="161" t="s">
        <v>6588</v>
      </c>
      <c r="G2765" s="163">
        <v>1554.5018</v>
      </c>
      <c r="H2765" s="163">
        <f t="shared" si="217"/>
        <v>18.8099999999999</v>
      </c>
      <c r="I2765" s="174">
        <v>4.34</v>
      </c>
      <c r="J2765" s="174">
        <v>14332.7810136433</v>
      </c>
      <c r="K2765" s="174">
        <f t="shared" si="216"/>
        <v>1173940.31431883</v>
      </c>
      <c r="L2765" s="174"/>
      <c r="M2765" s="161" t="s">
        <v>6430</v>
      </c>
      <c r="N2765" s="161" t="s">
        <v>1299</v>
      </c>
      <c r="O2765" s="161" t="s">
        <v>25</v>
      </c>
      <c r="P2765" s="49" t="s">
        <v>25</v>
      </c>
      <c r="Q2765" s="166"/>
      <c r="R2765" s="151"/>
    </row>
    <row r="2766" spans="1:18">
      <c r="A2766" s="166" t="s">
        <v>67</v>
      </c>
      <c r="B2766" s="166" t="s">
        <v>688</v>
      </c>
      <c r="C2766" s="85" t="s">
        <v>6596</v>
      </c>
      <c r="D2766" s="161" t="s">
        <v>6597</v>
      </c>
      <c r="E2766" s="161" t="s">
        <v>2204</v>
      </c>
      <c r="F2766" s="161" t="s">
        <v>6588</v>
      </c>
      <c r="G2766" s="163">
        <v>1570.3763</v>
      </c>
      <c r="H2766" s="163">
        <f t="shared" si="217"/>
        <v>15.8744999999999</v>
      </c>
      <c r="I2766" s="174">
        <v>4.7</v>
      </c>
      <c r="J2766" s="174">
        <v>12064.6947059716</v>
      </c>
      <c r="K2766" s="174">
        <f t="shared" si="216"/>
        <v>1186005.0090248</v>
      </c>
      <c r="L2766" s="174"/>
      <c r="M2766" s="161" t="s">
        <v>6430</v>
      </c>
      <c r="N2766" s="161" t="s">
        <v>1299</v>
      </c>
      <c r="O2766" s="161" t="s">
        <v>25</v>
      </c>
      <c r="P2766" s="49" t="s">
        <v>25</v>
      </c>
      <c r="Q2766" s="166"/>
      <c r="R2766" s="151"/>
    </row>
    <row r="2767" spans="1:18">
      <c r="A2767" s="166" t="s">
        <v>67</v>
      </c>
      <c r="B2767" s="166" t="s">
        <v>688</v>
      </c>
      <c r="C2767" s="85" t="s">
        <v>6598</v>
      </c>
      <c r="D2767" s="161" t="s">
        <v>6599</v>
      </c>
      <c r="E2767" s="161" t="s">
        <v>2204</v>
      </c>
      <c r="F2767" s="161" t="s">
        <v>6588</v>
      </c>
      <c r="G2767" s="163">
        <v>1586.6226</v>
      </c>
      <c r="H2767" s="163">
        <f t="shared" si="217"/>
        <v>16.2463</v>
      </c>
      <c r="I2767" s="174">
        <v>5.95</v>
      </c>
      <c r="J2767" s="174">
        <v>12347.2694771431</v>
      </c>
      <c r="K2767" s="174">
        <f t="shared" si="216"/>
        <v>1198352.27850194</v>
      </c>
      <c r="L2767" s="174"/>
      <c r="M2767" s="161" t="s">
        <v>6430</v>
      </c>
      <c r="N2767" s="161" t="s">
        <v>1299</v>
      </c>
      <c r="O2767" s="161" t="s">
        <v>25</v>
      </c>
      <c r="P2767" s="49" t="s">
        <v>25</v>
      </c>
      <c r="Q2767" s="166"/>
      <c r="R2767" s="151"/>
    </row>
    <row r="2768" spans="1:18">
      <c r="A2768" s="166" t="s">
        <v>67</v>
      </c>
      <c r="B2768" s="166" t="s">
        <v>688</v>
      </c>
      <c r="C2768" s="85" t="s">
        <v>6600</v>
      </c>
      <c r="D2768" s="161" t="s">
        <v>6600</v>
      </c>
      <c r="E2768" s="161" t="s">
        <v>2204</v>
      </c>
      <c r="F2768" s="161" t="s">
        <v>6588</v>
      </c>
      <c r="G2768" s="163">
        <v>1604.8418</v>
      </c>
      <c r="H2768" s="163">
        <f t="shared" si="217"/>
        <v>18.2192</v>
      </c>
      <c r="I2768" s="174">
        <v>5.22</v>
      </c>
      <c r="J2768" s="174">
        <v>13846.6704475057</v>
      </c>
      <c r="K2768" s="174">
        <f t="shared" si="216"/>
        <v>1212198.94894945</v>
      </c>
      <c r="L2768" s="174"/>
      <c r="M2768" s="161" t="s">
        <v>6430</v>
      </c>
      <c r="N2768" s="161"/>
      <c r="O2768" s="161" t="s">
        <v>14</v>
      </c>
      <c r="P2768" s="49" t="s">
        <v>14</v>
      </c>
      <c r="Q2768" s="166"/>
      <c r="R2768" s="151"/>
    </row>
    <row r="2769" spans="1:18">
      <c r="A2769" s="166" t="s">
        <v>67</v>
      </c>
      <c r="B2769" s="166" t="s">
        <v>688</v>
      </c>
      <c r="C2769" s="85" t="s">
        <v>6601</v>
      </c>
      <c r="D2769" s="161" t="s">
        <v>6602</v>
      </c>
      <c r="E2769" s="161" t="s">
        <v>2204</v>
      </c>
      <c r="F2769" s="161" t="s">
        <v>6588</v>
      </c>
      <c r="G2769" s="163">
        <v>1620.4271</v>
      </c>
      <c r="H2769" s="163">
        <f t="shared" si="217"/>
        <v>15.5853000000002</v>
      </c>
      <c r="I2769" s="174">
        <v>6.12</v>
      </c>
      <c r="J2769" s="174">
        <v>11800.7024391983</v>
      </c>
      <c r="K2769" s="174">
        <f t="shared" si="216"/>
        <v>1223999.65138865</v>
      </c>
      <c r="L2769" s="174"/>
      <c r="M2769" s="161" t="s">
        <v>6430</v>
      </c>
      <c r="N2769" s="161" t="s">
        <v>1299</v>
      </c>
      <c r="O2769" s="161" t="s">
        <v>25</v>
      </c>
      <c r="P2769" s="49" t="s">
        <v>25</v>
      </c>
      <c r="Q2769" s="166"/>
      <c r="R2769" s="151"/>
    </row>
    <row r="2770" spans="1:18">
      <c r="A2770" s="166" t="s">
        <v>67</v>
      </c>
      <c r="B2770" s="166" t="s">
        <v>688</v>
      </c>
      <c r="C2770" s="85" t="s">
        <v>6603</v>
      </c>
      <c r="D2770" s="161" t="s">
        <v>6604</v>
      </c>
      <c r="E2770" s="161" t="s">
        <v>2204</v>
      </c>
      <c r="F2770" s="161" t="s">
        <v>6588</v>
      </c>
      <c r="G2770" s="163">
        <v>1635.8381</v>
      </c>
      <c r="H2770" s="163">
        <f t="shared" si="217"/>
        <v>15.4109999999998</v>
      </c>
      <c r="I2770" s="174">
        <v>6.95</v>
      </c>
      <c r="J2770" s="174">
        <v>11668.7547365569</v>
      </c>
      <c r="K2770" s="174">
        <f t="shared" si="216"/>
        <v>1235668.4061252</v>
      </c>
      <c r="L2770" s="174"/>
      <c r="M2770" s="161" t="s">
        <v>6430</v>
      </c>
      <c r="N2770" s="161" t="s">
        <v>1299</v>
      </c>
      <c r="O2770" s="161" t="s">
        <v>25</v>
      </c>
      <c r="P2770" s="49" t="s">
        <v>25</v>
      </c>
      <c r="Q2770" s="166"/>
      <c r="R2770" s="151"/>
    </row>
    <row r="2771" spans="1:18">
      <c r="A2771" s="166" t="s">
        <v>67</v>
      </c>
      <c r="B2771" s="166" t="s">
        <v>688</v>
      </c>
      <c r="C2771" s="85" t="s">
        <v>6605</v>
      </c>
      <c r="D2771" s="161" t="s">
        <v>6605</v>
      </c>
      <c r="E2771" s="161" t="s">
        <v>2204</v>
      </c>
      <c r="F2771" s="161" t="s">
        <v>6588</v>
      </c>
      <c r="G2771" s="163">
        <v>1647.6518</v>
      </c>
      <c r="H2771" s="163">
        <f t="shared" si="217"/>
        <v>11.8137000000002</v>
      </c>
      <c r="I2771" s="174">
        <v>9.89</v>
      </c>
      <c r="J2771" s="174">
        <v>8944.97237074816</v>
      </c>
      <c r="K2771" s="174">
        <f t="shared" si="216"/>
        <v>1244613.37849595</v>
      </c>
      <c r="L2771" s="174"/>
      <c r="M2771" s="161" t="s">
        <v>6430</v>
      </c>
      <c r="N2771" s="161"/>
      <c r="O2771" s="161" t="s">
        <v>14</v>
      </c>
      <c r="P2771" s="49" t="s">
        <v>14</v>
      </c>
      <c r="Q2771" s="166"/>
      <c r="R2771" s="151"/>
    </row>
    <row r="2772" spans="1:18">
      <c r="A2772" s="166" t="s">
        <v>67</v>
      </c>
      <c r="B2772" s="166" t="s">
        <v>692</v>
      </c>
      <c r="C2772" s="135" t="s">
        <v>689</v>
      </c>
      <c r="D2772" s="161" t="s">
        <v>689</v>
      </c>
      <c r="E2772" s="161" t="s">
        <v>2204</v>
      </c>
      <c r="F2772" s="161" t="s">
        <v>6429</v>
      </c>
      <c r="G2772" s="163">
        <v>0</v>
      </c>
      <c r="H2772" s="163">
        <v>0</v>
      </c>
      <c r="I2772" s="174">
        <v>237.72015</v>
      </c>
      <c r="J2772" s="174">
        <v>0</v>
      </c>
      <c r="K2772" s="174">
        <v>0</v>
      </c>
      <c r="L2772" s="174"/>
      <c r="M2772" s="161" t="s">
        <v>6430</v>
      </c>
      <c r="N2772" s="161"/>
      <c r="O2772" s="161"/>
      <c r="P2772" s="49"/>
      <c r="Q2772" s="166"/>
      <c r="R2772" s="151"/>
    </row>
    <row r="2773" spans="1:18">
      <c r="A2773" s="166" t="s">
        <v>67</v>
      </c>
      <c r="B2773" s="166" t="s">
        <v>692</v>
      </c>
      <c r="C2773" s="85" t="s">
        <v>6431</v>
      </c>
      <c r="D2773" s="161" t="s">
        <v>6432</v>
      </c>
      <c r="E2773" s="161" t="s">
        <v>2204</v>
      </c>
      <c r="F2773" s="161" t="s">
        <v>6429</v>
      </c>
      <c r="G2773" s="163">
        <v>21.1018</v>
      </c>
      <c r="H2773" s="163">
        <f>G2773-G2772</f>
        <v>21.1018</v>
      </c>
      <c r="I2773" s="174">
        <v>205.79152</v>
      </c>
      <c r="J2773" s="174">
        <v>4172.20563751258</v>
      </c>
      <c r="K2773" s="174">
        <v>4172.20563751258</v>
      </c>
      <c r="L2773" s="174"/>
      <c r="M2773" s="161" t="s">
        <v>6430</v>
      </c>
      <c r="N2773" s="161" t="s">
        <v>1299</v>
      </c>
      <c r="O2773" s="161" t="s">
        <v>25</v>
      </c>
      <c r="P2773" s="49" t="s">
        <v>25</v>
      </c>
      <c r="Q2773" s="166"/>
      <c r="R2773" s="151"/>
    </row>
    <row r="2774" spans="1:18">
      <c r="A2774" s="166" t="s">
        <v>67</v>
      </c>
      <c r="B2774" s="166" t="s">
        <v>692</v>
      </c>
      <c r="C2774" s="85" t="s">
        <v>6433</v>
      </c>
      <c r="D2774" s="161" t="s">
        <v>6434</v>
      </c>
      <c r="E2774" s="161" t="s">
        <v>2204</v>
      </c>
      <c r="F2774" s="161" t="s">
        <v>6429</v>
      </c>
      <c r="G2774" s="163">
        <v>39.6678</v>
      </c>
      <c r="H2774" s="163">
        <f>G2774-G2773</f>
        <v>18.566</v>
      </c>
      <c r="I2774" s="174">
        <v>274.84261</v>
      </c>
      <c r="J2774" s="174">
        <v>3670.83312641234</v>
      </c>
      <c r="K2774" s="174">
        <v>7843.03876392492</v>
      </c>
      <c r="L2774" s="174"/>
      <c r="M2774" s="161" t="s">
        <v>6430</v>
      </c>
      <c r="N2774" s="161" t="s">
        <v>1299</v>
      </c>
      <c r="O2774" s="161" t="s">
        <v>25</v>
      </c>
      <c r="P2774" s="49" t="s">
        <v>25</v>
      </c>
      <c r="Q2774" s="166"/>
      <c r="R2774" s="151"/>
    </row>
    <row r="2775" spans="1:18">
      <c r="A2775" s="166" t="s">
        <v>67</v>
      </c>
      <c r="B2775" s="166" t="s">
        <v>692</v>
      </c>
      <c r="C2775" s="85" t="s">
        <v>6606</v>
      </c>
      <c r="D2775" s="161" t="s">
        <v>6607</v>
      </c>
      <c r="E2775" s="161" t="s">
        <v>2204</v>
      </c>
      <c r="F2775" s="161" t="s">
        <v>6429</v>
      </c>
      <c r="G2775" s="163">
        <v>54.0669</v>
      </c>
      <c r="H2775" s="163">
        <f>G2775-G2774</f>
        <v>14.3991</v>
      </c>
      <c r="I2775" s="174">
        <v>353.7</v>
      </c>
      <c r="J2775" s="174">
        <v>2846.95647535357</v>
      </c>
      <c r="K2775" s="174">
        <v>10689.9952392785</v>
      </c>
      <c r="L2775" s="174"/>
      <c r="M2775" s="161" t="s">
        <v>6430</v>
      </c>
      <c r="N2775" s="161" t="s">
        <v>1299</v>
      </c>
      <c r="O2775" s="161" t="s">
        <v>27</v>
      </c>
      <c r="P2775" s="49" t="s">
        <v>25</v>
      </c>
      <c r="Q2775" s="166"/>
      <c r="R2775" s="151"/>
    </row>
    <row r="2776" spans="1:18">
      <c r="A2776" s="166" t="s">
        <v>67</v>
      </c>
      <c r="B2776" s="166" t="s">
        <v>692</v>
      </c>
      <c r="C2776" s="85" t="s">
        <v>6608</v>
      </c>
      <c r="D2776" s="161" t="s">
        <v>6608</v>
      </c>
      <c r="E2776" s="161" t="s">
        <v>2204</v>
      </c>
      <c r="F2776" s="161" t="s">
        <v>6429</v>
      </c>
      <c r="G2776" s="163">
        <v>74.56</v>
      </c>
      <c r="H2776" s="163">
        <f>G2776-G2775</f>
        <v>20.4931</v>
      </c>
      <c r="I2776" s="174">
        <v>361.3</v>
      </c>
      <c r="J2776" s="174">
        <v>4051.85212045631</v>
      </c>
      <c r="K2776" s="174">
        <v>14741.8473597348</v>
      </c>
      <c r="L2776" s="174"/>
      <c r="M2776" s="161" t="s">
        <v>6430</v>
      </c>
      <c r="N2776" s="161"/>
      <c r="O2776" s="161" t="s">
        <v>14</v>
      </c>
      <c r="P2776" s="49" t="s">
        <v>14</v>
      </c>
      <c r="Q2776" s="166"/>
      <c r="R2776" s="151"/>
    </row>
    <row r="2777" spans="1:18">
      <c r="A2777" s="166" t="s">
        <v>67</v>
      </c>
      <c r="B2777" s="166" t="s">
        <v>694</v>
      </c>
      <c r="C2777" s="135" t="s">
        <v>6441</v>
      </c>
      <c r="D2777" s="161" t="s">
        <v>6441</v>
      </c>
      <c r="E2777" s="161" t="s">
        <v>2204</v>
      </c>
      <c r="F2777" s="161" t="s">
        <v>6442</v>
      </c>
      <c r="G2777" s="163">
        <v>0</v>
      </c>
      <c r="H2777" s="163">
        <v>0</v>
      </c>
      <c r="I2777" s="174">
        <v>334.07399</v>
      </c>
      <c r="J2777" s="174">
        <v>0</v>
      </c>
      <c r="K2777" s="174">
        <v>0</v>
      </c>
      <c r="L2777" s="174"/>
      <c r="M2777" s="161" t="s">
        <v>6430</v>
      </c>
      <c r="N2777" s="161"/>
      <c r="O2777" s="161"/>
      <c r="P2777" s="49"/>
      <c r="Q2777" s="166"/>
      <c r="R2777" s="151"/>
    </row>
    <row r="2778" spans="1:18">
      <c r="A2778" s="166" t="s">
        <v>67</v>
      </c>
      <c r="B2778" s="166" t="s">
        <v>694</v>
      </c>
      <c r="C2778" s="85" t="s">
        <v>6609</v>
      </c>
      <c r="D2778" s="161" t="s">
        <v>6610</v>
      </c>
      <c r="E2778" s="161" t="s">
        <v>2204</v>
      </c>
      <c r="F2778" s="161" t="s">
        <v>6442</v>
      </c>
      <c r="G2778" s="163">
        <v>21.925</v>
      </c>
      <c r="H2778" s="163">
        <f>G2778-G2777</f>
        <v>21.925</v>
      </c>
      <c r="I2778" s="174">
        <v>456.9</v>
      </c>
      <c r="J2778" s="174">
        <v>5175.13117810252</v>
      </c>
      <c r="K2778" s="174">
        <v>5175.13117810252</v>
      </c>
      <c r="L2778" s="174"/>
      <c r="M2778" s="161" t="s">
        <v>6430</v>
      </c>
      <c r="N2778" s="161" t="s">
        <v>1299</v>
      </c>
      <c r="O2778" s="161" t="s">
        <v>25</v>
      </c>
      <c r="P2778" s="49" t="s">
        <v>25</v>
      </c>
      <c r="Q2778" s="166"/>
      <c r="R2778" s="151"/>
    </row>
    <row r="2779" spans="1:18">
      <c r="A2779" s="166" t="s">
        <v>67</v>
      </c>
      <c r="B2779" s="166" t="s">
        <v>694</v>
      </c>
      <c r="C2779" s="85" t="s">
        <v>6611</v>
      </c>
      <c r="D2779" s="161" t="s">
        <v>6612</v>
      </c>
      <c r="E2779" s="161" t="s">
        <v>2204</v>
      </c>
      <c r="F2779" s="161" t="s">
        <v>6442</v>
      </c>
      <c r="G2779" s="163">
        <v>47.118</v>
      </c>
      <c r="H2779" s="163">
        <f t="shared" ref="H2779:H2784" si="218">G2779-G2778</f>
        <v>25.193</v>
      </c>
      <c r="I2779" s="174">
        <v>404.6</v>
      </c>
      <c r="J2779" s="174">
        <v>5946.48519011154</v>
      </c>
      <c r="K2779" s="174">
        <v>11121.6163682141</v>
      </c>
      <c r="L2779" s="174"/>
      <c r="M2779" s="161" t="s">
        <v>6430</v>
      </c>
      <c r="N2779" s="161" t="s">
        <v>1299</v>
      </c>
      <c r="O2779" s="161" t="s">
        <v>25</v>
      </c>
      <c r="P2779" s="49" t="s">
        <v>25</v>
      </c>
      <c r="Q2779" s="166"/>
      <c r="R2779" s="151"/>
    </row>
    <row r="2780" spans="1:18">
      <c r="A2780" s="166" t="s">
        <v>67</v>
      </c>
      <c r="B2780" s="166" t="s">
        <v>694</v>
      </c>
      <c r="C2780" s="85" t="s">
        <v>6613</v>
      </c>
      <c r="D2780" s="161" t="s">
        <v>6614</v>
      </c>
      <c r="E2780" s="161" t="s">
        <v>2204</v>
      </c>
      <c r="F2780" s="161" t="s">
        <v>6442</v>
      </c>
      <c r="G2780" s="163">
        <v>62.7069</v>
      </c>
      <c r="H2780" s="163">
        <f t="shared" si="218"/>
        <v>15.5889</v>
      </c>
      <c r="I2780" s="174">
        <v>402.1</v>
      </c>
      <c r="J2780" s="174">
        <v>3679.56858214727</v>
      </c>
      <c r="K2780" s="174">
        <v>14801.1849503613</v>
      </c>
      <c r="L2780" s="174"/>
      <c r="M2780" s="161" t="s">
        <v>6430</v>
      </c>
      <c r="N2780" s="161" t="s">
        <v>1299</v>
      </c>
      <c r="O2780" s="161" t="s">
        <v>25</v>
      </c>
      <c r="P2780" s="49" t="s">
        <v>25</v>
      </c>
      <c r="Q2780" s="166"/>
      <c r="R2780" s="151"/>
    </row>
    <row r="2781" spans="1:18">
      <c r="A2781" s="166" t="s">
        <v>67</v>
      </c>
      <c r="B2781" s="166" t="s">
        <v>694</v>
      </c>
      <c r="C2781" s="85" t="s">
        <v>6615</v>
      </c>
      <c r="D2781" s="161" t="s">
        <v>6616</v>
      </c>
      <c r="E2781" s="161" t="s">
        <v>2204</v>
      </c>
      <c r="F2781" s="161" t="s">
        <v>6442</v>
      </c>
      <c r="G2781" s="163">
        <v>83.0701</v>
      </c>
      <c r="H2781" s="163">
        <f t="shared" si="218"/>
        <v>20.3632</v>
      </c>
      <c r="I2781" s="174">
        <v>398.6</v>
      </c>
      <c r="J2781" s="174">
        <v>4806.46952483551</v>
      </c>
      <c r="K2781" s="174">
        <v>19607.6544751968</v>
      </c>
      <c r="L2781" s="174"/>
      <c r="M2781" s="161" t="s">
        <v>6430</v>
      </c>
      <c r="N2781" s="161" t="s">
        <v>1299</v>
      </c>
      <c r="O2781" s="161" t="s">
        <v>25</v>
      </c>
      <c r="P2781" s="49" t="s">
        <v>25</v>
      </c>
      <c r="Q2781" s="166"/>
      <c r="R2781" s="151"/>
    </row>
    <row r="2782" spans="1:18">
      <c r="A2782" s="166" t="s">
        <v>67</v>
      </c>
      <c r="B2782" s="166" t="s">
        <v>694</v>
      </c>
      <c r="C2782" s="85" t="s">
        <v>6617</v>
      </c>
      <c r="D2782" s="161" t="s">
        <v>6618</v>
      </c>
      <c r="E2782" s="161" t="s">
        <v>2204</v>
      </c>
      <c r="F2782" s="161" t="s">
        <v>6442</v>
      </c>
      <c r="G2782" s="163">
        <v>105.4271</v>
      </c>
      <c r="H2782" s="163">
        <f t="shared" si="218"/>
        <v>22.357</v>
      </c>
      <c r="I2782" s="174">
        <v>409.6</v>
      </c>
      <c r="J2782" s="174">
        <v>5277.08643437443</v>
      </c>
      <c r="K2782" s="174">
        <v>24884.7409095713</v>
      </c>
      <c r="L2782" s="174"/>
      <c r="M2782" s="161" t="s">
        <v>6430</v>
      </c>
      <c r="N2782" s="161" t="s">
        <v>1299</v>
      </c>
      <c r="O2782" s="161" t="s">
        <v>25</v>
      </c>
      <c r="P2782" s="49" t="s">
        <v>25</v>
      </c>
      <c r="Q2782" s="166"/>
      <c r="R2782" s="151"/>
    </row>
    <row r="2783" spans="1:18">
      <c r="A2783" s="166" t="s">
        <v>67</v>
      </c>
      <c r="B2783" s="166" t="s">
        <v>694</v>
      </c>
      <c r="C2783" s="85" t="s">
        <v>6619</v>
      </c>
      <c r="D2783" s="161" t="s">
        <v>6620</v>
      </c>
      <c r="E2783" s="161" t="s">
        <v>2204</v>
      </c>
      <c r="F2783" s="161" t="s">
        <v>6442</v>
      </c>
      <c r="G2783" s="163">
        <v>129.4767</v>
      </c>
      <c r="H2783" s="163">
        <f t="shared" si="218"/>
        <v>24.0496</v>
      </c>
      <c r="I2783" s="174">
        <v>351.4</v>
      </c>
      <c r="J2783" s="174">
        <v>5676.60808378315</v>
      </c>
      <c r="K2783" s="174">
        <v>30561.3489933544</v>
      </c>
      <c r="L2783" s="174"/>
      <c r="M2783" s="161" t="s">
        <v>6430</v>
      </c>
      <c r="N2783" s="161" t="s">
        <v>1299</v>
      </c>
      <c r="O2783" s="161" t="s">
        <v>25</v>
      </c>
      <c r="P2783" s="49" t="s">
        <v>25</v>
      </c>
      <c r="Q2783" s="166"/>
      <c r="R2783" s="151"/>
    </row>
    <row r="2784" spans="1:18">
      <c r="A2784" s="166" t="s">
        <v>67</v>
      </c>
      <c r="B2784" s="166" t="s">
        <v>694</v>
      </c>
      <c r="C2784" s="85" t="s">
        <v>6621</v>
      </c>
      <c r="D2784" s="161" t="s">
        <v>6621</v>
      </c>
      <c r="E2784" s="161" t="s">
        <v>2204</v>
      </c>
      <c r="F2784" s="161" t="s">
        <v>6442</v>
      </c>
      <c r="G2784" s="163">
        <v>150.4308</v>
      </c>
      <c r="H2784" s="163">
        <f t="shared" si="218"/>
        <v>20.9541</v>
      </c>
      <c r="I2784" s="174">
        <v>281.4</v>
      </c>
      <c r="J2784" s="174">
        <v>4945.94322053426</v>
      </c>
      <c r="K2784" s="174">
        <v>35507.2922138887</v>
      </c>
      <c r="L2784" s="174"/>
      <c r="M2784" s="161" t="s">
        <v>6430</v>
      </c>
      <c r="N2784" s="161"/>
      <c r="O2784" s="161" t="s">
        <v>14</v>
      </c>
      <c r="P2784" s="49" t="s">
        <v>14</v>
      </c>
      <c r="Q2784" s="166"/>
      <c r="R2784" s="151"/>
    </row>
    <row r="2785" spans="1:18">
      <c r="A2785" s="166" t="s">
        <v>67</v>
      </c>
      <c r="B2785" s="166" t="s">
        <v>697</v>
      </c>
      <c r="C2785" s="135" t="s">
        <v>6524</v>
      </c>
      <c r="D2785" s="161" t="s">
        <v>6524</v>
      </c>
      <c r="E2785" s="161" t="s">
        <v>2204</v>
      </c>
      <c r="F2785" s="161" t="s">
        <v>2224</v>
      </c>
      <c r="G2785" s="163">
        <v>0</v>
      </c>
      <c r="H2785" s="163">
        <v>0</v>
      </c>
      <c r="I2785" s="174">
        <v>-14.865</v>
      </c>
      <c r="J2785" s="174">
        <v>0</v>
      </c>
      <c r="K2785" s="174">
        <v>0</v>
      </c>
      <c r="L2785" s="174"/>
      <c r="M2785" s="161" t="s">
        <v>6430</v>
      </c>
      <c r="N2785" s="161"/>
      <c r="O2785" s="161"/>
      <c r="P2785" s="49"/>
      <c r="Q2785" s="166"/>
      <c r="R2785" s="151"/>
    </row>
    <row r="2786" spans="1:18">
      <c r="A2786" s="166" t="s">
        <v>67</v>
      </c>
      <c r="B2786" s="166" t="s">
        <v>697</v>
      </c>
      <c r="C2786" s="85" t="s">
        <v>6622</v>
      </c>
      <c r="D2786" s="161" t="s">
        <v>6623</v>
      </c>
      <c r="E2786" s="161" t="s">
        <v>2204</v>
      </c>
      <c r="F2786" s="161" t="s">
        <v>2224</v>
      </c>
      <c r="G2786" s="163">
        <v>7.27</v>
      </c>
      <c r="H2786" s="163">
        <f>G2786-G2785</f>
        <v>7.27</v>
      </c>
      <c r="I2786" s="174">
        <v>27.9</v>
      </c>
      <c r="J2786" s="174">
        <v>868.467370945506</v>
      </c>
      <c r="K2786" s="174">
        <v>868.467370945506</v>
      </c>
      <c r="L2786" s="174"/>
      <c r="M2786" s="161" t="s">
        <v>6430</v>
      </c>
      <c r="N2786" s="161" t="s">
        <v>1299</v>
      </c>
      <c r="O2786" s="161" t="s">
        <v>25</v>
      </c>
      <c r="P2786" s="49" t="s">
        <v>25</v>
      </c>
      <c r="Q2786" s="166"/>
      <c r="R2786" s="151"/>
    </row>
    <row r="2787" spans="1:18">
      <c r="A2787" s="166" t="s">
        <v>67</v>
      </c>
      <c r="B2787" s="166" t="s">
        <v>697</v>
      </c>
      <c r="C2787" s="85" t="s">
        <v>6624</v>
      </c>
      <c r="D2787" s="161" t="s">
        <v>6624</v>
      </c>
      <c r="E2787" s="161" t="s">
        <v>2204</v>
      </c>
      <c r="F2787" s="161" t="s">
        <v>2224</v>
      </c>
      <c r="G2787" s="163">
        <v>14.99</v>
      </c>
      <c r="H2787" s="163">
        <f t="shared" ref="H2787:H2796" si="219">G2787-G2786</f>
        <v>7.72</v>
      </c>
      <c r="I2787" s="174">
        <v>56.7</v>
      </c>
      <c r="J2787" s="174">
        <v>922.223948239245</v>
      </c>
      <c r="K2787" s="174">
        <v>1790.69131918475</v>
      </c>
      <c r="L2787" s="174"/>
      <c r="M2787" s="161" t="s">
        <v>6430</v>
      </c>
      <c r="N2787" s="161"/>
      <c r="O2787" s="161" t="s">
        <v>27</v>
      </c>
      <c r="P2787" s="49" t="s">
        <v>27</v>
      </c>
      <c r="Q2787" s="166"/>
      <c r="R2787" s="151"/>
    </row>
    <row r="2788" spans="1:18">
      <c r="A2788" s="166" t="s">
        <v>67</v>
      </c>
      <c r="B2788" s="166" t="s">
        <v>697</v>
      </c>
      <c r="C2788" s="85" t="s">
        <v>6625</v>
      </c>
      <c r="D2788" s="161" t="s">
        <v>6625</v>
      </c>
      <c r="E2788" s="161" t="s">
        <v>2204</v>
      </c>
      <c r="F2788" s="161" t="s">
        <v>2224</v>
      </c>
      <c r="G2788" s="163">
        <v>23.32</v>
      </c>
      <c r="H2788" s="163">
        <f t="shared" si="219"/>
        <v>8.33</v>
      </c>
      <c r="I2788" s="174">
        <v>32.7</v>
      </c>
      <c r="J2788" s="174">
        <v>995.093975237423</v>
      </c>
      <c r="K2788" s="174">
        <v>2785.78529442217</v>
      </c>
      <c r="L2788" s="174"/>
      <c r="M2788" s="161" t="s">
        <v>6430</v>
      </c>
      <c r="N2788" s="161"/>
      <c r="O2788" s="161" t="s">
        <v>14</v>
      </c>
      <c r="P2788" s="49" t="s">
        <v>14</v>
      </c>
      <c r="Q2788" s="166"/>
      <c r="R2788" s="151"/>
    </row>
    <row r="2789" spans="1:18">
      <c r="A2789" s="166" t="s">
        <v>67</v>
      </c>
      <c r="B2789" s="166" t="s">
        <v>697</v>
      </c>
      <c r="C2789" s="85" t="s">
        <v>6626</v>
      </c>
      <c r="D2789" s="161" t="s">
        <v>6627</v>
      </c>
      <c r="E2789" s="161" t="s">
        <v>2204</v>
      </c>
      <c r="F2789" s="161" t="s">
        <v>2224</v>
      </c>
      <c r="G2789" s="163">
        <v>31.08</v>
      </c>
      <c r="H2789" s="163">
        <f t="shared" si="219"/>
        <v>7.76</v>
      </c>
      <c r="I2789" s="174">
        <v>21.8</v>
      </c>
      <c r="J2789" s="174">
        <v>927.002310665355</v>
      </c>
      <c r="K2789" s="174">
        <v>3712.78760508753</v>
      </c>
      <c r="L2789" s="174"/>
      <c r="M2789" s="161" t="s">
        <v>6430</v>
      </c>
      <c r="N2789" s="161" t="s">
        <v>1901</v>
      </c>
      <c r="O2789" s="161" t="s">
        <v>25</v>
      </c>
      <c r="P2789" s="49" t="s">
        <v>25</v>
      </c>
      <c r="Q2789" s="166"/>
      <c r="R2789" s="151"/>
    </row>
    <row r="2790" spans="1:18">
      <c r="A2790" s="166" t="s">
        <v>67</v>
      </c>
      <c r="B2790" s="166" t="s">
        <v>697</v>
      </c>
      <c r="C2790" s="85" t="s">
        <v>6628</v>
      </c>
      <c r="D2790" s="161" t="s">
        <v>6628</v>
      </c>
      <c r="E2790" s="161" t="s">
        <v>2204</v>
      </c>
      <c r="F2790" s="161" t="s">
        <v>2224</v>
      </c>
      <c r="G2790" s="163">
        <v>38.5</v>
      </c>
      <c r="H2790" s="163">
        <f t="shared" si="219"/>
        <v>7.42</v>
      </c>
      <c r="I2790" s="174">
        <v>34.9</v>
      </c>
      <c r="J2790" s="174">
        <v>886.386230043419</v>
      </c>
      <c r="K2790" s="174">
        <v>4599.17383513095</v>
      </c>
      <c r="L2790" s="174"/>
      <c r="M2790" s="161" t="s">
        <v>6430</v>
      </c>
      <c r="N2790" s="161"/>
      <c r="O2790" s="161" t="s">
        <v>27</v>
      </c>
      <c r="P2790" s="49" t="s">
        <v>27</v>
      </c>
      <c r="Q2790" s="166"/>
      <c r="R2790" s="151"/>
    </row>
    <row r="2791" spans="1:18">
      <c r="A2791" s="166" t="s">
        <v>67</v>
      </c>
      <c r="B2791" s="166" t="s">
        <v>697</v>
      </c>
      <c r="C2791" s="85" t="s">
        <v>6629</v>
      </c>
      <c r="D2791" s="161" t="s">
        <v>6630</v>
      </c>
      <c r="E2791" s="161" t="s">
        <v>2204</v>
      </c>
      <c r="F2791" s="161" t="s">
        <v>2224</v>
      </c>
      <c r="G2791" s="163">
        <v>46.22</v>
      </c>
      <c r="H2791" s="163">
        <f t="shared" si="219"/>
        <v>7.72</v>
      </c>
      <c r="I2791" s="174">
        <v>28.9</v>
      </c>
      <c r="J2791" s="174">
        <v>922.223948239245</v>
      </c>
      <c r="K2791" s="174">
        <v>5521.39778337019</v>
      </c>
      <c r="L2791" s="174"/>
      <c r="M2791" s="161" t="s">
        <v>6430</v>
      </c>
      <c r="N2791" s="161" t="s">
        <v>1299</v>
      </c>
      <c r="O2791" s="161" t="s">
        <v>25</v>
      </c>
      <c r="P2791" s="49" t="s">
        <v>25</v>
      </c>
      <c r="Q2791" s="166"/>
      <c r="R2791" s="151"/>
    </row>
    <row r="2792" spans="1:18">
      <c r="A2792" s="166" t="s">
        <v>67</v>
      </c>
      <c r="B2792" s="166" t="s">
        <v>697</v>
      </c>
      <c r="C2792" s="85" t="s">
        <v>6631</v>
      </c>
      <c r="D2792" s="161" t="s">
        <v>6631</v>
      </c>
      <c r="E2792" s="161" t="s">
        <v>2204</v>
      </c>
      <c r="F2792" s="161" t="s">
        <v>2224</v>
      </c>
      <c r="G2792" s="163">
        <v>53.15</v>
      </c>
      <c r="H2792" s="163">
        <f t="shared" si="219"/>
        <v>6.93</v>
      </c>
      <c r="I2792" s="174">
        <v>33.8</v>
      </c>
      <c r="J2792" s="174">
        <v>827.851290323571</v>
      </c>
      <c r="K2792" s="174">
        <v>6349.24907369376</v>
      </c>
      <c r="L2792" s="174"/>
      <c r="M2792" s="161" t="s">
        <v>6430</v>
      </c>
      <c r="N2792" s="161"/>
      <c r="O2792" s="161" t="s">
        <v>27</v>
      </c>
      <c r="P2792" s="49" t="s">
        <v>27</v>
      </c>
      <c r="Q2792" s="166"/>
      <c r="R2792" s="151"/>
    </row>
    <row r="2793" spans="1:18">
      <c r="A2793" s="166" t="s">
        <v>67</v>
      </c>
      <c r="B2793" s="166" t="s">
        <v>697</v>
      </c>
      <c r="C2793" s="85" t="s">
        <v>6632</v>
      </c>
      <c r="D2793" s="161" t="s">
        <v>6633</v>
      </c>
      <c r="E2793" s="161" t="s">
        <v>2204</v>
      </c>
      <c r="F2793" s="161" t="s">
        <v>2224</v>
      </c>
      <c r="G2793" s="163">
        <v>60.6</v>
      </c>
      <c r="H2793" s="163">
        <f t="shared" si="219"/>
        <v>7.45</v>
      </c>
      <c r="I2793" s="174">
        <v>58.7</v>
      </c>
      <c r="J2793" s="174">
        <v>889.970001863002</v>
      </c>
      <c r="K2793" s="174">
        <v>7239.21907555676</v>
      </c>
      <c r="L2793" s="174"/>
      <c r="M2793" s="161" t="s">
        <v>6430</v>
      </c>
      <c r="N2793" s="161" t="s">
        <v>1299</v>
      </c>
      <c r="O2793" s="161" t="s">
        <v>25</v>
      </c>
      <c r="P2793" s="49" t="s">
        <v>25</v>
      </c>
      <c r="Q2793" s="166"/>
      <c r="R2793" s="151"/>
    </row>
    <row r="2794" spans="1:18">
      <c r="A2794" s="166" t="s">
        <v>67</v>
      </c>
      <c r="B2794" s="166" t="s">
        <v>697</v>
      </c>
      <c r="C2794" s="85" t="s">
        <v>6634</v>
      </c>
      <c r="D2794" s="161" t="s">
        <v>6635</v>
      </c>
      <c r="E2794" s="161" t="s">
        <v>2204</v>
      </c>
      <c r="F2794" s="161" t="s">
        <v>2224</v>
      </c>
      <c r="G2794" s="163">
        <v>67.94</v>
      </c>
      <c r="H2794" s="163">
        <f t="shared" si="219"/>
        <v>7.34</v>
      </c>
      <c r="I2794" s="174">
        <v>26.9</v>
      </c>
      <c r="J2794" s="174">
        <v>876.829505191199</v>
      </c>
      <c r="K2794" s="174">
        <v>8116.04858074796</v>
      </c>
      <c r="L2794" s="174"/>
      <c r="M2794" s="161" t="s">
        <v>6430</v>
      </c>
      <c r="N2794" s="161" t="s">
        <v>1299</v>
      </c>
      <c r="O2794" s="161" t="s">
        <v>25</v>
      </c>
      <c r="P2794" s="49" t="s">
        <v>25</v>
      </c>
      <c r="Q2794" s="166"/>
      <c r="R2794" s="151"/>
    </row>
    <row r="2795" spans="1:18">
      <c r="A2795" s="166" t="s">
        <v>67</v>
      </c>
      <c r="B2795" s="166" t="s">
        <v>697</v>
      </c>
      <c r="C2795" s="85" t="s">
        <v>6636</v>
      </c>
      <c r="D2795" s="161" t="s">
        <v>6636</v>
      </c>
      <c r="E2795" s="161" t="s">
        <v>2204</v>
      </c>
      <c r="F2795" s="161" t="s">
        <v>2224</v>
      </c>
      <c r="G2795" s="163">
        <v>71.24</v>
      </c>
      <c r="H2795" s="163">
        <f t="shared" si="219"/>
        <v>3.3</v>
      </c>
      <c r="I2795" s="174">
        <v>22.3</v>
      </c>
      <c r="J2795" s="174">
        <v>394.214900154081</v>
      </c>
      <c r="K2795" s="174">
        <v>8510.26348090205</v>
      </c>
      <c r="L2795" s="174"/>
      <c r="M2795" s="161" t="s">
        <v>6430</v>
      </c>
      <c r="N2795" s="161"/>
      <c r="O2795" s="161" t="s">
        <v>14</v>
      </c>
      <c r="P2795" s="49" t="s">
        <v>14</v>
      </c>
      <c r="Q2795" s="166"/>
      <c r="R2795" s="151"/>
    </row>
    <row r="2796" spans="1:18">
      <c r="A2796" s="166" t="s">
        <v>67</v>
      </c>
      <c r="B2796" s="166" t="s">
        <v>697</v>
      </c>
      <c r="C2796" s="85" t="s">
        <v>6637</v>
      </c>
      <c r="D2796" s="161" t="s">
        <v>6637</v>
      </c>
      <c r="E2796" s="161" t="s">
        <v>2204</v>
      </c>
      <c r="F2796" s="161" t="s">
        <v>2224</v>
      </c>
      <c r="G2796" s="163">
        <v>77.67</v>
      </c>
      <c r="H2796" s="163">
        <f t="shared" si="219"/>
        <v>6.43000000000001</v>
      </c>
      <c r="I2796" s="174">
        <v>22.3</v>
      </c>
      <c r="J2796" s="174">
        <v>768.121759997195</v>
      </c>
      <c r="K2796" s="174">
        <v>9278.38524089924</v>
      </c>
      <c r="L2796" s="174"/>
      <c r="M2796" s="161" t="s">
        <v>6430</v>
      </c>
      <c r="N2796" s="161"/>
      <c r="O2796" s="161" t="s">
        <v>14</v>
      </c>
      <c r="P2796" s="49" t="s">
        <v>14</v>
      </c>
      <c r="Q2796" s="166"/>
      <c r="R2796" s="151"/>
    </row>
    <row r="2797" spans="1:18">
      <c r="A2797" s="166" t="s">
        <v>67</v>
      </c>
      <c r="B2797" s="166" t="s">
        <v>700</v>
      </c>
      <c r="C2797" s="135" t="s">
        <v>701</v>
      </c>
      <c r="D2797" s="161" t="s">
        <v>701</v>
      </c>
      <c r="E2797" s="161" t="s">
        <v>2204</v>
      </c>
      <c r="F2797" s="161" t="s">
        <v>2811</v>
      </c>
      <c r="G2797" s="163">
        <v>0</v>
      </c>
      <c r="H2797" s="163">
        <v>0</v>
      </c>
      <c r="I2797" s="174">
        <v>20.999</v>
      </c>
      <c r="J2797" s="174">
        <v>0</v>
      </c>
      <c r="K2797" s="174">
        <v>0</v>
      </c>
      <c r="L2797" s="174"/>
      <c r="M2797" s="161" t="s">
        <v>6430</v>
      </c>
      <c r="N2797" s="161"/>
      <c r="O2797" s="161"/>
      <c r="P2797" s="49"/>
      <c r="Q2797" s="166"/>
      <c r="R2797" s="151"/>
    </row>
    <row r="2798" spans="1:18">
      <c r="A2798" s="166" t="s">
        <v>67</v>
      </c>
      <c r="B2798" s="166" t="s">
        <v>700</v>
      </c>
      <c r="C2798" s="85" t="s">
        <v>6638</v>
      </c>
      <c r="D2798" s="161" t="s">
        <v>6639</v>
      </c>
      <c r="E2798" s="161" t="s">
        <v>2204</v>
      </c>
      <c r="F2798" s="161" t="s">
        <v>2811</v>
      </c>
      <c r="G2798" s="163">
        <v>14.6969</v>
      </c>
      <c r="H2798" s="163">
        <f>G2798-G2797</f>
        <v>14.6969</v>
      </c>
      <c r="I2798" s="174">
        <v>-4.20155419</v>
      </c>
      <c r="J2798" s="174">
        <v>3044.33950078597</v>
      </c>
      <c r="K2798" s="174">
        <v>3044.33950078597</v>
      </c>
      <c r="L2798" s="174"/>
      <c r="M2798" s="161" t="s">
        <v>6430</v>
      </c>
      <c r="N2798" s="161" t="s">
        <v>1299</v>
      </c>
      <c r="O2798" s="161" t="s">
        <v>25</v>
      </c>
      <c r="P2798" s="49" t="s">
        <v>25</v>
      </c>
      <c r="Q2798" s="166"/>
      <c r="R2798" s="151"/>
    </row>
    <row r="2799" spans="1:18">
      <c r="A2799" s="166" t="s">
        <v>67</v>
      </c>
      <c r="B2799" s="166" t="s">
        <v>700</v>
      </c>
      <c r="C2799" s="85" t="s">
        <v>6640</v>
      </c>
      <c r="D2799" s="161" t="s">
        <v>6640</v>
      </c>
      <c r="E2799" s="161" t="s">
        <v>2204</v>
      </c>
      <c r="F2799" s="161" t="s">
        <v>2811</v>
      </c>
      <c r="G2799" s="163">
        <v>28.9345</v>
      </c>
      <c r="H2799" s="163">
        <f>G2799-G2798</f>
        <v>14.2376</v>
      </c>
      <c r="I2799" s="174">
        <v>-3.88427011</v>
      </c>
      <c r="J2799" s="174">
        <v>2949.20389138641</v>
      </c>
      <c r="K2799" s="174">
        <v>5993.54339217238</v>
      </c>
      <c r="L2799" s="174"/>
      <c r="M2799" s="161" t="s">
        <v>6430</v>
      </c>
      <c r="N2799" s="161"/>
      <c r="O2799" s="161" t="s">
        <v>27</v>
      </c>
      <c r="P2799" s="49" t="s">
        <v>27</v>
      </c>
      <c r="Q2799" s="166"/>
      <c r="R2799" s="151"/>
    </row>
    <row r="2800" spans="1:18">
      <c r="A2800" s="166" t="s">
        <v>67</v>
      </c>
      <c r="B2800" s="166" t="s">
        <v>700</v>
      </c>
      <c r="C2800" s="85" t="s">
        <v>6641</v>
      </c>
      <c r="D2800" s="161" t="s">
        <v>6641</v>
      </c>
      <c r="E2800" s="161" t="s">
        <v>2204</v>
      </c>
      <c r="F2800" s="161" t="s">
        <v>2811</v>
      </c>
      <c r="G2800" s="163">
        <v>42.2536</v>
      </c>
      <c r="H2800" s="163">
        <f>G2800-G2799</f>
        <v>13.3191</v>
      </c>
      <c r="I2800" s="174">
        <v>-1.19242124</v>
      </c>
      <c r="J2800" s="174">
        <v>2758.93267258728</v>
      </c>
      <c r="K2800" s="174">
        <v>8752.47606475966</v>
      </c>
      <c r="L2800" s="174"/>
      <c r="M2800" s="161" t="s">
        <v>6430</v>
      </c>
      <c r="N2800" s="161"/>
      <c r="O2800" s="161" t="s">
        <v>27</v>
      </c>
      <c r="P2800" s="49" t="s">
        <v>27</v>
      </c>
      <c r="Q2800" s="166"/>
      <c r="R2800" s="151"/>
    </row>
    <row r="2801" spans="1:18">
      <c r="A2801" s="166" t="s">
        <v>67</v>
      </c>
      <c r="B2801" s="166" t="s">
        <v>700</v>
      </c>
      <c r="C2801" s="85" t="s">
        <v>6642</v>
      </c>
      <c r="D2801" s="161" t="s">
        <v>6642</v>
      </c>
      <c r="E2801" s="161" t="s">
        <v>2204</v>
      </c>
      <c r="F2801" s="161" t="s">
        <v>2811</v>
      </c>
      <c r="G2801" s="163">
        <v>50.1899</v>
      </c>
      <c r="H2801" s="163">
        <f>G2801-G2800</f>
        <v>7.9363</v>
      </c>
      <c r="I2801" s="174">
        <v>24.17794308</v>
      </c>
      <c r="J2801" s="174">
        <v>1643.94333042442</v>
      </c>
      <c r="K2801" s="174">
        <v>10396.4193951841</v>
      </c>
      <c r="L2801" s="174"/>
      <c r="M2801" s="161" t="s">
        <v>6430</v>
      </c>
      <c r="N2801" s="161"/>
      <c r="O2801" s="161" t="s">
        <v>14</v>
      </c>
      <c r="P2801" s="49" t="s">
        <v>14</v>
      </c>
      <c r="Q2801" s="166"/>
      <c r="R2801" s="151"/>
    </row>
    <row r="2802" spans="1:18">
      <c r="A2802" s="166" t="s">
        <v>67</v>
      </c>
      <c r="B2802" s="166" t="s">
        <v>703</v>
      </c>
      <c r="C2802" s="135" t="s">
        <v>6582</v>
      </c>
      <c r="D2802" s="161" t="s">
        <v>6582</v>
      </c>
      <c r="E2802" s="161" t="s">
        <v>2204</v>
      </c>
      <c r="F2802" s="161" t="s">
        <v>6573</v>
      </c>
      <c r="G2802" s="163">
        <v>0</v>
      </c>
      <c r="H2802" s="163">
        <v>0</v>
      </c>
      <c r="I2802" s="174">
        <v>45.598</v>
      </c>
      <c r="J2802" s="174">
        <v>0</v>
      </c>
      <c r="K2802" s="174">
        <v>0</v>
      </c>
      <c r="L2802" s="174"/>
      <c r="M2802" s="161" t="s">
        <v>6430</v>
      </c>
      <c r="N2802" s="161"/>
      <c r="O2802" s="161"/>
      <c r="P2802" s="49"/>
      <c r="Q2802" s="166"/>
      <c r="R2802" s="151"/>
    </row>
    <row r="2803" spans="1:18">
      <c r="A2803" s="166" t="s">
        <v>67</v>
      </c>
      <c r="B2803" s="166" t="s">
        <v>703</v>
      </c>
      <c r="C2803" s="85" t="s">
        <v>6643</v>
      </c>
      <c r="D2803" s="161" t="s">
        <v>6644</v>
      </c>
      <c r="E2803" s="161" t="s">
        <v>2204</v>
      </c>
      <c r="F2803" s="161" t="s">
        <v>6573</v>
      </c>
      <c r="G2803" s="163">
        <v>22.9396</v>
      </c>
      <c r="H2803" s="163">
        <f>G2803-G2802</f>
        <v>22.9396</v>
      </c>
      <c r="I2803" s="174">
        <v>-32.046</v>
      </c>
      <c r="J2803" s="174">
        <v>10944.4984088221</v>
      </c>
      <c r="K2803" s="174">
        <v>10944.4984088221</v>
      </c>
      <c r="L2803" s="174"/>
      <c r="M2803" s="161" t="s">
        <v>6430</v>
      </c>
      <c r="N2803" s="161" t="s">
        <v>1299</v>
      </c>
      <c r="O2803" s="161" t="s">
        <v>25</v>
      </c>
      <c r="P2803" s="49" t="s">
        <v>25</v>
      </c>
      <c r="Q2803" s="166"/>
      <c r="R2803" s="151"/>
    </row>
    <row r="2804" spans="1:18">
      <c r="A2804" s="166" t="s">
        <v>67</v>
      </c>
      <c r="B2804" s="166" t="s">
        <v>703</v>
      </c>
      <c r="C2804" s="85" t="s">
        <v>6645</v>
      </c>
      <c r="D2804" s="161" t="s">
        <v>6646</v>
      </c>
      <c r="E2804" s="161" t="s">
        <v>2204</v>
      </c>
      <c r="F2804" s="161" t="s">
        <v>6647</v>
      </c>
      <c r="G2804" s="163">
        <v>46.6244</v>
      </c>
      <c r="H2804" s="163">
        <f t="shared" ref="H2804:H2817" si="220">G2804-G2803</f>
        <v>23.6848</v>
      </c>
      <c r="I2804" s="174">
        <v>-34.158</v>
      </c>
      <c r="J2804" s="174">
        <v>11416.3479279938</v>
      </c>
      <c r="K2804" s="174">
        <v>22360.8463368159</v>
      </c>
      <c r="L2804" s="174"/>
      <c r="M2804" s="161" t="s">
        <v>6430</v>
      </c>
      <c r="N2804" s="161" t="s">
        <v>1299</v>
      </c>
      <c r="O2804" s="161" t="s">
        <v>25</v>
      </c>
      <c r="P2804" s="49" t="s">
        <v>25</v>
      </c>
      <c r="Q2804" s="166"/>
      <c r="R2804" s="151"/>
    </row>
    <row r="2805" spans="1:18">
      <c r="A2805" s="166" t="s">
        <v>67</v>
      </c>
      <c r="B2805" s="166" t="s">
        <v>703</v>
      </c>
      <c r="C2805" s="85" t="s">
        <v>6648</v>
      </c>
      <c r="D2805" s="161" t="s">
        <v>6649</v>
      </c>
      <c r="E2805" s="161" t="s">
        <v>2204</v>
      </c>
      <c r="F2805" s="161" t="s">
        <v>6647</v>
      </c>
      <c r="G2805" s="163">
        <v>65.8293</v>
      </c>
      <c r="H2805" s="163">
        <f t="shared" si="220"/>
        <v>19.2049</v>
      </c>
      <c r="I2805" s="174">
        <v>-34.373</v>
      </c>
      <c r="J2805" s="174">
        <v>9162.6783338354</v>
      </c>
      <c r="K2805" s="174">
        <v>31523.5246706513</v>
      </c>
      <c r="L2805" s="174"/>
      <c r="M2805" s="161" t="s">
        <v>6430</v>
      </c>
      <c r="N2805" s="161" t="s">
        <v>1299</v>
      </c>
      <c r="O2805" s="161" t="s">
        <v>25</v>
      </c>
      <c r="P2805" s="49" t="s">
        <v>25</v>
      </c>
      <c r="Q2805" s="166"/>
      <c r="R2805" s="151"/>
    </row>
    <row r="2806" spans="1:18">
      <c r="A2806" s="166" t="s">
        <v>67</v>
      </c>
      <c r="B2806" s="166" t="s">
        <v>703</v>
      </c>
      <c r="C2806" s="85" t="s">
        <v>6650</v>
      </c>
      <c r="D2806" s="161" t="s">
        <v>6651</v>
      </c>
      <c r="E2806" s="161" t="s">
        <v>2204</v>
      </c>
      <c r="F2806" s="161" t="s">
        <v>6647</v>
      </c>
      <c r="G2806" s="163">
        <v>81.243</v>
      </c>
      <c r="H2806" s="163">
        <f t="shared" si="220"/>
        <v>15.4137</v>
      </c>
      <c r="I2806" s="174">
        <v>-38.276</v>
      </c>
      <c r="J2806" s="174">
        <v>7429.57746034235</v>
      </c>
      <c r="K2806" s="174">
        <v>38953.1021309936</v>
      </c>
      <c r="L2806" s="174"/>
      <c r="M2806" s="161" t="s">
        <v>6430</v>
      </c>
      <c r="N2806" s="161" t="s">
        <v>1299</v>
      </c>
      <c r="O2806" s="161" t="s">
        <v>25</v>
      </c>
      <c r="P2806" s="49" t="s">
        <v>25</v>
      </c>
      <c r="Q2806" s="166"/>
      <c r="R2806" s="151"/>
    </row>
    <row r="2807" spans="1:18">
      <c r="A2807" s="166" t="s">
        <v>67</v>
      </c>
      <c r="B2807" s="166" t="s">
        <v>703</v>
      </c>
      <c r="C2807" s="85" t="s">
        <v>6652</v>
      </c>
      <c r="D2807" s="161" t="s">
        <v>6653</v>
      </c>
      <c r="E2807" s="161" t="s">
        <v>2204</v>
      </c>
      <c r="F2807" s="161" t="s">
        <v>6647</v>
      </c>
      <c r="G2807" s="163">
        <v>97.5776</v>
      </c>
      <c r="H2807" s="163">
        <f t="shared" si="220"/>
        <v>16.3346</v>
      </c>
      <c r="I2807" s="174">
        <v>-35.082</v>
      </c>
      <c r="J2807" s="174">
        <v>7793.24800412682</v>
      </c>
      <c r="K2807" s="174">
        <v>46746.3501351204</v>
      </c>
      <c r="L2807" s="174"/>
      <c r="M2807" s="161" t="s">
        <v>6430</v>
      </c>
      <c r="N2807" s="161" t="s">
        <v>1299</v>
      </c>
      <c r="O2807" s="161" t="s">
        <v>25</v>
      </c>
      <c r="P2807" s="49" t="s">
        <v>25</v>
      </c>
      <c r="Q2807" s="166"/>
      <c r="R2807" s="151"/>
    </row>
    <row r="2808" spans="1:18">
      <c r="A2808" s="166" t="s">
        <v>67</v>
      </c>
      <c r="B2808" s="166" t="s">
        <v>703</v>
      </c>
      <c r="C2808" s="85" t="s">
        <v>6654</v>
      </c>
      <c r="D2808" s="161" t="s">
        <v>6654</v>
      </c>
      <c r="E2808" s="161" t="s">
        <v>2204</v>
      </c>
      <c r="F2808" s="161" t="s">
        <v>6573</v>
      </c>
      <c r="G2808" s="163">
        <v>112.6599</v>
      </c>
      <c r="H2808" s="163">
        <f t="shared" si="220"/>
        <v>15.0823</v>
      </c>
      <c r="I2808" s="174">
        <v>-35.551</v>
      </c>
      <c r="J2808" s="174">
        <v>7195.80875848357</v>
      </c>
      <c r="K2808" s="174">
        <v>53942.158893604</v>
      </c>
      <c r="L2808" s="174"/>
      <c r="M2808" s="161" t="s">
        <v>6430</v>
      </c>
      <c r="N2808" s="161"/>
      <c r="O2808" s="161" t="s">
        <v>14</v>
      </c>
      <c r="P2808" s="49" t="s">
        <v>14</v>
      </c>
      <c r="Q2808" s="166"/>
      <c r="R2808" s="151"/>
    </row>
    <row r="2809" spans="1:18">
      <c r="A2809" s="166" t="s">
        <v>67</v>
      </c>
      <c r="B2809" s="166" t="s">
        <v>703</v>
      </c>
      <c r="C2809" s="85" t="s">
        <v>6655</v>
      </c>
      <c r="D2809" s="161" t="s">
        <v>6655</v>
      </c>
      <c r="E2809" s="161" t="s">
        <v>2204</v>
      </c>
      <c r="F2809" s="161" t="s">
        <v>6647</v>
      </c>
      <c r="G2809" s="163">
        <v>128.9719</v>
      </c>
      <c r="H2809" s="163">
        <f t="shared" si="220"/>
        <v>16.312</v>
      </c>
      <c r="I2809" s="174">
        <v>12.4</v>
      </c>
      <c r="J2809" s="174">
        <v>7947.09691115091</v>
      </c>
      <c r="K2809" s="174">
        <v>61889.2558047549</v>
      </c>
      <c r="L2809" s="174"/>
      <c r="M2809" s="161" t="s">
        <v>6430</v>
      </c>
      <c r="N2809" s="161"/>
      <c r="O2809" s="161" t="s">
        <v>27</v>
      </c>
      <c r="P2809" s="49" t="s">
        <v>27</v>
      </c>
      <c r="Q2809" s="166"/>
      <c r="R2809" s="151"/>
    </row>
    <row r="2810" spans="1:18">
      <c r="A2810" s="166" t="s">
        <v>67</v>
      </c>
      <c r="B2810" s="166" t="s">
        <v>703</v>
      </c>
      <c r="C2810" s="85" t="s">
        <v>6656</v>
      </c>
      <c r="D2810" s="161" t="s">
        <v>6656</v>
      </c>
      <c r="E2810" s="161" t="s">
        <v>2204</v>
      </c>
      <c r="F2810" s="161" t="s">
        <v>6647</v>
      </c>
      <c r="G2810" s="163">
        <v>145.0629</v>
      </c>
      <c r="H2810" s="163">
        <f t="shared" si="220"/>
        <v>16.091</v>
      </c>
      <c r="I2810" s="174">
        <v>21.8</v>
      </c>
      <c r="J2810" s="174">
        <v>7839.42719453956</v>
      </c>
      <c r="K2810" s="174">
        <v>69728.6829992945</v>
      </c>
      <c r="L2810" s="174"/>
      <c r="M2810" s="161" t="s">
        <v>6430</v>
      </c>
      <c r="N2810" s="161"/>
      <c r="O2810" s="161" t="s">
        <v>14</v>
      </c>
      <c r="P2810" s="49" t="s">
        <v>14</v>
      </c>
      <c r="Q2810" s="166"/>
      <c r="R2810" s="151"/>
    </row>
    <row r="2811" spans="1:18">
      <c r="A2811" s="166" t="s">
        <v>67</v>
      </c>
      <c r="B2811" s="166" t="s">
        <v>703</v>
      </c>
      <c r="C2811" s="85" t="s">
        <v>6657</v>
      </c>
      <c r="D2811" s="161" t="s">
        <v>6658</v>
      </c>
      <c r="E2811" s="161" t="s">
        <v>2204</v>
      </c>
      <c r="F2811" s="161" t="s">
        <v>6647</v>
      </c>
      <c r="G2811" s="163">
        <v>155.8589</v>
      </c>
      <c r="H2811" s="163">
        <f t="shared" si="220"/>
        <v>10.796</v>
      </c>
      <c r="I2811" s="174">
        <v>43.5</v>
      </c>
      <c r="J2811" s="174">
        <v>5259.73873545765</v>
      </c>
      <c r="K2811" s="174">
        <v>74988.4217347521</v>
      </c>
      <c r="L2811" s="174"/>
      <c r="M2811" s="161" t="s">
        <v>6430</v>
      </c>
      <c r="N2811" s="161" t="s">
        <v>1299</v>
      </c>
      <c r="O2811" s="161" t="s">
        <v>25</v>
      </c>
      <c r="P2811" s="49" t="s">
        <v>25</v>
      </c>
      <c r="Q2811" s="166"/>
      <c r="R2811" s="151"/>
    </row>
    <row r="2812" spans="1:18">
      <c r="A2812" s="166" t="s">
        <v>67</v>
      </c>
      <c r="B2812" s="166" t="s">
        <v>703</v>
      </c>
      <c r="C2812" s="85" t="s">
        <v>6659</v>
      </c>
      <c r="D2812" s="161" t="s">
        <v>6660</v>
      </c>
      <c r="E2812" s="161" t="s">
        <v>2204</v>
      </c>
      <c r="F2812" s="161" t="s">
        <v>6647</v>
      </c>
      <c r="G2812" s="163">
        <v>172.0189</v>
      </c>
      <c r="H2812" s="163">
        <f t="shared" si="220"/>
        <v>16.16</v>
      </c>
      <c r="I2812" s="174">
        <v>8.2</v>
      </c>
      <c r="J2812" s="174">
        <v>7873.04353140012</v>
      </c>
      <c r="K2812" s="174">
        <v>82861.4652661523</v>
      </c>
      <c r="L2812" s="174"/>
      <c r="M2812" s="161" t="s">
        <v>6430</v>
      </c>
      <c r="N2812" s="161" t="s">
        <v>1299</v>
      </c>
      <c r="O2812" s="161" t="s">
        <v>25</v>
      </c>
      <c r="P2812" s="49" t="s">
        <v>25</v>
      </c>
      <c r="Q2812" s="166"/>
      <c r="R2812" s="151"/>
    </row>
    <row r="2813" spans="1:18">
      <c r="A2813" s="166" t="s">
        <v>67</v>
      </c>
      <c r="B2813" s="166" t="s">
        <v>703</v>
      </c>
      <c r="C2813" s="85" t="s">
        <v>6661</v>
      </c>
      <c r="D2813" s="161" t="s">
        <v>6661</v>
      </c>
      <c r="E2813" s="161" t="s">
        <v>2204</v>
      </c>
      <c r="F2813" s="161" t="s">
        <v>6647</v>
      </c>
      <c r="G2813" s="163">
        <v>186.9209</v>
      </c>
      <c r="H2813" s="163">
        <f t="shared" si="220"/>
        <v>14.902</v>
      </c>
      <c r="I2813" s="174">
        <v>6.2</v>
      </c>
      <c r="J2813" s="174">
        <v>7260.15437530474</v>
      </c>
      <c r="K2813" s="174">
        <v>90121.619641457</v>
      </c>
      <c r="L2813" s="174"/>
      <c r="M2813" s="161" t="s">
        <v>6430</v>
      </c>
      <c r="N2813" s="161"/>
      <c r="O2813" s="161" t="s">
        <v>14</v>
      </c>
      <c r="P2813" s="49" t="s">
        <v>14</v>
      </c>
      <c r="Q2813" s="166"/>
      <c r="R2813" s="151"/>
    </row>
    <row r="2814" spans="1:18">
      <c r="A2814" s="166" t="s">
        <v>67</v>
      </c>
      <c r="B2814" s="166" t="s">
        <v>703</v>
      </c>
      <c r="C2814" s="85" t="s">
        <v>6662</v>
      </c>
      <c r="D2814" s="161" t="s">
        <v>6662</v>
      </c>
      <c r="E2814" s="161" t="s">
        <v>2204</v>
      </c>
      <c r="F2814" s="161" t="s">
        <v>6647</v>
      </c>
      <c r="G2814" s="163">
        <v>191.8819</v>
      </c>
      <c r="H2814" s="163">
        <f t="shared" si="220"/>
        <v>4.96100000000001</v>
      </c>
      <c r="I2814" s="174">
        <v>7</v>
      </c>
      <c r="J2814" s="174">
        <v>2416.9659009453</v>
      </c>
      <c r="K2814" s="174">
        <v>92538.5855424023</v>
      </c>
      <c r="L2814" s="174"/>
      <c r="M2814" s="161" t="s">
        <v>6430</v>
      </c>
      <c r="N2814" s="161"/>
      <c r="O2814" s="161" t="s">
        <v>27</v>
      </c>
      <c r="P2814" s="49" t="s">
        <v>27</v>
      </c>
      <c r="Q2814" s="166"/>
      <c r="R2814" s="151"/>
    </row>
    <row r="2815" spans="1:18">
      <c r="A2815" s="166" t="s">
        <v>67</v>
      </c>
      <c r="B2815" s="166" t="s">
        <v>703</v>
      </c>
      <c r="C2815" s="85" t="s">
        <v>6663</v>
      </c>
      <c r="D2815" s="161" t="s">
        <v>6663</v>
      </c>
      <c r="E2815" s="161" t="s">
        <v>2204</v>
      </c>
      <c r="F2815" s="161" t="s">
        <v>6647</v>
      </c>
      <c r="G2815" s="163">
        <v>197.3629</v>
      </c>
      <c r="H2815" s="163">
        <f t="shared" si="220"/>
        <v>5.48099999999999</v>
      </c>
      <c r="I2815" s="174">
        <v>8.9</v>
      </c>
      <c r="J2815" s="174">
        <v>2670.30641061906</v>
      </c>
      <c r="K2815" s="174">
        <v>95208.8919530213</v>
      </c>
      <c r="L2815" s="174"/>
      <c r="M2815" s="161" t="s">
        <v>6430</v>
      </c>
      <c r="N2815" s="161"/>
      <c r="O2815" s="161" t="s">
        <v>14</v>
      </c>
      <c r="P2815" s="49" t="s">
        <v>14</v>
      </c>
      <c r="Q2815" s="166"/>
      <c r="R2815" s="151"/>
    </row>
    <row r="2816" spans="1:18">
      <c r="A2816" s="166" t="s">
        <v>67</v>
      </c>
      <c r="B2816" s="166" t="s">
        <v>703</v>
      </c>
      <c r="C2816" s="85" t="s">
        <v>6664</v>
      </c>
      <c r="D2816" s="161" t="s">
        <v>6665</v>
      </c>
      <c r="E2816" s="161" t="s">
        <v>2204</v>
      </c>
      <c r="F2816" s="161" t="s">
        <v>6647</v>
      </c>
      <c r="G2816" s="163">
        <v>212.6839</v>
      </c>
      <c r="H2816" s="163">
        <f t="shared" si="220"/>
        <v>15.321</v>
      </c>
      <c r="I2816" s="174">
        <v>38.1</v>
      </c>
      <c r="J2816" s="174">
        <v>2912.77675071851</v>
      </c>
      <c r="K2816" s="174">
        <v>98121.6687037399</v>
      </c>
      <c r="L2816" s="174"/>
      <c r="M2816" s="161" t="s">
        <v>6430</v>
      </c>
      <c r="N2816" s="161" t="s">
        <v>1299</v>
      </c>
      <c r="O2816" s="161" t="s">
        <v>25</v>
      </c>
      <c r="P2816" s="49" t="s">
        <v>25</v>
      </c>
      <c r="Q2816" s="166"/>
      <c r="R2816" s="151"/>
    </row>
    <row r="2817" spans="1:18">
      <c r="A2817" s="166" t="s">
        <v>67</v>
      </c>
      <c r="B2817" s="166" t="s">
        <v>703</v>
      </c>
      <c r="C2817" s="85" t="s">
        <v>6666</v>
      </c>
      <c r="D2817" s="161" t="s">
        <v>6666</v>
      </c>
      <c r="E2817" s="161" t="s">
        <v>2204</v>
      </c>
      <c r="F2817" s="161" t="s">
        <v>6647</v>
      </c>
      <c r="G2817" s="163">
        <v>226.7559</v>
      </c>
      <c r="H2817" s="163">
        <f t="shared" si="220"/>
        <v>14.072</v>
      </c>
      <c r="I2817" s="174">
        <v>8.8</v>
      </c>
      <c r="J2817" s="174">
        <v>2675.32109105873</v>
      </c>
      <c r="K2817" s="174">
        <v>100796.989794799</v>
      </c>
      <c r="L2817" s="174"/>
      <c r="M2817" s="161" t="s">
        <v>6430</v>
      </c>
      <c r="N2817" s="161"/>
      <c r="O2817" s="161" t="s">
        <v>14</v>
      </c>
      <c r="P2817" s="49" t="s">
        <v>14</v>
      </c>
      <c r="Q2817" s="166"/>
      <c r="R2817" s="151"/>
    </row>
    <row r="2818" spans="1:18">
      <c r="A2818" s="166" t="s">
        <v>67</v>
      </c>
      <c r="B2818" s="166" t="s">
        <v>709</v>
      </c>
      <c r="C2818" s="135" t="s">
        <v>6661</v>
      </c>
      <c r="D2818" s="161" t="s">
        <v>6661</v>
      </c>
      <c r="E2818" s="161" t="s">
        <v>2204</v>
      </c>
      <c r="F2818" s="161" t="s">
        <v>6647</v>
      </c>
      <c r="G2818" s="163">
        <v>0</v>
      </c>
      <c r="H2818" s="163">
        <v>0</v>
      </c>
      <c r="I2818" s="174">
        <v>6.2</v>
      </c>
      <c r="J2818" s="174">
        <v>0</v>
      </c>
      <c r="K2818" s="174">
        <v>0</v>
      </c>
      <c r="L2818" s="174"/>
      <c r="M2818" s="161" t="s">
        <v>6430</v>
      </c>
      <c r="N2818" s="161"/>
      <c r="O2818" s="161"/>
      <c r="P2818" s="49"/>
      <c r="Q2818" s="166"/>
      <c r="R2818" s="151"/>
    </row>
    <row r="2819" spans="1:18">
      <c r="A2819" s="166" t="s">
        <v>67</v>
      </c>
      <c r="B2819" s="166" t="s">
        <v>709</v>
      </c>
      <c r="C2819" s="85" t="s">
        <v>6667</v>
      </c>
      <c r="D2819" s="161" t="s">
        <v>6667</v>
      </c>
      <c r="E2819" s="161" t="s">
        <v>2204</v>
      </c>
      <c r="F2819" s="161" t="s">
        <v>6647</v>
      </c>
      <c r="G2819" s="163">
        <v>15.865</v>
      </c>
      <c r="H2819" s="163">
        <f>G2819-G2818</f>
        <v>15.865</v>
      </c>
      <c r="I2819" s="174">
        <v>20.3</v>
      </c>
      <c r="J2819" s="174">
        <v>1895.21799725591</v>
      </c>
      <c r="K2819" s="174">
        <v>1895.21799725591</v>
      </c>
      <c r="L2819" s="174"/>
      <c r="M2819" s="161" t="s">
        <v>6430</v>
      </c>
      <c r="N2819" s="161"/>
      <c r="O2819" s="161" t="s">
        <v>27</v>
      </c>
      <c r="P2819" s="49" t="s">
        <v>27</v>
      </c>
      <c r="Q2819" s="166"/>
      <c r="R2819" s="151"/>
    </row>
    <row r="2820" spans="1:18">
      <c r="A2820" s="166" t="s">
        <v>67</v>
      </c>
      <c r="B2820" s="166" t="s">
        <v>709</v>
      </c>
      <c r="C2820" s="85" t="s">
        <v>6668</v>
      </c>
      <c r="D2820" s="161" t="s">
        <v>6668</v>
      </c>
      <c r="E2820" s="161" t="s">
        <v>2204</v>
      </c>
      <c r="F2820" s="161" t="s">
        <v>6647</v>
      </c>
      <c r="G2820" s="163">
        <v>24</v>
      </c>
      <c r="H2820" s="163">
        <f>G2820-G2819</f>
        <v>8.135</v>
      </c>
      <c r="I2820" s="174">
        <v>14.1</v>
      </c>
      <c r="J2820" s="174">
        <v>942.293070428907</v>
      </c>
      <c r="K2820" s="174">
        <v>2837.51106768482</v>
      </c>
      <c r="L2820" s="174"/>
      <c r="M2820" s="161" t="s">
        <v>6430</v>
      </c>
      <c r="N2820" s="161"/>
      <c r="O2820" s="161" t="s">
        <v>14</v>
      </c>
      <c r="P2820" s="49" t="s">
        <v>14</v>
      </c>
      <c r="Q2820" s="166"/>
      <c r="R2820" s="151"/>
    </row>
    <row r="2821" spans="1:18">
      <c r="A2821" s="166" t="s">
        <v>67</v>
      </c>
      <c r="B2821" s="192" t="s">
        <v>711</v>
      </c>
      <c r="C2821" s="135" t="s">
        <v>6663</v>
      </c>
      <c r="D2821" s="161" t="s">
        <v>6663</v>
      </c>
      <c r="E2821" s="161" t="s">
        <v>2204</v>
      </c>
      <c r="F2821" s="161" t="s">
        <v>6647</v>
      </c>
      <c r="G2821" s="163">
        <v>0</v>
      </c>
      <c r="H2821" s="163">
        <v>0</v>
      </c>
      <c r="I2821" s="174">
        <v>9</v>
      </c>
      <c r="J2821" s="163">
        <v>0</v>
      </c>
      <c r="K2821" s="174">
        <v>0</v>
      </c>
      <c r="L2821" s="174"/>
      <c r="M2821" s="161" t="s">
        <v>6430</v>
      </c>
      <c r="N2821" s="161"/>
      <c r="O2821" s="161"/>
      <c r="P2821" s="49"/>
      <c r="Q2821" s="166"/>
      <c r="R2821" s="151"/>
    </row>
    <row r="2822" ht="30" spans="1:18">
      <c r="A2822" s="166" t="s">
        <v>67</v>
      </c>
      <c r="B2822" s="192" t="s">
        <v>711</v>
      </c>
      <c r="C2822" s="135" t="s">
        <v>6669</v>
      </c>
      <c r="D2822" s="161" t="s">
        <v>6669</v>
      </c>
      <c r="E2822" s="161" t="s">
        <v>2204</v>
      </c>
      <c r="F2822" s="161" t="s">
        <v>1739</v>
      </c>
      <c r="G2822" s="163">
        <v>1.424</v>
      </c>
      <c r="H2822" s="163">
        <v>1.424</v>
      </c>
      <c r="I2822" s="174">
        <v>9</v>
      </c>
      <c r="J2822" s="163">
        <v>683</v>
      </c>
      <c r="K2822" s="174">
        <v>683</v>
      </c>
      <c r="L2822" s="174"/>
      <c r="M2822" s="161" t="s">
        <v>6430</v>
      </c>
      <c r="N2822" s="161"/>
      <c r="O2822" s="161"/>
      <c r="P2822" s="49"/>
      <c r="Q2822" s="166"/>
      <c r="R2822" s="151"/>
    </row>
    <row r="2823" spans="1:18">
      <c r="A2823" s="166" t="s">
        <v>67</v>
      </c>
      <c r="B2823" s="192" t="s">
        <v>713</v>
      </c>
      <c r="C2823" s="135" t="s">
        <v>790</v>
      </c>
      <c r="D2823" s="118" t="s">
        <v>790</v>
      </c>
      <c r="E2823" s="161" t="s">
        <v>2204</v>
      </c>
      <c r="F2823" s="161" t="s">
        <v>6442</v>
      </c>
      <c r="G2823" s="171">
        <v>0</v>
      </c>
      <c r="H2823" s="171">
        <v>0</v>
      </c>
      <c r="I2823" s="174" t="s">
        <v>147</v>
      </c>
      <c r="J2823" s="174">
        <v>0</v>
      </c>
      <c r="K2823" s="174">
        <v>0</v>
      </c>
      <c r="L2823" s="174"/>
      <c r="M2823" s="161" t="s">
        <v>6430</v>
      </c>
      <c r="N2823" s="161"/>
      <c r="O2823" s="161"/>
      <c r="P2823" s="49"/>
      <c r="Q2823" s="166"/>
      <c r="R2823" s="151"/>
    </row>
    <row r="2824" spans="1:18">
      <c r="A2824" s="166" t="s">
        <v>67</v>
      </c>
      <c r="B2824" s="192" t="s">
        <v>713</v>
      </c>
      <c r="C2824" s="135" t="s">
        <v>6452</v>
      </c>
      <c r="D2824" s="118" t="s">
        <v>6670</v>
      </c>
      <c r="E2824" s="161" t="s">
        <v>2204</v>
      </c>
      <c r="F2824" s="161" t="s">
        <v>6442</v>
      </c>
      <c r="G2824" s="171">
        <v>0.7</v>
      </c>
      <c r="H2824" s="171">
        <v>0.7</v>
      </c>
      <c r="I2824" s="174" t="s">
        <v>147</v>
      </c>
      <c r="J2824" s="174">
        <v>529</v>
      </c>
      <c r="K2824" s="174">
        <v>529</v>
      </c>
      <c r="L2824" s="174"/>
      <c r="M2824" s="161" t="s">
        <v>6430</v>
      </c>
      <c r="N2824" s="161"/>
      <c r="O2824" s="161"/>
      <c r="P2824" s="49"/>
      <c r="Q2824" s="166"/>
      <c r="R2824" s="151"/>
    </row>
    <row r="2825" spans="1:18">
      <c r="A2825" s="166" t="s">
        <v>67</v>
      </c>
      <c r="B2825" s="192" t="s">
        <v>716</v>
      </c>
      <c r="C2825" s="135" t="s">
        <v>6489</v>
      </c>
      <c r="D2825" s="118" t="s">
        <v>6489</v>
      </c>
      <c r="E2825" s="161" t="s">
        <v>2204</v>
      </c>
      <c r="F2825" s="161"/>
      <c r="G2825" s="171">
        <v>0</v>
      </c>
      <c r="H2825" s="171">
        <v>0</v>
      </c>
      <c r="I2825" s="174"/>
      <c r="J2825" s="174">
        <v>0</v>
      </c>
      <c r="K2825" s="174">
        <v>0</v>
      </c>
      <c r="L2825" s="174"/>
      <c r="M2825" s="161" t="s">
        <v>6430</v>
      </c>
      <c r="N2825" s="161"/>
      <c r="O2825" s="161"/>
      <c r="P2825" s="49"/>
      <c r="Q2825" s="166"/>
      <c r="R2825" s="151"/>
    </row>
    <row r="2826" spans="1:18">
      <c r="A2826" s="166" t="s">
        <v>67</v>
      </c>
      <c r="B2826" s="192" t="s">
        <v>716</v>
      </c>
      <c r="C2826" s="135" t="s">
        <v>4995</v>
      </c>
      <c r="D2826" s="118" t="s">
        <v>4995</v>
      </c>
      <c r="E2826" s="161" t="s">
        <v>2204</v>
      </c>
      <c r="F2826" s="161"/>
      <c r="G2826" s="171">
        <v>0.98</v>
      </c>
      <c r="H2826" s="171">
        <v>0.98</v>
      </c>
      <c r="I2826" s="174"/>
      <c r="J2826" s="174">
        <v>369.45</v>
      </c>
      <c r="K2826" s="174">
        <v>369.45</v>
      </c>
      <c r="L2826" s="174"/>
      <c r="M2826" s="161" t="s">
        <v>6430</v>
      </c>
      <c r="N2826" s="161"/>
      <c r="O2826" s="161"/>
      <c r="P2826" s="49"/>
      <c r="Q2826" s="166"/>
      <c r="R2826" s="151"/>
    </row>
    <row r="2827" spans="1:18">
      <c r="A2827" s="166" t="s">
        <v>67</v>
      </c>
      <c r="B2827" s="166" t="s">
        <v>719</v>
      </c>
      <c r="C2827" s="135" t="s">
        <v>720</v>
      </c>
      <c r="D2827" s="161" t="s">
        <v>720</v>
      </c>
      <c r="E2827" s="161" t="s">
        <v>2204</v>
      </c>
      <c r="F2827" s="161" t="s">
        <v>6503</v>
      </c>
      <c r="G2827" s="163">
        <v>0</v>
      </c>
      <c r="H2827" s="163">
        <v>0</v>
      </c>
      <c r="I2827" s="174"/>
      <c r="J2827" s="163">
        <v>0</v>
      </c>
      <c r="K2827" s="163">
        <v>0</v>
      </c>
      <c r="L2827" s="174"/>
      <c r="M2827" s="161" t="s">
        <v>6430</v>
      </c>
      <c r="N2827" s="161"/>
      <c r="O2827" s="161"/>
      <c r="P2827" s="49"/>
      <c r="Q2827" s="166"/>
      <c r="R2827" s="151"/>
    </row>
    <row r="2828" spans="1:18">
      <c r="A2828" s="166" t="s">
        <v>67</v>
      </c>
      <c r="B2828" s="166" t="s">
        <v>719</v>
      </c>
      <c r="C2828" s="85" t="s">
        <v>6671</v>
      </c>
      <c r="D2828" s="161" t="s">
        <v>6672</v>
      </c>
      <c r="E2828" s="161" t="s">
        <v>2204</v>
      </c>
      <c r="F2828" s="161" t="s">
        <v>6503</v>
      </c>
      <c r="G2828" s="163">
        <v>8</v>
      </c>
      <c r="H2828" s="163">
        <f>G2828-G2827</f>
        <v>8</v>
      </c>
      <c r="I2828" s="174"/>
      <c r="J2828" s="163">
        <v>3735</v>
      </c>
      <c r="K2828" s="163">
        <v>3735</v>
      </c>
      <c r="L2828" s="174"/>
      <c r="M2828" s="161" t="s">
        <v>6430</v>
      </c>
      <c r="N2828" s="161" t="s">
        <v>1299</v>
      </c>
      <c r="O2828" s="161" t="s">
        <v>25</v>
      </c>
      <c r="P2828" s="49" t="s">
        <v>25</v>
      </c>
      <c r="Q2828" s="166" t="s">
        <v>6673</v>
      </c>
      <c r="R2828" s="151"/>
    </row>
    <row r="2829" spans="1:18">
      <c r="A2829" s="166" t="s">
        <v>67</v>
      </c>
      <c r="B2829" s="166" t="s">
        <v>719</v>
      </c>
      <c r="C2829" s="85" t="s">
        <v>6674</v>
      </c>
      <c r="D2829" s="161" t="s">
        <v>6675</v>
      </c>
      <c r="E2829" s="161" t="s">
        <v>2204</v>
      </c>
      <c r="F2829" s="161" t="s">
        <v>6503</v>
      </c>
      <c r="G2829" s="163">
        <v>14.99</v>
      </c>
      <c r="H2829" s="163">
        <f>G2829-G2828</f>
        <v>6.99</v>
      </c>
      <c r="I2829" s="174"/>
      <c r="J2829" s="163">
        <v>3263</v>
      </c>
      <c r="K2829" s="163">
        <v>6998</v>
      </c>
      <c r="L2829" s="174"/>
      <c r="M2829" s="161" t="s">
        <v>6430</v>
      </c>
      <c r="N2829" s="161" t="s">
        <v>1299</v>
      </c>
      <c r="O2829" s="161" t="s">
        <v>25</v>
      </c>
      <c r="P2829" s="49" t="s">
        <v>25</v>
      </c>
      <c r="Q2829" s="166" t="s">
        <v>6676</v>
      </c>
      <c r="R2829" s="151"/>
    </row>
    <row r="2830" spans="1:18">
      <c r="A2830" s="166" t="s">
        <v>67</v>
      </c>
      <c r="B2830" s="166" t="s">
        <v>719</v>
      </c>
      <c r="C2830" s="85" t="s">
        <v>6677</v>
      </c>
      <c r="D2830" s="161" t="s">
        <v>6678</v>
      </c>
      <c r="E2830" s="161" t="s">
        <v>2204</v>
      </c>
      <c r="F2830" s="161" t="s">
        <v>6503</v>
      </c>
      <c r="G2830" s="163">
        <v>22.07</v>
      </c>
      <c r="H2830" s="163">
        <f>G2830-G2829</f>
        <v>7.08</v>
      </c>
      <c r="I2830" s="174"/>
      <c r="J2830" s="163">
        <v>3305</v>
      </c>
      <c r="K2830" s="163">
        <v>10304</v>
      </c>
      <c r="L2830" s="174"/>
      <c r="M2830" s="161" t="s">
        <v>6430</v>
      </c>
      <c r="N2830" s="161" t="s">
        <v>1299</v>
      </c>
      <c r="O2830" s="161" t="s">
        <v>25</v>
      </c>
      <c r="P2830" s="49" t="s">
        <v>25</v>
      </c>
      <c r="Q2830" s="166" t="s">
        <v>6679</v>
      </c>
      <c r="R2830" s="151"/>
    </row>
    <row r="2831" spans="1:18">
      <c r="A2831" s="166" t="s">
        <v>67</v>
      </c>
      <c r="B2831" s="166" t="s">
        <v>719</v>
      </c>
      <c r="C2831" s="85" t="s">
        <v>6680</v>
      </c>
      <c r="D2831" s="161" t="s">
        <v>6681</v>
      </c>
      <c r="E2831" s="161" t="s">
        <v>2204</v>
      </c>
      <c r="F2831" s="161" t="s">
        <v>6503</v>
      </c>
      <c r="G2831" s="163">
        <v>27.32</v>
      </c>
      <c r="H2831" s="163">
        <f>G2831-G2830</f>
        <v>5.25</v>
      </c>
      <c r="I2831" s="174"/>
      <c r="J2831" s="163">
        <v>2449</v>
      </c>
      <c r="K2831" s="163">
        <v>12753</v>
      </c>
      <c r="L2831" s="174"/>
      <c r="M2831" s="161" t="s">
        <v>6430</v>
      </c>
      <c r="N2831" s="161" t="s">
        <v>1299</v>
      </c>
      <c r="O2831" s="161" t="s">
        <v>25</v>
      </c>
      <c r="P2831" s="49" t="s">
        <v>25</v>
      </c>
      <c r="Q2831" s="166" t="s">
        <v>6682</v>
      </c>
      <c r="R2831" s="151"/>
    </row>
    <row r="2832" spans="1:18">
      <c r="A2832" s="166" t="s">
        <v>67</v>
      </c>
      <c r="B2832" s="166" t="s">
        <v>719</v>
      </c>
      <c r="C2832" s="135" t="s">
        <v>721</v>
      </c>
      <c r="D2832" s="161" t="s">
        <v>721</v>
      </c>
      <c r="E2832" s="161" t="s">
        <v>2204</v>
      </c>
      <c r="F2832" s="161"/>
      <c r="G2832" s="163">
        <v>34.34</v>
      </c>
      <c r="H2832" s="163">
        <f>G2832-G2831</f>
        <v>7.02</v>
      </c>
      <c r="I2832" s="174"/>
      <c r="J2832" s="163">
        <v>3231</v>
      </c>
      <c r="K2832" s="163">
        <v>15984</v>
      </c>
      <c r="L2832" s="174"/>
      <c r="M2832" s="161" t="s">
        <v>6430</v>
      </c>
      <c r="N2832" s="161"/>
      <c r="O2832" s="161"/>
      <c r="P2832" s="49"/>
      <c r="Q2832" s="166" t="s">
        <v>6683</v>
      </c>
      <c r="R2832" s="151"/>
    </row>
    <row r="2833" ht="30" spans="1:18">
      <c r="A2833" s="166" t="s">
        <v>67</v>
      </c>
      <c r="B2833" s="166" t="s">
        <v>722</v>
      </c>
      <c r="C2833" s="135" t="s">
        <v>723</v>
      </c>
      <c r="D2833" s="161"/>
      <c r="E2833" s="161" t="s">
        <v>2204</v>
      </c>
      <c r="F2833" s="161"/>
      <c r="G2833" s="163">
        <v>0</v>
      </c>
      <c r="H2833" s="163">
        <v>0</v>
      </c>
      <c r="I2833" s="163"/>
      <c r="J2833" s="163">
        <v>0</v>
      </c>
      <c r="K2833" s="174">
        <v>0</v>
      </c>
      <c r="L2833" s="174"/>
      <c r="M2833" s="161" t="e">
        <v>#N/A</v>
      </c>
      <c r="N2833" s="161"/>
      <c r="O2833" s="161"/>
      <c r="P2833" s="49"/>
      <c r="Q2833" s="166" t="e">
        <v>#N/A</v>
      </c>
      <c r="R2833" s="151"/>
    </row>
    <row r="2834" spans="1:18">
      <c r="A2834" s="166" t="s">
        <v>67</v>
      </c>
      <c r="B2834" s="166" t="s">
        <v>722</v>
      </c>
      <c r="C2834" s="85" t="s">
        <v>6684</v>
      </c>
      <c r="D2834" s="161" t="s">
        <v>6684</v>
      </c>
      <c r="E2834" s="161" t="s">
        <v>2204</v>
      </c>
      <c r="F2834" s="161"/>
      <c r="G2834" s="163">
        <v>0.3</v>
      </c>
      <c r="H2834" s="163">
        <v>0.3</v>
      </c>
      <c r="I2834" s="163"/>
      <c r="J2834" s="163">
        <v>238.8</v>
      </c>
      <c r="K2834" s="174">
        <v>238.8</v>
      </c>
      <c r="L2834" s="174"/>
      <c r="M2834" s="161">
        <v>0</v>
      </c>
      <c r="N2834" s="161"/>
      <c r="O2834" s="161" t="s">
        <v>15</v>
      </c>
      <c r="P2834" s="49" t="s">
        <v>15</v>
      </c>
      <c r="Q2834" s="166" t="s">
        <v>6685</v>
      </c>
      <c r="R2834" s="151"/>
    </row>
    <row r="2835" ht="30" spans="1:18">
      <c r="A2835" s="166" t="s">
        <v>67</v>
      </c>
      <c r="B2835" s="166" t="s">
        <v>722</v>
      </c>
      <c r="C2835" s="135" t="s">
        <v>724</v>
      </c>
      <c r="D2835" s="161"/>
      <c r="E2835" s="161" t="s">
        <v>2204</v>
      </c>
      <c r="F2835" s="161"/>
      <c r="G2835" s="163">
        <v>0.5</v>
      </c>
      <c r="H2835" s="163">
        <v>0.5</v>
      </c>
      <c r="I2835" s="163"/>
      <c r="J2835" s="163"/>
      <c r="K2835" s="174"/>
      <c r="L2835" s="174"/>
      <c r="M2835" s="161" t="e">
        <v>#N/A</v>
      </c>
      <c r="N2835" s="161"/>
      <c r="O2835" s="161"/>
      <c r="P2835" s="49"/>
      <c r="Q2835" s="166" t="e">
        <v>#N/A</v>
      </c>
      <c r="R2835" s="151"/>
    </row>
    <row r="2836" s="152" customFormat="1" spans="1:18">
      <c r="A2836" s="166" t="s">
        <v>67</v>
      </c>
      <c r="B2836" s="166" t="s">
        <v>725</v>
      </c>
      <c r="C2836" s="85" t="s">
        <v>726</v>
      </c>
      <c r="D2836" s="161" t="s">
        <v>726</v>
      </c>
      <c r="E2836" s="161" t="s">
        <v>2204</v>
      </c>
      <c r="F2836" s="161"/>
      <c r="G2836" s="163">
        <v>0</v>
      </c>
      <c r="H2836" s="163">
        <v>0</v>
      </c>
      <c r="I2836" s="163"/>
      <c r="J2836" s="163">
        <v>0</v>
      </c>
      <c r="K2836" s="174">
        <v>0</v>
      </c>
      <c r="L2836" s="174"/>
      <c r="M2836" s="161"/>
      <c r="N2836" s="161"/>
      <c r="O2836" s="161"/>
      <c r="P2836" s="49" t="s">
        <v>15</v>
      </c>
      <c r="Q2836" s="166" t="s">
        <v>6686</v>
      </c>
      <c r="R2836" s="151"/>
    </row>
    <row r="2837" s="152" customFormat="1" spans="1:18">
      <c r="A2837" s="166" t="s">
        <v>67</v>
      </c>
      <c r="B2837" s="166" t="s">
        <v>725</v>
      </c>
      <c r="C2837" s="85" t="s">
        <v>727</v>
      </c>
      <c r="D2837" s="161" t="s">
        <v>727</v>
      </c>
      <c r="E2837" s="161" t="s">
        <v>2204</v>
      </c>
      <c r="F2837" s="161"/>
      <c r="G2837" s="163">
        <v>11.6</v>
      </c>
      <c r="H2837" s="163">
        <v>11.6</v>
      </c>
      <c r="I2837" s="163"/>
      <c r="J2837" s="163">
        <v>4114.6</v>
      </c>
      <c r="K2837" s="174">
        <v>4114.6</v>
      </c>
      <c r="L2837" s="174"/>
      <c r="M2837" s="161"/>
      <c r="N2837" s="161"/>
      <c r="O2837" s="161"/>
      <c r="P2837" s="49" t="s">
        <v>15</v>
      </c>
      <c r="Q2837" s="166" t="s">
        <v>6687</v>
      </c>
      <c r="R2837" s="151"/>
    </row>
    <row r="2838" s="152" customFormat="1" spans="1:18">
      <c r="A2838" s="166" t="s">
        <v>67</v>
      </c>
      <c r="B2838" s="166" t="s">
        <v>728</v>
      </c>
      <c r="C2838" s="85" t="s">
        <v>729</v>
      </c>
      <c r="D2838" s="161" t="s">
        <v>729</v>
      </c>
      <c r="E2838" s="161" t="s">
        <v>1689</v>
      </c>
      <c r="F2838" s="161"/>
      <c r="G2838" s="163">
        <v>0</v>
      </c>
      <c r="H2838" s="163">
        <v>0</v>
      </c>
      <c r="I2838" s="163"/>
      <c r="J2838" s="163">
        <v>0</v>
      </c>
      <c r="K2838" s="174">
        <v>0</v>
      </c>
      <c r="L2838" s="174"/>
      <c r="M2838" s="161" t="s">
        <v>6688</v>
      </c>
      <c r="N2838" s="161"/>
      <c r="O2838" s="161"/>
      <c r="P2838" s="49" t="s">
        <v>15</v>
      </c>
      <c r="Q2838" s="166"/>
      <c r="R2838" s="151"/>
    </row>
    <row r="2839" s="152" customFormat="1" spans="1:18">
      <c r="A2839" s="166" t="s">
        <v>67</v>
      </c>
      <c r="B2839" s="166" t="s">
        <v>728</v>
      </c>
      <c r="C2839" s="85" t="s">
        <v>1298</v>
      </c>
      <c r="D2839" s="161" t="s">
        <v>1298</v>
      </c>
      <c r="E2839" s="161" t="s">
        <v>1689</v>
      </c>
      <c r="F2839" s="161"/>
      <c r="G2839" s="163">
        <v>17.5</v>
      </c>
      <c r="H2839" s="163">
        <v>17.5</v>
      </c>
      <c r="I2839" s="163"/>
      <c r="J2839" s="163">
        <v>1263.3</v>
      </c>
      <c r="K2839" s="163">
        <v>1263.3</v>
      </c>
      <c r="L2839" s="174"/>
      <c r="M2839" s="161" t="s">
        <v>6688</v>
      </c>
      <c r="N2839" s="161"/>
      <c r="O2839" s="161"/>
      <c r="P2839" s="49" t="s">
        <v>25</v>
      </c>
      <c r="Q2839" s="166"/>
      <c r="R2839" s="151"/>
    </row>
    <row r="2840" s="152" customFormat="1" spans="1:18">
      <c r="A2840" s="166" t="s">
        <v>67</v>
      </c>
      <c r="B2840" s="166" t="s">
        <v>728</v>
      </c>
      <c r="C2840" s="85" t="s">
        <v>1302</v>
      </c>
      <c r="D2840" s="161" t="s">
        <v>1302</v>
      </c>
      <c r="E2840" s="161" t="s">
        <v>1689</v>
      </c>
      <c r="F2840" s="161"/>
      <c r="G2840" s="163">
        <v>25.3</v>
      </c>
      <c r="H2840" s="163">
        <v>7.8</v>
      </c>
      <c r="I2840" s="163"/>
      <c r="J2840" s="163">
        <v>561.5</v>
      </c>
      <c r="K2840" s="174">
        <v>1824.8</v>
      </c>
      <c r="L2840" s="174"/>
      <c r="M2840" s="161" t="s">
        <v>6688</v>
      </c>
      <c r="N2840" s="161"/>
      <c r="O2840" s="161"/>
      <c r="P2840" s="49" t="s">
        <v>25</v>
      </c>
      <c r="Q2840" s="166"/>
      <c r="R2840" s="151"/>
    </row>
    <row r="2841" s="152" customFormat="1" spans="1:18">
      <c r="A2841" s="166" t="s">
        <v>67</v>
      </c>
      <c r="B2841" s="166" t="s">
        <v>728</v>
      </c>
      <c r="C2841" s="85" t="s">
        <v>6689</v>
      </c>
      <c r="D2841" s="161" t="s">
        <v>6689</v>
      </c>
      <c r="E2841" s="161" t="s">
        <v>1689</v>
      </c>
      <c r="F2841" s="161"/>
      <c r="G2841" s="163">
        <v>38.2</v>
      </c>
      <c r="H2841" s="163">
        <v>12.9</v>
      </c>
      <c r="I2841" s="163"/>
      <c r="J2841" s="163">
        <v>912.4</v>
      </c>
      <c r="K2841" s="174">
        <v>2667</v>
      </c>
      <c r="L2841" s="174"/>
      <c r="M2841" s="161" t="s">
        <v>6688</v>
      </c>
      <c r="N2841" s="161"/>
      <c r="O2841" s="161"/>
      <c r="P2841" s="49" t="s">
        <v>15</v>
      </c>
      <c r="Q2841" s="166"/>
      <c r="R2841" s="151"/>
    </row>
    <row r="2842" s="152" customFormat="1" spans="1:18">
      <c r="A2842" s="166" t="s">
        <v>67</v>
      </c>
      <c r="B2842" s="166" t="s">
        <v>728</v>
      </c>
      <c r="C2842" s="85" t="s">
        <v>1305</v>
      </c>
      <c r="D2842" s="161" t="s">
        <v>1305</v>
      </c>
      <c r="E2842" s="161" t="s">
        <v>1689</v>
      </c>
      <c r="F2842" s="161"/>
      <c r="G2842" s="163">
        <v>51</v>
      </c>
      <c r="H2842" s="163">
        <v>12.8</v>
      </c>
      <c r="I2842" s="163"/>
      <c r="J2842" s="163">
        <v>912.4</v>
      </c>
      <c r="K2842" s="174">
        <v>3579.4</v>
      </c>
      <c r="L2842" s="174"/>
      <c r="M2842" s="161" t="s">
        <v>6688</v>
      </c>
      <c r="N2842" s="161"/>
      <c r="O2842" s="161"/>
      <c r="P2842" s="49" t="s">
        <v>25</v>
      </c>
      <c r="Q2842" s="166"/>
      <c r="R2842" s="151"/>
    </row>
    <row r="2843" s="152" customFormat="1" spans="1:18">
      <c r="A2843" s="166" t="s">
        <v>67</v>
      </c>
      <c r="B2843" s="166" t="s">
        <v>728</v>
      </c>
      <c r="C2843" s="85" t="s">
        <v>730</v>
      </c>
      <c r="D2843" s="161" t="s">
        <v>730</v>
      </c>
      <c r="E2843" s="161" t="s">
        <v>1689</v>
      </c>
      <c r="F2843" s="161"/>
      <c r="G2843" s="163">
        <v>61.5</v>
      </c>
      <c r="H2843" s="163">
        <v>10.5</v>
      </c>
      <c r="I2843" s="163"/>
      <c r="J2843" s="163">
        <v>770</v>
      </c>
      <c r="K2843" s="174">
        <v>4347</v>
      </c>
      <c r="L2843" s="174"/>
      <c r="M2843" s="161" t="s">
        <v>6688</v>
      </c>
      <c r="N2843" s="161"/>
      <c r="O2843" s="161"/>
      <c r="P2843" s="49" t="s">
        <v>14</v>
      </c>
      <c r="Q2843" s="166"/>
      <c r="R2843" s="151"/>
    </row>
    <row r="2844" s="152" customFormat="1" spans="1:18">
      <c r="A2844" s="166" t="s">
        <v>67</v>
      </c>
      <c r="B2844" s="166" t="s">
        <v>732</v>
      </c>
      <c r="C2844" s="135" t="s">
        <v>6597</v>
      </c>
      <c r="D2844" s="161" t="s">
        <v>6597</v>
      </c>
      <c r="E2844" s="161" t="s">
        <v>1689</v>
      </c>
      <c r="F2844" s="161"/>
      <c r="G2844" s="163">
        <v>0</v>
      </c>
      <c r="H2844" s="163">
        <v>0</v>
      </c>
      <c r="I2844" s="163">
        <v>1.62</v>
      </c>
      <c r="J2844" s="163">
        <v>0</v>
      </c>
      <c r="K2844" s="174">
        <v>0</v>
      </c>
      <c r="L2844" s="174"/>
      <c r="M2844" s="161" t="s">
        <v>6690</v>
      </c>
      <c r="N2844" s="161"/>
      <c r="O2844" s="161"/>
      <c r="P2844" s="49"/>
      <c r="Q2844" s="166"/>
      <c r="R2844" s="151"/>
    </row>
    <row r="2845" s="152" customFormat="1" spans="1:18">
      <c r="A2845" s="166" t="s">
        <v>67</v>
      </c>
      <c r="B2845" s="166" t="s">
        <v>732</v>
      </c>
      <c r="C2845" s="85" t="s">
        <v>734</v>
      </c>
      <c r="D2845" s="161" t="s">
        <v>734</v>
      </c>
      <c r="E2845" s="161" t="s">
        <v>1689</v>
      </c>
      <c r="F2845" s="161"/>
      <c r="G2845" s="163">
        <v>0.6</v>
      </c>
      <c r="H2845" s="163">
        <v>0.6</v>
      </c>
      <c r="I2845" s="163">
        <v>2.41</v>
      </c>
      <c r="J2845" s="163">
        <v>40</v>
      </c>
      <c r="K2845" s="174">
        <v>40</v>
      </c>
      <c r="L2845" s="174"/>
      <c r="M2845" s="161" t="s">
        <v>6690</v>
      </c>
      <c r="N2845" s="161"/>
      <c r="O2845" s="161"/>
      <c r="P2845" s="49" t="s">
        <v>14</v>
      </c>
      <c r="Q2845" s="166"/>
      <c r="R2845" s="151"/>
    </row>
    <row r="2846" s="150" customFormat="1" spans="1:18">
      <c r="A2846" s="166" t="s">
        <v>67</v>
      </c>
      <c r="B2846" s="166" t="s">
        <v>735</v>
      </c>
      <c r="C2846" s="135" t="s">
        <v>6589</v>
      </c>
      <c r="D2846" s="161" t="s">
        <v>6590</v>
      </c>
      <c r="E2846" s="164"/>
      <c r="F2846" s="164"/>
      <c r="G2846" s="163">
        <v>0</v>
      </c>
      <c r="H2846" s="163">
        <v>0</v>
      </c>
      <c r="I2846" s="163"/>
      <c r="J2846" s="163">
        <v>0</v>
      </c>
      <c r="K2846" s="174">
        <v>0</v>
      </c>
      <c r="L2846" s="174"/>
      <c r="M2846" s="161" t="s">
        <v>6691</v>
      </c>
      <c r="N2846" s="161" t="s">
        <v>1299</v>
      </c>
      <c r="O2846" s="161"/>
      <c r="P2846" s="49"/>
      <c r="Q2846" s="166"/>
      <c r="R2846" s="22"/>
    </row>
    <row r="2847" s="150" customFormat="1" spans="1:18">
      <c r="A2847" s="166" t="s">
        <v>67</v>
      </c>
      <c r="B2847" s="166" t="s">
        <v>735</v>
      </c>
      <c r="C2847" s="85" t="s">
        <v>6692</v>
      </c>
      <c r="D2847" s="161" t="s">
        <v>6692</v>
      </c>
      <c r="E2847" s="164"/>
      <c r="F2847" s="164"/>
      <c r="G2847" s="163">
        <v>0.48</v>
      </c>
      <c r="H2847" s="163">
        <v>0.48</v>
      </c>
      <c r="I2847" s="163"/>
      <c r="J2847" s="163">
        <v>90</v>
      </c>
      <c r="K2847" s="174">
        <v>90</v>
      </c>
      <c r="L2847" s="174"/>
      <c r="M2847" s="161" t="s">
        <v>6691</v>
      </c>
      <c r="N2847" s="161"/>
      <c r="O2847" s="161"/>
      <c r="P2847" s="49" t="s">
        <v>14</v>
      </c>
      <c r="Q2847" s="166"/>
      <c r="R2847" s="22"/>
    </row>
    <row r="2848" s="150" customFormat="1" spans="1:18">
      <c r="A2848" s="166" t="s">
        <v>67</v>
      </c>
      <c r="B2848" s="166" t="s">
        <v>735</v>
      </c>
      <c r="C2848" s="85" t="s">
        <v>737</v>
      </c>
      <c r="D2848" s="161" t="s">
        <v>737</v>
      </c>
      <c r="E2848" s="164"/>
      <c r="F2848" s="164"/>
      <c r="G2848" s="163">
        <v>8</v>
      </c>
      <c r="H2848" s="163">
        <v>7.52</v>
      </c>
      <c r="I2848" s="163"/>
      <c r="J2848" s="163">
        <v>1410</v>
      </c>
      <c r="K2848" s="174">
        <v>1500</v>
      </c>
      <c r="L2848" s="174"/>
      <c r="M2848" s="161" t="s">
        <v>6691</v>
      </c>
      <c r="N2848" s="161"/>
      <c r="O2848" s="161"/>
      <c r="P2848" s="49" t="s">
        <v>14</v>
      </c>
      <c r="Q2848" s="166"/>
      <c r="R2848" s="22"/>
    </row>
    <row r="2849" s="150" customFormat="1" spans="1:18">
      <c r="A2849" s="101" t="s">
        <v>68</v>
      </c>
      <c r="B2849" s="166" t="s">
        <v>740</v>
      </c>
      <c r="C2849" s="135" t="s">
        <v>1820</v>
      </c>
      <c r="D2849" s="161" t="s">
        <v>1307</v>
      </c>
      <c r="E2849" s="164"/>
      <c r="F2849" s="164"/>
      <c r="G2849" s="163">
        <v>0</v>
      </c>
      <c r="H2849" s="163" t="s">
        <v>147</v>
      </c>
      <c r="I2849" s="163" t="s">
        <v>147</v>
      </c>
      <c r="J2849" s="163" t="s">
        <v>147</v>
      </c>
      <c r="K2849" s="163" t="s">
        <v>147</v>
      </c>
      <c r="L2849" s="174"/>
      <c r="M2849" s="161" t="s">
        <v>6693</v>
      </c>
      <c r="N2849" s="161" t="s">
        <v>1299</v>
      </c>
      <c r="O2849" s="161"/>
      <c r="P2849" s="49"/>
      <c r="Q2849" s="166" t="s">
        <v>6694</v>
      </c>
      <c r="R2849" s="22"/>
    </row>
    <row r="2850" s="150" customFormat="1" spans="1:18">
      <c r="A2850" s="101" t="s">
        <v>68</v>
      </c>
      <c r="B2850" s="166" t="s">
        <v>740</v>
      </c>
      <c r="C2850" s="85" t="s">
        <v>741</v>
      </c>
      <c r="D2850" s="161" t="s">
        <v>1311</v>
      </c>
      <c r="E2850" s="164"/>
      <c r="F2850" s="164"/>
      <c r="G2850" s="163">
        <v>15.96</v>
      </c>
      <c r="H2850" s="163" t="s">
        <v>147</v>
      </c>
      <c r="I2850" s="163" t="s">
        <v>147</v>
      </c>
      <c r="J2850" s="163" t="s">
        <v>147</v>
      </c>
      <c r="K2850" s="163" t="s">
        <v>147</v>
      </c>
      <c r="L2850" s="174"/>
      <c r="M2850" s="161" t="s">
        <v>6693</v>
      </c>
      <c r="N2850" s="161" t="s">
        <v>1299</v>
      </c>
      <c r="O2850" s="161"/>
      <c r="P2850" s="49" t="s">
        <v>25</v>
      </c>
      <c r="Q2850" s="166" t="s">
        <v>6695</v>
      </c>
      <c r="R2850" s="22"/>
    </row>
    <row r="2851" s="150" customFormat="1" spans="1:18">
      <c r="A2851" s="101" t="s">
        <v>68</v>
      </c>
      <c r="B2851" s="166" t="s">
        <v>740</v>
      </c>
      <c r="C2851" s="85" t="s">
        <v>1848</v>
      </c>
      <c r="D2851" s="161" t="s">
        <v>1318</v>
      </c>
      <c r="E2851" s="164"/>
      <c r="F2851" s="164"/>
      <c r="G2851" s="163">
        <v>32.47</v>
      </c>
      <c r="H2851" s="163">
        <v>16.51</v>
      </c>
      <c r="I2851" s="163" t="s">
        <v>147</v>
      </c>
      <c r="J2851" s="163">
        <v>17816.7</v>
      </c>
      <c r="K2851" s="163" t="s">
        <v>147</v>
      </c>
      <c r="L2851" s="174"/>
      <c r="M2851" s="161" t="s">
        <v>6693</v>
      </c>
      <c r="N2851" s="161" t="s">
        <v>1299</v>
      </c>
      <c r="O2851" s="161"/>
      <c r="P2851" s="49" t="s">
        <v>25</v>
      </c>
      <c r="Q2851" s="166" t="s">
        <v>6696</v>
      </c>
      <c r="R2851" s="22"/>
    </row>
    <row r="2852" s="150" customFormat="1" spans="1:18">
      <c r="A2852" s="101" t="s">
        <v>68</v>
      </c>
      <c r="B2852" s="166" t="s">
        <v>740</v>
      </c>
      <c r="C2852" s="85" t="s">
        <v>1851</v>
      </c>
      <c r="D2852" s="161" t="s">
        <v>1321</v>
      </c>
      <c r="E2852" s="164"/>
      <c r="F2852" s="164"/>
      <c r="G2852" s="163">
        <v>52.24</v>
      </c>
      <c r="H2852" s="163">
        <v>19.77</v>
      </c>
      <c r="I2852" s="163" t="s">
        <v>147</v>
      </c>
      <c r="J2852" s="163">
        <v>22270.9</v>
      </c>
      <c r="K2852" s="163" t="s">
        <v>147</v>
      </c>
      <c r="L2852" s="174"/>
      <c r="M2852" s="161" t="s">
        <v>6693</v>
      </c>
      <c r="N2852" s="161" t="s">
        <v>1299</v>
      </c>
      <c r="O2852" s="161"/>
      <c r="P2852" s="49" t="s">
        <v>25</v>
      </c>
      <c r="Q2852" s="166" t="s">
        <v>6697</v>
      </c>
      <c r="R2852" s="22"/>
    </row>
    <row r="2853" s="150" customFormat="1" spans="1:18">
      <c r="A2853" s="101" t="s">
        <v>68</v>
      </c>
      <c r="B2853" s="166" t="s">
        <v>740</v>
      </c>
      <c r="C2853" s="85" t="s">
        <v>742</v>
      </c>
      <c r="D2853" s="161" t="s">
        <v>742</v>
      </c>
      <c r="E2853" s="164"/>
      <c r="F2853" s="164"/>
      <c r="G2853" s="163">
        <v>72.11</v>
      </c>
      <c r="H2853" s="163">
        <v>19.87</v>
      </c>
      <c r="I2853" s="163" t="s">
        <v>147</v>
      </c>
      <c r="J2853" s="163">
        <v>23384.4</v>
      </c>
      <c r="K2853" s="163" t="s">
        <v>147</v>
      </c>
      <c r="L2853" s="174"/>
      <c r="M2853" s="161" t="s">
        <v>6693</v>
      </c>
      <c r="N2853" s="161"/>
      <c r="O2853" s="161"/>
      <c r="P2853" s="49" t="s">
        <v>6</v>
      </c>
      <c r="Q2853" s="166" t="s">
        <v>6698</v>
      </c>
      <c r="R2853" s="22"/>
    </row>
    <row r="2854" s="150" customFormat="1" spans="1:18">
      <c r="A2854" s="101" t="s">
        <v>68</v>
      </c>
      <c r="B2854" s="166" t="s">
        <v>740</v>
      </c>
      <c r="C2854" s="135" t="s">
        <v>1933</v>
      </c>
      <c r="D2854" s="161" t="s">
        <v>1324</v>
      </c>
      <c r="E2854" s="164"/>
      <c r="F2854" s="164"/>
      <c r="G2854" s="163">
        <v>94.69</v>
      </c>
      <c r="H2854" s="163" t="s">
        <v>147</v>
      </c>
      <c r="I2854" s="163" t="s">
        <v>147</v>
      </c>
      <c r="J2854" s="163" t="s">
        <v>147</v>
      </c>
      <c r="K2854" s="163" t="s">
        <v>147</v>
      </c>
      <c r="L2854" s="174"/>
      <c r="M2854" s="161" t="s">
        <v>6693</v>
      </c>
      <c r="N2854" s="161" t="s">
        <v>1299</v>
      </c>
      <c r="O2854" s="161"/>
      <c r="P2854" s="49"/>
      <c r="Q2854" s="166" t="s">
        <v>6699</v>
      </c>
      <c r="R2854" s="22"/>
    </row>
    <row r="2855" s="153" customFormat="1" spans="1:18">
      <c r="A2855" s="101" t="s">
        <v>68</v>
      </c>
      <c r="B2855" s="166" t="s">
        <v>745</v>
      </c>
      <c r="C2855" s="135" t="s">
        <v>742</v>
      </c>
      <c r="D2855" s="161" t="s">
        <v>742</v>
      </c>
      <c r="E2855" s="161"/>
      <c r="F2855" s="161"/>
      <c r="G2855" s="163">
        <v>0</v>
      </c>
      <c r="H2855" s="163">
        <v>0</v>
      </c>
      <c r="I2855" s="163"/>
      <c r="J2855" s="163"/>
      <c r="K2855" s="163"/>
      <c r="L2855" s="174"/>
      <c r="M2855" s="161"/>
      <c r="N2855" s="161"/>
      <c r="O2855" s="161"/>
      <c r="P2855" s="49"/>
      <c r="Q2855" s="166" t="s">
        <v>6698</v>
      </c>
      <c r="R2855" s="22"/>
    </row>
    <row r="2856" s="153" customFormat="1" spans="1:18">
      <c r="A2856" s="101" t="s">
        <v>68</v>
      </c>
      <c r="B2856" s="166" t="s">
        <v>745</v>
      </c>
      <c r="C2856" s="135" t="s">
        <v>5947</v>
      </c>
      <c r="D2856" s="161" t="s">
        <v>5947</v>
      </c>
      <c r="E2856" s="161"/>
      <c r="F2856" s="161"/>
      <c r="G2856" s="163">
        <v>1.4</v>
      </c>
      <c r="H2856" s="163">
        <v>1.4</v>
      </c>
      <c r="I2856" s="163"/>
      <c r="J2856" s="163"/>
      <c r="K2856" s="163"/>
      <c r="L2856" s="174"/>
      <c r="M2856" s="161"/>
      <c r="N2856" s="161"/>
      <c r="O2856" s="161"/>
      <c r="P2856" s="49"/>
      <c r="Q2856" s="166"/>
      <c r="R2856" s="22"/>
    </row>
    <row r="2857" spans="1:18">
      <c r="A2857" s="166" t="s">
        <v>69</v>
      </c>
      <c r="B2857" s="166" t="s">
        <v>748</v>
      </c>
      <c r="C2857" s="85" t="s">
        <v>621</v>
      </c>
      <c r="D2857" s="161" t="s">
        <v>621</v>
      </c>
      <c r="E2857" s="161" t="s">
        <v>4952</v>
      </c>
      <c r="F2857" s="161" t="s">
        <v>6038</v>
      </c>
      <c r="G2857" s="171">
        <v>0</v>
      </c>
      <c r="H2857" s="163">
        <v>0</v>
      </c>
      <c r="I2857" s="163">
        <v>442</v>
      </c>
      <c r="J2857" s="163">
        <v>0</v>
      </c>
      <c r="K2857" s="163">
        <v>0</v>
      </c>
      <c r="L2857" s="174"/>
      <c r="M2857" s="161" t="s">
        <v>6039</v>
      </c>
      <c r="N2857" s="161"/>
      <c r="O2857" s="161" t="s">
        <v>6</v>
      </c>
      <c r="P2857" s="49" t="s">
        <v>6</v>
      </c>
      <c r="Q2857" s="166" t="s">
        <v>6040</v>
      </c>
      <c r="R2857" s="151"/>
    </row>
    <row r="2858" spans="1:18">
      <c r="A2858" s="166" t="s">
        <v>69</v>
      </c>
      <c r="B2858" s="166" t="s">
        <v>748</v>
      </c>
      <c r="C2858" s="85" t="s">
        <v>6700</v>
      </c>
      <c r="D2858" s="161" t="s">
        <v>1324</v>
      </c>
      <c r="E2858" s="161" t="s">
        <v>4952</v>
      </c>
      <c r="F2858" s="161" t="s">
        <v>6038</v>
      </c>
      <c r="G2858" s="171">
        <v>22.2235</v>
      </c>
      <c r="H2858" s="163">
        <f>G2858-G2857</f>
        <v>22.2235</v>
      </c>
      <c r="I2858" s="163">
        <v>347</v>
      </c>
      <c r="J2858" s="163">
        <v>16797</v>
      </c>
      <c r="K2858" s="163">
        <v>16797</v>
      </c>
      <c r="L2858" s="174"/>
      <c r="M2858" s="161" t="s">
        <v>6039</v>
      </c>
      <c r="N2858" s="161" t="s">
        <v>1299</v>
      </c>
      <c r="O2858" s="161" t="s">
        <v>25</v>
      </c>
      <c r="P2858" s="49" t="s">
        <v>25</v>
      </c>
      <c r="Q2858" s="166" t="s">
        <v>6701</v>
      </c>
      <c r="R2858" s="151"/>
    </row>
    <row r="2859" spans="1:18">
      <c r="A2859" s="166" t="s">
        <v>69</v>
      </c>
      <c r="B2859" s="166" t="s">
        <v>748</v>
      </c>
      <c r="C2859" s="85" t="s">
        <v>6702</v>
      </c>
      <c r="D2859" s="161" t="s">
        <v>1321</v>
      </c>
      <c r="E2859" s="161" t="s">
        <v>4952</v>
      </c>
      <c r="F2859" s="161" t="s">
        <v>6038</v>
      </c>
      <c r="G2859" s="171">
        <v>45.3801</v>
      </c>
      <c r="H2859" s="163">
        <f t="shared" ref="H2859:H2867" si="221">G2859-G2858</f>
        <v>23.1566</v>
      </c>
      <c r="I2859" s="163">
        <v>347</v>
      </c>
      <c r="J2859" s="163">
        <v>17503</v>
      </c>
      <c r="K2859" s="163">
        <v>34300</v>
      </c>
      <c r="L2859" s="174"/>
      <c r="M2859" s="161" t="s">
        <v>6039</v>
      </c>
      <c r="N2859" s="161" t="s">
        <v>1299</v>
      </c>
      <c r="O2859" s="161" t="s">
        <v>25</v>
      </c>
      <c r="P2859" s="49" t="s">
        <v>25</v>
      </c>
      <c r="Q2859" s="166" t="s">
        <v>6703</v>
      </c>
      <c r="R2859" s="151"/>
    </row>
    <row r="2860" spans="1:18">
      <c r="A2860" s="166" t="s">
        <v>69</v>
      </c>
      <c r="B2860" s="166" t="s">
        <v>748</v>
      </c>
      <c r="C2860" s="85" t="s">
        <v>6704</v>
      </c>
      <c r="D2860" s="161" t="s">
        <v>1318</v>
      </c>
      <c r="E2860" s="161" t="s">
        <v>4952</v>
      </c>
      <c r="F2860" s="161" t="s">
        <v>6038</v>
      </c>
      <c r="G2860" s="171">
        <v>68.9528</v>
      </c>
      <c r="H2860" s="163">
        <f t="shared" si="221"/>
        <v>23.5727</v>
      </c>
      <c r="I2860" s="163">
        <v>481</v>
      </c>
      <c r="J2860" s="163">
        <v>17817</v>
      </c>
      <c r="K2860" s="163">
        <v>52117</v>
      </c>
      <c r="L2860" s="174"/>
      <c r="M2860" s="161" t="s">
        <v>6039</v>
      </c>
      <c r="N2860" s="161" t="s">
        <v>1299</v>
      </c>
      <c r="O2860" s="161" t="s">
        <v>25</v>
      </c>
      <c r="P2860" s="49" t="s">
        <v>25</v>
      </c>
      <c r="Q2860" s="166" t="s">
        <v>6705</v>
      </c>
      <c r="R2860" s="151"/>
    </row>
    <row r="2861" spans="1:18">
      <c r="A2861" s="166" t="s">
        <v>69</v>
      </c>
      <c r="B2861" s="166" t="s">
        <v>748</v>
      </c>
      <c r="C2861" s="85" t="s">
        <v>6706</v>
      </c>
      <c r="D2861" s="161" t="s">
        <v>1311</v>
      </c>
      <c r="E2861" s="161" t="s">
        <v>4952</v>
      </c>
      <c r="F2861" s="161" t="s">
        <v>6038</v>
      </c>
      <c r="G2861" s="171">
        <v>93.8506</v>
      </c>
      <c r="H2861" s="163">
        <f t="shared" si="221"/>
        <v>24.8978</v>
      </c>
      <c r="I2861" s="163">
        <v>352</v>
      </c>
      <c r="J2861" s="163">
        <v>18819</v>
      </c>
      <c r="K2861" s="163">
        <v>70936</v>
      </c>
      <c r="L2861" s="174"/>
      <c r="M2861" s="161" t="s">
        <v>6039</v>
      </c>
      <c r="N2861" s="161" t="s">
        <v>1299</v>
      </c>
      <c r="O2861" s="161" t="s">
        <v>25</v>
      </c>
      <c r="P2861" s="49" t="s">
        <v>25</v>
      </c>
      <c r="Q2861" s="166" t="s">
        <v>6707</v>
      </c>
      <c r="R2861" s="151"/>
    </row>
    <row r="2862" spans="1:18">
      <c r="A2862" s="166" t="s">
        <v>69</v>
      </c>
      <c r="B2862" s="166" t="s">
        <v>748</v>
      </c>
      <c r="C2862" s="85" t="s">
        <v>6708</v>
      </c>
      <c r="D2862" s="161" t="s">
        <v>1307</v>
      </c>
      <c r="E2862" s="161" t="s">
        <v>4952</v>
      </c>
      <c r="F2862" s="161" t="s">
        <v>6038</v>
      </c>
      <c r="G2862" s="171">
        <v>112.6223</v>
      </c>
      <c r="H2862" s="163">
        <f t="shared" si="221"/>
        <v>18.7717</v>
      </c>
      <c r="I2862" s="163">
        <v>318</v>
      </c>
      <c r="J2862" s="163">
        <v>14188</v>
      </c>
      <c r="K2862" s="163">
        <v>85124</v>
      </c>
      <c r="L2862" s="174"/>
      <c r="M2862" s="161" t="s">
        <v>6039</v>
      </c>
      <c r="N2862" s="161" t="s">
        <v>1299</v>
      </c>
      <c r="O2862" s="161" t="s">
        <v>25</v>
      </c>
      <c r="P2862" s="49" t="s">
        <v>25</v>
      </c>
      <c r="Q2862" s="166" t="s">
        <v>6709</v>
      </c>
      <c r="R2862" s="151"/>
    </row>
    <row r="2863" spans="1:18">
      <c r="A2863" s="166" t="s">
        <v>69</v>
      </c>
      <c r="B2863" s="166" t="s">
        <v>748</v>
      </c>
      <c r="C2863" s="85" t="s">
        <v>6710</v>
      </c>
      <c r="D2863" s="161" t="s">
        <v>6710</v>
      </c>
      <c r="E2863" s="161" t="s">
        <v>4952</v>
      </c>
      <c r="F2863" s="161" t="s">
        <v>6038</v>
      </c>
      <c r="G2863" s="171">
        <v>123.6999</v>
      </c>
      <c r="H2863" s="163">
        <f t="shared" si="221"/>
        <v>11.0776</v>
      </c>
      <c r="I2863" s="163">
        <v>709</v>
      </c>
      <c r="J2863" s="163">
        <v>8373</v>
      </c>
      <c r="K2863" s="163">
        <v>93497</v>
      </c>
      <c r="L2863" s="174"/>
      <c r="M2863" s="161" t="s">
        <v>6039</v>
      </c>
      <c r="N2863" s="161"/>
      <c r="O2863" s="161" t="s">
        <v>14</v>
      </c>
      <c r="P2863" s="49" t="s">
        <v>14</v>
      </c>
      <c r="Q2863" s="166" t="s">
        <v>6711</v>
      </c>
      <c r="R2863" s="151"/>
    </row>
    <row r="2864" spans="1:18">
      <c r="A2864" s="166" t="s">
        <v>69</v>
      </c>
      <c r="B2864" s="166" t="s">
        <v>748</v>
      </c>
      <c r="C2864" s="85" t="s">
        <v>6712</v>
      </c>
      <c r="D2864" s="161" t="s">
        <v>1305</v>
      </c>
      <c r="E2864" s="161" t="s">
        <v>4952</v>
      </c>
      <c r="F2864" s="161" t="s">
        <v>6038</v>
      </c>
      <c r="G2864" s="171">
        <v>139.7041</v>
      </c>
      <c r="H2864" s="163">
        <f t="shared" si="221"/>
        <v>16.0042</v>
      </c>
      <c r="I2864" s="163">
        <v>517</v>
      </c>
      <c r="J2864" s="163">
        <v>12097</v>
      </c>
      <c r="K2864" s="163">
        <v>105594</v>
      </c>
      <c r="L2864" s="174"/>
      <c r="M2864" s="161" t="s">
        <v>6039</v>
      </c>
      <c r="N2864" s="161" t="s">
        <v>1299</v>
      </c>
      <c r="O2864" s="161" t="s">
        <v>25</v>
      </c>
      <c r="P2864" s="49" t="s">
        <v>25</v>
      </c>
      <c r="Q2864" s="166" t="s">
        <v>6713</v>
      </c>
      <c r="R2864" s="151"/>
    </row>
    <row r="2865" spans="1:18">
      <c r="A2865" s="166" t="s">
        <v>69</v>
      </c>
      <c r="B2865" s="166" t="s">
        <v>748</v>
      </c>
      <c r="C2865" s="85" t="s">
        <v>6714</v>
      </c>
      <c r="D2865" s="161" t="s">
        <v>1302</v>
      </c>
      <c r="E2865" s="161" t="s">
        <v>4952</v>
      </c>
      <c r="F2865" s="161" t="s">
        <v>6038</v>
      </c>
      <c r="G2865" s="171">
        <v>159.9691</v>
      </c>
      <c r="H2865" s="163">
        <f t="shared" si="221"/>
        <v>20.265</v>
      </c>
      <c r="I2865" s="163">
        <v>835</v>
      </c>
      <c r="J2865" s="163">
        <v>15317</v>
      </c>
      <c r="K2865" s="163">
        <v>120911</v>
      </c>
      <c r="L2865" s="174"/>
      <c r="M2865" s="161" t="s">
        <v>6039</v>
      </c>
      <c r="N2865" s="161" t="s">
        <v>1299</v>
      </c>
      <c r="O2865" s="161" t="s">
        <v>25</v>
      </c>
      <c r="P2865" s="49" t="s">
        <v>25</v>
      </c>
      <c r="Q2865" s="166" t="s">
        <v>6715</v>
      </c>
      <c r="R2865" s="151"/>
    </row>
    <row r="2866" spans="1:18">
      <c r="A2866" s="166" t="s">
        <v>69</v>
      </c>
      <c r="B2866" s="166" t="s">
        <v>748</v>
      </c>
      <c r="C2866" s="85" t="s">
        <v>6716</v>
      </c>
      <c r="D2866" s="161" t="s">
        <v>1298</v>
      </c>
      <c r="E2866" s="161" t="s">
        <v>4952</v>
      </c>
      <c r="F2866" s="161" t="s">
        <v>6038</v>
      </c>
      <c r="G2866" s="171">
        <v>181.2352</v>
      </c>
      <c r="H2866" s="163">
        <f t="shared" si="221"/>
        <v>21.2661</v>
      </c>
      <c r="I2866" s="163">
        <v>724</v>
      </c>
      <c r="J2866" s="163">
        <v>16074</v>
      </c>
      <c r="K2866" s="163">
        <v>136984</v>
      </c>
      <c r="L2866" s="174"/>
      <c r="M2866" s="161" t="s">
        <v>6039</v>
      </c>
      <c r="N2866" s="161" t="s">
        <v>1299</v>
      </c>
      <c r="O2866" s="161" t="s">
        <v>25</v>
      </c>
      <c r="P2866" s="49" t="s">
        <v>25</v>
      </c>
      <c r="Q2866" s="166" t="s">
        <v>6717</v>
      </c>
      <c r="R2866" s="151"/>
    </row>
    <row r="2867" spans="1:18">
      <c r="A2867" s="166" t="s">
        <v>69</v>
      </c>
      <c r="B2867" s="166" t="s">
        <v>748</v>
      </c>
      <c r="C2867" s="135" t="s">
        <v>6718</v>
      </c>
      <c r="D2867" s="161" t="s">
        <v>689</v>
      </c>
      <c r="E2867" s="161" t="s">
        <v>4952</v>
      </c>
      <c r="F2867" s="161" t="s">
        <v>6038</v>
      </c>
      <c r="G2867" s="171">
        <v>200.6999</v>
      </c>
      <c r="H2867" s="163">
        <f t="shared" si="221"/>
        <v>19.4647</v>
      </c>
      <c r="I2867" s="163">
        <v>716</v>
      </c>
      <c r="J2867" s="163">
        <v>14712</v>
      </c>
      <c r="K2867" s="163">
        <v>151696</v>
      </c>
      <c r="L2867" s="174"/>
      <c r="M2867" s="161" t="s">
        <v>6039</v>
      </c>
      <c r="N2867" s="161"/>
      <c r="O2867" s="161"/>
      <c r="P2867" s="49"/>
      <c r="Q2867" s="166" t="s">
        <v>6719</v>
      </c>
      <c r="R2867" s="151"/>
    </row>
    <row r="2868" spans="1:18">
      <c r="A2868" s="166" t="s">
        <v>77</v>
      </c>
      <c r="B2868" s="163" t="s">
        <v>788</v>
      </c>
      <c r="C2868" s="85" t="s">
        <v>6720</v>
      </c>
      <c r="D2868" s="161" t="s">
        <v>6720</v>
      </c>
      <c r="E2868" s="161" t="s">
        <v>4952</v>
      </c>
      <c r="F2868" s="161" t="s">
        <v>6721</v>
      </c>
      <c r="G2868" s="163">
        <v>0</v>
      </c>
      <c r="H2868" s="163">
        <v>0</v>
      </c>
      <c r="I2868" s="163">
        <v>384.91</v>
      </c>
      <c r="J2868" s="163">
        <v>0</v>
      </c>
      <c r="K2868" s="163">
        <v>0</v>
      </c>
      <c r="L2868" s="172"/>
      <c r="M2868" s="161" t="s">
        <v>6722</v>
      </c>
      <c r="N2868" s="161"/>
      <c r="O2868" s="161" t="s">
        <v>14</v>
      </c>
      <c r="P2868" s="49" t="s">
        <v>14</v>
      </c>
      <c r="Q2868" s="166"/>
      <c r="R2868" s="151"/>
    </row>
    <row r="2869" spans="1:18">
      <c r="A2869" s="166" t="s">
        <v>77</v>
      </c>
      <c r="B2869" s="163" t="s">
        <v>788</v>
      </c>
      <c r="C2869" s="85" t="s">
        <v>6723</v>
      </c>
      <c r="D2869" s="161" t="s">
        <v>6723</v>
      </c>
      <c r="E2869" s="161" t="s">
        <v>4952</v>
      </c>
      <c r="F2869" s="161" t="s">
        <v>6721</v>
      </c>
      <c r="G2869" s="163">
        <v>6</v>
      </c>
      <c r="H2869" s="163">
        <f>G2869-G2868</f>
        <v>6</v>
      </c>
      <c r="I2869" s="163">
        <v>383.69</v>
      </c>
      <c r="J2869" s="163">
        <v>4535</v>
      </c>
      <c r="K2869" s="163">
        <v>4535</v>
      </c>
      <c r="L2869" s="172"/>
      <c r="M2869" s="161" t="s">
        <v>6722</v>
      </c>
      <c r="N2869" s="161"/>
      <c r="O2869" s="161" t="s">
        <v>6</v>
      </c>
      <c r="P2869" s="49" t="s">
        <v>6</v>
      </c>
      <c r="Q2869" s="166"/>
      <c r="R2869" s="151"/>
    </row>
    <row r="2870" spans="1:18">
      <c r="A2870" s="166" t="s">
        <v>77</v>
      </c>
      <c r="B2870" s="163" t="s">
        <v>788</v>
      </c>
      <c r="C2870" s="85" t="s">
        <v>6724</v>
      </c>
      <c r="D2870" s="161" t="s">
        <v>6725</v>
      </c>
      <c r="E2870" s="161" t="s">
        <v>4952</v>
      </c>
      <c r="F2870" s="161" t="s">
        <v>6726</v>
      </c>
      <c r="G2870" s="163">
        <v>17.5798</v>
      </c>
      <c r="H2870" s="163">
        <f t="shared" ref="H2870:H2878" si="222">G2870-G2869</f>
        <v>11.5798</v>
      </c>
      <c r="I2870" s="163">
        <v>599.85</v>
      </c>
      <c r="J2870" s="163">
        <v>8516</v>
      </c>
      <c r="K2870" s="163">
        <v>13051</v>
      </c>
      <c r="L2870" s="172"/>
      <c r="M2870" s="161" t="s">
        <v>6722</v>
      </c>
      <c r="N2870" s="161" t="s">
        <v>1299</v>
      </c>
      <c r="O2870" s="161" t="s">
        <v>25</v>
      </c>
      <c r="P2870" s="49" t="s">
        <v>25</v>
      </c>
      <c r="Q2870" s="166"/>
      <c r="R2870" s="151"/>
    </row>
    <row r="2871" spans="1:18">
      <c r="A2871" s="166" t="s">
        <v>77</v>
      </c>
      <c r="B2871" s="163" t="s">
        <v>788</v>
      </c>
      <c r="C2871" s="85" t="s">
        <v>6727</v>
      </c>
      <c r="D2871" s="161" t="s">
        <v>6728</v>
      </c>
      <c r="E2871" s="161" t="s">
        <v>4952</v>
      </c>
      <c r="F2871" s="161" t="s">
        <v>6726</v>
      </c>
      <c r="G2871" s="163">
        <v>30.2173</v>
      </c>
      <c r="H2871" s="163">
        <f t="shared" si="222"/>
        <v>12.6375</v>
      </c>
      <c r="I2871" s="163">
        <v>523.92</v>
      </c>
      <c r="J2871" s="163">
        <v>9037</v>
      </c>
      <c r="K2871" s="163">
        <v>22088</v>
      </c>
      <c r="L2871" s="172"/>
      <c r="M2871" s="161" t="s">
        <v>6722</v>
      </c>
      <c r="N2871" s="161" t="s">
        <v>1299</v>
      </c>
      <c r="O2871" s="161" t="s">
        <v>25</v>
      </c>
      <c r="P2871" s="49" t="s">
        <v>25</v>
      </c>
      <c r="Q2871" s="166"/>
      <c r="R2871" s="151"/>
    </row>
    <row r="2872" spans="1:18">
      <c r="A2872" s="166" t="s">
        <v>77</v>
      </c>
      <c r="B2872" s="163" t="s">
        <v>788</v>
      </c>
      <c r="C2872" s="85" t="s">
        <v>6729</v>
      </c>
      <c r="D2872" s="161" t="s">
        <v>6730</v>
      </c>
      <c r="E2872" s="161" t="s">
        <v>4952</v>
      </c>
      <c r="F2872" s="161" t="s">
        <v>6726</v>
      </c>
      <c r="G2872" s="163">
        <v>51.2472</v>
      </c>
      <c r="H2872" s="163">
        <f t="shared" si="222"/>
        <v>21.0299</v>
      </c>
      <c r="I2872" s="163">
        <v>472.38</v>
      </c>
      <c r="J2872" s="163">
        <v>15557</v>
      </c>
      <c r="K2872" s="163">
        <v>37645</v>
      </c>
      <c r="L2872" s="172"/>
      <c r="M2872" s="161" t="s">
        <v>6722</v>
      </c>
      <c r="N2872" s="161" t="s">
        <v>1299</v>
      </c>
      <c r="O2872" s="161" t="s">
        <v>25</v>
      </c>
      <c r="P2872" s="49" t="s">
        <v>25</v>
      </c>
      <c r="Q2872" s="166"/>
      <c r="R2872" s="151"/>
    </row>
    <row r="2873" spans="1:18">
      <c r="A2873" s="166" t="s">
        <v>77</v>
      </c>
      <c r="B2873" s="163" t="s">
        <v>788</v>
      </c>
      <c r="C2873" s="85" t="s">
        <v>6731</v>
      </c>
      <c r="D2873" s="161" t="s">
        <v>6732</v>
      </c>
      <c r="E2873" s="161" t="s">
        <v>4952</v>
      </c>
      <c r="F2873" s="161" t="s">
        <v>6726</v>
      </c>
      <c r="G2873" s="163">
        <v>67.056</v>
      </c>
      <c r="H2873" s="163">
        <f t="shared" si="222"/>
        <v>15.8088</v>
      </c>
      <c r="I2873" s="163">
        <v>354.59</v>
      </c>
      <c r="J2873" s="163">
        <v>11779</v>
      </c>
      <c r="K2873" s="163">
        <v>49424</v>
      </c>
      <c r="L2873" s="172"/>
      <c r="M2873" s="161" t="s">
        <v>6722</v>
      </c>
      <c r="N2873" s="161" t="s">
        <v>1299</v>
      </c>
      <c r="O2873" s="161" t="s">
        <v>25</v>
      </c>
      <c r="P2873" s="49" t="s">
        <v>25</v>
      </c>
      <c r="Q2873" s="166"/>
      <c r="R2873" s="151"/>
    </row>
    <row r="2874" spans="1:18">
      <c r="A2874" s="166" t="s">
        <v>77</v>
      </c>
      <c r="B2874" s="163" t="s">
        <v>788</v>
      </c>
      <c r="C2874" s="85" t="s">
        <v>6733</v>
      </c>
      <c r="D2874" s="161" t="s">
        <v>6734</v>
      </c>
      <c r="E2874" s="161" t="s">
        <v>4952</v>
      </c>
      <c r="F2874" s="161" t="s">
        <v>6726</v>
      </c>
      <c r="G2874" s="163">
        <v>80.3991</v>
      </c>
      <c r="H2874" s="163">
        <f t="shared" si="222"/>
        <v>13.3431</v>
      </c>
      <c r="I2874" s="163">
        <v>331.23</v>
      </c>
      <c r="J2874" s="163">
        <v>9812</v>
      </c>
      <c r="K2874" s="163">
        <v>59236</v>
      </c>
      <c r="L2874" s="172"/>
      <c r="M2874" s="161" t="s">
        <v>6722</v>
      </c>
      <c r="N2874" s="161" t="s">
        <v>1299</v>
      </c>
      <c r="O2874" s="161" t="s">
        <v>25</v>
      </c>
      <c r="P2874" s="49" t="s">
        <v>25</v>
      </c>
      <c r="Q2874" s="166"/>
      <c r="R2874" s="151"/>
    </row>
    <row r="2875" spans="1:18">
      <c r="A2875" s="166" t="s">
        <v>77</v>
      </c>
      <c r="B2875" s="163" t="s">
        <v>788</v>
      </c>
      <c r="C2875" s="85" t="s">
        <v>6735</v>
      </c>
      <c r="D2875" s="161" t="s">
        <v>6736</v>
      </c>
      <c r="E2875" s="161" t="s">
        <v>4952</v>
      </c>
      <c r="F2875" s="161" t="s">
        <v>6726</v>
      </c>
      <c r="G2875" s="163">
        <v>92.9278</v>
      </c>
      <c r="H2875" s="163">
        <f t="shared" si="222"/>
        <v>12.5287</v>
      </c>
      <c r="I2875" s="163">
        <v>402.6</v>
      </c>
      <c r="J2875" s="163">
        <v>9164</v>
      </c>
      <c r="K2875" s="163">
        <v>68400</v>
      </c>
      <c r="L2875" s="172"/>
      <c r="M2875" s="161" t="s">
        <v>6722</v>
      </c>
      <c r="N2875" s="161" t="s">
        <v>1299</v>
      </c>
      <c r="O2875" s="161" t="s">
        <v>25</v>
      </c>
      <c r="P2875" s="49" t="s">
        <v>25</v>
      </c>
      <c r="Q2875" s="166"/>
      <c r="R2875" s="151"/>
    </row>
    <row r="2876" spans="1:18">
      <c r="A2876" s="166" t="s">
        <v>77</v>
      </c>
      <c r="B2876" s="163" t="s">
        <v>788</v>
      </c>
      <c r="C2876" s="85" t="s">
        <v>6737</v>
      </c>
      <c r="D2876" s="161" t="s">
        <v>6738</v>
      </c>
      <c r="E2876" s="161" t="s">
        <v>4952</v>
      </c>
      <c r="F2876" s="161" t="s">
        <v>6726</v>
      </c>
      <c r="G2876" s="163">
        <v>106.3575</v>
      </c>
      <c r="H2876" s="163">
        <f t="shared" si="222"/>
        <v>13.4297</v>
      </c>
      <c r="I2876" s="163">
        <v>402.82</v>
      </c>
      <c r="J2876" s="163">
        <v>9715</v>
      </c>
      <c r="K2876" s="163">
        <v>78115</v>
      </c>
      <c r="L2876" s="172"/>
      <c r="M2876" s="161" t="s">
        <v>6722</v>
      </c>
      <c r="N2876" s="161" t="s">
        <v>1299</v>
      </c>
      <c r="O2876" s="161" t="s">
        <v>25</v>
      </c>
      <c r="P2876" s="49" t="s">
        <v>25</v>
      </c>
      <c r="Q2876" s="166"/>
      <c r="R2876" s="151"/>
    </row>
    <row r="2877" spans="1:18">
      <c r="A2877" s="166" t="s">
        <v>77</v>
      </c>
      <c r="B2877" s="163" t="s">
        <v>788</v>
      </c>
      <c r="C2877" s="85" t="s">
        <v>6739</v>
      </c>
      <c r="D2877" s="161" t="s">
        <v>6740</v>
      </c>
      <c r="E2877" s="161" t="s">
        <v>4952</v>
      </c>
      <c r="F2877" s="161" t="s">
        <v>6726</v>
      </c>
      <c r="G2877" s="163">
        <v>116.793</v>
      </c>
      <c r="H2877" s="163">
        <f t="shared" si="222"/>
        <v>10.4355</v>
      </c>
      <c r="I2877" s="163">
        <v>303.25</v>
      </c>
      <c r="J2877" s="163">
        <v>8456</v>
      </c>
      <c r="K2877" s="163">
        <v>86571</v>
      </c>
      <c r="L2877" s="172"/>
      <c r="M2877" s="161" t="s">
        <v>6722</v>
      </c>
      <c r="N2877" s="161" t="s">
        <v>1299</v>
      </c>
      <c r="O2877" s="161" t="s">
        <v>25</v>
      </c>
      <c r="P2877" s="49" t="s">
        <v>25</v>
      </c>
      <c r="Q2877" s="166"/>
      <c r="R2877" s="151"/>
    </row>
    <row r="2878" spans="1:18">
      <c r="A2878" s="166" t="s">
        <v>77</v>
      </c>
      <c r="B2878" s="163" t="s">
        <v>788</v>
      </c>
      <c r="C2878" s="85" t="s">
        <v>6741</v>
      </c>
      <c r="D2878" s="161" t="s">
        <v>6741</v>
      </c>
      <c r="E2878" s="161" t="s">
        <v>4952</v>
      </c>
      <c r="F2878" s="161" t="s">
        <v>6726</v>
      </c>
      <c r="G2878" s="163">
        <v>130.3001</v>
      </c>
      <c r="H2878" s="163">
        <f t="shared" si="222"/>
        <v>13.5071</v>
      </c>
      <c r="I2878" s="163">
        <v>331.02</v>
      </c>
      <c r="J2878" s="163">
        <v>10578</v>
      </c>
      <c r="K2878" s="163">
        <v>97149</v>
      </c>
      <c r="L2878" s="172"/>
      <c r="M2878" s="161" t="s">
        <v>6722</v>
      </c>
      <c r="N2878" s="161"/>
      <c r="O2878" s="161" t="s">
        <v>15</v>
      </c>
      <c r="P2878" s="49" t="s">
        <v>15</v>
      </c>
      <c r="Q2878" s="166"/>
      <c r="R2878" s="151"/>
    </row>
    <row r="2879" spans="1:18">
      <c r="A2879" s="166" t="s">
        <v>77</v>
      </c>
      <c r="B2879" s="163" t="s">
        <v>785</v>
      </c>
      <c r="C2879" s="85" t="s">
        <v>6742</v>
      </c>
      <c r="D2879" s="161" t="s">
        <v>6742</v>
      </c>
      <c r="E2879" s="161" t="s">
        <v>4952</v>
      </c>
      <c r="F2879" s="161" t="s">
        <v>6721</v>
      </c>
      <c r="G2879" s="163">
        <v>0</v>
      </c>
      <c r="H2879" s="163">
        <v>0</v>
      </c>
      <c r="I2879" s="163">
        <v>565.55</v>
      </c>
      <c r="J2879" s="163">
        <v>0</v>
      </c>
      <c r="K2879" s="163">
        <v>0</v>
      </c>
      <c r="L2879" s="172"/>
      <c r="M2879" s="161" t="s">
        <v>6722</v>
      </c>
      <c r="N2879" s="161"/>
      <c r="O2879" s="161" t="s">
        <v>15</v>
      </c>
      <c r="P2879" s="49" t="s">
        <v>15</v>
      </c>
      <c r="Q2879" s="166"/>
      <c r="R2879" s="151"/>
    </row>
    <row r="2880" spans="1:18">
      <c r="A2880" s="166" t="s">
        <v>77</v>
      </c>
      <c r="B2880" s="163" t="s">
        <v>785</v>
      </c>
      <c r="C2880" s="85" t="s">
        <v>6743</v>
      </c>
      <c r="D2880" s="161" t="s">
        <v>6744</v>
      </c>
      <c r="E2880" s="161" t="s">
        <v>4952</v>
      </c>
      <c r="F2880" s="161" t="s">
        <v>6721</v>
      </c>
      <c r="G2880" s="163">
        <v>9.4</v>
      </c>
      <c r="H2880" s="163">
        <f>G2880-G2879</f>
        <v>9.4</v>
      </c>
      <c r="I2880" s="163">
        <v>564.5</v>
      </c>
      <c r="J2880" s="163">
        <v>10058</v>
      </c>
      <c r="K2880" s="163">
        <v>10058</v>
      </c>
      <c r="L2880" s="172"/>
      <c r="M2880" s="161" t="s">
        <v>6722</v>
      </c>
      <c r="N2880" s="161" t="s">
        <v>1299</v>
      </c>
      <c r="O2880" s="161" t="s">
        <v>25</v>
      </c>
      <c r="P2880" s="49" t="s">
        <v>25</v>
      </c>
      <c r="Q2880" s="166"/>
      <c r="R2880" s="151"/>
    </row>
    <row r="2881" spans="1:18">
      <c r="A2881" s="166" t="s">
        <v>77</v>
      </c>
      <c r="B2881" s="163" t="s">
        <v>785</v>
      </c>
      <c r="C2881" s="85" t="s">
        <v>6745</v>
      </c>
      <c r="D2881" s="161" t="s">
        <v>6746</v>
      </c>
      <c r="E2881" s="161" t="s">
        <v>4952</v>
      </c>
      <c r="F2881" s="161" t="s">
        <v>6721</v>
      </c>
      <c r="G2881" s="163">
        <v>22.9</v>
      </c>
      <c r="H2881" s="163">
        <f>G2881-G2880</f>
        <v>13.5</v>
      </c>
      <c r="I2881" s="163">
        <v>460.5</v>
      </c>
      <c r="J2881" s="163">
        <v>9835</v>
      </c>
      <c r="K2881" s="163">
        <v>19893</v>
      </c>
      <c r="L2881" s="172"/>
      <c r="M2881" s="161" t="s">
        <v>6722</v>
      </c>
      <c r="N2881" s="161" t="s">
        <v>1299</v>
      </c>
      <c r="O2881" s="161" t="s">
        <v>25</v>
      </c>
      <c r="P2881" s="49" t="s">
        <v>25</v>
      </c>
      <c r="Q2881" s="166"/>
      <c r="R2881" s="151"/>
    </row>
    <row r="2882" spans="1:18">
      <c r="A2882" s="166" t="s">
        <v>77</v>
      </c>
      <c r="B2882" s="163" t="s">
        <v>785</v>
      </c>
      <c r="C2882" s="85" t="s">
        <v>6747</v>
      </c>
      <c r="D2882" s="161" t="s">
        <v>6748</v>
      </c>
      <c r="E2882" s="161" t="s">
        <v>4952</v>
      </c>
      <c r="F2882" s="161" t="s">
        <v>6721</v>
      </c>
      <c r="G2882" s="163">
        <v>36.1</v>
      </c>
      <c r="H2882" s="163">
        <f>G2882-G2881</f>
        <v>13.2</v>
      </c>
      <c r="I2882" s="163">
        <v>535.5</v>
      </c>
      <c r="J2882" s="163">
        <v>12592</v>
      </c>
      <c r="K2882" s="163">
        <v>32485</v>
      </c>
      <c r="L2882" s="172"/>
      <c r="M2882" s="161" t="s">
        <v>6722</v>
      </c>
      <c r="N2882" s="161" t="s">
        <v>1299</v>
      </c>
      <c r="O2882" s="161" t="s">
        <v>25</v>
      </c>
      <c r="P2882" s="49" t="s">
        <v>25</v>
      </c>
      <c r="Q2882" s="166"/>
      <c r="R2882" s="151"/>
    </row>
    <row r="2883" spans="1:18">
      <c r="A2883" s="166" t="s">
        <v>77</v>
      </c>
      <c r="B2883" s="163" t="s">
        <v>785</v>
      </c>
      <c r="C2883" s="85" t="s">
        <v>6749</v>
      </c>
      <c r="D2883" s="161" t="s">
        <v>6750</v>
      </c>
      <c r="E2883" s="161" t="s">
        <v>4952</v>
      </c>
      <c r="F2883" s="161" t="s">
        <v>6721</v>
      </c>
      <c r="G2883" s="163">
        <v>53</v>
      </c>
      <c r="H2883" s="163">
        <f>G2883-G2882</f>
        <v>16.9</v>
      </c>
      <c r="I2883" s="163">
        <v>577.5</v>
      </c>
      <c r="J2883" s="163">
        <v>8941</v>
      </c>
      <c r="K2883" s="163">
        <v>41426</v>
      </c>
      <c r="L2883" s="172"/>
      <c r="M2883" s="161" t="s">
        <v>6722</v>
      </c>
      <c r="N2883" s="161" t="s">
        <v>1299</v>
      </c>
      <c r="O2883" s="161" t="s">
        <v>25</v>
      </c>
      <c r="P2883" s="49" t="s">
        <v>25</v>
      </c>
      <c r="Q2883" s="166"/>
      <c r="R2883" s="151"/>
    </row>
    <row r="2884" spans="1:18">
      <c r="A2884" s="166" t="s">
        <v>77</v>
      </c>
      <c r="B2884" s="163" t="s">
        <v>785</v>
      </c>
      <c r="C2884" s="135" t="s">
        <v>6723</v>
      </c>
      <c r="D2884" s="161" t="s">
        <v>6723</v>
      </c>
      <c r="E2884" s="161" t="s">
        <v>4952</v>
      </c>
      <c r="F2884" s="161" t="s">
        <v>6721</v>
      </c>
      <c r="G2884" s="163">
        <v>65</v>
      </c>
      <c r="H2884" s="163">
        <f>G2884-G2883</f>
        <v>12</v>
      </c>
      <c r="I2884" s="163">
        <v>383.69</v>
      </c>
      <c r="J2884" s="163">
        <v>7004</v>
      </c>
      <c r="K2884" s="163">
        <v>48430</v>
      </c>
      <c r="L2884" s="172"/>
      <c r="M2884" s="161" t="s">
        <v>6722</v>
      </c>
      <c r="N2884" s="161"/>
      <c r="O2884" s="161"/>
      <c r="P2884" s="49"/>
      <c r="Q2884" s="166"/>
      <c r="R2884" s="151"/>
    </row>
    <row r="2885" spans="1:18">
      <c r="A2885" s="166" t="s">
        <v>70</v>
      </c>
      <c r="B2885" s="166" t="s">
        <v>750</v>
      </c>
      <c r="C2885" s="86" t="s">
        <v>751</v>
      </c>
      <c r="D2885" s="161" t="s">
        <v>751</v>
      </c>
      <c r="E2885" s="161" t="s">
        <v>1491</v>
      </c>
      <c r="F2885" s="161" t="s">
        <v>6751</v>
      </c>
      <c r="G2885" s="163">
        <v>0</v>
      </c>
      <c r="H2885" s="163">
        <v>0</v>
      </c>
      <c r="I2885" s="163">
        <v>1184.515</v>
      </c>
      <c r="J2885" s="173">
        <v>0</v>
      </c>
      <c r="K2885" s="173">
        <v>0</v>
      </c>
      <c r="L2885" s="172"/>
      <c r="M2885" s="161" t="s">
        <v>6752</v>
      </c>
      <c r="N2885" s="161"/>
      <c r="O2885" s="161" t="s">
        <v>6</v>
      </c>
      <c r="P2885" s="49" t="s">
        <v>6</v>
      </c>
      <c r="Q2885" s="166"/>
      <c r="R2885" s="151"/>
    </row>
    <row r="2886" spans="1:18">
      <c r="A2886" s="166" t="s">
        <v>70</v>
      </c>
      <c r="B2886" s="166" t="s">
        <v>750</v>
      </c>
      <c r="C2886" s="86" t="s">
        <v>6753</v>
      </c>
      <c r="D2886" s="161" t="s">
        <v>6754</v>
      </c>
      <c r="E2886" s="161" t="s">
        <v>1491</v>
      </c>
      <c r="F2886" s="161" t="s">
        <v>6751</v>
      </c>
      <c r="G2886" s="163">
        <v>21.71</v>
      </c>
      <c r="H2886" s="163">
        <f>G2886-G2885</f>
        <v>21.71</v>
      </c>
      <c r="I2886" s="163">
        <v>1138.714</v>
      </c>
      <c r="J2886" s="173">
        <v>7944.78726548263</v>
      </c>
      <c r="K2886" s="173">
        <f t="shared" ref="K2886:K2900" si="223">K2885+J2886</f>
        <v>7944.78726548263</v>
      </c>
      <c r="L2886" s="172"/>
      <c r="M2886" s="161" t="s">
        <v>6752</v>
      </c>
      <c r="N2886" s="161" t="s">
        <v>1901</v>
      </c>
      <c r="O2886" s="161" t="s">
        <v>26</v>
      </c>
      <c r="P2886" s="49" t="s">
        <v>26</v>
      </c>
      <c r="Q2886" s="166"/>
      <c r="R2886" s="151"/>
    </row>
    <row r="2887" spans="1:18">
      <c r="A2887" s="166" t="s">
        <v>70</v>
      </c>
      <c r="B2887" s="166" t="s">
        <v>750</v>
      </c>
      <c r="C2887" s="86" t="s">
        <v>6755</v>
      </c>
      <c r="D2887" s="161" t="s">
        <v>6756</v>
      </c>
      <c r="E2887" s="161" t="s">
        <v>1491</v>
      </c>
      <c r="F2887" s="161" t="s">
        <v>6751</v>
      </c>
      <c r="G2887" s="163">
        <v>43.34</v>
      </c>
      <c r="H2887" s="163">
        <f t="shared" ref="H2887:H2909" si="224">G2887-G2886</f>
        <v>21.63</v>
      </c>
      <c r="I2887" s="163">
        <v>1210.903</v>
      </c>
      <c r="J2887" s="173">
        <v>7915.51121844262</v>
      </c>
      <c r="K2887" s="173">
        <f t="shared" si="223"/>
        <v>15860.2984839252</v>
      </c>
      <c r="L2887" s="172"/>
      <c r="M2887" s="161" t="s">
        <v>6752</v>
      </c>
      <c r="N2887" s="161" t="s">
        <v>1299</v>
      </c>
      <c r="O2887" s="161" t="s">
        <v>25</v>
      </c>
      <c r="P2887" s="49" t="s">
        <v>25</v>
      </c>
      <c r="Q2887" s="166"/>
      <c r="R2887" s="151"/>
    </row>
    <row r="2888" spans="1:18">
      <c r="A2888" s="166" t="s">
        <v>70</v>
      </c>
      <c r="B2888" s="166" t="s">
        <v>750</v>
      </c>
      <c r="C2888" s="86" t="s">
        <v>6757</v>
      </c>
      <c r="D2888" s="161" t="s">
        <v>6758</v>
      </c>
      <c r="E2888" s="161" t="s">
        <v>1491</v>
      </c>
      <c r="F2888" s="161" t="s">
        <v>6751</v>
      </c>
      <c r="G2888" s="163">
        <v>60.37</v>
      </c>
      <c r="H2888" s="163">
        <f t="shared" si="224"/>
        <v>17.03</v>
      </c>
      <c r="I2888" s="163">
        <v>1076.393</v>
      </c>
      <c r="J2888" s="173">
        <v>6232.13851364207</v>
      </c>
      <c r="K2888" s="173">
        <f t="shared" si="223"/>
        <v>22092.4369975673</v>
      </c>
      <c r="L2888" s="172"/>
      <c r="M2888" s="161" t="s">
        <v>6752</v>
      </c>
      <c r="N2888" s="161" t="s">
        <v>1299</v>
      </c>
      <c r="O2888" s="161" t="s">
        <v>25</v>
      </c>
      <c r="P2888" s="49" t="s">
        <v>25</v>
      </c>
      <c r="Q2888" s="166"/>
      <c r="R2888" s="151"/>
    </row>
    <row r="2889" spans="1:18">
      <c r="A2889" s="166" t="s">
        <v>70</v>
      </c>
      <c r="B2889" s="166" t="s">
        <v>750</v>
      </c>
      <c r="C2889" s="86" t="s">
        <v>6759</v>
      </c>
      <c r="D2889" s="161" t="s">
        <v>6760</v>
      </c>
      <c r="E2889" s="161" t="s">
        <v>1491</v>
      </c>
      <c r="F2889" s="161" t="s">
        <v>6751</v>
      </c>
      <c r="G2889" s="163">
        <v>84.1</v>
      </c>
      <c r="H2889" s="163">
        <f t="shared" si="224"/>
        <v>23.73</v>
      </c>
      <c r="I2889" s="163">
        <v>959.794</v>
      </c>
      <c r="J2889" s="173">
        <v>8684.00745324288</v>
      </c>
      <c r="K2889" s="173">
        <f t="shared" si="223"/>
        <v>30776.4444508102</v>
      </c>
      <c r="L2889" s="172"/>
      <c r="M2889" s="161" t="s">
        <v>6752</v>
      </c>
      <c r="N2889" s="161" t="s">
        <v>1901</v>
      </c>
      <c r="O2889" s="161" t="s">
        <v>26</v>
      </c>
      <c r="P2889" s="49" t="s">
        <v>26</v>
      </c>
      <c r="Q2889" s="166"/>
      <c r="R2889" s="151"/>
    </row>
    <row r="2890" spans="1:18">
      <c r="A2890" s="166" t="s">
        <v>70</v>
      </c>
      <c r="B2890" s="166" t="s">
        <v>750</v>
      </c>
      <c r="C2890" s="86" t="s">
        <v>6761</v>
      </c>
      <c r="D2890" s="161" t="s">
        <v>6761</v>
      </c>
      <c r="E2890" s="161" t="s">
        <v>1491</v>
      </c>
      <c r="F2890" s="161" t="s">
        <v>6751</v>
      </c>
      <c r="G2890" s="163">
        <v>98.94</v>
      </c>
      <c r="H2890" s="163">
        <f t="shared" si="224"/>
        <v>14.84</v>
      </c>
      <c r="I2890" s="163">
        <v>984.158</v>
      </c>
      <c r="J2890" s="173">
        <v>5430.7067259218</v>
      </c>
      <c r="K2890" s="173">
        <f t="shared" si="223"/>
        <v>36207.151176732</v>
      </c>
      <c r="L2890" s="172"/>
      <c r="M2890" s="161" t="s">
        <v>6752</v>
      </c>
      <c r="N2890" s="161"/>
      <c r="O2890" s="161" t="s">
        <v>14</v>
      </c>
      <c r="P2890" s="49" t="s">
        <v>14</v>
      </c>
      <c r="Q2890" s="166"/>
      <c r="R2890" s="151"/>
    </row>
    <row r="2891" spans="1:18">
      <c r="A2891" s="166" t="s">
        <v>70</v>
      </c>
      <c r="B2891" s="166" t="s">
        <v>750</v>
      </c>
      <c r="C2891" s="86" t="s">
        <v>6762</v>
      </c>
      <c r="D2891" s="161" t="s">
        <v>6763</v>
      </c>
      <c r="E2891" s="161" t="s">
        <v>1491</v>
      </c>
      <c r="F2891" s="161" t="s">
        <v>6751</v>
      </c>
      <c r="G2891" s="163">
        <v>106.01</v>
      </c>
      <c r="H2891" s="163">
        <f t="shared" si="224"/>
        <v>7.07000000000001</v>
      </c>
      <c r="I2891" s="163">
        <v>711.81244</v>
      </c>
      <c r="J2891" s="173">
        <v>2587.27065716086</v>
      </c>
      <c r="K2891" s="173">
        <f t="shared" si="223"/>
        <v>38794.4218338929</v>
      </c>
      <c r="L2891" s="172"/>
      <c r="M2891" s="161" t="s">
        <v>6752</v>
      </c>
      <c r="N2891" s="161" t="s">
        <v>1299</v>
      </c>
      <c r="O2891" s="161" t="s">
        <v>25</v>
      </c>
      <c r="P2891" s="49" t="s">
        <v>25</v>
      </c>
      <c r="Q2891" s="166"/>
      <c r="R2891" s="151"/>
    </row>
    <row r="2892" spans="1:18">
      <c r="A2892" s="166" t="s">
        <v>70</v>
      </c>
      <c r="B2892" s="166" t="s">
        <v>750</v>
      </c>
      <c r="C2892" s="86" t="s">
        <v>6764</v>
      </c>
      <c r="D2892" s="161" t="s">
        <v>6765</v>
      </c>
      <c r="E2892" s="161" t="s">
        <v>1491</v>
      </c>
      <c r="F2892" s="161" t="s">
        <v>6751</v>
      </c>
      <c r="G2892" s="163">
        <v>107.42</v>
      </c>
      <c r="H2892" s="163">
        <f t="shared" si="224"/>
        <v>1.41</v>
      </c>
      <c r="I2892" s="163">
        <v>782.140347</v>
      </c>
      <c r="J2892" s="173">
        <v>515.99</v>
      </c>
      <c r="K2892" s="173">
        <f t="shared" si="223"/>
        <v>39310.4118338929</v>
      </c>
      <c r="L2892" s="172"/>
      <c r="M2892" s="161" t="s">
        <v>6752</v>
      </c>
      <c r="N2892" s="161" t="s">
        <v>1299</v>
      </c>
      <c r="O2892" s="161" t="s">
        <v>25</v>
      </c>
      <c r="P2892" s="49" t="s">
        <v>25</v>
      </c>
      <c r="Q2892" s="166"/>
      <c r="R2892" s="151"/>
    </row>
    <row r="2893" spans="1:18">
      <c r="A2893" s="166" t="s">
        <v>70</v>
      </c>
      <c r="B2893" s="166" t="s">
        <v>750</v>
      </c>
      <c r="C2893" s="86" t="s">
        <v>6766</v>
      </c>
      <c r="D2893" s="161" t="s">
        <v>6767</v>
      </c>
      <c r="E2893" s="161" t="s">
        <v>1491</v>
      </c>
      <c r="F2893" s="161" t="s">
        <v>6751</v>
      </c>
      <c r="G2893" s="163">
        <v>127.05</v>
      </c>
      <c r="H2893" s="163">
        <f t="shared" si="224"/>
        <v>19.63</v>
      </c>
      <c r="I2893" s="163">
        <v>1058.84407</v>
      </c>
      <c r="J2893" s="173">
        <v>7183.61004244238</v>
      </c>
      <c r="K2893" s="173">
        <f t="shared" si="223"/>
        <v>46494.0218763352</v>
      </c>
      <c r="L2893" s="172"/>
      <c r="M2893" s="161" t="s">
        <v>6752</v>
      </c>
      <c r="N2893" s="161" t="s">
        <v>1299</v>
      </c>
      <c r="O2893" s="161" t="s">
        <v>25</v>
      </c>
      <c r="P2893" s="49" t="s">
        <v>25</v>
      </c>
      <c r="Q2893" s="166"/>
      <c r="R2893" s="151"/>
    </row>
    <row r="2894" spans="1:18">
      <c r="A2894" s="166" t="s">
        <v>70</v>
      </c>
      <c r="B2894" s="166" t="s">
        <v>750</v>
      </c>
      <c r="C2894" s="86" t="s">
        <v>6768</v>
      </c>
      <c r="D2894" s="161" t="s">
        <v>6769</v>
      </c>
      <c r="E2894" s="161" t="s">
        <v>1491</v>
      </c>
      <c r="F2894" s="161" t="s">
        <v>6751</v>
      </c>
      <c r="G2894" s="163">
        <v>151.24</v>
      </c>
      <c r="H2894" s="163">
        <f t="shared" si="224"/>
        <v>24.19</v>
      </c>
      <c r="I2894" s="163">
        <v>1006.148974</v>
      </c>
      <c r="J2894" s="173">
        <v>8852.34472372293</v>
      </c>
      <c r="K2894" s="173">
        <f t="shared" si="223"/>
        <v>55346.3666000582</v>
      </c>
      <c r="L2894" s="172"/>
      <c r="M2894" s="161" t="s">
        <v>6752</v>
      </c>
      <c r="N2894" s="161" t="s">
        <v>1299</v>
      </c>
      <c r="O2894" s="161" t="s">
        <v>25</v>
      </c>
      <c r="P2894" s="49" t="s">
        <v>25</v>
      </c>
      <c r="Q2894" s="166"/>
      <c r="R2894" s="151"/>
    </row>
    <row r="2895" spans="1:18">
      <c r="A2895" s="166" t="s">
        <v>70</v>
      </c>
      <c r="B2895" s="166" t="s">
        <v>750</v>
      </c>
      <c r="C2895" s="86" t="s">
        <v>6770</v>
      </c>
      <c r="D2895" s="161" t="s">
        <v>6771</v>
      </c>
      <c r="E2895" s="161" t="s">
        <v>1491</v>
      </c>
      <c r="F2895" s="161" t="s">
        <v>6751</v>
      </c>
      <c r="G2895" s="163">
        <v>170.13</v>
      </c>
      <c r="H2895" s="163">
        <f t="shared" si="224"/>
        <v>18.89</v>
      </c>
      <c r="I2895" s="163">
        <v>992.407876</v>
      </c>
      <c r="J2895" s="173">
        <v>6912.80660732229</v>
      </c>
      <c r="K2895" s="173">
        <f t="shared" si="223"/>
        <v>62259.1732073804</v>
      </c>
      <c r="L2895" s="172"/>
      <c r="M2895" s="161" t="s">
        <v>6752</v>
      </c>
      <c r="N2895" s="161" t="s">
        <v>1901</v>
      </c>
      <c r="O2895" s="161" t="s">
        <v>25</v>
      </c>
      <c r="P2895" s="49" t="s">
        <v>25</v>
      </c>
      <c r="Q2895" s="166"/>
      <c r="R2895" s="151"/>
    </row>
    <row r="2896" spans="1:18">
      <c r="A2896" s="166" t="s">
        <v>70</v>
      </c>
      <c r="B2896" s="166" t="s">
        <v>750</v>
      </c>
      <c r="C2896" s="86" t="s">
        <v>6772</v>
      </c>
      <c r="D2896" s="161" t="s">
        <v>6773</v>
      </c>
      <c r="E2896" s="161" t="s">
        <v>1491</v>
      </c>
      <c r="F2896" s="161" t="s">
        <v>6751</v>
      </c>
      <c r="G2896" s="163">
        <v>191.18</v>
      </c>
      <c r="H2896" s="163">
        <f t="shared" si="224"/>
        <v>21.05</v>
      </c>
      <c r="I2896" s="163">
        <v>1280.543797</v>
      </c>
      <c r="J2896" s="173">
        <v>7703.25987740255</v>
      </c>
      <c r="K2896" s="173">
        <f t="shared" si="223"/>
        <v>69962.433084783</v>
      </c>
      <c r="L2896" s="172"/>
      <c r="M2896" s="161" t="s">
        <v>6752</v>
      </c>
      <c r="N2896" s="161" t="s">
        <v>1299</v>
      </c>
      <c r="O2896" s="161" t="s">
        <v>25</v>
      </c>
      <c r="P2896" s="49" t="s">
        <v>25</v>
      </c>
      <c r="Q2896" s="166"/>
      <c r="R2896" s="151"/>
    </row>
    <row r="2897" spans="1:18">
      <c r="A2897" s="166" t="s">
        <v>70</v>
      </c>
      <c r="B2897" s="166" t="s">
        <v>750</v>
      </c>
      <c r="C2897" s="86" t="s">
        <v>6774</v>
      </c>
      <c r="D2897" s="161" t="s">
        <v>6774</v>
      </c>
      <c r="E2897" s="161" t="s">
        <v>1491</v>
      </c>
      <c r="F2897" s="161" t="s">
        <v>6751</v>
      </c>
      <c r="G2897" s="163">
        <v>212.15</v>
      </c>
      <c r="H2897" s="163">
        <f t="shared" si="224"/>
        <v>20.97</v>
      </c>
      <c r="I2897" s="163">
        <v>1062.239568</v>
      </c>
      <c r="J2897" s="173">
        <v>7673.98383036254</v>
      </c>
      <c r="K2897" s="173">
        <f t="shared" si="223"/>
        <v>77636.4169151455</v>
      </c>
      <c r="L2897" s="172"/>
      <c r="M2897" s="161" t="s">
        <v>6752</v>
      </c>
      <c r="N2897" s="161"/>
      <c r="O2897" s="161" t="s">
        <v>15</v>
      </c>
      <c r="P2897" s="49" t="s">
        <v>15</v>
      </c>
      <c r="Q2897" s="166"/>
      <c r="R2897" s="151"/>
    </row>
    <row r="2898" spans="1:18">
      <c r="A2898" s="166" t="s">
        <v>70</v>
      </c>
      <c r="B2898" s="166" t="s">
        <v>750</v>
      </c>
      <c r="C2898" s="86" t="s">
        <v>6775</v>
      </c>
      <c r="D2898" s="161" t="s">
        <v>6776</v>
      </c>
      <c r="E2898" s="161" t="s">
        <v>1491</v>
      </c>
      <c r="F2898" s="161" t="s">
        <v>6751</v>
      </c>
      <c r="G2898" s="163">
        <v>236.65</v>
      </c>
      <c r="H2898" s="163">
        <f t="shared" si="224"/>
        <v>24.5</v>
      </c>
      <c r="I2898" s="163">
        <v>1228.507</v>
      </c>
      <c r="J2898" s="173">
        <v>8965.78940600297</v>
      </c>
      <c r="K2898" s="173">
        <f t="shared" si="223"/>
        <v>86602.2063211485</v>
      </c>
      <c r="L2898" s="172"/>
      <c r="M2898" s="161" t="s">
        <v>6752</v>
      </c>
      <c r="N2898" s="161" t="s">
        <v>1299</v>
      </c>
      <c r="O2898" s="161" t="s">
        <v>25</v>
      </c>
      <c r="P2898" s="49" t="s">
        <v>25</v>
      </c>
      <c r="Q2898" s="166"/>
      <c r="R2898" s="151"/>
    </row>
    <row r="2899" spans="1:18">
      <c r="A2899" s="166" t="s">
        <v>70</v>
      </c>
      <c r="B2899" s="166" t="s">
        <v>750</v>
      </c>
      <c r="C2899" s="86" t="s">
        <v>6777</v>
      </c>
      <c r="D2899" s="161" t="s">
        <v>6778</v>
      </c>
      <c r="E2899" s="161" t="s">
        <v>1491</v>
      </c>
      <c r="F2899" s="161" t="s">
        <v>6751</v>
      </c>
      <c r="G2899" s="163">
        <v>253.55</v>
      </c>
      <c r="H2899" s="163">
        <f t="shared" si="224"/>
        <v>16.9</v>
      </c>
      <c r="I2899" s="163">
        <v>1018.921</v>
      </c>
      <c r="J2899" s="173">
        <v>6184.56493720205</v>
      </c>
      <c r="K2899" s="173">
        <f t="shared" si="223"/>
        <v>92786.7712583506</v>
      </c>
      <c r="L2899" s="172"/>
      <c r="M2899" s="161" t="s">
        <v>6752</v>
      </c>
      <c r="N2899" s="161" t="s">
        <v>1299</v>
      </c>
      <c r="O2899" s="161" t="s">
        <v>25</v>
      </c>
      <c r="P2899" s="49" t="s">
        <v>25</v>
      </c>
      <c r="Q2899" s="166"/>
      <c r="R2899" s="151"/>
    </row>
    <row r="2900" spans="1:18">
      <c r="A2900" s="166" t="s">
        <v>70</v>
      </c>
      <c r="B2900" s="166" t="s">
        <v>750</v>
      </c>
      <c r="C2900" s="86" t="s">
        <v>733</v>
      </c>
      <c r="D2900" s="161" t="s">
        <v>6779</v>
      </c>
      <c r="E2900" s="161" t="s">
        <v>1491</v>
      </c>
      <c r="F2900" s="161" t="s">
        <v>6751</v>
      </c>
      <c r="G2900" s="163">
        <v>275.59</v>
      </c>
      <c r="H2900" s="163">
        <f t="shared" si="224"/>
        <v>22.04</v>
      </c>
      <c r="I2900" s="163">
        <v>1318.097</v>
      </c>
      <c r="J2900" s="173">
        <v>8065.55095952267</v>
      </c>
      <c r="K2900" s="173">
        <f t="shared" si="223"/>
        <v>100852.322217873</v>
      </c>
      <c r="L2900" s="172"/>
      <c r="M2900" s="161" t="s">
        <v>6752</v>
      </c>
      <c r="N2900" s="161" t="s">
        <v>1901</v>
      </c>
      <c r="O2900" s="161" t="s">
        <v>25</v>
      </c>
      <c r="P2900" s="49" t="s">
        <v>25</v>
      </c>
      <c r="Q2900" s="166"/>
      <c r="R2900" s="151"/>
    </row>
    <row r="2901" spans="1:18">
      <c r="A2901" s="166" t="s">
        <v>70</v>
      </c>
      <c r="B2901" s="166" t="s">
        <v>750</v>
      </c>
      <c r="C2901" s="86" t="s">
        <v>6780</v>
      </c>
      <c r="D2901" s="161" t="s">
        <v>6781</v>
      </c>
      <c r="E2901" s="161" t="s">
        <v>1491</v>
      </c>
      <c r="F2901" s="161" t="s">
        <v>6751</v>
      </c>
      <c r="G2901" s="163">
        <v>298.57</v>
      </c>
      <c r="H2901" s="163">
        <f t="shared" si="224"/>
        <v>22.98</v>
      </c>
      <c r="I2901" s="163">
        <v>1142.726</v>
      </c>
      <c r="J2901" s="173">
        <v>3882.73573868129</v>
      </c>
      <c r="K2901" s="173">
        <f t="shared" ref="K2901:K2915" si="225">K2900+J2901</f>
        <v>104735.057956555</v>
      </c>
      <c r="L2901" s="172"/>
      <c r="M2901" s="161" t="s">
        <v>6752</v>
      </c>
      <c r="N2901" s="161" t="s">
        <v>1901</v>
      </c>
      <c r="O2901" s="161" t="s">
        <v>25</v>
      </c>
      <c r="P2901" s="49" t="s">
        <v>25</v>
      </c>
      <c r="Q2901" s="166"/>
      <c r="R2901" s="151"/>
    </row>
    <row r="2902" spans="1:18">
      <c r="A2902" s="166" t="s">
        <v>70</v>
      </c>
      <c r="B2902" s="166" t="s">
        <v>750</v>
      </c>
      <c r="C2902" s="86" t="s">
        <v>6782</v>
      </c>
      <c r="D2902" s="161" t="s">
        <v>6782</v>
      </c>
      <c r="E2902" s="161" t="s">
        <v>1491</v>
      </c>
      <c r="F2902" s="161" t="s">
        <v>6751</v>
      </c>
      <c r="G2902" s="163">
        <v>321.99</v>
      </c>
      <c r="H2902" s="163">
        <f t="shared" si="224"/>
        <v>23.42</v>
      </c>
      <c r="I2902" s="163">
        <v>734.329365</v>
      </c>
      <c r="J2902" s="173">
        <v>8570.56277096284</v>
      </c>
      <c r="K2902" s="173">
        <f t="shared" si="225"/>
        <v>113305.620727517</v>
      </c>
      <c r="L2902" s="172"/>
      <c r="M2902" s="161" t="s">
        <v>6752</v>
      </c>
      <c r="N2902" s="161"/>
      <c r="O2902" s="161" t="s">
        <v>14</v>
      </c>
      <c r="P2902" s="49" t="s">
        <v>14</v>
      </c>
      <c r="Q2902" s="166"/>
      <c r="R2902" s="151"/>
    </row>
    <row r="2903" spans="1:18">
      <c r="A2903" s="166" t="s">
        <v>70</v>
      </c>
      <c r="B2903" s="166" t="s">
        <v>750</v>
      </c>
      <c r="C2903" s="86" t="s">
        <v>6783</v>
      </c>
      <c r="D2903" s="161" t="s">
        <v>6784</v>
      </c>
      <c r="E2903" s="161" t="s">
        <v>1491</v>
      </c>
      <c r="F2903" s="161" t="s">
        <v>6751</v>
      </c>
      <c r="G2903" s="163">
        <v>335.94</v>
      </c>
      <c r="H2903" s="163">
        <f t="shared" si="224"/>
        <v>13.95</v>
      </c>
      <c r="I2903" s="163">
        <v>714.133</v>
      </c>
      <c r="J2903" s="173">
        <v>5105.01070260169</v>
      </c>
      <c r="K2903" s="173">
        <f t="shared" si="225"/>
        <v>118410.631430119</v>
      </c>
      <c r="L2903" s="172"/>
      <c r="M2903" s="161" t="s">
        <v>6752</v>
      </c>
      <c r="N2903" s="161" t="s">
        <v>1299</v>
      </c>
      <c r="O2903" s="161" t="s">
        <v>25</v>
      </c>
      <c r="P2903" s="49" t="s">
        <v>25</v>
      </c>
      <c r="Q2903" s="166"/>
      <c r="R2903" s="151"/>
    </row>
    <row r="2904" spans="1:18">
      <c r="A2904" s="166" t="s">
        <v>70</v>
      </c>
      <c r="B2904" s="166" t="s">
        <v>750</v>
      </c>
      <c r="C2904" s="86" t="s">
        <v>6785</v>
      </c>
      <c r="D2904" s="161" t="s">
        <v>6785</v>
      </c>
      <c r="E2904" s="161" t="s">
        <v>1491</v>
      </c>
      <c r="F2904" s="161" t="s">
        <v>6751</v>
      </c>
      <c r="G2904" s="163">
        <v>357.79</v>
      </c>
      <c r="H2904" s="163">
        <f t="shared" si="224"/>
        <v>21.85</v>
      </c>
      <c r="I2904" s="163">
        <v>767.123413</v>
      </c>
      <c r="J2904" s="173">
        <v>7996.02034780265</v>
      </c>
      <c r="K2904" s="173">
        <f t="shared" si="225"/>
        <v>126406.651777922</v>
      </c>
      <c r="L2904" s="172"/>
      <c r="M2904" s="161" t="s">
        <v>6752</v>
      </c>
      <c r="N2904" s="161"/>
      <c r="O2904" s="161" t="s">
        <v>6</v>
      </c>
      <c r="P2904" s="49" t="s">
        <v>6</v>
      </c>
      <c r="Q2904" s="166"/>
      <c r="R2904" s="151"/>
    </row>
    <row r="2905" spans="1:18">
      <c r="A2905" s="166" t="s">
        <v>70</v>
      </c>
      <c r="B2905" s="166" t="s">
        <v>750</v>
      </c>
      <c r="C2905" s="86" t="s">
        <v>6786</v>
      </c>
      <c r="D2905" s="161" t="s">
        <v>6787</v>
      </c>
      <c r="E2905" s="161" t="s">
        <v>1491</v>
      </c>
      <c r="F2905" s="161" t="s">
        <v>6751</v>
      </c>
      <c r="G2905" s="163">
        <v>366.09</v>
      </c>
      <c r="H2905" s="163">
        <f t="shared" si="224"/>
        <v>8.29999999999995</v>
      </c>
      <c r="I2905" s="163">
        <v>816.334</v>
      </c>
      <c r="J2905" s="173">
        <v>3037.38988040101</v>
      </c>
      <c r="K2905" s="173">
        <f t="shared" si="225"/>
        <v>129444.041658323</v>
      </c>
      <c r="L2905" s="172"/>
      <c r="M2905" s="161" t="s">
        <v>6752</v>
      </c>
      <c r="N2905" s="161" t="s">
        <v>1901</v>
      </c>
      <c r="O2905" s="161" t="s">
        <v>25</v>
      </c>
      <c r="P2905" s="49" t="s">
        <v>25</v>
      </c>
      <c r="Q2905" s="166"/>
      <c r="R2905" s="151"/>
    </row>
    <row r="2906" spans="1:18">
      <c r="A2906" s="166" t="s">
        <v>70</v>
      </c>
      <c r="B2906" s="166" t="s">
        <v>750</v>
      </c>
      <c r="C2906" s="86" t="s">
        <v>6788</v>
      </c>
      <c r="D2906" s="161" t="s">
        <v>6789</v>
      </c>
      <c r="E2906" s="161" t="s">
        <v>1491</v>
      </c>
      <c r="F2906" s="161" t="s">
        <v>6751</v>
      </c>
      <c r="G2906" s="163">
        <v>388.31</v>
      </c>
      <c r="H2906" s="163">
        <f t="shared" si="224"/>
        <v>22.22</v>
      </c>
      <c r="I2906" s="163">
        <v>1189.194</v>
      </c>
      <c r="J2906" s="173">
        <v>8131.42206536269</v>
      </c>
      <c r="K2906" s="173">
        <f t="shared" si="225"/>
        <v>137575.463723685</v>
      </c>
      <c r="L2906" s="172"/>
      <c r="M2906" s="161" t="s">
        <v>6752</v>
      </c>
      <c r="N2906" s="161" t="s">
        <v>1299</v>
      </c>
      <c r="O2906" s="161" t="s">
        <v>25</v>
      </c>
      <c r="P2906" s="49" t="s">
        <v>25</v>
      </c>
      <c r="Q2906" s="166"/>
      <c r="R2906" s="151"/>
    </row>
    <row r="2907" spans="1:18">
      <c r="A2907" s="166" t="s">
        <v>70</v>
      </c>
      <c r="B2907" s="166" t="s">
        <v>750</v>
      </c>
      <c r="C2907" s="86" t="s">
        <v>6790</v>
      </c>
      <c r="D2907" s="161" t="s">
        <v>6791</v>
      </c>
      <c r="E2907" s="161" t="s">
        <v>1491</v>
      </c>
      <c r="F2907" s="161" t="s">
        <v>6751</v>
      </c>
      <c r="G2907" s="163">
        <v>406.82</v>
      </c>
      <c r="H2907" s="163">
        <f t="shared" si="224"/>
        <v>18.51</v>
      </c>
      <c r="I2907" s="163">
        <v>1189.194</v>
      </c>
      <c r="J2907" s="173">
        <v>6773.74538388225</v>
      </c>
      <c r="K2907" s="173">
        <f t="shared" si="225"/>
        <v>144349.209107568</v>
      </c>
      <c r="L2907" s="172"/>
      <c r="M2907" s="161" t="s">
        <v>6752</v>
      </c>
      <c r="N2907" s="161" t="s">
        <v>1299</v>
      </c>
      <c r="O2907" s="161" t="s">
        <v>25</v>
      </c>
      <c r="P2907" s="49" t="s">
        <v>25</v>
      </c>
      <c r="Q2907" s="166"/>
      <c r="R2907" s="151"/>
    </row>
    <row r="2908" spans="1:18">
      <c r="A2908" s="166" t="s">
        <v>70</v>
      </c>
      <c r="B2908" s="166" t="s">
        <v>750</v>
      </c>
      <c r="C2908" s="86" t="s">
        <v>6792</v>
      </c>
      <c r="D2908" s="161" t="s">
        <v>6793</v>
      </c>
      <c r="E2908" s="161" t="s">
        <v>1491</v>
      </c>
      <c r="F2908" s="161" t="s">
        <v>6751</v>
      </c>
      <c r="G2908" s="163">
        <v>424.47</v>
      </c>
      <c r="H2908" s="163">
        <f t="shared" si="224"/>
        <v>17.65</v>
      </c>
      <c r="I2908" s="163">
        <v>971.471</v>
      </c>
      <c r="J2908" s="173">
        <v>6459.02787820214</v>
      </c>
      <c r="K2908" s="173">
        <f t="shared" si="225"/>
        <v>150808.23698577</v>
      </c>
      <c r="L2908" s="172"/>
      <c r="M2908" s="161" t="s">
        <v>6752</v>
      </c>
      <c r="N2908" s="161" t="s">
        <v>1901</v>
      </c>
      <c r="O2908" s="161" t="s">
        <v>26</v>
      </c>
      <c r="P2908" s="49" t="s">
        <v>26</v>
      </c>
      <c r="Q2908" s="166"/>
      <c r="R2908" s="151"/>
    </row>
    <row r="2909" spans="1:18">
      <c r="A2909" s="166" t="s">
        <v>70</v>
      </c>
      <c r="B2909" s="166" t="s">
        <v>750</v>
      </c>
      <c r="C2909" s="86" t="s">
        <v>6794</v>
      </c>
      <c r="D2909" s="161" t="s">
        <v>6794</v>
      </c>
      <c r="E2909" s="161" t="s">
        <v>1491</v>
      </c>
      <c r="F2909" s="161" t="s">
        <v>6751</v>
      </c>
      <c r="G2909" s="163">
        <v>443.35</v>
      </c>
      <c r="H2909" s="163">
        <f t="shared" si="224"/>
        <v>18.88</v>
      </c>
      <c r="I2909" s="163">
        <v>924.211835</v>
      </c>
      <c r="J2909" s="173">
        <v>6909.14710144229</v>
      </c>
      <c r="K2909" s="173">
        <f t="shared" si="225"/>
        <v>157717.384087212</v>
      </c>
      <c r="L2909" s="172"/>
      <c r="M2909" s="161" t="s">
        <v>6752</v>
      </c>
      <c r="N2909" s="161"/>
      <c r="O2909" s="161" t="s">
        <v>14</v>
      </c>
      <c r="P2909" s="49" t="s">
        <v>14</v>
      </c>
      <c r="Q2909" s="166"/>
      <c r="R2909" s="151"/>
    </row>
    <row r="2910" spans="1:18">
      <c r="A2910" s="166" t="s">
        <v>70</v>
      </c>
      <c r="B2910" s="166" t="s">
        <v>750</v>
      </c>
      <c r="C2910" s="86" t="s">
        <v>6795</v>
      </c>
      <c r="D2910" s="161" t="s">
        <v>6796</v>
      </c>
      <c r="E2910" s="161" t="s">
        <v>1491</v>
      </c>
      <c r="F2910" s="161" t="s">
        <v>6751</v>
      </c>
      <c r="G2910" s="163">
        <v>467.45</v>
      </c>
      <c r="H2910" s="163">
        <f t="shared" ref="H2910:H2935" si="226">G2910-G2909</f>
        <v>24.1</v>
      </c>
      <c r="I2910" s="163">
        <v>1142.726</v>
      </c>
      <c r="J2910" s="173">
        <v>8819.409</v>
      </c>
      <c r="K2910" s="173">
        <f t="shared" si="225"/>
        <v>166536.793087212</v>
      </c>
      <c r="L2910" s="172"/>
      <c r="M2910" s="161" t="s">
        <v>6752</v>
      </c>
      <c r="N2910" s="161" t="s">
        <v>1901</v>
      </c>
      <c r="O2910" s="161" t="s">
        <v>26</v>
      </c>
      <c r="P2910" s="49" t="s">
        <v>26</v>
      </c>
      <c r="Q2910" s="166"/>
      <c r="R2910" s="151"/>
    </row>
    <row r="2911" spans="1:18">
      <c r="A2911" s="166" t="s">
        <v>70</v>
      </c>
      <c r="B2911" s="166" t="s">
        <v>750</v>
      </c>
      <c r="C2911" s="86" t="s">
        <v>6797</v>
      </c>
      <c r="D2911" s="161" t="s">
        <v>6798</v>
      </c>
      <c r="E2911" s="161" t="s">
        <v>1491</v>
      </c>
      <c r="F2911" s="161" t="s">
        <v>6751</v>
      </c>
      <c r="G2911" s="163">
        <v>489.56</v>
      </c>
      <c r="H2911" s="163">
        <f t="shared" si="226"/>
        <v>22.11</v>
      </c>
      <c r="I2911" s="163">
        <v>1023.341956</v>
      </c>
      <c r="J2911" s="173">
        <v>8091.16750068268</v>
      </c>
      <c r="K2911" s="173">
        <f t="shared" si="225"/>
        <v>174627.960587895</v>
      </c>
      <c r="L2911" s="172"/>
      <c r="M2911" s="161" t="s">
        <v>6752</v>
      </c>
      <c r="N2911" s="161" t="s">
        <v>1299</v>
      </c>
      <c r="O2911" s="161" t="s">
        <v>25</v>
      </c>
      <c r="P2911" s="49" t="s">
        <v>25</v>
      </c>
      <c r="Q2911" s="166"/>
      <c r="R2911" s="151"/>
    </row>
    <row r="2912" spans="1:18">
      <c r="A2912" s="166" t="s">
        <v>70</v>
      </c>
      <c r="B2912" s="166" t="s">
        <v>750</v>
      </c>
      <c r="C2912" s="86" t="s">
        <v>6799</v>
      </c>
      <c r="D2912" s="161" t="s">
        <v>6800</v>
      </c>
      <c r="E2912" s="161" t="s">
        <v>1491</v>
      </c>
      <c r="F2912" s="161" t="s">
        <v>6751</v>
      </c>
      <c r="G2912" s="163">
        <v>496.9</v>
      </c>
      <c r="H2912" s="163">
        <f t="shared" si="226"/>
        <v>7.33999999999997</v>
      </c>
      <c r="I2912" s="163">
        <v>941.209</v>
      </c>
      <c r="J2912" s="173">
        <v>2686.077</v>
      </c>
      <c r="K2912" s="173">
        <f t="shared" si="225"/>
        <v>177314.037587895</v>
      </c>
      <c r="L2912" s="172"/>
      <c r="M2912" s="161" t="s">
        <v>6752</v>
      </c>
      <c r="N2912" s="161" t="s">
        <v>1901</v>
      </c>
      <c r="O2912" s="161" t="s">
        <v>26</v>
      </c>
      <c r="P2912" s="49" t="s">
        <v>26</v>
      </c>
      <c r="Q2912" s="166"/>
      <c r="R2912" s="151"/>
    </row>
    <row r="2913" spans="1:18">
      <c r="A2913" s="166" t="s">
        <v>70</v>
      </c>
      <c r="B2913" s="166" t="s">
        <v>750</v>
      </c>
      <c r="C2913" s="86" t="s">
        <v>6801</v>
      </c>
      <c r="D2913" s="161" t="s">
        <v>6801</v>
      </c>
      <c r="E2913" s="161" t="s">
        <v>1491</v>
      </c>
      <c r="F2913" s="161" t="s">
        <v>6751</v>
      </c>
      <c r="G2913" s="163">
        <v>520.06</v>
      </c>
      <c r="H2913" s="163">
        <f t="shared" si="226"/>
        <v>23.16</v>
      </c>
      <c r="I2913" s="163">
        <v>840.127533</v>
      </c>
      <c r="J2913" s="173">
        <v>7472.711</v>
      </c>
      <c r="K2913" s="173">
        <f t="shared" si="225"/>
        <v>184786.748587895</v>
      </c>
      <c r="L2913" s="172"/>
      <c r="M2913" s="161" t="s">
        <v>6752</v>
      </c>
      <c r="N2913" s="161"/>
      <c r="O2913" s="161" t="s">
        <v>14</v>
      </c>
      <c r="P2913" s="49" t="s">
        <v>14</v>
      </c>
      <c r="Q2913" s="166"/>
      <c r="R2913" s="151"/>
    </row>
    <row r="2914" spans="1:18">
      <c r="A2914" s="166" t="s">
        <v>70</v>
      </c>
      <c r="B2914" s="166" t="s">
        <v>750</v>
      </c>
      <c r="C2914" s="86" t="s">
        <v>6802</v>
      </c>
      <c r="D2914" s="161" t="s">
        <v>6803</v>
      </c>
      <c r="E2914" s="161" t="s">
        <v>1491</v>
      </c>
      <c r="F2914" s="161" t="s">
        <v>6751</v>
      </c>
      <c r="G2914" s="163">
        <v>535.71</v>
      </c>
      <c r="H2914" s="163">
        <f t="shared" si="226"/>
        <v>15.6500000000001</v>
      </c>
      <c r="I2914" s="163">
        <v>1046.405008</v>
      </c>
      <c r="J2914" s="173">
        <v>5727.1627</v>
      </c>
      <c r="K2914" s="173">
        <f t="shared" si="225"/>
        <v>190513.911287895</v>
      </c>
      <c r="L2914" s="172"/>
      <c r="M2914" s="161" t="s">
        <v>6752</v>
      </c>
      <c r="N2914" s="161" t="s">
        <v>1901</v>
      </c>
      <c r="O2914" s="161" t="s">
        <v>26</v>
      </c>
      <c r="P2914" s="49" t="s">
        <v>26</v>
      </c>
      <c r="Q2914" s="166"/>
      <c r="R2914" s="151"/>
    </row>
    <row r="2915" spans="1:18">
      <c r="A2915" s="166" t="s">
        <v>70</v>
      </c>
      <c r="B2915" s="166" t="s">
        <v>750</v>
      </c>
      <c r="C2915" s="86" t="s">
        <v>6804</v>
      </c>
      <c r="D2915" s="161" t="s">
        <v>6805</v>
      </c>
      <c r="E2915" s="161" t="s">
        <v>1491</v>
      </c>
      <c r="F2915" s="161" t="s">
        <v>6751</v>
      </c>
      <c r="G2915" s="163">
        <v>554.24</v>
      </c>
      <c r="H2915" s="163">
        <f t="shared" si="226"/>
        <v>18.53</v>
      </c>
      <c r="I2915" s="163">
        <v>585.331054</v>
      </c>
      <c r="J2915" s="173">
        <v>6781.06439564225</v>
      </c>
      <c r="K2915" s="173">
        <f t="shared" si="225"/>
        <v>197294.975683537</v>
      </c>
      <c r="L2915" s="172"/>
      <c r="M2915" s="161" t="s">
        <v>6752</v>
      </c>
      <c r="N2915" s="161" t="s">
        <v>1901</v>
      </c>
      <c r="O2915" s="161" t="s">
        <v>26</v>
      </c>
      <c r="P2915" s="49" t="s">
        <v>26</v>
      </c>
      <c r="Q2915" s="166"/>
      <c r="R2915" s="151"/>
    </row>
    <row r="2916" spans="1:18">
      <c r="A2916" s="166" t="s">
        <v>70</v>
      </c>
      <c r="B2916" s="166" t="s">
        <v>750</v>
      </c>
      <c r="C2916" s="86" t="s">
        <v>6806</v>
      </c>
      <c r="D2916" s="161" t="s">
        <v>6807</v>
      </c>
      <c r="E2916" s="161" t="s">
        <v>1491</v>
      </c>
      <c r="F2916" s="161" t="s">
        <v>6751</v>
      </c>
      <c r="G2916" s="163">
        <v>559.64</v>
      </c>
      <c r="H2916" s="163">
        <f t="shared" si="226"/>
        <v>5.39999999999998</v>
      </c>
      <c r="I2916" s="163">
        <v>570.475672</v>
      </c>
      <c r="J2916" s="173">
        <v>1976.133</v>
      </c>
      <c r="K2916" s="173">
        <f t="shared" ref="K2916:K2935" si="227">K2915+J2916</f>
        <v>199271.108683537</v>
      </c>
      <c r="L2916" s="172"/>
      <c r="M2916" s="161" t="s">
        <v>6752</v>
      </c>
      <c r="N2916" s="161" t="s">
        <v>1299</v>
      </c>
      <c r="O2916" s="161" t="s">
        <v>25</v>
      </c>
      <c r="P2916" s="49" t="s">
        <v>25</v>
      </c>
      <c r="Q2916" s="166"/>
      <c r="R2916" s="151"/>
    </row>
    <row r="2917" spans="1:18">
      <c r="A2917" s="166" t="s">
        <v>70</v>
      </c>
      <c r="B2917" s="166" t="s">
        <v>750</v>
      </c>
      <c r="C2917" s="86" t="s">
        <v>6808</v>
      </c>
      <c r="D2917" s="161" t="s">
        <v>6809</v>
      </c>
      <c r="E2917" s="161" t="s">
        <v>1491</v>
      </c>
      <c r="F2917" s="161" t="s">
        <v>6751</v>
      </c>
      <c r="G2917" s="163">
        <v>569.34</v>
      </c>
      <c r="H2917" s="163">
        <f t="shared" si="226"/>
        <v>9.70000000000005</v>
      </c>
      <c r="I2917" s="163">
        <v>757.811</v>
      </c>
      <c r="J2917" s="173">
        <v>3549.72</v>
      </c>
      <c r="K2917" s="173">
        <f t="shared" si="227"/>
        <v>202820.828683537</v>
      </c>
      <c r="L2917" s="172"/>
      <c r="M2917" s="161" t="s">
        <v>6752</v>
      </c>
      <c r="N2917" s="161" t="s">
        <v>1299</v>
      </c>
      <c r="O2917" s="161" t="s">
        <v>25</v>
      </c>
      <c r="P2917" s="49" t="s">
        <v>25</v>
      </c>
      <c r="Q2917" s="166"/>
      <c r="R2917" s="151"/>
    </row>
    <row r="2918" spans="1:18">
      <c r="A2918" s="166" t="s">
        <v>70</v>
      </c>
      <c r="B2918" s="166" t="s">
        <v>750</v>
      </c>
      <c r="C2918" s="86" t="s">
        <v>6810</v>
      </c>
      <c r="D2918" s="161" t="s">
        <v>6811</v>
      </c>
      <c r="E2918" s="161" t="s">
        <v>1640</v>
      </c>
      <c r="F2918" s="161" t="s">
        <v>6751</v>
      </c>
      <c r="G2918" s="163">
        <v>580.82</v>
      </c>
      <c r="H2918" s="163">
        <f t="shared" si="226"/>
        <v>11.48</v>
      </c>
      <c r="I2918" s="163">
        <v>467.796</v>
      </c>
      <c r="J2918" s="173">
        <v>4201.1127</v>
      </c>
      <c r="K2918" s="173">
        <f t="shared" si="227"/>
        <v>207021.941383537</v>
      </c>
      <c r="L2918" s="172"/>
      <c r="M2918" s="161" t="s">
        <v>6752</v>
      </c>
      <c r="N2918" s="161" t="s">
        <v>1299</v>
      </c>
      <c r="O2918" s="161" t="s">
        <v>26</v>
      </c>
      <c r="P2918" s="49" t="s">
        <v>25</v>
      </c>
      <c r="Q2918" s="166"/>
      <c r="R2918" s="151"/>
    </row>
    <row r="2919" spans="1:18">
      <c r="A2919" s="166" t="s">
        <v>70</v>
      </c>
      <c r="B2919" s="166" t="s">
        <v>750</v>
      </c>
      <c r="C2919" s="86" t="s">
        <v>6812</v>
      </c>
      <c r="D2919" s="161" t="s">
        <v>6813</v>
      </c>
      <c r="E2919" s="161" t="s">
        <v>1640</v>
      </c>
      <c r="F2919" s="161" t="s">
        <v>6751</v>
      </c>
      <c r="G2919" s="163">
        <v>600.78</v>
      </c>
      <c r="H2919" s="163">
        <f t="shared" si="226"/>
        <v>19.9599999999999</v>
      </c>
      <c r="I2919" s="163">
        <v>270.086</v>
      </c>
      <c r="J2919" s="173">
        <v>7304.7373</v>
      </c>
      <c r="K2919" s="173">
        <f t="shared" si="227"/>
        <v>214326.678683537</v>
      </c>
      <c r="L2919" s="172"/>
      <c r="M2919" s="161" t="s">
        <v>6752</v>
      </c>
      <c r="N2919" s="161" t="s">
        <v>1901</v>
      </c>
      <c r="O2919" s="161" t="s">
        <v>26</v>
      </c>
      <c r="P2919" s="49" t="s">
        <v>26</v>
      </c>
      <c r="Q2919" s="166"/>
      <c r="R2919" s="151"/>
    </row>
    <row r="2920" spans="1:18">
      <c r="A2920" s="166" t="s">
        <v>70</v>
      </c>
      <c r="B2920" s="166" t="s">
        <v>750</v>
      </c>
      <c r="C2920" s="86" t="s">
        <v>6814</v>
      </c>
      <c r="D2920" s="161" t="s">
        <v>6815</v>
      </c>
      <c r="E2920" s="161" t="s">
        <v>1640</v>
      </c>
      <c r="F2920" s="161" t="s">
        <v>6751</v>
      </c>
      <c r="G2920" s="163">
        <v>616</v>
      </c>
      <c r="H2920" s="163">
        <f t="shared" si="226"/>
        <v>15.22</v>
      </c>
      <c r="I2920" s="163">
        <v>232.417</v>
      </c>
      <c r="J2920" s="173">
        <v>5569.76794936185</v>
      </c>
      <c r="K2920" s="173">
        <f t="shared" si="227"/>
        <v>219896.446632899</v>
      </c>
      <c r="L2920" s="172"/>
      <c r="M2920" s="161" t="s">
        <v>6752</v>
      </c>
      <c r="N2920" s="161" t="s">
        <v>1901</v>
      </c>
      <c r="O2920" s="161" t="s">
        <v>26</v>
      </c>
      <c r="P2920" s="49" t="s">
        <v>26</v>
      </c>
      <c r="Q2920" s="166"/>
      <c r="R2920" s="151"/>
    </row>
    <row r="2921" spans="1:18">
      <c r="A2921" s="166" t="s">
        <v>70</v>
      </c>
      <c r="B2921" s="166" t="s">
        <v>750</v>
      </c>
      <c r="C2921" s="86" t="s">
        <v>6816</v>
      </c>
      <c r="D2921" s="161" t="s">
        <v>6816</v>
      </c>
      <c r="E2921" s="161" t="s">
        <v>1640</v>
      </c>
      <c r="F2921" s="161" t="s">
        <v>6751</v>
      </c>
      <c r="G2921" s="163">
        <v>633.27</v>
      </c>
      <c r="H2921" s="163">
        <f t="shared" si="226"/>
        <v>17.27</v>
      </c>
      <c r="I2921" s="163">
        <v>83.123</v>
      </c>
      <c r="J2921" s="173">
        <v>6319.96665476209</v>
      </c>
      <c r="K2921" s="173">
        <f t="shared" si="227"/>
        <v>226216.413287661</v>
      </c>
      <c r="L2921" s="172"/>
      <c r="M2921" s="161" t="s">
        <v>6752</v>
      </c>
      <c r="N2921" s="161"/>
      <c r="O2921" s="161" t="s">
        <v>14</v>
      </c>
      <c r="P2921" s="49" t="s">
        <v>14</v>
      </c>
      <c r="Q2921" s="166"/>
      <c r="R2921" s="151"/>
    </row>
    <row r="2922" spans="1:18">
      <c r="A2922" s="166" t="s">
        <v>70</v>
      </c>
      <c r="B2922" s="166" t="s">
        <v>750</v>
      </c>
      <c r="C2922" s="86" t="s">
        <v>6817</v>
      </c>
      <c r="D2922" s="161" t="s">
        <v>6818</v>
      </c>
      <c r="E2922" s="161" t="s">
        <v>1640</v>
      </c>
      <c r="F2922" s="161" t="s">
        <v>6751</v>
      </c>
      <c r="G2922" s="163">
        <v>654.02</v>
      </c>
      <c r="H2922" s="163">
        <f t="shared" si="226"/>
        <v>20.75</v>
      </c>
      <c r="I2922" s="163">
        <v>63.297</v>
      </c>
      <c r="J2922" s="173">
        <v>7593.47470100252</v>
      </c>
      <c r="K2922" s="173">
        <f t="shared" si="227"/>
        <v>233809.887988664</v>
      </c>
      <c r="L2922" s="172"/>
      <c r="M2922" s="161" t="s">
        <v>6752</v>
      </c>
      <c r="N2922" s="161" t="s">
        <v>1299</v>
      </c>
      <c r="O2922" s="161" t="s">
        <v>25</v>
      </c>
      <c r="P2922" s="49" t="s">
        <v>25</v>
      </c>
      <c r="Q2922" s="166"/>
      <c r="R2922" s="151"/>
    </row>
    <row r="2923" spans="1:18">
      <c r="A2923" s="166" t="s">
        <v>70</v>
      </c>
      <c r="B2923" s="166" t="s">
        <v>750</v>
      </c>
      <c r="C2923" s="86" t="s">
        <v>6819</v>
      </c>
      <c r="D2923" s="161" t="s">
        <v>6820</v>
      </c>
      <c r="E2923" s="161" t="s">
        <v>1640</v>
      </c>
      <c r="F2923" s="161" t="s">
        <v>6751</v>
      </c>
      <c r="G2923" s="163">
        <v>676.25</v>
      </c>
      <c r="H2923" s="163">
        <f t="shared" si="226"/>
        <v>22.23</v>
      </c>
      <c r="I2923" s="163">
        <v>54.707</v>
      </c>
      <c r="J2923" s="173">
        <v>8135.0815712427</v>
      </c>
      <c r="K2923" s="173">
        <f t="shared" si="227"/>
        <v>241944.969559906</v>
      </c>
      <c r="L2923" s="172"/>
      <c r="M2923" s="161" t="s">
        <v>6752</v>
      </c>
      <c r="N2923" s="161" t="s">
        <v>1901</v>
      </c>
      <c r="O2923" s="161" t="s">
        <v>26</v>
      </c>
      <c r="P2923" s="49" t="s">
        <v>26</v>
      </c>
      <c r="Q2923" s="166"/>
      <c r="R2923" s="151"/>
    </row>
    <row r="2924" spans="1:18">
      <c r="A2924" s="166" t="s">
        <v>70</v>
      </c>
      <c r="B2924" s="166" t="s">
        <v>750</v>
      </c>
      <c r="C2924" s="86" t="s">
        <v>6821</v>
      </c>
      <c r="D2924" s="161" t="s">
        <v>6822</v>
      </c>
      <c r="E2924" s="161" t="s">
        <v>1640</v>
      </c>
      <c r="F2924" s="161" t="s">
        <v>6751</v>
      </c>
      <c r="G2924" s="163">
        <v>698.54</v>
      </c>
      <c r="H2924" s="163">
        <f t="shared" si="226"/>
        <v>22.29</v>
      </c>
      <c r="I2924" s="163">
        <v>51.611</v>
      </c>
      <c r="J2924" s="173">
        <v>8157.0386065227</v>
      </c>
      <c r="K2924" s="173">
        <f t="shared" si="227"/>
        <v>250102.008166429</v>
      </c>
      <c r="L2924" s="172"/>
      <c r="M2924" s="161" t="s">
        <v>6752</v>
      </c>
      <c r="N2924" s="161" t="s">
        <v>1299</v>
      </c>
      <c r="O2924" s="161" t="s">
        <v>26</v>
      </c>
      <c r="P2924" s="49" t="s">
        <v>25</v>
      </c>
      <c r="Q2924" s="166"/>
      <c r="R2924" s="151"/>
    </row>
    <row r="2925" spans="1:18">
      <c r="A2925" s="166" t="s">
        <v>70</v>
      </c>
      <c r="B2925" s="166" t="s">
        <v>750</v>
      </c>
      <c r="C2925" s="86" t="s">
        <v>778</v>
      </c>
      <c r="D2925" s="161" t="s">
        <v>778</v>
      </c>
      <c r="E2925" s="161" t="s">
        <v>1640</v>
      </c>
      <c r="F2925" s="161" t="s">
        <v>6751</v>
      </c>
      <c r="G2925" s="163">
        <v>721.31</v>
      </c>
      <c r="H2925" s="163">
        <f t="shared" si="226"/>
        <v>22.77</v>
      </c>
      <c r="I2925" s="163">
        <v>12.296</v>
      </c>
      <c r="J2925" s="173">
        <v>8332.69488876276</v>
      </c>
      <c r="K2925" s="173">
        <f t="shared" si="227"/>
        <v>258434.703055192</v>
      </c>
      <c r="L2925" s="172"/>
      <c r="M2925" s="161" t="s">
        <v>66</v>
      </c>
      <c r="N2925" s="161"/>
      <c r="O2925" s="161" t="s">
        <v>14</v>
      </c>
      <c r="P2925" s="49" t="s">
        <v>14</v>
      </c>
      <c r="Q2925" s="166"/>
      <c r="R2925" s="151"/>
    </row>
    <row r="2926" spans="1:18">
      <c r="A2926" s="166" t="s">
        <v>70</v>
      </c>
      <c r="B2926" s="166" t="s">
        <v>750</v>
      </c>
      <c r="C2926" s="86" t="s">
        <v>6823</v>
      </c>
      <c r="D2926" s="161" t="s">
        <v>6824</v>
      </c>
      <c r="E2926" s="161" t="s">
        <v>1640</v>
      </c>
      <c r="F2926" s="161" t="s">
        <v>6751</v>
      </c>
      <c r="G2926" s="163">
        <v>743.16</v>
      </c>
      <c r="H2926" s="163">
        <f t="shared" si="226"/>
        <v>21.85</v>
      </c>
      <c r="I2926" s="163">
        <v>29.248</v>
      </c>
      <c r="J2926" s="173">
        <v>5973.72665060855</v>
      </c>
      <c r="K2926" s="173">
        <f t="shared" si="227"/>
        <v>264408.4297058</v>
      </c>
      <c r="L2926" s="172"/>
      <c r="M2926" s="161" t="s">
        <v>6752</v>
      </c>
      <c r="N2926" s="161" t="s">
        <v>1901</v>
      </c>
      <c r="O2926" s="161" t="s">
        <v>26</v>
      </c>
      <c r="P2926" s="49" t="s">
        <v>26</v>
      </c>
      <c r="Q2926" s="166"/>
      <c r="R2926" s="151"/>
    </row>
    <row r="2927" spans="1:18">
      <c r="A2927" s="166" t="s">
        <v>70</v>
      </c>
      <c r="B2927" s="166" t="s">
        <v>750</v>
      </c>
      <c r="C2927" s="86" t="s">
        <v>6825</v>
      </c>
      <c r="D2927" s="161" t="s">
        <v>6826</v>
      </c>
      <c r="E2927" s="161" t="s">
        <v>1980</v>
      </c>
      <c r="F2927" s="161" t="s">
        <v>3101</v>
      </c>
      <c r="G2927" s="163">
        <v>762.53</v>
      </c>
      <c r="H2927" s="163">
        <f t="shared" si="226"/>
        <v>19.37</v>
      </c>
      <c r="I2927" s="163">
        <v>0.1</v>
      </c>
      <c r="J2927" s="173">
        <v>5295.70184083696</v>
      </c>
      <c r="K2927" s="173">
        <f t="shared" si="227"/>
        <v>269704.131546637</v>
      </c>
      <c r="L2927" s="172"/>
      <c r="M2927" s="161" t="s">
        <v>6752</v>
      </c>
      <c r="N2927" s="161" t="s">
        <v>1901</v>
      </c>
      <c r="O2927" s="161" t="s">
        <v>26</v>
      </c>
      <c r="P2927" s="49" t="s">
        <v>26</v>
      </c>
      <c r="Q2927" s="166"/>
      <c r="R2927" s="151"/>
    </row>
    <row r="2928" spans="1:18">
      <c r="A2928" s="166" t="s">
        <v>70</v>
      </c>
      <c r="B2928" s="166" t="s">
        <v>750</v>
      </c>
      <c r="C2928" s="86" t="s">
        <v>6827</v>
      </c>
      <c r="D2928" s="161" t="s">
        <v>6828</v>
      </c>
      <c r="E2928" s="161" t="s">
        <v>1980</v>
      </c>
      <c r="F2928" s="161" t="s">
        <v>3101</v>
      </c>
      <c r="G2928" s="163">
        <v>783.29</v>
      </c>
      <c r="H2928" s="163">
        <f t="shared" si="226"/>
        <v>20.76</v>
      </c>
      <c r="I2928" s="163">
        <v>25.625</v>
      </c>
      <c r="J2928" s="173">
        <v>5675.72381082991</v>
      </c>
      <c r="K2928" s="173">
        <f t="shared" si="227"/>
        <v>275379.855357467</v>
      </c>
      <c r="L2928" s="172"/>
      <c r="M2928" s="161" t="s">
        <v>6752</v>
      </c>
      <c r="N2928" s="161" t="s">
        <v>1901</v>
      </c>
      <c r="O2928" s="161" t="s">
        <v>26</v>
      </c>
      <c r="P2928" s="49" t="s">
        <v>26</v>
      </c>
      <c r="Q2928" s="166"/>
      <c r="R2928" s="151"/>
    </row>
    <row r="2929" spans="1:18">
      <c r="A2929" s="166" t="s">
        <v>70</v>
      </c>
      <c r="B2929" s="166" t="s">
        <v>750</v>
      </c>
      <c r="C2929" s="86" t="s">
        <v>6829</v>
      </c>
      <c r="D2929" s="161" t="s">
        <v>6829</v>
      </c>
      <c r="E2929" s="161" t="s">
        <v>1980</v>
      </c>
      <c r="F2929" s="161" t="s">
        <v>3101</v>
      </c>
      <c r="G2929" s="163">
        <v>802.76</v>
      </c>
      <c r="H2929" s="163">
        <f t="shared" si="226"/>
        <v>19.47</v>
      </c>
      <c r="I2929" s="163">
        <v>22.784</v>
      </c>
      <c r="J2929" s="173">
        <v>5323.04155090839</v>
      </c>
      <c r="K2929" s="173">
        <f t="shared" si="227"/>
        <v>280702.896908376</v>
      </c>
      <c r="L2929" s="172"/>
      <c r="M2929" s="161" t="s">
        <v>6752</v>
      </c>
      <c r="N2929" s="161"/>
      <c r="O2929" s="161" t="s">
        <v>14</v>
      </c>
      <c r="P2929" s="49" t="s">
        <v>14</v>
      </c>
      <c r="Q2929" s="166"/>
      <c r="R2929" s="151"/>
    </row>
    <row r="2930" spans="1:18">
      <c r="A2930" s="166" t="s">
        <v>70</v>
      </c>
      <c r="B2930" s="166" t="s">
        <v>750</v>
      </c>
      <c r="C2930" s="86" t="s">
        <v>6830</v>
      </c>
      <c r="D2930" s="161" t="s">
        <v>6831</v>
      </c>
      <c r="E2930" s="161" t="s">
        <v>1980</v>
      </c>
      <c r="F2930" s="161" t="s">
        <v>3101</v>
      </c>
      <c r="G2930" s="163">
        <v>826.33</v>
      </c>
      <c r="H2930" s="163">
        <f t="shared" si="226"/>
        <v>23.5700000000001</v>
      </c>
      <c r="I2930" s="163">
        <v>21.447</v>
      </c>
      <c r="J2930" s="173">
        <v>6443.96966383723</v>
      </c>
      <c r="K2930" s="173">
        <f t="shared" si="227"/>
        <v>287146.866572213</v>
      </c>
      <c r="L2930" s="172"/>
      <c r="M2930" s="161" t="s">
        <v>6752</v>
      </c>
      <c r="N2930" s="161" t="s">
        <v>1901</v>
      </c>
      <c r="O2930" s="161" t="s">
        <v>26</v>
      </c>
      <c r="P2930" s="49" t="s">
        <v>26</v>
      </c>
      <c r="Q2930" s="166"/>
      <c r="R2930" s="151"/>
    </row>
    <row r="2931" spans="1:18">
      <c r="A2931" s="166" t="s">
        <v>70</v>
      </c>
      <c r="B2931" s="166" t="s">
        <v>750</v>
      </c>
      <c r="C2931" s="86" t="s">
        <v>6832</v>
      </c>
      <c r="D2931" s="161" t="s">
        <v>6833</v>
      </c>
      <c r="E2931" s="161" t="s">
        <v>1980</v>
      </c>
      <c r="F2931" s="161" t="s">
        <v>3101</v>
      </c>
      <c r="G2931" s="163">
        <v>838.07</v>
      </c>
      <c r="H2931" s="163">
        <f t="shared" si="226"/>
        <v>11.74</v>
      </c>
      <c r="I2931" s="163">
        <v>19.307</v>
      </c>
      <c r="J2931" s="173">
        <v>3209.68196238647</v>
      </c>
      <c r="K2931" s="173">
        <f t="shared" si="227"/>
        <v>290356.548534599</v>
      </c>
      <c r="L2931" s="172"/>
      <c r="M2931" s="161" t="s">
        <v>6752</v>
      </c>
      <c r="N2931" s="161" t="s">
        <v>1901</v>
      </c>
      <c r="O2931" s="161" t="s">
        <v>26</v>
      </c>
      <c r="P2931" s="49" t="s">
        <v>26</v>
      </c>
      <c r="Q2931" s="166"/>
      <c r="R2931" s="151"/>
    </row>
    <row r="2932" spans="1:18">
      <c r="A2932" s="166" t="s">
        <v>70</v>
      </c>
      <c r="B2932" s="166" t="s">
        <v>750</v>
      </c>
      <c r="C2932" s="86" t="s">
        <v>6834</v>
      </c>
      <c r="D2932" s="161" t="s">
        <v>6835</v>
      </c>
      <c r="E2932" s="161" t="s">
        <v>1980</v>
      </c>
      <c r="F2932" s="161" t="s">
        <v>3101</v>
      </c>
      <c r="G2932" s="163">
        <v>856.34</v>
      </c>
      <c r="H2932" s="163">
        <f t="shared" si="226"/>
        <v>18.27</v>
      </c>
      <c r="I2932" s="163">
        <v>17.266</v>
      </c>
      <c r="J2932" s="173">
        <v>4994.96503005117</v>
      </c>
      <c r="K2932" s="173">
        <f t="shared" si="227"/>
        <v>295351.51356465</v>
      </c>
      <c r="L2932" s="172"/>
      <c r="M2932" s="161" t="s">
        <v>6752</v>
      </c>
      <c r="N2932" s="161" t="s">
        <v>1299</v>
      </c>
      <c r="O2932" s="161" t="s">
        <v>25</v>
      </c>
      <c r="P2932" s="49" t="s">
        <v>25</v>
      </c>
      <c r="Q2932" s="166"/>
      <c r="R2932" s="151"/>
    </row>
    <row r="2933" spans="1:18">
      <c r="A2933" s="166" t="s">
        <v>70</v>
      </c>
      <c r="B2933" s="166" t="s">
        <v>750</v>
      </c>
      <c r="C2933" s="86" t="s">
        <v>6836</v>
      </c>
      <c r="D2933" s="161" t="s">
        <v>6837</v>
      </c>
      <c r="E2933" s="161" t="s">
        <v>1980</v>
      </c>
      <c r="F2933" s="161" t="s">
        <v>2016</v>
      </c>
      <c r="G2933" s="163">
        <v>876.23</v>
      </c>
      <c r="H2933" s="163">
        <f t="shared" si="226"/>
        <v>19.89</v>
      </c>
      <c r="I2933" s="163">
        <v>15.375</v>
      </c>
      <c r="J2933" s="173">
        <v>5437.86833320842</v>
      </c>
      <c r="K2933" s="173">
        <f t="shared" si="227"/>
        <v>300789.381897859</v>
      </c>
      <c r="L2933" s="172"/>
      <c r="M2933" s="161" t="s">
        <v>6752</v>
      </c>
      <c r="N2933" s="161" t="s">
        <v>1901</v>
      </c>
      <c r="O2933" s="161" t="s">
        <v>26</v>
      </c>
      <c r="P2933" s="49" t="s">
        <v>26</v>
      </c>
      <c r="Q2933" s="166"/>
      <c r="R2933" s="151"/>
    </row>
    <row r="2934" spans="1:18">
      <c r="A2934" s="166" t="s">
        <v>70</v>
      </c>
      <c r="B2934" s="166" t="s">
        <v>750</v>
      </c>
      <c r="C2934" s="86" t="s">
        <v>6838</v>
      </c>
      <c r="D2934" s="161" t="s">
        <v>6838</v>
      </c>
      <c r="E2934" s="161" t="s">
        <v>1980</v>
      </c>
      <c r="F2934" s="161" t="s">
        <v>2016</v>
      </c>
      <c r="G2934" s="163">
        <v>887.227</v>
      </c>
      <c r="H2934" s="163">
        <f t="shared" si="226"/>
        <v>10.997</v>
      </c>
      <c r="I2934" s="163">
        <v>12.296</v>
      </c>
      <c r="J2934" s="173">
        <v>5878.03766535852</v>
      </c>
      <c r="K2934" s="173">
        <f t="shared" si="227"/>
        <v>306667.419563217</v>
      </c>
      <c r="L2934" s="172"/>
      <c r="M2934" s="161" t="s">
        <v>6752</v>
      </c>
      <c r="N2934" s="161"/>
      <c r="O2934" s="161" t="s">
        <v>14</v>
      </c>
      <c r="P2934" s="49" t="s">
        <v>14</v>
      </c>
      <c r="Q2934" s="166"/>
      <c r="R2934" s="151"/>
    </row>
    <row r="2935" ht="45" spans="1:18">
      <c r="A2935" s="166" t="s">
        <v>70</v>
      </c>
      <c r="B2935" s="166" t="s">
        <v>750</v>
      </c>
      <c r="C2935" s="135" t="s">
        <v>6839</v>
      </c>
      <c r="D2935" s="161" t="s">
        <v>6839</v>
      </c>
      <c r="E2935" s="161" t="s">
        <v>6840</v>
      </c>
      <c r="F2935" s="161" t="s">
        <v>2016</v>
      </c>
      <c r="G2935" s="163">
        <v>914.36</v>
      </c>
      <c r="H2935" s="163">
        <f t="shared" si="226"/>
        <v>27.133</v>
      </c>
      <c r="I2935" s="163">
        <v>12.383</v>
      </c>
      <c r="J2935" s="173">
        <v>4546.59378487964</v>
      </c>
      <c r="K2935" s="173">
        <f t="shared" si="227"/>
        <v>311214.013348097</v>
      </c>
      <c r="L2935" s="172" t="s">
        <v>6841</v>
      </c>
      <c r="M2935" s="161" t="s">
        <v>6752</v>
      </c>
      <c r="N2935" s="161"/>
      <c r="O2935" s="161"/>
      <c r="P2935" s="49"/>
      <c r="Q2935" s="166"/>
      <c r="R2935" s="151"/>
    </row>
    <row r="2936" spans="1:18">
      <c r="A2936" s="166" t="s">
        <v>70</v>
      </c>
      <c r="B2936" s="166" t="s">
        <v>757</v>
      </c>
      <c r="C2936" s="135" t="s">
        <v>751</v>
      </c>
      <c r="D2936" s="161" t="s">
        <v>751</v>
      </c>
      <c r="E2936" s="161" t="s">
        <v>1491</v>
      </c>
      <c r="F2936" s="161" t="s">
        <v>6751</v>
      </c>
      <c r="G2936" s="163">
        <v>0</v>
      </c>
      <c r="H2936" s="163">
        <v>0</v>
      </c>
      <c r="I2936" s="171"/>
      <c r="J2936" s="173">
        <v>0</v>
      </c>
      <c r="K2936" s="173">
        <v>0</v>
      </c>
      <c r="L2936" s="172"/>
      <c r="M2936" s="161" t="s">
        <v>6752</v>
      </c>
      <c r="N2936" s="161"/>
      <c r="O2936" s="161"/>
      <c r="P2936" s="49"/>
      <c r="Q2936" s="166"/>
      <c r="R2936" s="151"/>
    </row>
    <row r="2937" spans="1:18">
      <c r="A2937" s="166" t="s">
        <v>70</v>
      </c>
      <c r="B2937" s="166" t="s">
        <v>757</v>
      </c>
      <c r="C2937" s="135" t="s">
        <v>6753</v>
      </c>
      <c r="D2937" s="161" t="s">
        <v>6754</v>
      </c>
      <c r="E2937" s="161" t="s">
        <v>1491</v>
      </c>
      <c r="F2937" s="161" t="s">
        <v>6751</v>
      </c>
      <c r="G2937" s="163">
        <v>21.71</v>
      </c>
      <c r="H2937" s="163">
        <f>G2937-G2936</f>
        <v>21.71</v>
      </c>
      <c r="I2937" s="173"/>
      <c r="J2937" s="173">
        <v>1020.146655938</v>
      </c>
      <c r="K2937" s="173">
        <f>K2936+J2937</f>
        <v>1020.146655938</v>
      </c>
      <c r="L2937" s="172"/>
      <c r="M2937" s="161" t="s">
        <v>6752</v>
      </c>
      <c r="N2937" s="161"/>
      <c r="O2937" s="161"/>
      <c r="P2937" s="49"/>
      <c r="Q2937" s="166"/>
      <c r="R2937" s="151"/>
    </row>
    <row r="2938" spans="1:18">
      <c r="A2938" s="166" t="s">
        <v>70</v>
      </c>
      <c r="B2938" s="166" t="s">
        <v>757</v>
      </c>
      <c r="C2938" s="86" t="s">
        <v>6842</v>
      </c>
      <c r="D2938" s="161" t="s">
        <v>6842</v>
      </c>
      <c r="E2938" s="161" t="s">
        <v>1491</v>
      </c>
      <c r="F2938" s="161" t="s">
        <v>6751</v>
      </c>
      <c r="G2938" s="163">
        <v>42.74</v>
      </c>
      <c r="H2938" s="163">
        <f>G2938-G2937</f>
        <v>21.03</v>
      </c>
      <c r="I2938" s="173"/>
      <c r="J2938" s="173">
        <v>1132.05737549411</v>
      </c>
      <c r="K2938" s="173">
        <f t="shared" ref="K2938:K2939" si="228">K2937+J2938</f>
        <v>2152.20403143211</v>
      </c>
      <c r="L2938" s="172"/>
      <c r="M2938" s="161" t="s">
        <v>6752</v>
      </c>
      <c r="N2938" s="161"/>
      <c r="O2938" s="161" t="s">
        <v>27</v>
      </c>
      <c r="P2938" s="49" t="s">
        <v>27</v>
      </c>
      <c r="Q2938" s="166"/>
      <c r="R2938" s="151"/>
    </row>
    <row r="2939" spans="1:18">
      <c r="A2939" s="166" t="s">
        <v>70</v>
      </c>
      <c r="B2939" s="166" t="s">
        <v>757</v>
      </c>
      <c r="C2939" s="135" t="s">
        <v>758</v>
      </c>
      <c r="D2939" s="161" t="s">
        <v>758</v>
      </c>
      <c r="E2939" s="161" t="s">
        <v>1491</v>
      </c>
      <c r="F2939" s="161" t="s">
        <v>6751</v>
      </c>
      <c r="G2939" s="163">
        <v>50.54</v>
      </c>
      <c r="H2939" s="163">
        <f>G2939-G2938</f>
        <v>7.8</v>
      </c>
      <c r="I2939" s="173"/>
      <c r="J2939" s="173">
        <v>414.762103684738</v>
      </c>
      <c r="K2939" s="173">
        <f t="shared" si="228"/>
        <v>2566.96613511685</v>
      </c>
      <c r="L2939" s="172"/>
      <c r="M2939" s="161" t="s">
        <v>6752</v>
      </c>
      <c r="N2939" s="161"/>
      <c r="O2939" s="161"/>
      <c r="P2939" s="49"/>
      <c r="Q2939" s="166"/>
      <c r="R2939" s="151"/>
    </row>
    <row r="2940" spans="1:18">
      <c r="A2940" s="166" t="s">
        <v>71</v>
      </c>
      <c r="B2940" s="166" t="s">
        <v>759</v>
      </c>
      <c r="C2940" s="86" t="s">
        <v>760</v>
      </c>
      <c r="D2940" s="161" t="s">
        <v>760</v>
      </c>
      <c r="E2940" s="161" t="s">
        <v>1640</v>
      </c>
      <c r="F2940" s="161" t="s">
        <v>2016</v>
      </c>
      <c r="G2940" s="163">
        <v>0</v>
      </c>
      <c r="H2940" s="163">
        <v>0</v>
      </c>
      <c r="I2940" s="163">
        <v>25.863</v>
      </c>
      <c r="J2940" s="173">
        <v>0</v>
      </c>
      <c r="K2940" s="173">
        <v>0</v>
      </c>
      <c r="L2940" s="172"/>
      <c r="M2940" s="161" t="s">
        <v>6752</v>
      </c>
      <c r="N2940" s="161"/>
      <c r="O2940" s="161" t="s">
        <v>14</v>
      </c>
      <c r="P2940" s="49" t="s">
        <v>14</v>
      </c>
      <c r="Q2940" s="166"/>
      <c r="R2940" s="151"/>
    </row>
    <row r="2941" spans="1:18">
      <c r="A2941" s="166" t="s">
        <v>71</v>
      </c>
      <c r="B2941" s="166" t="s">
        <v>759</v>
      </c>
      <c r="C2941" s="86" t="s">
        <v>6843</v>
      </c>
      <c r="D2941" s="161" t="s">
        <v>6843</v>
      </c>
      <c r="E2941" s="161" t="s">
        <v>1640</v>
      </c>
      <c r="F2941" s="161" t="s">
        <v>2016</v>
      </c>
      <c r="G2941" s="163">
        <v>22.3917</v>
      </c>
      <c r="H2941" s="163">
        <f>G2941-G2940</f>
        <v>22.3917</v>
      </c>
      <c r="I2941" s="163">
        <v>25.287</v>
      </c>
      <c r="J2941" s="173">
        <v>2598.66359328342</v>
      </c>
      <c r="K2941" s="173">
        <f>K2940+J2941</f>
        <v>2598.66359328342</v>
      </c>
      <c r="L2941" s="172"/>
      <c r="M2941" s="161" t="s">
        <v>6752</v>
      </c>
      <c r="N2941" s="161"/>
      <c r="O2941" s="161" t="s">
        <v>27</v>
      </c>
      <c r="P2941" s="49" t="s">
        <v>27</v>
      </c>
      <c r="Q2941" s="166"/>
      <c r="R2941" s="151"/>
    </row>
    <row r="2942" spans="1:18">
      <c r="A2942" s="166" t="s">
        <v>71</v>
      </c>
      <c r="B2942" s="166" t="s">
        <v>759</v>
      </c>
      <c r="C2942" s="86" t="s">
        <v>6844</v>
      </c>
      <c r="D2942" s="161" t="s">
        <v>6844</v>
      </c>
      <c r="E2942" s="161" t="s">
        <v>1640</v>
      </c>
      <c r="F2942" s="161" t="s">
        <v>2016</v>
      </c>
      <c r="G2942" s="163">
        <v>45.8214</v>
      </c>
      <c r="H2942" s="163">
        <f t="shared" ref="H2942:H2955" si="229">G2942-G2941</f>
        <v>23.4297</v>
      </c>
      <c r="I2942" s="174" t="s">
        <v>147</v>
      </c>
      <c r="J2942" s="174" t="s">
        <v>147</v>
      </c>
      <c r="K2942" s="174" t="s">
        <v>147</v>
      </c>
      <c r="L2942" s="172"/>
      <c r="M2942" s="161">
        <v>0</v>
      </c>
      <c r="N2942" s="161"/>
      <c r="O2942" s="161" t="s">
        <v>27</v>
      </c>
      <c r="P2942" s="49" t="s">
        <v>27</v>
      </c>
      <c r="Q2942" s="166"/>
      <c r="R2942" s="151"/>
    </row>
    <row r="2943" spans="1:18">
      <c r="A2943" s="166" t="s">
        <v>71</v>
      </c>
      <c r="B2943" s="166" t="s">
        <v>759</v>
      </c>
      <c r="C2943" s="86" t="s">
        <v>6845</v>
      </c>
      <c r="D2943" s="161" t="s">
        <v>6846</v>
      </c>
      <c r="E2943" s="161" t="s">
        <v>1640</v>
      </c>
      <c r="F2943" s="161" t="s">
        <v>2016</v>
      </c>
      <c r="G2943" s="163">
        <v>69.209</v>
      </c>
      <c r="H2943" s="163">
        <f t="shared" si="229"/>
        <v>23.3876</v>
      </c>
      <c r="I2943" s="174">
        <v>21.707</v>
      </c>
      <c r="J2943" s="173">
        <v>9594.19011301282</v>
      </c>
      <c r="K2943" s="173">
        <f>K2941+J2943</f>
        <v>12192.8537062962</v>
      </c>
      <c r="L2943" s="172"/>
      <c r="M2943" s="161" t="s">
        <v>6752</v>
      </c>
      <c r="N2943" s="161" t="s">
        <v>1299</v>
      </c>
      <c r="O2943" s="161" t="s">
        <v>25</v>
      </c>
      <c r="P2943" s="49" t="s">
        <v>25</v>
      </c>
      <c r="Q2943" s="166"/>
      <c r="R2943" s="151"/>
    </row>
    <row r="2944" spans="1:18">
      <c r="A2944" s="166" t="s">
        <v>71</v>
      </c>
      <c r="B2944" s="166" t="s">
        <v>759</v>
      </c>
      <c r="C2944" s="86" t="s">
        <v>6847</v>
      </c>
      <c r="D2944" s="161" t="s">
        <v>6847</v>
      </c>
      <c r="E2944" s="161" t="s">
        <v>1640</v>
      </c>
      <c r="F2944" s="161" t="s">
        <v>2016</v>
      </c>
      <c r="G2944" s="163">
        <v>89.4954</v>
      </c>
      <c r="H2944" s="163">
        <f t="shared" si="229"/>
        <v>20.2864</v>
      </c>
      <c r="I2944" s="163">
        <v>18.043</v>
      </c>
      <c r="J2944" s="173">
        <v>11976.6145459792</v>
      </c>
      <c r="K2944" s="173">
        <f t="shared" ref="K2944:K2955" si="230">K2943+J2944</f>
        <v>24169.4682522754</v>
      </c>
      <c r="L2944" s="172"/>
      <c r="M2944" s="161" t="s">
        <v>6752</v>
      </c>
      <c r="N2944" s="161"/>
      <c r="O2944" s="161" t="s">
        <v>27</v>
      </c>
      <c r="P2944" s="49" t="s">
        <v>27</v>
      </c>
      <c r="Q2944" s="166"/>
      <c r="R2944" s="151"/>
    </row>
    <row r="2945" spans="1:18">
      <c r="A2945" s="166" t="s">
        <v>71</v>
      </c>
      <c r="B2945" s="166" t="s">
        <v>759</v>
      </c>
      <c r="C2945" s="86" t="s">
        <v>6848</v>
      </c>
      <c r="D2945" s="161" t="s">
        <v>6848</v>
      </c>
      <c r="E2945" s="161" t="s">
        <v>1640</v>
      </c>
      <c r="F2945" s="161" t="s">
        <v>2016</v>
      </c>
      <c r="G2945" s="163">
        <v>115.4881</v>
      </c>
      <c r="H2945" s="163">
        <f t="shared" si="229"/>
        <v>25.9927</v>
      </c>
      <c r="I2945" s="174">
        <v>19.689</v>
      </c>
      <c r="J2945" s="173">
        <v>4078.19469018932</v>
      </c>
      <c r="K2945" s="173">
        <f t="shared" si="230"/>
        <v>28247.6629424648</v>
      </c>
      <c r="L2945" s="172"/>
      <c r="M2945" s="161" t="s">
        <v>6752</v>
      </c>
      <c r="N2945" s="161"/>
      <c r="O2945" s="161" t="s">
        <v>14</v>
      </c>
      <c r="P2945" s="49" t="s">
        <v>14</v>
      </c>
      <c r="Q2945" s="166"/>
      <c r="R2945" s="151"/>
    </row>
    <row r="2946" spans="1:18">
      <c r="A2946" s="166" t="s">
        <v>71</v>
      </c>
      <c r="B2946" s="166" t="s">
        <v>759</v>
      </c>
      <c r="C2946" s="86" t="s">
        <v>6849</v>
      </c>
      <c r="D2946" s="161" t="s">
        <v>6850</v>
      </c>
      <c r="E2946" s="161" t="s">
        <v>1640</v>
      </c>
      <c r="F2946" s="161" t="s">
        <v>2016</v>
      </c>
      <c r="G2946" s="163">
        <v>133.599</v>
      </c>
      <c r="H2946" s="163">
        <f t="shared" si="229"/>
        <v>18.1109</v>
      </c>
      <c r="I2946" s="163">
        <v>20.227</v>
      </c>
      <c r="J2946" s="173">
        <v>5258.02589823478</v>
      </c>
      <c r="K2946" s="173">
        <f t="shared" si="230"/>
        <v>33505.6888406995</v>
      </c>
      <c r="L2946" s="172"/>
      <c r="M2946" s="161" t="s">
        <v>6752</v>
      </c>
      <c r="N2946" s="161" t="s">
        <v>1299</v>
      </c>
      <c r="O2946" s="161" t="s">
        <v>25</v>
      </c>
      <c r="P2946" s="49" t="s">
        <v>25</v>
      </c>
      <c r="Q2946" s="166"/>
      <c r="R2946" s="151"/>
    </row>
    <row r="2947" spans="1:18">
      <c r="A2947" s="166" t="s">
        <v>71</v>
      </c>
      <c r="B2947" s="166" t="s">
        <v>759</v>
      </c>
      <c r="C2947" s="86" t="s">
        <v>6851</v>
      </c>
      <c r="D2947" s="161" t="s">
        <v>6852</v>
      </c>
      <c r="E2947" s="161" t="s">
        <v>1640</v>
      </c>
      <c r="F2947" s="161" t="s">
        <v>2016</v>
      </c>
      <c r="G2947" s="163">
        <v>140.599</v>
      </c>
      <c r="H2947" s="163">
        <f t="shared" si="229"/>
        <v>7</v>
      </c>
      <c r="I2947" s="163">
        <v>17.903</v>
      </c>
      <c r="J2947" s="173">
        <v>4780.0235438498</v>
      </c>
      <c r="K2947" s="173">
        <f t="shared" si="230"/>
        <v>38285.7123845493</v>
      </c>
      <c r="L2947" s="172"/>
      <c r="M2947" s="161" t="s">
        <v>6752</v>
      </c>
      <c r="N2947" s="161" t="s">
        <v>1299</v>
      </c>
      <c r="O2947" s="161" t="s">
        <v>27</v>
      </c>
      <c r="P2947" s="49" t="s">
        <v>25</v>
      </c>
      <c r="Q2947" s="166"/>
      <c r="R2947" s="151"/>
    </row>
    <row r="2948" spans="1:18">
      <c r="A2948" s="166" t="s">
        <v>71</v>
      </c>
      <c r="B2948" s="166" t="s">
        <v>759</v>
      </c>
      <c r="C2948" s="86" t="s">
        <v>6853</v>
      </c>
      <c r="D2948" s="161" t="s">
        <v>6853</v>
      </c>
      <c r="E2948" s="161" t="s">
        <v>1640</v>
      </c>
      <c r="F2948" s="161" t="s">
        <v>2016</v>
      </c>
      <c r="G2948" s="163">
        <v>163.299</v>
      </c>
      <c r="H2948" s="163">
        <f t="shared" si="229"/>
        <v>22.7</v>
      </c>
      <c r="I2948" s="174">
        <v>18.178</v>
      </c>
      <c r="J2948" s="173">
        <v>7788.40344089178</v>
      </c>
      <c r="K2948" s="173">
        <f t="shared" si="230"/>
        <v>46074.1158254411</v>
      </c>
      <c r="L2948" s="172"/>
      <c r="M2948" s="161" t="s">
        <v>6752</v>
      </c>
      <c r="N2948" s="161"/>
      <c r="O2948" s="161" t="s">
        <v>27</v>
      </c>
      <c r="P2948" s="49" t="s">
        <v>27</v>
      </c>
      <c r="Q2948" s="166"/>
      <c r="R2948" s="151"/>
    </row>
    <row r="2949" s="152" customFormat="1" spans="1:18">
      <c r="A2949" s="166" t="s">
        <v>71</v>
      </c>
      <c r="B2949" s="166" t="s">
        <v>759</v>
      </c>
      <c r="C2949" s="86" t="s">
        <v>6854</v>
      </c>
      <c r="D2949" s="161" t="s">
        <v>6854</v>
      </c>
      <c r="E2949" s="161" t="s">
        <v>1980</v>
      </c>
      <c r="F2949" s="161" t="s">
        <v>2016</v>
      </c>
      <c r="G2949" s="163">
        <v>181.7854</v>
      </c>
      <c r="H2949" s="163">
        <f t="shared" si="229"/>
        <v>18.4864</v>
      </c>
      <c r="I2949" s="163">
        <v>18.087</v>
      </c>
      <c r="J2949" s="173">
        <v>3759.52645393266</v>
      </c>
      <c r="K2949" s="173">
        <f t="shared" si="230"/>
        <v>49833.6422793738</v>
      </c>
      <c r="L2949" s="172"/>
      <c r="M2949" s="161" t="s">
        <v>6752</v>
      </c>
      <c r="N2949" s="161"/>
      <c r="O2949" s="161" t="s">
        <v>25</v>
      </c>
      <c r="P2949" s="49" t="s">
        <v>14</v>
      </c>
      <c r="Q2949" s="166"/>
      <c r="R2949" s="151"/>
    </row>
    <row r="2950" spans="1:18">
      <c r="A2950" s="166" t="s">
        <v>71</v>
      </c>
      <c r="B2950" s="166" t="s">
        <v>759</v>
      </c>
      <c r="C2950" s="86" t="s">
        <v>6855</v>
      </c>
      <c r="D2950" s="161" t="s">
        <v>6855</v>
      </c>
      <c r="E2950" s="161" t="s">
        <v>1980</v>
      </c>
      <c r="F2950" s="161" t="s">
        <v>2016</v>
      </c>
      <c r="G2950" s="163">
        <v>210.5</v>
      </c>
      <c r="H2950" s="163">
        <f t="shared" si="229"/>
        <v>28.7146</v>
      </c>
      <c r="I2950" s="174">
        <v>21.754</v>
      </c>
      <c r="J2950" s="173">
        <v>6403.71408096704</v>
      </c>
      <c r="K2950" s="173">
        <f t="shared" si="230"/>
        <v>56237.3563603408</v>
      </c>
      <c r="L2950" s="172"/>
      <c r="M2950" s="161" t="s">
        <v>6752</v>
      </c>
      <c r="N2950" s="161"/>
      <c r="O2950" s="161" t="s">
        <v>27</v>
      </c>
      <c r="P2950" s="49" t="s">
        <v>27</v>
      </c>
      <c r="Q2950" s="166"/>
      <c r="R2950" s="151"/>
    </row>
    <row r="2951" spans="1:18">
      <c r="A2951" s="166" t="s">
        <v>71</v>
      </c>
      <c r="B2951" s="166" t="s">
        <v>759</v>
      </c>
      <c r="C2951" s="86" t="s">
        <v>6856</v>
      </c>
      <c r="D2951" s="161" t="s">
        <v>6856</v>
      </c>
      <c r="E2951" s="161" t="s">
        <v>1980</v>
      </c>
      <c r="F2951" s="161" t="s">
        <v>2016</v>
      </c>
      <c r="G2951" s="163">
        <v>229.028</v>
      </c>
      <c r="H2951" s="163">
        <f t="shared" si="229"/>
        <v>18.528</v>
      </c>
      <c r="I2951" s="163">
        <v>18.34</v>
      </c>
      <c r="J2951" s="173">
        <v>4339.95788425728</v>
      </c>
      <c r="K2951" s="173">
        <f t="shared" si="230"/>
        <v>60577.3142445981</v>
      </c>
      <c r="L2951" s="172"/>
      <c r="M2951" s="161" t="s">
        <v>6752</v>
      </c>
      <c r="N2951" s="161"/>
      <c r="O2951" s="161" t="s">
        <v>14</v>
      </c>
      <c r="P2951" s="49" t="s">
        <v>14</v>
      </c>
      <c r="Q2951" s="166"/>
      <c r="R2951" s="151"/>
    </row>
    <row r="2952" spans="1:18">
      <c r="A2952" s="166" t="s">
        <v>71</v>
      </c>
      <c r="B2952" s="166" t="s">
        <v>759</v>
      </c>
      <c r="C2952" s="86" t="s">
        <v>6857</v>
      </c>
      <c r="D2952" s="161" t="s">
        <v>6857</v>
      </c>
      <c r="E2952" s="161" t="s">
        <v>1980</v>
      </c>
      <c r="F2952" s="161" t="s">
        <v>2016</v>
      </c>
      <c r="G2952" s="163">
        <v>263.1218</v>
      </c>
      <c r="H2952" s="163">
        <f t="shared" si="229"/>
        <v>34.0938</v>
      </c>
      <c r="I2952" s="163">
        <v>20.292</v>
      </c>
      <c r="J2952" s="173">
        <v>6088.83951418963</v>
      </c>
      <c r="K2952" s="173">
        <f t="shared" si="230"/>
        <v>66666.1537587877</v>
      </c>
      <c r="L2952" s="172"/>
      <c r="M2952" s="161" t="s">
        <v>6752</v>
      </c>
      <c r="N2952" s="161"/>
      <c r="O2952" s="161" t="s">
        <v>27</v>
      </c>
      <c r="P2952" s="49" t="s">
        <v>27</v>
      </c>
      <c r="Q2952" s="166"/>
      <c r="R2952" s="151"/>
    </row>
    <row r="2953" spans="1:18">
      <c r="A2953" s="166" t="s">
        <v>71</v>
      </c>
      <c r="B2953" s="166" t="s">
        <v>759</v>
      </c>
      <c r="C2953" s="86" t="s">
        <v>6858</v>
      </c>
      <c r="D2953" s="161" t="s">
        <v>6858</v>
      </c>
      <c r="E2953" s="161" t="s">
        <v>1980</v>
      </c>
      <c r="F2953" s="161" t="s">
        <v>2016</v>
      </c>
      <c r="G2953" s="163">
        <v>279.9138</v>
      </c>
      <c r="H2953" s="163">
        <f t="shared" si="229"/>
        <v>16.792</v>
      </c>
      <c r="I2953" s="174">
        <v>20.331</v>
      </c>
      <c r="J2953" s="173">
        <v>6138.15721741983</v>
      </c>
      <c r="K2953" s="173">
        <f t="shared" si="230"/>
        <v>72804.3109762075</v>
      </c>
      <c r="L2953" s="172"/>
      <c r="M2953" s="161" t="s">
        <v>6752</v>
      </c>
      <c r="N2953" s="161"/>
      <c r="O2953" s="161" t="s">
        <v>27</v>
      </c>
      <c r="P2953" s="49" t="s">
        <v>27</v>
      </c>
      <c r="Q2953" s="166"/>
      <c r="R2953" s="151"/>
    </row>
    <row r="2954" spans="1:18">
      <c r="A2954" s="166" t="s">
        <v>71</v>
      </c>
      <c r="B2954" s="166" t="s">
        <v>759</v>
      </c>
      <c r="C2954" s="86" t="s">
        <v>6859</v>
      </c>
      <c r="D2954" s="161" t="s">
        <v>6860</v>
      </c>
      <c r="E2954" s="161" t="s">
        <v>1980</v>
      </c>
      <c r="F2954" s="161" t="s">
        <v>2016</v>
      </c>
      <c r="G2954" s="163">
        <v>279.9138</v>
      </c>
      <c r="H2954" s="163">
        <f t="shared" si="229"/>
        <v>0</v>
      </c>
      <c r="I2954" s="163">
        <v>20.212</v>
      </c>
      <c r="J2954" s="173">
        <v>4742.08684905734</v>
      </c>
      <c r="K2954" s="173">
        <f t="shared" si="230"/>
        <v>77546.3978252649</v>
      </c>
      <c r="L2954" s="172"/>
      <c r="M2954" s="161" t="s">
        <v>6752</v>
      </c>
      <c r="N2954" s="161" t="s">
        <v>1299</v>
      </c>
      <c r="O2954" s="161" t="s">
        <v>25</v>
      </c>
      <c r="P2954" s="49" t="s">
        <v>25</v>
      </c>
      <c r="Q2954" s="166"/>
      <c r="R2954" s="151"/>
    </row>
    <row r="2955" ht="30" spans="1:18">
      <c r="A2955" s="166" t="s">
        <v>71</v>
      </c>
      <c r="B2955" s="166" t="s">
        <v>759</v>
      </c>
      <c r="C2955" s="135" t="s">
        <v>6839</v>
      </c>
      <c r="D2955" s="161" t="s">
        <v>6839</v>
      </c>
      <c r="E2955" s="161" t="s">
        <v>6840</v>
      </c>
      <c r="F2955" s="161"/>
      <c r="G2955" s="163">
        <v>286.7928</v>
      </c>
      <c r="H2955" s="163">
        <f t="shared" si="229"/>
        <v>6.87900000000002</v>
      </c>
      <c r="I2955" s="163">
        <v>12.383</v>
      </c>
      <c r="J2955" s="173">
        <v>4666.21345947243</v>
      </c>
      <c r="K2955" s="173">
        <f t="shared" si="230"/>
        <v>82212.6112847373</v>
      </c>
      <c r="L2955" s="172" t="s">
        <v>6861</v>
      </c>
      <c r="M2955" s="161" t="s">
        <v>6752</v>
      </c>
      <c r="N2955" s="161"/>
      <c r="O2955" s="161"/>
      <c r="P2955" s="49"/>
      <c r="Q2955" s="166"/>
      <c r="R2955" s="151"/>
    </row>
    <row r="2956" spans="1:18">
      <c r="A2956" s="193" t="s">
        <v>72</v>
      </c>
      <c r="B2956" s="193" t="s">
        <v>783</v>
      </c>
      <c r="C2956" s="135" t="s">
        <v>6862</v>
      </c>
      <c r="D2956" s="161" t="s">
        <v>6862</v>
      </c>
      <c r="E2956" s="161" t="s">
        <v>6840</v>
      </c>
      <c r="F2956" s="161"/>
      <c r="G2956" s="163">
        <v>0</v>
      </c>
      <c r="H2956" s="163">
        <v>0</v>
      </c>
      <c r="I2956" s="174" t="s">
        <v>147</v>
      </c>
      <c r="J2956" s="163">
        <v>0</v>
      </c>
      <c r="K2956" s="163">
        <v>0</v>
      </c>
      <c r="L2956" s="172"/>
      <c r="M2956" s="161" t="s">
        <v>6863</v>
      </c>
      <c r="N2956" s="161"/>
      <c r="O2956" s="161"/>
      <c r="P2956" s="49"/>
      <c r="Q2956" s="166"/>
      <c r="R2956" s="151"/>
    </row>
    <row r="2957" spans="1:18">
      <c r="A2957" s="193" t="s">
        <v>72</v>
      </c>
      <c r="B2957" s="193" t="s">
        <v>783</v>
      </c>
      <c r="C2957" s="86" t="s">
        <v>6864</v>
      </c>
      <c r="D2957" s="161" t="s">
        <v>6864</v>
      </c>
      <c r="E2957" s="161" t="s">
        <v>1980</v>
      </c>
      <c r="F2957" s="161" t="s">
        <v>2016</v>
      </c>
      <c r="G2957" s="163">
        <v>14.631</v>
      </c>
      <c r="H2957" s="163">
        <f>G2957-G2956</f>
        <v>14.631</v>
      </c>
      <c r="I2957" s="174" t="s">
        <v>147</v>
      </c>
      <c r="J2957" s="163">
        <v>6787.53024</v>
      </c>
      <c r="K2957" s="163">
        <v>6787.53024</v>
      </c>
      <c r="L2957" s="172"/>
      <c r="M2957" s="161" t="s">
        <v>6863</v>
      </c>
      <c r="N2957" s="161"/>
      <c r="O2957" s="161" t="s">
        <v>27</v>
      </c>
      <c r="P2957" s="49" t="s">
        <v>27</v>
      </c>
      <c r="Q2957" s="166"/>
      <c r="R2957" s="151"/>
    </row>
    <row r="2958" spans="1:18">
      <c r="A2958" s="193" t="s">
        <v>72</v>
      </c>
      <c r="B2958" s="193" t="s">
        <v>783</v>
      </c>
      <c r="C2958" s="86" t="s">
        <v>6865</v>
      </c>
      <c r="D2958" s="161" t="s">
        <v>6865</v>
      </c>
      <c r="E2958" s="161" t="s">
        <v>1980</v>
      </c>
      <c r="F2958" s="161" t="s">
        <v>2005</v>
      </c>
      <c r="G2958" s="163">
        <v>35.082</v>
      </c>
      <c r="H2958" s="163">
        <f t="shared" ref="H2958:H2979" si="231">G2958-G2957</f>
        <v>20.451</v>
      </c>
      <c r="I2958" s="174" t="s">
        <v>147</v>
      </c>
      <c r="J2958" s="174">
        <v>10491.94752</v>
      </c>
      <c r="K2958" s="163">
        <v>17279.47776</v>
      </c>
      <c r="L2958" s="172"/>
      <c r="M2958" s="161" t="s">
        <v>6863</v>
      </c>
      <c r="N2958" s="161"/>
      <c r="O2958" s="161" t="s">
        <v>27</v>
      </c>
      <c r="P2958" s="49" t="s">
        <v>27</v>
      </c>
      <c r="Q2958" s="166"/>
      <c r="R2958" s="151"/>
    </row>
    <row r="2959" spans="1:18">
      <c r="A2959" s="193" t="s">
        <v>72</v>
      </c>
      <c r="B2959" s="193" t="s">
        <v>783</v>
      </c>
      <c r="C2959" s="86" t="s">
        <v>6866</v>
      </c>
      <c r="D2959" s="161" t="s">
        <v>6866</v>
      </c>
      <c r="E2959" s="161" t="s">
        <v>1980</v>
      </c>
      <c r="F2959" s="161" t="s">
        <v>2005</v>
      </c>
      <c r="G2959" s="163">
        <v>54.26</v>
      </c>
      <c r="H2959" s="163">
        <f t="shared" si="231"/>
        <v>19.178</v>
      </c>
      <c r="I2959" s="174" t="s">
        <v>147</v>
      </c>
      <c r="J2959" s="163">
        <v>10058.88768</v>
      </c>
      <c r="K2959" s="163">
        <v>27338.36544</v>
      </c>
      <c r="L2959" s="172"/>
      <c r="M2959" s="161" t="s">
        <v>6863</v>
      </c>
      <c r="N2959" s="161"/>
      <c r="O2959" s="161" t="s">
        <v>14</v>
      </c>
      <c r="P2959" s="49" t="s">
        <v>14</v>
      </c>
      <c r="Q2959" s="166"/>
      <c r="R2959" s="151"/>
    </row>
    <row r="2960" spans="1:18">
      <c r="A2960" s="193" t="s">
        <v>72</v>
      </c>
      <c r="B2960" s="193" t="s">
        <v>783</v>
      </c>
      <c r="C2960" s="86" t="s">
        <v>6867</v>
      </c>
      <c r="D2960" s="161" t="s">
        <v>6867</v>
      </c>
      <c r="E2960" s="161" t="s">
        <v>1980</v>
      </c>
      <c r="F2960" s="161" t="s">
        <v>2005</v>
      </c>
      <c r="G2960" s="163">
        <v>61.236</v>
      </c>
      <c r="H2960" s="163">
        <f t="shared" si="231"/>
        <v>6.976</v>
      </c>
      <c r="I2960" s="174" t="s">
        <v>147</v>
      </c>
      <c r="J2960" s="174">
        <v>3706.368</v>
      </c>
      <c r="K2960" s="163">
        <v>31044.73344</v>
      </c>
      <c r="L2960" s="172"/>
      <c r="M2960" s="161" t="s">
        <v>6863</v>
      </c>
      <c r="N2960" s="161"/>
      <c r="O2960" s="161" t="s">
        <v>27</v>
      </c>
      <c r="P2960" s="49" t="s">
        <v>27</v>
      </c>
      <c r="Q2960" s="166"/>
      <c r="R2960" s="151"/>
    </row>
    <row r="2961" spans="1:18">
      <c r="A2961" s="193" t="s">
        <v>72</v>
      </c>
      <c r="B2961" s="193" t="s">
        <v>783</v>
      </c>
      <c r="C2961" s="86" t="s">
        <v>6868</v>
      </c>
      <c r="D2961" s="161" t="s">
        <v>6868</v>
      </c>
      <c r="E2961" s="161" t="s">
        <v>1980</v>
      </c>
      <c r="F2961" s="161" t="s">
        <v>2005</v>
      </c>
      <c r="G2961" s="163">
        <v>67.879</v>
      </c>
      <c r="H2961" s="163">
        <f t="shared" si="231"/>
        <v>6.64300000000001</v>
      </c>
      <c r="I2961" s="174" t="s">
        <v>147</v>
      </c>
      <c r="J2961" s="163">
        <v>3352.31232</v>
      </c>
      <c r="K2961" s="163">
        <v>34397.04576</v>
      </c>
      <c r="L2961" s="172"/>
      <c r="M2961" s="161" t="s">
        <v>6863</v>
      </c>
      <c r="N2961" s="161"/>
      <c r="O2961" s="161" t="s">
        <v>27</v>
      </c>
      <c r="P2961" s="49" t="s">
        <v>27</v>
      </c>
      <c r="Q2961" s="166"/>
      <c r="R2961" s="151"/>
    </row>
    <row r="2962" spans="1:18">
      <c r="A2962" s="193" t="s">
        <v>72</v>
      </c>
      <c r="B2962" s="193" t="s">
        <v>783</v>
      </c>
      <c r="C2962" s="86" t="s">
        <v>6869</v>
      </c>
      <c r="D2962" s="161" t="s">
        <v>6869</v>
      </c>
      <c r="E2962" s="161" t="s">
        <v>1980</v>
      </c>
      <c r="F2962" s="161" t="s">
        <v>2005</v>
      </c>
      <c r="G2962" s="163">
        <v>72.231</v>
      </c>
      <c r="H2962" s="163">
        <f t="shared" si="231"/>
        <v>4.35199999999999</v>
      </c>
      <c r="I2962" s="174" t="s">
        <v>147</v>
      </c>
      <c r="J2962" s="163">
        <v>2248.2048</v>
      </c>
      <c r="K2962" s="163">
        <v>36645.25056</v>
      </c>
      <c r="L2962" s="172"/>
      <c r="M2962" s="161" t="s">
        <v>6863</v>
      </c>
      <c r="N2962" s="161"/>
      <c r="O2962" s="161" t="s">
        <v>14</v>
      </c>
      <c r="P2962" s="49" t="s">
        <v>14</v>
      </c>
      <c r="Q2962" s="166"/>
      <c r="R2962" s="151"/>
    </row>
    <row r="2963" spans="1:18">
      <c r="A2963" s="193" t="s">
        <v>72</v>
      </c>
      <c r="B2963" s="193" t="s">
        <v>783</v>
      </c>
      <c r="C2963" s="86" t="s">
        <v>6870</v>
      </c>
      <c r="D2963" s="161" t="s">
        <v>6870</v>
      </c>
      <c r="E2963" s="161" t="s">
        <v>1980</v>
      </c>
      <c r="F2963" s="161" t="s">
        <v>2005</v>
      </c>
      <c r="G2963" s="163">
        <v>91.13</v>
      </c>
      <c r="H2963" s="163">
        <f t="shared" si="231"/>
        <v>18.899</v>
      </c>
      <c r="I2963" s="174" t="s">
        <v>147</v>
      </c>
      <c r="J2963" s="174">
        <v>9553.6512</v>
      </c>
      <c r="K2963" s="163">
        <v>46198.90176</v>
      </c>
      <c r="L2963" s="172"/>
      <c r="M2963" s="161" t="s">
        <v>6863</v>
      </c>
      <c r="N2963" s="161"/>
      <c r="O2963" s="161" t="s">
        <v>27</v>
      </c>
      <c r="P2963" s="49" t="s">
        <v>27</v>
      </c>
      <c r="Q2963" s="166"/>
      <c r="R2963" s="151"/>
    </row>
    <row r="2964" spans="1:18">
      <c r="A2964" s="193" t="s">
        <v>72</v>
      </c>
      <c r="B2964" s="193" t="s">
        <v>783</v>
      </c>
      <c r="C2964" s="86" t="s">
        <v>6871</v>
      </c>
      <c r="D2964" s="161" t="s">
        <v>6871</v>
      </c>
      <c r="E2964" s="161" t="s">
        <v>1980</v>
      </c>
      <c r="F2964" s="161" t="s">
        <v>2005</v>
      </c>
      <c r="G2964" s="163">
        <v>109.026</v>
      </c>
      <c r="H2964" s="163">
        <f t="shared" si="231"/>
        <v>17.896</v>
      </c>
      <c r="I2964" s="174" t="s">
        <v>147</v>
      </c>
      <c r="J2964" s="163">
        <v>8734.3488</v>
      </c>
      <c r="K2964" s="163">
        <v>54933.25056</v>
      </c>
      <c r="L2964" s="172"/>
      <c r="M2964" s="161" t="s">
        <v>6863</v>
      </c>
      <c r="N2964" s="161"/>
      <c r="O2964" s="161" t="s">
        <v>27</v>
      </c>
      <c r="P2964" s="49" t="s">
        <v>27</v>
      </c>
      <c r="Q2964" s="166"/>
      <c r="R2964" s="151"/>
    </row>
    <row r="2965" spans="1:18">
      <c r="A2965" s="193" t="s">
        <v>72</v>
      </c>
      <c r="B2965" s="193" t="s">
        <v>783</v>
      </c>
      <c r="C2965" s="86" t="s">
        <v>6872</v>
      </c>
      <c r="D2965" s="161" t="s">
        <v>6872</v>
      </c>
      <c r="E2965" s="161" t="s">
        <v>1980</v>
      </c>
      <c r="F2965" s="161" t="s">
        <v>2005</v>
      </c>
      <c r="G2965" s="163">
        <v>119.819</v>
      </c>
      <c r="H2965" s="163">
        <f t="shared" si="231"/>
        <v>10.793</v>
      </c>
      <c r="I2965" s="174" t="s">
        <v>147</v>
      </c>
      <c r="J2965" s="174">
        <v>5242.56</v>
      </c>
      <c r="K2965" s="163">
        <v>60175.81056</v>
      </c>
      <c r="L2965" s="172"/>
      <c r="M2965" s="161" t="s">
        <v>6863</v>
      </c>
      <c r="N2965" s="161"/>
      <c r="O2965" s="161" t="s">
        <v>14</v>
      </c>
      <c r="P2965" s="49" t="s">
        <v>14</v>
      </c>
      <c r="Q2965" s="166"/>
      <c r="R2965" s="151"/>
    </row>
    <row r="2966" s="152" customFormat="1" spans="1:18">
      <c r="A2966" s="193" t="s">
        <v>72</v>
      </c>
      <c r="B2966" s="193" t="s">
        <v>783</v>
      </c>
      <c r="C2966" s="86" t="s">
        <v>6873</v>
      </c>
      <c r="D2966" s="191" t="s">
        <v>6873</v>
      </c>
      <c r="E2966" s="161" t="s">
        <v>1980</v>
      </c>
      <c r="F2966" s="161" t="s">
        <v>2005</v>
      </c>
      <c r="G2966" s="163">
        <v>132.316</v>
      </c>
      <c r="H2966" s="163">
        <f t="shared" si="231"/>
        <v>12.497</v>
      </c>
      <c r="I2966" s="174" t="s">
        <v>147</v>
      </c>
      <c r="J2966" s="174">
        <v>6142.3296</v>
      </c>
      <c r="K2966" s="163">
        <v>66318.14016</v>
      </c>
      <c r="L2966" s="172" t="s">
        <v>6874</v>
      </c>
      <c r="M2966" s="161" t="s">
        <v>6863</v>
      </c>
      <c r="N2966" s="161"/>
      <c r="O2966" s="161" t="s">
        <v>14</v>
      </c>
      <c r="P2966" s="49" t="s">
        <v>14</v>
      </c>
      <c r="Q2966" s="166"/>
      <c r="R2966" s="151"/>
    </row>
    <row r="2967" spans="1:18">
      <c r="A2967" s="193" t="s">
        <v>72</v>
      </c>
      <c r="B2967" s="193" t="s">
        <v>783</v>
      </c>
      <c r="C2967" s="86" t="s">
        <v>6875</v>
      </c>
      <c r="D2967" s="161" t="s">
        <v>6875</v>
      </c>
      <c r="E2967" s="161" t="s">
        <v>1980</v>
      </c>
      <c r="F2967" s="161" t="s">
        <v>2005</v>
      </c>
      <c r="G2967" s="163">
        <v>143.956</v>
      </c>
      <c r="H2967" s="163">
        <f t="shared" si="231"/>
        <v>11.64</v>
      </c>
      <c r="I2967" s="174" t="s">
        <v>147</v>
      </c>
      <c r="J2967" s="163">
        <v>5654.16192</v>
      </c>
      <c r="K2967" s="163">
        <v>71972.30208</v>
      </c>
      <c r="L2967" s="172"/>
      <c r="M2967" s="161" t="s">
        <v>6863</v>
      </c>
      <c r="N2967" s="161"/>
      <c r="O2967" s="161" t="s">
        <v>14</v>
      </c>
      <c r="P2967" s="49" t="s">
        <v>14</v>
      </c>
      <c r="Q2967" s="166"/>
      <c r="R2967" s="151"/>
    </row>
    <row r="2968" spans="1:18">
      <c r="A2968" s="193" t="s">
        <v>72</v>
      </c>
      <c r="B2968" s="193" t="s">
        <v>783</v>
      </c>
      <c r="C2968" s="86" t="s">
        <v>6876</v>
      </c>
      <c r="D2968" s="161" t="s">
        <v>6876</v>
      </c>
      <c r="E2968" s="161" t="s">
        <v>1980</v>
      </c>
      <c r="F2968" s="161" t="s">
        <v>5754</v>
      </c>
      <c r="G2968" s="163">
        <v>161.832</v>
      </c>
      <c r="H2968" s="163">
        <f t="shared" si="231"/>
        <v>17.876</v>
      </c>
      <c r="I2968" s="174" t="s">
        <v>147</v>
      </c>
      <c r="J2968" s="163">
        <v>8713.86624</v>
      </c>
      <c r="K2968" s="163">
        <v>80686.16832</v>
      </c>
      <c r="L2968" s="172"/>
      <c r="M2968" s="161" t="s">
        <v>6863</v>
      </c>
      <c r="N2968" s="161"/>
      <c r="O2968" s="161" t="s">
        <v>14</v>
      </c>
      <c r="P2968" s="49" t="s">
        <v>14</v>
      </c>
      <c r="Q2968" s="166"/>
      <c r="R2968" s="151"/>
    </row>
    <row r="2969" spans="1:18">
      <c r="A2969" s="193" t="s">
        <v>72</v>
      </c>
      <c r="B2969" s="193" t="s">
        <v>783</v>
      </c>
      <c r="C2969" s="86" t="s">
        <v>6877</v>
      </c>
      <c r="D2969" s="161" t="s">
        <v>6877</v>
      </c>
      <c r="E2969" s="161" t="s">
        <v>1980</v>
      </c>
      <c r="F2969" s="161" t="s">
        <v>5754</v>
      </c>
      <c r="G2969" s="163">
        <v>177.249</v>
      </c>
      <c r="H2969" s="163">
        <f t="shared" si="231"/>
        <v>15.417</v>
      </c>
      <c r="I2969" s="174" t="s">
        <v>147</v>
      </c>
      <c r="J2969" s="163">
        <v>7516.12416</v>
      </c>
      <c r="K2969" s="163">
        <v>88202.29248</v>
      </c>
      <c r="L2969" s="172"/>
      <c r="M2969" s="161" t="s">
        <v>6863</v>
      </c>
      <c r="N2969" s="161"/>
      <c r="O2969" s="161" t="s">
        <v>27</v>
      </c>
      <c r="P2969" s="49" t="s">
        <v>27</v>
      </c>
      <c r="Q2969" s="166"/>
      <c r="R2969" s="151"/>
    </row>
    <row r="2970" spans="1:18">
      <c r="A2970" s="193" t="s">
        <v>72</v>
      </c>
      <c r="B2970" s="193" t="s">
        <v>783</v>
      </c>
      <c r="C2970" s="86" t="s">
        <v>6878</v>
      </c>
      <c r="D2970" s="161" t="s">
        <v>6878</v>
      </c>
      <c r="E2970" s="161" t="s">
        <v>1980</v>
      </c>
      <c r="F2970" s="161" t="s">
        <v>5754</v>
      </c>
      <c r="G2970" s="163">
        <v>189.876</v>
      </c>
      <c r="H2970" s="163">
        <f t="shared" si="231"/>
        <v>12.627</v>
      </c>
      <c r="I2970" s="174" t="s">
        <v>147</v>
      </c>
      <c r="J2970" s="163">
        <v>6199.38816</v>
      </c>
      <c r="K2970" s="163">
        <v>94401.68064</v>
      </c>
      <c r="L2970" s="172"/>
      <c r="M2970" s="161" t="s">
        <v>6863</v>
      </c>
      <c r="N2970" s="161"/>
      <c r="O2970" s="161" t="s">
        <v>14</v>
      </c>
      <c r="P2970" s="49" t="s">
        <v>14</v>
      </c>
      <c r="Q2970" s="166"/>
      <c r="R2970" s="151"/>
    </row>
    <row r="2971" spans="1:18">
      <c r="A2971" s="193" t="s">
        <v>72</v>
      </c>
      <c r="B2971" s="193" t="s">
        <v>783</v>
      </c>
      <c r="C2971" s="86" t="s">
        <v>6879</v>
      </c>
      <c r="D2971" s="161" t="s">
        <v>6879</v>
      </c>
      <c r="E2971" s="161" t="s">
        <v>1980</v>
      </c>
      <c r="F2971" s="161" t="s">
        <v>5754</v>
      </c>
      <c r="G2971" s="163">
        <v>212.716</v>
      </c>
      <c r="H2971" s="163">
        <f t="shared" si="231"/>
        <v>22.84</v>
      </c>
      <c r="I2971" s="174" t="s">
        <v>147</v>
      </c>
      <c r="J2971" s="163">
        <v>11086.42944</v>
      </c>
      <c r="K2971" s="163">
        <v>105488.11008</v>
      </c>
      <c r="L2971" s="172"/>
      <c r="M2971" s="161" t="s">
        <v>6863</v>
      </c>
      <c r="N2971" s="161"/>
      <c r="O2971" s="161" t="s">
        <v>27</v>
      </c>
      <c r="P2971" s="49" t="s">
        <v>27</v>
      </c>
      <c r="Q2971" s="166"/>
      <c r="R2971" s="151"/>
    </row>
    <row r="2972" spans="1:18">
      <c r="A2972" s="193" t="s">
        <v>72</v>
      </c>
      <c r="B2972" s="193" t="s">
        <v>783</v>
      </c>
      <c r="C2972" s="86" t="s">
        <v>6880</v>
      </c>
      <c r="D2972" s="161" t="s">
        <v>6880</v>
      </c>
      <c r="E2972" s="161" t="s">
        <v>1980</v>
      </c>
      <c r="F2972" s="161" t="s">
        <v>5754</v>
      </c>
      <c r="G2972" s="163">
        <v>229.096</v>
      </c>
      <c r="H2972" s="163">
        <f t="shared" si="231"/>
        <v>16.38</v>
      </c>
      <c r="I2972" s="174" t="s">
        <v>147</v>
      </c>
      <c r="J2972" s="163">
        <v>7938.45504</v>
      </c>
      <c r="K2972" s="163">
        <v>113426.56512</v>
      </c>
      <c r="L2972" s="172"/>
      <c r="M2972" s="161" t="s">
        <v>6863</v>
      </c>
      <c r="N2972" s="161"/>
      <c r="O2972" s="161" t="s">
        <v>14</v>
      </c>
      <c r="P2972" s="49" t="s">
        <v>14</v>
      </c>
      <c r="Q2972" s="166"/>
      <c r="R2972" s="151"/>
    </row>
    <row r="2973" spans="1:18">
      <c r="A2973" s="193" t="s">
        <v>72</v>
      </c>
      <c r="B2973" s="193" t="s">
        <v>783</v>
      </c>
      <c r="C2973" s="86" t="s">
        <v>6881</v>
      </c>
      <c r="D2973" s="161" t="s">
        <v>6882</v>
      </c>
      <c r="E2973" s="161" t="s">
        <v>1980</v>
      </c>
      <c r="F2973" s="161" t="s">
        <v>5754</v>
      </c>
      <c r="G2973" s="163">
        <v>246.032</v>
      </c>
      <c r="H2973" s="163">
        <f t="shared" si="231"/>
        <v>16.936</v>
      </c>
      <c r="I2973" s="174" t="s">
        <v>147</v>
      </c>
      <c r="J2973" s="163">
        <v>8223.74784</v>
      </c>
      <c r="K2973" s="163">
        <v>121650.31296</v>
      </c>
      <c r="L2973" s="172"/>
      <c r="M2973" s="161" t="s">
        <v>6863</v>
      </c>
      <c r="N2973" s="161" t="s">
        <v>1299</v>
      </c>
      <c r="O2973" s="161" t="s">
        <v>25</v>
      </c>
      <c r="P2973" s="49" t="s">
        <v>25</v>
      </c>
      <c r="Q2973" s="166"/>
      <c r="R2973" s="151"/>
    </row>
    <row r="2974" spans="1:18">
      <c r="A2974" s="193" t="s">
        <v>72</v>
      </c>
      <c r="B2974" s="193" t="s">
        <v>783</v>
      </c>
      <c r="C2974" s="86" t="s">
        <v>6883</v>
      </c>
      <c r="D2974" s="161" t="s">
        <v>6883</v>
      </c>
      <c r="E2974" s="161" t="s">
        <v>1980</v>
      </c>
      <c r="F2974" s="161" t="s">
        <v>5754</v>
      </c>
      <c r="G2974" s="163">
        <v>267.025</v>
      </c>
      <c r="H2974" s="163">
        <f t="shared" si="231"/>
        <v>20.993</v>
      </c>
      <c r="I2974" s="174" t="s">
        <v>147</v>
      </c>
      <c r="J2974" s="163">
        <v>10317.35808</v>
      </c>
      <c r="K2974" s="163">
        <v>131967.67104</v>
      </c>
      <c r="L2974" s="172"/>
      <c r="M2974" s="161" t="s">
        <v>6863</v>
      </c>
      <c r="N2974" s="161"/>
      <c r="O2974" s="161" t="s">
        <v>14</v>
      </c>
      <c r="P2974" s="49" t="s">
        <v>14</v>
      </c>
      <c r="Q2974" s="166"/>
      <c r="R2974" s="151"/>
    </row>
    <row r="2975" spans="1:18">
      <c r="A2975" s="193" t="s">
        <v>72</v>
      </c>
      <c r="B2975" s="193" t="s">
        <v>783</v>
      </c>
      <c r="C2975" s="86" t="s">
        <v>6884</v>
      </c>
      <c r="D2975" s="161" t="s">
        <v>6884</v>
      </c>
      <c r="E2975" s="161" t="s">
        <v>1980</v>
      </c>
      <c r="F2975" s="161" t="s">
        <v>5754</v>
      </c>
      <c r="G2975" s="163">
        <v>287.545</v>
      </c>
      <c r="H2975" s="163">
        <f t="shared" si="231"/>
        <v>20.52</v>
      </c>
      <c r="I2975" s="174" t="s">
        <v>147</v>
      </c>
      <c r="J2975" s="163">
        <v>10218.35904</v>
      </c>
      <c r="K2975" s="163">
        <v>142186.03008</v>
      </c>
      <c r="L2975" s="172"/>
      <c r="M2975" s="161" t="s">
        <v>6863</v>
      </c>
      <c r="N2975" s="161"/>
      <c r="O2975" s="161" t="s">
        <v>14</v>
      </c>
      <c r="P2975" s="49" t="s">
        <v>14</v>
      </c>
      <c r="Q2975" s="166"/>
      <c r="R2975" s="151"/>
    </row>
    <row r="2976" spans="1:18">
      <c r="A2976" s="193" t="s">
        <v>72</v>
      </c>
      <c r="B2976" s="193" t="s">
        <v>783</v>
      </c>
      <c r="C2976" s="86" t="s">
        <v>6885</v>
      </c>
      <c r="D2976" s="161" t="s">
        <v>6886</v>
      </c>
      <c r="E2976" s="161" t="s">
        <v>1980</v>
      </c>
      <c r="F2976" s="161" t="s">
        <v>5754</v>
      </c>
      <c r="G2976" s="163">
        <v>306.288</v>
      </c>
      <c r="H2976" s="163">
        <f t="shared" si="231"/>
        <v>18.743</v>
      </c>
      <c r="I2976" s="174" t="s">
        <v>147</v>
      </c>
      <c r="J2976" s="174">
        <v>9250.80192</v>
      </c>
      <c r="K2976" s="163">
        <v>151436.832</v>
      </c>
      <c r="L2976" s="172"/>
      <c r="M2976" s="161" t="s">
        <v>6863</v>
      </c>
      <c r="N2976" s="161" t="s">
        <v>1299</v>
      </c>
      <c r="O2976" s="161" t="s">
        <v>25</v>
      </c>
      <c r="P2976" s="49" t="s">
        <v>25</v>
      </c>
      <c r="Q2976" s="166"/>
      <c r="R2976" s="151"/>
    </row>
    <row r="2977" spans="1:18">
      <c r="A2977" s="193" t="s">
        <v>72</v>
      </c>
      <c r="B2977" s="193" t="s">
        <v>783</v>
      </c>
      <c r="C2977" s="86" t="s">
        <v>6887</v>
      </c>
      <c r="D2977" s="161" t="s">
        <v>6887</v>
      </c>
      <c r="E2977" s="161" t="s">
        <v>1980</v>
      </c>
      <c r="F2977" s="161" t="s">
        <v>5775</v>
      </c>
      <c r="G2977" s="163">
        <v>327.064</v>
      </c>
      <c r="H2977" s="163">
        <f t="shared" si="231"/>
        <v>20.776</v>
      </c>
      <c r="I2977" s="174" t="s">
        <v>147</v>
      </c>
      <c r="J2977" s="163">
        <v>10132.52736</v>
      </c>
      <c r="K2977" s="163">
        <v>161569.35936</v>
      </c>
      <c r="L2977" s="172"/>
      <c r="M2977" s="161" t="s">
        <v>6863</v>
      </c>
      <c r="N2977" s="161"/>
      <c r="O2977" s="161" t="s">
        <v>27</v>
      </c>
      <c r="P2977" s="49" t="s">
        <v>27</v>
      </c>
      <c r="Q2977" s="166"/>
      <c r="R2977" s="151"/>
    </row>
    <row r="2978" spans="1:18">
      <c r="A2978" s="193" t="s">
        <v>72</v>
      </c>
      <c r="B2978" s="193" t="s">
        <v>783</v>
      </c>
      <c r="C2978" s="86" t="s">
        <v>6888</v>
      </c>
      <c r="D2978" s="161" t="s">
        <v>6888</v>
      </c>
      <c r="E2978" s="161" t="s">
        <v>1980</v>
      </c>
      <c r="F2978" s="161" t="s">
        <v>5775</v>
      </c>
      <c r="G2978" s="163">
        <v>341.663</v>
      </c>
      <c r="H2978" s="163">
        <f t="shared" si="231"/>
        <v>14.599</v>
      </c>
      <c r="I2978" s="174" t="s">
        <v>147</v>
      </c>
      <c r="J2978" s="163">
        <v>7150.36416</v>
      </c>
      <c r="K2978" s="163">
        <v>168719.72352</v>
      </c>
      <c r="L2978" s="172"/>
      <c r="M2978" s="161" t="s">
        <v>6863</v>
      </c>
      <c r="N2978" s="161"/>
      <c r="O2978" s="161" t="s">
        <v>27</v>
      </c>
      <c r="P2978" s="49" t="s">
        <v>27</v>
      </c>
      <c r="Q2978" s="166"/>
      <c r="R2978" s="151"/>
    </row>
    <row r="2979" spans="1:18">
      <c r="A2979" s="193" t="s">
        <v>72</v>
      </c>
      <c r="B2979" s="193" t="s">
        <v>783</v>
      </c>
      <c r="C2979" s="86" t="s">
        <v>6889</v>
      </c>
      <c r="D2979" s="161" t="s">
        <v>6889</v>
      </c>
      <c r="E2979" s="161" t="s">
        <v>1980</v>
      </c>
      <c r="F2979" s="161" t="s">
        <v>5775</v>
      </c>
      <c r="G2979" s="163">
        <v>358.341</v>
      </c>
      <c r="H2979" s="163">
        <f t="shared" si="231"/>
        <v>16.678</v>
      </c>
      <c r="I2979" s="174" t="s">
        <v>147</v>
      </c>
      <c r="J2979" s="174">
        <v>8084.75904</v>
      </c>
      <c r="K2979" s="163">
        <v>176804.48256</v>
      </c>
      <c r="L2979" s="172"/>
      <c r="M2979" s="161" t="s">
        <v>6863</v>
      </c>
      <c r="N2979" s="161"/>
      <c r="O2979" s="161" t="s">
        <v>14</v>
      </c>
      <c r="P2979" s="49" t="s">
        <v>14</v>
      </c>
      <c r="Q2979" s="166"/>
      <c r="R2979" s="151"/>
    </row>
    <row r="2980" spans="1:18">
      <c r="A2980" s="191" t="s">
        <v>73</v>
      </c>
      <c r="B2980" s="191" t="s">
        <v>73</v>
      </c>
      <c r="C2980" s="135" t="s">
        <v>6890</v>
      </c>
      <c r="D2980" s="161" t="s">
        <v>6890</v>
      </c>
      <c r="E2980" s="161" t="s">
        <v>6840</v>
      </c>
      <c r="F2980" s="161"/>
      <c r="G2980" s="163">
        <v>0</v>
      </c>
      <c r="H2980" s="163">
        <v>0</v>
      </c>
      <c r="I2980" s="174" t="s">
        <v>147</v>
      </c>
      <c r="J2980" s="174">
        <v>0</v>
      </c>
      <c r="K2980" s="163">
        <v>0</v>
      </c>
      <c r="L2980" s="172"/>
      <c r="M2980" s="161" t="s">
        <v>6891</v>
      </c>
      <c r="N2980" s="161"/>
      <c r="O2980" s="161"/>
      <c r="P2980" s="49"/>
      <c r="Q2980" s="166"/>
      <c r="R2980" s="151"/>
    </row>
    <row r="2981" spans="1:18">
      <c r="A2981" s="191" t="s">
        <v>73</v>
      </c>
      <c r="B2981" s="191" t="s">
        <v>73</v>
      </c>
      <c r="C2981" s="86" t="s">
        <v>6892</v>
      </c>
      <c r="D2981" s="161" t="s">
        <v>6892</v>
      </c>
      <c r="E2981" s="161" t="s">
        <v>1980</v>
      </c>
      <c r="F2981" s="161" t="s">
        <v>5775</v>
      </c>
      <c r="G2981" s="163">
        <v>19.208</v>
      </c>
      <c r="H2981" s="163">
        <f>G2981-G2980</f>
        <v>19.208</v>
      </c>
      <c r="I2981" s="174" t="s">
        <v>147</v>
      </c>
      <c r="J2981" s="174">
        <v>14194.77384</v>
      </c>
      <c r="K2981" s="163">
        <v>14194.77384</v>
      </c>
      <c r="L2981" s="172"/>
      <c r="M2981" s="161" t="s">
        <v>6891</v>
      </c>
      <c r="N2981" s="161"/>
      <c r="O2981" s="161" t="s">
        <v>27</v>
      </c>
      <c r="P2981" s="49" t="s">
        <v>27</v>
      </c>
      <c r="Q2981" s="166"/>
      <c r="R2981" s="151"/>
    </row>
    <row r="2982" spans="1:18">
      <c r="A2982" s="191" t="s">
        <v>73</v>
      </c>
      <c r="B2982" s="191" t="s">
        <v>73</v>
      </c>
      <c r="C2982" s="86" t="s">
        <v>6893</v>
      </c>
      <c r="D2982" s="161" t="s">
        <v>6893</v>
      </c>
      <c r="E2982" s="161" t="s">
        <v>1980</v>
      </c>
      <c r="F2982" s="161" t="s">
        <v>5775</v>
      </c>
      <c r="G2982" s="163">
        <v>37.705</v>
      </c>
      <c r="H2982" s="163">
        <f t="shared" ref="H2982:H2987" si="232">G2982-G2981</f>
        <v>18.497</v>
      </c>
      <c r="I2982" s="174" t="s">
        <v>147</v>
      </c>
      <c r="J2982" s="174">
        <v>14105.049</v>
      </c>
      <c r="K2982" s="163">
        <v>28299.82284</v>
      </c>
      <c r="L2982" s="172"/>
      <c r="M2982" s="161" t="s">
        <v>6891</v>
      </c>
      <c r="N2982" s="161"/>
      <c r="O2982" s="161" t="s">
        <v>27</v>
      </c>
      <c r="P2982" s="49" t="s">
        <v>27</v>
      </c>
      <c r="Q2982" s="166"/>
      <c r="R2982" s="151"/>
    </row>
    <row r="2983" spans="1:18">
      <c r="A2983" s="191" t="s">
        <v>73</v>
      </c>
      <c r="B2983" s="191" t="s">
        <v>73</v>
      </c>
      <c r="C2983" s="86" t="s">
        <v>6894</v>
      </c>
      <c r="D2983" s="161" t="s">
        <v>6894</v>
      </c>
      <c r="E2983" s="161" t="s">
        <v>1980</v>
      </c>
      <c r="F2983" s="161" t="s">
        <v>5775</v>
      </c>
      <c r="G2983" s="163">
        <v>56.964</v>
      </c>
      <c r="H2983" s="163">
        <f t="shared" si="232"/>
        <v>19.259</v>
      </c>
      <c r="I2983" s="174" t="s">
        <v>147</v>
      </c>
      <c r="J2983" s="174">
        <v>14173.4832</v>
      </c>
      <c r="K2983" s="163">
        <v>42473.30604</v>
      </c>
      <c r="L2983" s="172"/>
      <c r="M2983" s="161" t="s">
        <v>6891</v>
      </c>
      <c r="N2983" s="161"/>
      <c r="O2983" s="161" t="s">
        <v>15</v>
      </c>
      <c r="P2983" s="49" t="s">
        <v>15</v>
      </c>
      <c r="Q2983" s="166"/>
      <c r="R2983" s="151"/>
    </row>
    <row r="2984" spans="1:18">
      <c r="A2984" s="191" t="s">
        <v>73</v>
      </c>
      <c r="B2984" s="191" t="s">
        <v>73</v>
      </c>
      <c r="C2984" s="86" t="s">
        <v>6895</v>
      </c>
      <c r="D2984" s="161" t="s">
        <v>6895</v>
      </c>
      <c r="E2984" s="161" t="s">
        <v>1980</v>
      </c>
      <c r="F2984" s="161" t="s">
        <v>5775</v>
      </c>
      <c r="G2984" s="163">
        <v>70.109</v>
      </c>
      <c r="H2984" s="163">
        <f t="shared" si="232"/>
        <v>13.145</v>
      </c>
      <c r="I2984" s="174" t="s">
        <v>147</v>
      </c>
      <c r="J2984" s="174">
        <v>11002.6986</v>
      </c>
      <c r="K2984" s="163">
        <v>53476.00464</v>
      </c>
      <c r="L2984" s="172"/>
      <c r="M2984" s="161" t="s">
        <v>6891</v>
      </c>
      <c r="N2984" s="161"/>
      <c r="O2984" s="161" t="s">
        <v>27</v>
      </c>
      <c r="P2984" s="49" t="s">
        <v>27</v>
      </c>
      <c r="Q2984" s="166"/>
      <c r="R2984" s="151"/>
    </row>
    <row r="2985" spans="1:18">
      <c r="A2985" s="191" t="s">
        <v>73</v>
      </c>
      <c r="B2985" s="191" t="s">
        <v>73</v>
      </c>
      <c r="C2985" s="86" t="s">
        <v>6896</v>
      </c>
      <c r="D2985" s="161" t="s">
        <v>6897</v>
      </c>
      <c r="E2985" s="161" t="s">
        <v>1980</v>
      </c>
      <c r="F2985" s="161" t="s">
        <v>5775</v>
      </c>
      <c r="G2985" s="163">
        <v>88.83</v>
      </c>
      <c r="H2985" s="163">
        <f t="shared" si="232"/>
        <v>18.721</v>
      </c>
      <c r="I2985" s="174" t="s">
        <v>147</v>
      </c>
      <c r="J2985" s="174">
        <v>13740.0666</v>
      </c>
      <c r="K2985" s="163">
        <v>67216.07124</v>
      </c>
      <c r="L2985" s="172"/>
      <c r="M2985" s="161" t="s">
        <v>6891</v>
      </c>
      <c r="N2985" s="161" t="s">
        <v>1299</v>
      </c>
      <c r="O2985" s="161" t="s">
        <v>25</v>
      </c>
      <c r="P2985" s="49" t="s">
        <v>25</v>
      </c>
      <c r="Q2985" s="166"/>
      <c r="R2985" s="151"/>
    </row>
    <row r="2986" spans="1:18">
      <c r="A2986" s="191" t="s">
        <v>73</v>
      </c>
      <c r="B2986" s="191" t="s">
        <v>73</v>
      </c>
      <c r="C2986" s="86" t="s">
        <v>6898</v>
      </c>
      <c r="D2986" s="161" t="s">
        <v>6898</v>
      </c>
      <c r="E2986" s="161" t="s">
        <v>1980</v>
      </c>
      <c r="F2986" s="161" t="s">
        <v>5775</v>
      </c>
      <c r="G2986" s="163">
        <v>99.691</v>
      </c>
      <c r="H2986" s="163">
        <f t="shared" si="232"/>
        <v>10.861</v>
      </c>
      <c r="I2986" s="174" t="s">
        <v>147</v>
      </c>
      <c r="J2986" s="174">
        <v>8402.199</v>
      </c>
      <c r="K2986" s="163">
        <v>75618.27024</v>
      </c>
      <c r="L2986" s="172"/>
      <c r="M2986" s="161" t="s">
        <v>6891</v>
      </c>
      <c r="N2986" s="161"/>
      <c r="O2986" s="161" t="s">
        <v>27</v>
      </c>
      <c r="P2986" s="49" t="s">
        <v>27</v>
      </c>
      <c r="Q2986" s="166"/>
      <c r="R2986" s="151"/>
    </row>
    <row r="2987" spans="1:18">
      <c r="A2987" s="191" t="s">
        <v>73</v>
      </c>
      <c r="B2987" s="191" t="s">
        <v>73</v>
      </c>
      <c r="C2987" s="135" t="s">
        <v>6889</v>
      </c>
      <c r="D2987" s="161" t="s">
        <v>6889</v>
      </c>
      <c r="E2987" s="161" t="s">
        <v>1980</v>
      </c>
      <c r="F2987" s="161" t="s">
        <v>5775</v>
      </c>
      <c r="G2987" s="163">
        <v>117.09</v>
      </c>
      <c r="H2987" s="163">
        <f t="shared" si="232"/>
        <v>17.399</v>
      </c>
      <c r="I2987" s="174" t="s">
        <v>147</v>
      </c>
      <c r="J2987" s="174">
        <v>13428.3108</v>
      </c>
      <c r="K2987" s="163">
        <v>89046.58104</v>
      </c>
      <c r="L2987" s="172"/>
      <c r="M2987" s="161" t="s">
        <v>6863</v>
      </c>
      <c r="N2987" s="161"/>
      <c r="O2987" s="161"/>
      <c r="P2987" s="49"/>
      <c r="Q2987" s="166"/>
      <c r="R2987" s="151"/>
    </row>
    <row r="2988" spans="1:18">
      <c r="A2988" s="191" t="s">
        <v>73</v>
      </c>
      <c r="B2988" s="191" t="s">
        <v>781</v>
      </c>
      <c r="C2988" s="135" t="s">
        <v>6889</v>
      </c>
      <c r="D2988" s="161" t="s">
        <v>6889</v>
      </c>
      <c r="E2988" s="161" t="s">
        <v>1980</v>
      </c>
      <c r="F2988" s="161" t="s">
        <v>5775</v>
      </c>
      <c r="G2988" s="163">
        <v>0</v>
      </c>
      <c r="H2988" s="163">
        <v>0</v>
      </c>
      <c r="I2988" s="174"/>
      <c r="J2988" s="174">
        <v>0</v>
      </c>
      <c r="K2988" s="163">
        <v>0</v>
      </c>
      <c r="L2988" s="172"/>
      <c r="M2988" s="161" t="s">
        <v>6863</v>
      </c>
      <c r="N2988" s="161"/>
      <c r="O2988" s="161"/>
      <c r="P2988" s="49"/>
      <c r="Q2988" s="166"/>
      <c r="R2988" s="151"/>
    </row>
    <row r="2989" spans="1:18">
      <c r="A2989" s="191" t="s">
        <v>73</v>
      </c>
      <c r="B2989" s="191" t="s">
        <v>781</v>
      </c>
      <c r="C2989" s="86" t="s">
        <v>6899</v>
      </c>
      <c r="D2989" s="161" t="s">
        <v>6899</v>
      </c>
      <c r="E2989" s="161" t="s">
        <v>1980</v>
      </c>
      <c r="F2989" s="161" t="s">
        <v>5775</v>
      </c>
      <c r="G2989" s="163">
        <v>19.8</v>
      </c>
      <c r="H2989" s="171">
        <f>G2989-G2988</f>
        <v>19.8</v>
      </c>
      <c r="I2989" s="174" t="s">
        <v>147</v>
      </c>
      <c r="J2989" s="174">
        <v>9656.064</v>
      </c>
      <c r="K2989" s="163">
        <f>K2988+J2989</f>
        <v>9656.064</v>
      </c>
      <c r="L2989" s="172"/>
      <c r="M2989" s="161" t="s">
        <v>6891</v>
      </c>
      <c r="N2989" s="161"/>
      <c r="O2989" s="161" t="s">
        <v>27</v>
      </c>
      <c r="P2989" s="49" t="s">
        <v>27</v>
      </c>
      <c r="Q2989" s="166"/>
      <c r="R2989" s="151"/>
    </row>
    <row r="2990" spans="1:18">
      <c r="A2990" s="191" t="s">
        <v>73</v>
      </c>
      <c r="B2990" s="191" t="s">
        <v>781</v>
      </c>
      <c r="C2990" s="86" t="s">
        <v>6900</v>
      </c>
      <c r="D2990" s="161" t="s">
        <v>6901</v>
      </c>
      <c r="E2990" s="161" t="s">
        <v>1980</v>
      </c>
      <c r="F2990" s="161" t="s">
        <v>5775</v>
      </c>
      <c r="G2990" s="163">
        <v>32.6</v>
      </c>
      <c r="H2990" s="171">
        <f>G2990-G2989</f>
        <v>12.8</v>
      </c>
      <c r="I2990" s="174" t="s">
        <v>147</v>
      </c>
      <c r="J2990" s="174">
        <v>6242.304</v>
      </c>
      <c r="K2990" s="163">
        <f>K2989+J2990</f>
        <v>15898.368</v>
      </c>
      <c r="L2990" s="172"/>
      <c r="M2990" s="161" t="s">
        <v>6891</v>
      </c>
      <c r="N2990" s="161" t="s">
        <v>1299</v>
      </c>
      <c r="O2990" s="161" t="s">
        <v>25</v>
      </c>
      <c r="P2990" s="49" t="s">
        <v>25</v>
      </c>
      <c r="Q2990" s="166"/>
      <c r="R2990" s="151"/>
    </row>
    <row r="2991" spans="1:18">
      <c r="A2991" s="191" t="s">
        <v>73</v>
      </c>
      <c r="B2991" s="191" t="s">
        <v>781</v>
      </c>
      <c r="C2991" s="86" t="s">
        <v>6902</v>
      </c>
      <c r="D2991" s="161" t="s">
        <v>6903</v>
      </c>
      <c r="E2991" s="161" t="s">
        <v>1980</v>
      </c>
      <c r="F2991" s="161" t="s">
        <v>5775</v>
      </c>
      <c r="G2991" s="163">
        <v>36.43</v>
      </c>
      <c r="H2991" s="171">
        <f>G2991-G2990</f>
        <v>3.83</v>
      </c>
      <c r="I2991" s="174" t="s">
        <v>147</v>
      </c>
      <c r="J2991" s="174">
        <v>1867.8144</v>
      </c>
      <c r="K2991" s="163">
        <f>K2990+J2991</f>
        <v>17766.1824</v>
      </c>
      <c r="L2991" s="172"/>
      <c r="M2991" s="161" t="s">
        <v>6891</v>
      </c>
      <c r="N2991" s="161" t="s">
        <v>1299</v>
      </c>
      <c r="O2991" s="161" t="s">
        <v>25</v>
      </c>
      <c r="P2991" s="49" t="s">
        <v>25</v>
      </c>
      <c r="Q2991" s="166"/>
      <c r="R2991" s="151"/>
    </row>
    <row r="2992" spans="1:18">
      <c r="A2992" s="191" t="s">
        <v>73</v>
      </c>
      <c r="B2992" s="191" t="s">
        <v>781</v>
      </c>
      <c r="C2992" s="86" t="s">
        <v>6904</v>
      </c>
      <c r="D2992" s="161" t="s">
        <v>6904</v>
      </c>
      <c r="E2992" s="161" t="s">
        <v>1980</v>
      </c>
      <c r="F2992" s="161" t="s">
        <v>5775</v>
      </c>
      <c r="G2992" s="163">
        <v>58.245</v>
      </c>
      <c r="H2992" s="171">
        <f>G2992-G2991</f>
        <v>21.815</v>
      </c>
      <c r="I2992" s="174" t="s">
        <v>147</v>
      </c>
      <c r="J2992" s="174">
        <v>10638.7392</v>
      </c>
      <c r="K2992" s="163">
        <f>K2991+J2992</f>
        <v>28404.9216</v>
      </c>
      <c r="L2992" s="172"/>
      <c r="M2992" s="161" t="s">
        <v>6891</v>
      </c>
      <c r="N2992" s="161"/>
      <c r="O2992" s="161" t="s">
        <v>27</v>
      </c>
      <c r="P2992" s="49" t="s">
        <v>27</v>
      </c>
      <c r="Q2992" s="166"/>
      <c r="R2992" s="151"/>
    </row>
    <row r="2993" spans="1:18">
      <c r="A2993" s="191" t="s">
        <v>73</v>
      </c>
      <c r="B2993" s="191" t="s">
        <v>781</v>
      </c>
      <c r="C2993" s="86" t="s">
        <v>6905</v>
      </c>
      <c r="D2993" s="161" t="s">
        <v>6905</v>
      </c>
      <c r="E2993" s="161" t="s">
        <v>1980</v>
      </c>
      <c r="F2993" s="161" t="s">
        <v>5775</v>
      </c>
      <c r="G2993" s="163">
        <v>70.045</v>
      </c>
      <c r="H2993" s="171">
        <f>G2993-G2992</f>
        <v>11.8</v>
      </c>
      <c r="I2993" s="174" t="s">
        <v>147</v>
      </c>
      <c r="J2993" s="174">
        <v>5754.624</v>
      </c>
      <c r="K2993" s="163">
        <f>K2992+J2993</f>
        <v>34159.5456</v>
      </c>
      <c r="L2993" s="172"/>
      <c r="M2993" s="161" t="s">
        <v>6891</v>
      </c>
      <c r="N2993" s="161"/>
      <c r="O2993" s="161" t="s">
        <v>14</v>
      </c>
      <c r="P2993" s="49" t="s">
        <v>14</v>
      </c>
      <c r="Q2993" s="166"/>
      <c r="R2993" s="151"/>
    </row>
    <row r="2994" spans="1:18">
      <c r="A2994" s="166" t="s">
        <v>66</v>
      </c>
      <c r="B2994" s="166" t="s">
        <v>762</v>
      </c>
      <c r="C2994" s="84" t="s">
        <v>773</v>
      </c>
      <c r="D2994" s="161" t="s">
        <v>773</v>
      </c>
      <c r="E2994" s="161" t="s">
        <v>1640</v>
      </c>
      <c r="F2994" s="161" t="s">
        <v>6906</v>
      </c>
      <c r="G2994" s="163">
        <v>0</v>
      </c>
      <c r="H2994" s="163">
        <v>0</v>
      </c>
      <c r="I2994" s="174">
        <v>5.45</v>
      </c>
      <c r="J2994" s="163">
        <v>-0.473487395180001</v>
      </c>
      <c r="K2994" s="174">
        <v>0</v>
      </c>
      <c r="L2994" s="172"/>
      <c r="M2994" s="161" t="s">
        <v>66</v>
      </c>
      <c r="N2994" s="161"/>
      <c r="O2994" s="161" t="s">
        <v>15</v>
      </c>
      <c r="P2994" s="49" t="s">
        <v>15</v>
      </c>
      <c r="Q2994" s="166"/>
      <c r="R2994" s="151"/>
    </row>
    <row r="2995" spans="1:18">
      <c r="A2995" s="166" t="s">
        <v>66</v>
      </c>
      <c r="B2995" s="166" t="s">
        <v>762</v>
      </c>
      <c r="C2995" s="84" t="s">
        <v>6907</v>
      </c>
      <c r="D2995" s="161" t="s">
        <v>6908</v>
      </c>
      <c r="E2995" s="161" t="s">
        <v>1640</v>
      </c>
      <c r="F2995" s="161" t="s">
        <v>6906</v>
      </c>
      <c r="G2995" s="163">
        <v>15.3</v>
      </c>
      <c r="H2995" s="163">
        <f>G2995-G2994</f>
        <v>15.3</v>
      </c>
      <c r="I2995" s="174">
        <v>7.95</v>
      </c>
      <c r="J2995" s="163">
        <v>10838.696113121</v>
      </c>
      <c r="K2995" s="174">
        <f>K2994+J2995</f>
        <v>10838.696113121</v>
      </c>
      <c r="L2995" s="172"/>
      <c r="M2995" s="161" t="s">
        <v>66</v>
      </c>
      <c r="N2995" s="161" t="s">
        <v>1299</v>
      </c>
      <c r="O2995" s="161" t="s">
        <v>25</v>
      </c>
      <c r="P2995" s="49" t="s">
        <v>25</v>
      </c>
      <c r="Q2995" s="166"/>
      <c r="R2995" s="151"/>
    </row>
    <row r="2996" spans="1:18">
      <c r="A2996" s="166" t="s">
        <v>66</v>
      </c>
      <c r="B2996" s="166" t="s">
        <v>762</v>
      </c>
      <c r="C2996" s="84" t="s">
        <v>6909</v>
      </c>
      <c r="D2996" s="161" t="s">
        <v>6910</v>
      </c>
      <c r="E2996" s="161" t="s">
        <v>1640</v>
      </c>
      <c r="F2996" s="161" t="s">
        <v>6906</v>
      </c>
      <c r="G2996" s="163">
        <v>33.9</v>
      </c>
      <c r="H2996" s="163">
        <f t="shared" ref="H2996:H3010" si="233">G2996-G2995</f>
        <v>18.6</v>
      </c>
      <c r="I2996" s="174">
        <v>9.3</v>
      </c>
      <c r="J2996" s="163">
        <v>13703.3166339529</v>
      </c>
      <c r="K2996" s="174">
        <f t="shared" ref="K2996:K3010" si="234">K2995+J2996</f>
        <v>24542.0127470739</v>
      </c>
      <c r="L2996" s="172"/>
      <c r="M2996" s="161" t="s">
        <v>66</v>
      </c>
      <c r="N2996" s="161" t="s">
        <v>1299</v>
      </c>
      <c r="O2996" s="161" t="s">
        <v>25</v>
      </c>
      <c r="P2996" s="49" t="s">
        <v>25</v>
      </c>
      <c r="Q2996" s="166"/>
      <c r="R2996" s="151"/>
    </row>
    <row r="2997" spans="1:18">
      <c r="A2997" s="166" t="s">
        <v>66</v>
      </c>
      <c r="B2997" s="166" t="s">
        <v>762</v>
      </c>
      <c r="C2997" s="84" t="s">
        <v>6911</v>
      </c>
      <c r="D2997" s="161" t="s">
        <v>6912</v>
      </c>
      <c r="E2997" s="161" t="s">
        <v>1640</v>
      </c>
      <c r="F2997" s="161" t="s">
        <v>6906</v>
      </c>
      <c r="G2997" s="163">
        <v>51.9</v>
      </c>
      <c r="H2997" s="163">
        <f t="shared" si="233"/>
        <v>18</v>
      </c>
      <c r="I2997" s="174">
        <v>10.25</v>
      </c>
      <c r="J2997" s="163">
        <v>13242.2563390433</v>
      </c>
      <c r="K2997" s="174">
        <f t="shared" si="234"/>
        <v>37784.2690861172</v>
      </c>
      <c r="L2997" s="172"/>
      <c r="M2997" s="161" t="s">
        <v>66</v>
      </c>
      <c r="N2997" s="161" t="s">
        <v>1299</v>
      </c>
      <c r="O2997" s="161" t="s">
        <v>25</v>
      </c>
      <c r="P2997" s="49" t="s">
        <v>25</v>
      </c>
      <c r="Q2997" s="166"/>
      <c r="R2997" s="151"/>
    </row>
    <row r="2998" spans="1:18">
      <c r="A2998" s="166" t="s">
        <v>66</v>
      </c>
      <c r="B2998" s="166" t="s">
        <v>762</v>
      </c>
      <c r="C2998" s="84" t="s">
        <v>6830</v>
      </c>
      <c r="D2998" s="161" t="s">
        <v>6830</v>
      </c>
      <c r="E2998" s="161" t="s">
        <v>1640</v>
      </c>
      <c r="F2998" s="161" t="s">
        <v>6906</v>
      </c>
      <c r="G2998" s="163">
        <v>70.7</v>
      </c>
      <c r="H2998" s="163">
        <f t="shared" si="233"/>
        <v>18.8</v>
      </c>
      <c r="I2998" s="174">
        <v>10.75</v>
      </c>
      <c r="J2998" s="163">
        <v>13718.4333649335</v>
      </c>
      <c r="K2998" s="174">
        <f t="shared" si="234"/>
        <v>51502.7024510507</v>
      </c>
      <c r="L2998" s="172"/>
      <c r="M2998" s="161" t="s">
        <v>6752</v>
      </c>
      <c r="N2998" s="161" t="s">
        <v>1901</v>
      </c>
      <c r="O2998" s="161" t="s">
        <v>26</v>
      </c>
      <c r="P2998" s="49" t="s">
        <v>26</v>
      </c>
      <c r="Q2998" s="166"/>
      <c r="R2998" s="151"/>
    </row>
    <row r="2999" spans="1:18">
      <c r="A2999" s="166" t="s">
        <v>66</v>
      </c>
      <c r="B2999" s="166" t="s">
        <v>762</v>
      </c>
      <c r="C2999" s="84" t="s">
        <v>6913</v>
      </c>
      <c r="D2999" s="161" t="s">
        <v>6913</v>
      </c>
      <c r="E2999" s="161" t="s">
        <v>1640</v>
      </c>
      <c r="F2999" s="161" t="s">
        <v>6906</v>
      </c>
      <c r="G2999" s="163">
        <v>89.9</v>
      </c>
      <c r="H2999" s="163">
        <f t="shared" si="233"/>
        <v>19.2</v>
      </c>
      <c r="I2999" s="174">
        <v>11.25</v>
      </c>
      <c r="J2999" s="163">
        <v>14096.3516394496</v>
      </c>
      <c r="K2999" s="174">
        <f t="shared" si="234"/>
        <v>65599.0540905003</v>
      </c>
      <c r="L2999" s="172"/>
      <c r="M2999" s="161" t="s">
        <v>66</v>
      </c>
      <c r="N2999" s="161"/>
      <c r="O2999" s="161" t="s">
        <v>14</v>
      </c>
      <c r="P2999" s="49" t="s">
        <v>14</v>
      </c>
      <c r="Q2999" s="166"/>
      <c r="R2999" s="151"/>
    </row>
    <row r="3000" spans="1:18">
      <c r="A3000" s="166" t="s">
        <v>66</v>
      </c>
      <c r="B3000" s="166" t="s">
        <v>762</v>
      </c>
      <c r="C3000" s="84" t="s">
        <v>6914</v>
      </c>
      <c r="D3000" s="161" t="s">
        <v>6915</v>
      </c>
      <c r="E3000" s="161" t="s">
        <v>1640</v>
      </c>
      <c r="F3000" s="161" t="s">
        <v>6906</v>
      </c>
      <c r="G3000" s="163">
        <v>113.2</v>
      </c>
      <c r="H3000" s="163">
        <f t="shared" si="233"/>
        <v>23.3</v>
      </c>
      <c r="I3000" s="174">
        <v>13.25</v>
      </c>
      <c r="J3000" s="163">
        <v>17044.114180675</v>
      </c>
      <c r="K3000" s="174">
        <f t="shared" si="234"/>
        <v>82643.1682711753</v>
      </c>
      <c r="L3000" s="172"/>
      <c r="M3000" s="161" t="s">
        <v>66</v>
      </c>
      <c r="N3000" s="161" t="s">
        <v>1299</v>
      </c>
      <c r="O3000" s="161" t="s">
        <v>25</v>
      </c>
      <c r="P3000" s="49" t="s">
        <v>25</v>
      </c>
      <c r="Q3000" s="166"/>
      <c r="R3000" s="151"/>
    </row>
    <row r="3001" spans="1:18">
      <c r="A3001" s="166" t="s">
        <v>66</v>
      </c>
      <c r="B3001" s="166" t="s">
        <v>762</v>
      </c>
      <c r="C3001" s="84" t="s">
        <v>6916</v>
      </c>
      <c r="D3001" s="161" t="s">
        <v>6917</v>
      </c>
      <c r="E3001" s="161" t="s">
        <v>1640</v>
      </c>
      <c r="F3001" s="161" t="s">
        <v>6906</v>
      </c>
      <c r="G3001" s="163">
        <v>131.6</v>
      </c>
      <c r="H3001" s="163">
        <f t="shared" si="233"/>
        <v>18.4</v>
      </c>
      <c r="I3001" s="174">
        <v>17.75</v>
      </c>
      <c r="J3001" s="163">
        <v>13597.4995170884</v>
      </c>
      <c r="K3001" s="174">
        <f t="shared" si="234"/>
        <v>96240.6677882637</v>
      </c>
      <c r="L3001" s="172"/>
      <c r="M3001" s="161" t="s">
        <v>66</v>
      </c>
      <c r="N3001" s="161" t="s">
        <v>1299</v>
      </c>
      <c r="O3001" s="161" t="s">
        <v>25</v>
      </c>
      <c r="P3001" s="49" t="s">
        <v>25</v>
      </c>
      <c r="Q3001" s="166"/>
      <c r="R3001" s="151"/>
    </row>
    <row r="3002" spans="1:18">
      <c r="A3002" s="166" t="s">
        <v>66</v>
      </c>
      <c r="B3002" s="166" t="s">
        <v>762</v>
      </c>
      <c r="C3002" s="84" t="s">
        <v>768</v>
      </c>
      <c r="D3002" s="161" t="s">
        <v>768</v>
      </c>
      <c r="E3002" s="161" t="s">
        <v>1640</v>
      </c>
      <c r="F3002" s="161" t="s">
        <v>6906</v>
      </c>
      <c r="G3002" s="163">
        <v>154</v>
      </c>
      <c r="H3002" s="163">
        <f t="shared" si="233"/>
        <v>22.4</v>
      </c>
      <c r="I3002" s="174">
        <v>24.95</v>
      </c>
      <c r="J3002" s="163">
        <v>16348.7445555654</v>
      </c>
      <c r="K3002" s="174">
        <f t="shared" si="234"/>
        <v>112589.412343829</v>
      </c>
      <c r="L3002" s="172"/>
      <c r="M3002" s="161" t="s">
        <v>66</v>
      </c>
      <c r="N3002" s="161"/>
      <c r="O3002" s="161" t="s">
        <v>15</v>
      </c>
      <c r="P3002" s="49" t="s">
        <v>15</v>
      </c>
      <c r="Q3002" s="166"/>
      <c r="R3002" s="151"/>
    </row>
    <row r="3003" spans="1:18">
      <c r="A3003" s="166" t="s">
        <v>66</v>
      </c>
      <c r="B3003" s="166" t="s">
        <v>762</v>
      </c>
      <c r="C3003" s="84" t="s">
        <v>6918</v>
      </c>
      <c r="D3003" s="161" t="s">
        <v>6919</v>
      </c>
      <c r="E3003" s="161" t="s">
        <v>1640</v>
      </c>
      <c r="F3003" s="161" t="s">
        <v>6920</v>
      </c>
      <c r="G3003" s="163">
        <v>166.7</v>
      </c>
      <c r="H3003" s="163">
        <f t="shared" si="233"/>
        <v>12.7</v>
      </c>
      <c r="I3003" s="174">
        <v>29</v>
      </c>
      <c r="J3003" s="174">
        <v>12979.5536404997</v>
      </c>
      <c r="K3003" s="174">
        <f t="shared" si="234"/>
        <v>125568.965984329</v>
      </c>
      <c r="L3003" s="172"/>
      <c r="M3003" s="161" t="s">
        <v>66</v>
      </c>
      <c r="N3003" s="161" t="s">
        <v>1299</v>
      </c>
      <c r="O3003" s="161" t="s">
        <v>25</v>
      </c>
      <c r="P3003" s="49" t="s">
        <v>25</v>
      </c>
      <c r="Q3003" s="166"/>
      <c r="R3003" s="151"/>
    </row>
    <row r="3004" spans="1:18">
      <c r="A3004" s="166" t="s">
        <v>66</v>
      </c>
      <c r="B3004" s="166" t="s">
        <v>762</v>
      </c>
      <c r="C3004" s="84" t="s">
        <v>6921</v>
      </c>
      <c r="D3004" s="161" t="s">
        <v>6922</v>
      </c>
      <c r="E3004" s="161" t="s">
        <v>1640</v>
      </c>
      <c r="F3004" s="161" t="s">
        <v>6920</v>
      </c>
      <c r="G3004" s="163">
        <v>185.2</v>
      </c>
      <c r="H3004" s="163">
        <f t="shared" si="233"/>
        <v>18.5</v>
      </c>
      <c r="I3004" s="174">
        <v>35.25</v>
      </c>
      <c r="J3004" s="163">
        <v>19854.2712746491</v>
      </c>
      <c r="K3004" s="174">
        <f t="shared" si="234"/>
        <v>145423.237258978</v>
      </c>
      <c r="L3004" s="172"/>
      <c r="M3004" s="161" t="s">
        <v>66</v>
      </c>
      <c r="N3004" s="161" t="s">
        <v>1299</v>
      </c>
      <c r="O3004" s="161" t="s">
        <v>25</v>
      </c>
      <c r="P3004" s="49" t="s">
        <v>25</v>
      </c>
      <c r="Q3004" s="166"/>
      <c r="R3004" s="151"/>
    </row>
    <row r="3005" spans="1:18">
      <c r="A3005" s="166" t="s">
        <v>66</v>
      </c>
      <c r="B3005" s="166" t="s">
        <v>762</v>
      </c>
      <c r="C3005" s="84" t="s">
        <v>6923</v>
      </c>
      <c r="D3005" s="161" t="s">
        <v>6924</v>
      </c>
      <c r="E3005" s="161" t="s">
        <v>1640</v>
      </c>
      <c r="F3005" s="161" t="s">
        <v>6920</v>
      </c>
      <c r="G3005" s="163">
        <v>205</v>
      </c>
      <c r="H3005" s="163">
        <f t="shared" si="233"/>
        <v>19.8</v>
      </c>
      <c r="I3005" s="174">
        <v>47.75</v>
      </c>
      <c r="J3005" s="163">
        <v>20049.4525324009</v>
      </c>
      <c r="K3005" s="174">
        <f t="shared" si="234"/>
        <v>165472.689791379</v>
      </c>
      <c r="L3005" s="172"/>
      <c r="M3005" s="161" t="s">
        <v>66</v>
      </c>
      <c r="N3005" s="161" t="s">
        <v>1299</v>
      </c>
      <c r="O3005" s="161" t="s">
        <v>25</v>
      </c>
      <c r="P3005" s="49" t="s">
        <v>25</v>
      </c>
      <c r="Q3005" s="166"/>
      <c r="R3005" s="151"/>
    </row>
    <row r="3006" spans="1:18">
      <c r="A3006" s="166" t="s">
        <v>66</v>
      </c>
      <c r="B3006" s="166" t="s">
        <v>762</v>
      </c>
      <c r="C3006" s="84" t="s">
        <v>6925</v>
      </c>
      <c r="D3006" s="161" t="s">
        <v>6925</v>
      </c>
      <c r="E3006" s="161" t="s">
        <v>1640</v>
      </c>
      <c r="F3006" s="161" t="s">
        <v>6920</v>
      </c>
      <c r="G3006" s="163">
        <v>227.5</v>
      </c>
      <c r="H3006" s="163">
        <f t="shared" si="233"/>
        <v>22.5</v>
      </c>
      <c r="I3006" s="174">
        <v>61.45</v>
      </c>
      <c r="J3006" s="163">
        <v>27043.4476018431</v>
      </c>
      <c r="K3006" s="174">
        <f t="shared" si="234"/>
        <v>192516.137393222</v>
      </c>
      <c r="L3006" s="172"/>
      <c r="M3006" s="161" t="s">
        <v>66</v>
      </c>
      <c r="N3006" s="161"/>
      <c r="O3006" s="161" t="s">
        <v>15</v>
      </c>
      <c r="P3006" s="49" t="s">
        <v>15</v>
      </c>
      <c r="Q3006" s="166"/>
      <c r="R3006" s="151"/>
    </row>
    <row r="3007" spans="1:18">
      <c r="A3007" s="166" t="s">
        <v>66</v>
      </c>
      <c r="B3007" s="166" t="s">
        <v>762</v>
      </c>
      <c r="C3007" s="84" t="s">
        <v>6926</v>
      </c>
      <c r="D3007" s="161" t="s">
        <v>6927</v>
      </c>
      <c r="E3007" s="161" t="s">
        <v>1640</v>
      </c>
      <c r="F3007" s="161" t="s">
        <v>6920</v>
      </c>
      <c r="G3007" s="163">
        <v>237.8</v>
      </c>
      <c r="H3007" s="163">
        <f t="shared" si="233"/>
        <v>10.3</v>
      </c>
      <c r="I3007" s="174">
        <v>68.75</v>
      </c>
      <c r="J3007" s="163">
        <v>9455.4475977575</v>
      </c>
      <c r="K3007" s="174">
        <f t="shared" si="234"/>
        <v>201971.584990979</v>
      </c>
      <c r="L3007" s="172"/>
      <c r="M3007" s="161" t="s">
        <v>66</v>
      </c>
      <c r="N3007" s="161" t="s">
        <v>1299</v>
      </c>
      <c r="O3007" s="161" t="s">
        <v>25</v>
      </c>
      <c r="P3007" s="49" t="s">
        <v>25</v>
      </c>
      <c r="Q3007" s="166"/>
      <c r="R3007" s="151"/>
    </row>
    <row r="3008" spans="1:18">
      <c r="A3008" s="166" t="s">
        <v>66</v>
      </c>
      <c r="B3008" s="166" t="s">
        <v>762</v>
      </c>
      <c r="C3008" s="84" t="s">
        <v>6928</v>
      </c>
      <c r="D3008" s="161" t="s">
        <v>6929</v>
      </c>
      <c r="E3008" s="161" t="s">
        <v>1640</v>
      </c>
      <c r="F3008" s="161" t="s">
        <v>6920</v>
      </c>
      <c r="G3008" s="163">
        <v>248.6</v>
      </c>
      <c r="H3008" s="163">
        <f t="shared" si="233"/>
        <v>10.8</v>
      </c>
      <c r="I3008" s="174">
        <v>79.5</v>
      </c>
      <c r="J3008" s="163">
        <v>11732.5622715294</v>
      </c>
      <c r="K3008" s="174">
        <f t="shared" si="234"/>
        <v>213704.147262509</v>
      </c>
      <c r="L3008" s="172"/>
      <c r="M3008" s="161" t="s">
        <v>66</v>
      </c>
      <c r="N3008" s="161" t="s">
        <v>1299</v>
      </c>
      <c r="O3008" s="161" t="s">
        <v>25</v>
      </c>
      <c r="P3008" s="49" t="s">
        <v>25</v>
      </c>
      <c r="Q3008" s="166"/>
      <c r="R3008" s="151"/>
    </row>
    <row r="3009" spans="1:18">
      <c r="A3009" s="166" t="s">
        <v>66</v>
      </c>
      <c r="B3009" s="166" t="s">
        <v>762</v>
      </c>
      <c r="C3009" s="84" t="s">
        <v>6930</v>
      </c>
      <c r="D3009" s="161" t="s">
        <v>6931</v>
      </c>
      <c r="E3009" s="161" t="s">
        <v>1640</v>
      </c>
      <c r="F3009" s="161" t="s">
        <v>6920</v>
      </c>
      <c r="G3009" s="163">
        <v>259.8</v>
      </c>
      <c r="H3009" s="163">
        <f t="shared" si="233"/>
        <v>11.2</v>
      </c>
      <c r="I3009" s="174">
        <v>80.6</v>
      </c>
      <c r="J3009" s="163">
        <v>11277.139336775</v>
      </c>
      <c r="K3009" s="174">
        <f t="shared" si="234"/>
        <v>224981.286599284</v>
      </c>
      <c r="L3009" s="172"/>
      <c r="M3009" s="161" t="s">
        <v>66</v>
      </c>
      <c r="N3009" s="161" t="s">
        <v>1299</v>
      </c>
      <c r="O3009" s="161" t="s">
        <v>25</v>
      </c>
      <c r="P3009" s="49" t="s">
        <v>25</v>
      </c>
      <c r="Q3009" s="166"/>
      <c r="R3009" s="151"/>
    </row>
    <row r="3010" spans="1:18">
      <c r="A3010" s="166" t="s">
        <v>66</v>
      </c>
      <c r="B3010" s="166" t="s">
        <v>762</v>
      </c>
      <c r="C3010" s="84" t="s">
        <v>6932</v>
      </c>
      <c r="D3010" s="161" t="s">
        <v>6932</v>
      </c>
      <c r="E3010" s="161" t="s">
        <v>1640</v>
      </c>
      <c r="F3010" s="161" t="s">
        <v>6920</v>
      </c>
      <c r="G3010" s="163">
        <v>272</v>
      </c>
      <c r="H3010" s="163">
        <f t="shared" si="233"/>
        <v>12.2</v>
      </c>
      <c r="I3010" s="174">
        <v>99.75</v>
      </c>
      <c r="J3010" s="163">
        <v>12686.7817538719</v>
      </c>
      <c r="K3010" s="174">
        <f t="shared" si="234"/>
        <v>237668.068353156</v>
      </c>
      <c r="L3010" s="172"/>
      <c r="M3010" s="161" t="s">
        <v>66</v>
      </c>
      <c r="N3010" s="161"/>
      <c r="O3010" s="161" t="s">
        <v>14</v>
      </c>
      <c r="P3010" s="49" t="s">
        <v>14</v>
      </c>
      <c r="Q3010" s="166"/>
      <c r="R3010" s="151"/>
    </row>
    <row r="3011" spans="1:18">
      <c r="A3011" s="166" t="s">
        <v>66</v>
      </c>
      <c r="B3011" s="166" t="s">
        <v>770</v>
      </c>
      <c r="C3011" s="135" t="s">
        <v>768</v>
      </c>
      <c r="D3011" s="161" t="s">
        <v>768</v>
      </c>
      <c r="E3011" s="161" t="s">
        <v>1640</v>
      </c>
      <c r="F3011" s="161" t="s">
        <v>6906</v>
      </c>
      <c r="G3011" s="163">
        <v>0</v>
      </c>
      <c r="H3011" s="163">
        <v>0</v>
      </c>
      <c r="I3011" s="174">
        <v>24.95</v>
      </c>
      <c r="J3011" s="174">
        <v>0</v>
      </c>
      <c r="K3011" s="163">
        <v>0</v>
      </c>
      <c r="L3011" s="172"/>
      <c r="M3011" s="161" t="s">
        <v>66</v>
      </c>
      <c r="N3011" s="161"/>
      <c r="O3011" s="161"/>
      <c r="P3011" s="49"/>
      <c r="Q3011" s="166"/>
      <c r="R3011" s="151"/>
    </row>
    <row r="3012" spans="1:18">
      <c r="A3012" s="166" t="s">
        <v>66</v>
      </c>
      <c r="B3012" s="166" t="s">
        <v>770</v>
      </c>
      <c r="C3012" s="84" t="s">
        <v>6933</v>
      </c>
      <c r="D3012" s="161" t="s">
        <v>6934</v>
      </c>
      <c r="E3012" s="161" t="s">
        <v>1640</v>
      </c>
      <c r="F3012" s="161" t="s">
        <v>6906</v>
      </c>
      <c r="G3012" s="163">
        <v>21.6</v>
      </c>
      <c r="H3012" s="163">
        <v>21.6</v>
      </c>
      <c r="I3012" s="174">
        <v>29.09</v>
      </c>
      <c r="J3012" s="174">
        <v>15479.5325241784</v>
      </c>
      <c r="K3012" s="163">
        <f>J3012+K3011</f>
        <v>15479.5325241784</v>
      </c>
      <c r="L3012" s="172"/>
      <c r="M3012" s="161" t="s">
        <v>66</v>
      </c>
      <c r="N3012" s="161" t="s">
        <v>1299</v>
      </c>
      <c r="O3012" s="161" t="s">
        <v>25</v>
      </c>
      <c r="P3012" s="49" t="s">
        <v>25</v>
      </c>
      <c r="Q3012" s="166"/>
      <c r="R3012" s="151"/>
    </row>
    <row r="3013" spans="1:18">
      <c r="A3013" s="166" t="s">
        <v>66</v>
      </c>
      <c r="B3013" s="166" t="s">
        <v>770</v>
      </c>
      <c r="C3013" s="84" t="s">
        <v>6935</v>
      </c>
      <c r="D3013" s="161" t="s">
        <v>6936</v>
      </c>
      <c r="E3013" s="161" t="s">
        <v>1640</v>
      </c>
      <c r="F3013" s="161" t="s">
        <v>6906</v>
      </c>
      <c r="G3013" s="163">
        <v>46.9</v>
      </c>
      <c r="H3013" s="163">
        <v>25.3</v>
      </c>
      <c r="I3013" s="174">
        <v>29.7</v>
      </c>
      <c r="J3013" s="163">
        <v>18419.7366999135</v>
      </c>
      <c r="K3013" s="163">
        <f t="shared" ref="K3013:K3029" si="235">J3013+K3012</f>
        <v>33899.2692240919</v>
      </c>
      <c r="L3013" s="172"/>
      <c r="M3013" s="161" t="s">
        <v>66</v>
      </c>
      <c r="N3013" s="161" t="s">
        <v>1299</v>
      </c>
      <c r="O3013" s="161" t="s">
        <v>25</v>
      </c>
      <c r="P3013" s="49" t="s">
        <v>25</v>
      </c>
      <c r="Q3013" s="166"/>
      <c r="R3013" s="151"/>
    </row>
    <row r="3014" spans="1:18">
      <c r="A3014" s="166" t="s">
        <v>66</v>
      </c>
      <c r="B3014" s="166" t="s">
        <v>770</v>
      </c>
      <c r="C3014" s="84" t="s">
        <v>6937</v>
      </c>
      <c r="D3014" s="161" t="s">
        <v>6938</v>
      </c>
      <c r="E3014" s="161" t="s">
        <v>1640</v>
      </c>
      <c r="F3014" s="161" t="s">
        <v>6906</v>
      </c>
      <c r="G3014" s="163">
        <v>65</v>
      </c>
      <c r="H3014" s="163">
        <v>18.1</v>
      </c>
      <c r="I3014" s="174">
        <v>28.05</v>
      </c>
      <c r="J3014" s="174">
        <v>13310.2816284562</v>
      </c>
      <c r="K3014" s="163">
        <f t="shared" si="235"/>
        <v>47209.5508525481</v>
      </c>
      <c r="L3014" s="172"/>
      <c r="M3014" s="161" t="s">
        <v>66</v>
      </c>
      <c r="N3014" s="161" t="s">
        <v>1299</v>
      </c>
      <c r="O3014" s="161" t="s">
        <v>25</v>
      </c>
      <c r="P3014" s="49" t="s">
        <v>25</v>
      </c>
      <c r="Q3014" s="166"/>
      <c r="R3014" s="151"/>
    </row>
    <row r="3015" spans="1:18">
      <c r="A3015" s="166" t="s">
        <v>66</v>
      </c>
      <c r="B3015" s="166" t="s">
        <v>770</v>
      </c>
      <c r="C3015" s="84" t="s">
        <v>6939</v>
      </c>
      <c r="D3015" s="161" t="s">
        <v>6940</v>
      </c>
      <c r="E3015" s="161" t="s">
        <v>1640</v>
      </c>
      <c r="F3015" s="161" t="s">
        <v>6906</v>
      </c>
      <c r="G3015" s="163">
        <v>88.3</v>
      </c>
      <c r="H3015" s="163">
        <v>23.3</v>
      </c>
      <c r="I3015" s="174">
        <v>23.72</v>
      </c>
      <c r="J3015" s="174">
        <v>16749.3379265524</v>
      </c>
      <c r="K3015" s="163">
        <f t="shared" si="235"/>
        <v>63958.8887791005</v>
      </c>
      <c r="L3015" s="172"/>
      <c r="M3015" s="161" t="s">
        <v>66</v>
      </c>
      <c r="N3015" s="161" t="s">
        <v>1299</v>
      </c>
      <c r="O3015" s="161" t="s">
        <v>25</v>
      </c>
      <c r="P3015" s="49" t="s">
        <v>25</v>
      </c>
      <c r="Q3015" s="166"/>
      <c r="R3015" s="151"/>
    </row>
    <row r="3016" spans="1:18">
      <c r="A3016" s="166" t="s">
        <v>66</v>
      </c>
      <c r="B3016" s="166" t="s">
        <v>770</v>
      </c>
      <c r="C3016" s="84" t="s">
        <v>6941</v>
      </c>
      <c r="D3016" s="161" t="s">
        <v>6941</v>
      </c>
      <c r="E3016" s="161" t="s">
        <v>1640</v>
      </c>
      <c r="F3016" s="161" t="s">
        <v>6942</v>
      </c>
      <c r="G3016" s="163">
        <v>111.8</v>
      </c>
      <c r="H3016" s="163">
        <v>23.5</v>
      </c>
      <c r="I3016" s="174">
        <v>24.15</v>
      </c>
      <c r="J3016" s="174">
        <v>18480.2036238361</v>
      </c>
      <c r="K3016" s="163">
        <f t="shared" si="235"/>
        <v>82439.0924029366</v>
      </c>
      <c r="L3016" s="172"/>
      <c r="M3016" s="161" t="s">
        <v>66</v>
      </c>
      <c r="N3016" s="161"/>
      <c r="O3016" s="161" t="s">
        <v>14</v>
      </c>
      <c r="P3016" s="49" t="s">
        <v>14</v>
      </c>
      <c r="Q3016" s="166"/>
      <c r="R3016" s="151"/>
    </row>
    <row r="3017" spans="1:18">
      <c r="A3017" s="166" t="s">
        <v>66</v>
      </c>
      <c r="B3017" s="166" t="s">
        <v>770</v>
      </c>
      <c r="C3017" s="84" t="s">
        <v>6943</v>
      </c>
      <c r="D3017" s="161" t="s">
        <v>6944</v>
      </c>
      <c r="E3017" s="161" t="s">
        <v>1640</v>
      </c>
      <c r="F3017" s="161" t="s">
        <v>6942</v>
      </c>
      <c r="G3017" s="163">
        <v>127.5</v>
      </c>
      <c r="H3017" s="163">
        <v>15.7</v>
      </c>
      <c r="I3017" s="174">
        <v>27.05</v>
      </c>
      <c r="J3017" s="163">
        <v>11307.314773521</v>
      </c>
      <c r="K3017" s="163">
        <f t="shared" si="235"/>
        <v>93746.4071764576</v>
      </c>
      <c r="L3017" s="172"/>
      <c r="M3017" s="161" t="s">
        <v>66</v>
      </c>
      <c r="N3017" s="161" t="s">
        <v>1299</v>
      </c>
      <c r="O3017" s="161" t="s">
        <v>25</v>
      </c>
      <c r="P3017" s="49" t="s">
        <v>25</v>
      </c>
      <c r="Q3017" s="166"/>
      <c r="R3017" s="151"/>
    </row>
    <row r="3018" spans="1:18">
      <c r="A3018" s="166" t="s">
        <v>66</v>
      </c>
      <c r="B3018" s="166" t="s">
        <v>770</v>
      </c>
      <c r="C3018" s="84" t="s">
        <v>6945</v>
      </c>
      <c r="D3018" s="161" t="s">
        <v>6946</v>
      </c>
      <c r="E3018" s="161" t="s">
        <v>1640</v>
      </c>
      <c r="F3018" s="161" t="s">
        <v>6942</v>
      </c>
      <c r="G3018" s="163">
        <v>146.6</v>
      </c>
      <c r="H3018" s="163">
        <v>19.1</v>
      </c>
      <c r="I3018" s="174">
        <v>30.65</v>
      </c>
      <c r="J3018" s="174">
        <v>13877.1590402303</v>
      </c>
      <c r="K3018" s="163">
        <f t="shared" si="235"/>
        <v>107623.566216688</v>
      </c>
      <c r="L3018" s="172"/>
      <c r="M3018" s="161" t="s">
        <v>66</v>
      </c>
      <c r="N3018" s="161" t="s">
        <v>1299</v>
      </c>
      <c r="O3018" s="161" t="s">
        <v>25</v>
      </c>
      <c r="P3018" s="49" t="s">
        <v>25</v>
      </c>
      <c r="Q3018" s="166"/>
      <c r="R3018" s="151"/>
    </row>
    <row r="3019" spans="1:18">
      <c r="A3019" s="166" t="s">
        <v>66</v>
      </c>
      <c r="B3019" s="166" t="s">
        <v>770</v>
      </c>
      <c r="C3019" s="84" t="s">
        <v>6947</v>
      </c>
      <c r="D3019" s="161" t="s">
        <v>6948</v>
      </c>
      <c r="E3019" s="161" t="s">
        <v>1640</v>
      </c>
      <c r="F3019" s="161" t="s">
        <v>6942</v>
      </c>
      <c r="G3019" s="163">
        <v>168.7</v>
      </c>
      <c r="H3019" s="163">
        <v>22.1</v>
      </c>
      <c r="I3019" s="174">
        <v>33.05</v>
      </c>
      <c r="J3019" s="174">
        <v>16106.8768598751</v>
      </c>
      <c r="K3019" s="163">
        <f t="shared" si="235"/>
        <v>123730.443076563</v>
      </c>
      <c r="L3019" s="172"/>
      <c r="M3019" s="161" t="s">
        <v>66</v>
      </c>
      <c r="N3019" s="161" t="s">
        <v>1299</v>
      </c>
      <c r="O3019" s="161" t="s">
        <v>25</v>
      </c>
      <c r="P3019" s="49" t="s">
        <v>25</v>
      </c>
      <c r="Q3019" s="166"/>
      <c r="R3019" s="151"/>
    </row>
    <row r="3020" spans="1:18">
      <c r="A3020" s="166" t="s">
        <v>66</v>
      </c>
      <c r="B3020" s="166" t="s">
        <v>770</v>
      </c>
      <c r="C3020" s="84" t="s">
        <v>6949</v>
      </c>
      <c r="D3020" s="161" t="s">
        <v>6950</v>
      </c>
      <c r="E3020" s="161" t="s">
        <v>1640</v>
      </c>
      <c r="F3020" s="161" t="s">
        <v>6942</v>
      </c>
      <c r="G3020" s="163">
        <v>184.3</v>
      </c>
      <c r="H3020" s="163">
        <v>15.6</v>
      </c>
      <c r="I3020" s="174">
        <v>34.9</v>
      </c>
      <c r="J3020" s="163">
        <v>11322.4315045016</v>
      </c>
      <c r="K3020" s="163">
        <f t="shared" si="235"/>
        <v>135052.874581065</v>
      </c>
      <c r="L3020" s="172"/>
      <c r="M3020" s="161" t="s">
        <v>66</v>
      </c>
      <c r="N3020" s="161" t="s">
        <v>1299</v>
      </c>
      <c r="O3020" s="161" t="s">
        <v>25</v>
      </c>
      <c r="P3020" s="49" t="s">
        <v>25</v>
      </c>
      <c r="Q3020" s="166"/>
      <c r="R3020" s="151"/>
    </row>
    <row r="3021" spans="1:18">
      <c r="A3021" s="166" t="s">
        <v>66</v>
      </c>
      <c r="B3021" s="166" t="s">
        <v>770</v>
      </c>
      <c r="C3021" s="84" t="s">
        <v>6951</v>
      </c>
      <c r="D3021" s="161" t="s">
        <v>6952</v>
      </c>
      <c r="E3021" s="161" t="s">
        <v>1640</v>
      </c>
      <c r="F3021" s="161" t="s">
        <v>6942</v>
      </c>
      <c r="G3021" s="163">
        <v>206.9</v>
      </c>
      <c r="H3021" s="163">
        <v>22.6</v>
      </c>
      <c r="I3021" s="174">
        <v>36.72</v>
      </c>
      <c r="J3021" s="174">
        <v>16484.7951343912</v>
      </c>
      <c r="K3021" s="163">
        <f t="shared" si="235"/>
        <v>151537.669715456</v>
      </c>
      <c r="L3021" s="172"/>
      <c r="M3021" s="161" t="s">
        <v>66</v>
      </c>
      <c r="N3021" s="161" t="s">
        <v>1299</v>
      </c>
      <c r="O3021" s="161" t="s">
        <v>25</v>
      </c>
      <c r="P3021" s="49" t="s">
        <v>25</v>
      </c>
      <c r="Q3021" s="166"/>
      <c r="R3021" s="151"/>
    </row>
    <row r="3022" spans="1:18">
      <c r="A3022" s="166" t="s">
        <v>66</v>
      </c>
      <c r="B3022" s="166" t="s">
        <v>770</v>
      </c>
      <c r="C3022" s="84" t="s">
        <v>6953</v>
      </c>
      <c r="D3022" s="161" t="s">
        <v>6953</v>
      </c>
      <c r="E3022" s="161" t="s">
        <v>1640</v>
      </c>
      <c r="F3022" s="161" t="s">
        <v>6942</v>
      </c>
      <c r="G3022" s="163">
        <v>223.5</v>
      </c>
      <c r="H3022" s="163">
        <v>16.6</v>
      </c>
      <c r="I3022" s="174">
        <v>39.75</v>
      </c>
      <c r="J3022" s="174">
        <v>12410.8361351079</v>
      </c>
      <c r="K3022" s="163">
        <f t="shared" si="235"/>
        <v>163948.505850564</v>
      </c>
      <c r="L3022" s="172"/>
      <c r="M3022" s="161" t="s">
        <v>66</v>
      </c>
      <c r="N3022" s="161"/>
      <c r="O3022" s="161" t="s">
        <v>14</v>
      </c>
      <c r="P3022" s="49" t="s">
        <v>14</v>
      </c>
      <c r="Q3022" s="166"/>
      <c r="R3022" s="151"/>
    </row>
    <row r="3023" spans="1:18">
      <c r="A3023" s="166" t="s">
        <v>66</v>
      </c>
      <c r="B3023" s="166" t="s">
        <v>770</v>
      </c>
      <c r="C3023" s="84" t="s">
        <v>6954</v>
      </c>
      <c r="D3023" s="161" t="s">
        <v>6955</v>
      </c>
      <c r="E3023" s="161" t="s">
        <v>1640</v>
      </c>
      <c r="F3023" s="161" t="s">
        <v>6942</v>
      </c>
      <c r="G3023" s="163">
        <v>245.6</v>
      </c>
      <c r="H3023" s="163">
        <v>22.1</v>
      </c>
      <c r="I3023" s="174">
        <v>42.29</v>
      </c>
      <c r="J3023" s="163">
        <v>16076.6433979138</v>
      </c>
      <c r="K3023" s="163">
        <f t="shared" si="235"/>
        <v>180025.149248478</v>
      </c>
      <c r="L3023" s="172"/>
      <c r="M3023" s="161" t="s">
        <v>66</v>
      </c>
      <c r="N3023" s="161" t="s">
        <v>1299</v>
      </c>
      <c r="O3023" s="161" t="s">
        <v>25</v>
      </c>
      <c r="P3023" s="49" t="s">
        <v>25</v>
      </c>
      <c r="Q3023" s="166"/>
      <c r="R3023" s="151"/>
    </row>
    <row r="3024" spans="1:18">
      <c r="A3024" s="166" t="s">
        <v>66</v>
      </c>
      <c r="B3024" s="166" t="s">
        <v>770</v>
      </c>
      <c r="C3024" s="84" t="s">
        <v>6956</v>
      </c>
      <c r="D3024" s="161" t="s">
        <v>6957</v>
      </c>
      <c r="E3024" s="161" t="s">
        <v>1640</v>
      </c>
      <c r="F3024" s="161" t="s">
        <v>6942</v>
      </c>
      <c r="G3024" s="163">
        <v>266.1</v>
      </c>
      <c r="H3024" s="163">
        <v>20.5</v>
      </c>
      <c r="I3024" s="174">
        <v>43</v>
      </c>
      <c r="J3024" s="174">
        <v>15192.3146355462</v>
      </c>
      <c r="K3024" s="163">
        <f t="shared" si="235"/>
        <v>195217.463884024</v>
      </c>
      <c r="L3024" s="172"/>
      <c r="M3024" s="161" t="s">
        <v>66</v>
      </c>
      <c r="N3024" s="161" t="s">
        <v>1299</v>
      </c>
      <c r="O3024" s="161" t="s">
        <v>25</v>
      </c>
      <c r="P3024" s="49" t="s">
        <v>25</v>
      </c>
      <c r="Q3024" s="166"/>
      <c r="R3024" s="151"/>
    </row>
    <row r="3025" spans="1:18">
      <c r="A3025" s="166" t="s">
        <v>66</v>
      </c>
      <c r="B3025" s="166" t="s">
        <v>770</v>
      </c>
      <c r="C3025" s="84" t="s">
        <v>6958</v>
      </c>
      <c r="D3025" s="161" t="s">
        <v>6959</v>
      </c>
      <c r="E3025" s="161" t="s">
        <v>1640</v>
      </c>
      <c r="F3025" s="161" t="s">
        <v>6942</v>
      </c>
      <c r="G3025" s="163">
        <v>283.3</v>
      </c>
      <c r="H3025" s="163">
        <v>17.2</v>
      </c>
      <c r="I3025" s="174">
        <v>46.89</v>
      </c>
      <c r="J3025" s="174">
        <v>12471.3030590305</v>
      </c>
      <c r="K3025" s="163">
        <f t="shared" si="235"/>
        <v>207688.766943054</v>
      </c>
      <c r="L3025" s="172"/>
      <c r="M3025" s="161" t="s">
        <v>66</v>
      </c>
      <c r="N3025" s="161" t="s">
        <v>1299</v>
      </c>
      <c r="O3025" s="161" t="s">
        <v>25</v>
      </c>
      <c r="P3025" s="49" t="s">
        <v>25</v>
      </c>
      <c r="Q3025" s="166"/>
      <c r="R3025" s="151"/>
    </row>
    <row r="3026" spans="1:18">
      <c r="A3026" s="166" t="s">
        <v>66</v>
      </c>
      <c r="B3026" s="166" t="s">
        <v>770</v>
      </c>
      <c r="C3026" s="84" t="s">
        <v>6960</v>
      </c>
      <c r="D3026" s="161" t="s">
        <v>6961</v>
      </c>
      <c r="E3026" s="161" t="s">
        <v>1640</v>
      </c>
      <c r="F3026" s="161" t="s">
        <v>6942</v>
      </c>
      <c r="G3026" s="163">
        <v>299.1</v>
      </c>
      <c r="H3026" s="163">
        <v>15.8</v>
      </c>
      <c r="I3026" s="174">
        <v>45.85</v>
      </c>
      <c r="J3026" s="163">
        <v>11534.0657382306</v>
      </c>
      <c r="K3026" s="163">
        <f t="shared" si="235"/>
        <v>219222.832681285</v>
      </c>
      <c r="L3026" s="172"/>
      <c r="M3026" s="161" t="s">
        <v>66</v>
      </c>
      <c r="N3026" s="161" t="s">
        <v>1299</v>
      </c>
      <c r="O3026" s="161" t="s">
        <v>25</v>
      </c>
      <c r="P3026" s="49" t="s">
        <v>25</v>
      </c>
      <c r="Q3026" s="166"/>
      <c r="R3026" s="151"/>
    </row>
    <row r="3027" spans="1:18">
      <c r="A3027" s="166" t="s">
        <v>66</v>
      </c>
      <c r="B3027" s="166" t="s">
        <v>770</v>
      </c>
      <c r="C3027" s="84" t="s">
        <v>6962</v>
      </c>
      <c r="D3027" s="161" t="s">
        <v>6963</v>
      </c>
      <c r="E3027" s="161" t="s">
        <v>1640</v>
      </c>
      <c r="F3027" s="161" t="s">
        <v>6942</v>
      </c>
      <c r="G3027" s="163">
        <v>313.6</v>
      </c>
      <c r="H3027" s="163">
        <v>14.5</v>
      </c>
      <c r="I3027" s="174">
        <v>48.51</v>
      </c>
      <c r="J3027" s="174">
        <v>10778.2291891985</v>
      </c>
      <c r="K3027" s="163">
        <f t="shared" si="235"/>
        <v>230001.061870483</v>
      </c>
      <c r="L3027" s="172"/>
      <c r="M3027" s="161" t="s">
        <v>66</v>
      </c>
      <c r="N3027" s="161" t="s">
        <v>1299</v>
      </c>
      <c r="O3027" s="161" t="s">
        <v>25</v>
      </c>
      <c r="P3027" s="49" t="s">
        <v>25</v>
      </c>
      <c r="Q3027" s="166"/>
      <c r="R3027" s="151"/>
    </row>
    <row r="3028" spans="1:18">
      <c r="A3028" s="166" t="s">
        <v>66</v>
      </c>
      <c r="B3028" s="166" t="s">
        <v>770</v>
      </c>
      <c r="C3028" s="84" t="s">
        <v>6964</v>
      </c>
      <c r="D3028" s="161" t="s">
        <v>6965</v>
      </c>
      <c r="E3028" s="161" t="s">
        <v>1640</v>
      </c>
      <c r="F3028" s="161" t="s">
        <v>6942</v>
      </c>
      <c r="G3028" s="163">
        <v>329.8</v>
      </c>
      <c r="H3028" s="163">
        <v>16.2</v>
      </c>
      <c r="I3028" s="174">
        <v>51.29</v>
      </c>
      <c r="J3028" s="174">
        <v>11980.0093021596</v>
      </c>
      <c r="K3028" s="163">
        <f t="shared" si="235"/>
        <v>241981.071172643</v>
      </c>
      <c r="L3028" s="172"/>
      <c r="M3028" s="161" t="s">
        <v>66</v>
      </c>
      <c r="N3028" s="161" t="s">
        <v>1299</v>
      </c>
      <c r="O3028" s="161" t="s">
        <v>25</v>
      </c>
      <c r="P3028" s="49" t="s">
        <v>25</v>
      </c>
      <c r="Q3028" s="166"/>
      <c r="R3028" s="151"/>
    </row>
    <row r="3029" spans="1:18">
      <c r="A3029" s="166" t="s">
        <v>66</v>
      </c>
      <c r="B3029" s="166" t="s">
        <v>770</v>
      </c>
      <c r="C3029" s="84" t="s">
        <v>771</v>
      </c>
      <c r="D3029" s="161" t="s">
        <v>771</v>
      </c>
      <c r="E3029" s="161" t="s">
        <v>1640</v>
      </c>
      <c r="F3029" s="161" t="s">
        <v>6942</v>
      </c>
      <c r="G3029" s="163">
        <v>347</v>
      </c>
      <c r="H3029" s="163">
        <v>17.2</v>
      </c>
      <c r="I3029" s="174" t="s">
        <v>147</v>
      </c>
      <c r="J3029" s="163">
        <v>12622.4703688369</v>
      </c>
      <c r="K3029" s="163">
        <f t="shared" si="235"/>
        <v>254603.54154148</v>
      </c>
      <c r="L3029" s="172"/>
      <c r="M3029" s="161" t="s">
        <v>66</v>
      </c>
      <c r="N3029" s="161"/>
      <c r="O3029" s="161" t="s">
        <v>15</v>
      </c>
      <c r="P3029" s="49" t="s">
        <v>15</v>
      </c>
      <c r="Q3029" s="166"/>
      <c r="R3029" s="151"/>
    </row>
    <row r="3030" spans="1:18">
      <c r="A3030" s="166" t="s">
        <v>66</v>
      </c>
      <c r="B3030" s="166" t="s">
        <v>767</v>
      </c>
      <c r="C3030" s="135" t="s">
        <v>768</v>
      </c>
      <c r="D3030" s="161" t="s">
        <v>768</v>
      </c>
      <c r="E3030" s="161" t="s">
        <v>1640</v>
      </c>
      <c r="F3030" s="161" t="s">
        <v>6906</v>
      </c>
      <c r="G3030" s="163">
        <v>0</v>
      </c>
      <c r="H3030" s="163">
        <v>0</v>
      </c>
      <c r="I3030" s="174">
        <v>24.95</v>
      </c>
      <c r="J3030" s="174">
        <v>0</v>
      </c>
      <c r="K3030" s="163">
        <v>0</v>
      </c>
      <c r="L3030" s="172"/>
      <c r="M3030" s="161" t="s">
        <v>66</v>
      </c>
      <c r="N3030" s="161"/>
      <c r="O3030" s="161"/>
      <c r="P3030" s="49"/>
      <c r="Q3030" s="166"/>
      <c r="R3030" s="151"/>
    </row>
    <row r="3031" spans="1:18">
      <c r="A3031" s="166" t="s">
        <v>66</v>
      </c>
      <c r="B3031" s="166" t="s">
        <v>767</v>
      </c>
      <c r="C3031" s="84" t="s">
        <v>6966</v>
      </c>
      <c r="D3031" s="161" t="s">
        <v>6967</v>
      </c>
      <c r="E3031" s="161" t="s">
        <v>1640</v>
      </c>
      <c r="F3031" s="161" t="s">
        <v>6920</v>
      </c>
      <c r="G3031" s="163">
        <v>22.6</v>
      </c>
      <c r="H3031" s="163">
        <f>G3031-G3030</f>
        <v>22.6</v>
      </c>
      <c r="I3031" s="174">
        <v>25.49</v>
      </c>
      <c r="J3031" s="174">
        <v>16711.5460991008</v>
      </c>
      <c r="K3031" s="163">
        <f>J3031+K3030</f>
        <v>16711.5460991008</v>
      </c>
      <c r="L3031" s="172"/>
      <c r="M3031" s="161" t="s">
        <v>66</v>
      </c>
      <c r="N3031" s="161" t="s">
        <v>1299</v>
      </c>
      <c r="O3031" s="161" t="s">
        <v>25</v>
      </c>
      <c r="P3031" s="49" t="s">
        <v>25</v>
      </c>
      <c r="Q3031" s="166"/>
      <c r="R3031" s="151"/>
    </row>
    <row r="3032" spans="1:18">
      <c r="A3032" s="166" t="s">
        <v>66</v>
      </c>
      <c r="B3032" s="166" t="s">
        <v>767</v>
      </c>
      <c r="C3032" s="84" t="s">
        <v>6968</v>
      </c>
      <c r="D3032" s="161" t="s">
        <v>6969</v>
      </c>
      <c r="E3032" s="161" t="s">
        <v>1640</v>
      </c>
      <c r="F3032" s="161" t="s">
        <v>6920</v>
      </c>
      <c r="G3032" s="163">
        <v>43.7</v>
      </c>
      <c r="H3032" s="163">
        <f>G3032-G3031</f>
        <v>21.1</v>
      </c>
      <c r="I3032" s="174">
        <v>20.8</v>
      </c>
      <c r="J3032" s="174">
        <v>15487.0908896688</v>
      </c>
      <c r="K3032" s="163">
        <f>J3032+K3031</f>
        <v>32198.6369887696</v>
      </c>
      <c r="L3032" s="172"/>
      <c r="M3032" s="161" t="s">
        <v>66</v>
      </c>
      <c r="N3032" s="161" t="s">
        <v>1299</v>
      </c>
      <c r="O3032" s="161" t="s">
        <v>25</v>
      </c>
      <c r="P3032" s="49" t="s">
        <v>25</v>
      </c>
      <c r="Q3032" s="166"/>
      <c r="R3032" s="151"/>
    </row>
    <row r="3033" spans="1:18">
      <c r="A3033" s="166" t="s">
        <v>66</v>
      </c>
      <c r="B3033" s="166" t="s">
        <v>767</v>
      </c>
      <c r="C3033" s="84" t="s">
        <v>6970</v>
      </c>
      <c r="D3033" s="161" t="s">
        <v>6970</v>
      </c>
      <c r="E3033" s="161" t="s">
        <v>1640</v>
      </c>
      <c r="F3033" s="161" t="s">
        <v>6920</v>
      </c>
      <c r="G3033" s="163">
        <v>67</v>
      </c>
      <c r="H3033" s="163">
        <f>G3033-G3032</f>
        <v>23.3</v>
      </c>
      <c r="I3033" s="174" t="s">
        <v>147</v>
      </c>
      <c r="J3033" s="174">
        <v>17361.5655312685</v>
      </c>
      <c r="K3033" s="163">
        <f>J3033+K3032</f>
        <v>49560.2025200381</v>
      </c>
      <c r="L3033" s="172"/>
      <c r="M3033" s="161" t="s">
        <v>66</v>
      </c>
      <c r="N3033" s="161"/>
      <c r="O3033" s="161" t="s">
        <v>14</v>
      </c>
      <c r="P3033" s="49" t="s">
        <v>14</v>
      </c>
      <c r="Q3033" s="166"/>
      <c r="R3033" s="151"/>
    </row>
    <row r="3034" spans="1:18">
      <c r="A3034" s="166" t="s">
        <v>66</v>
      </c>
      <c r="B3034" s="166" t="s">
        <v>772</v>
      </c>
      <c r="C3034" s="135" t="s">
        <v>773</v>
      </c>
      <c r="D3034" s="161" t="s">
        <v>773</v>
      </c>
      <c r="E3034" s="161" t="s">
        <v>1640</v>
      </c>
      <c r="F3034" s="161" t="s">
        <v>6906</v>
      </c>
      <c r="G3034" s="163">
        <v>0</v>
      </c>
      <c r="H3034" s="163">
        <v>0</v>
      </c>
      <c r="I3034" s="173">
        <v>5.45</v>
      </c>
      <c r="J3034" s="173">
        <v>0</v>
      </c>
      <c r="K3034" s="173">
        <v>0</v>
      </c>
      <c r="L3034" s="172"/>
      <c r="M3034" s="161" t="s">
        <v>66</v>
      </c>
      <c r="N3034" s="161"/>
      <c r="O3034" s="161"/>
      <c r="P3034" s="49"/>
      <c r="Q3034" s="166"/>
      <c r="R3034" s="151"/>
    </row>
    <row r="3035" ht="30" spans="1:18">
      <c r="A3035" s="166" t="s">
        <v>66</v>
      </c>
      <c r="B3035" s="166" t="s">
        <v>772</v>
      </c>
      <c r="C3035" s="135" t="s">
        <v>6971</v>
      </c>
      <c r="D3035" s="161" t="s">
        <v>6972</v>
      </c>
      <c r="E3035" s="161" t="s">
        <v>1640</v>
      </c>
      <c r="F3035" s="161" t="s">
        <v>6973</v>
      </c>
      <c r="G3035" s="163">
        <v>0.3</v>
      </c>
      <c r="H3035" s="163">
        <v>0.3</v>
      </c>
      <c r="I3035" s="173"/>
      <c r="J3035" s="173">
        <v>141.566791316386</v>
      </c>
      <c r="K3035" s="173">
        <f>K3034+J3035</f>
        <v>141.566791316386</v>
      </c>
      <c r="L3035" s="172"/>
      <c r="M3035" s="161" t="s">
        <v>66</v>
      </c>
      <c r="N3035" s="161"/>
      <c r="O3035" s="161"/>
      <c r="P3035" s="49"/>
      <c r="Q3035" s="166"/>
      <c r="R3035" s="151"/>
    </row>
    <row r="3036" spans="1:18">
      <c r="A3036" s="166" t="s">
        <v>66</v>
      </c>
      <c r="B3036" s="166" t="s">
        <v>775</v>
      </c>
      <c r="C3036" s="135" t="s">
        <v>768</v>
      </c>
      <c r="D3036" s="161" t="s">
        <v>768</v>
      </c>
      <c r="E3036" s="161" t="s">
        <v>1640</v>
      </c>
      <c r="F3036" s="161" t="s">
        <v>6906</v>
      </c>
      <c r="G3036" s="163">
        <v>0</v>
      </c>
      <c r="H3036" s="163">
        <v>0</v>
      </c>
      <c r="I3036" s="173">
        <v>24.95</v>
      </c>
      <c r="J3036" s="173">
        <v>0</v>
      </c>
      <c r="K3036" s="173">
        <v>0</v>
      </c>
      <c r="L3036" s="172"/>
      <c r="M3036" s="161" t="s">
        <v>66</v>
      </c>
      <c r="N3036" s="161"/>
      <c r="O3036" s="161"/>
      <c r="P3036" s="49"/>
      <c r="Q3036" s="166"/>
      <c r="R3036" s="151"/>
    </row>
    <row r="3037" spans="1:18">
      <c r="A3037" s="166" t="s">
        <v>66</v>
      </c>
      <c r="B3037" s="166" t="s">
        <v>775</v>
      </c>
      <c r="C3037" s="135" t="s">
        <v>760</v>
      </c>
      <c r="D3037" s="161" t="s">
        <v>760</v>
      </c>
      <c r="E3037" s="161" t="s">
        <v>1640</v>
      </c>
      <c r="F3037" s="161" t="s">
        <v>2016</v>
      </c>
      <c r="G3037" s="163">
        <v>4.7</v>
      </c>
      <c r="H3037" s="163">
        <v>4.7</v>
      </c>
      <c r="I3037" s="173">
        <v>24.95</v>
      </c>
      <c r="J3037" s="173">
        <v>1249.26566995521</v>
      </c>
      <c r="K3037" s="173">
        <f>K3036+J3037</f>
        <v>1249.26566995521</v>
      </c>
      <c r="L3037" s="172"/>
      <c r="M3037" s="161" t="s">
        <v>6752</v>
      </c>
      <c r="N3037" s="161"/>
      <c r="O3037" s="161"/>
      <c r="P3037" s="49"/>
      <c r="Q3037" s="166"/>
      <c r="R3037" s="151"/>
    </row>
    <row r="3038" spans="1:18">
      <c r="A3038" s="166" t="s">
        <v>66</v>
      </c>
      <c r="B3038" s="166" t="s">
        <v>776</v>
      </c>
      <c r="C3038" s="135" t="s">
        <v>777</v>
      </c>
      <c r="D3038" s="161" t="s">
        <v>6974</v>
      </c>
      <c r="E3038" s="161" t="s">
        <v>1640</v>
      </c>
      <c r="F3038" s="161" t="s">
        <v>6942</v>
      </c>
      <c r="G3038" s="163">
        <v>0</v>
      </c>
      <c r="H3038" s="171">
        <v>0</v>
      </c>
      <c r="I3038" s="173">
        <v>45.85</v>
      </c>
      <c r="J3038" s="173">
        <v>0</v>
      </c>
      <c r="K3038" s="173">
        <v>0</v>
      </c>
      <c r="L3038" s="172"/>
      <c r="M3038" s="161" t="s">
        <v>66</v>
      </c>
      <c r="N3038" s="161"/>
      <c r="O3038" s="161"/>
      <c r="P3038" s="49"/>
      <c r="Q3038" s="166"/>
      <c r="R3038" s="151"/>
    </row>
    <row r="3039" spans="1:18">
      <c r="A3039" s="166" t="s">
        <v>66</v>
      </c>
      <c r="B3039" s="166" t="s">
        <v>776</v>
      </c>
      <c r="C3039" s="135" t="s">
        <v>778</v>
      </c>
      <c r="D3039" s="161" t="s">
        <v>778</v>
      </c>
      <c r="E3039" s="161" t="s">
        <v>1640</v>
      </c>
      <c r="F3039" s="161" t="s">
        <v>6751</v>
      </c>
      <c r="G3039" s="163">
        <v>9</v>
      </c>
      <c r="H3039" s="171">
        <v>9</v>
      </c>
      <c r="I3039" s="173"/>
      <c r="J3039" s="173">
        <v>2964.23392693515</v>
      </c>
      <c r="K3039" s="173">
        <v>3326</v>
      </c>
      <c r="L3039" s="172"/>
      <c r="M3039" s="161" t="s">
        <v>66</v>
      </c>
      <c r="N3039" s="161"/>
      <c r="O3039" s="161"/>
      <c r="P3039" s="49"/>
      <c r="Q3039" s="166"/>
      <c r="R3039" s="151"/>
    </row>
    <row r="3040" spans="1:18">
      <c r="A3040" s="166" t="s">
        <v>74</v>
      </c>
      <c r="B3040" s="166" t="s">
        <v>799</v>
      </c>
      <c r="C3040" s="135" t="s">
        <v>800</v>
      </c>
      <c r="D3040" s="161" t="s">
        <v>800</v>
      </c>
      <c r="E3040" s="161" t="s">
        <v>6840</v>
      </c>
      <c r="F3040" s="161"/>
      <c r="G3040" s="163">
        <v>0</v>
      </c>
      <c r="H3040" s="163">
        <v>0</v>
      </c>
      <c r="I3040" s="163">
        <v>4</v>
      </c>
      <c r="J3040" s="163">
        <v>0</v>
      </c>
      <c r="K3040" s="163">
        <v>0</v>
      </c>
      <c r="L3040" s="172"/>
      <c r="M3040" s="161" t="s">
        <v>6975</v>
      </c>
      <c r="N3040" s="161"/>
      <c r="O3040" s="161"/>
      <c r="P3040" s="49"/>
      <c r="Q3040" s="166"/>
      <c r="R3040" s="151"/>
    </row>
    <row r="3041" spans="1:18">
      <c r="A3041" s="166" t="s">
        <v>74</v>
      </c>
      <c r="B3041" s="166" t="s">
        <v>799</v>
      </c>
      <c r="C3041" s="84" t="s">
        <v>6976</v>
      </c>
      <c r="D3041" s="161" t="s">
        <v>6977</v>
      </c>
      <c r="E3041" s="161" t="s">
        <v>1640</v>
      </c>
      <c r="F3041" s="161" t="s">
        <v>4317</v>
      </c>
      <c r="G3041" s="163">
        <v>6.35</v>
      </c>
      <c r="H3041" s="163">
        <v>6.35</v>
      </c>
      <c r="I3041" s="176">
        <v>5.4</v>
      </c>
      <c r="J3041" s="176">
        <v>4611.60932372801</v>
      </c>
      <c r="K3041" s="176">
        <f>J3041</f>
        <v>4611.60932372801</v>
      </c>
      <c r="L3041" s="172"/>
      <c r="M3041" s="161" t="s">
        <v>6975</v>
      </c>
      <c r="N3041" s="161"/>
      <c r="O3041" s="161" t="s">
        <v>27</v>
      </c>
      <c r="P3041" s="49" t="s">
        <v>27</v>
      </c>
      <c r="Q3041" s="166"/>
      <c r="R3041" s="151"/>
    </row>
    <row r="3042" spans="1:18">
      <c r="A3042" s="166" t="s">
        <v>74</v>
      </c>
      <c r="B3042" s="166" t="s">
        <v>799</v>
      </c>
      <c r="C3042" s="84" t="s">
        <v>6978</v>
      </c>
      <c r="D3042" s="161" t="s">
        <v>6979</v>
      </c>
      <c r="E3042" s="161" t="s">
        <v>1640</v>
      </c>
      <c r="F3042" s="161" t="s">
        <v>4317</v>
      </c>
      <c r="G3042" s="163">
        <v>13.12815</v>
      </c>
      <c r="H3042" s="163">
        <v>6.77815</v>
      </c>
      <c r="I3042" s="176">
        <v>3.8</v>
      </c>
      <c r="J3042" s="176">
        <v>4922.54799017748</v>
      </c>
      <c r="K3042" s="176">
        <f t="shared" ref="K3042:K3048" si="236">J3042+K3041</f>
        <v>9534.15731390549</v>
      </c>
      <c r="L3042" s="172"/>
      <c r="M3042" s="161" t="s">
        <v>6975</v>
      </c>
      <c r="N3042" s="161"/>
      <c r="O3042" s="161" t="s">
        <v>27</v>
      </c>
      <c r="P3042" s="49" t="s">
        <v>27</v>
      </c>
      <c r="Q3042" s="166"/>
      <c r="R3042" s="151"/>
    </row>
    <row r="3043" spans="1:18">
      <c r="A3043" s="166" t="s">
        <v>74</v>
      </c>
      <c r="B3043" s="166" t="s">
        <v>799</v>
      </c>
      <c r="C3043" s="84" t="s">
        <v>6980</v>
      </c>
      <c r="D3043" s="161" t="s">
        <v>6981</v>
      </c>
      <c r="E3043" s="161" t="s">
        <v>1640</v>
      </c>
      <c r="F3043" s="161" t="s">
        <v>4317</v>
      </c>
      <c r="G3043" s="163">
        <v>17.86263</v>
      </c>
      <c r="H3043" s="163">
        <v>4.73448</v>
      </c>
      <c r="I3043" s="176">
        <v>3.4</v>
      </c>
      <c r="J3043" s="173">
        <v>3438.3578127565</v>
      </c>
      <c r="K3043" s="176">
        <f t="shared" si="236"/>
        <v>12972.515126662</v>
      </c>
      <c r="L3043" s="172"/>
      <c r="M3043" s="161" t="s">
        <v>6975</v>
      </c>
      <c r="N3043" s="161"/>
      <c r="O3043" s="161" t="s">
        <v>27</v>
      </c>
      <c r="P3043" s="49" t="s">
        <v>27</v>
      </c>
      <c r="Q3043" s="166"/>
      <c r="R3043" s="151"/>
    </row>
    <row r="3044" spans="1:18">
      <c r="A3044" s="166" t="s">
        <v>74</v>
      </c>
      <c r="B3044" s="166" t="s">
        <v>799</v>
      </c>
      <c r="C3044" s="84" t="s">
        <v>6982</v>
      </c>
      <c r="D3044" s="161" t="s">
        <v>6983</v>
      </c>
      <c r="E3044" s="161" t="s">
        <v>1640</v>
      </c>
      <c r="F3044" s="161" t="s">
        <v>4317</v>
      </c>
      <c r="G3044" s="163">
        <v>25.49986</v>
      </c>
      <c r="H3044" s="163">
        <v>7.63723</v>
      </c>
      <c r="I3044" s="176">
        <v>4.1</v>
      </c>
      <c r="J3044" s="176">
        <v>5546.44426385122</v>
      </c>
      <c r="K3044" s="176">
        <f t="shared" si="236"/>
        <v>18518.9593905132</v>
      </c>
      <c r="L3044" s="172"/>
      <c r="M3044" s="161" t="s">
        <v>6975</v>
      </c>
      <c r="N3044" s="161" t="s">
        <v>1299</v>
      </c>
      <c r="O3044" s="161" t="s">
        <v>25</v>
      </c>
      <c r="P3044" s="49" t="s">
        <v>25</v>
      </c>
      <c r="Q3044" s="166"/>
      <c r="R3044" s="151"/>
    </row>
    <row r="3045" spans="1:18">
      <c r="A3045" s="166" t="s">
        <v>74</v>
      </c>
      <c r="B3045" s="166" t="s">
        <v>799</v>
      </c>
      <c r="C3045" s="84" t="s">
        <v>6984</v>
      </c>
      <c r="D3045" s="161" t="s">
        <v>6985</v>
      </c>
      <c r="E3045" s="161" t="s">
        <v>1640</v>
      </c>
      <c r="F3045" s="161" t="s">
        <v>4317</v>
      </c>
      <c r="G3045" s="163">
        <v>30.25285</v>
      </c>
      <c r="H3045" s="163">
        <v>4.75299</v>
      </c>
      <c r="I3045" s="176">
        <v>2.6</v>
      </c>
      <c r="J3045" s="173">
        <v>3451.80047237574</v>
      </c>
      <c r="K3045" s="176">
        <f t="shared" si="236"/>
        <v>21970.759862889</v>
      </c>
      <c r="L3045" s="172"/>
      <c r="M3045" s="161" t="s">
        <v>6975</v>
      </c>
      <c r="N3045" s="161" t="s">
        <v>1299</v>
      </c>
      <c r="O3045" s="161" t="s">
        <v>25</v>
      </c>
      <c r="P3045" s="49" t="s">
        <v>25</v>
      </c>
      <c r="Q3045" s="166"/>
      <c r="R3045" s="151"/>
    </row>
    <row r="3046" spans="1:18">
      <c r="A3046" s="166" t="s">
        <v>74</v>
      </c>
      <c r="B3046" s="166" t="s">
        <v>799</v>
      </c>
      <c r="C3046" s="84" t="s">
        <v>6986</v>
      </c>
      <c r="D3046" s="161" t="s">
        <v>6987</v>
      </c>
      <c r="E3046" s="161" t="s">
        <v>1640</v>
      </c>
      <c r="F3046" s="161" t="s">
        <v>4317</v>
      </c>
      <c r="G3046" s="163">
        <v>56.87225</v>
      </c>
      <c r="H3046" s="163">
        <v>26.6194</v>
      </c>
      <c r="I3046" s="176">
        <v>2.9</v>
      </c>
      <c r="J3046" s="176">
        <v>19784.9638046105</v>
      </c>
      <c r="K3046" s="176">
        <f t="shared" si="236"/>
        <v>41755.7236674994</v>
      </c>
      <c r="L3046" s="172"/>
      <c r="M3046" s="161" t="s">
        <v>6975</v>
      </c>
      <c r="N3046" s="161" t="s">
        <v>1299</v>
      </c>
      <c r="O3046" s="161" t="s">
        <v>25</v>
      </c>
      <c r="P3046" s="49" t="s">
        <v>25</v>
      </c>
      <c r="Q3046" s="166"/>
      <c r="R3046" s="151"/>
    </row>
    <row r="3047" spans="1:18">
      <c r="A3047" s="166" t="s">
        <v>74</v>
      </c>
      <c r="B3047" s="166" t="s">
        <v>799</v>
      </c>
      <c r="C3047" s="84" t="s">
        <v>6988</v>
      </c>
      <c r="D3047" s="161" t="s">
        <v>6988</v>
      </c>
      <c r="E3047" s="161" t="s">
        <v>1640</v>
      </c>
      <c r="F3047" s="161" t="s">
        <v>4317</v>
      </c>
      <c r="G3047" s="163">
        <v>73.11425</v>
      </c>
      <c r="H3047" s="163">
        <v>16.242</v>
      </c>
      <c r="I3047" s="176">
        <v>2</v>
      </c>
      <c r="J3047" s="176">
        <v>12251.2818569089</v>
      </c>
      <c r="K3047" s="176">
        <f t="shared" si="236"/>
        <v>54007.0055244083</v>
      </c>
      <c r="L3047" s="172"/>
      <c r="M3047" s="161" t="s">
        <v>6975</v>
      </c>
      <c r="N3047" s="161"/>
      <c r="O3047" s="161" t="s">
        <v>27</v>
      </c>
      <c r="P3047" s="49" t="s">
        <v>27</v>
      </c>
      <c r="Q3047" s="166"/>
      <c r="R3047" s="151"/>
    </row>
    <row r="3048" spans="1:18">
      <c r="A3048" s="166" t="s">
        <v>74</v>
      </c>
      <c r="B3048" s="166" t="s">
        <v>799</v>
      </c>
      <c r="C3048" s="84" t="s">
        <v>801</v>
      </c>
      <c r="D3048" s="161" t="s">
        <v>801</v>
      </c>
      <c r="E3048" s="161" t="s">
        <v>1640</v>
      </c>
      <c r="F3048" s="161" t="s">
        <v>4317</v>
      </c>
      <c r="G3048" s="163">
        <v>87.796</v>
      </c>
      <c r="H3048" s="163">
        <v>14.51579</v>
      </c>
      <c r="I3048" s="176">
        <v>3.2</v>
      </c>
      <c r="J3048" s="173">
        <v>10949.2078971617</v>
      </c>
      <c r="K3048" s="176">
        <f t="shared" si="236"/>
        <v>64956.21342157</v>
      </c>
      <c r="L3048" s="172"/>
      <c r="M3048" s="161" t="s">
        <v>6975</v>
      </c>
      <c r="N3048" s="161"/>
      <c r="O3048" s="161" t="s">
        <v>14</v>
      </c>
      <c r="P3048" s="49" t="s">
        <v>14</v>
      </c>
      <c r="Q3048" s="166"/>
      <c r="R3048" s="151"/>
    </row>
    <row r="3049" spans="1:18">
      <c r="A3049" s="166" t="s">
        <v>74</v>
      </c>
      <c r="B3049" s="166" t="s">
        <v>803</v>
      </c>
      <c r="C3049" s="135" t="s">
        <v>801</v>
      </c>
      <c r="D3049" s="161" t="s">
        <v>801</v>
      </c>
      <c r="E3049" s="161" t="s">
        <v>1640</v>
      </c>
      <c r="F3049" s="161" t="s">
        <v>4317</v>
      </c>
      <c r="G3049" s="163">
        <v>0</v>
      </c>
      <c r="H3049" s="163">
        <v>0</v>
      </c>
      <c r="I3049" s="176">
        <v>3.2</v>
      </c>
      <c r="J3049" s="173">
        <v>0</v>
      </c>
      <c r="K3049" s="176">
        <v>0</v>
      </c>
      <c r="L3049" s="172"/>
      <c r="M3049" s="161" t="s">
        <v>6975</v>
      </c>
      <c r="N3049" s="161"/>
      <c r="O3049" s="161"/>
      <c r="P3049" s="49"/>
      <c r="Q3049" s="166"/>
      <c r="R3049" s="151"/>
    </row>
    <row r="3050" spans="1:18">
      <c r="A3050" s="166" t="s">
        <v>74</v>
      </c>
      <c r="B3050" s="166" t="s">
        <v>803</v>
      </c>
      <c r="C3050" s="84" t="s">
        <v>6989</v>
      </c>
      <c r="D3050" s="161" t="s">
        <v>6989</v>
      </c>
      <c r="E3050" s="161" t="s">
        <v>1640</v>
      </c>
      <c r="F3050" s="161" t="s">
        <v>4317</v>
      </c>
      <c r="G3050" s="163">
        <v>12.676</v>
      </c>
      <c r="H3050" s="163">
        <v>12.676</v>
      </c>
      <c r="I3050" s="176">
        <v>3.4</v>
      </c>
      <c r="J3050" s="173">
        <v>9561.09134897596</v>
      </c>
      <c r="K3050" s="176">
        <f>K3049+J3050</f>
        <v>9561.09134897596</v>
      </c>
      <c r="L3050" s="172"/>
      <c r="M3050" s="161" t="s">
        <v>6975</v>
      </c>
      <c r="N3050" s="161"/>
      <c r="O3050" s="161" t="s">
        <v>27</v>
      </c>
      <c r="P3050" s="49" t="s">
        <v>27</v>
      </c>
      <c r="Q3050" s="166"/>
      <c r="R3050" s="151"/>
    </row>
    <row r="3051" spans="1:18">
      <c r="A3051" s="166" t="s">
        <v>74</v>
      </c>
      <c r="B3051" s="166" t="s">
        <v>803</v>
      </c>
      <c r="C3051" s="84" t="s">
        <v>6990</v>
      </c>
      <c r="D3051" s="161" t="s">
        <v>6991</v>
      </c>
      <c r="E3051" s="161" t="s">
        <v>1640</v>
      </c>
      <c r="F3051" s="161" t="s">
        <v>4317</v>
      </c>
      <c r="G3051" s="163">
        <v>29.308</v>
      </c>
      <c r="H3051" s="163">
        <v>16.632</v>
      </c>
      <c r="I3051" s="176">
        <v>3.5</v>
      </c>
      <c r="J3051" s="173">
        <v>12545.1708137547</v>
      </c>
      <c r="K3051" s="176">
        <f t="shared" ref="K3051:K3064" si="237">K3050+J3051</f>
        <v>22106.2621627307</v>
      </c>
      <c r="L3051" s="172"/>
      <c r="M3051" s="161" t="s">
        <v>6975</v>
      </c>
      <c r="N3051" s="161" t="s">
        <v>1299</v>
      </c>
      <c r="O3051" s="161" t="s">
        <v>27</v>
      </c>
      <c r="P3051" s="49" t="s">
        <v>25</v>
      </c>
      <c r="Q3051" s="166"/>
      <c r="R3051" s="151"/>
    </row>
    <row r="3052" spans="1:18">
      <c r="A3052" s="166" t="s">
        <v>74</v>
      </c>
      <c r="B3052" s="166" t="s">
        <v>803</v>
      </c>
      <c r="C3052" s="84" t="s">
        <v>6992</v>
      </c>
      <c r="D3052" s="161" t="s">
        <v>6993</v>
      </c>
      <c r="E3052" s="161" t="s">
        <v>1640</v>
      </c>
      <c r="F3052" s="161" t="s">
        <v>4317</v>
      </c>
      <c r="G3052" s="163">
        <v>39.057</v>
      </c>
      <c r="H3052" s="163">
        <v>9.749</v>
      </c>
      <c r="I3052" s="176">
        <v>3.8</v>
      </c>
      <c r="J3052" s="173">
        <v>7353.29600702927</v>
      </c>
      <c r="K3052" s="176">
        <f t="shared" si="237"/>
        <v>29459.5581697599</v>
      </c>
      <c r="L3052" s="172"/>
      <c r="M3052" s="161" t="s">
        <v>6975</v>
      </c>
      <c r="N3052" s="161" t="s">
        <v>1299</v>
      </c>
      <c r="O3052" s="161" t="s">
        <v>25</v>
      </c>
      <c r="P3052" s="49" t="s">
        <v>25</v>
      </c>
      <c r="Q3052" s="166"/>
      <c r="R3052" s="151"/>
    </row>
    <row r="3053" spans="1:18">
      <c r="A3053" s="166" t="s">
        <v>74</v>
      </c>
      <c r="B3053" s="166" t="s">
        <v>803</v>
      </c>
      <c r="C3053" s="84" t="s">
        <v>6994</v>
      </c>
      <c r="D3053" s="161" t="s">
        <v>6995</v>
      </c>
      <c r="E3053" s="161" t="s">
        <v>1640</v>
      </c>
      <c r="F3053" s="161" t="s">
        <v>4317</v>
      </c>
      <c r="G3053" s="163">
        <v>49.755</v>
      </c>
      <c r="H3053" s="163">
        <v>10.698</v>
      </c>
      <c r="I3053" s="176">
        <v>8.9</v>
      </c>
      <c r="J3053" s="173">
        <v>8069.36464958566</v>
      </c>
      <c r="K3053" s="176">
        <f t="shared" si="237"/>
        <v>37528.9228193456</v>
      </c>
      <c r="L3053" s="172"/>
      <c r="M3053" s="161" t="s">
        <v>6975</v>
      </c>
      <c r="N3053" s="161" t="s">
        <v>1299</v>
      </c>
      <c r="O3053" s="161" t="s">
        <v>25</v>
      </c>
      <c r="P3053" s="49" t="s">
        <v>25</v>
      </c>
      <c r="Q3053" s="166"/>
      <c r="R3053" s="151"/>
    </row>
    <row r="3054" spans="1:18">
      <c r="A3054" s="166" t="s">
        <v>74</v>
      </c>
      <c r="B3054" s="166" t="s">
        <v>803</v>
      </c>
      <c r="C3054" s="84" t="s">
        <v>6996</v>
      </c>
      <c r="D3054" s="161" t="s">
        <v>6996</v>
      </c>
      <c r="E3054" s="161" t="s">
        <v>1640</v>
      </c>
      <c r="F3054" s="161" t="s">
        <v>4599</v>
      </c>
      <c r="G3054" s="163">
        <v>66.652</v>
      </c>
      <c r="H3054" s="163">
        <v>16.897</v>
      </c>
      <c r="I3054" s="176">
        <v>7.2</v>
      </c>
      <c r="J3054" s="173">
        <v>12745.4138746187</v>
      </c>
      <c r="K3054" s="176">
        <f t="shared" si="237"/>
        <v>50274.3366939643</v>
      </c>
      <c r="L3054" s="172"/>
      <c r="M3054" s="161" t="s">
        <v>6975</v>
      </c>
      <c r="N3054" s="161"/>
      <c r="O3054" s="161" t="s">
        <v>27</v>
      </c>
      <c r="P3054" s="49" t="s">
        <v>27</v>
      </c>
      <c r="Q3054" s="166"/>
      <c r="R3054" s="151"/>
    </row>
    <row r="3055" spans="1:18">
      <c r="A3055" s="166" t="s">
        <v>74</v>
      </c>
      <c r="B3055" s="166" t="s">
        <v>803</v>
      </c>
      <c r="C3055" s="84" t="s">
        <v>6997</v>
      </c>
      <c r="D3055" s="161" t="s">
        <v>6998</v>
      </c>
      <c r="E3055" s="161" t="s">
        <v>1640</v>
      </c>
      <c r="F3055" s="161" t="s">
        <v>4599</v>
      </c>
      <c r="G3055" s="163">
        <v>84.693</v>
      </c>
      <c r="H3055" s="163">
        <v>18.041</v>
      </c>
      <c r="I3055" s="176">
        <v>7.2</v>
      </c>
      <c r="J3055" s="173">
        <v>13409.0820640888</v>
      </c>
      <c r="K3055" s="176">
        <f t="shared" si="237"/>
        <v>63683.4187580531</v>
      </c>
      <c r="L3055" s="172"/>
      <c r="M3055" s="161" t="s">
        <v>6975</v>
      </c>
      <c r="N3055" s="161" t="s">
        <v>1299</v>
      </c>
      <c r="O3055" s="161" t="s">
        <v>27</v>
      </c>
      <c r="P3055" s="49" t="s">
        <v>27</v>
      </c>
      <c r="Q3055" s="166"/>
      <c r="R3055" s="151"/>
    </row>
    <row r="3056" spans="1:18">
      <c r="A3056" s="166" t="s">
        <v>74</v>
      </c>
      <c r="B3056" s="166" t="s">
        <v>803</v>
      </c>
      <c r="C3056" s="84" t="s">
        <v>4667</v>
      </c>
      <c r="D3056" s="161" t="s">
        <v>4667</v>
      </c>
      <c r="E3056" s="161" t="s">
        <v>1640</v>
      </c>
      <c r="F3056" s="161" t="s">
        <v>4599</v>
      </c>
      <c r="G3056" s="163">
        <v>97.511</v>
      </c>
      <c r="H3056" s="163">
        <v>12.818</v>
      </c>
      <c r="I3056" s="176">
        <v>7.2</v>
      </c>
      <c r="J3056" s="173">
        <v>9527.07615479549</v>
      </c>
      <c r="K3056" s="176">
        <f t="shared" si="237"/>
        <v>73210.4949128486</v>
      </c>
      <c r="L3056" s="172"/>
      <c r="M3056" s="161" t="s">
        <v>4601</v>
      </c>
      <c r="N3056" s="161" t="s">
        <v>1331</v>
      </c>
      <c r="O3056" s="161" t="s">
        <v>14</v>
      </c>
      <c r="P3056" s="49" t="s">
        <v>14</v>
      </c>
      <c r="Q3056" s="166" t="s">
        <v>4666</v>
      </c>
      <c r="R3056" s="151"/>
    </row>
    <row r="3057" spans="1:18">
      <c r="A3057" s="166" t="s">
        <v>74</v>
      </c>
      <c r="B3057" s="166" t="s">
        <v>803</v>
      </c>
      <c r="C3057" s="84" t="s">
        <v>6999</v>
      </c>
      <c r="D3057" s="161" t="s">
        <v>7000</v>
      </c>
      <c r="E3057" s="161" t="s">
        <v>1640</v>
      </c>
      <c r="F3057" s="161" t="s">
        <v>4599</v>
      </c>
      <c r="G3057" s="163">
        <v>116.36</v>
      </c>
      <c r="H3057" s="163">
        <v>18.849</v>
      </c>
      <c r="I3057" s="176">
        <v>6.4</v>
      </c>
      <c r="J3057" s="173">
        <v>6861.64652755539</v>
      </c>
      <c r="K3057" s="176">
        <f t="shared" si="237"/>
        <v>80072.141440404</v>
      </c>
      <c r="L3057" s="172"/>
      <c r="M3057" s="161" t="s">
        <v>6975</v>
      </c>
      <c r="N3057" s="161"/>
      <c r="O3057" s="161" t="s">
        <v>27</v>
      </c>
      <c r="P3057" s="49" t="s">
        <v>27</v>
      </c>
      <c r="Q3057" s="166"/>
      <c r="R3057" s="151"/>
    </row>
    <row r="3058" spans="1:18">
      <c r="A3058" s="166" t="s">
        <v>74</v>
      </c>
      <c r="B3058" s="166" t="s">
        <v>803</v>
      </c>
      <c r="C3058" s="84" t="s">
        <v>7001</v>
      </c>
      <c r="D3058" s="161" t="s">
        <v>7001</v>
      </c>
      <c r="E3058" s="161" t="s">
        <v>1640</v>
      </c>
      <c r="F3058" s="161" t="s">
        <v>4599</v>
      </c>
      <c r="G3058" s="163">
        <v>127.432</v>
      </c>
      <c r="H3058" s="163">
        <v>11.072</v>
      </c>
      <c r="I3058" s="176">
        <v>5.4</v>
      </c>
      <c r="J3058" s="176">
        <v>4030.57319602724</v>
      </c>
      <c r="K3058" s="176">
        <f t="shared" si="237"/>
        <v>84102.7146364312</v>
      </c>
      <c r="L3058" s="172"/>
      <c r="M3058" s="161" t="s">
        <v>6975</v>
      </c>
      <c r="N3058" s="161"/>
      <c r="O3058" s="161" t="s">
        <v>27</v>
      </c>
      <c r="P3058" s="49" t="s">
        <v>27</v>
      </c>
      <c r="Q3058" s="166"/>
      <c r="R3058" s="151"/>
    </row>
    <row r="3059" spans="1:18">
      <c r="A3059" s="166" t="s">
        <v>74</v>
      </c>
      <c r="B3059" s="166" t="s">
        <v>803</v>
      </c>
      <c r="C3059" s="84" t="s">
        <v>7002</v>
      </c>
      <c r="D3059" s="161" t="s">
        <v>7002</v>
      </c>
      <c r="E3059" s="161" t="s">
        <v>1640</v>
      </c>
      <c r="F3059" s="161" t="s">
        <v>4599</v>
      </c>
      <c r="G3059" s="163">
        <v>140.255</v>
      </c>
      <c r="H3059" s="163">
        <v>12.823</v>
      </c>
      <c r="I3059" s="176">
        <v>8.6</v>
      </c>
      <c r="J3059" s="173">
        <v>4667.95583846395</v>
      </c>
      <c r="K3059" s="176">
        <f t="shared" si="237"/>
        <v>88770.6704748952</v>
      </c>
      <c r="L3059" s="172"/>
      <c r="M3059" s="161" t="s">
        <v>6975</v>
      </c>
      <c r="N3059" s="161"/>
      <c r="O3059" s="161" t="s">
        <v>27</v>
      </c>
      <c r="P3059" s="49" t="s">
        <v>27</v>
      </c>
      <c r="Q3059" s="166"/>
      <c r="R3059" s="151"/>
    </row>
    <row r="3060" spans="1:18">
      <c r="A3060" s="166" t="s">
        <v>74</v>
      </c>
      <c r="B3060" s="166" t="s">
        <v>803</v>
      </c>
      <c r="C3060" s="84" t="s">
        <v>7003</v>
      </c>
      <c r="D3060" s="161" t="s">
        <v>7004</v>
      </c>
      <c r="E3060" s="161" t="s">
        <v>1640</v>
      </c>
      <c r="F3060" s="161" t="s">
        <v>4599</v>
      </c>
      <c r="G3060" s="163">
        <v>158.878</v>
      </c>
      <c r="H3060" s="163">
        <v>18.623</v>
      </c>
      <c r="I3060" s="176">
        <v>4.9</v>
      </c>
      <c r="J3060" s="173">
        <v>6879.26713764724</v>
      </c>
      <c r="K3060" s="176">
        <f t="shared" si="237"/>
        <v>95649.9376125424</v>
      </c>
      <c r="L3060" s="172"/>
      <c r="M3060" s="161" t="s">
        <v>6975</v>
      </c>
      <c r="N3060" s="161" t="s">
        <v>1299</v>
      </c>
      <c r="O3060" s="161" t="s">
        <v>25</v>
      </c>
      <c r="P3060" s="49" t="s">
        <v>25</v>
      </c>
      <c r="Q3060" s="166"/>
      <c r="R3060" s="151"/>
    </row>
    <row r="3061" spans="1:18">
      <c r="A3061" s="166" t="s">
        <v>74</v>
      </c>
      <c r="B3061" s="166" t="s">
        <v>803</v>
      </c>
      <c r="C3061" s="84" t="s">
        <v>7005</v>
      </c>
      <c r="D3061" s="161" t="s">
        <v>7006</v>
      </c>
      <c r="E3061" s="161" t="s">
        <v>1640</v>
      </c>
      <c r="F3061" s="161" t="s">
        <v>4599</v>
      </c>
      <c r="G3061" s="163">
        <v>177.146</v>
      </c>
      <c r="H3061" s="163">
        <v>18.268</v>
      </c>
      <c r="I3061" s="176">
        <v>3.2</v>
      </c>
      <c r="J3061" s="176">
        <v>6748.04512429206</v>
      </c>
      <c r="K3061" s="176">
        <f t="shared" si="237"/>
        <v>102397.982736834</v>
      </c>
      <c r="L3061" s="172"/>
      <c r="M3061" s="161" t="s">
        <v>6975</v>
      </c>
      <c r="N3061" s="161" t="s">
        <v>1299</v>
      </c>
      <c r="O3061" s="161" t="s">
        <v>25</v>
      </c>
      <c r="P3061" s="49" t="s">
        <v>25</v>
      </c>
      <c r="Q3061" s="166"/>
      <c r="R3061" s="151"/>
    </row>
    <row r="3062" spans="1:18">
      <c r="A3062" s="166" t="s">
        <v>74</v>
      </c>
      <c r="B3062" s="166" t="s">
        <v>803</v>
      </c>
      <c r="C3062" s="84" t="s">
        <v>7007</v>
      </c>
      <c r="D3062" s="161" t="s">
        <v>7007</v>
      </c>
      <c r="E3062" s="161" t="s">
        <v>1640</v>
      </c>
      <c r="F3062" s="161" t="s">
        <v>4599</v>
      </c>
      <c r="G3062" s="163">
        <v>193.437</v>
      </c>
      <c r="H3062" s="163">
        <v>16.291</v>
      </c>
      <c r="I3062" s="176">
        <v>2.9</v>
      </c>
      <c r="J3062" s="176">
        <v>6017.59537114155</v>
      </c>
      <c r="K3062" s="176">
        <f t="shared" si="237"/>
        <v>108415.578107976</v>
      </c>
      <c r="L3062" s="172"/>
      <c r="M3062" s="161" t="s">
        <v>6975</v>
      </c>
      <c r="N3062" s="161"/>
      <c r="O3062" s="161" t="s">
        <v>27</v>
      </c>
      <c r="P3062" s="49" t="s">
        <v>27</v>
      </c>
      <c r="Q3062" s="166"/>
      <c r="R3062" s="151"/>
    </row>
    <row r="3063" spans="1:18">
      <c r="A3063" s="166" t="s">
        <v>74</v>
      </c>
      <c r="B3063" s="166" t="s">
        <v>803</v>
      </c>
      <c r="C3063" s="84" t="s">
        <v>7008</v>
      </c>
      <c r="D3063" s="161" t="s">
        <v>7008</v>
      </c>
      <c r="E3063" s="161" t="s">
        <v>1640</v>
      </c>
      <c r="F3063" s="161" t="s">
        <v>4675</v>
      </c>
      <c r="G3063" s="163">
        <v>204.29</v>
      </c>
      <c r="H3063" s="163">
        <v>10.853</v>
      </c>
      <c r="I3063" s="176">
        <v>2.5</v>
      </c>
      <c r="J3063" s="173">
        <v>4008.9832190169</v>
      </c>
      <c r="K3063" s="176">
        <f t="shared" si="237"/>
        <v>112424.561326993</v>
      </c>
      <c r="L3063" s="172"/>
      <c r="M3063" s="161" t="s">
        <v>6975</v>
      </c>
      <c r="N3063" s="161"/>
      <c r="O3063" s="161" t="s">
        <v>27</v>
      </c>
      <c r="P3063" s="49" t="s">
        <v>27</v>
      </c>
      <c r="Q3063" s="166"/>
      <c r="R3063" s="151"/>
    </row>
    <row r="3064" spans="1:18">
      <c r="A3064" s="166" t="s">
        <v>74</v>
      </c>
      <c r="B3064" s="166" t="s">
        <v>803</v>
      </c>
      <c r="C3064" s="84" t="s">
        <v>804</v>
      </c>
      <c r="D3064" s="161" t="s">
        <v>804</v>
      </c>
      <c r="E3064" s="161" t="s">
        <v>1640</v>
      </c>
      <c r="F3064" s="161" t="s">
        <v>4675</v>
      </c>
      <c r="G3064" s="163">
        <v>222.66</v>
      </c>
      <c r="H3064" s="163">
        <v>18.37</v>
      </c>
      <c r="I3064" s="176">
        <v>3.3</v>
      </c>
      <c r="J3064" s="176">
        <v>6785.71549058516</v>
      </c>
      <c r="K3064" s="176">
        <f t="shared" si="237"/>
        <v>119210.276817578</v>
      </c>
      <c r="L3064" s="172"/>
      <c r="M3064" s="161" t="s">
        <v>6975</v>
      </c>
      <c r="N3064" s="161"/>
      <c r="O3064" s="161" t="s">
        <v>14</v>
      </c>
      <c r="P3064" s="49" t="s">
        <v>14</v>
      </c>
      <c r="Q3064" s="166"/>
      <c r="R3064" s="151"/>
    </row>
    <row r="3065" spans="1:18">
      <c r="A3065" s="166" t="s">
        <v>74</v>
      </c>
      <c r="B3065" s="166" t="s">
        <v>806</v>
      </c>
      <c r="C3065" s="135" t="s">
        <v>801</v>
      </c>
      <c r="D3065" s="161" t="s">
        <v>801</v>
      </c>
      <c r="E3065" s="161" t="s">
        <v>1640</v>
      </c>
      <c r="F3065" s="161" t="s">
        <v>4317</v>
      </c>
      <c r="G3065" s="163">
        <v>0</v>
      </c>
      <c r="H3065" s="163">
        <v>0</v>
      </c>
      <c r="I3065" s="176">
        <v>3.2</v>
      </c>
      <c r="J3065" s="176">
        <v>0</v>
      </c>
      <c r="K3065" s="176">
        <v>0</v>
      </c>
      <c r="L3065" s="172"/>
      <c r="M3065" s="161" t="s">
        <v>6975</v>
      </c>
      <c r="N3065" s="161"/>
      <c r="O3065" s="161"/>
      <c r="P3065" s="49"/>
      <c r="Q3065" s="166"/>
      <c r="R3065" s="151"/>
    </row>
    <row r="3066" spans="1:18">
      <c r="A3066" s="166" t="s">
        <v>74</v>
      </c>
      <c r="B3066" s="166" t="s">
        <v>806</v>
      </c>
      <c r="C3066" s="84" t="s">
        <v>7009</v>
      </c>
      <c r="D3066" s="161" t="s">
        <v>7009</v>
      </c>
      <c r="E3066" s="161" t="s">
        <v>1640</v>
      </c>
      <c r="F3066" s="161" t="s">
        <v>4317</v>
      </c>
      <c r="G3066" s="163">
        <v>13.893</v>
      </c>
      <c r="H3066" s="163">
        <f>G3066-G3065</f>
        <v>13.893</v>
      </c>
      <c r="I3066" s="176">
        <v>4.2</v>
      </c>
      <c r="J3066" s="176">
        <v>6625.01487489145</v>
      </c>
      <c r="K3066" s="176">
        <f>K3065+J3066</f>
        <v>6625.01487489145</v>
      </c>
      <c r="L3066" s="172"/>
      <c r="M3066" s="161" t="s">
        <v>6975</v>
      </c>
      <c r="N3066" s="161"/>
      <c r="O3066" s="161" t="s">
        <v>27</v>
      </c>
      <c r="P3066" s="49" t="s">
        <v>27</v>
      </c>
      <c r="Q3066" s="166"/>
      <c r="R3066" s="151"/>
    </row>
    <row r="3067" spans="1:18">
      <c r="A3067" s="166" t="s">
        <v>74</v>
      </c>
      <c r="B3067" s="166" t="s">
        <v>806</v>
      </c>
      <c r="C3067" s="84" t="s">
        <v>7010</v>
      </c>
      <c r="D3067" s="161" t="s">
        <v>7011</v>
      </c>
      <c r="E3067" s="161" t="s">
        <v>1640</v>
      </c>
      <c r="F3067" s="161" t="s">
        <v>6973</v>
      </c>
      <c r="G3067" s="163">
        <v>26.85</v>
      </c>
      <c r="H3067" s="163">
        <f t="shared" ref="H3067:H3082" si="238">G3067-G3066</f>
        <v>12.957</v>
      </c>
      <c r="I3067" s="176">
        <v>3.5</v>
      </c>
      <c r="J3067" s="176">
        <v>6218.31773822358</v>
      </c>
      <c r="K3067" s="176">
        <f>J3067+K3066</f>
        <v>12843.332613115</v>
      </c>
      <c r="L3067" s="172"/>
      <c r="M3067" s="161" t="s">
        <v>6975</v>
      </c>
      <c r="N3067" s="161" t="s">
        <v>1299</v>
      </c>
      <c r="O3067" s="161" t="s">
        <v>25</v>
      </c>
      <c r="P3067" s="49" t="s">
        <v>25</v>
      </c>
      <c r="Q3067" s="166"/>
      <c r="R3067" s="151"/>
    </row>
    <row r="3068" spans="1:18">
      <c r="A3068" s="166" t="s">
        <v>74</v>
      </c>
      <c r="B3068" s="166" t="s">
        <v>806</v>
      </c>
      <c r="C3068" s="84" t="s">
        <v>7012</v>
      </c>
      <c r="D3068" s="161" t="s">
        <v>7013</v>
      </c>
      <c r="E3068" s="161" t="s">
        <v>1640</v>
      </c>
      <c r="F3068" s="161" t="s">
        <v>6973</v>
      </c>
      <c r="G3068" s="163">
        <v>41.346</v>
      </c>
      <c r="H3068" s="163">
        <f t="shared" si="238"/>
        <v>14.496</v>
      </c>
      <c r="I3068" s="176">
        <v>3.1</v>
      </c>
      <c r="J3068" s="173">
        <v>6970.14933916085</v>
      </c>
      <c r="K3068" s="176">
        <f>J3068+K3067</f>
        <v>19813.4819522759</v>
      </c>
      <c r="L3068" s="172"/>
      <c r="M3068" s="161" t="s">
        <v>6975</v>
      </c>
      <c r="N3068" s="161" t="s">
        <v>1299</v>
      </c>
      <c r="O3068" s="161" t="s">
        <v>25</v>
      </c>
      <c r="P3068" s="49" t="s">
        <v>25</v>
      </c>
      <c r="Q3068" s="166"/>
      <c r="R3068" s="151"/>
    </row>
    <row r="3069" spans="1:18">
      <c r="A3069" s="166" t="s">
        <v>74</v>
      </c>
      <c r="B3069" s="166" t="s">
        <v>806</v>
      </c>
      <c r="C3069" s="84" t="s">
        <v>774</v>
      </c>
      <c r="D3069" s="161" t="s">
        <v>7014</v>
      </c>
      <c r="E3069" s="161" t="s">
        <v>1640</v>
      </c>
      <c r="F3069" s="161" t="s">
        <v>6973</v>
      </c>
      <c r="G3069" s="163">
        <v>60.014</v>
      </c>
      <c r="H3069" s="163">
        <f t="shared" si="238"/>
        <v>18.668</v>
      </c>
      <c r="I3069" s="176">
        <v>3.3</v>
      </c>
      <c r="J3069" s="176">
        <v>8982.80340426274</v>
      </c>
      <c r="K3069" s="176">
        <f t="shared" ref="K3069:K3082" si="239">J3069+K3068</f>
        <v>28796.2853565386</v>
      </c>
      <c r="L3069" s="172"/>
      <c r="M3069" s="161" t="s">
        <v>6975</v>
      </c>
      <c r="N3069" s="161"/>
      <c r="O3069" s="161" t="s">
        <v>14</v>
      </c>
      <c r="P3069" s="49" t="s">
        <v>14</v>
      </c>
      <c r="Q3069" s="166"/>
      <c r="R3069" s="151"/>
    </row>
    <row r="3070" spans="1:18">
      <c r="A3070" s="166" t="s">
        <v>74</v>
      </c>
      <c r="B3070" s="166" t="s">
        <v>806</v>
      </c>
      <c r="C3070" s="84" t="s">
        <v>4293</v>
      </c>
      <c r="D3070" s="161" t="s">
        <v>4294</v>
      </c>
      <c r="E3070" s="161" t="s">
        <v>1640</v>
      </c>
      <c r="F3070" s="161" t="s">
        <v>6973</v>
      </c>
      <c r="G3070" s="163">
        <v>76.351</v>
      </c>
      <c r="H3070" s="163">
        <f t="shared" si="238"/>
        <v>16.337</v>
      </c>
      <c r="I3070" s="176">
        <v>4</v>
      </c>
      <c r="J3070" s="173">
        <v>7856.93485736516</v>
      </c>
      <c r="K3070" s="176">
        <f t="shared" si="239"/>
        <v>36653.2202139038</v>
      </c>
      <c r="L3070" s="172"/>
      <c r="M3070" s="161" t="s">
        <v>4295</v>
      </c>
      <c r="N3070" s="161" t="s">
        <v>1299</v>
      </c>
      <c r="O3070" s="161" t="s">
        <v>25</v>
      </c>
      <c r="P3070" s="49" t="s">
        <v>25</v>
      </c>
      <c r="Q3070" s="166" t="s">
        <v>4268</v>
      </c>
      <c r="R3070" s="151"/>
    </row>
    <row r="3071" spans="1:18">
      <c r="A3071" s="166" t="s">
        <v>74</v>
      </c>
      <c r="B3071" s="166" t="s">
        <v>806</v>
      </c>
      <c r="C3071" s="84" t="s">
        <v>7015</v>
      </c>
      <c r="D3071" s="161" t="s">
        <v>7016</v>
      </c>
      <c r="E3071" s="161" t="s">
        <v>1640</v>
      </c>
      <c r="F3071" s="161" t="s">
        <v>6973</v>
      </c>
      <c r="G3071" s="163">
        <v>86.047</v>
      </c>
      <c r="H3071" s="163">
        <f t="shared" si="238"/>
        <v>9.696</v>
      </c>
      <c r="I3071" s="176">
        <v>6</v>
      </c>
      <c r="J3071" s="176">
        <v>4658.68012787376</v>
      </c>
      <c r="K3071" s="176">
        <f t="shared" si="239"/>
        <v>41311.9003417775</v>
      </c>
      <c r="L3071" s="172"/>
      <c r="M3071" s="161" t="s">
        <v>6975</v>
      </c>
      <c r="N3071" s="161" t="s">
        <v>1299</v>
      </c>
      <c r="O3071" s="161" t="s">
        <v>25</v>
      </c>
      <c r="P3071" s="49" t="s">
        <v>25</v>
      </c>
      <c r="Q3071" s="166"/>
      <c r="R3071" s="151"/>
    </row>
    <row r="3072" spans="1:18">
      <c r="A3072" s="166" t="s">
        <v>74</v>
      </c>
      <c r="B3072" s="166" t="s">
        <v>806</v>
      </c>
      <c r="C3072" s="84" t="s">
        <v>7017</v>
      </c>
      <c r="D3072" s="161" t="s">
        <v>7017</v>
      </c>
      <c r="E3072" s="161" t="s">
        <v>1640</v>
      </c>
      <c r="F3072" s="161" t="s">
        <v>6973</v>
      </c>
      <c r="G3072" s="163">
        <v>110.958</v>
      </c>
      <c r="H3072" s="163">
        <f t="shared" si="238"/>
        <v>24.911</v>
      </c>
      <c r="I3072" s="176">
        <v>6.6</v>
      </c>
      <c r="J3072" s="176">
        <v>12166.1432167318</v>
      </c>
      <c r="K3072" s="176">
        <f t="shared" si="239"/>
        <v>53478.0435585093</v>
      </c>
      <c r="L3072" s="172"/>
      <c r="M3072" s="161" t="s">
        <v>6975</v>
      </c>
      <c r="N3072" s="161"/>
      <c r="O3072" s="161" t="s">
        <v>14</v>
      </c>
      <c r="P3072" s="49" t="s">
        <v>14</v>
      </c>
      <c r="Q3072" s="166"/>
      <c r="R3072" s="151"/>
    </row>
    <row r="3073" spans="1:18">
      <c r="A3073" s="166" t="s">
        <v>74</v>
      </c>
      <c r="B3073" s="166" t="s">
        <v>806</v>
      </c>
      <c r="C3073" s="84" t="s">
        <v>7018</v>
      </c>
      <c r="D3073" s="161" t="s">
        <v>7019</v>
      </c>
      <c r="E3073" s="161" t="s">
        <v>1640</v>
      </c>
      <c r="F3073" s="161" t="s">
        <v>6973</v>
      </c>
      <c r="G3073" s="163">
        <v>127.833</v>
      </c>
      <c r="H3073" s="163">
        <f t="shared" si="238"/>
        <v>16.875</v>
      </c>
      <c r="I3073" s="176">
        <v>7.7</v>
      </c>
      <c r="J3073" s="173">
        <v>8120.04210797197</v>
      </c>
      <c r="K3073" s="176">
        <f t="shared" si="239"/>
        <v>61598.0856664813</v>
      </c>
      <c r="L3073" s="172"/>
      <c r="M3073" s="161" t="s">
        <v>6975</v>
      </c>
      <c r="N3073" s="161" t="s">
        <v>1299</v>
      </c>
      <c r="O3073" s="161" t="s">
        <v>25</v>
      </c>
      <c r="P3073" s="49" t="s">
        <v>25</v>
      </c>
      <c r="Q3073" s="166"/>
      <c r="R3073" s="151"/>
    </row>
    <row r="3074" spans="1:18">
      <c r="A3074" s="166" t="s">
        <v>74</v>
      </c>
      <c r="B3074" s="166" t="s">
        <v>806</v>
      </c>
      <c r="C3074" s="84" t="s">
        <v>7020</v>
      </c>
      <c r="D3074" s="161" t="s">
        <v>7021</v>
      </c>
      <c r="E3074" s="161" t="s">
        <v>1980</v>
      </c>
      <c r="F3074" s="161" t="s">
        <v>6973</v>
      </c>
      <c r="G3074" s="163">
        <v>137.481</v>
      </c>
      <c r="H3074" s="163">
        <f t="shared" si="238"/>
        <v>9.648</v>
      </c>
      <c r="I3074" s="176">
        <v>8.7</v>
      </c>
      <c r="J3074" s="176">
        <v>4654.6519410873</v>
      </c>
      <c r="K3074" s="176">
        <f t="shared" si="239"/>
        <v>66252.7376075686</v>
      </c>
      <c r="L3074" s="172"/>
      <c r="M3074" s="161" t="s">
        <v>6975</v>
      </c>
      <c r="N3074" s="161" t="s">
        <v>1299</v>
      </c>
      <c r="O3074" s="161" t="s">
        <v>25</v>
      </c>
      <c r="P3074" s="49" t="s">
        <v>25</v>
      </c>
      <c r="Q3074" s="166"/>
      <c r="R3074" s="151"/>
    </row>
    <row r="3075" spans="1:18">
      <c r="A3075" s="166" t="s">
        <v>74</v>
      </c>
      <c r="B3075" s="166" t="s">
        <v>806</v>
      </c>
      <c r="C3075" s="84" t="s">
        <v>7022</v>
      </c>
      <c r="D3075" s="161" t="s">
        <v>7022</v>
      </c>
      <c r="E3075" s="161" t="s">
        <v>1980</v>
      </c>
      <c r="F3075" s="161" t="s">
        <v>6973</v>
      </c>
      <c r="G3075" s="163">
        <v>146.671</v>
      </c>
      <c r="H3075" s="163">
        <f t="shared" si="238"/>
        <v>9.19</v>
      </c>
      <c r="I3075" s="176">
        <v>7.3</v>
      </c>
      <c r="J3075" s="173">
        <v>4432.82636010152</v>
      </c>
      <c r="K3075" s="176">
        <f t="shared" si="239"/>
        <v>70685.5639676701</v>
      </c>
      <c r="L3075" s="172"/>
      <c r="M3075" s="161" t="s">
        <v>6975</v>
      </c>
      <c r="N3075" s="161"/>
      <c r="O3075" s="161" t="s">
        <v>14</v>
      </c>
      <c r="P3075" s="49" t="s">
        <v>14</v>
      </c>
      <c r="Q3075" s="166"/>
      <c r="R3075" s="151"/>
    </row>
    <row r="3076" spans="1:18">
      <c r="A3076" s="166" t="s">
        <v>74</v>
      </c>
      <c r="B3076" s="166" t="s">
        <v>806</v>
      </c>
      <c r="C3076" s="84" t="s">
        <v>7023</v>
      </c>
      <c r="D3076" s="161" t="s">
        <v>7024</v>
      </c>
      <c r="E3076" s="161" t="s">
        <v>1980</v>
      </c>
      <c r="F3076" s="161" t="s">
        <v>6973</v>
      </c>
      <c r="G3076" s="163">
        <v>166.898</v>
      </c>
      <c r="H3076" s="163">
        <f t="shared" si="238"/>
        <v>20.227</v>
      </c>
      <c r="I3076" s="176">
        <v>7.4</v>
      </c>
      <c r="J3076" s="176">
        <v>9705.96436159752</v>
      </c>
      <c r="K3076" s="176">
        <f t="shared" si="239"/>
        <v>80391.5283292676</v>
      </c>
      <c r="L3076" s="172"/>
      <c r="M3076" s="161" t="s">
        <v>6975</v>
      </c>
      <c r="N3076" s="161" t="s">
        <v>1299</v>
      </c>
      <c r="O3076" s="161" t="s">
        <v>25</v>
      </c>
      <c r="P3076" s="49" t="s">
        <v>25</v>
      </c>
      <c r="Q3076" s="166"/>
      <c r="R3076" s="151"/>
    </row>
    <row r="3077" spans="1:18">
      <c r="A3077" s="166" t="s">
        <v>74</v>
      </c>
      <c r="B3077" s="166" t="s">
        <v>806</v>
      </c>
      <c r="C3077" s="84" t="s">
        <v>7025</v>
      </c>
      <c r="D3077" s="161" t="s">
        <v>7025</v>
      </c>
      <c r="E3077" s="161" t="s">
        <v>1980</v>
      </c>
      <c r="F3077" s="161" t="s">
        <v>6973</v>
      </c>
      <c r="G3077" s="163">
        <v>179.651</v>
      </c>
      <c r="H3077" s="163">
        <f t="shared" si="238"/>
        <v>12.753</v>
      </c>
      <c r="I3077" s="176">
        <v>6.3</v>
      </c>
      <c r="J3077" s="176">
        <v>6142.87859024054</v>
      </c>
      <c r="K3077" s="176">
        <f t="shared" si="239"/>
        <v>86534.4069195082</v>
      </c>
      <c r="L3077" s="172"/>
      <c r="M3077" s="161" t="s">
        <v>6975</v>
      </c>
      <c r="N3077" s="161"/>
      <c r="O3077" s="161" t="s">
        <v>27</v>
      </c>
      <c r="P3077" s="49" t="s">
        <v>27</v>
      </c>
      <c r="Q3077" s="166"/>
      <c r="R3077" s="151"/>
    </row>
    <row r="3078" spans="1:18">
      <c r="A3078" s="166" t="s">
        <v>74</v>
      </c>
      <c r="B3078" s="166" t="s">
        <v>806</v>
      </c>
      <c r="C3078" s="84" t="s">
        <v>7026</v>
      </c>
      <c r="D3078" s="161" t="s">
        <v>7026</v>
      </c>
      <c r="E3078" s="161" t="s">
        <v>1980</v>
      </c>
      <c r="F3078" s="161" t="s">
        <v>6973</v>
      </c>
      <c r="G3078" s="163">
        <v>199.354</v>
      </c>
      <c r="H3078" s="163">
        <f t="shared" si="238"/>
        <v>19.703</v>
      </c>
      <c r="I3078" s="176">
        <v>6.6</v>
      </c>
      <c r="J3078" s="173">
        <v>9511.30730659962</v>
      </c>
      <c r="K3078" s="176">
        <f t="shared" si="239"/>
        <v>96045.7142261078</v>
      </c>
      <c r="L3078" s="172"/>
      <c r="M3078" s="161" t="s">
        <v>6975</v>
      </c>
      <c r="N3078" s="161"/>
      <c r="O3078" s="161" t="s">
        <v>27</v>
      </c>
      <c r="P3078" s="49" t="s">
        <v>27</v>
      </c>
      <c r="Q3078" s="166"/>
      <c r="R3078" s="151"/>
    </row>
    <row r="3079" spans="1:18">
      <c r="A3079" s="166" t="s">
        <v>74</v>
      </c>
      <c r="B3079" s="166" t="s">
        <v>806</v>
      </c>
      <c r="C3079" s="84" t="s">
        <v>7027</v>
      </c>
      <c r="D3079" s="161" t="s">
        <v>7027</v>
      </c>
      <c r="E3079" s="161" t="s">
        <v>1980</v>
      </c>
      <c r="F3079" s="161" t="s">
        <v>6973</v>
      </c>
      <c r="G3079" s="163">
        <v>220.402</v>
      </c>
      <c r="H3079" s="163">
        <f t="shared" si="238"/>
        <v>21.048</v>
      </c>
      <c r="I3079" s="176">
        <v>7.3</v>
      </c>
      <c r="J3079" s="176">
        <v>10125.2000748813</v>
      </c>
      <c r="K3079" s="176">
        <f t="shared" si="239"/>
        <v>106170.914300989</v>
      </c>
      <c r="L3079" s="172"/>
      <c r="M3079" s="161" t="s">
        <v>6975</v>
      </c>
      <c r="N3079" s="161"/>
      <c r="O3079" s="161" t="s">
        <v>14</v>
      </c>
      <c r="P3079" s="49" t="s">
        <v>14</v>
      </c>
      <c r="Q3079" s="166"/>
      <c r="R3079" s="151"/>
    </row>
    <row r="3080" spans="1:18">
      <c r="A3080" s="166" t="s">
        <v>74</v>
      </c>
      <c r="B3080" s="166" t="s">
        <v>806</v>
      </c>
      <c r="C3080" s="84" t="s">
        <v>7028</v>
      </c>
      <c r="D3080" s="161" t="s">
        <v>7029</v>
      </c>
      <c r="E3080" s="161" t="s">
        <v>1980</v>
      </c>
      <c r="F3080" s="161" t="s">
        <v>6973</v>
      </c>
      <c r="G3080" s="163">
        <v>232.394</v>
      </c>
      <c r="H3080" s="163">
        <f t="shared" si="238"/>
        <v>11.992</v>
      </c>
      <c r="I3080" s="176">
        <v>8.6</v>
      </c>
      <c r="J3080" s="173">
        <v>5757.89695452227</v>
      </c>
      <c r="K3080" s="176">
        <f t="shared" si="239"/>
        <v>111928.811255511</v>
      </c>
      <c r="L3080" s="172"/>
      <c r="M3080" s="161" t="s">
        <v>6975</v>
      </c>
      <c r="N3080" s="161" t="s">
        <v>1299</v>
      </c>
      <c r="O3080" s="161" t="s">
        <v>25</v>
      </c>
      <c r="P3080" s="49" t="s">
        <v>25</v>
      </c>
      <c r="Q3080" s="166"/>
      <c r="R3080" s="151"/>
    </row>
    <row r="3081" spans="1:18">
      <c r="A3081" s="166" t="s">
        <v>74</v>
      </c>
      <c r="B3081" s="166" t="s">
        <v>806</v>
      </c>
      <c r="C3081" s="84" t="s">
        <v>7030</v>
      </c>
      <c r="D3081" s="161" t="s">
        <v>7030</v>
      </c>
      <c r="E3081" s="161" t="s">
        <v>1980</v>
      </c>
      <c r="F3081" s="161" t="s">
        <v>6973</v>
      </c>
      <c r="G3081" s="163">
        <v>249.269</v>
      </c>
      <c r="H3081" s="163">
        <f t="shared" si="238"/>
        <v>16.875</v>
      </c>
      <c r="I3081" s="176">
        <v>11.1</v>
      </c>
      <c r="J3081" s="173">
        <v>8119.99380837022</v>
      </c>
      <c r="K3081" s="176">
        <f t="shared" si="239"/>
        <v>120048.805063882</v>
      </c>
      <c r="L3081" s="172"/>
      <c r="M3081" s="161" t="s">
        <v>6975</v>
      </c>
      <c r="N3081" s="161"/>
      <c r="O3081" s="161" t="s">
        <v>27</v>
      </c>
      <c r="P3081" s="49" t="s">
        <v>27</v>
      </c>
      <c r="Q3081" s="166"/>
      <c r="R3081" s="151"/>
    </row>
    <row r="3082" spans="1:18">
      <c r="A3082" s="166" t="s">
        <v>74</v>
      </c>
      <c r="B3082" s="166" t="s">
        <v>806</v>
      </c>
      <c r="C3082" s="84" t="s">
        <v>807</v>
      </c>
      <c r="D3082" s="161" t="s">
        <v>807</v>
      </c>
      <c r="E3082" s="161" t="s">
        <v>1980</v>
      </c>
      <c r="F3082" s="161" t="s">
        <v>6973</v>
      </c>
      <c r="G3082" s="163">
        <v>266.336</v>
      </c>
      <c r="H3082" s="163">
        <f t="shared" si="238"/>
        <v>17.067</v>
      </c>
      <c r="I3082" s="176">
        <v>10.5</v>
      </c>
      <c r="J3082" s="176">
        <v>8184.3095580688</v>
      </c>
      <c r="K3082" s="176">
        <f t="shared" si="239"/>
        <v>128233.11462195</v>
      </c>
      <c r="L3082" s="172"/>
      <c r="M3082" s="161" t="s">
        <v>6975</v>
      </c>
      <c r="N3082" s="161"/>
      <c r="O3082" s="161" t="s">
        <v>15</v>
      </c>
      <c r="P3082" s="49" t="s">
        <v>15</v>
      </c>
      <c r="Q3082" s="166"/>
      <c r="R3082" s="151"/>
    </row>
    <row r="3083" s="154" customFormat="1" spans="1:18">
      <c r="A3083" s="166" t="s">
        <v>75</v>
      </c>
      <c r="B3083" s="166" t="s">
        <v>809</v>
      </c>
      <c r="C3083" s="135" t="s">
        <v>800</v>
      </c>
      <c r="D3083" s="186" t="s">
        <v>800</v>
      </c>
      <c r="E3083" s="164"/>
      <c r="F3083" s="164"/>
      <c r="G3083" s="163">
        <v>0</v>
      </c>
      <c r="H3083" s="163">
        <v>0</v>
      </c>
      <c r="I3083" s="176"/>
      <c r="J3083" s="163" t="s">
        <v>147</v>
      </c>
      <c r="K3083" s="176"/>
      <c r="L3083" s="172"/>
      <c r="M3083" s="161"/>
      <c r="N3083" s="161"/>
      <c r="O3083" s="161"/>
      <c r="P3083" s="49"/>
      <c r="Q3083" s="166"/>
      <c r="R3083" s="194"/>
    </row>
    <row r="3084" s="154" customFormat="1" spans="1:18">
      <c r="A3084" s="166" t="s">
        <v>75</v>
      </c>
      <c r="B3084" s="166" t="s">
        <v>809</v>
      </c>
      <c r="C3084" s="135" t="s">
        <v>7031</v>
      </c>
      <c r="D3084" s="186" t="s">
        <v>7031</v>
      </c>
      <c r="E3084" s="164"/>
      <c r="F3084" s="164"/>
      <c r="G3084" s="163">
        <v>6.28</v>
      </c>
      <c r="H3084" s="163"/>
      <c r="I3084" s="176"/>
      <c r="J3084" s="163"/>
      <c r="K3084" s="176"/>
      <c r="L3084" s="172"/>
      <c r="M3084" s="161"/>
      <c r="N3084" s="161"/>
      <c r="O3084" s="161"/>
      <c r="P3084" s="49"/>
      <c r="Q3084" s="166"/>
      <c r="R3084" s="194"/>
    </row>
    <row r="3085" s="154" customFormat="1" spans="1:18">
      <c r="A3085" s="166" t="s">
        <v>75</v>
      </c>
      <c r="B3085" s="166" t="s">
        <v>809</v>
      </c>
      <c r="C3085" s="135" t="s">
        <v>7032</v>
      </c>
      <c r="D3085" s="186" t="s">
        <v>7033</v>
      </c>
      <c r="E3085" s="164"/>
      <c r="F3085" s="164"/>
      <c r="G3085" s="163">
        <v>6.466</v>
      </c>
      <c r="H3085" s="163" t="s">
        <v>147</v>
      </c>
      <c r="I3085" s="176"/>
      <c r="J3085" s="163" t="s">
        <v>147</v>
      </c>
      <c r="K3085" s="176"/>
      <c r="L3085" s="172"/>
      <c r="M3085" s="161"/>
      <c r="N3085" s="161" t="s">
        <v>1299</v>
      </c>
      <c r="O3085" s="161"/>
      <c r="P3085" s="49"/>
      <c r="Q3085" s="166"/>
      <c r="R3085" s="194"/>
    </row>
    <row r="3086" s="154" customFormat="1" spans="1:18">
      <c r="A3086" s="166" t="s">
        <v>75</v>
      </c>
      <c r="B3086" s="166" t="s">
        <v>809</v>
      </c>
      <c r="C3086" s="135" t="s">
        <v>7034</v>
      </c>
      <c r="D3086" s="186" t="s">
        <v>7035</v>
      </c>
      <c r="E3086" s="164"/>
      <c r="F3086" s="164"/>
      <c r="G3086" s="163">
        <v>13.345</v>
      </c>
      <c r="H3086" s="163" t="s">
        <v>147</v>
      </c>
      <c r="I3086" s="176"/>
      <c r="J3086" s="163" t="s">
        <v>147</v>
      </c>
      <c r="K3086" s="176"/>
      <c r="L3086" s="172"/>
      <c r="M3086" s="161"/>
      <c r="N3086" s="161" t="s">
        <v>1299</v>
      </c>
      <c r="O3086" s="161"/>
      <c r="P3086" s="49"/>
      <c r="Q3086" s="166"/>
      <c r="R3086" s="194"/>
    </row>
    <row r="3087" s="154" customFormat="1" spans="1:18">
      <c r="A3087" s="166" t="s">
        <v>75</v>
      </c>
      <c r="B3087" s="166" t="s">
        <v>809</v>
      </c>
      <c r="C3087" s="135" t="s">
        <v>7036</v>
      </c>
      <c r="D3087" s="186" t="s">
        <v>7037</v>
      </c>
      <c r="E3087" s="164"/>
      <c r="F3087" s="164"/>
      <c r="G3087" s="163">
        <v>21.42</v>
      </c>
      <c r="H3087" s="163" t="s">
        <v>147</v>
      </c>
      <c r="I3087" s="176"/>
      <c r="J3087" s="163" t="s">
        <v>147</v>
      </c>
      <c r="K3087" s="176"/>
      <c r="L3087" s="172"/>
      <c r="M3087" s="161"/>
      <c r="N3087" s="161" t="s">
        <v>1299</v>
      </c>
      <c r="O3087" s="161"/>
      <c r="P3087" s="49"/>
      <c r="Q3087" s="166"/>
      <c r="R3087" s="194"/>
    </row>
    <row r="3088" s="154" customFormat="1" spans="1:18">
      <c r="A3088" s="166" t="s">
        <v>75</v>
      </c>
      <c r="B3088" s="166" t="s">
        <v>809</v>
      </c>
      <c r="C3088" s="135" t="s">
        <v>7038</v>
      </c>
      <c r="D3088" s="186" t="s">
        <v>7039</v>
      </c>
      <c r="E3088" s="164"/>
      <c r="F3088" s="164"/>
      <c r="G3088" s="163">
        <v>24.921</v>
      </c>
      <c r="H3088" s="163" t="s">
        <v>147</v>
      </c>
      <c r="I3088" s="176"/>
      <c r="J3088" s="163" t="s">
        <v>147</v>
      </c>
      <c r="K3088" s="176"/>
      <c r="L3088" s="172"/>
      <c r="M3088" s="161"/>
      <c r="N3088" s="161" t="s">
        <v>1299</v>
      </c>
      <c r="O3088" s="161"/>
      <c r="P3088" s="49"/>
      <c r="Q3088" s="166"/>
      <c r="R3088" s="194"/>
    </row>
    <row r="3089" s="154" customFormat="1" spans="1:18">
      <c r="A3089" s="166" t="s">
        <v>75</v>
      </c>
      <c r="B3089" s="166" t="s">
        <v>809</v>
      </c>
      <c r="C3089" s="135" t="s">
        <v>7040</v>
      </c>
      <c r="D3089" s="186" t="s">
        <v>7041</v>
      </c>
      <c r="E3089" s="164"/>
      <c r="F3089" s="164"/>
      <c r="G3089" s="163">
        <v>33.801</v>
      </c>
      <c r="H3089" s="163" t="s">
        <v>147</v>
      </c>
      <c r="I3089" s="176"/>
      <c r="J3089" s="163" t="s">
        <v>147</v>
      </c>
      <c r="K3089" s="176"/>
      <c r="L3089" s="172"/>
      <c r="M3089" s="161"/>
      <c r="N3089" s="161" t="s">
        <v>1299</v>
      </c>
      <c r="O3089" s="161"/>
      <c r="P3089" s="49"/>
      <c r="Q3089" s="166"/>
      <c r="R3089" s="194"/>
    </row>
    <row r="3090" s="149" customFormat="1" spans="1:18">
      <c r="A3090" s="166" t="s">
        <v>75</v>
      </c>
      <c r="B3090" s="166" t="s">
        <v>811</v>
      </c>
      <c r="C3090" s="84" t="s">
        <v>810</v>
      </c>
      <c r="D3090" s="186" t="s">
        <v>810</v>
      </c>
      <c r="E3090" s="164"/>
      <c r="F3090" s="164"/>
      <c r="G3090" s="163">
        <v>47.601</v>
      </c>
      <c r="H3090" s="163" t="s">
        <v>147</v>
      </c>
      <c r="I3090" s="176"/>
      <c r="J3090" s="163" t="s">
        <v>147</v>
      </c>
      <c r="K3090" s="176"/>
      <c r="L3090" s="172"/>
      <c r="M3090" s="161"/>
      <c r="N3090" s="161"/>
      <c r="O3090" s="161"/>
      <c r="P3090" s="49" t="s">
        <v>14</v>
      </c>
      <c r="Q3090" s="192" t="s">
        <v>7042</v>
      </c>
      <c r="R3090" s="151"/>
    </row>
    <row r="3091" s="150" customFormat="1" spans="1:18">
      <c r="A3091" s="166" t="s">
        <v>75</v>
      </c>
      <c r="B3091" s="166" t="s">
        <v>811</v>
      </c>
      <c r="C3091" s="84" t="s">
        <v>7043</v>
      </c>
      <c r="D3091" s="186" t="s">
        <v>7044</v>
      </c>
      <c r="E3091" s="164"/>
      <c r="F3091" s="164"/>
      <c r="G3091" s="163">
        <v>59.061</v>
      </c>
      <c r="H3091" s="163">
        <f t="shared" ref="H3091:H3096" si="240">G3091-G3090</f>
        <v>11.46</v>
      </c>
      <c r="I3091" s="176"/>
      <c r="J3091" s="176">
        <v>10231.7</v>
      </c>
      <c r="K3091" s="176"/>
      <c r="L3091" s="172"/>
      <c r="M3091" s="161"/>
      <c r="N3091" s="161" t="s">
        <v>1299</v>
      </c>
      <c r="O3091" s="161"/>
      <c r="P3091" s="49" t="s">
        <v>25</v>
      </c>
      <c r="Q3091" s="166" t="s">
        <v>7045</v>
      </c>
      <c r="R3091" s="22"/>
    </row>
    <row r="3092" s="150" customFormat="1" spans="1:18">
      <c r="A3092" s="166" t="s">
        <v>75</v>
      </c>
      <c r="B3092" s="166" t="s">
        <v>811</v>
      </c>
      <c r="C3092" s="84" t="s">
        <v>7046</v>
      </c>
      <c r="D3092" s="186" t="s">
        <v>7046</v>
      </c>
      <c r="E3092" s="164"/>
      <c r="F3092" s="164"/>
      <c r="G3092" s="163">
        <v>67.834</v>
      </c>
      <c r="H3092" s="163">
        <f t="shared" si="240"/>
        <v>8.773</v>
      </c>
      <c r="I3092" s="176"/>
      <c r="J3092" s="176">
        <v>11693.3</v>
      </c>
      <c r="K3092" s="176"/>
      <c r="L3092" s="172"/>
      <c r="M3092" s="161"/>
      <c r="N3092" s="161"/>
      <c r="O3092" s="161"/>
      <c r="P3092" s="49" t="s">
        <v>14</v>
      </c>
      <c r="Q3092" s="166" t="s">
        <v>7047</v>
      </c>
      <c r="R3092" s="22"/>
    </row>
    <row r="3093" s="150" customFormat="1" spans="1:18">
      <c r="A3093" s="166" t="s">
        <v>75</v>
      </c>
      <c r="B3093" s="166" t="s">
        <v>811</v>
      </c>
      <c r="C3093" s="84" t="s">
        <v>7048</v>
      </c>
      <c r="D3093" s="186" t="s">
        <v>7049</v>
      </c>
      <c r="E3093" s="164"/>
      <c r="F3093" s="164"/>
      <c r="G3093" s="163">
        <v>80.374</v>
      </c>
      <c r="H3093" s="163">
        <f t="shared" si="240"/>
        <v>12.54</v>
      </c>
      <c r="I3093" s="176"/>
      <c r="J3093" s="176">
        <v>10882.7</v>
      </c>
      <c r="K3093" s="176"/>
      <c r="L3093" s="172"/>
      <c r="M3093" s="161"/>
      <c r="N3093" s="161" t="s">
        <v>1299</v>
      </c>
      <c r="O3093" s="161"/>
      <c r="P3093" s="49" t="s">
        <v>25</v>
      </c>
      <c r="Q3093" s="166" t="s">
        <v>7047</v>
      </c>
      <c r="R3093" s="22"/>
    </row>
    <row r="3094" s="150" customFormat="1" spans="1:18">
      <c r="A3094" s="166" t="s">
        <v>75</v>
      </c>
      <c r="B3094" s="166" t="s">
        <v>811</v>
      </c>
      <c r="C3094" s="84" t="s">
        <v>7050</v>
      </c>
      <c r="D3094" s="186" t="s">
        <v>7050</v>
      </c>
      <c r="E3094" s="164"/>
      <c r="F3094" s="164"/>
      <c r="G3094" s="163">
        <v>98.948</v>
      </c>
      <c r="H3094" s="163">
        <f t="shared" si="240"/>
        <v>18.574</v>
      </c>
      <c r="I3094" s="176"/>
      <c r="J3094" s="176">
        <v>12619.3</v>
      </c>
      <c r="K3094" s="176"/>
      <c r="L3094" s="172"/>
      <c r="M3094" s="161"/>
      <c r="N3094" s="161"/>
      <c r="O3094" s="161"/>
      <c r="P3094" s="49" t="s">
        <v>14</v>
      </c>
      <c r="Q3094" s="166" t="s">
        <v>7051</v>
      </c>
      <c r="R3094" s="22"/>
    </row>
    <row r="3095" s="150" customFormat="1" spans="1:18">
      <c r="A3095" s="166" t="s">
        <v>75</v>
      </c>
      <c r="B3095" s="166" t="s">
        <v>811</v>
      </c>
      <c r="C3095" s="84" t="s">
        <v>7052</v>
      </c>
      <c r="D3095" s="186" t="s">
        <v>7053</v>
      </c>
      <c r="E3095" s="164"/>
      <c r="F3095" s="164"/>
      <c r="G3095" s="163">
        <v>107.854</v>
      </c>
      <c r="H3095" s="163">
        <f t="shared" si="240"/>
        <v>8.90600000000001</v>
      </c>
      <c r="I3095" s="176"/>
      <c r="J3095" s="176">
        <v>8821.7</v>
      </c>
      <c r="K3095" s="176"/>
      <c r="L3095" s="172"/>
      <c r="M3095" s="161"/>
      <c r="N3095" s="161" t="s">
        <v>1299</v>
      </c>
      <c r="O3095" s="161"/>
      <c r="P3095" s="49" t="s">
        <v>25</v>
      </c>
      <c r="Q3095" s="166" t="s">
        <v>7054</v>
      </c>
      <c r="R3095" s="22"/>
    </row>
    <row r="3096" s="155" customFormat="1" ht="45" spans="1:18">
      <c r="A3096" s="166" t="s">
        <v>75</v>
      </c>
      <c r="B3096" s="166" t="s">
        <v>811</v>
      </c>
      <c r="C3096" s="135" t="s">
        <v>812</v>
      </c>
      <c r="D3096" s="186" t="s">
        <v>812</v>
      </c>
      <c r="E3096" s="164"/>
      <c r="F3096" s="164"/>
      <c r="G3096" s="163">
        <v>123.73</v>
      </c>
      <c r="H3096" s="163">
        <f t="shared" si="240"/>
        <v>15.876</v>
      </c>
      <c r="I3096" s="176"/>
      <c r="J3096" s="176">
        <v>9906.3</v>
      </c>
      <c r="K3096" s="176"/>
      <c r="L3096" s="172" t="s">
        <v>7055</v>
      </c>
      <c r="M3096" s="161"/>
      <c r="N3096" s="161"/>
      <c r="O3096" s="161"/>
      <c r="P3096" s="49"/>
      <c r="Q3096" s="166" t="s">
        <v>7056</v>
      </c>
      <c r="R3096" s="22"/>
    </row>
    <row r="3097" spans="1:18">
      <c r="A3097" s="166" t="s">
        <v>76</v>
      </c>
      <c r="B3097" s="166" t="s">
        <v>794</v>
      </c>
      <c r="C3097" s="135" t="s">
        <v>778</v>
      </c>
      <c r="D3097" s="161" t="s">
        <v>778</v>
      </c>
      <c r="E3097" s="161" t="s">
        <v>1640</v>
      </c>
      <c r="F3097" s="161" t="s">
        <v>7057</v>
      </c>
      <c r="G3097" s="171">
        <v>0</v>
      </c>
      <c r="H3097" s="163">
        <v>0</v>
      </c>
      <c r="I3097" s="176">
        <v>47.3</v>
      </c>
      <c r="J3097" s="176">
        <v>0</v>
      </c>
      <c r="K3097" s="176">
        <v>0</v>
      </c>
      <c r="L3097" s="172"/>
      <c r="M3097" s="161" t="s">
        <v>66</v>
      </c>
      <c r="N3097" s="161"/>
      <c r="O3097" s="161"/>
      <c r="P3097" s="49"/>
      <c r="Q3097" s="166"/>
      <c r="R3097" s="151"/>
    </row>
    <row r="3098" spans="1:18">
      <c r="A3098" s="166" t="s">
        <v>76</v>
      </c>
      <c r="B3098" s="166" t="s">
        <v>794</v>
      </c>
      <c r="C3098" s="86" t="s">
        <v>7058</v>
      </c>
      <c r="D3098" s="161" t="s">
        <v>1811</v>
      </c>
      <c r="E3098" s="161" t="s">
        <v>1640</v>
      </c>
      <c r="F3098" s="161" t="s">
        <v>7057</v>
      </c>
      <c r="G3098" s="171">
        <v>18.565</v>
      </c>
      <c r="H3098" s="163">
        <f>G3098-G3097</f>
        <v>18.565</v>
      </c>
      <c r="I3098" s="176">
        <v>49.8</v>
      </c>
      <c r="J3098" s="176">
        <v>6898.32229299387</v>
      </c>
      <c r="K3098" s="176">
        <v>6898.32229299387</v>
      </c>
      <c r="L3098" s="172"/>
      <c r="M3098" s="161" t="s">
        <v>7059</v>
      </c>
      <c r="N3098" s="161"/>
      <c r="O3098" s="161" t="s">
        <v>26</v>
      </c>
      <c r="P3098" s="49" t="s">
        <v>26</v>
      </c>
      <c r="Q3098" s="166"/>
      <c r="R3098" s="151"/>
    </row>
    <row r="3099" spans="1:18">
      <c r="A3099" s="166" t="s">
        <v>76</v>
      </c>
      <c r="B3099" s="166" t="s">
        <v>794</v>
      </c>
      <c r="C3099" s="86" t="s">
        <v>7060</v>
      </c>
      <c r="D3099" s="161" t="s">
        <v>7060</v>
      </c>
      <c r="E3099" s="161" t="s">
        <v>1640</v>
      </c>
      <c r="F3099" s="161" t="s">
        <v>7057</v>
      </c>
      <c r="G3099" s="171">
        <v>32.321</v>
      </c>
      <c r="H3099" s="163">
        <f t="shared" ref="H3099:H3110" si="241">G3099-G3098</f>
        <v>13.756</v>
      </c>
      <c r="I3099" s="173">
        <v>48.8</v>
      </c>
      <c r="J3099" s="176">
        <v>5118.11008835029</v>
      </c>
      <c r="K3099" s="176">
        <v>12016.4323813442</v>
      </c>
      <c r="L3099" s="172"/>
      <c r="M3099" s="161" t="s">
        <v>7059</v>
      </c>
      <c r="N3099" s="161"/>
      <c r="O3099" s="161" t="s">
        <v>14</v>
      </c>
      <c r="P3099" s="49" t="s">
        <v>14</v>
      </c>
      <c r="Q3099" s="166"/>
      <c r="R3099" s="151"/>
    </row>
    <row r="3100" spans="1:18">
      <c r="A3100" s="166" t="s">
        <v>76</v>
      </c>
      <c r="B3100" s="166" t="s">
        <v>794</v>
      </c>
      <c r="C3100" s="86" t="s">
        <v>7061</v>
      </c>
      <c r="D3100" s="161" t="s">
        <v>1815</v>
      </c>
      <c r="E3100" s="161" t="s">
        <v>1640</v>
      </c>
      <c r="F3100" s="161" t="s">
        <v>7057</v>
      </c>
      <c r="G3100" s="171">
        <v>46.668</v>
      </c>
      <c r="H3100" s="163">
        <f t="shared" si="241"/>
        <v>14.347</v>
      </c>
      <c r="I3100" s="176">
        <v>51.6</v>
      </c>
      <c r="J3100" s="176">
        <v>5303.54885966733</v>
      </c>
      <c r="K3100" s="176">
        <v>17319.9812410115</v>
      </c>
      <c r="L3100" s="172"/>
      <c r="M3100" s="161" t="s">
        <v>7059</v>
      </c>
      <c r="N3100" s="161"/>
      <c r="O3100" s="161" t="s">
        <v>26</v>
      </c>
      <c r="P3100" s="49" t="s">
        <v>26</v>
      </c>
      <c r="Q3100" s="166"/>
      <c r="R3100" s="151"/>
    </row>
    <row r="3101" spans="1:18">
      <c r="A3101" s="166" t="s">
        <v>76</v>
      </c>
      <c r="B3101" s="166" t="s">
        <v>794</v>
      </c>
      <c r="C3101" s="86" t="s">
        <v>7062</v>
      </c>
      <c r="D3101" s="161" t="s">
        <v>1210</v>
      </c>
      <c r="E3101" s="161" t="s">
        <v>1640</v>
      </c>
      <c r="F3101" s="161" t="s">
        <v>7057</v>
      </c>
      <c r="G3101" s="171">
        <v>60.213</v>
      </c>
      <c r="H3101" s="163">
        <f t="shared" si="241"/>
        <v>13.545</v>
      </c>
      <c r="I3101" s="173">
        <v>54.4</v>
      </c>
      <c r="J3101" s="176">
        <v>4983.8492892456</v>
      </c>
      <c r="K3101" s="176">
        <v>22303.8305302571</v>
      </c>
      <c r="L3101" s="172"/>
      <c r="M3101" s="161" t="s">
        <v>7059</v>
      </c>
      <c r="N3101" s="161"/>
      <c r="O3101" s="161" t="s">
        <v>26</v>
      </c>
      <c r="P3101" s="49" t="s">
        <v>26</v>
      </c>
      <c r="Q3101" s="166"/>
      <c r="R3101" s="151"/>
    </row>
    <row r="3102" spans="1:18">
      <c r="A3102" s="166" t="s">
        <v>76</v>
      </c>
      <c r="B3102" s="166" t="s">
        <v>794</v>
      </c>
      <c r="C3102" s="86" t="s">
        <v>7063</v>
      </c>
      <c r="D3102" s="161" t="s">
        <v>1307</v>
      </c>
      <c r="E3102" s="161" t="s">
        <v>1640</v>
      </c>
      <c r="F3102" s="161" t="s">
        <v>7057</v>
      </c>
      <c r="G3102" s="171">
        <v>72.596</v>
      </c>
      <c r="H3102" s="163">
        <f t="shared" si="241"/>
        <v>12.383</v>
      </c>
      <c r="I3102" s="176">
        <v>56.7</v>
      </c>
      <c r="J3102" s="176">
        <v>4577.75786567744</v>
      </c>
      <c r="K3102" s="176">
        <v>26881.5883959345</v>
      </c>
      <c r="L3102" s="172"/>
      <c r="M3102" s="161" t="s">
        <v>7059</v>
      </c>
      <c r="N3102" s="161" t="s">
        <v>1299</v>
      </c>
      <c r="O3102" s="161" t="s">
        <v>25</v>
      </c>
      <c r="P3102" s="49" t="s">
        <v>25</v>
      </c>
      <c r="Q3102" s="166"/>
      <c r="R3102" s="151"/>
    </row>
    <row r="3103" spans="1:18">
      <c r="A3103" s="166" t="s">
        <v>76</v>
      </c>
      <c r="B3103" s="166" t="s">
        <v>794</v>
      </c>
      <c r="C3103" s="86" t="s">
        <v>7064</v>
      </c>
      <c r="D3103" s="161" t="s">
        <v>1311</v>
      </c>
      <c r="E3103" s="161" t="s">
        <v>1640</v>
      </c>
      <c r="F3103" s="161" t="s">
        <v>7065</v>
      </c>
      <c r="G3103" s="171">
        <v>84.737</v>
      </c>
      <c r="H3103" s="163">
        <f t="shared" si="241"/>
        <v>12.141</v>
      </c>
      <c r="I3103" s="176">
        <v>57.1</v>
      </c>
      <c r="J3103" s="176">
        <v>4343.29843051257</v>
      </c>
      <c r="K3103" s="176">
        <v>31224.8868264471</v>
      </c>
      <c r="L3103" s="172"/>
      <c r="M3103" s="161" t="s">
        <v>7059</v>
      </c>
      <c r="N3103" s="161" t="s">
        <v>1299</v>
      </c>
      <c r="O3103" s="161" t="s">
        <v>25</v>
      </c>
      <c r="P3103" s="49" t="s">
        <v>25</v>
      </c>
      <c r="Q3103" s="166"/>
      <c r="R3103" s="151"/>
    </row>
    <row r="3104" spans="1:18">
      <c r="A3104" s="166" t="s">
        <v>76</v>
      </c>
      <c r="B3104" s="166" t="s">
        <v>794</v>
      </c>
      <c r="C3104" s="86" t="s">
        <v>7066</v>
      </c>
      <c r="D3104" s="161" t="s">
        <v>7066</v>
      </c>
      <c r="E3104" s="161" t="s">
        <v>1640</v>
      </c>
      <c r="F3104" s="161" t="s">
        <v>7065</v>
      </c>
      <c r="G3104" s="171">
        <v>94.68</v>
      </c>
      <c r="H3104" s="163">
        <f t="shared" si="241"/>
        <v>9.94300000000001</v>
      </c>
      <c r="I3104" s="173">
        <v>58.5</v>
      </c>
      <c r="J3104" s="176">
        <v>3621.42180959636</v>
      </c>
      <c r="K3104" s="176">
        <v>34846.3086360435</v>
      </c>
      <c r="L3104" s="172"/>
      <c r="M3104" s="161" t="s">
        <v>7059</v>
      </c>
      <c r="N3104" s="161"/>
      <c r="O3104" s="161" t="s">
        <v>14</v>
      </c>
      <c r="P3104" s="49" t="s">
        <v>14</v>
      </c>
      <c r="Q3104" s="166"/>
      <c r="R3104" s="151"/>
    </row>
    <row r="3105" spans="1:18">
      <c r="A3105" s="166" t="s">
        <v>76</v>
      </c>
      <c r="B3105" s="166" t="s">
        <v>794</v>
      </c>
      <c r="C3105" s="86" t="s">
        <v>7067</v>
      </c>
      <c r="D3105" s="186" t="s">
        <v>1848</v>
      </c>
      <c r="E3105" s="161" t="s">
        <v>1640</v>
      </c>
      <c r="F3105" s="161" t="s">
        <v>7065</v>
      </c>
      <c r="G3105" s="171">
        <v>103.833</v>
      </c>
      <c r="H3105" s="163">
        <f t="shared" si="241"/>
        <v>9.15299999999999</v>
      </c>
      <c r="I3105" s="176">
        <v>60.4</v>
      </c>
      <c r="J3105" s="176">
        <v>3396.40099711552</v>
      </c>
      <c r="K3105" s="176">
        <v>38242.709633159</v>
      </c>
      <c r="L3105" s="172"/>
      <c r="M3105" s="161" t="s">
        <v>7059</v>
      </c>
      <c r="N3105" s="161"/>
      <c r="O3105" s="161" t="s">
        <v>26</v>
      </c>
      <c r="P3105" s="49" t="s">
        <v>26</v>
      </c>
      <c r="Q3105" s="166"/>
      <c r="R3105" s="151"/>
    </row>
    <row r="3106" spans="1:18">
      <c r="A3106" s="166" t="s">
        <v>76</v>
      </c>
      <c r="B3106" s="166" t="s">
        <v>794</v>
      </c>
      <c r="C3106" s="86" t="s">
        <v>7068</v>
      </c>
      <c r="D3106" s="186" t="s">
        <v>1851</v>
      </c>
      <c r="E3106" s="161" t="s">
        <v>1640</v>
      </c>
      <c r="F3106" s="161" t="s">
        <v>7065</v>
      </c>
      <c r="G3106" s="171">
        <v>124.09</v>
      </c>
      <c r="H3106" s="163">
        <f t="shared" si="241"/>
        <v>20.257</v>
      </c>
      <c r="I3106" s="173">
        <v>63</v>
      </c>
      <c r="J3106" s="176">
        <v>7612.75138905925</v>
      </c>
      <c r="K3106" s="176">
        <v>45855.4610222182</v>
      </c>
      <c r="L3106" s="172"/>
      <c r="M3106" s="161" t="s">
        <v>7059</v>
      </c>
      <c r="N3106" s="161"/>
      <c r="O3106" s="161" t="s">
        <v>26</v>
      </c>
      <c r="P3106" s="49" t="s">
        <v>26</v>
      </c>
      <c r="Q3106" s="166"/>
      <c r="R3106" s="151"/>
    </row>
    <row r="3107" spans="1:18">
      <c r="A3107" s="166" t="s">
        <v>76</v>
      </c>
      <c r="B3107" s="166" t="s">
        <v>794</v>
      </c>
      <c r="C3107" s="86" t="s">
        <v>7069</v>
      </c>
      <c r="D3107" s="186" t="s">
        <v>1933</v>
      </c>
      <c r="E3107" s="161" t="s">
        <v>1640</v>
      </c>
      <c r="F3107" s="161" t="s">
        <v>7065</v>
      </c>
      <c r="G3107" s="171">
        <v>146.241</v>
      </c>
      <c r="H3107" s="163">
        <f t="shared" si="241"/>
        <v>22.151</v>
      </c>
      <c r="I3107" s="173">
        <v>67.3</v>
      </c>
      <c r="J3107" s="176">
        <v>8325.2749180845</v>
      </c>
      <c r="K3107" s="176">
        <v>54180.7359403027</v>
      </c>
      <c r="L3107" s="172"/>
      <c r="M3107" s="161" t="s">
        <v>7059</v>
      </c>
      <c r="N3107" s="161"/>
      <c r="O3107" s="161" t="s">
        <v>26</v>
      </c>
      <c r="P3107" s="49" t="s">
        <v>26</v>
      </c>
      <c r="Q3107" s="166"/>
      <c r="R3107" s="151"/>
    </row>
    <row r="3108" spans="1:18">
      <c r="A3108" s="166" t="s">
        <v>76</v>
      </c>
      <c r="B3108" s="166" t="s">
        <v>794</v>
      </c>
      <c r="C3108" s="86" t="s">
        <v>7070</v>
      </c>
      <c r="D3108" s="161" t="s">
        <v>7071</v>
      </c>
      <c r="E3108" s="161" t="s">
        <v>1640</v>
      </c>
      <c r="F3108" s="161" t="s">
        <v>7065</v>
      </c>
      <c r="G3108" s="171">
        <v>158.984</v>
      </c>
      <c r="H3108" s="163">
        <f t="shared" si="241"/>
        <v>12.743</v>
      </c>
      <c r="I3108" s="173">
        <v>71.1</v>
      </c>
      <c r="J3108" s="176">
        <v>4762.65727295825</v>
      </c>
      <c r="K3108" s="176">
        <v>58943.393213261</v>
      </c>
      <c r="L3108" s="172"/>
      <c r="M3108" s="161" t="s">
        <v>7059</v>
      </c>
      <c r="N3108" s="161"/>
      <c r="O3108" s="161" t="s">
        <v>14</v>
      </c>
      <c r="P3108" s="49" t="s">
        <v>14</v>
      </c>
      <c r="Q3108" s="166"/>
      <c r="R3108" s="151"/>
    </row>
    <row r="3109" spans="1:18">
      <c r="A3109" s="166" t="s">
        <v>76</v>
      </c>
      <c r="B3109" s="166" t="s">
        <v>794</v>
      </c>
      <c r="C3109" s="86" t="s">
        <v>7072</v>
      </c>
      <c r="D3109" s="186" t="s">
        <v>1936</v>
      </c>
      <c r="E3109" s="161" t="s">
        <v>1640</v>
      </c>
      <c r="F3109" s="161" t="s">
        <v>7065</v>
      </c>
      <c r="G3109" s="171">
        <v>173.157</v>
      </c>
      <c r="H3109" s="163">
        <f t="shared" si="241"/>
        <v>14.173</v>
      </c>
      <c r="I3109" s="176">
        <v>66.3</v>
      </c>
      <c r="J3109" s="176">
        <v>5242.27110424352</v>
      </c>
      <c r="K3109" s="176">
        <v>64185.6643175045</v>
      </c>
      <c r="L3109" s="172"/>
      <c r="M3109" s="161" t="s">
        <v>7059</v>
      </c>
      <c r="N3109" s="161"/>
      <c r="O3109" s="161" t="s">
        <v>26</v>
      </c>
      <c r="P3109" s="49" t="s">
        <v>26</v>
      </c>
      <c r="Q3109" s="166"/>
      <c r="R3109" s="151"/>
    </row>
    <row r="3110" spans="1:18">
      <c r="A3110" s="166" t="s">
        <v>76</v>
      </c>
      <c r="B3110" s="166" t="s">
        <v>794</v>
      </c>
      <c r="C3110" s="86" t="s">
        <v>7073</v>
      </c>
      <c r="D3110" s="161" t="s">
        <v>7074</v>
      </c>
      <c r="E3110" s="161" t="s">
        <v>1640</v>
      </c>
      <c r="F3110" s="161" t="s">
        <v>7065</v>
      </c>
      <c r="G3110" s="171">
        <v>191.106</v>
      </c>
      <c r="H3110" s="163">
        <f t="shared" si="241"/>
        <v>17.949</v>
      </c>
      <c r="I3110" s="173">
        <v>68.1</v>
      </c>
      <c r="J3110" s="176">
        <v>6608.21498351824</v>
      </c>
      <c r="K3110" s="176">
        <v>70793.8793010227</v>
      </c>
      <c r="L3110" s="172"/>
      <c r="M3110" s="161" t="s">
        <v>7059</v>
      </c>
      <c r="N3110" s="161"/>
      <c r="O3110" s="161" t="s">
        <v>14</v>
      </c>
      <c r="P3110" s="49" t="s">
        <v>14</v>
      </c>
      <c r="Q3110" s="166"/>
      <c r="R3110" s="151"/>
    </row>
    <row r="3111" spans="1:18">
      <c r="A3111" s="166" t="s">
        <v>76</v>
      </c>
      <c r="B3111" s="166" t="s">
        <v>796</v>
      </c>
      <c r="C3111" s="135" t="s">
        <v>7060</v>
      </c>
      <c r="D3111" s="161" t="s">
        <v>7060</v>
      </c>
      <c r="E3111" s="161" t="s">
        <v>1640</v>
      </c>
      <c r="F3111" s="161" t="s">
        <v>7057</v>
      </c>
      <c r="G3111" s="171">
        <v>0</v>
      </c>
      <c r="H3111" s="163">
        <v>0</v>
      </c>
      <c r="I3111" s="173"/>
      <c r="J3111" s="176">
        <v>0</v>
      </c>
      <c r="K3111" s="176">
        <v>0</v>
      </c>
      <c r="L3111" s="172"/>
      <c r="M3111" s="161" t="s">
        <v>7059</v>
      </c>
      <c r="N3111" s="161"/>
      <c r="O3111" s="161"/>
      <c r="P3111" s="49"/>
      <c r="Q3111" s="166"/>
      <c r="R3111" s="151"/>
    </row>
    <row r="3112" spans="1:18">
      <c r="A3112" s="166" t="s">
        <v>76</v>
      </c>
      <c r="B3112" s="166" t="s">
        <v>796</v>
      </c>
      <c r="C3112" s="86" t="s">
        <v>7075</v>
      </c>
      <c r="D3112" s="161" t="s">
        <v>7075</v>
      </c>
      <c r="E3112" s="161" t="s">
        <v>1640</v>
      </c>
      <c r="F3112" s="161" t="s">
        <v>7057</v>
      </c>
      <c r="G3112" s="171">
        <v>20.336</v>
      </c>
      <c r="H3112" s="163">
        <f>G3112-G3111</f>
        <v>20.336</v>
      </c>
      <c r="I3112" s="173"/>
      <c r="J3112" s="176">
        <v>3888</v>
      </c>
      <c r="K3112" s="176">
        <v>3888</v>
      </c>
      <c r="L3112" s="172"/>
      <c r="M3112" s="161" t="s">
        <v>7059</v>
      </c>
      <c r="N3112" s="161"/>
      <c r="O3112" s="161" t="s">
        <v>15</v>
      </c>
      <c r="P3112" s="49" t="s">
        <v>15</v>
      </c>
      <c r="Q3112" s="166"/>
      <c r="R3112" s="151"/>
    </row>
    <row r="3113" spans="1:18">
      <c r="A3113" s="166" t="s">
        <v>76</v>
      </c>
      <c r="B3113" s="166" t="s">
        <v>796</v>
      </c>
      <c r="C3113" s="86" t="s">
        <v>7076</v>
      </c>
      <c r="D3113" s="161" t="s">
        <v>1298</v>
      </c>
      <c r="E3113" s="161" t="s">
        <v>1640</v>
      </c>
      <c r="F3113" s="161" t="s">
        <v>7057</v>
      </c>
      <c r="G3113" s="171">
        <v>37.092</v>
      </c>
      <c r="H3113" s="163">
        <f>G3113-G3112</f>
        <v>16.756</v>
      </c>
      <c r="I3113" s="173"/>
      <c r="J3113" s="176">
        <v>0</v>
      </c>
      <c r="K3113" s="176">
        <v>3888</v>
      </c>
      <c r="L3113" s="172"/>
      <c r="M3113" s="161" t="s">
        <v>7059</v>
      </c>
      <c r="N3113" s="161" t="s">
        <v>1299</v>
      </c>
      <c r="O3113" s="161" t="s">
        <v>25</v>
      </c>
      <c r="P3113" s="49" t="s">
        <v>25</v>
      </c>
      <c r="Q3113" s="166"/>
      <c r="R3113" s="151"/>
    </row>
    <row r="3114" spans="1:18">
      <c r="A3114" s="166" t="s">
        <v>76</v>
      </c>
      <c r="B3114" s="166" t="s">
        <v>796</v>
      </c>
      <c r="C3114" s="86" t="s">
        <v>7077</v>
      </c>
      <c r="D3114" s="161" t="s">
        <v>1302</v>
      </c>
      <c r="E3114" s="161" t="s">
        <v>1640</v>
      </c>
      <c r="F3114" s="161" t="s">
        <v>7057</v>
      </c>
      <c r="G3114" s="171">
        <v>51.415</v>
      </c>
      <c r="H3114" s="163">
        <f>G3114-G3113</f>
        <v>14.323</v>
      </c>
      <c r="I3114" s="173"/>
      <c r="J3114" s="176">
        <v>8024</v>
      </c>
      <c r="K3114" s="176">
        <f>K3113+J3114</f>
        <v>11912</v>
      </c>
      <c r="L3114" s="172"/>
      <c r="M3114" s="161" t="s">
        <v>7059</v>
      </c>
      <c r="N3114" s="161" t="s">
        <v>1299</v>
      </c>
      <c r="O3114" s="161" t="s">
        <v>25</v>
      </c>
      <c r="P3114" s="49" t="s">
        <v>25</v>
      </c>
      <c r="Q3114" s="166"/>
      <c r="R3114" s="151"/>
    </row>
    <row r="3115" spans="1:18">
      <c r="A3115" s="166" t="s">
        <v>76</v>
      </c>
      <c r="B3115" s="166" t="s">
        <v>796</v>
      </c>
      <c r="C3115" s="86" t="s">
        <v>7078</v>
      </c>
      <c r="D3115" s="161" t="s">
        <v>7078</v>
      </c>
      <c r="E3115" s="161" t="s">
        <v>1640</v>
      </c>
      <c r="F3115" s="161" t="s">
        <v>7057</v>
      </c>
      <c r="G3115" s="171">
        <v>62.166</v>
      </c>
      <c r="H3115" s="163">
        <f>G3115-G3114</f>
        <v>10.751</v>
      </c>
      <c r="I3115" s="173"/>
      <c r="J3115" s="176">
        <v>0</v>
      </c>
      <c r="K3115" s="176">
        <f>K3114+J3115</f>
        <v>11912</v>
      </c>
      <c r="L3115" s="172"/>
      <c r="M3115" s="161" t="s">
        <v>7059</v>
      </c>
      <c r="N3115" s="161"/>
      <c r="O3115" s="161" t="s">
        <v>15</v>
      </c>
      <c r="P3115" s="49" t="s">
        <v>15</v>
      </c>
      <c r="Q3115" s="166"/>
      <c r="R3115" s="151"/>
    </row>
    <row r="3116" spans="1:18">
      <c r="A3116" s="166" t="s">
        <v>76</v>
      </c>
      <c r="B3116" s="166" t="s">
        <v>792</v>
      </c>
      <c r="C3116" s="135" t="s">
        <v>778</v>
      </c>
      <c r="D3116" s="161" t="s">
        <v>778</v>
      </c>
      <c r="E3116" s="161" t="s">
        <v>1640</v>
      </c>
      <c r="F3116" s="161" t="s">
        <v>7057</v>
      </c>
      <c r="G3116" s="163">
        <v>0</v>
      </c>
      <c r="H3116" s="163">
        <v>0</v>
      </c>
      <c r="I3116" s="176">
        <v>47.3</v>
      </c>
      <c r="J3116" s="176">
        <v>0</v>
      </c>
      <c r="K3116" s="176">
        <v>0</v>
      </c>
      <c r="L3116" s="172"/>
      <c r="M3116" s="161" t="s">
        <v>66</v>
      </c>
      <c r="N3116" s="161"/>
      <c r="O3116" s="161"/>
      <c r="P3116" s="49"/>
      <c r="Q3116" s="166"/>
      <c r="R3116" s="151"/>
    </row>
    <row r="3117" spans="1:18">
      <c r="A3117" s="166" t="s">
        <v>76</v>
      </c>
      <c r="B3117" s="166" t="s">
        <v>792</v>
      </c>
      <c r="C3117" s="86" t="s">
        <v>7079</v>
      </c>
      <c r="D3117" s="161" t="s">
        <v>1811</v>
      </c>
      <c r="E3117" s="161" t="s">
        <v>1640</v>
      </c>
      <c r="F3117" s="161" t="s">
        <v>7057</v>
      </c>
      <c r="G3117" s="171">
        <v>18.47</v>
      </c>
      <c r="H3117" s="171">
        <v>18.47</v>
      </c>
      <c r="I3117" s="176">
        <v>50.4</v>
      </c>
      <c r="J3117" s="176">
        <v>3497.16667012735</v>
      </c>
      <c r="K3117" s="176">
        <v>3497.16667012735</v>
      </c>
      <c r="L3117" s="172"/>
      <c r="M3117" s="161" t="s">
        <v>7059</v>
      </c>
      <c r="N3117" s="161"/>
      <c r="O3117" s="161" t="s">
        <v>26</v>
      </c>
      <c r="P3117" s="49" t="s">
        <v>26</v>
      </c>
      <c r="Q3117" s="166"/>
      <c r="R3117" s="151"/>
    </row>
    <row r="3118" spans="1:18">
      <c r="A3118" s="166" t="s">
        <v>78</v>
      </c>
      <c r="B3118" s="166" t="s">
        <v>814</v>
      </c>
      <c r="C3118" s="135" t="s">
        <v>7080</v>
      </c>
      <c r="D3118" s="161" t="s">
        <v>7080</v>
      </c>
      <c r="E3118" s="161" t="s">
        <v>7081</v>
      </c>
      <c r="F3118" s="161" t="s">
        <v>7082</v>
      </c>
      <c r="G3118" s="163">
        <v>0</v>
      </c>
      <c r="H3118" s="163">
        <v>0</v>
      </c>
      <c r="I3118" s="174">
        <v>0</v>
      </c>
      <c r="J3118" s="174">
        <v>0</v>
      </c>
      <c r="K3118" s="174">
        <v>0</v>
      </c>
      <c r="L3118" s="172"/>
      <c r="M3118" s="161" t="s">
        <v>78</v>
      </c>
      <c r="N3118" s="161"/>
      <c r="O3118" s="161"/>
      <c r="P3118" s="49"/>
      <c r="Q3118" s="166"/>
      <c r="R3118" s="151"/>
    </row>
    <row r="3119" spans="1:18">
      <c r="A3119" s="166" t="s">
        <v>78</v>
      </c>
      <c r="B3119" s="166" t="s">
        <v>814</v>
      </c>
      <c r="C3119" s="87" t="s">
        <v>815</v>
      </c>
      <c r="D3119" s="161" t="s">
        <v>815</v>
      </c>
      <c r="E3119" s="161" t="s">
        <v>3154</v>
      </c>
      <c r="F3119" s="161" t="s">
        <v>7083</v>
      </c>
      <c r="G3119" s="163">
        <v>9.77</v>
      </c>
      <c r="H3119" s="163">
        <f>G3119-G3118</f>
        <v>9.77</v>
      </c>
      <c r="I3119" s="163">
        <v>14</v>
      </c>
      <c r="J3119" s="174">
        <v>4542</v>
      </c>
      <c r="K3119" s="174">
        <v>4542</v>
      </c>
      <c r="L3119" s="172"/>
      <c r="M3119" s="161" t="s">
        <v>78</v>
      </c>
      <c r="N3119" s="161"/>
      <c r="O3119" s="161" t="s">
        <v>14</v>
      </c>
      <c r="P3119" s="49" t="s">
        <v>14</v>
      </c>
      <c r="Q3119" s="166"/>
      <c r="R3119" s="151"/>
    </row>
    <row r="3120" spans="1:18">
      <c r="A3120" s="166" t="s">
        <v>78</v>
      </c>
      <c r="B3120" s="166" t="s">
        <v>814</v>
      </c>
      <c r="C3120" s="87" t="s">
        <v>7084</v>
      </c>
      <c r="D3120" s="161" t="s">
        <v>7084</v>
      </c>
      <c r="E3120" s="161" t="s">
        <v>3154</v>
      </c>
      <c r="F3120" s="161" t="s">
        <v>7083</v>
      </c>
      <c r="G3120" s="163">
        <v>33.5627</v>
      </c>
      <c r="H3120" s="163">
        <f t="shared" ref="H3120:H3145" si="242">G3120-G3119</f>
        <v>23.7927</v>
      </c>
      <c r="I3120" s="174">
        <v>15.2</v>
      </c>
      <c r="J3120" s="174">
        <v>11168</v>
      </c>
      <c r="K3120" s="174">
        <v>15710</v>
      </c>
      <c r="L3120" s="172"/>
      <c r="M3120" s="161" t="s">
        <v>78</v>
      </c>
      <c r="N3120" s="161"/>
      <c r="O3120" s="161" t="s">
        <v>15</v>
      </c>
      <c r="P3120" s="49" t="s">
        <v>15</v>
      </c>
      <c r="Q3120" s="166"/>
      <c r="R3120" s="151"/>
    </row>
    <row r="3121" spans="1:18">
      <c r="A3121" s="166" t="s">
        <v>78</v>
      </c>
      <c r="B3121" s="166" t="s">
        <v>814</v>
      </c>
      <c r="C3121" s="87" t="s">
        <v>7085</v>
      </c>
      <c r="D3121" s="161" t="s">
        <v>7086</v>
      </c>
      <c r="E3121" s="161" t="s">
        <v>3154</v>
      </c>
      <c r="F3121" s="161" t="s">
        <v>7083</v>
      </c>
      <c r="G3121" s="163">
        <v>55.6481</v>
      </c>
      <c r="H3121" s="163">
        <f t="shared" si="242"/>
        <v>22.0854</v>
      </c>
      <c r="I3121" s="163">
        <v>14</v>
      </c>
      <c r="J3121" s="174">
        <v>10578</v>
      </c>
      <c r="K3121" s="174">
        <v>26288</v>
      </c>
      <c r="L3121" s="172"/>
      <c r="M3121" s="161" t="s">
        <v>78</v>
      </c>
      <c r="N3121" s="161" t="s">
        <v>1299</v>
      </c>
      <c r="O3121" s="161" t="s">
        <v>25</v>
      </c>
      <c r="P3121" s="49" t="s">
        <v>25</v>
      </c>
      <c r="Q3121" s="166"/>
      <c r="R3121" s="151"/>
    </row>
    <row r="3122" spans="1:18">
      <c r="A3122" s="166" t="s">
        <v>78</v>
      </c>
      <c r="B3122" s="166" t="s">
        <v>814</v>
      </c>
      <c r="C3122" s="87" t="s">
        <v>7087</v>
      </c>
      <c r="D3122" s="161" t="s">
        <v>7088</v>
      </c>
      <c r="E3122" s="161" t="s">
        <v>3154</v>
      </c>
      <c r="F3122" s="161" t="s">
        <v>7083</v>
      </c>
      <c r="G3122" s="163">
        <v>74.5787</v>
      </c>
      <c r="H3122" s="163">
        <f t="shared" si="242"/>
        <v>18.9306</v>
      </c>
      <c r="I3122" s="163">
        <v>36</v>
      </c>
      <c r="J3122" s="174">
        <v>9027</v>
      </c>
      <c r="K3122" s="174">
        <v>35315</v>
      </c>
      <c r="L3122" s="172"/>
      <c r="M3122" s="161" t="s">
        <v>78</v>
      </c>
      <c r="N3122" s="161" t="s">
        <v>1299</v>
      </c>
      <c r="O3122" s="161" t="s">
        <v>25</v>
      </c>
      <c r="P3122" s="49" t="s">
        <v>25</v>
      </c>
      <c r="Q3122" s="166"/>
      <c r="R3122" s="151"/>
    </row>
    <row r="3123" spans="1:18">
      <c r="A3123" s="166" t="s">
        <v>78</v>
      </c>
      <c r="B3123" s="166" t="s">
        <v>814</v>
      </c>
      <c r="C3123" s="87" t="s">
        <v>7089</v>
      </c>
      <c r="D3123" s="161" t="s">
        <v>7090</v>
      </c>
      <c r="E3123" s="161" t="s">
        <v>3154</v>
      </c>
      <c r="F3123" s="161" t="s">
        <v>3177</v>
      </c>
      <c r="G3123" s="163">
        <v>98.7639</v>
      </c>
      <c r="H3123" s="163">
        <f t="shared" si="242"/>
        <v>24.1852</v>
      </c>
      <c r="I3123" s="174">
        <v>42</v>
      </c>
      <c r="J3123" s="174">
        <v>11622</v>
      </c>
      <c r="K3123" s="174">
        <v>46937</v>
      </c>
      <c r="L3123" s="172"/>
      <c r="M3123" s="161" t="s">
        <v>78</v>
      </c>
      <c r="N3123" s="161" t="s">
        <v>1299</v>
      </c>
      <c r="O3123" s="161" t="s">
        <v>25</v>
      </c>
      <c r="P3123" s="49" t="s">
        <v>25</v>
      </c>
      <c r="Q3123" s="166"/>
      <c r="R3123" s="151"/>
    </row>
    <row r="3124" spans="1:18">
      <c r="A3124" s="166" t="s">
        <v>78</v>
      </c>
      <c r="B3124" s="166" t="s">
        <v>814</v>
      </c>
      <c r="C3124" s="87" t="s">
        <v>7091</v>
      </c>
      <c r="D3124" s="161" t="s">
        <v>7092</v>
      </c>
      <c r="E3124" s="161" t="s">
        <v>3154</v>
      </c>
      <c r="F3124" s="161" t="s">
        <v>3177</v>
      </c>
      <c r="G3124" s="163">
        <v>111.6191</v>
      </c>
      <c r="H3124" s="163">
        <f t="shared" si="242"/>
        <v>12.8552</v>
      </c>
      <c r="I3124" s="163">
        <v>22</v>
      </c>
      <c r="J3124" s="174">
        <v>6456</v>
      </c>
      <c r="K3124" s="174">
        <v>53394</v>
      </c>
      <c r="L3124" s="172"/>
      <c r="M3124" s="161" t="s">
        <v>78</v>
      </c>
      <c r="N3124" s="161" t="s">
        <v>1299</v>
      </c>
      <c r="O3124" s="161" t="s">
        <v>25</v>
      </c>
      <c r="P3124" s="49" t="s">
        <v>25</v>
      </c>
      <c r="Q3124" s="166"/>
      <c r="R3124" s="151"/>
    </row>
    <row r="3125" spans="1:18">
      <c r="A3125" s="166" t="s">
        <v>78</v>
      </c>
      <c r="B3125" s="166" t="s">
        <v>814</v>
      </c>
      <c r="C3125" s="87" t="s">
        <v>7093</v>
      </c>
      <c r="D3125" s="161" t="s">
        <v>7094</v>
      </c>
      <c r="E3125" s="161" t="s">
        <v>3154</v>
      </c>
      <c r="F3125" s="161" t="s">
        <v>3177</v>
      </c>
      <c r="G3125" s="163">
        <v>128.2719</v>
      </c>
      <c r="H3125" s="163">
        <f t="shared" si="242"/>
        <v>16.6528</v>
      </c>
      <c r="I3125" s="174">
        <v>22.5</v>
      </c>
      <c r="J3125" s="174">
        <v>7703</v>
      </c>
      <c r="K3125" s="174">
        <v>61097</v>
      </c>
      <c r="L3125" s="172"/>
      <c r="M3125" s="161" t="s">
        <v>78</v>
      </c>
      <c r="N3125" s="161" t="s">
        <v>1299</v>
      </c>
      <c r="O3125" s="161" t="s">
        <v>25</v>
      </c>
      <c r="P3125" s="49" t="s">
        <v>25</v>
      </c>
      <c r="Q3125" s="166"/>
      <c r="R3125" s="151"/>
    </row>
    <row r="3126" spans="1:18">
      <c r="A3126" s="166" t="s">
        <v>78</v>
      </c>
      <c r="B3126" s="166" t="s">
        <v>814</v>
      </c>
      <c r="C3126" s="87" t="s">
        <v>7095</v>
      </c>
      <c r="D3126" s="161" t="s">
        <v>7095</v>
      </c>
      <c r="E3126" s="161" t="s">
        <v>3154</v>
      </c>
      <c r="F3126" s="161" t="s">
        <v>3177</v>
      </c>
      <c r="G3126" s="163">
        <v>143.9369</v>
      </c>
      <c r="H3126" s="163">
        <f t="shared" si="242"/>
        <v>15.665</v>
      </c>
      <c r="I3126" s="163">
        <v>30.8</v>
      </c>
      <c r="J3126" s="174">
        <v>7495</v>
      </c>
      <c r="K3126" s="174">
        <v>68592</v>
      </c>
      <c r="L3126" s="172"/>
      <c r="M3126" s="161" t="s">
        <v>78</v>
      </c>
      <c r="N3126" s="161"/>
      <c r="O3126" s="161" t="s">
        <v>15</v>
      </c>
      <c r="P3126" s="49" t="s">
        <v>15</v>
      </c>
      <c r="Q3126" s="166"/>
      <c r="R3126" s="151"/>
    </row>
    <row r="3127" spans="1:18">
      <c r="A3127" s="166" t="s">
        <v>78</v>
      </c>
      <c r="B3127" s="166" t="s">
        <v>814</v>
      </c>
      <c r="C3127" s="87" t="s">
        <v>7096</v>
      </c>
      <c r="D3127" s="161" t="s">
        <v>7097</v>
      </c>
      <c r="E3127" s="161" t="s">
        <v>3154</v>
      </c>
      <c r="F3127" s="161" t="s">
        <v>3177</v>
      </c>
      <c r="G3127" s="163">
        <v>166.0625</v>
      </c>
      <c r="H3127" s="163">
        <f t="shared" si="242"/>
        <v>22.1256</v>
      </c>
      <c r="I3127" s="174">
        <v>32</v>
      </c>
      <c r="J3127" s="174">
        <v>10602</v>
      </c>
      <c r="K3127" s="174">
        <v>79194</v>
      </c>
      <c r="L3127" s="172"/>
      <c r="M3127" s="161" t="s">
        <v>78</v>
      </c>
      <c r="N3127" s="161" t="s">
        <v>1299</v>
      </c>
      <c r="O3127" s="161" t="s">
        <v>25</v>
      </c>
      <c r="P3127" s="49" t="s">
        <v>25</v>
      </c>
      <c r="Q3127" s="166"/>
      <c r="R3127" s="151"/>
    </row>
    <row r="3128" spans="1:18">
      <c r="A3128" s="166" t="s">
        <v>78</v>
      </c>
      <c r="B3128" s="166" t="s">
        <v>814</v>
      </c>
      <c r="C3128" s="87" t="s">
        <v>7098</v>
      </c>
      <c r="D3128" s="161" t="s">
        <v>7098</v>
      </c>
      <c r="E3128" s="161" t="s">
        <v>3154</v>
      </c>
      <c r="F3128" s="161" t="s">
        <v>3177</v>
      </c>
      <c r="G3128" s="163">
        <v>189.325</v>
      </c>
      <c r="H3128" s="163">
        <f t="shared" si="242"/>
        <v>23.2625</v>
      </c>
      <c r="I3128" s="163">
        <v>150</v>
      </c>
      <c r="J3128" s="174">
        <v>11192</v>
      </c>
      <c r="K3128" s="174">
        <v>90386</v>
      </c>
      <c r="L3128" s="172"/>
      <c r="M3128" s="161" t="s">
        <v>78</v>
      </c>
      <c r="N3128" s="161"/>
      <c r="O3128" s="161" t="s">
        <v>15</v>
      </c>
      <c r="P3128" s="49" t="s">
        <v>15</v>
      </c>
      <c r="Q3128" s="166"/>
      <c r="R3128" s="151"/>
    </row>
    <row r="3129" spans="1:18">
      <c r="A3129" s="166" t="s">
        <v>78</v>
      </c>
      <c r="B3129" s="166" t="s">
        <v>814</v>
      </c>
      <c r="C3129" s="87" t="s">
        <v>7099</v>
      </c>
      <c r="D3129" s="161" t="s">
        <v>7100</v>
      </c>
      <c r="E3129" s="161" t="s">
        <v>3154</v>
      </c>
      <c r="F3129" s="161" t="s">
        <v>3177</v>
      </c>
      <c r="G3129" s="163">
        <v>212.8904</v>
      </c>
      <c r="H3129" s="163">
        <f t="shared" si="242"/>
        <v>23.5654</v>
      </c>
      <c r="I3129" s="163">
        <v>83.5</v>
      </c>
      <c r="J3129" s="174">
        <v>11264</v>
      </c>
      <c r="K3129" s="174">
        <v>101650</v>
      </c>
      <c r="L3129" s="172"/>
      <c r="M3129" s="161" t="s">
        <v>78</v>
      </c>
      <c r="N3129" s="161" t="s">
        <v>1299</v>
      </c>
      <c r="O3129" s="161" t="s">
        <v>25</v>
      </c>
      <c r="P3129" s="49" t="s">
        <v>25</v>
      </c>
      <c r="Q3129" s="166"/>
      <c r="R3129" s="151"/>
    </row>
    <row r="3130" spans="1:18">
      <c r="A3130" s="166" t="s">
        <v>78</v>
      </c>
      <c r="B3130" s="166" t="s">
        <v>814</v>
      </c>
      <c r="C3130" s="87" t="s">
        <v>7101</v>
      </c>
      <c r="D3130" s="161" t="s">
        <v>7101</v>
      </c>
      <c r="E3130" s="161" t="s">
        <v>3154</v>
      </c>
      <c r="F3130" s="161" t="s">
        <v>3177</v>
      </c>
      <c r="G3130" s="163">
        <v>236.818</v>
      </c>
      <c r="H3130" s="163">
        <f t="shared" si="242"/>
        <v>23.9276</v>
      </c>
      <c r="I3130" s="174">
        <v>81.5</v>
      </c>
      <c r="J3130" s="174">
        <v>11559</v>
      </c>
      <c r="K3130" s="174">
        <v>113210</v>
      </c>
      <c r="L3130" s="172"/>
      <c r="M3130" s="161" t="s">
        <v>78</v>
      </c>
      <c r="N3130" s="161"/>
      <c r="O3130" s="161" t="s">
        <v>15</v>
      </c>
      <c r="P3130" s="49" t="s">
        <v>15</v>
      </c>
      <c r="Q3130" s="166"/>
      <c r="R3130" s="151"/>
    </row>
    <row r="3131" spans="1:18">
      <c r="A3131" s="166" t="s">
        <v>78</v>
      </c>
      <c r="B3131" s="166" t="s">
        <v>814</v>
      </c>
      <c r="C3131" s="87" t="s">
        <v>7102</v>
      </c>
      <c r="D3131" s="161" t="s">
        <v>7103</v>
      </c>
      <c r="E3131" s="161" t="s">
        <v>3154</v>
      </c>
      <c r="F3131" s="161" t="s">
        <v>3177</v>
      </c>
      <c r="G3131" s="163">
        <v>250.7567</v>
      </c>
      <c r="H3131" s="163">
        <f t="shared" si="242"/>
        <v>13.9387</v>
      </c>
      <c r="I3131" s="163">
        <v>79</v>
      </c>
      <c r="J3131" s="174">
        <v>6645</v>
      </c>
      <c r="K3131" s="174">
        <v>119854</v>
      </c>
      <c r="L3131" s="172"/>
      <c r="M3131" s="161" t="s">
        <v>78</v>
      </c>
      <c r="N3131" s="161" t="s">
        <v>1299</v>
      </c>
      <c r="O3131" s="161" t="s">
        <v>25</v>
      </c>
      <c r="P3131" s="49" t="s">
        <v>25</v>
      </c>
      <c r="Q3131" s="166"/>
      <c r="R3131" s="151"/>
    </row>
    <row r="3132" spans="1:18">
      <c r="A3132" s="166" t="s">
        <v>78</v>
      </c>
      <c r="B3132" s="166" t="s">
        <v>814</v>
      </c>
      <c r="C3132" s="87" t="s">
        <v>7104</v>
      </c>
      <c r="D3132" s="161" t="s">
        <v>7105</v>
      </c>
      <c r="E3132" s="161" t="s">
        <v>3154</v>
      </c>
      <c r="F3132" s="161" t="s">
        <v>3177</v>
      </c>
      <c r="G3132" s="163">
        <v>270.6825</v>
      </c>
      <c r="H3132" s="163">
        <f t="shared" si="242"/>
        <v>19.9258</v>
      </c>
      <c r="I3132" s="174">
        <v>65.1</v>
      </c>
      <c r="J3132" s="174">
        <v>9520</v>
      </c>
      <c r="K3132" s="174">
        <v>129374</v>
      </c>
      <c r="L3132" s="172"/>
      <c r="M3132" s="161" t="s">
        <v>78</v>
      </c>
      <c r="N3132" s="161" t="s">
        <v>1299</v>
      </c>
      <c r="O3132" s="161" t="s">
        <v>25</v>
      </c>
      <c r="P3132" s="49" t="s">
        <v>25</v>
      </c>
      <c r="Q3132" s="166"/>
      <c r="R3132" s="151"/>
    </row>
    <row r="3133" spans="1:18">
      <c r="A3133" s="166" t="s">
        <v>78</v>
      </c>
      <c r="B3133" s="166" t="s">
        <v>814</v>
      </c>
      <c r="C3133" s="87" t="s">
        <v>7106</v>
      </c>
      <c r="D3133" s="161" t="s">
        <v>7107</v>
      </c>
      <c r="E3133" s="161" t="s">
        <v>3154</v>
      </c>
      <c r="F3133" s="161" t="s">
        <v>3177</v>
      </c>
      <c r="G3133" s="163">
        <v>291.8463</v>
      </c>
      <c r="H3133" s="163">
        <f t="shared" si="242"/>
        <v>21.1638</v>
      </c>
      <c r="I3133" s="163">
        <v>74.5</v>
      </c>
      <c r="J3133" s="174">
        <v>10211</v>
      </c>
      <c r="K3133" s="174">
        <v>139585</v>
      </c>
      <c r="L3133" s="172"/>
      <c r="M3133" s="161" t="s">
        <v>78</v>
      </c>
      <c r="N3133" s="161" t="s">
        <v>1299</v>
      </c>
      <c r="O3133" s="161" t="s">
        <v>25</v>
      </c>
      <c r="P3133" s="49" t="s">
        <v>25</v>
      </c>
      <c r="Q3133" s="166"/>
      <c r="R3133" s="151"/>
    </row>
    <row r="3134" spans="1:18">
      <c r="A3134" s="166" t="s">
        <v>78</v>
      </c>
      <c r="B3134" s="166" t="s">
        <v>814</v>
      </c>
      <c r="C3134" s="87" t="s">
        <v>7108</v>
      </c>
      <c r="D3134" s="161" t="s">
        <v>7109</v>
      </c>
      <c r="E3134" s="161" t="s">
        <v>3154</v>
      </c>
      <c r="F3134" s="161" t="s">
        <v>3177</v>
      </c>
      <c r="G3134" s="163">
        <v>310.549</v>
      </c>
      <c r="H3134" s="163">
        <f t="shared" si="242"/>
        <v>18.7027</v>
      </c>
      <c r="I3134" s="174">
        <v>95</v>
      </c>
      <c r="J3134" s="174">
        <v>9012</v>
      </c>
      <c r="K3134" s="174">
        <v>148597</v>
      </c>
      <c r="L3134" s="172"/>
      <c r="M3134" s="161" t="s">
        <v>78</v>
      </c>
      <c r="N3134" s="161" t="s">
        <v>1299</v>
      </c>
      <c r="O3134" s="161" t="s">
        <v>25</v>
      </c>
      <c r="P3134" s="49" t="s">
        <v>25</v>
      </c>
      <c r="Q3134" s="166"/>
      <c r="R3134" s="151"/>
    </row>
    <row r="3135" spans="1:18">
      <c r="A3135" s="166" t="s">
        <v>78</v>
      </c>
      <c r="B3135" s="166" t="s">
        <v>814</v>
      </c>
      <c r="C3135" s="87" t="s">
        <v>7110</v>
      </c>
      <c r="D3135" s="161" t="s">
        <v>7110</v>
      </c>
      <c r="E3135" s="161" t="s">
        <v>3154</v>
      </c>
      <c r="F3135" s="161" t="s">
        <v>3177</v>
      </c>
      <c r="G3135" s="163">
        <v>332.0949</v>
      </c>
      <c r="H3135" s="163">
        <f t="shared" si="242"/>
        <v>21.5459</v>
      </c>
      <c r="I3135" s="163">
        <v>100.5</v>
      </c>
      <c r="J3135" s="174">
        <v>10308</v>
      </c>
      <c r="K3135" s="174">
        <v>158905</v>
      </c>
      <c r="L3135" s="172"/>
      <c r="M3135" s="161" t="s">
        <v>78</v>
      </c>
      <c r="N3135" s="161"/>
      <c r="O3135" s="161" t="s">
        <v>14</v>
      </c>
      <c r="P3135" s="49" t="s">
        <v>14</v>
      </c>
      <c r="Q3135" s="166"/>
      <c r="R3135" s="151"/>
    </row>
    <row r="3136" spans="1:18">
      <c r="A3136" s="166" t="s">
        <v>78</v>
      </c>
      <c r="B3136" s="166" t="s">
        <v>814</v>
      </c>
      <c r="C3136" s="87" t="s">
        <v>7111</v>
      </c>
      <c r="D3136" s="161" t="s">
        <v>7112</v>
      </c>
      <c r="E3136" s="161" t="s">
        <v>3154</v>
      </c>
      <c r="F3136" s="161" t="s">
        <v>6194</v>
      </c>
      <c r="G3136" s="163">
        <v>351.2013</v>
      </c>
      <c r="H3136" s="163">
        <f t="shared" si="242"/>
        <v>19.1064</v>
      </c>
      <c r="I3136" s="163">
        <v>102</v>
      </c>
      <c r="J3136" s="174">
        <v>9162</v>
      </c>
      <c r="K3136" s="174">
        <v>168067</v>
      </c>
      <c r="L3136" s="172"/>
      <c r="M3136" s="161" t="s">
        <v>78</v>
      </c>
      <c r="N3136" s="161" t="s">
        <v>1299</v>
      </c>
      <c r="O3136" s="161" t="s">
        <v>25</v>
      </c>
      <c r="P3136" s="49" t="s">
        <v>25</v>
      </c>
      <c r="Q3136" s="166"/>
      <c r="R3136" s="151"/>
    </row>
    <row r="3137" spans="1:18">
      <c r="A3137" s="166" t="s">
        <v>78</v>
      </c>
      <c r="B3137" s="166" t="s">
        <v>814</v>
      </c>
      <c r="C3137" s="87" t="s">
        <v>7113</v>
      </c>
      <c r="D3137" s="161" t="s">
        <v>7114</v>
      </c>
      <c r="E3137" s="161" t="s">
        <v>3154</v>
      </c>
      <c r="F3137" s="161" t="s">
        <v>6194</v>
      </c>
      <c r="G3137" s="163">
        <v>372.1433</v>
      </c>
      <c r="H3137" s="163">
        <f t="shared" si="242"/>
        <v>20.942</v>
      </c>
      <c r="I3137" s="174">
        <v>127.5</v>
      </c>
      <c r="J3137" s="174">
        <v>10013</v>
      </c>
      <c r="K3137" s="174">
        <v>178080</v>
      </c>
      <c r="L3137" s="172"/>
      <c r="M3137" s="161" t="s">
        <v>78</v>
      </c>
      <c r="N3137" s="161" t="s">
        <v>1299</v>
      </c>
      <c r="O3137" s="161" t="s">
        <v>25</v>
      </c>
      <c r="P3137" s="49" t="s">
        <v>25</v>
      </c>
      <c r="Q3137" s="166"/>
      <c r="R3137" s="151"/>
    </row>
    <row r="3138" spans="1:18">
      <c r="A3138" s="166" t="s">
        <v>78</v>
      </c>
      <c r="B3138" s="166" t="s">
        <v>814</v>
      </c>
      <c r="C3138" s="87" t="s">
        <v>7115</v>
      </c>
      <c r="D3138" s="161" t="s">
        <v>7115</v>
      </c>
      <c r="E3138" s="161" t="s">
        <v>3154</v>
      </c>
      <c r="F3138" s="161" t="s">
        <v>6194</v>
      </c>
      <c r="G3138" s="163">
        <v>376.8657</v>
      </c>
      <c r="H3138" s="163">
        <f t="shared" si="242"/>
        <v>4.72239999999999</v>
      </c>
      <c r="I3138" s="163">
        <v>108</v>
      </c>
      <c r="J3138" s="174">
        <v>5775</v>
      </c>
      <c r="K3138" s="174">
        <v>183855</v>
      </c>
      <c r="L3138" s="172"/>
      <c r="M3138" s="161" t="s">
        <v>78</v>
      </c>
      <c r="N3138" s="161"/>
      <c r="O3138" s="161" t="s">
        <v>15</v>
      </c>
      <c r="P3138" s="49" t="s">
        <v>15</v>
      </c>
      <c r="Q3138" s="166"/>
      <c r="R3138" s="151"/>
    </row>
    <row r="3139" spans="1:18">
      <c r="A3139" s="166" t="s">
        <v>78</v>
      </c>
      <c r="B3139" s="166" t="s">
        <v>814</v>
      </c>
      <c r="C3139" s="87" t="s">
        <v>7116</v>
      </c>
      <c r="D3139" s="161" t="s">
        <v>7117</v>
      </c>
      <c r="E3139" s="161" t="s">
        <v>3154</v>
      </c>
      <c r="F3139" s="161" t="s">
        <v>6194</v>
      </c>
      <c r="G3139" s="163">
        <v>384.0933</v>
      </c>
      <c r="H3139" s="163">
        <f t="shared" si="242"/>
        <v>7.2276</v>
      </c>
      <c r="I3139" s="174">
        <v>96</v>
      </c>
      <c r="J3139" s="174">
        <v>3421</v>
      </c>
      <c r="K3139" s="174">
        <v>187276</v>
      </c>
      <c r="L3139" s="172"/>
      <c r="M3139" s="161" t="s">
        <v>78</v>
      </c>
      <c r="N3139" s="161" t="s">
        <v>1299</v>
      </c>
      <c r="O3139" s="161" t="s">
        <v>25</v>
      </c>
      <c r="P3139" s="49" t="s">
        <v>25</v>
      </c>
      <c r="Q3139" s="166"/>
      <c r="R3139" s="151"/>
    </row>
    <row r="3140" spans="1:18">
      <c r="A3140" s="166" t="s">
        <v>78</v>
      </c>
      <c r="B3140" s="166" t="s">
        <v>814</v>
      </c>
      <c r="C3140" s="87" t="s">
        <v>7118</v>
      </c>
      <c r="D3140" s="161" t="s">
        <v>7118</v>
      </c>
      <c r="E3140" s="161" t="s">
        <v>3154</v>
      </c>
      <c r="F3140" s="161" t="s">
        <v>6194</v>
      </c>
      <c r="G3140" s="163">
        <v>404.6237</v>
      </c>
      <c r="H3140" s="163">
        <f t="shared" si="242"/>
        <v>20.5304</v>
      </c>
      <c r="I3140" s="163">
        <v>93.4</v>
      </c>
      <c r="J3140" s="174">
        <v>9776</v>
      </c>
      <c r="K3140" s="174">
        <v>197052</v>
      </c>
      <c r="L3140" s="172"/>
      <c r="M3140" s="161" t="s">
        <v>78</v>
      </c>
      <c r="N3140" s="161"/>
      <c r="O3140" s="161" t="s">
        <v>15</v>
      </c>
      <c r="P3140" s="49" t="s">
        <v>15</v>
      </c>
      <c r="Q3140" s="166"/>
      <c r="R3140" s="151"/>
    </row>
    <row r="3141" spans="1:18">
      <c r="A3141" s="166" t="s">
        <v>78</v>
      </c>
      <c r="B3141" s="166" t="s">
        <v>814</v>
      </c>
      <c r="C3141" s="87" t="s">
        <v>7119</v>
      </c>
      <c r="D3141" s="161" t="s">
        <v>7120</v>
      </c>
      <c r="E3141" s="161" t="s">
        <v>3154</v>
      </c>
      <c r="F3141" s="161" t="s">
        <v>6194</v>
      </c>
      <c r="G3141" s="163">
        <v>424.0885</v>
      </c>
      <c r="H3141" s="163">
        <f t="shared" si="242"/>
        <v>19.4648</v>
      </c>
      <c r="I3141" s="174">
        <v>100</v>
      </c>
      <c r="J3141" s="174">
        <v>9336</v>
      </c>
      <c r="K3141" s="174">
        <v>206389</v>
      </c>
      <c r="L3141" s="172"/>
      <c r="M3141" s="161" t="s">
        <v>78</v>
      </c>
      <c r="N3141" s="161" t="s">
        <v>1299</v>
      </c>
      <c r="O3141" s="161" t="s">
        <v>25</v>
      </c>
      <c r="P3141" s="49" t="s">
        <v>25</v>
      </c>
      <c r="Q3141" s="166"/>
      <c r="R3141" s="151"/>
    </row>
    <row r="3142" spans="1:18">
      <c r="A3142" s="166" t="s">
        <v>78</v>
      </c>
      <c r="B3142" s="166" t="s">
        <v>814</v>
      </c>
      <c r="C3142" s="87" t="s">
        <v>7121</v>
      </c>
      <c r="D3142" s="161" t="s">
        <v>7122</v>
      </c>
      <c r="E3142" s="161" t="s">
        <v>3154</v>
      </c>
      <c r="F3142" s="161" t="s">
        <v>6194</v>
      </c>
      <c r="G3142" s="163">
        <v>446.6202</v>
      </c>
      <c r="H3142" s="163">
        <f t="shared" si="242"/>
        <v>22.5317</v>
      </c>
      <c r="I3142" s="163">
        <v>121</v>
      </c>
      <c r="J3142" s="174">
        <v>10829</v>
      </c>
      <c r="K3142" s="174">
        <v>217218</v>
      </c>
      <c r="L3142" s="172"/>
      <c r="M3142" s="161" t="s">
        <v>78</v>
      </c>
      <c r="N3142" s="161" t="s">
        <v>1299</v>
      </c>
      <c r="O3142" s="161" t="s">
        <v>25</v>
      </c>
      <c r="P3142" s="49" t="s">
        <v>25</v>
      </c>
      <c r="Q3142" s="166"/>
      <c r="R3142" s="151"/>
    </row>
    <row r="3143" spans="1:18">
      <c r="A3143" s="166" t="s">
        <v>78</v>
      </c>
      <c r="B3143" s="166" t="s">
        <v>814</v>
      </c>
      <c r="C3143" s="87" t="s">
        <v>7123</v>
      </c>
      <c r="D3143" s="161" t="s">
        <v>7124</v>
      </c>
      <c r="E3143" s="161" t="s">
        <v>3154</v>
      </c>
      <c r="F3143" s="161" t="s">
        <v>6194</v>
      </c>
      <c r="G3143" s="163">
        <v>467.9246</v>
      </c>
      <c r="H3143" s="163">
        <f t="shared" si="242"/>
        <v>21.3044</v>
      </c>
      <c r="I3143" s="163">
        <v>119.4</v>
      </c>
      <c r="J3143" s="174">
        <v>10163</v>
      </c>
      <c r="K3143" s="174">
        <v>227381</v>
      </c>
      <c r="L3143" s="172"/>
      <c r="M3143" s="161" t="s">
        <v>78</v>
      </c>
      <c r="N3143" s="161" t="s">
        <v>1299</v>
      </c>
      <c r="O3143" s="161" t="s">
        <v>25</v>
      </c>
      <c r="P3143" s="49" t="s">
        <v>25</v>
      </c>
      <c r="Q3143" s="166"/>
      <c r="R3143" s="151"/>
    </row>
    <row r="3144" s="152" customFormat="1" spans="1:18">
      <c r="A3144" s="166" t="s">
        <v>78</v>
      </c>
      <c r="B3144" s="166" t="s">
        <v>814</v>
      </c>
      <c r="C3144" s="87" t="s">
        <v>7125</v>
      </c>
      <c r="D3144" s="191" t="s">
        <v>7125</v>
      </c>
      <c r="E3144" s="161" t="s">
        <v>3154</v>
      </c>
      <c r="F3144" s="161" t="s">
        <v>6194</v>
      </c>
      <c r="G3144" s="163">
        <v>467.9246</v>
      </c>
      <c r="H3144" s="163">
        <f t="shared" si="242"/>
        <v>0</v>
      </c>
      <c r="I3144" s="163">
        <v>119.4</v>
      </c>
      <c r="J3144" s="174">
        <v>10163</v>
      </c>
      <c r="K3144" s="174">
        <v>227381</v>
      </c>
      <c r="L3144" s="172"/>
      <c r="M3144" s="161" t="s">
        <v>78</v>
      </c>
      <c r="N3144" s="161"/>
      <c r="O3144" s="161"/>
      <c r="P3144" s="49" t="s">
        <v>14</v>
      </c>
      <c r="Q3144" s="166"/>
      <c r="R3144" s="151"/>
    </row>
    <row r="3145" spans="1:18">
      <c r="A3145" s="166" t="s">
        <v>78</v>
      </c>
      <c r="B3145" s="166" t="s">
        <v>814</v>
      </c>
      <c r="C3145" s="87" t="s">
        <v>7126</v>
      </c>
      <c r="D3145" s="161" t="s">
        <v>7127</v>
      </c>
      <c r="E3145" s="161" t="s">
        <v>3154</v>
      </c>
      <c r="F3145" s="161" t="s">
        <v>6194</v>
      </c>
      <c r="G3145" s="163">
        <v>490.1187</v>
      </c>
      <c r="H3145" s="163">
        <f>G3145-G3143</f>
        <v>22.1941</v>
      </c>
      <c r="I3145" s="174">
        <v>118.4</v>
      </c>
      <c r="J3145" s="174">
        <v>10796</v>
      </c>
      <c r="K3145" s="174">
        <v>238176</v>
      </c>
      <c r="L3145" s="172"/>
      <c r="M3145" s="161" t="s">
        <v>78</v>
      </c>
      <c r="N3145" s="161" t="s">
        <v>1299</v>
      </c>
      <c r="O3145" s="161" t="s">
        <v>25</v>
      </c>
      <c r="P3145" s="49" t="s">
        <v>25</v>
      </c>
      <c r="Q3145" s="166"/>
      <c r="R3145" s="151"/>
    </row>
    <row r="3146" spans="1:18">
      <c r="A3146" s="166" t="s">
        <v>78</v>
      </c>
      <c r="B3146" s="166" t="s">
        <v>814</v>
      </c>
      <c r="C3146" s="87" t="s">
        <v>7128</v>
      </c>
      <c r="D3146" s="161" t="s">
        <v>7128</v>
      </c>
      <c r="E3146" s="161" t="s">
        <v>3154</v>
      </c>
      <c r="F3146" s="161" t="s">
        <v>6194</v>
      </c>
      <c r="G3146" s="163">
        <v>499.2936</v>
      </c>
      <c r="H3146" s="163">
        <f>G3146-G3145</f>
        <v>9.17490000000004</v>
      </c>
      <c r="I3146" s="163">
        <v>95.51</v>
      </c>
      <c r="J3146" s="174">
        <v>4398</v>
      </c>
      <c r="K3146" s="174">
        <v>242574</v>
      </c>
      <c r="L3146" s="172"/>
      <c r="M3146" s="161" t="s">
        <v>78</v>
      </c>
      <c r="N3146" s="161"/>
      <c r="O3146" s="161" t="s">
        <v>14</v>
      </c>
      <c r="P3146" s="49" t="s">
        <v>14</v>
      </c>
      <c r="Q3146" s="166"/>
      <c r="R3146" s="151"/>
    </row>
    <row r="3147" spans="1:18">
      <c r="A3147" s="166" t="s">
        <v>78</v>
      </c>
      <c r="B3147" s="191" t="s">
        <v>819</v>
      </c>
      <c r="C3147" s="135" t="s">
        <v>7084</v>
      </c>
      <c r="D3147" s="161" t="s">
        <v>7084</v>
      </c>
      <c r="E3147" s="161" t="s">
        <v>3154</v>
      </c>
      <c r="F3147" s="161" t="s">
        <v>7083</v>
      </c>
      <c r="G3147" s="171">
        <v>0</v>
      </c>
      <c r="H3147" s="163">
        <v>0</v>
      </c>
      <c r="I3147" s="163">
        <v>0</v>
      </c>
      <c r="J3147" s="174">
        <v>0</v>
      </c>
      <c r="K3147" s="174">
        <v>0</v>
      </c>
      <c r="L3147" s="172"/>
      <c r="M3147" s="161" t="s">
        <v>78</v>
      </c>
      <c r="N3147" s="161"/>
      <c r="O3147" s="161"/>
      <c r="P3147" s="49"/>
      <c r="Q3147" s="166"/>
      <c r="R3147" s="151"/>
    </row>
    <row r="3148" spans="1:18">
      <c r="A3148" s="166" t="s">
        <v>78</v>
      </c>
      <c r="B3148" s="191" t="s">
        <v>819</v>
      </c>
      <c r="C3148" s="87" t="s">
        <v>7129</v>
      </c>
      <c r="D3148" s="161" t="s">
        <v>7129</v>
      </c>
      <c r="E3148" s="161" t="s">
        <v>3154</v>
      </c>
      <c r="F3148" s="161" t="s">
        <v>7083</v>
      </c>
      <c r="G3148" s="171">
        <v>19.0949</v>
      </c>
      <c r="H3148" s="163">
        <f t="shared" ref="H3148:H3153" si="243">G3148-G3147</f>
        <v>19.0949</v>
      </c>
      <c r="I3148" s="163">
        <v>10.5</v>
      </c>
      <c r="J3148" s="174">
        <v>4272</v>
      </c>
      <c r="K3148" s="174">
        <v>4272</v>
      </c>
      <c r="L3148" s="172"/>
      <c r="M3148" s="161" t="s">
        <v>78</v>
      </c>
      <c r="N3148" s="161"/>
      <c r="O3148" s="161" t="s">
        <v>15</v>
      </c>
      <c r="P3148" s="49" t="s">
        <v>15</v>
      </c>
      <c r="Q3148" s="166"/>
      <c r="R3148" s="151"/>
    </row>
    <row r="3149" spans="1:18">
      <c r="A3149" s="166" t="s">
        <v>78</v>
      </c>
      <c r="B3149" s="191" t="s">
        <v>819</v>
      </c>
      <c r="C3149" s="87" t="s">
        <v>7130</v>
      </c>
      <c r="D3149" s="161" t="s">
        <v>7131</v>
      </c>
      <c r="E3149" s="161" t="s">
        <v>3154</v>
      </c>
      <c r="F3149" s="161" t="s">
        <v>7083</v>
      </c>
      <c r="G3149" s="171">
        <v>39.8289</v>
      </c>
      <c r="H3149" s="163">
        <f t="shared" si="243"/>
        <v>20.734</v>
      </c>
      <c r="I3149" s="174">
        <v>16.5</v>
      </c>
      <c r="J3149" s="174">
        <v>4638</v>
      </c>
      <c r="K3149" s="174">
        <v>8910</v>
      </c>
      <c r="L3149" s="172"/>
      <c r="M3149" s="161" t="s">
        <v>78</v>
      </c>
      <c r="N3149" s="161" t="s">
        <v>1299</v>
      </c>
      <c r="O3149" s="161" t="s">
        <v>14</v>
      </c>
      <c r="P3149" s="49" t="s">
        <v>14</v>
      </c>
      <c r="Q3149" s="166"/>
      <c r="R3149" s="151"/>
    </row>
    <row r="3150" spans="1:18">
      <c r="A3150" s="166" t="s">
        <v>78</v>
      </c>
      <c r="B3150" s="191" t="s">
        <v>819</v>
      </c>
      <c r="C3150" s="87" t="s">
        <v>7132</v>
      </c>
      <c r="D3150" s="161" t="s">
        <v>7133</v>
      </c>
      <c r="E3150" s="161" t="s">
        <v>3154</v>
      </c>
      <c r="F3150" s="161" t="s">
        <v>7083</v>
      </c>
      <c r="G3150" s="171">
        <v>61.1197</v>
      </c>
      <c r="H3150" s="163">
        <f t="shared" si="243"/>
        <v>21.2908</v>
      </c>
      <c r="I3150" s="163">
        <v>35.5</v>
      </c>
      <c r="J3150" s="174">
        <v>4763</v>
      </c>
      <c r="K3150" s="174">
        <v>13673</v>
      </c>
      <c r="L3150" s="172"/>
      <c r="M3150" s="161" t="s">
        <v>78</v>
      </c>
      <c r="N3150" s="161" t="s">
        <v>1299</v>
      </c>
      <c r="O3150" s="161" t="s">
        <v>25</v>
      </c>
      <c r="P3150" s="49" t="s">
        <v>25</v>
      </c>
      <c r="Q3150" s="166"/>
      <c r="R3150" s="151"/>
    </row>
    <row r="3151" spans="1:18">
      <c r="A3151" s="166" t="s">
        <v>78</v>
      </c>
      <c r="B3151" s="191" t="s">
        <v>819</v>
      </c>
      <c r="C3151" s="87" t="s">
        <v>7134</v>
      </c>
      <c r="D3151" s="161" t="s">
        <v>7135</v>
      </c>
      <c r="E3151" s="161" t="s">
        <v>3154</v>
      </c>
      <c r="F3151" s="161" t="s">
        <v>7083</v>
      </c>
      <c r="G3151" s="171">
        <v>80.74</v>
      </c>
      <c r="H3151" s="163">
        <f t="shared" si="243"/>
        <v>19.6203</v>
      </c>
      <c r="I3151" s="174">
        <v>43</v>
      </c>
      <c r="J3151" s="174">
        <v>4462</v>
      </c>
      <c r="K3151" s="174">
        <v>18134</v>
      </c>
      <c r="L3151" s="172"/>
      <c r="M3151" s="161" t="s">
        <v>78</v>
      </c>
      <c r="N3151" s="161" t="s">
        <v>1299</v>
      </c>
      <c r="O3151" s="161" t="s">
        <v>25</v>
      </c>
      <c r="P3151" s="49" t="s">
        <v>25</v>
      </c>
      <c r="Q3151" s="166"/>
      <c r="R3151" s="151"/>
    </row>
    <row r="3152" spans="1:18">
      <c r="A3152" s="166" t="s">
        <v>78</v>
      </c>
      <c r="B3152" s="191" t="s">
        <v>819</v>
      </c>
      <c r="C3152" s="87" t="s">
        <v>7136</v>
      </c>
      <c r="D3152" s="161" t="s">
        <v>7137</v>
      </c>
      <c r="E3152" s="161" t="s">
        <v>3154</v>
      </c>
      <c r="F3152" s="161" t="s">
        <v>7083</v>
      </c>
      <c r="G3152" s="171">
        <v>95.4347</v>
      </c>
      <c r="H3152" s="163">
        <f t="shared" si="243"/>
        <v>14.6947</v>
      </c>
      <c r="I3152" s="163">
        <v>15.5</v>
      </c>
      <c r="J3152" s="174">
        <v>3300</v>
      </c>
      <c r="K3152" s="174">
        <v>21435</v>
      </c>
      <c r="L3152" s="172"/>
      <c r="M3152" s="161" t="s">
        <v>78</v>
      </c>
      <c r="N3152" s="161" t="s">
        <v>1299</v>
      </c>
      <c r="O3152" s="161" t="s">
        <v>25</v>
      </c>
      <c r="P3152" s="49" t="s">
        <v>25</v>
      </c>
      <c r="Q3152" s="166"/>
      <c r="R3152" s="151"/>
    </row>
    <row r="3153" spans="1:18">
      <c r="A3153" s="166" t="s">
        <v>78</v>
      </c>
      <c r="B3153" s="191" t="s">
        <v>819</v>
      </c>
      <c r="C3153" s="87" t="s">
        <v>7138</v>
      </c>
      <c r="D3153" s="161" t="s">
        <v>7139</v>
      </c>
      <c r="E3153" s="161" t="s">
        <v>3154</v>
      </c>
      <c r="F3153" s="161" t="s">
        <v>7083</v>
      </c>
      <c r="G3153" s="171">
        <v>112.8809</v>
      </c>
      <c r="H3153" s="163">
        <f t="shared" si="243"/>
        <v>17.4462</v>
      </c>
      <c r="I3153" s="174">
        <v>43.5</v>
      </c>
      <c r="J3153" s="174">
        <v>3918</v>
      </c>
      <c r="K3153" s="174">
        <v>25353</v>
      </c>
      <c r="L3153" s="172"/>
      <c r="M3153" s="161" t="s">
        <v>78</v>
      </c>
      <c r="N3153" s="161" t="s">
        <v>1299</v>
      </c>
      <c r="O3153" s="161" t="s">
        <v>25</v>
      </c>
      <c r="P3153" s="49" t="s">
        <v>25</v>
      </c>
      <c r="Q3153" s="166"/>
      <c r="R3153" s="151"/>
    </row>
    <row r="3154" s="152" customFormat="1" ht="30" spans="1:18">
      <c r="A3154" s="166" t="s">
        <v>78</v>
      </c>
      <c r="B3154" s="191" t="s">
        <v>819</v>
      </c>
      <c r="C3154" s="87" t="s">
        <v>7140</v>
      </c>
      <c r="D3154" s="161" t="s">
        <v>7140</v>
      </c>
      <c r="E3154" s="161" t="s">
        <v>3154</v>
      </c>
      <c r="F3154" s="161" t="s">
        <v>7083</v>
      </c>
      <c r="G3154" s="171"/>
      <c r="H3154" s="163"/>
      <c r="I3154" s="174"/>
      <c r="J3154" s="174"/>
      <c r="K3154" s="174"/>
      <c r="L3154" s="172" t="s">
        <v>7141</v>
      </c>
      <c r="M3154" s="161" t="s">
        <v>78</v>
      </c>
      <c r="N3154" s="161"/>
      <c r="O3154" s="161" t="s">
        <v>14</v>
      </c>
      <c r="P3154" s="49" t="s">
        <v>14</v>
      </c>
      <c r="Q3154" s="166"/>
      <c r="R3154" s="151"/>
    </row>
    <row r="3155" spans="1:18">
      <c r="A3155" s="166" t="s">
        <v>78</v>
      </c>
      <c r="B3155" s="191" t="s">
        <v>819</v>
      </c>
      <c r="C3155" s="87" t="s">
        <v>7142</v>
      </c>
      <c r="D3155" s="161" t="s">
        <v>7142</v>
      </c>
      <c r="E3155" s="161" t="s">
        <v>3154</v>
      </c>
      <c r="F3155" s="161" t="s">
        <v>7083</v>
      </c>
      <c r="G3155" s="171">
        <v>132.3227</v>
      </c>
      <c r="H3155" s="163">
        <f>G3155-G3153</f>
        <v>19.4418</v>
      </c>
      <c r="I3155" s="163">
        <v>27.4</v>
      </c>
      <c r="J3155" s="174">
        <v>4367</v>
      </c>
      <c r="K3155" s="174">
        <v>29720</v>
      </c>
      <c r="L3155" s="172"/>
      <c r="M3155" s="161" t="s">
        <v>78</v>
      </c>
      <c r="N3155" s="161"/>
      <c r="O3155" s="161" t="s">
        <v>15</v>
      </c>
      <c r="P3155" s="49" t="s">
        <v>15</v>
      </c>
      <c r="Q3155" s="166"/>
      <c r="R3155" s="151"/>
    </row>
    <row r="3156" spans="1:18">
      <c r="A3156" s="166" t="s">
        <v>78</v>
      </c>
      <c r="B3156" s="191" t="s">
        <v>819</v>
      </c>
      <c r="C3156" s="87" t="s">
        <v>7143</v>
      </c>
      <c r="D3156" s="161" t="s">
        <v>7144</v>
      </c>
      <c r="E3156" s="161" t="s">
        <v>3154</v>
      </c>
      <c r="F3156" s="161" t="s">
        <v>7083</v>
      </c>
      <c r="G3156" s="171">
        <v>148.6547</v>
      </c>
      <c r="H3156" s="163">
        <f>G3156-G3155</f>
        <v>16.332</v>
      </c>
      <c r="I3156" s="163">
        <v>21</v>
      </c>
      <c r="J3156" s="174">
        <v>3602</v>
      </c>
      <c r="K3156" s="174">
        <v>33322</v>
      </c>
      <c r="L3156" s="172"/>
      <c r="M3156" s="161" t="s">
        <v>78</v>
      </c>
      <c r="N3156" s="161" t="s">
        <v>1299</v>
      </c>
      <c r="O3156" s="161" t="s">
        <v>25</v>
      </c>
      <c r="P3156" s="49" t="s">
        <v>25</v>
      </c>
      <c r="Q3156" s="166"/>
      <c r="R3156" s="151"/>
    </row>
    <row r="3157" spans="1:18">
      <c r="A3157" s="166" t="s">
        <v>78</v>
      </c>
      <c r="B3157" s="191" t="s">
        <v>819</v>
      </c>
      <c r="C3157" s="87" t="s">
        <v>7145</v>
      </c>
      <c r="D3157" s="161" t="s">
        <v>7146</v>
      </c>
      <c r="E3157" s="161" t="s">
        <v>3154</v>
      </c>
      <c r="F3157" s="161" t="s">
        <v>7083</v>
      </c>
      <c r="G3157" s="171">
        <v>167.5273</v>
      </c>
      <c r="H3157" s="163">
        <f>G3157-G3156</f>
        <v>18.8726</v>
      </c>
      <c r="I3157" s="163">
        <v>31</v>
      </c>
      <c r="J3157" s="174">
        <v>4410</v>
      </c>
      <c r="K3157" s="174">
        <f>K3156+J3157</f>
        <v>37732</v>
      </c>
      <c r="L3157" s="172"/>
      <c r="M3157" s="161" t="s">
        <v>78</v>
      </c>
      <c r="N3157" s="161" t="s">
        <v>1299</v>
      </c>
      <c r="O3157" s="161" t="s">
        <v>25</v>
      </c>
      <c r="P3157" s="49" t="s">
        <v>25</v>
      </c>
      <c r="Q3157" s="166"/>
      <c r="R3157" s="151"/>
    </row>
    <row r="3158" spans="1:18">
      <c r="A3158" s="166" t="s">
        <v>78</v>
      </c>
      <c r="B3158" s="191" t="s">
        <v>819</v>
      </c>
      <c r="C3158" s="87" t="s">
        <v>7147</v>
      </c>
      <c r="D3158" s="161" t="s">
        <v>7148</v>
      </c>
      <c r="E3158" s="161" t="s">
        <v>3154</v>
      </c>
      <c r="F3158" s="161" t="s">
        <v>7083</v>
      </c>
      <c r="G3158" s="171">
        <v>186.5131</v>
      </c>
      <c r="H3158" s="163">
        <f>G3158-G3157</f>
        <v>18.9858</v>
      </c>
      <c r="I3158" s="163">
        <v>17.5</v>
      </c>
      <c r="J3158" s="174">
        <v>4276</v>
      </c>
      <c r="K3158" s="174">
        <f>K3157+J3158</f>
        <v>42008</v>
      </c>
      <c r="L3158" s="172"/>
      <c r="M3158" s="161" t="s">
        <v>78</v>
      </c>
      <c r="N3158" s="161" t="s">
        <v>1299</v>
      </c>
      <c r="O3158" s="161" t="s">
        <v>25</v>
      </c>
      <c r="P3158" s="49" t="s">
        <v>25</v>
      </c>
      <c r="Q3158" s="166"/>
      <c r="R3158" s="151"/>
    </row>
    <row r="3159" spans="1:18">
      <c r="A3159" s="166" t="s">
        <v>78</v>
      </c>
      <c r="B3159" s="191" t="s">
        <v>819</v>
      </c>
      <c r="C3159" s="87" t="s">
        <v>993</v>
      </c>
      <c r="D3159" s="161" t="s">
        <v>993</v>
      </c>
      <c r="E3159" s="161" t="s">
        <v>3154</v>
      </c>
      <c r="F3159" s="161" t="s">
        <v>7083</v>
      </c>
      <c r="G3159" s="171">
        <v>204.6547</v>
      </c>
      <c r="H3159" s="163">
        <f>G3159-G3158</f>
        <v>18.1416</v>
      </c>
      <c r="I3159" s="163">
        <v>18.5</v>
      </c>
      <c r="J3159" s="174">
        <v>4086</v>
      </c>
      <c r="K3159" s="174">
        <f>K3158+J3159</f>
        <v>46094</v>
      </c>
      <c r="L3159" s="172"/>
      <c r="M3159" s="161" t="s">
        <v>78</v>
      </c>
      <c r="N3159" s="161"/>
      <c r="O3159" s="161" t="s">
        <v>14</v>
      </c>
      <c r="P3159" s="49" t="s">
        <v>14</v>
      </c>
      <c r="Q3159" s="166"/>
      <c r="R3159" s="151"/>
    </row>
    <row r="3160" spans="1:18">
      <c r="A3160" s="166" t="s">
        <v>78</v>
      </c>
      <c r="B3160" s="191" t="s">
        <v>817</v>
      </c>
      <c r="C3160" s="135" t="s">
        <v>7128</v>
      </c>
      <c r="D3160" s="161" t="s">
        <v>7128</v>
      </c>
      <c r="E3160" s="161" t="s">
        <v>3154</v>
      </c>
      <c r="F3160" s="161" t="s">
        <v>6194</v>
      </c>
      <c r="G3160" s="171">
        <v>0</v>
      </c>
      <c r="H3160" s="163">
        <v>0</v>
      </c>
      <c r="I3160" s="163">
        <v>0</v>
      </c>
      <c r="J3160" s="174">
        <v>0</v>
      </c>
      <c r="K3160" s="174">
        <v>0</v>
      </c>
      <c r="L3160" s="172"/>
      <c r="M3160" s="161" t="s">
        <v>78</v>
      </c>
      <c r="N3160" s="161"/>
      <c r="O3160" s="161"/>
      <c r="P3160" s="49"/>
      <c r="Q3160" s="166"/>
      <c r="R3160" s="151"/>
    </row>
    <row r="3161" spans="1:18">
      <c r="A3161" s="166" t="s">
        <v>78</v>
      </c>
      <c r="B3161" s="191" t="s">
        <v>817</v>
      </c>
      <c r="C3161" s="87" t="s">
        <v>7149</v>
      </c>
      <c r="D3161" s="161" t="s">
        <v>7150</v>
      </c>
      <c r="E3161" s="161" t="s">
        <v>3154</v>
      </c>
      <c r="F3161" s="161" t="s">
        <v>6194</v>
      </c>
      <c r="G3161" s="171">
        <v>13.9464</v>
      </c>
      <c r="H3161" s="163">
        <f>G3161-G3160</f>
        <v>13.9464</v>
      </c>
      <c r="I3161" s="174">
        <v>112</v>
      </c>
      <c r="J3161" s="174">
        <v>3877</v>
      </c>
      <c r="K3161" s="174">
        <v>3877</v>
      </c>
      <c r="L3161" s="172"/>
      <c r="M3161" s="161" t="s">
        <v>78</v>
      </c>
      <c r="N3161" s="161" t="s">
        <v>1299</v>
      </c>
      <c r="O3161" s="161" t="s">
        <v>25</v>
      </c>
      <c r="P3161" s="49" t="s">
        <v>25</v>
      </c>
      <c r="Q3161" s="166"/>
      <c r="R3161" s="151"/>
    </row>
    <row r="3162" spans="1:18">
      <c r="A3162" s="166" t="s">
        <v>78</v>
      </c>
      <c r="B3162" s="191" t="s">
        <v>817</v>
      </c>
      <c r="C3162" s="87" t="s">
        <v>7151</v>
      </c>
      <c r="D3162" s="161" t="s">
        <v>7151</v>
      </c>
      <c r="E3162" s="161" t="s">
        <v>3154</v>
      </c>
      <c r="F3162" s="161" t="s">
        <v>6194</v>
      </c>
      <c r="G3162" s="171">
        <v>29.4</v>
      </c>
      <c r="H3162" s="163">
        <f>G3162-G3161</f>
        <v>15.4536</v>
      </c>
      <c r="I3162" s="163">
        <v>113.7</v>
      </c>
      <c r="J3162" s="174">
        <v>3930</v>
      </c>
      <c r="K3162" s="174">
        <v>7807</v>
      </c>
      <c r="L3162" s="172"/>
      <c r="M3162" s="161" t="s">
        <v>78</v>
      </c>
      <c r="N3162" s="161"/>
      <c r="O3162" s="161" t="s">
        <v>14</v>
      </c>
      <c r="P3162" s="49" t="s">
        <v>14</v>
      </c>
      <c r="Q3162" s="166"/>
      <c r="R3162" s="151"/>
    </row>
    <row r="3163" spans="1:18">
      <c r="A3163" s="166" t="s">
        <v>78</v>
      </c>
      <c r="B3163" s="191" t="s">
        <v>823</v>
      </c>
      <c r="C3163" s="135" t="s">
        <v>7128</v>
      </c>
      <c r="D3163" s="161" t="s">
        <v>7128</v>
      </c>
      <c r="E3163" s="161" t="s">
        <v>3154</v>
      </c>
      <c r="F3163" s="161" t="s">
        <v>6194</v>
      </c>
      <c r="G3163" s="171">
        <v>0</v>
      </c>
      <c r="H3163" s="163">
        <v>0</v>
      </c>
      <c r="I3163" s="172">
        <v>96</v>
      </c>
      <c r="J3163" s="172">
        <v>0</v>
      </c>
      <c r="K3163" s="172">
        <v>0</v>
      </c>
      <c r="L3163" s="172"/>
      <c r="M3163" s="161" t="s">
        <v>78</v>
      </c>
      <c r="N3163" s="161"/>
      <c r="O3163" s="161"/>
      <c r="P3163" s="49"/>
      <c r="Q3163" s="166"/>
      <c r="R3163" s="151"/>
    </row>
    <row r="3164" spans="1:18">
      <c r="A3164" s="166" t="s">
        <v>78</v>
      </c>
      <c r="B3164" s="191" t="s">
        <v>823</v>
      </c>
      <c r="C3164" s="87" t="s">
        <v>7152</v>
      </c>
      <c r="D3164" s="161" t="s">
        <v>7153</v>
      </c>
      <c r="E3164" s="161" t="s">
        <v>3154</v>
      </c>
      <c r="F3164" s="161" t="s">
        <v>6194</v>
      </c>
      <c r="G3164" s="171">
        <v>13.5</v>
      </c>
      <c r="H3164" s="163">
        <f>G3164-G3163</f>
        <v>13.5</v>
      </c>
      <c r="I3164" s="172">
        <v>117</v>
      </c>
      <c r="J3164" s="172">
        <v>6183</v>
      </c>
      <c r="K3164" s="172">
        <v>6183</v>
      </c>
      <c r="L3164" s="172"/>
      <c r="M3164" s="161" t="s">
        <v>78</v>
      </c>
      <c r="N3164" s="161" t="s">
        <v>1299</v>
      </c>
      <c r="O3164" s="161" t="s">
        <v>25</v>
      </c>
      <c r="P3164" s="49" t="s">
        <v>25</v>
      </c>
      <c r="Q3164" s="166" t="s">
        <v>7154</v>
      </c>
      <c r="R3164" s="151"/>
    </row>
    <row r="3165" spans="1:18">
      <c r="A3165" s="166" t="s">
        <v>78</v>
      </c>
      <c r="B3165" s="191" t="s">
        <v>823</v>
      </c>
      <c r="C3165" s="87" t="s">
        <v>7155</v>
      </c>
      <c r="D3165" s="161" t="s">
        <v>7156</v>
      </c>
      <c r="E3165" s="161" t="s">
        <v>3154</v>
      </c>
      <c r="F3165" s="161" t="s">
        <v>6194</v>
      </c>
      <c r="G3165" s="171">
        <v>27.8</v>
      </c>
      <c r="H3165" s="163">
        <f t="shared" ref="H3165:H3171" si="244">G3165-G3164</f>
        <v>14.3</v>
      </c>
      <c r="I3165" s="172">
        <v>124</v>
      </c>
      <c r="J3165" s="172">
        <v>6936</v>
      </c>
      <c r="K3165" s="172">
        <v>13119</v>
      </c>
      <c r="L3165" s="172"/>
      <c r="M3165" s="161" t="s">
        <v>78</v>
      </c>
      <c r="N3165" s="161" t="s">
        <v>1299</v>
      </c>
      <c r="O3165" s="161" t="s">
        <v>25</v>
      </c>
      <c r="P3165" s="49" t="s">
        <v>25</v>
      </c>
      <c r="Q3165" s="166" t="s">
        <v>7157</v>
      </c>
      <c r="R3165" s="151"/>
    </row>
    <row r="3166" spans="1:18">
      <c r="A3166" s="166" t="s">
        <v>78</v>
      </c>
      <c r="B3166" s="191" t="s">
        <v>823</v>
      </c>
      <c r="C3166" s="87" t="s">
        <v>7158</v>
      </c>
      <c r="D3166" s="161" t="s">
        <v>7159</v>
      </c>
      <c r="E3166" s="161" t="s">
        <v>3154</v>
      </c>
      <c r="F3166" s="161" t="s">
        <v>6194</v>
      </c>
      <c r="G3166" s="171">
        <v>51.8</v>
      </c>
      <c r="H3166" s="163">
        <f t="shared" si="244"/>
        <v>24</v>
      </c>
      <c r="I3166" s="172">
        <v>135</v>
      </c>
      <c r="J3166" s="172">
        <v>11640</v>
      </c>
      <c r="K3166" s="172">
        <v>24759</v>
      </c>
      <c r="L3166" s="172"/>
      <c r="M3166" s="161" t="s">
        <v>78</v>
      </c>
      <c r="N3166" s="161" t="s">
        <v>1299</v>
      </c>
      <c r="O3166" s="161" t="s">
        <v>25</v>
      </c>
      <c r="P3166" s="49" t="s">
        <v>25</v>
      </c>
      <c r="Q3166" s="166" t="s">
        <v>7160</v>
      </c>
      <c r="R3166" s="151"/>
    </row>
    <row r="3167" spans="1:18">
      <c r="A3167" s="166" t="s">
        <v>78</v>
      </c>
      <c r="B3167" s="191" t="s">
        <v>823</v>
      </c>
      <c r="C3167" s="87" t="s">
        <v>7161</v>
      </c>
      <c r="D3167" s="161" t="s">
        <v>7162</v>
      </c>
      <c r="E3167" s="161" t="s">
        <v>3154</v>
      </c>
      <c r="F3167" s="161" t="s">
        <v>6194</v>
      </c>
      <c r="G3167" s="171">
        <v>67.8</v>
      </c>
      <c r="H3167" s="163">
        <f t="shared" si="244"/>
        <v>16</v>
      </c>
      <c r="I3167" s="172">
        <v>117</v>
      </c>
      <c r="J3167" s="172">
        <v>7760</v>
      </c>
      <c r="K3167" s="172">
        <v>32519</v>
      </c>
      <c r="L3167" s="172"/>
      <c r="M3167" s="161" t="s">
        <v>78</v>
      </c>
      <c r="N3167" s="161" t="s">
        <v>1299</v>
      </c>
      <c r="O3167" s="161" t="s">
        <v>25</v>
      </c>
      <c r="P3167" s="49" t="s">
        <v>25</v>
      </c>
      <c r="Q3167" s="166" t="s">
        <v>7163</v>
      </c>
      <c r="R3167" s="151"/>
    </row>
    <row r="3168" spans="1:18">
      <c r="A3168" s="166" t="s">
        <v>78</v>
      </c>
      <c r="B3168" s="191" t="s">
        <v>823</v>
      </c>
      <c r="C3168" s="87" t="s">
        <v>7164</v>
      </c>
      <c r="D3168" s="161" t="s">
        <v>7165</v>
      </c>
      <c r="E3168" s="161" t="s">
        <v>3154</v>
      </c>
      <c r="F3168" s="161" t="s">
        <v>6194</v>
      </c>
      <c r="G3168" s="171">
        <v>90.8</v>
      </c>
      <c r="H3168" s="163">
        <f t="shared" si="244"/>
        <v>23</v>
      </c>
      <c r="I3168" s="172">
        <v>144</v>
      </c>
      <c r="J3168" s="172">
        <v>11155</v>
      </c>
      <c r="K3168" s="172">
        <v>43674</v>
      </c>
      <c r="L3168" s="172"/>
      <c r="M3168" s="161" t="s">
        <v>78</v>
      </c>
      <c r="N3168" s="161" t="s">
        <v>1299</v>
      </c>
      <c r="O3168" s="161" t="s">
        <v>25</v>
      </c>
      <c r="P3168" s="49" t="s">
        <v>25</v>
      </c>
      <c r="Q3168" s="166" t="s">
        <v>7166</v>
      </c>
      <c r="R3168" s="151"/>
    </row>
    <row r="3169" spans="1:18">
      <c r="A3169" s="166" t="s">
        <v>78</v>
      </c>
      <c r="B3169" s="191" t="s">
        <v>823</v>
      </c>
      <c r="C3169" s="87" t="s">
        <v>7167</v>
      </c>
      <c r="D3169" s="161" t="s">
        <v>7168</v>
      </c>
      <c r="E3169" s="161" t="s">
        <v>3154</v>
      </c>
      <c r="F3169" s="161" t="s">
        <v>6256</v>
      </c>
      <c r="G3169" s="171">
        <v>113.2</v>
      </c>
      <c r="H3169" s="163">
        <f t="shared" si="244"/>
        <v>22.4</v>
      </c>
      <c r="I3169" s="172">
        <v>182</v>
      </c>
      <c r="J3169" s="172">
        <v>10864</v>
      </c>
      <c r="K3169" s="172">
        <v>54538</v>
      </c>
      <c r="L3169" s="172"/>
      <c r="M3169" s="161" t="s">
        <v>78</v>
      </c>
      <c r="N3169" s="161" t="s">
        <v>1299</v>
      </c>
      <c r="O3169" s="161" t="s">
        <v>25</v>
      </c>
      <c r="P3169" s="49" t="s">
        <v>25</v>
      </c>
      <c r="Q3169" s="166" t="s">
        <v>7169</v>
      </c>
      <c r="R3169" s="151"/>
    </row>
    <row r="3170" spans="1:18">
      <c r="A3170" s="166" t="s">
        <v>78</v>
      </c>
      <c r="B3170" s="191" t="s">
        <v>823</v>
      </c>
      <c r="C3170" s="87" t="s">
        <v>7170</v>
      </c>
      <c r="D3170" s="161" t="s">
        <v>7171</v>
      </c>
      <c r="E3170" s="161" t="s">
        <v>3154</v>
      </c>
      <c r="F3170" s="161" t="s">
        <v>6256</v>
      </c>
      <c r="G3170" s="171">
        <v>133.9</v>
      </c>
      <c r="H3170" s="163">
        <f t="shared" si="244"/>
        <v>20.7</v>
      </c>
      <c r="I3170" s="172">
        <v>150</v>
      </c>
      <c r="J3170" s="172">
        <v>10040</v>
      </c>
      <c r="K3170" s="172">
        <v>64578</v>
      </c>
      <c r="L3170" s="172"/>
      <c r="M3170" s="161" t="s">
        <v>78</v>
      </c>
      <c r="N3170" s="161" t="s">
        <v>1299</v>
      </c>
      <c r="O3170" s="161" t="s">
        <v>25</v>
      </c>
      <c r="P3170" s="49" t="s">
        <v>25</v>
      </c>
      <c r="Q3170" s="166" t="s">
        <v>7172</v>
      </c>
      <c r="R3170" s="151"/>
    </row>
    <row r="3171" spans="1:18">
      <c r="A3171" s="166" t="s">
        <v>78</v>
      </c>
      <c r="B3171" s="191" t="s">
        <v>823</v>
      </c>
      <c r="C3171" s="87" t="s">
        <v>7173</v>
      </c>
      <c r="D3171" s="161" t="s">
        <v>7173</v>
      </c>
      <c r="E3171" s="161" t="s">
        <v>3154</v>
      </c>
      <c r="F3171" s="161" t="s">
        <v>6256</v>
      </c>
      <c r="G3171" s="171">
        <v>153.7</v>
      </c>
      <c r="H3171" s="163">
        <f t="shared" si="244"/>
        <v>19.8</v>
      </c>
      <c r="I3171" s="172">
        <v>108</v>
      </c>
      <c r="J3171" s="172">
        <v>9603</v>
      </c>
      <c r="K3171" s="172">
        <v>74181</v>
      </c>
      <c r="L3171" s="172"/>
      <c r="M3171" s="161" t="s">
        <v>78</v>
      </c>
      <c r="N3171" s="161"/>
      <c r="O3171" s="161" t="s">
        <v>15</v>
      </c>
      <c r="P3171" s="49" t="s">
        <v>15</v>
      </c>
      <c r="Q3171" s="166" t="s">
        <v>7174</v>
      </c>
      <c r="R3171" s="151"/>
    </row>
    <row r="3172" spans="1:18">
      <c r="A3172" s="166" t="s">
        <v>82</v>
      </c>
      <c r="B3172" s="191" t="s">
        <v>824</v>
      </c>
      <c r="C3172" s="135" t="s">
        <v>720</v>
      </c>
      <c r="D3172" s="161" t="s">
        <v>720</v>
      </c>
      <c r="E3172" s="161" t="s">
        <v>2204</v>
      </c>
      <c r="F3172" s="161" t="s">
        <v>6503</v>
      </c>
      <c r="G3172" s="163">
        <v>0</v>
      </c>
      <c r="H3172" s="163">
        <v>0</v>
      </c>
      <c r="I3172" s="163"/>
      <c r="J3172" s="174">
        <v>0</v>
      </c>
      <c r="K3172" s="172">
        <v>0</v>
      </c>
      <c r="L3172" s="172"/>
      <c r="M3172" s="161" t="s">
        <v>6430</v>
      </c>
      <c r="N3172" s="161"/>
      <c r="O3172" s="161"/>
      <c r="P3172" s="49"/>
      <c r="Q3172" s="166"/>
      <c r="R3172" s="151"/>
    </row>
    <row r="3173" spans="1:18">
      <c r="A3173" s="166" t="s">
        <v>82</v>
      </c>
      <c r="B3173" s="191" t="s">
        <v>824</v>
      </c>
      <c r="C3173" s="135" t="s">
        <v>825</v>
      </c>
      <c r="D3173" s="161" t="s">
        <v>3611</v>
      </c>
      <c r="E3173" s="161" t="s">
        <v>2204</v>
      </c>
      <c r="F3173" s="161" t="s">
        <v>6503</v>
      </c>
      <c r="G3173" s="171">
        <v>3.41</v>
      </c>
      <c r="H3173" s="171">
        <v>3.41</v>
      </c>
      <c r="I3173" s="163"/>
      <c r="J3173" s="172">
        <v>1320.16</v>
      </c>
      <c r="K3173" s="172">
        <v>1320.16</v>
      </c>
      <c r="L3173" s="172"/>
      <c r="M3173" s="161" t="s">
        <v>3317</v>
      </c>
      <c r="N3173" s="161"/>
      <c r="O3173" s="161"/>
      <c r="P3173" s="49"/>
      <c r="Q3173" s="166"/>
      <c r="R3173" s="151"/>
    </row>
    <row r="3174" spans="1:18">
      <c r="A3174" s="166" t="s">
        <v>82</v>
      </c>
      <c r="B3174" s="191" t="s">
        <v>826</v>
      </c>
      <c r="C3174" s="85" t="s">
        <v>825</v>
      </c>
      <c r="D3174" s="161" t="s">
        <v>3611</v>
      </c>
      <c r="E3174" s="161" t="s">
        <v>2204</v>
      </c>
      <c r="F3174" s="161" t="s">
        <v>7175</v>
      </c>
      <c r="G3174" s="171">
        <v>0</v>
      </c>
      <c r="H3174" s="163">
        <v>0</v>
      </c>
      <c r="I3174" s="163">
        <v>26</v>
      </c>
      <c r="J3174" s="174">
        <v>0</v>
      </c>
      <c r="K3174" s="172">
        <v>0</v>
      </c>
      <c r="L3174" s="172"/>
      <c r="M3174" s="161" t="s">
        <v>3317</v>
      </c>
      <c r="N3174" s="161"/>
      <c r="O3174" s="161" t="s">
        <v>15</v>
      </c>
      <c r="P3174" s="49" t="s">
        <v>15</v>
      </c>
      <c r="Q3174" s="166"/>
      <c r="R3174" s="151"/>
    </row>
    <row r="3175" spans="1:18">
      <c r="A3175" s="166" t="s">
        <v>82</v>
      </c>
      <c r="B3175" s="191" t="s">
        <v>826</v>
      </c>
      <c r="C3175" s="85" t="s">
        <v>7176</v>
      </c>
      <c r="D3175" s="161" t="s">
        <v>7177</v>
      </c>
      <c r="E3175" s="161" t="s">
        <v>2204</v>
      </c>
      <c r="F3175" s="161" t="s">
        <v>7178</v>
      </c>
      <c r="G3175" s="171">
        <v>16.21</v>
      </c>
      <c r="H3175" s="163">
        <f t="shared" ref="H3175:H3183" si="245">G3175-G3174</f>
        <v>16.21</v>
      </c>
      <c r="I3175" s="163">
        <v>26</v>
      </c>
      <c r="J3175" s="174">
        <v>12471</v>
      </c>
      <c r="K3175" s="174">
        <v>12471</v>
      </c>
      <c r="L3175" s="172"/>
      <c r="M3175" s="161" t="s">
        <v>82</v>
      </c>
      <c r="N3175" s="161" t="s">
        <v>1299</v>
      </c>
      <c r="O3175" s="161" t="s">
        <v>25</v>
      </c>
      <c r="P3175" s="49" t="s">
        <v>25</v>
      </c>
      <c r="Q3175" s="166"/>
      <c r="R3175" s="151"/>
    </row>
    <row r="3176" spans="1:18">
      <c r="A3176" s="166" t="s">
        <v>82</v>
      </c>
      <c r="B3176" s="191" t="s">
        <v>826</v>
      </c>
      <c r="C3176" s="85" t="s">
        <v>7179</v>
      </c>
      <c r="D3176" s="161" t="s">
        <v>7180</v>
      </c>
      <c r="E3176" s="161" t="s">
        <v>2204</v>
      </c>
      <c r="F3176" s="161" t="s">
        <v>7178</v>
      </c>
      <c r="G3176" s="171">
        <v>34.94</v>
      </c>
      <c r="H3176" s="163">
        <f t="shared" si="245"/>
        <v>18.73</v>
      </c>
      <c r="I3176" s="163">
        <v>26</v>
      </c>
      <c r="J3176" s="174">
        <v>14512</v>
      </c>
      <c r="K3176" s="174">
        <v>26983</v>
      </c>
      <c r="L3176" s="172"/>
      <c r="M3176" s="161" t="s">
        <v>82</v>
      </c>
      <c r="N3176" s="161" t="s">
        <v>1299</v>
      </c>
      <c r="O3176" s="161" t="s">
        <v>25</v>
      </c>
      <c r="P3176" s="49" t="s">
        <v>25</v>
      </c>
      <c r="Q3176" s="166"/>
      <c r="R3176" s="151"/>
    </row>
    <row r="3177" spans="1:18">
      <c r="A3177" s="166" t="s">
        <v>82</v>
      </c>
      <c r="B3177" s="191" t="s">
        <v>826</v>
      </c>
      <c r="C3177" s="85" t="s">
        <v>7181</v>
      </c>
      <c r="D3177" s="161" t="s">
        <v>7182</v>
      </c>
      <c r="E3177" s="161" t="s">
        <v>2204</v>
      </c>
      <c r="F3177" s="161" t="s">
        <v>7178</v>
      </c>
      <c r="G3177" s="171">
        <v>54.73</v>
      </c>
      <c r="H3177" s="163">
        <f t="shared" si="245"/>
        <v>19.79</v>
      </c>
      <c r="I3177" s="163">
        <v>26</v>
      </c>
      <c r="J3177" s="174">
        <v>15117</v>
      </c>
      <c r="K3177" s="174">
        <v>42100</v>
      </c>
      <c r="L3177" s="172"/>
      <c r="M3177" s="161" t="s">
        <v>82</v>
      </c>
      <c r="N3177" s="161" t="s">
        <v>1299</v>
      </c>
      <c r="O3177" s="161" t="s">
        <v>25</v>
      </c>
      <c r="P3177" s="49" t="s">
        <v>25</v>
      </c>
      <c r="Q3177" s="166"/>
      <c r="R3177" s="151"/>
    </row>
    <row r="3178" spans="1:18">
      <c r="A3178" s="166" t="s">
        <v>82</v>
      </c>
      <c r="B3178" s="191" t="s">
        <v>826</v>
      </c>
      <c r="C3178" s="85" t="s">
        <v>7183</v>
      </c>
      <c r="D3178" s="161" t="s">
        <v>7184</v>
      </c>
      <c r="E3178" s="161" t="s">
        <v>2204</v>
      </c>
      <c r="F3178" s="161" t="s">
        <v>7175</v>
      </c>
      <c r="G3178" s="171">
        <v>61.99</v>
      </c>
      <c r="H3178" s="163">
        <f t="shared" si="245"/>
        <v>7.26000000000001</v>
      </c>
      <c r="I3178" s="163">
        <v>26</v>
      </c>
      <c r="J3178" s="174">
        <v>5593</v>
      </c>
      <c r="K3178" s="174">
        <v>47693</v>
      </c>
      <c r="L3178" s="172"/>
      <c r="M3178" s="161" t="s">
        <v>82</v>
      </c>
      <c r="N3178" s="161"/>
      <c r="O3178" s="161" t="s">
        <v>15</v>
      </c>
      <c r="P3178" s="49" t="s">
        <v>15</v>
      </c>
      <c r="Q3178" s="166"/>
      <c r="R3178" s="151"/>
    </row>
    <row r="3179" spans="1:18">
      <c r="A3179" s="166" t="s">
        <v>82</v>
      </c>
      <c r="B3179" s="191" t="s">
        <v>826</v>
      </c>
      <c r="C3179" s="85" t="s">
        <v>7185</v>
      </c>
      <c r="D3179" s="161" t="s">
        <v>7186</v>
      </c>
      <c r="E3179" s="161" t="s">
        <v>2204</v>
      </c>
      <c r="F3179" s="161" t="s">
        <v>5042</v>
      </c>
      <c r="G3179" s="171">
        <v>76.48</v>
      </c>
      <c r="H3179" s="163">
        <f t="shared" si="245"/>
        <v>14.49</v>
      </c>
      <c r="I3179" s="163">
        <v>26</v>
      </c>
      <c r="J3179" s="174">
        <v>11338</v>
      </c>
      <c r="K3179" s="174">
        <v>59031</v>
      </c>
      <c r="L3179" s="172"/>
      <c r="M3179" s="161" t="s">
        <v>82</v>
      </c>
      <c r="N3179" s="161" t="s">
        <v>1299</v>
      </c>
      <c r="O3179" s="161" t="s">
        <v>25</v>
      </c>
      <c r="P3179" s="49" t="s">
        <v>25</v>
      </c>
      <c r="Q3179" s="166"/>
      <c r="R3179" s="151"/>
    </row>
    <row r="3180" spans="1:18">
      <c r="A3180" s="166" t="s">
        <v>82</v>
      </c>
      <c r="B3180" s="191" t="s">
        <v>826</v>
      </c>
      <c r="C3180" s="85" t="s">
        <v>7187</v>
      </c>
      <c r="D3180" s="161" t="s">
        <v>7188</v>
      </c>
      <c r="E3180" s="161" t="s">
        <v>2204</v>
      </c>
      <c r="F3180" s="161" t="s">
        <v>5042</v>
      </c>
      <c r="G3180" s="171">
        <v>89.12</v>
      </c>
      <c r="H3180" s="163">
        <f t="shared" si="245"/>
        <v>12.64</v>
      </c>
      <c r="I3180" s="163">
        <v>26</v>
      </c>
      <c r="J3180" s="174">
        <v>9901</v>
      </c>
      <c r="K3180" s="174">
        <v>68932</v>
      </c>
      <c r="L3180" s="172"/>
      <c r="M3180" s="161" t="s">
        <v>82</v>
      </c>
      <c r="N3180" s="161" t="s">
        <v>1299</v>
      </c>
      <c r="O3180" s="161" t="s">
        <v>25</v>
      </c>
      <c r="P3180" s="49" t="s">
        <v>25</v>
      </c>
      <c r="Q3180" s="166"/>
      <c r="R3180" s="151"/>
    </row>
    <row r="3181" spans="1:18">
      <c r="A3181" s="166" t="s">
        <v>82</v>
      </c>
      <c r="B3181" s="191" t="s">
        <v>826</v>
      </c>
      <c r="C3181" s="85" t="s">
        <v>7189</v>
      </c>
      <c r="D3181" s="161" t="s">
        <v>7190</v>
      </c>
      <c r="E3181" s="161" t="s">
        <v>2204</v>
      </c>
      <c r="F3181" s="161" t="s">
        <v>5042</v>
      </c>
      <c r="G3181" s="171">
        <v>102.45</v>
      </c>
      <c r="H3181" s="163">
        <f t="shared" si="245"/>
        <v>13.33</v>
      </c>
      <c r="I3181" s="163">
        <v>26</v>
      </c>
      <c r="J3181" s="174">
        <v>10053</v>
      </c>
      <c r="K3181" s="174">
        <v>78985</v>
      </c>
      <c r="L3181" s="172"/>
      <c r="M3181" s="161" t="s">
        <v>82</v>
      </c>
      <c r="N3181" s="161" t="s">
        <v>1299</v>
      </c>
      <c r="O3181" s="161" t="s">
        <v>25</v>
      </c>
      <c r="P3181" s="49" t="s">
        <v>25</v>
      </c>
      <c r="Q3181" s="166"/>
      <c r="R3181" s="151"/>
    </row>
    <row r="3182" spans="1:18">
      <c r="A3182" s="166" t="s">
        <v>82</v>
      </c>
      <c r="B3182" s="191" t="s">
        <v>826</v>
      </c>
      <c r="C3182" s="85" t="s">
        <v>7191</v>
      </c>
      <c r="D3182" s="161" t="s">
        <v>7192</v>
      </c>
      <c r="E3182" s="161" t="s">
        <v>2939</v>
      </c>
      <c r="F3182" s="161" t="s">
        <v>7193</v>
      </c>
      <c r="G3182" s="171">
        <v>107.01</v>
      </c>
      <c r="H3182" s="163">
        <f t="shared" si="245"/>
        <v>4.56</v>
      </c>
      <c r="I3182" s="163">
        <v>27</v>
      </c>
      <c r="J3182" s="174">
        <v>481</v>
      </c>
      <c r="K3182" s="174">
        <v>79466</v>
      </c>
      <c r="L3182" s="172"/>
      <c r="M3182" s="161" t="s">
        <v>82</v>
      </c>
      <c r="N3182" s="161" t="s">
        <v>1299</v>
      </c>
      <c r="O3182" s="161" t="s">
        <v>25</v>
      </c>
      <c r="P3182" s="49" t="s">
        <v>25</v>
      </c>
      <c r="Q3182" s="166"/>
      <c r="R3182" s="151"/>
    </row>
    <row r="3183" spans="1:18">
      <c r="A3183" s="166" t="s">
        <v>82</v>
      </c>
      <c r="B3183" s="191" t="s">
        <v>826</v>
      </c>
      <c r="C3183" s="85" t="s">
        <v>7194</v>
      </c>
      <c r="D3183" s="161" t="s">
        <v>7195</v>
      </c>
      <c r="E3183" s="161" t="s">
        <v>2939</v>
      </c>
      <c r="F3183" s="161" t="s">
        <v>7193</v>
      </c>
      <c r="G3183" s="171">
        <v>119.59</v>
      </c>
      <c r="H3183" s="163">
        <f t="shared" si="245"/>
        <v>12.58</v>
      </c>
      <c r="I3183" s="163">
        <v>78.5</v>
      </c>
      <c r="J3183" s="174">
        <v>9372</v>
      </c>
      <c r="K3183" s="174">
        <v>88838</v>
      </c>
      <c r="L3183" s="172"/>
      <c r="M3183" s="161" t="s">
        <v>82</v>
      </c>
      <c r="N3183" s="161" t="s">
        <v>1299</v>
      </c>
      <c r="O3183" s="161" t="s">
        <v>25</v>
      </c>
      <c r="P3183" s="49" t="s">
        <v>25</v>
      </c>
      <c r="Q3183" s="166"/>
      <c r="R3183" s="151"/>
    </row>
    <row r="3184" s="151" customFormat="1" ht="120" spans="1:17">
      <c r="A3184" s="166" t="s">
        <v>82</v>
      </c>
      <c r="B3184" s="191" t="s">
        <v>826</v>
      </c>
      <c r="C3184" s="85" t="s">
        <v>7196</v>
      </c>
      <c r="D3184" s="49" t="s">
        <v>7196</v>
      </c>
      <c r="E3184" s="164" t="s">
        <v>2939</v>
      </c>
      <c r="F3184" s="164"/>
      <c r="G3184" s="171" t="s">
        <v>147</v>
      </c>
      <c r="H3184" s="163" t="s">
        <v>147</v>
      </c>
      <c r="I3184" s="163" t="s">
        <v>147</v>
      </c>
      <c r="J3184" s="174" t="s">
        <v>147</v>
      </c>
      <c r="K3184" s="174" t="s">
        <v>147</v>
      </c>
      <c r="L3184" s="172" t="s">
        <v>7197</v>
      </c>
      <c r="M3184" s="161" t="s">
        <v>82</v>
      </c>
      <c r="N3184" s="161" t="s">
        <v>1295</v>
      </c>
      <c r="O3184" s="161"/>
      <c r="P3184" s="49" t="s">
        <v>14</v>
      </c>
      <c r="Q3184" s="166" t="s">
        <v>7198</v>
      </c>
    </row>
    <row r="3185" spans="1:18">
      <c r="A3185" s="166" t="s">
        <v>82</v>
      </c>
      <c r="B3185" s="191" t="s">
        <v>826</v>
      </c>
      <c r="C3185" s="85" t="s">
        <v>7199</v>
      </c>
      <c r="D3185" s="161" t="s">
        <v>7200</v>
      </c>
      <c r="E3185" s="161" t="s">
        <v>2939</v>
      </c>
      <c r="F3185" s="161" t="s">
        <v>7193</v>
      </c>
      <c r="G3185" s="171">
        <v>135.16</v>
      </c>
      <c r="H3185" s="163">
        <f>G3185-G3183</f>
        <v>15.57</v>
      </c>
      <c r="I3185" s="163">
        <v>94</v>
      </c>
      <c r="J3185" s="174">
        <v>11791</v>
      </c>
      <c r="K3185" s="174">
        <v>100629</v>
      </c>
      <c r="L3185" s="172"/>
      <c r="M3185" s="161" t="s">
        <v>82</v>
      </c>
      <c r="N3185" s="161" t="s">
        <v>1299</v>
      </c>
      <c r="O3185" s="161" t="s">
        <v>25</v>
      </c>
      <c r="P3185" s="49" t="s">
        <v>25</v>
      </c>
      <c r="Q3185" s="166"/>
      <c r="R3185" s="151"/>
    </row>
    <row r="3186" spans="1:18">
      <c r="A3186" s="166" t="s">
        <v>82</v>
      </c>
      <c r="B3186" s="191" t="s">
        <v>826</v>
      </c>
      <c r="C3186" s="85" t="s">
        <v>7201</v>
      </c>
      <c r="D3186" s="161" t="s">
        <v>7202</v>
      </c>
      <c r="E3186" s="161" t="s">
        <v>2939</v>
      </c>
      <c r="F3186" s="161" t="s">
        <v>7193</v>
      </c>
      <c r="G3186" s="171">
        <v>145.84</v>
      </c>
      <c r="H3186" s="163">
        <f t="shared" ref="H3185:H3204" si="246">G3186-G3185</f>
        <v>10.68</v>
      </c>
      <c r="I3186" s="163">
        <v>60</v>
      </c>
      <c r="J3186" s="174">
        <v>7634</v>
      </c>
      <c r="K3186" s="174">
        <v>108263</v>
      </c>
      <c r="L3186" s="172"/>
      <c r="M3186" s="161" t="s">
        <v>82</v>
      </c>
      <c r="N3186" s="161" t="s">
        <v>1299</v>
      </c>
      <c r="O3186" s="161" t="s">
        <v>25</v>
      </c>
      <c r="P3186" s="49" t="s">
        <v>25</v>
      </c>
      <c r="Q3186" s="166"/>
      <c r="R3186" s="151"/>
    </row>
    <row r="3187" spans="1:18">
      <c r="A3187" s="166" t="s">
        <v>82</v>
      </c>
      <c r="B3187" s="191" t="s">
        <v>826</v>
      </c>
      <c r="C3187" s="85" t="s">
        <v>7203</v>
      </c>
      <c r="D3187" s="161" t="s">
        <v>7204</v>
      </c>
      <c r="E3187" s="161" t="s">
        <v>2939</v>
      </c>
      <c r="F3187" s="161" t="s">
        <v>7175</v>
      </c>
      <c r="G3187" s="171">
        <v>161.21</v>
      </c>
      <c r="H3187" s="163">
        <f t="shared" si="246"/>
        <v>15.37</v>
      </c>
      <c r="I3187" s="163">
        <v>45</v>
      </c>
      <c r="J3187" s="174">
        <v>11791</v>
      </c>
      <c r="K3187" s="174">
        <v>120054</v>
      </c>
      <c r="L3187" s="172"/>
      <c r="M3187" s="161" t="s">
        <v>82</v>
      </c>
      <c r="N3187" s="161"/>
      <c r="O3187" s="161" t="s">
        <v>15</v>
      </c>
      <c r="P3187" s="49" t="s">
        <v>15</v>
      </c>
      <c r="Q3187" s="166"/>
      <c r="R3187" s="151"/>
    </row>
    <row r="3188" spans="1:18">
      <c r="A3188" s="166" t="s">
        <v>82</v>
      </c>
      <c r="B3188" s="191" t="s">
        <v>826</v>
      </c>
      <c r="C3188" s="85" t="s">
        <v>7205</v>
      </c>
      <c r="D3188" s="161" t="s">
        <v>7206</v>
      </c>
      <c r="E3188" s="161" t="s">
        <v>2939</v>
      </c>
      <c r="F3188" s="161" t="s">
        <v>7193</v>
      </c>
      <c r="G3188" s="171">
        <v>180.389</v>
      </c>
      <c r="H3188" s="163">
        <f t="shared" si="246"/>
        <v>19.179</v>
      </c>
      <c r="I3188" s="163">
        <v>32</v>
      </c>
      <c r="J3188" s="174">
        <v>14739</v>
      </c>
      <c r="K3188" s="174">
        <v>134793</v>
      </c>
      <c r="L3188" s="172"/>
      <c r="M3188" s="161" t="s">
        <v>82</v>
      </c>
      <c r="N3188" s="161" t="s">
        <v>1299</v>
      </c>
      <c r="O3188" s="161" t="s">
        <v>25</v>
      </c>
      <c r="P3188" s="49" t="s">
        <v>25</v>
      </c>
      <c r="Q3188" s="166"/>
      <c r="R3188" s="151"/>
    </row>
    <row r="3189" spans="1:18">
      <c r="A3189" s="166" t="s">
        <v>82</v>
      </c>
      <c r="B3189" s="191" t="s">
        <v>826</v>
      </c>
      <c r="C3189" s="85" t="s">
        <v>7207</v>
      </c>
      <c r="D3189" s="161" t="s">
        <v>7208</v>
      </c>
      <c r="E3189" s="161" t="s">
        <v>2939</v>
      </c>
      <c r="F3189" s="161" t="s">
        <v>7193</v>
      </c>
      <c r="G3189" s="171">
        <v>199.464</v>
      </c>
      <c r="H3189" s="163">
        <f t="shared" si="246"/>
        <v>19.075</v>
      </c>
      <c r="I3189" s="163">
        <v>74</v>
      </c>
      <c r="J3189" s="174">
        <v>14814</v>
      </c>
      <c r="K3189" s="174">
        <v>149607</v>
      </c>
      <c r="L3189" s="172"/>
      <c r="M3189" s="161" t="s">
        <v>82</v>
      </c>
      <c r="N3189" s="161" t="s">
        <v>1299</v>
      </c>
      <c r="O3189" s="161" t="s">
        <v>25</v>
      </c>
      <c r="P3189" s="49" t="s">
        <v>25</v>
      </c>
      <c r="Q3189" s="166"/>
      <c r="R3189" s="151"/>
    </row>
    <row r="3190" spans="1:18">
      <c r="A3190" s="166" t="s">
        <v>82</v>
      </c>
      <c r="B3190" s="191" t="s">
        <v>826</v>
      </c>
      <c r="C3190" s="85" t="s">
        <v>7209</v>
      </c>
      <c r="D3190" s="161" t="s">
        <v>7210</v>
      </c>
      <c r="E3190" s="161" t="s">
        <v>2939</v>
      </c>
      <c r="F3190" s="161" t="s">
        <v>7193</v>
      </c>
      <c r="G3190" s="171">
        <v>219.084</v>
      </c>
      <c r="H3190" s="163">
        <f t="shared" si="246"/>
        <v>19.62</v>
      </c>
      <c r="I3190" s="163">
        <v>71</v>
      </c>
      <c r="J3190" s="174">
        <v>15117</v>
      </c>
      <c r="K3190" s="174">
        <v>164724</v>
      </c>
      <c r="L3190" s="172"/>
      <c r="M3190" s="161" t="s">
        <v>82</v>
      </c>
      <c r="N3190" s="161" t="s">
        <v>1299</v>
      </c>
      <c r="O3190" s="161" t="s">
        <v>25</v>
      </c>
      <c r="P3190" s="49" t="s">
        <v>25</v>
      </c>
      <c r="Q3190" s="166"/>
      <c r="R3190" s="151"/>
    </row>
    <row r="3191" spans="1:18">
      <c r="A3191" s="166" t="s">
        <v>82</v>
      </c>
      <c r="B3191" s="191" t="s">
        <v>826</v>
      </c>
      <c r="C3191" s="85" t="s">
        <v>7211</v>
      </c>
      <c r="D3191" s="161" t="s">
        <v>7212</v>
      </c>
      <c r="E3191" s="161" t="s">
        <v>2939</v>
      </c>
      <c r="F3191" s="161" t="s">
        <v>7193</v>
      </c>
      <c r="G3191" s="171">
        <v>242.195</v>
      </c>
      <c r="H3191" s="163">
        <f t="shared" si="246"/>
        <v>23.111</v>
      </c>
      <c r="I3191" s="163">
        <v>54</v>
      </c>
      <c r="J3191" s="174">
        <v>17309</v>
      </c>
      <c r="K3191" s="174">
        <v>182033</v>
      </c>
      <c r="L3191" s="172"/>
      <c r="M3191" s="161" t="s">
        <v>82</v>
      </c>
      <c r="N3191" s="161" t="s">
        <v>1299</v>
      </c>
      <c r="O3191" s="161" t="s">
        <v>25</v>
      </c>
      <c r="P3191" s="49" t="s">
        <v>25</v>
      </c>
      <c r="Q3191" s="166"/>
      <c r="R3191" s="151"/>
    </row>
    <row r="3192" spans="1:18">
      <c r="A3192" s="166" t="s">
        <v>82</v>
      </c>
      <c r="B3192" s="191" t="s">
        <v>826</v>
      </c>
      <c r="C3192" s="85" t="s">
        <v>7213</v>
      </c>
      <c r="D3192" s="161" t="s">
        <v>7214</v>
      </c>
      <c r="E3192" s="161" t="s">
        <v>2939</v>
      </c>
      <c r="F3192" s="161" t="s">
        <v>5070</v>
      </c>
      <c r="G3192" s="171">
        <v>256.665</v>
      </c>
      <c r="H3192" s="163">
        <f t="shared" si="246"/>
        <v>14.47</v>
      </c>
      <c r="I3192" s="163">
        <v>62</v>
      </c>
      <c r="J3192" s="174">
        <v>10960</v>
      </c>
      <c r="K3192" s="174">
        <v>192993</v>
      </c>
      <c r="L3192" s="172"/>
      <c r="M3192" s="161" t="s">
        <v>82</v>
      </c>
      <c r="N3192" s="161" t="s">
        <v>1299</v>
      </c>
      <c r="O3192" s="161" t="s">
        <v>25</v>
      </c>
      <c r="P3192" s="49" t="s">
        <v>25</v>
      </c>
      <c r="Q3192" s="166"/>
      <c r="R3192" s="151"/>
    </row>
    <row r="3193" spans="1:18">
      <c r="A3193" s="166" t="s">
        <v>82</v>
      </c>
      <c r="B3193" s="191" t="s">
        <v>826</v>
      </c>
      <c r="C3193" s="85" t="s">
        <v>7215</v>
      </c>
      <c r="D3193" s="161" t="s">
        <v>7216</v>
      </c>
      <c r="E3193" s="161" t="s">
        <v>2939</v>
      </c>
      <c r="F3193" s="161" t="s">
        <v>5070</v>
      </c>
      <c r="G3193" s="171">
        <v>271.37</v>
      </c>
      <c r="H3193" s="163">
        <f t="shared" si="246"/>
        <v>14.705</v>
      </c>
      <c r="I3193" s="163">
        <v>43</v>
      </c>
      <c r="J3193" s="174">
        <v>11715</v>
      </c>
      <c r="K3193" s="174">
        <v>204708</v>
      </c>
      <c r="L3193" s="172"/>
      <c r="M3193" s="161" t="s">
        <v>82</v>
      </c>
      <c r="N3193" s="161" t="s">
        <v>1299</v>
      </c>
      <c r="O3193" s="161" t="s">
        <v>25</v>
      </c>
      <c r="P3193" s="49" t="s">
        <v>25</v>
      </c>
      <c r="Q3193" s="166"/>
      <c r="R3193" s="151"/>
    </row>
    <row r="3194" spans="1:18">
      <c r="A3194" s="166" t="s">
        <v>82</v>
      </c>
      <c r="B3194" s="191" t="s">
        <v>826</v>
      </c>
      <c r="C3194" s="85" t="s">
        <v>7217</v>
      </c>
      <c r="D3194" s="161" t="s">
        <v>7218</v>
      </c>
      <c r="E3194" s="161" t="s">
        <v>2939</v>
      </c>
      <c r="F3194" s="161" t="s">
        <v>5070</v>
      </c>
      <c r="G3194" s="171">
        <v>286.765</v>
      </c>
      <c r="H3194" s="163">
        <f t="shared" si="246"/>
        <v>15.395</v>
      </c>
      <c r="I3194" s="163">
        <v>61</v>
      </c>
      <c r="J3194" s="174">
        <v>11640</v>
      </c>
      <c r="K3194" s="174">
        <v>216348</v>
      </c>
      <c r="L3194" s="172"/>
      <c r="M3194" s="161" t="s">
        <v>82</v>
      </c>
      <c r="N3194" s="161" t="s">
        <v>1299</v>
      </c>
      <c r="O3194" s="161" t="s">
        <v>25</v>
      </c>
      <c r="P3194" s="49" t="s">
        <v>25</v>
      </c>
      <c r="Q3194" s="166"/>
      <c r="R3194" s="151"/>
    </row>
    <row r="3195" spans="1:18">
      <c r="A3195" s="166" t="s">
        <v>82</v>
      </c>
      <c r="B3195" s="191" t="s">
        <v>826</v>
      </c>
      <c r="C3195" s="85" t="s">
        <v>7219</v>
      </c>
      <c r="D3195" s="161" t="s">
        <v>7220</v>
      </c>
      <c r="E3195" s="161" t="s">
        <v>2939</v>
      </c>
      <c r="F3195" s="161" t="s">
        <v>5070</v>
      </c>
      <c r="G3195" s="171">
        <v>302.149</v>
      </c>
      <c r="H3195" s="163">
        <f t="shared" si="246"/>
        <v>15.384</v>
      </c>
      <c r="I3195" s="163">
        <v>48</v>
      </c>
      <c r="J3195" s="174">
        <v>11035</v>
      </c>
      <c r="K3195" s="174">
        <v>227383</v>
      </c>
      <c r="L3195" s="172"/>
      <c r="M3195" s="161" t="s">
        <v>82</v>
      </c>
      <c r="N3195" s="161"/>
      <c r="O3195" s="161" t="s">
        <v>14</v>
      </c>
      <c r="P3195" s="49" t="s">
        <v>14</v>
      </c>
      <c r="Q3195" s="166"/>
      <c r="R3195" s="151"/>
    </row>
    <row r="3196" spans="1:18">
      <c r="A3196" s="166" t="s">
        <v>82</v>
      </c>
      <c r="B3196" s="191" t="s">
        <v>826</v>
      </c>
      <c r="C3196" s="85" t="s">
        <v>7221</v>
      </c>
      <c r="D3196" s="161" t="s">
        <v>7222</v>
      </c>
      <c r="E3196" s="161" t="s">
        <v>2939</v>
      </c>
      <c r="F3196" s="161" t="s">
        <v>5070</v>
      </c>
      <c r="G3196" s="171">
        <v>318.081</v>
      </c>
      <c r="H3196" s="163">
        <f t="shared" si="246"/>
        <v>15.932</v>
      </c>
      <c r="I3196" s="163">
        <v>60</v>
      </c>
      <c r="J3196" s="174">
        <v>11564</v>
      </c>
      <c r="K3196" s="174">
        <v>238947</v>
      </c>
      <c r="L3196" s="172"/>
      <c r="M3196" s="161" t="s">
        <v>82</v>
      </c>
      <c r="N3196" s="161" t="s">
        <v>1299</v>
      </c>
      <c r="O3196" s="161" t="s">
        <v>25</v>
      </c>
      <c r="P3196" s="49" t="s">
        <v>25</v>
      </c>
      <c r="Q3196" s="166"/>
      <c r="R3196" s="151"/>
    </row>
    <row r="3197" spans="1:18">
      <c r="A3197" s="166" t="s">
        <v>82</v>
      </c>
      <c r="B3197" s="191" t="s">
        <v>826</v>
      </c>
      <c r="C3197" s="85" t="s">
        <v>7223</v>
      </c>
      <c r="D3197" s="161" t="s">
        <v>7224</v>
      </c>
      <c r="E3197" s="161" t="s">
        <v>2939</v>
      </c>
      <c r="F3197" s="161" t="s">
        <v>5070</v>
      </c>
      <c r="G3197" s="171">
        <v>340.893</v>
      </c>
      <c r="H3197" s="163">
        <f t="shared" si="246"/>
        <v>22.812</v>
      </c>
      <c r="I3197" s="163">
        <v>69</v>
      </c>
      <c r="J3197" s="174">
        <v>17233</v>
      </c>
      <c r="K3197" s="174">
        <v>256180</v>
      </c>
      <c r="L3197" s="172"/>
      <c r="M3197" s="161" t="s">
        <v>82</v>
      </c>
      <c r="N3197" s="161" t="s">
        <v>1299</v>
      </c>
      <c r="O3197" s="161" t="s">
        <v>25</v>
      </c>
      <c r="P3197" s="49" t="s">
        <v>25</v>
      </c>
      <c r="Q3197" s="166"/>
      <c r="R3197" s="151"/>
    </row>
    <row r="3198" spans="1:18">
      <c r="A3198" s="166" t="s">
        <v>82</v>
      </c>
      <c r="B3198" s="191" t="s">
        <v>826</v>
      </c>
      <c r="C3198" s="85" t="s">
        <v>7225</v>
      </c>
      <c r="D3198" s="161" t="s">
        <v>7226</v>
      </c>
      <c r="E3198" s="161" t="s">
        <v>2939</v>
      </c>
      <c r="F3198" s="161" t="s">
        <v>7227</v>
      </c>
      <c r="G3198" s="171">
        <v>356.9</v>
      </c>
      <c r="H3198" s="163">
        <f t="shared" si="246"/>
        <v>16.007</v>
      </c>
      <c r="I3198" s="163">
        <v>88</v>
      </c>
      <c r="J3198" s="174">
        <v>12925</v>
      </c>
      <c r="K3198" s="174">
        <v>269105</v>
      </c>
      <c r="L3198" s="172"/>
      <c r="M3198" s="161" t="s">
        <v>82</v>
      </c>
      <c r="N3198" s="161"/>
      <c r="O3198" s="161" t="s">
        <v>15</v>
      </c>
      <c r="P3198" s="49" t="s">
        <v>15</v>
      </c>
      <c r="Q3198" s="166"/>
      <c r="R3198" s="151"/>
    </row>
    <row r="3199" spans="1:18">
      <c r="A3199" s="166" t="s">
        <v>82</v>
      </c>
      <c r="B3199" s="191" t="s">
        <v>826</v>
      </c>
      <c r="C3199" s="85" t="s">
        <v>7228</v>
      </c>
      <c r="D3199" s="161" t="s">
        <v>7229</v>
      </c>
      <c r="E3199" s="161" t="s">
        <v>2939</v>
      </c>
      <c r="F3199" s="161" t="s">
        <v>7230</v>
      </c>
      <c r="G3199" s="171">
        <v>377.158</v>
      </c>
      <c r="H3199" s="163">
        <f t="shared" si="246"/>
        <v>20.258</v>
      </c>
      <c r="I3199" s="163">
        <v>53</v>
      </c>
      <c r="J3199" s="174">
        <v>15797</v>
      </c>
      <c r="K3199" s="174">
        <v>284902</v>
      </c>
      <c r="L3199" s="172"/>
      <c r="M3199" s="161" t="s">
        <v>82</v>
      </c>
      <c r="N3199" s="161" t="s">
        <v>1299</v>
      </c>
      <c r="O3199" s="161" t="s">
        <v>25</v>
      </c>
      <c r="P3199" s="49" t="s">
        <v>25</v>
      </c>
      <c r="Q3199" s="166"/>
      <c r="R3199" s="151"/>
    </row>
    <row r="3200" spans="1:18">
      <c r="A3200" s="166" t="s">
        <v>82</v>
      </c>
      <c r="B3200" s="191" t="s">
        <v>826</v>
      </c>
      <c r="C3200" s="85" t="s">
        <v>7231</v>
      </c>
      <c r="D3200" s="161" t="s">
        <v>7232</v>
      </c>
      <c r="E3200" s="161" t="s">
        <v>2939</v>
      </c>
      <c r="F3200" s="161" t="s">
        <v>7230</v>
      </c>
      <c r="G3200" s="171">
        <v>395.158</v>
      </c>
      <c r="H3200" s="163">
        <f t="shared" si="246"/>
        <v>18</v>
      </c>
      <c r="I3200" s="163">
        <v>55</v>
      </c>
      <c r="J3200" s="174">
        <v>14059</v>
      </c>
      <c r="K3200" s="174">
        <v>298961</v>
      </c>
      <c r="L3200" s="172"/>
      <c r="M3200" s="161" t="s">
        <v>82</v>
      </c>
      <c r="N3200" s="161" t="s">
        <v>1299</v>
      </c>
      <c r="O3200" s="161" t="s">
        <v>25</v>
      </c>
      <c r="P3200" s="49" t="s">
        <v>25</v>
      </c>
      <c r="Q3200" s="166"/>
      <c r="R3200" s="151"/>
    </row>
    <row r="3201" spans="1:18">
      <c r="A3201" s="166" t="s">
        <v>82</v>
      </c>
      <c r="B3201" s="191" t="s">
        <v>826</v>
      </c>
      <c r="C3201" s="85" t="s">
        <v>7233</v>
      </c>
      <c r="D3201" s="161" t="s">
        <v>7234</v>
      </c>
      <c r="E3201" s="161" t="s">
        <v>2939</v>
      </c>
      <c r="F3201" s="161" t="s">
        <v>7230</v>
      </c>
      <c r="G3201" s="171">
        <v>414.467</v>
      </c>
      <c r="H3201" s="163">
        <f t="shared" si="246"/>
        <v>19.309</v>
      </c>
      <c r="I3201" s="163">
        <v>44</v>
      </c>
      <c r="J3201" s="174">
        <v>14361</v>
      </c>
      <c r="K3201" s="174">
        <v>313322</v>
      </c>
      <c r="L3201" s="172"/>
      <c r="M3201" s="161" t="s">
        <v>82</v>
      </c>
      <c r="N3201" s="161" t="s">
        <v>1299</v>
      </c>
      <c r="O3201" s="161" t="s">
        <v>25</v>
      </c>
      <c r="P3201" s="49" t="s">
        <v>25</v>
      </c>
      <c r="Q3201" s="166"/>
      <c r="R3201" s="151"/>
    </row>
    <row r="3202" spans="1:18">
      <c r="A3202" s="166" t="s">
        <v>82</v>
      </c>
      <c r="B3202" s="191" t="s">
        <v>826</v>
      </c>
      <c r="C3202" s="85" t="s">
        <v>7235</v>
      </c>
      <c r="D3202" s="161" t="s">
        <v>7236</v>
      </c>
      <c r="E3202" s="161" t="s">
        <v>2939</v>
      </c>
      <c r="F3202" s="161" t="s">
        <v>7237</v>
      </c>
      <c r="G3202" s="171">
        <v>435.14</v>
      </c>
      <c r="H3202" s="163">
        <f t="shared" si="246"/>
        <v>20.673</v>
      </c>
      <c r="I3202" s="163">
        <v>63</v>
      </c>
      <c r="J3202" s="174">
        <v>15873</v>
      </c>
      <c r="K3202" s="174">
        <v>329195</v>
      </c>
      <c r="L3202" s="172"/>
      <c r="M3202" s="161" t="s">
        <v>82</v>
      </c>
      <c r="N3202" s="161" t="s">
        <v>1299</v>
      </c>
      <c r="O3202" s="161" t="s">
        <v>25</v>
      </c>
      <c r="P3202" s="49" t="s">
        <v>25</v>
      </c>
      <c r="Q3202" s="166"/>
      <c r="R3202" s="151"/>
    </row>
    <row r="3203" spans="1:18">
      <c r="A3203" s="166" t="s">
        <v>82</v>
      </c>
      <c r="B3203" s="191" t="s">
        <v>826</v>
      </c>
      <c r="C3203" s="85" t="s">
        <v>7238</v>
      </c>
      <c r="D3203" s="161" t="s">
        <v>7239</v>
      </c>
      <c r="E3203" s="161" t="s">
        <v>2939</v>
      </c>
      <c r="F3203" s="161" t="s">
        <v>7237</v>
      </c>
      <c r="G3203" s="171">
        <v>456.415</v>
      </c>
      <c r="H3203" s="163">
        <f t="shared" si="246"/>
        <v>21.275</v>
      </c>
      <c r="I3203" s="163">
        <v>55</v>
      </c>
      <c r="J3203" s="174">
        <v>16175</v>
      </c>
      <c r="K3203" s="174">
        <v>345370</v>
      </c>
      <c r="L3203" s="172"/>
      <c r="M3203" s="161" t="s">
        <v>82</v>
      </c>
      <c r="N3203" s="161" t="s">
        <v>1299</v>
      </c>
      <c r="O3203" s="161" t="s">
        <v>25</v>
      </c>
      <c r="P3203" s="49" t="s">
        <v>25</v>
      </c>
      <c r="Q3203" s="166"/>
      <c r="R3203" s="151"/>
    </row>
    <row r="3204" spans="1:18">
      <c r="A3204" s="166" t="s">
        <v>82</v>
      </c>
      <c r="B3204" s="191" t="s">
        <v>826</v>
      </c>
      <c r="C3204" s="85" t="s">
        <v>7240</v>
      </c>
      <c r="D3204" s="49" t="s">
        <v>7240</v>
      </c>
      <c r="E3204" s="161" t="s">
        <v>2939</v>
      </c>
      <c r="F3204" s="161" t="s">
        <v>7237</v>
      </c>
      <c r="G3204" s="171">
        <v>456.415</v>
      </c>
      <c r="H3204" s="163">
        <f t="shared" si="246"/>
        <v>0</v>
      </c>
      <c r="I3204" s="163" t="s">
        <v>147</v>
      </c>
      <c r="J3204" s="163" t="s">
        <v>147</v>
      </c>
      <c r="K3204" s="163" t="s">
        <v>147</v>
      </c>
      <c r="L3204" s="172"/>
      <c r="M3204" s="161"/>
      <c r="N3204" s="161"/>
      <c r="O3204" s="161" t="s">
        <v>14</v>
      </c>
      <c r="P3204" s="49" t="s">
        <v>14</v>
      </c>
      <c r="Q3204" s="166"/>
      <c r="R3204" s="151"/>
    </row>
    <row r="3205" s="149" customFormat="1" ht="30" spans="1:18">
      <c r="A3205" s="166" t="s">
        <v>82</v>
      </c>
      <c r="B3205" s="191" t="s">
        <v>826</v>
      </c>
      <c r="C3205" s="85" t="s">
        <v>7241</v>
      </c>
      <c r="D3205" s="161" t="s">
        <v>7241</v>
      </c>
      <c r="E3205" s="164" t="s">
        <v>2939</v>
      </c>
      <c r="F3205" s="164" t="s">
        <v>7237</v>
      </c>
      <c r="G3205" s="171">
        <v>474.819</v>
      </c>
      <c r="H3205" s="163">
        <f>G3205-G3203</f>
        <v>18.404</v>
      </c>
      <c r="I3205" s="163">
        <v>108</v>
      </c>
      <c r="J3205" s="174">
        <v>14739</v>
      </c>
      <c r="K3205" s="174">
        <v>360109</v>
      </c>
      <c r="L3205" s="172" t="s">
        <v>7242</v>
      </c>
      <c r="M3205" s="161" t="s">
        <v>82</v>
      </c>
      <c r="N3205" s="161"/>
      <c r="O3205" s="161" t="s">
        <v>25</v>
      </c>
      <c r="P3205" s="49" t="s">
        <v>14</v>
      </c>
      <c r="Q3205" s="166"/>
      <c r="R3205" s="151"/>
    </row>
    <row r="3206" spans="1:18">
      <c r="A3206" s="166" t="s">
        <v>82</v>
      </c>
      <c r="B3206" s="191" t="s">
        <v>826</v>
      </c>
      <c r="C3206" s="85" t="s">
        <v>7243</v>
      </c>
      <c r="D3206" s="161" t="s">
        <v>7244</v>
      </c>
      <c r="E3206" s="161" t="s">
        <v>2939</v>
      </c>
      <c r="F3206" s="161" t="s">
        <v>7227</v>
      </c>
      <c r="G3206" s="171">
        <v>492.965</v>
      </c>
      <c r="H3206" s="163">
        <f>G3206-G3205</f>
        <v>18.146</v>
      </c>
      <c r="I3206" s="163">
        <v>91</v>
      </c>
      <c r="J3206" s="174">
        <v>14059</v>
      </c>
      <c r="K3206" s="174">
        <v>374168</v>
      </c>
      <c r="L3206" s="172"/>
      <c r="M3206" s="161" t="s">
        <v>82</v>
      </c>
      <c r="N3206" s="161"/>
      <c r="O3206" s="161" t="s">
        <v>14</v>
      </c>
      <c r="P3206" s="49" t="s">
        <v>14</v>
      </c>
      <c r="Q3206" s="166"/>
      <c r="R3206" s="151"/>
    </row>
    <row r="3207" spans="1:18">
      <c r="A3207" s="166" t="s">
        <v>82</v>
      </c>
      <c r="B3207" s="191" t="s">
        <v>826</v>
      </c>
      <c r="C3207" s="85" t="s">
        <v>7245</v>
      </c>
      <c r="D3207" s="161" t="s">
        <v>7246</v>
      </c>
      <c r="E3207" s="161" t="s">
        <v>2939</v>
      </c>
      <c r="F3207" s="161" t="s">
        <v>7237</v>
      </c>
      <c r="G3207" s="171">
        <v>506.968</v>
      </c>
      <c r="H3207" s="163">
        <f>G3207-G3206</f>
        <v>14.003</v>
      </c>
      <c r="I3207" s="163">
        <v>70</v>
      </c>
      <c r="J3207" s="174">
        <v>11035</v>
      </c>
      <c r="K3207" s="174">
        <v>385203</v>
      </c>
      <c r="L3207" s="172"/>
      <c r="M3207" s="161" t="s">
        <v>82</v>
      </c>
      <c r="N3207" s="161" t="s">
        <v>1299</v>
      </c>
      <c r="O3207" s="161" t="s">
        <v>25</v>
      </c>
      <c r="P3207" s="49" t="s">
        <v>25</v>
      </c>
      <c r="Q3207" s="166"/>
      <c r="R3207" s="151"/>
    </row>
    <row r="3208" spans="1:18">
      <c r="A3208" s="166" t="s">
        <v>82</v>
      </c>
      <c r="B3208" s="191" t="s">
        <v>826</v>
      </c>
      <c r="C3208" s="85" t="s">
        <v>7247</v>
      </c>
      <c r="D3208" s="161" t="s">
        <v>7248</v>
      </c>
      <c r="E3208" s="161" t="s">
        <v>2939</v>
      </c>
      <c r="F3208" s="161" t="s">
        <v>7237</v>
      </c>
      <c r="G3208" s="171">
        <v>520.849</v>
      </c>
      <c r="H3208" s="163">
        <f>G3208-G3207</f>
        <v>13.881</v>
      </c>
      <c r="I3208" s="163">
        <v>96</v>
      </c>
      <c r="J3208" s="174">
        <v>10506</v>
      </c>
      <c r="K3208" s="174">
        <v>395709</v>
      </c>
      <c r="L3208" s="172"/>
      <c r="M3208" s="161" t="s">
        <v>82</v>
      </c>
      <c r="N3208" s="161" t="s">
        <v>1299</v>
      </c>
      <c r="O3208" s="161" t="s">
        <v>25</v>
      </c>
      <c r="P3208" s="49" t="s">
        <v>25</v>
      </c>
      <c r="Q3208" s="166"/>
      <c r="R3208" s="151"/>
    </row>
    <row r="3209" spans="1:18">
      <c r="A3209" s="166" t="s">
        <v>82</v>
      </c>
      <c r="B3209" s="191" t="s">
        <v>826</v>
      </c>
      <c r="C3209" s="85" t="s">
        <v>7249</v>
      </c>
      <c r="D3209" s="161" t="s">
        <v>7250</v>
      </c>
      <c r="E3209" s="161" t="s">
        <v>2939</v>
      </c>
      <c r="F3209" s="161" t="s">
        <v>7237</v>
      </c>
      <c r="G3209" s="171">
        <v>543.235</v>
      </c>
      <c r="H3209" s="163">
        <f>G3209-G3208</f>
        <v>22.386</v>
      </c>
      <c r="I3209" s="163">
        <v>100</v>
      </c>
      <c r="J3209" s="174">
        <v>17309</v>
      </c>
      <c r="K3209" s="174">
        <v>413018</v>
      </c>
      <c r="L3209" s="172"/>
      <c r="M3209" s="161" t="s">
        <v>82</v>
      </c>
      <c r="N3209" s="161" t="s">
        <v>1299</v>
      </c>
      <c r="O3209" s="161" t="s">
        <v>25</v>
      </c>
      <c r="P3209" s="49" t="s">
        <v>25</v>
      </c>
      <c r="Q3209" s="166"/>
      <c r="R3209" s="151"/>
    </row>
    <row r="3210" s="151" customFormat="1" ht="150" spans="1:17">
      <c r="A3210" s="166" t="s">
        <v>82</v>
      </c>
      <c r="B3210" s="191" t="s">
        <v>826</v>
      </c>
      <c r="C3210" s="85" t="s">
        <v>7251</v>
      </c>
      <c r="D3210" s="49" t="s">
        <v>7251</v>
      </c>
      <c r="E3210" s="164" t="s">
        <v>2939</v>
      </c>
      <c r="F3210" s="164"/>
      <c r="G3210" s="171" t="s">
        <v>147</v>
      </c>
      <c r="H3210" s="163" t="s">
        <v>147</v>
      </c>
      <c r="I3210" s="163">
        <v>124.65</v>
      </c>
      <c r="J3210" s="174" t="s">
        <v>147</v>
      </c>
      <c r="K3210" s="174" t="s">
        <v>147</v>
      </c>
      <c r="L3210" s="172" t="s">
        <v>7252</v>
      </c>
      <c r="M3210" s="161" t="s">
        <v>82</v>
      </c>
      <c r="N3210" s="161" t="s">
        <v>1295</v>
      </c>
      <c r="O3210" s="161"/>
      <c r="P3210" s="49" t="s">
        <v>14</v>
      </c>
      <c r="Q3210" s="192"/>
    </row>
    <row r="3211" spans="1:18">
      <c r="A3211" s="166" t="s">
        <v>82</v>
      </c>
      <c r="B3211" s="191" t="s">
        <v>826</v>
      </c>
      <c r="C3211" s="85" t="s">
        <v>7253</v>
      </c>
      <c r="D3211" s="161" t="s">
        <v>7254</v>
      </c>
      <c r="E3211" s="161" t="s">
        <v>2939</v>
      </c>
      <c r="F3211" s="161" t="s">
        <v>7237</v>
      </c>
      <c r="G3211" s="171">
        <v>565.96</v>
      </c>
      <c r="H3211" s="163">
        <f>G3211-G3209</f>
        <v>22.725</v>
      </c>
      <c r="I3211" s="163">
        <v>120</v>
      </c>
      <c r="J3211" s="174">
        <v>17309</v>
      </c>
      <c r="K3211" s="174">
        <v>430327</v>
      </c>
      <c r="L3211" s="172"/>
      <c r="M3211" s="161" t="s">
        <v>82</v>
      </c>
      <c r="N3211" s="161" t="s">
        <v>1299</v>
      </c>
      <c r="O3211" s="161" t="s">
        <v>25</v>
      </c>
      <c r="P3211" s="49" t="s">
        <v>25</v>
      </c>
      <c r="Q3211" s="166"/>
      <c r="R3211" s="151"/>
    </row>
    <row r="3212" spans="1:18">
      <c r="A3212" s="166" t="s">
        <v>82</v>
      </c>
      <c r="B3212" s="191" t="s">
        <v>826</v>
      </c>
      <c r="C3212" s="85" t="s">
        <v>7255</v>
      </c>
      <c r="D3212" s="161" t="s">
        <v>7256</v>
      </c>
      <c r="E3212" s="161" t="s">
        <v>2939</v>
      </c>
      <c r="F3212" s="161" t="s">
        <v>7257</v>
      </c>
      <c r="G3212" s="171">
        <v>586.163</v>
      </c>
      <c r="H3212" s="163">
        <f t="shared" ref="H3211:H3225" si="247">G3212-G3211</f>
        <v>20.203</v>
      </c>
      <c r="I3212" s="163">
        <v>193</v>
      </c>
      <c r="J3212" s="174">
        <v>15570</v>
      </c>
      <c r="K3212" s="174">
        <v>445897</v>
      </c>
      <c r="L3212" s="172"/>
      <c r="M3212" s="161" t="s">
        <v>82</v>
      </c>
      <c r="N3212" s="161" t="s">
        <v>1299</v>
      </c>
      <c r="O3212" s="161" t="s">
        <v>25</v>
      </c>
      <c r="P3212" s="49" t="s">
        <v>25</v>
      </c>
      <c r="Q3212" s="166"/>
      <c r="R3212" s="151"/>
    </row>
    <row r="3213" spans="1:18">
      <c r="A3213" s="166" t="s">
        <v>82</v>
      </c>
      <c r="B3213" s="191" t="s">
        <v>826</v>
      </c>
      <c r="C3213" s="85" t="s">
        <v>7258</v>
      </c>
      <c r="D3213" s="161" t="s">
        <v>7259</v>
      </c>
      <c r="E3213" s="161" t="s">
        <v>2939</v>
      </c>
      <c r="F3213" s="161" t="s">
        <v>7257</v>
      </c>
      <c r="G3213" s="171">
        <v>609.407</v>
      </c>
      <c r="H3213" s="163">
        <f t="shared" si="247"/>
        <v>23.244</v>
      </c>
      <c r="I3213" s="163">
        <v>340</v>
      </c>
      <c r="J3213" s="174">
        <v>18140</v>
      </c>
      <c r="K3213" s="174">
        <v>464037</v>
      </c>
      <c r="L3213" s="172"/>
      <c r="M3213" s="161" t="s">
        <v>82</v>
      </c>
      <c r="N3213" s="161" t="s">
        <v>1299</v>
      </c>
      <c r="O3213" s="161" t="s">
        <v>25</v>
      </c>
      <c r="P3213" s="49" t="s">
        <v>25</v>
      </c>
      <c r="Q3213" s="166"/>
      <c r="R3213" s="151"/>
    </row>
    <row r="3214" spans="1:18">
      <c r="A3214" s="166" t="s">
        <v>82</v>
      </c>
      <c r="B3214" s="191" t="s">
        <v>826</v>
      </c>
      <c r="C3214" s="85" t="s">
        <v>7260</v>
      </c>
      <c r="D3214" s="161" t="s">
        <v>7260</v>
      </c>
      <c r="E3214" s="161" t="s">
        <v>2939</v>
      </c>
      <c r="F3214" s="161" t="s">
        <v>7227</v>
      </c>
      <c r="G3214" s="171">
        <v>622.747</v>
      </c>
      <c r="H3214" s="163">
        <f t="shared" si="247"/>
        <v>13.3399999999999</v>
      </c>
      <c r="I3214" s="163">
        <v>248</v>
      </c>
      <c r="J3214" s="174">
        <v>10431</v>
      </c>
      <c r="K3214" s="174">
        <v>474468</v>
      </c>
      <c r="L3214" s="172"/>
      <c r="M3214" s="161" t="s">
        <v>82</v>
      </c>
      <c r="N3214" s="161"/>
      <c r="O3214" s="161" t="s">
        <v>14</v>
      </c>
      <c r="P3214" s="49" t="s">
        <v>14</v>
      </c>
      <c r="Q3214" s="166"/>
      <c r="R3214" s="151"/>
    </row>
    <row r="3215" spans="1:18">
      <c r="A3215" s="166" t="s">
        <v>82</v>
      </c>
      <c r="B3215" s="191" t="s">
        <v>826</v>
      </c>
      <c r="C3215" s="85" t="s">
        <v>7261</v>
      </c>
      <c r="D3215" s="161" t="s">
        <v>7262</v>
      </c>
      <c r="E3215" s="161" t="s">
        <v>2939</v>
      </c>
      <c r="F3215" s="161" t="s">
        <v>7257</v>
      </c>
      <c r="G3215" s="171">
        <v>638.461</v>
      </c>
      <c r="H3215" s="163">
        <f t="shared" si="247"/>
        <v>15.7140000000001</v>
      </c>
      <c r="I3215" s="163">
        <v>295</v>
      </c>
      <c r="J3215" s="174">
        <v>12018</v>
      </c>
      <c r="K3215" s="174">
        <v>486486</v>
      </c>
      <c r="L3215" s="172"/>
      <c r="M3215" s="161" t="s">
        <v>82</v>
      </c>
      <c r="N3215" s="161" t="s">
        <v>1299</v>
      </c>
      <c r="O3215" s="161" t="s">
        <v>25</v>
      </c>
      <c r="P3215" s="49" t="s">
        <v>25</v>
      </c>
      <c r="Q3215" s="166"/>
      <c r="R3215" s="151"/>
    </row>
    <row r="3216" spans="1:18">
      <c r="A3216" s="166" t="s">
        <v>82</v>
      </c>
      <c r="B3216" s="191" t="s">
        <v>826</v>
      </c>
      <c r="C3216" s="85" t="s">
        <v>7263</v>
      </c>
      <c r="D3216" s="161" t="s">
        <v>7264</v>
      </c>
      <c r="E3216" s="161" t="s">
        <v>2939</v>
      </c>
      <c r="F3216" s="161" t="s">
        <v>7257</v>
      </c>
      <c r="G3216" s="171">
        <v>664.217</v>
      </c>
      <c r="H3216" s="163">
        <f t="shared" si="247"/>
        <v>25.756</v>
      </c>
      <c r="I3216" s="163">
        <v>312</v>
      </c>
      <c r="J3216" s="174">
        <v>19501</v>
      </c>
      <c r="K3216" s="174">
        <v>505987</v>
      </c>
      <c r="L3216" s="172"/>
      <c r="M3216" s="161" t="s">
        <v>82</v>
      </c>
      <c r="N3216" s="161" t="s">
        <v>1299</v>
      </c>
      <c r="O3216" s="161" t="s">
        <v>25</v>
      </c>
      <c r="P3216" s="49" t="s">
        <v>25</v>
      </c>
      <c r="Q3216" s="166"/>
      <c r="R3216" s="151"/>
    </row>
    <row r="3217" spans="1:18">
      <c r="A3217" s="166" t="s">
        <v>82</v>
      </c>
      <c r="B3217" s="191" t="s">
        <v>826</v>
      </c>
      <c r="C3217" s="85" t="s">
        <v>7265</v>
      </c>
      <c r="D3217" s="161" t="s">
        <v>7266</v>
      </c>
      <c r="E3217" s="161" t="s">
        <v>2939</v>
      </c>
      <c r="F3217" s="161" t="s">
        <v>7257</v>
      </c>
      <c r="G3217" s="171">
        <v>683.454</v>
      </c>
      <c r="H3217" s="163">
        <f t="shared" si="247"/>
        <v>19.237</v>
      </c>
      <c r="I3217" s="163">
        <v>271</v>
      </c>
      <c r="J3217" s="174">
        <v>15495</v>
      </c>
      <c r="K3217" s="174">
        <v>521482</v>
      </c>
      <c r="L3217" s="172"/>
      <c r="M3217" s="161" t="s">
        <v>82</v>
      </c>
      <c r="N3217" s="161" t="s">
        <v>1299</v>
      </c>
      <c r="O3217" s="161" t="s">
        <v>25</v>
      </c>
      <c r="P3217" s="49" t="s">
        <v>25</v>
      </c>
      <c r="Q3217" s="166"/>
      <c r="R3217" s="151"/>
    </row>
    <row r="3218" spans="1:18">
      <c r="A3218" s="166" t="s">
        <v>82</v>
      </c>
      <c r="B3218" s="191" t="s">
        <v>826</v>
      </c>
      <c r="C3218" s="85" t="s">
        <v>7267</v>
      </c>
      <c r="D3218" s="161" t="s">
        <v>7268</v>
      </c>
      <c r="E3218" s="161" t="s">
        <v>2750</v>
      </c>
      <c r="F3218" s="161" t="s">
        <v>2751</v>
      </c>
      <c r="G3218" s="171">
        <v>702.66</v>
      </c>
      <c r="H3218" s="163">
        <f t="shared" si="247"/>
        <v>19.206</v>
      </c>
      <c r="I3218" s="163">
        <v>190</v>
      </c>
      <c r="J3218" s="174">
        <v>14814</v>
      </c>
      <c r="K3218" s="174">
        <v>536296</v>
      </c>
      <c r="L3218" s="172"/>
      <c r="M3218" s="161" t="s">
        <v>82</v>
      </c>
      <c r="N3218" s="161" t="s">
        <v>1299</v>
      </c>
      <c r="O3218" s="161" t="s">
        <v>25</v>
      </c>
      <c r="P3218" s="49" t="s">
        <v>25</v>
      </c>
      <c r="Q3218" s="166"/>
      <c r="R3218" s="151"/>
    </row>
    <row r="3219" spans="1:18">
      <c r="A3219" s="166" t="s">
        <v>82</v>
      </c>
      <c r="B3219" s="191" t="s">
        <v>826</v>
      </c>
      <c r="C3219" s="85" t="s">
        <v>7269</v>
      </c>
      <c r="D3219" s="161" t="s">
        <v>7270</v>
      </c>
      <c r="E3219" s="161" t="s">
        <v>2750</v>
      </c>
      <c r="F3219" s="161" t="s">
        <v>2751</v>
      </c>
      <c r="G3219" s="171">
        <v>724.901</v>
      </c>
      <c r="H3219" s="163">
        <f t="shared" si="247"/>
        <v>22.241</v>
      </c>
      <c r="I3219" s="163">
        <v>569</v>
      </c>
      <c r="J3219" s="174">
        <v>17006</v>
      </c>
      <c r="K3219" s="174">
        <v>553302</v>
      </c>
      <c r="L3219" s="172"/>
      <c r="M3219" s="161" t="s">
        <v>82</v>
      </c>
      <c r="N3219" s="161" t="s">
        <v>1299</v>
      </c>
      <c r="O3219" s="161" t="s">
        <v>25</v>
      </c>
      <c r="P3219" s="49" t="s">
        <v>25</v>
      </c>
      <c r="Q3219" s="166"/>
      <c r="R3219" s="151"/>
    </row>
    <row r="3220" spans="1:18">
      <c r="A3220" s="166" t="s">
        <v>82</v>
      </c>
      <c r="B3220" s="191" t="s">
        <v>826</v>
      </c>
      <c r="C3220" s="85" t="s">
        <v>7271</v>
      </c>
      <c r="D3220" s="161" t="s">
        <v>7272</v>
      </c>
      <c r="E3220" s="161" t="s">
        <v>2750</v>
      </c>
      <c r="F3220" s="161" t="s">
        <v>2751</v>
      </c>
      <c r="G3220" s="171">
        <v>746.151</v>
      </c>
      <c r="H3220" s="163">
        <f t="shared" si="247"/>
        <v>21.25</v>
      </c>
      <c r="I3220" s="163">
        <v>521</v>
      </c>
      <c r="J3220" s="174">
        <v>16628</v>
      </c>
      <c r="K3220" s="174">
        <v>569930</v>
      </c>
      <c r="L3220" s="172"/>
      <c r="M3220" s="161" t="s">
        <v>82</v>
      </c>
      <c r="N3220" s="161" t="s">
        <v>1299</v>
      </c>
      <c r="O3220" s="161" t="s">
        <v>25</v>
      </c>
      <c r="P3220" s="49" t="s">
        <v>25</v>
      </c>
      <c r="Q3220" s="166"/>
      <c r="R3220" s="151"/>
    </row>
    <row r="3221" spans="1:18">
      <c r="A3221" s="166" t="s">
        <v>82</v>
      </c>
      <c r="B3221" s="191" t="s">
        <v>826</v>
      </c>
      <c r="C3221" s="85" t="s">
        <v>7273</v>
      </c>
      <c r="D3221" s="161" t="s">
        <v>7274</v>
      </c>
      <c r="E3221" s="161" t="s">
        <v>2750</v>
      </c>
      <c r="F3221" s="161" t="s">
        <v>2751</v>
      </c>
      <c r="G3221" s="171">
        <v>764.357</v>
      </c>
      <c r="H3221" s="163">
        <f t="shared" si="247"/>
        <v>18.206</v>
      </c>
      <c r="I3221" s="163">
        <v>126</v>
      </c>
      <c r="J3221" s="174">
        <v>13983</v>
      </c>
      <c r="K3221" s="174">
        <v>583913</v>
      </c>
      <c r="L3221" s="172"/>
      <c r="M3221" s="161" t="s">
        <v>82</v>
      </c>
      <c r="N3221" s="161" t="s">
        <v>1299</v>
      </c>
      <c r="O3221" s="161" t="s">
        <v>25</v>
      </c>
      <c r="P3221" s="49" t="s">
        <v>25</v>
      </c>
      <c r="Q3221" s="166"/>
      <c r="R3221" s="151"/>
    </row>
    <row r="3222" spans="1:18">
      <c r="A3222" s="166" t="s">
        <v>82</v>
      </c>
      <c r="B3222" s="191" t="s">
        <v>826</v>
      </c>
      <c r="C3222" s="85" t="s">
        <v>7275</v>
      </c>
      <c r="D3222" s="161" t="s">
        <v>7275</v>
      </c>
      <c r="E3222" s="161" t="s">
        <v>2750</v>
      </c>
      <c r="F3222" s="161" t="s">
        <v>2751</v>
      </c>
      <c r="G3222" s="171">
        <v>771.323</v>
      </c>
      <c r="H3222" s="163">
        <f t="shared" si="247"/>
        <v>6.96600000000001</v>
      </c>
      <c r="I3222" s="163">
        <v>95</v>
      </c>
      <c r="J3222" s="174">
        <v>5366</v>
      </c>
      <c r="K3222" s="174">
        <v>589279</v>
      </c>
      <c r="L3222" s="172"/>
      <c r="M3222" s="161" t="s">
        <v>82</v>
      </c>
      <c r="N3222" s="161"/>
      <c r="O3222" s="161" t="s">
        <v>15</v>
      </c>
      <c r="P3222" s="49" t="s">
        <v>15</v>
      </c>
      <c r="Q3222" s="166"/>
      <c r="R3222" s="151"/>
    </row>
    <row r="3223" spans="1:18">
      <c r="A3223" s="166" t="s">
        <v>82</v>
      </c>
      <c r="B3223" s="191" t="s">
        <v>826</v>
      </c>
      <c r="C3223" s="85" t="s">
        <v>7276</v>
      </c>
      <c r="D3223" s="161" t="s">
        <v>7277</v>
      </c>
      <c r="E3223" s="161" t="s">
        <v>2750</v>
      </c>
      <c r="F3223" s="161" t="s">
        <v>2751</v>
      </c>
      <c r="G3223" s="171">
        <v>790.674</v>
      </c>
      <c r="H3223" s="163">
        <f t="shared" si="247"/>
        <v>19.351</v>
      </c>
      <c r="I3223" s="163">
        <v>82</v>
      </c>
      <c r="J3223" s="174">
        <v>14739</v>
      </c>
      <c r="K3223" s="174">
        <v>604018</v>
      </c>
      <c r="L3223" s="172"/>
      <c r="M3223" s="161" t="s">
        <v>82</v>
      </c>
      <c r="N3223" s="161" t="s">
        <v>1299</v>
      </c>
      <c r="O3223" s="161" t="s">
        <v>25</v>
      </c>
      <c r="P3223" s="49" t="s">
        <v>25</v>
      </c>
      <c r="Q3223" s="166"/>
      <c r="R3223" s="151"/>
    </row>
    <row r="3224" spans="1:18">
      <c r="A3224" s="166" t="s">
        <v>82</v>
      </c>
      <c r="B3224" s="191" t="s">
        <v>826</v>
      </c>
      <c r="C3224" s="85" t="s">
        <v>7278</v>
      </c>
      <c r="D3224" s="161" t="s">
        <v>7279</v>
      </c>
      <c r="E3224" s="161" t="s">
        <v>2750</v>
      </c>
      <c r="F3224" s="161" t="s">
        <v>2751</v>
      </c>
      <c r="G3224" s="171">
        <v>805.474</v>
      </c>
      <c r="H3224" s="163">
        <f t="shared" si="247"/>
        <v>14.8000000000001</v>
      </c>
      <c r="I3224" s="163">
        <v>115</v>
      </c>
      <c r="J3224" s="174">
        <v>10582</v>
      </c>
      <c r="K3224" s="174">
        <v>614600</v>
      </c>
      <c r="L3224" s="172"/>
      <c r="M3224" s="161" t="s">
        <v>82</v>
      </c>
      <c r="N3224" s="161" t="s">
        <v>1299</v>
      </c>
      <c r="O3224" s="161" t="s">
        <v>25</v>
      </c>
      <c r="P3224" s="49" t="s">
        <v>25</v>
      </c>
      <c r="Q3224" s="166"/>
      <c r="R3224" s="151"/>
    </row>
    <row r="3225" spans="1:18">
      <c r="A3225" s="166" t="s">
        <v>82</v>
      </c>
      <c r="B3225" s="191" t="s">
        <v>826</v>
      </c>
      <c r="C3225" s="85" t="s">
        <v>7280</v>
      </c>
      <c r="D3225" s="161" t="s">
        <v>7281</v>
      </c>
      <c r="E3225" s="161" t="s">
        <v>2750</v>
      </c>
      <c r="F3225" s="161" t="s">
        <v>2751</v>
      </c>
      <c r="G3225" s="171">
        <v>817.928</v>
      </c>
      <c r="H3225" s="163">
        <f t="shared" si="247"/>
        <v>12.454</v>
      </c>
      <c r="I3225" s="163">
        <v>124</v>
      </c>
      <c r="J3225" s="174">
        <v>9901</v>
      </c>
      <c r="K3225" s="174">
        <v>624501</v>
      </c>
      <c r="L3225" s="172"/>
      <c r="M3225" s="161" t="s">
        <v>82</v>
      </c>
      <c r="N3225" s="161"/>
      <c r="O3225" s="161" t="s">
        <v>15</v>
      </c>
      <c r="P3225" s="49" t="s">
        <v>15</v>
      </c>
      <c r="Q3225" s="166"/>
      <c r="R3225" s="151"/>
    </row>
    <row r="3226" spans="1:18">
      <c r="A3226" s="166" t="s">
        <v>82</v>
      </c>
      <c r="B3226" s="191" t="s">
        <v>829</v>
      </c>
      <c r="C3226" s="135" t="s">
        <v>7280</v>
      </c>
      <c r="D3226" s="161" t="s">
        <v>7281</v>
      </c>
      <c r="E3226" s="161" t="s">
        <v>2750</v>
      </c>
      <c r="F3226" s="161" t="s">
        <v>2751</v>
      </c>
      <c r="G3226" s="171">
        <v>0</v>
      </c>
      <c r="H3226" s="163">
        <v>0</v>
      </c>
      <c r="I3226" s="163">
        <v>124</v>
      </c>
      <c r="J3226" s="174">
        <v>0</v>
      </c>
      <c r="K3226" s="174">
        <v>0</v>
      </c>
      <c r="L3226" s="172"/>
      <c r="M3226" s="161" t="s">
        <v>82</v>
      </c>
      <c r="N3226" s="161"/>
      <c r="O3226" s="161"/>
      <c r="P3226" s="49"/>
      <c r="Q3226" s="166"/>
      <c r="R3226" s="151"/>
    </row>
    <row r="3227" spans="1:18">
      <c r="A3227" s="166" t="s">
        <v>82</v>
      </c>
      <c r="B3227" s="191" t="s">
        <v>829</v>
      </c>
      <c r="C3227" s="85" t="s">
        <v>7282</v>
      </c>
      <c r="D3227" s="161" t="s">
        <v>7283</v>
      </c>
      <c r="E3227" s="161" t="s">
        <v>2750</v>
      </c>
      <c r="F3227" s="161" t="s">
        <v>2751</v>
      </c>
      <c r="G3227" s="171">
        <v>20.365</v>
      </c>
      <c r="H3227" s="163">
        <f>G3227-G3226</f>
        <v>20.365</v>
      </c>
      <c r="I3227" s="163">
        <v>162</v>
      </c>
      <c r="J3227" s="174">
        <v>14799.314489652</v>
      </c>
      <c r="K3227" s="174">
        <f>K3226+J3227</f>
        <v>14799.314489652</v>
      </c>
      <c r="L3227" s="172"/>
      <c r="M3227" s="161" t="s">
        <v>82</v>
      </c>
      <c r="N3227" s="161" t="s">
        <v>1299</v>
      </c>
      <c r="O3227" s="161" t="s">
        <v>25</v>
      </c>
      <c r="P3227" s="49" t="s">
        <v>25</v>
      </c>
      <c r="Q3227" s="166"/>
      <c r="R3227" s="151"/>
    </row>
    <row r="3228" spans="1:18">
      <c r="A3228" s="166" t="s">
        <v>82</v>
      </c>
      <c r="B3228" s="191" t="s">
        <v>829</v>
      </c>
      <c r="C3228" s="85" t="s">
        <v>7284</v>
      </c>
      <c r="D3228" s="161" t="s">
        <v>7285</v>
      </c>
      <c r="E3228" s="161" t="s">
        <v>2750</v>
      </c>
      <c r="F3228" s="161" t="s">
        <v>2751</v>
      </c>
      <c r="G3228" s="171">
        <v>36.37</v>
      </c>
      <c r="H3228" s="163">
        <f>G3228-G3227</f>
        <v>16.005</v>
      </c>
      <c r="I3228" s="163">
        <v>129</v>
      </c>
      <c r="J3228" s="174">
        <v>11904.45368805</v>
      </c>
      <c r="K3228" s="174">
        <f>K3227+J3228</f>
        <v>26703.768177702</v>
      </c>
      <c r="L3228" s="172"/>
      <c r="M3228" s="161" t="s">
        <v>82</v>
      </c>
      <c r="N3228" s="161" t="s">
        <v>1299</v>
      </c>
      <c r="O3228" s="161" t="s">
        <v>25</v>
      </c>
      <c r="P3228" s="49" t="s">
        <v>25</v>
      </c>
      <c r="Q3228" s="166"/>
      <c r="R3228" s="151"/>
    </row>
    <row r="3229" spans="1:18">
      <c r="A3229" s="166" t="s">
        <v>82</v>
      </c>
      <c r="B3229" s="191" t="s">
        <v>829</v>
      </c>
      <c r="C3229" s="85" t="s">
        <v>7286</v>
      </c>
      <c r="D3229" s="161" t="s">
        <v>7287</v>
      </c>
      <c r="E3229" s="161" t="s">
        <v>2750</v>
      </c>
      <c r="F3229" s="161" t="s">
        <v>2751</v>
      </c>
      <c r="G3229" s="171">
        <v>54.881</v>
      </c>
      <c r="H3229" s="163">
        <f>G3229-G3228</f>
        <v>18.511</v>
      </c>
      <c r="I3229" s="163">
        <v>136</v>
      </c>
      <c r="J3229" s="174">
        <v>13945.21717743</v>
      </c>
      <c r="K3229" s="174">
        <f>K3228+J3229</f>
        <v>40648.985355132</v>
      </c>
      <c r="L3229" s="172"/>
      <c r="M3229" s="161" t="s">
        <v>82</v>
      </c>
      <c r="N3229" s="161" t="s">
        <v>1299</v>
      </c>
      <c r="O3229" s="161" t="s">
        <v>25</v>
      </c>
      <c r="P3229" s="49" t="s">
        <v>25</v>
      </c>
      <c r="Q3229" s="166"/>
      <c r="R3229" s="151"/>
    </row>
    <row r="3230" spans="1:18">
      <c r="A3230" s="166" t="s">
        <v>82</v>
      </c>
      <c r="B3230" s="191" t="s">
        <v>829</v>
      </c>
      <c r="C3230" s="135" t="s">
        <v>830</v>
      </c>
      <c r="D3230" s="161" t="s">
        <v>830</v>
      </c>
      <c r="E3230" s="161" t="s">
        <v>2750</v>
      </c>
      <c r="F3230" s="161" t="s">
        <v>2751</v>
      </c>
      <c r="G3230" s="171">
        <v>66.758</v>
      </c>
      <c r="H3230" s="163">
        <f>G3230-G3229</f>
        <v>11.877</v>
      </c>
      <c r="I3230" s="163">
        <v>108</v>
      </c>
      <c r="J3230" s="185">
        <v>8881.10037045</v>
      </c>
      <c r="K3230" s="174">
        <f>K3229+J3230</f>
        <v>49530.085725582</v>
      </c>
      <c r="L3230" s="172"/>
      <c r="M3230" s="161" t="s">
        <v>2232</v>
      </c>
      <c r="N3230" s="161" t="s">
        <v>1331</v>
      </c>
      <c r="O3230" s="161"/>
      <c r="P3230" s="49"/>
      <c r="Q3230" s="166" t="s">
        <v>2760</v>
      </c>
      <c r="R3230" s="151"/>
    </row>
    <row r="3231" spans="1:18">
      <c r="A3231" s="166" t="s">
        <v>82</v>
      </c>
      <c r="B3231" s="191" t="s">
        <v>831</v>
      </c>
      <c r="C3231" s="135" t="s">
        <v>7243</v>
      </c>
      <c r="D3231" s="161" t="s">
        <v>7244</v>
      </c>
      <c r="E3231" s="161" t="s">
        <v>2939</v>
      </c>
      <c r="F3231" s="161" t="s">
        <v>7227</v>
      </c>
      <c r="G3231" s="171">
        <v>0</v>
      </c>
      <c r="H3231" s="163">
        <v>0</v>
      </c>
      <c r="I3231" s="185">
        <v>107</v>
      </c>
      <c r="J3231" s="172">
        <v>0</v>
      </c>
      <c r="K3231" s="172">
        <v>0</v>
      </c>
      <c r="L3231" s="172"/>
      <c r="M3231" s="161" t="s">
        <v>82</v>
      </c>
      <c r="N3231" s="161"/>
      <c r="O3231" s="161"/>
      <c r="P3231" s="49"/>
      <c r="Q3231" s="166"/>
      <c r="R3231" s="151"/>
    </row>
    <row r="3232" spans="1:18">
      <c r="A3232" s="166" t="s">
        <v>82</v>
      </c>
      <c r="B3232" s="191" t="s">
        <v>831</v>
      </c>
      <c r="C3232" s="181" t="s">
        <v>7288</v>
      </c>
      <c r="D3232" s="161" t="s">
        <v>7289</v>
      </c>
      <c r="E3232" s="161" t="s">
        <v>2939</v>
      </c>
      <c r="F3232" s="161" t="s">
        <v>7290</v>
      </c>
      <c r="G3232" s="171">
        <v>10.3</v>
      </c>
      <c r="H3232" s="163">
        <f>G3232-G3231</f>
        <v>10.3</v>
      </c>
      <c r="I3232" s="172">
        <v>108</v>
      </c>
      <c r="J3232" s="172">
        <v>4959.65</v>
      </c>
      <c r="K3232" s="172">
        <v>4959.65</v>
      </c>
      <c r="L3232" s="172"/>
      <c r="M3232" s="161" t="s">
        <v>82</v>
      </c>
      <c r="N3232" s="161" t="s">
        <v>1299</v>
      </c>
      <c r="O3232" s="161" t="s">
        <v>25</v>
      </c>
      <c r="P3232" s="49" t="s">
        <v>25</v>
      </c>
      <c r="Q3232" s="166" t="s">
        <v>7291</v>
      </c>
      <c r="R3232" s="151"/>
    </row>
    <row r="3233" spans="1:18">
      <c r="A3233" s="166" t="s">
        <v>82</v>
      </c>
      <c r="B3233" s="191" t="s">
        <v>831</v>
      </c>
      <c r="C3233" s="181" t="s">
        <v>7292</v>
      </c>
      <c r="D3233" s="161" t="s">
        <v>7293</v>
      </c>
      <c r="E3233" s="161" t="s">
        <v>2939</v>
      </c>
      <c r="F3233" s="161" t="s">
        <v>7290</v>
      </c>
      <c r="G3233" s="171">
        <v>24.6</v>
      </c>
      <c r="H3233" s="163">
        <f t="shared" ref="H3233:H3258" si="248">G3233-G3232</f>
        <v>14.3</v>
      </c>
      <c r="I3233" s="172">
        <v>83</v>
      </c>
      <c r="J3233" s="172">
        <v>6885.72</v>
      </c>
      <c r="K3233" s="172">
        <v>11845.37</v>
      </c>
      <c r="L3233" s="172"/>
      <c r="M3233" s="161" t="s">
        <v>82</v>
      </c>
      <c r="N3233" s="161" t="s">
        <v>1299</v>
      </c>
      <c r="O3233" s="161" t="s">
        <v>25</v>
      </c>
      <c r="P3233" s="49" t="s">
        <v>25</v>
      </c>
      <c r="Q3233" s="166" t="s">
        <v>7294</v>
      </c>
      <c r="R3233" s="151"/>
    </row>
    <row r="3234" spans="1:18">
      <c r="A3234" s="166" t="s">
        <v>82</v>
      </c>
      <c r="B3234" s="191" t="s">
        <v>831</v>
      </c>
      <c r="C3234" s="181" t="s">
        <v>7295</v>
      </c>
      <c r="D3234" s="161" t="s">
        <v>7296</v>
      </c>
      <c r="E3234" s="161" t="s">
        <v>2939</v>
      </c>
      <c r="F3234" s="161" t="s">
        <v>7290</v>
      </c>
      <c r="G3234" s="171">
        <v>35</v>
      </c>
      <c r="H3234" s="163">
        <f t="shared" si="248"/>
        <v>10.4</v>
      </c>
      <c r="I3234" s="172">
        <v>75</v>
      </c>
      <c r="J3234" s="172">
        <v>5007.8</v>
      </c>
      <c r="K3234" s="172">
        <v>16853.16</v>
      </c>
      <c r="L3234" s="172"/>
      <c r="M3234" s="161" t="s">
        <v>82</v>
      </c>
      <c r="N3234" s="161" t="s">
        <v>1299</v>
      </c>
      <c r="O3234" s="161" t="s">
        <v>25</v>
      </c>
      <c r="P3234" s="49" t="s">
        <v>25</v>
      </c>
      <c r="Q3234" s="166" t="s">
        <v>7294</v>
      </c>
      <c r="R3234" s="151"/>
    </row>
    <row r="3235" spans="1:18">
      <c r="A3235" s="166" t="s">
        <v>82</v>
      </c>
      <c r="B3235" s="191" t="s">
        <v>831</v>
      </c>
      <c r="C3235" s="181" t="s">
        <v>7297</v>
      </c>
      <c r="D3235" s="161" t="s">
        <v>7298</v>
      </c>
      <c r="E3235" s="161" t="s">
        <v>2939</v>
      </c>
      <c r="F3235" s="161" t="s">
        <v>7290</v>
      </c>
      <c r="G3235" s="171">
        <v>47.1</v>
      </c>
      <c r="H3235" s="163">
        <f t="shared" si="248"/>
        <v>12.1</v>
      </c>
      <c r="I3235" s="172">
        <v>81</v>
      </c>
      <c r="J3235" s="172">
        <v>5826.38</v>
      </c>
      <c r="K3235" s="172">
        <v>22679.54</v>
      </c>
      <c r="L3235" s="172"/>
      <c r="M3235" s="161" t="s">
        <v>82</v>
      </c>
      <c r="N3235" s="161" t="s">
        <v>1299</v>
      </c>
      <c r="O3235" s="161" t="s">
        <v>25</v>
      </c>
      <c r="P3235" s="49" t="s">
        <v>25</v>
      </c>
      <c r="Q3235" s="166" t="s">
        <v>7299</v>
      </c>
      <c r="R3235" s="151"/>
    </row>
    <row r="3236" spans="1:18">
      <c r="A3236" s="166" t="s">
        <v>82</v>
      </c>
      <c r="B3236" s="191" t="s">
        <v>831</v>
      </c>
      <c r="C3236" s="181" t="s">
        <v>7300</v>
      </c>
      <c r="D3236" s="161" t="s">
        <v>7301</v>
      </c>
      <c r="E3236" s="161" t="s">
        <v>2939</v>
      </c>
      <c r="F3236" s="161" t="s">
        <v>7290</v>
      </c>
      <c r="G3236" s="171">
        <v>62.5</v>
      </c>
      <c r="H3236" s="163">
        <f t="shared" si="248"/>
        <v>15.4</v>
      </c>
      <c r="I3236" s="172">
        <v>90</v>
      </c>
      <c r="J3236" s="172">
        <v>7415.39</v>
      </c>
      <c r="K3236" s="172">
        <v>30094.94</v>
      </c>
      <c r="L3236" s="172"/>
      <c r="M3236" s="161" t="s">
        <v>82</v>
      </c>
      <c r="N3236" s="161" t="s">
        <v>1299</v>
      </c>
      <c r="O3236" s="161" t="s">
        <v>25</v>
      </c>
      <c r="P3236" s="49" t="s">
        <v>25</v>
      </c>
      <c r="Q3236" s="166" t="s">
        <v>7302</v>
      </c>
      <c r="R3236" s="151"/>
    </row>
    <row r="3237" spans="1:18">
      <c r="A3237" s="166" t="s">
        <v>82</v>
      </c>
      <c r="B3237" s="191" t="s">
        <v>831</v>
      </c>
      <c r="C3237" s="181" t="s">
        <v>7303</v>
      </c>
      <c r="D3237" s="161" t="s">
        <v>7304</v>
      </c>
      <c r="E3237" s="161" t="s">
        <v>2939</v>
      </c>
      <c r="F3237" s="161" t="s">
        <v>7290</v>
      </c>
      <c r="G3237" s="171">
        <v>81.1</v>
      </c>
      <c r="H3237" s="163">
        <f t="shared" si="248"/>
        <v>18.6</v>
      </c>
      <c r="I3237" s="172">
        <v>186</v>
      </c>
      <c r="J3237" s="172">
        <v>8956.25</v>
      </c>
      <c r="K3237" s="172">
        <v>39051.19</v>
      </c>
      <c r="L3237" s="172"/>
      <c r="M3237" s="161" t="s">
        <v>82</v>
      </c>
      <c r="N3237" s="161" t="s">
        <v>1299</v>
      </c>
      <c r="O3237" s="161" t="s">
        <v>25</v>
      </c>
      <c r="P3237" s="49" t="s">
        <v>25</v>
      </c>
      <c r="Q3237" s="166" t="s">
        <v>7305</v>
      </c>
      <c r="R3237" s="151"/>
    </row>
    <row r="3238" spans="1:18">
      <c r="A3238" s="166" t="s">
        <v>82</v>
      </c>
      <c r="B3238" s="191" t="s">
        <v>831</v>
      </c>
      <c r="C3238" s="181" t="s">
        <v>7306</v>
      </c>
      <c r="D3238" s="161" t="s">
        <v>7307</v>
      </c>
      <c r="E3238" s="161" t="s">
        <v>2939</v>
      </c>
      <c r="F3238" s="161" t="s">
        <v>7290</v>
      </c>
      <c r="G3238" s="171">
        <v>92.9</v>
      </c>
      <c r="H3238" s="163">
        <f t="shared" si="248"/>
        <v>11.8</v>
      </c>
      <c r="I3238" s="172">
        <v>97</v>
      </c>
      <c r="J3238" s="172">
        <v>5681.92</v>
      </c>
      <c r="K3238" s="172">
        <v>44733.11</v>
      </c>
      <c r="L3238" s="172"/>
      <c r="M3238" s="161" t="s">
        <v>82</v>
      </c>
      <c r="N3238" s="161" t="s">
        <v>1299</v>
      </c>
      <c r="O3238" s="161" t="s">
        <v>25</v>
      </c>
      <c r="P3238" s="49" t="s">
        <v>25</v>
      </c>
      <c r="Q3238" s="166" t="s">
        <v>7308</v>
      </c>
      <c r="R3238" s="151"/>
    </row>
    <row r="3239" spans="1:18">
      <c r="A3239" s="166" t="s">
        <v>82</v>
      </c>
      <c r="B3239" s="191" t="s">
        <v>831</v>
      </c>
      <c r="C3239" s="181" t="s">
        <v>7309</v>
      </c>
      <c r="D3239" s="161" t="s">
        <v>7310</v>
      </c>
      <c r="E3239" s="161" t="s">
        <v>2939</v>
      </c>
      <c r="F3239" s="161" t="s">
        <v>7290</v>
      </c>
      <c r="G3239" s="171">
        <v>109.7</v>
      </c>
      <c r="H3239" s="163">
        <f t="shared" si="248"/>
        <v>16.8</v>
      </c>
      <c r="I3239" s="172">
        <v>137</v>
      </c>
      <c r="J3239" s="172">
        <v>8089.52</v>
      </c>
      <c r="K3239" s="172">
        <v>52822.63</v>
      </c>
      <c r="L3239" s="172"/>
      <c r="M3239" s="161" t="s">
        <v>82</v>
      </c>
      <c r="N3239" s="161" t="s">
        <v>1299</v>
      </c>
      <c r="O3239" s="161" t="s">
        <v>25</v>
      </c>
      <c r="P3239" s="49" t="s">
        <v>25</v>
      </c>
      <c r="Q3239" s="166" t="s">
        <v>7311</v>
      </c>
      <c r="R3239" s="151"/>
    </row>
    <row r="3240" spans="1:18">
      <c r="A3240" s="166" t="s">
        <v>82</v>
      </c>
      <c r="B3240" s="191" t="s">
        <v>831</v>
      </c>
      <c r="C3240" s="181" t="s">
        <v>7312</v>
      </c>
      <c r="D3240" s="161" t="s">
        <v>7313</v>
      </c>
      <c r="E3240" s="161" t="s">
        <v>2939</v>
      </c>
      <c r="F3240" s="161" t="s">
        <v>7290</v>
      </c>
      <c r="G3240" s="171">
        <v>122.3</v>
      </c>
      <c r="H3240" s="163">
        <f t="shared" si="248"/>
        <v>12.6</v>
      </c>
      <c r="I3240" s="172">
        <v>117</v>
      </c>
      <c r="J3240" s="172">
        <v>6067.14</v>
      </c>
      <c r="K3240" s="172">
        <v>58889.77</v>
      </c>
      <c r="L3240" s="172"/>
      <c r="M3240" s="161" t="s">
        <v>82</v>
      </c>
      <c r="N3240" s="161" t="s">
        <v>1299</v>
      </c>
      <c r="O3240" s="161" t="s">
        <v>25</v>
      </c>
      <c r="P3240" s="49" t="s">
        <v>25</v>
      </c>
      <c r="Q3240" s="166" t="s">
        <v>7314</v>
      </c>
      <c r="R3240" s="151"/>
    </row>
    <row r="3241" spans="1:18">
      <c r="A3241" s="166" t="s">
        <v>82</v>
      </c>
      <c r="B3241" s="191" t="s">
        <v>831</v>
      </c>
      <c r="C3241" s="181" t="s">
        <v>7315</v>
      </c>
      <c r="D3241" s="161" t="s">
        <v>7316</v>
      </c>
      <c r="E3241" s="161" t="s">
        <v>2939</v>
      </c>
      <c r="F3241" s="161" t="s">
        <v>7290</v>
      </c>
      <c r="G3241" s="171">
        <v>132.1</v>
      </c>
      <c r="H3241" s="163">
        <f t="shared" si="248"/>
        <v>9.8</v>
      </c>
      <c r="I3241" s="172">
        <v>90</v>
      </c>
      <c r="J3241" s="172">
        <v>4718.89</v>
      </c>
      <c r="K3241" s="172">
        <v>63608.66</v>
      </c>
      <c r="L3241" s="172"/>
      <c r="M3241" s="161" t="s">
        <v>82</v>
      </c>
      <c r="N3241" s="161" t="s">
        <v>1299</v>
      </c>
      <c r="O3241" s="161" t="s">
        <v>25</v>
      </c>
      <c r="P3241" s="49" t="s">
        <v>25</v>
      </c>
      <c r="Q3241" s="166" t="s">
        <v>7314</v>
      </c>
      <c r="R3241" s="151"/>
    </row>
    <row r="3242" spans="1:18">
      <c r="A3242" s="166" t="s">
        <v>82</v>
      </c>
      <c r="B3242" s="191" t="s">
        <v>831</v>
      </c>
      <c r="C3242" s="181" t="s">
        <v>7317</v>
      </c>
      <c r="D3242" s="161" t="s">
        <v>7318</v>
      </c>
      <c r="E3242" s="161" t="s">
        <v>2939</v>
      </c>
      <c r="F3242" s="161" t="s">
        <v>7290</v>
      </c>
      <c r="G3242" s="171">
        <v>147.6</v>
      </c>
      <c r="H3242" s="163">
        <f t="shared" si="248"/>
        <v>15.5</v>
      </c>
      <c r="I3242" s="172">
        <v>102</v>
      </c>
      <c r="J3242" s="172">
        <v>7415.39</v>
      </c>
      <c r="K3242" s="172">
        <v>71024.05</v>
      </c>
      <c r="L3242" s="172"/>
      <c r="M3242" s="161" t="s">
        <v>82</v>
      </c>
      <c r="N3242" s="161" t="s">
        <v>1299</v>
      </c>
      <c r="O3242" s="161" t="s">
        <v>25</v>
      </c>
      <c r="P3242" s="49" t="s">
        <v>25</v>
      </c>
      <c r="Q3242" s="166" t="s">
        <v>7319</v>
      </c>
      <c r="R3242" s="151"/>
    </row>
    <row r="3243" spans="1:18">
      <c r="A3243" s="166" t="s">
        <v>82</v>
      </c>
      <c r="B3243" s="191" t="s">
        <v>831</v>
      </c>
      <c r="C3243" s="181" t="s">
        <v>7320</v>
      </c>
      <c r="D3243" s="161" t="s">
        <v>7320</v>
      </c>
      <c r="E3243" s="161" t="s">
        <v>2939</v>
      </c>
      <c r="F3243" s="161" t="s">
        <v>7227</v>
      </c>
      <c r="G3243" s="171">
        <v>164.9</v>
      </c>
      <c r="H3243" s="163">
        <f t="shared" si="248"/>
        <v>17.3</v>
      </c>
      <c r="I3243" s="172">
        <v>157</v>
      </c>
      <c r="J3243" s="172">
        <v>8378.43</v>
      </c>
      <c r="K3243" s="172">
        <v>79402.48</v>
      </c>
      <c r="L3243" s="172"/>
      <c r="M3243" s="161" t="s">
        <v>82</v>
      </c>
      <c r="N3243" s="161"/>
      <c r="O3243" s="161" t="s">
        <v>15</v>
      </c>
      <c r="P3243" s="49" t="s">
        <v>15</v>
      </c>
      <c r="Q3243" s="166" t="s">
        <v>7321</v>
      </c>
      <c r="R3243" s="151"/>
    </row>
    <row r="3244" spans="1:18">
      <c r="A3244" s="166" t="s">
        <v>82</v>
      </c>
      <c r="B3244" s="191" t="s">
        <v>831</v>
      </c>
      <c r="C3244" s="181" t="s">
        <v>7322</v>
      </c>
      <c r="D3244" s="161" t="s">
        <v>7323</v>
      </c>
      <c r="E3244" s="161" t="s">
        <v>2939</v>
      </c>
      <c r="F3244" s="161" t="s">
        <v>7290</v>
      </c>
      <c r="G3244" s="171">
        <v>184.6</v>
      </c>
      <c r="H3244" s="163">
        <f t="shared" si="248"/>
        <v>19.7</v>
      </c>
      <c r="I3244" s="172">
        <v>168</v>
      </c>
      <c r="J3244" s="172">
        <v>9485.92</v>
      </c>
      <c r="K3244" s="172">
        <v>88888.4</v>
      </c>
      <c r="L3244" s="172"/>
      <c r="M3244" s="161" t="s">
        <v>82</v>
      </c>
      <c r="N3244" s="161" t="s">
        <v>1299</v>
      </c>
      <c r="O3244" s="161" t="s">
        <v>25</v>
      </c>
      <c r="P3244" s="49" t="s">
        <v>25</v>
      </c>
      <c r="Q3244" s="166" t="s">
        <v>7324</v>
      </c>
      <c r="R3244" s="151"/>
    </row>
    <row r="3245" spans="1:18">
      <c r="A3245" s="166" t="s">
        <v>82</v>
      </c>
      <c r="B3245" s="191" t="s">
        <v>831</v>
      </c>
      <c r="C3245" s="181" t="s">
        <v>7325</v>
      </c>
      <c r="D3245" s="161" t="s">
        <v>7326</v>
      </c>
      <c r="E3245" s="161" t="s">
        <v>2939</v>
      </c>
      <c r="F3245" s="161" t="s">
        <v>7290</v>
      </c>
      <c r="G3245" s="171">
        <v>206.9</v>
      </c>
      <c r="H3245" s="163">
        <f t="shared" si="248"/>
        <v>22.3</v>
      </c>
      <c r="I3245" s="172">
        <v>198</v>
      </c>
      <c r="J3245" s="172">
        <v>10689.72</v>
      </c>
      <c r="K3245" s="172">
        <v>99578.12</v>
      </c>
      <c r="L3245" s="172"/>
      <c r="M3245" s="161" t="s">
        <v>82</v>
      </c>
      <c r="N3245" s="161" t="s">
        <v>1299</v>
      </c>
      <c r="O3245" s="161" t="s">
        <v>25</v>
      </c>
      <c r="P3245" s="49" t="s">
        <v>25</v>
      </c>
      <c r="Q3245" s="166" t="s">
        <v>7327</v>
      </c>
      <c r="R3245" s="151"/>
    </row>
    <row r="3246" spans="1:18">
      <c r="A3246" s="166" t="s">
        <v>82</v>
      </c>
      <c r="B3246" s="191" t="s">
        <v>831</v>
      </c>
      <c r="C3246" s="181" t="s">
        <v>7328</v>
      </c>
      <c r="D3246" s="161" t="s">
        <v>7329</v>
      </c>
      <c r="E3246" s="161" t="s">
        <v>2939</v>
      </c>
      <c r="F3246" s="161" t="s">
        <v>7290</v>
      </c>
      <c r="G3246" s="171">
        <v>225.3</v>
      </c>
      <c r="H3246" s="163">
        <f t="shared" si="248"/>
        <v>18.4</v>
      </c>
      <c r="I3246" s="172">
        <v>165</v>
      </c>
      <c r="J3246" s="172">
        <v>8908.1</v>
      </c>
      <c r="K3246" s="172">
        <v>108486.22</v>
      </c>
      <c r="L3246" s="172"/>
      <c r="M3246" s="161" t="s">
        <v>82</v>
      </c>
      <c r="N3246" s="161" t="s">
        <v>1299</v>
      </c>
      <c r="O3246" s="161" t="s">
        <v>25</v>
      </c>
      <c r="P3246" s="49" t="s">
        <v>25</v>
      </c>
      <c r="Q3246" s="166" t="s">
        <v>7330</v>
      </c>
      <c r="R3246" s="151"/>
    </row>
    <row r="3247" spans="1:18">
      <c r="A3247" s="166" t="s">
        <v>82</v>
      </c>
      <c r="B3247" s="191" t="s">
        <v>831</v>
      </c>
      <c r="C3247" s="181" t="s">
        <v>7331</v>
      </c>
      <c r="D3247" s="161" t="s">
        <v>7332</v>
      </c>
      <c r="E3247" s="161" t="s">
        <v>3154</v>
      </c>
      <c r="F3247" s="161" t="s">
        <v>6256</v>
      </c>
      <c r="G3247" s="171">
        <v>246.3</v>
      </c>
      <c r="H3247" s="163">
        <f t="shared" si="248"/>
        <v>21</v>
      </c>
      <c r="I3247" s="172">
        <v>158</v>
      </c>
      <c r="J3247" s="172">
        <v>10111.9</v>
      </c>
      <c r="K3247" s="172">
        <v>118598.12</v>
      </c>
      <c r="L3247" s="172"/>
      <c r="M3247" s="161" t="s">
        <v>82</v>
      </c>
      <c r="N3247" s="161" t="s">
        <v>1299</v>
      </c>
      <c r="O3247" s="161" t="s">
        <v>25</v>
      </c>
      <c r="P3247" s="49" t="s">
        <v>25</v>
      </c>
      <c r="Q3247" s="166" t="s">
        <v>7333</v>
      </c>
      <c r="R3247" s="151"/>
    </row>
    <row r="3248" spans="1:18">
      <c r="A3248" s="166" t="s">
        <v>82</v>
      </c>
      <c r="B3248" s="191" t="s">
        <v>831</v>
      </c>
      <c r="C3248" s="181" t="s">
        <v>7334</v>
      </c>
      <c r="D3248" s="161" t="s">
        <v>7335</v>
      </c>
      <c r="E3248" s="161" t="s">
        <v>3154</v>
      </c>
      <c r="F3248" s="161" t="s">
        <v>6256</v>
      </c>
      <c r="G3248" s="171">
        <v>258.3</v>
      </c>
      <c r="H3248" s="163">
        <f t="shared" si="248"/>
        <v>12</v>
      </c>
      <c r="I3248" s="172">
        <v>229</v>
      </c>
      <c r="J3248" s="172">
        <v>5778.23</v>
      </c>
      <c r="K3248" s="172">
        <v>124376.35</v>
      </c>
      <c r="L3248" s="172"/>
      <c r="M3248" s="161" t="s">
        <v>82</v>
      </c>
      <c r="N3248" s="161" t="s">
        <v>1299</v>
      </c>
      <c r="O3248" s="161" t="s">
        <v>25</v>
      </c>
      <c r="P3248" s="49" t="s">
        <v>25</v>
      </c>
      <c r="Q3248" s="166" t="s">
        <v>7333</v>
      </c>
      <c r="R3248" s="151"/>
    </row>
    <row r="3249" spans="1:18">
      <c r="A3249" s="166" t="s">
        <v>82</v>
      </c>
      <c r="B3249" s="191" t="s">
        <v>831</v>
      </c>
      <c r="C3249" s="181" t="s">
        <v>7336</v>
      </c>
      <c r="D3249" s="161" t="s">
        <v>7337</v>
      </c>
      <c r="E3249" s="161" t="s">
        <v>3154</v>
      </c>
      <c r="F3249" s="161" t="s">
        <v>6256</v>
      </c>
      <c r="G3249" s="171">
        <v>280.9</v>
      </c>
      <c r="H3249" s="163">
        <f t="shared" si="248"/>
        <v>22.6</v>
      </c>
      <c r="I3249" s="172">
        <v>216</v>
      </c>
      <c r="J3249" s="172">
        <v>10882.33</v>
      </c>
      <c r="K3249" s="172">
        <v>135258.68</v>
      </c>
      <c r="L3249" s="172"/>
      <c r="M3249" s="161" t="s">
        <v>82</v>
      </c>
      <c r="N3249" s="161" t="s">
        <v>1299</v>
      </c>
      <c r="O3249" s="161" t="s">
        <v>15</v>
      </c>
      <c r="P3249" s="49" t="s">
        <v>15</v>
      </c>
      <c r="Q3249" s="166" t="s">
        <v>7338</v>
      </c>
      <c r="R3249" s="151"/>
    </row>
    <row r="3250" spans="1:18">
      <c r="A3250" s="166" t="s">
        <v>82</v>
      </c>
      <c r="B3250" s="191" t="s">
        <v>831</v>
      </c>
      <c r="C3250" s="181" t="s">
        <v>7339</v>
      </c>
      <c r="D3250" s="161" t="s">
        <v>7340</v>
      </c>
      <c r="E3250" s="161" t="s">
        <v>3154</v>
      </c>
      <c r="F3250" s="161" t="s">
        <v>6256</v>
      </c>
      <c r="G3250" s="171">
        <v>303.6</v>
      </c>
      <c r="H3250" s="163">
        <f t="shared" si="248"/>
        <v>22.7</v>
      </c>
      <c r="I3250" s="172">
        <v>203</v>
      </c>
      <c r="J3250" s="172">
        <v>10930.48</v>
      </c>
      <c r="K3250" s="172">
        <v>146189.16</v>
      </c>
      <c r="L3250" s="172"/>
      <c r="M3250" s="161" t="s">
        <v>82</v>
      </c>
      <c r="N3250" s="161" t="s">
        <v>1299</v>
      </c>
      <c r="O3250" s="161" t="s">
        <v>25</v>
      </c>
      <c r="P3250" s="49" t="s">
        <v>25</v>
      </c>
      <c r="Q3250" s="166" t="s">
        <v>7341</v>
      </c>
      <c r="R3250" s="151"/>
    </row>
    <row r="3251" spans="1:18">
      <c r="A3251" s="166" t="s">
        <v>82</v>
      </c>
      <c r="B3251" s="191" t="s">
        <v>831</v>
      </c>
      <c r="C3251" s="181" t="s">
        <v>7342</v>
      </c>
      <c r="D3251" s="161" t="s">
        <v>7343</v>
      </c>
      <c r="E3251" s="161" t="s">
        <v>3154</v>
      </c>
      <c r="F3251" s="161" t="s">
        <v>6256</v>
      </c>
      <c r="G3251" s="171">
        <v>325.7</v>
      </c>
      <c r="H3251" s="163">
        <f t="shared" si="248"/>
        <v>22.1</v>
      </c>
      <c r="I3251" s="172">
        <v>238</v>
      </c>
      <c r="J3251" s="172">
        <v>10641.57</v>
      </c>
      <c r="K3251" s="172">
        <v>156830.73</v>
      </c>
      <c r="L3251" s="172"/>
      <c r="M3251" s="161" t="s">
        <v>82</v>
      </c>
      <c r="N3251" s="161" t="s">
        <v>1299</v>
      </c>
      <c r="O3251" s="161" t="s">
        <v>25</v>
      </c>
      <c r="P3251" s="49" t="s">
        <v>25</v>
      </c>
      <c r="Q3251" s="166" t="s">
        <v>7344</v>
      </c>
      <c r="R3251" s="151"/>
    </row>
    <row r="3252" spans="1:18">
      <c r="A3252" s="166" t="s">
        <v>82</v>
      </c>
      <c r="B3252" s="191" t="s">
        <v>831</v>
      </c>
      <c r="C3252" s="181" t="s">
        <v>7345</v>
      </c>
      <c r="D3252" s="161" t="s">
        <v>7346</v>
      </c>
      <c r="E3252" s="161" t="s">
        <v>3154</v>
      </c>
      <c r="F3252" s="161" t="s">
        <v>6256</v>
      </c>
      <c r="G3252" s="171">
        <v>345.9</v>
      </c>
      <c r="H3252" s="163">
        <f t="shared" si="248"/>
        <v>20.2</v>
      </c>
      <c r="I3252" s="172">
        <v>228</v>
      </c>
      <c r="J3252" s="172">
        <v>9774.84</v>
      </c>
      <c r="K3252" s="172">
        <v>166605.57</v>
      </c>
      <c r="L3252" s="172"/>
      <c r="M3252" s="161" t="s">
        <v>82</v>
      </c>
      <c r="N3252" s="161" t="s">
        <v>1299</v>
      </c>
      <c r="O3252" s="161" t="s">
        <v>25</v>
      </c>
      <c r="P3252" s="49" t="s">
        <v>25</v>
      </c>
      <c r="Q3252" s="166" t="s">
        <v>7347</v>
      </c>
      <c r="R3252" s="151"/>
    </row>
    <row r="3253" spans="1:18">
      <c r="A3253" s="166" t="s">
        <v>82</v>
      </c>
      <c r="B3253" s="191" t="s">
        <v>831</v>
      </c>
      <c r="C3253" s="181" t="s">
        <v>7348</v>
      </c>
      <c r="D3253" s="161" t="s">
        <v>7349</v>
      </c>
      <c r="E3253" s="161" t="s">
        <v>3154</v>
      </c>
      <c r="F3253" s="161" t="s">
        <v>6256</v>
      </c>
      <c r="G3253" s="171">
        <v>359.6</v>
      </c>
      <c r="H3253" s="163">
        <f t="shared" si="248"/>
        <v>13.7</v>
      </c>
      <c r="I3253" s="172">
        <v>207</v>
      </c>
      <c r="J3253" s="172">
        <v>6596.81</v>
      </c>
      <c r="K3253" s="172">
        <v>173202.38</v>
      </c>
      <c r="L3253" s="172"/>
      <c r="M3253" s="161" t="s">
        <v>82</v>
      </c>
      <c r="N3253" s="161" t="s">
        <v>1299</v>
      </c>
      <c r="O3253" s="161" t="s">
        <v>25</v>
      </c>
      <c r="P3253" s="49" t="s">
        <v>25</v>
      </c>
      <c r="Q3253" s="166" t="s">
        <v>7350</v>
      </c>
      <c r="R3253" s="151"/>
    </row>
    <row r="3254" s="152" customFormat="1" spans="1:18">
      <c r="A3254" s="166" t="s">
        <v>82</v>
      </c>
      <c r="B3254" s="191" t="s">
        <v>831</v>
      </c>
      <c r="C3254" s="181" t="s">
        <v>7351</v>
      </c>
      <c r="D3254" s="161" t="s">
        <v>7351</v>
      </c>
      <c r="E3254" s="161" t="s">
        <v>3154</v>
      </c>
      <c r="F3254" s="161" t="s">
        <v>6256</v>
      </c>
      <c r="G3254" s="171">
        <v>374.6</v>
      </c>
      <c r="H3254" s="163">
        <f t="shared" si="248"/>
        <v>15</v>
      </c>
      <c r="I3254" s="172">
        <v>191</v>
      </c>
      <c r="J3254" s="172">
        <v>7222.78</v>
      </c>
      <c r="K3254" s="172">
        <v>180425.16</v>
      </c>
      <c r="L3254" s="172" t="s">
        <v>7352</v>
      </c>
      <c r="M3254" s="161" t="s">
        <v>82</v>
      </c>
      <c r="N3254" s="161"/>
      <c r="O3254" s="161" t="s">
        <v>25</v>
      </c>
      <c r="P3254" s="49" t="s">
        <v>14</v>
      </c>
      <c r="Q3254" s="166" t="s">
        <v>7353</v>
      </c>
      <c r="R3254" s="151"/>
    </row>
    <row r="3255" spans="1:18">
      <c r="A3255" s="166" t="s">
        <v>82</v>
      </c>
      <c r="B3255" s="191" t="s">
        <v>831</v>
      </c>
      <c r="C3255" s="181" t="s">
        <v>7354</v>
      </c>
      <c r="D3255" s="161" t="s">
        <v>7355</v>
      </c>
      <c r="E3255" s="161" t="s">
        <v>3154</v>
      </c>
      <c r="F3255" s="161" t="s">
        <v>6256</v>
      </c>
      <c r="G3255" s="171">
        <v>388</v>
      </c>
      <c r="H3255" s="163">
        <f t="shared" si="248"/>
        <v>13.4</v>
      </c>
      <c r="I3255" s="172">
        <v>182</v>
      </c>
      <c r="J3255" s="172">
        <v>6452.35</v>
      </c>
      <c r="K3255" s="172">
        <v>186877.51</v>
      </c>
      <c r="L3255" s="172"/>
      <c r="M3255" s="161" t="s">
        <v>82</v>
      </c>
      <c r="N3255" s="161" t="s">
        <v>1299</v>
      </c>
      <c r="O3255" s="161" t="s">
        <v>25</v>
      </c>
      <c r="P3255" s="49" t="s">
        <v>25</v>
      </c>
      <c r="Q3255" s="166" t="s">
        <v>7356</v>
      </c>
      <c r="R3255" s="151"/>
    </row>
    <row r="3256" spans="1:18">
      <c r="A3256" s="166" t="s">
        <v>82</v>
      </c>
      <c r="B3256" s="191" t="s">
        <v>831</v>
      </c>
      <c r="C3256" s="181" t="s">
        <v>7357</v>
      </c>
      <c r="D3256" s="161" t="s">
        <v>7358</v>
      </c>
      <c r="E3256" s="161" t="s">
        <v>3154</v>
      </c>
      <c r="F3256" s="161" t="s">
        <v>6256</v>
      </c>
      <c r="G3256" s="171">
        <v>408</v>
      </c>
      <c r="H3256" s="163">
        <f t="shared" si="248"/>
        <v>20</v>
      </c>
      <c r="I3256" s="172">
        <v>175</v>
      </c>
      <c r="J3256" s="172">
        <v>9630.38</v>
      </c>
      <c r="K3256" s="172">
        <v>196507.89</v>
      </c>
      <c r="L3256" s="172"/>
      <c r="M3256" s="161" t="s">
        <v>82</v>
      </c>
      <c r="N3256" s="161" t="s">
        <v>1299</v>
      </c>
      <c r="O3256" s="161" t="s">
        <v>25</v>
      </c>
      <c r="P3256" s="49" t="s">
        <v>25</v>
      </c>
      <c r="Q3256" s="166" t="s">
        <v>7359</v>
      </c>
      <c r="R3256" s="151"/>
    </row>
    <row r="3257" spans="1:18">
      <c r="A3257" s="166" t="s">
        <v>82</v>
      </c>
      <c r="B3257" s="191" t="s">
        <v>831</v>
      </c>
      <c r="C3257" s="181" t="s">
        <v>7360</v>
      </c>
      <c r="D3257" s="161" t="s">
        <v>7361</v>
      </c>
      <c r="E3257" s="161" t="s">
        <v>3154</v>
      </c>
      <c r="F3257" s="161" t="s">
        <v>6256</v>
      </c>
      <c r="G3257" s="171">
        <v>425.5</v>
      </c>
      <c r="H3257" s="163">
        <f t="shared" si="248"/>
        <v>17.5</v>
      </c>
      <c r="I3257" s="172">
        <v>169</v>
      </c>
      <c r="J3257" s="172">
        <v>8426.58</v>
      </c>
      <c r="K3257" s="172">
        <v>204934.48</v>
      </c>
      <c r="L3257" s="172"/>
      <c r="M3257" s="161" t="s">
        <v>82</v>
      </c>
      <c r="N3257" s="161" t="s">
        <v>1299</v>
      </c>
      <c r="O3257" s="161" t="s">
        <v>25</v>
      </c>
      <c r="P3257" s="49" t="s">
        <v>25</v>
      </c>
      <c r="Q3257" s="166" t="s">
        <v>7362</v>
      </c>
      <c r="R3257" s="151"/>
    </row>
    <row r="3258" spans="1:18">
      <c r="A3258" s="166" t="s">
        <v>82</v>
      </c>
      <c r="B3258" s="191" t="s">
        <v>831</v>
      </c>
      <c r="C3258" s="135" t="s">
        <v>7173</v>
      </c>
      <c r="D3258" s="161" t="s">
        <v>7173</v>
      </c>
      <c r="E3258" s="161" t="s">
        <v>3154</v>
      </c>
      <c r="F3258" s="161" t="s">
        <v>6256</v>
      </c>
      <c r="G3258" s="163">
        <v>440.4</v>
      </c>
      <c r="H3258" s="163">
        <f t="shared" si="248"/>
        <v>14.9</v>
      </c>
      <c r="I3258" s="172">
        <v>178</v>
      </c>
      <c r="J3258" s="172">
        <v>7174.63</v>
      </c>
      <c r="K3258" s="172">
        <v>212109.11</v>
      </c>
      <c r="L3258" s="172"/>
      <c r="M3258" s="161" t="s">
        <v>78</v>
      </c>
      <c r="N3258" s="161"/>
      <c r="O3258" s="161"/>
      <c r="P3258" s="49"/>
      <c r="Q3258" s="166" t="s">
        <v>7174</v>
      </c>
      <c r="R3258" s="151"/>
    </row>
    <row r="3259" spans="1:18">
      <c r="A3259" s="166" t="s">
        <v>82</v>
      </c>
      <c r="B3259" s="191" t="s">
        <v>833</v>
      </c>
      <c r="C3259" s="135" t="s">
        <v>7215</v>
      </c>
      <c r="D3259" s="161" t="s">
        <v>7215</v>
      </c>
      <c r="E3259" s="161" t="s">
        <v>2939</v>
      </c>
      <c r="F3259" s="161" t="s">
        <v>3754</v>
      </c>
      <c r="G3259" s="163">
        <v>0</v>
      </c>
      <c r="H3259" s="163">
        <v>0</v>
      </c>
      <c r="I3259" s="171" t="s">
        <v>147</v>
      </c>
      <c r="J3259" s="171" t="s">
        <v>147</v>
      </c>
      <c r="K3259" s="171" t="s">
        <v>147</v>
      </c>
      <c r="L3259" s="172"/>
      <c r="M3259" s="161" t="s">
        <v>82</v>
      </c>
      <c r="N3259" s="161"/>
      <c r="O3259" s="161"/>
      <c r="P3259" s="49"/>
      <c r="Q3259" s="166"/>
      <c r="R3259" s="151"/>
    </row>
    <row r="3260" spans="1:18">
      <c r="A3260" s="166" t="s">
        <v>82</v>
      </c>
      <c r="B3260" s="191" t="s">
        <v>833</v>
      </c>
      <c r="C3260" s="181" t="s">
        <v>324</v>
      </c>
      <c r="D3260" s="161" t="s">
        <v>324</v>
      </c>
      <c r="E3260" s="161" t="s">
        <v>2939</v>
      </c>
      <c r="F3260" s="161" t="s">
        <v>3754</v>
      </c>
      <c r="G3260" s="163">
        <v>0.31</v>
      </c>
      <c r="H3260" s="163">
        <v>0.31</v>
      </c>
      <c r="I3260" s="171" t="s">
        <v>147</v>
      </c>
      <c r="J3260" s="171" t="s">
        <v>147</v>
      </c>
      <c r="K3260" s="171" t="s">
        <v>147</v>
      </c>
      <c r="L3260" s="172"/>
      <c r="M3260" s="161" t="s">
        <v>82</v>
      </c>
      <c r="N3260" s="161"/>
      <c r="O3260" s="161" t="s">
        <v>15</v>
      </c>
      <c r="P3260" s="49" t="s">
        <v>15</v>
      </c>
      <c r="Q3260" s="166"/>
      <c r="R3260" s="151"/>
    </row>
    <row r="3261" spans="1:18">
      <c r="A3261" s="49" t="s">
        <v>79</v>
      </c>
      <c r="B3261" s="191" t="s">
        <v>835</v>
      </c>
      <c r="C3261" s="87" t="s">
        <v>857</v>
      </c>
      <c r="D3261" s="161" t="s">
        <v>857</v>
      </c>
      <c r="E3261" s="161" t="s">
        <v>2750</v>
      </c>
      <c r="F3261" s="161" t="s">
        <v>7363</v>
      </c>
      <c r="G3261" s="163">
        <v>0</v>
      </c>
      <c r="H3261" s="163">
        <v>0</v>
      </c>
      <c r="I3261" s="174">
        <v>0</v>
      </c>
      <c r="J3261" s="174">
        <v>0</v>
      </c>
      <c r="K3261" s="172">
        <v>0</v>
      </c>
      <c r="L3261" s="172"/>
      <c r="M3261" s="161" t="s">
        <v>7364</v>
      </c>
      <c r="N3261" s="161"/>
      <c r="O3261" s="161" t="s">
        <v>14</v>
      </c>
      <c r="P3261" s="49" t="s">
        <v>14</v>
      </c>
      <c r="Q3261" s="166"/>
      <c r="R3261" s="151"/>
    </row>
    <row r="3262" spans="1:18">
      <c r="A3262" s="49" t="s">
        <v>79</v>
      </c>
      <c r="B3262" s="191" t="s">
        <v>835</v>
      </c>
      <c r="C3262" s="87" t="s">
        <v>7365</v>
      </c>
      <c r="D3262" s="161" t="s">
        <v>1298</v>
      </c>
      <c r="E3262" s="161" t="s">
        <v>2750</v>
      </c>
      <c r="F3262" s="161" t="s">
        <v>7366</v>
      </c>
      <c r="G3262" s="163">
        <v>31.911</v>
      </c>
      <c r="H3262" s="163">
        <f>G3262-G3261</f>
        <v>31.911</v>
      </c>
      <c r="I3262" s="163">
        <v>12.027</v>
      </c>
      <c r="J3262" s="174">
        <v>2407.74584458698</v>
      </c>
      <c r="K3262" s="172">
        <v>2407.74584458698</v>
      </c>
      <c r="L3262" s="172"/>
      <c r="M3262" s="161" t="s">
        <v>7364</v>
      </c>
      <c r="N3262" s="161" t="s">
        <v>1299</v>
      </c>
      <c r="O3262" s="161" t="s">
        <v>25</v>
      </c>
      <c r="P3262" s="49" t="s">
        <v>25</v>
      </c>
      <c r="Q3262" s="166"/>
      <c r="R3262" s="151"/>
    </row>
    <row r="3263" spans="1:18">
      <c r="A3263" s="49" t="s">
        <v>79</v>
      </c>
      <c r="B3263" s="191" t="s">
        <v>835</v>
      </c>
      <c r="C3263" s="87" t="s">
        <v>7367</v>
      </c>
      <c r="D3263" s="161" t="s">
        <v>1302</v>
      </c>
      <c r="E3263" s="161" t="s">
        <v>2750</v>
      </c>
      <c r="F3263" s="161" t="s">
        <v>7366</v>
      </c>
      <c r="G3263" s="163">
        <v>64.72</v>
      </c>
      <c r="H3263" s="163">
        <f>G3263-G3262</f>
        <v>32.809</v>
      </c>
      <c r="I3263" s="174">
        <v>8.152</v>
      </c>
      <c r="J3263" s="174">
        <v>2428.62032819056</v>
      </c>
      <c r="K3263" s="172">
        <v>4836.36617277754</v>
      </c>
      <c r="L3263" s="172"/>
      <c r="M3263" s="161" t="s">
        <v>7364</v>
      </c>
      <c r="N3263" s="161" t="s">
        <v>1299</v>
      </c>
      <c r="O3263" s="161" t="s">
        <v>25</v>
      </c>
      <c r="P3263" s="49" t="s">
        <v>25</v>
      </c>
      <c r="Q3263" s="166"/>
      <c r="R3263" s="151"/>
    </row>
    <row r="3264" spans="1:18">
      <c r="A3264" s="49" t="s">
        <v>79</v>
      </c>
      <c r="B3264" s="191" t="s">
        <v>835</v>
      </c>
      <c r="C3264" s="87" t="s">
        <v>7368</v>
      </c>
      <c r="D3264" s="161" t="s">
        <v>1305</v>
      </c>
      <c r="E3264" s="161" t="s">
        <v>2750</v>
      </c>
      <c r="F3264" s="161" t="s">
        <v>7363</v>
      </c>
      <c r="G3264" s="163">
        <v>93.633</v>
      </c>
      <c r="H3264" s="163">
        <f>G3264-G3263</f>
        <v>28.913</v>
      </c>
      <c r="I3264" s="163">
        <v>8.038</v>
      </c>
      <c r="J3264" s="174">
        <v>2140.2267532986</v>
      </c>
      <c r="K3264" s="172">
        <v>6976.59292607613</v>
      </c>
      <c r="L3264" s="172"/>
      <c r="M3264" s="161" t="s">
        <v>7364</v>
      </c>
      <c r="N3264" s="161" t="s">
        <v>1299</v>
      </c>
      <c r="O3264" s="161" t="s">
        <v>25</v>
      </c>
      <c r="P3264" s="49" t="s">
        <v>25</v>
      </c>
      <c r="Q3264" s="166"/>
      <c r="R3264" s="151"/>
    </row>
    <row r="3265" spans="1:18">
      <c r="A3265" s="49" t="s">
        <v>79</v>
      </c>
      <c r="B3265" s="191" t="s">
        <v>835</v>
      </c>
      <c r="C3265" s="87" t="s">
        <v>837</v>
      </c>
      <c r="D3265" s="161" t="s">
        <v>837</v>
      </c>
      <c r="E3265" s="161" t="s">
        <v>2750</v>
      </c>
      <c r="F3265" s="161" t="s">
        <v>7363</v>
      </c>
      <c r="G3265" s="163">
        <v>122.206</v>
      </c>
      <c r="H3265" s="163">
        <f>G3265-G3264</f>
        <v>28.573</v>
      </c>
      <c r="I3265" s="163">
        <v>15.697</v>
      </c>
      <c r="J3265" s="174">
        <v>2115.0589361879</v>
      </c>
      <c r="K3265" s="172">
        <v>9091.65186226404</v>
      </c>
      <c r="L3265" s="172"/>
      <c r="M3265" s="161" t="s">
        <v>7364</v>
      </c>
      <c r="N3265" s="161"/>
      <c r="O3265" s="161" t="s">
        <v>14</v>
      </c>
      <c r="P3265" s="49" t="s">
        <v>14</v>
      </c>
      <c r="Q3265" s="166"/>
      <c r="R3265" s="151"/>
    </row>
    <row r="3266" spans="1:18">
      <c r="A3266" s="49" t="s">
        <v>79</v>
      </c>
      <c r="B3266" s="191" t="s">
        <v>844</v>
      </c>
      <c r="C3266" s="135" t="s">
        <v>837</v>
      </c>
      <c r="D3266" s="161" t="s">
        <v>845</v>
      </c>
      <c r="E3266" s="161" t="s">
        <v>2750</v>
      </c>
      <c r="F3266" s="161" t="s">
        <v>7363</v>
      </c>
      <c r="G3266" s="163">
        <v>0</v>
      </c>
      <c r="H3266" s="163">
        <v>0</v>
      </c>
      <c r="I3266" s="163"/>
      <c r="J3266" s="174"/>
      <c r="K3266" s="172"/>
      <c r="L3266" s="172"/>
      <c r="M3266" s="161" t="s">
        <v>7364</v>
      </c>
      <c r="N3266" s="161"/>
      <c r="O3266" s="161"/>
      <c r="P3266" s="49"/>
      <c r="Q3266" s="166"/>
      <c r="R3266" s="151"/>
    </row>
    <row r="3267" spans="1:18">
      <c r="A3267" s="49" t="s">
        <v>79</v>
      </c>
      <c r="B3267" s="191" t="s">
        <v>844</v>
      </c>
      <c r="C3267" s="135" t="s">
        <v>837</v>
      </c>
      <c r="D3267" s="161" t="s">
        <v>845</v>
      </c>
      <c r="E3267" s="161" t="s">
        <v>2750</v>
      </c>
      <c r="F3267" s="161" t="s">
        <v>7363</v>
      </c>
      <c r="G3267" s="163">
        <v>0.78</v>
      </c>
      <c r="H3267" s="163">
        <v>0.78</v>
      </c>
      <c r="I3267" s="163"/>
      <c r="J3267" s="174"/>
      <c r="K3267" s="172"/>
      <c r="L3267" s="172"/>
      <c r="M3267" s="161" t="s">
        <v>7364</v>
      </c>
      <c r="N3267" s="161"/>
      <c r="O3267" s="161"/>
      <c r="P3267" s="49"/>
      <c r="Q3267" s="166"/>
      <c r="R3267" s="151"/>
    </row>
    <row r="3268" spans="1:18">
      <c r="A3268" s="49" t="s">
        <v>79</v>
      </c>
      <c r="B3268" s="195" t="s">
        <v>839</v>
      </c>
      <c r="C3268" s="87" t="s">
        <v>840</v>
      </c>
      <c r="D3268" s="161" t="s">
        <v>840</v>
      </c>
      <c r="E3268" s="161" t="s">
        <v>2750</v>
      </c>
      <c r="F3268" s="161" t="s">
        <v>7363</v>
      </c>
      <c r="G3268" s="163">
        <v>0</v>
      </c>
      <c r="H3268" s="163">
        <v>0</v>
      </c>
      <c r="I3268" s="174">
        <v>0</v>
      </c>
      <c r="J3268" s="174">
        <v>0</v>
      </c>
      <c r="K3268" s="172">
        <v>0</v>
      </c>
      <c r="L3268" s="172"/>
      <c r="M3268" s="161" t="s">
        <v>7364</v>
      </c>
      <c r="N3268" s="161"/>
      <c r="O3268" s="161" t="s">
        <v>14</v>
      </c>
      <c r="P3268" s="49" t="s">
        <v>14</v>
      </c>
      <c r="Q3268" s="166"/>
      <c r="R3268" s="151"/>
    </row>
    <row r="3269" spans="1:18">
      <c r="A3269" s="49" t="s">
        <v>79</v>
      </c>
      <c r="B3269" s="195" t="s">
        <v>839</v>
      </c>
      <c r="C3269" s="87" t="s">
        <v>7369</v>
      </c>
      <c r="D3269" s="161" t="s">
        <v>1298</v>
      </c>
      <c r="E3269" s="161" t="s">
        <v>2750</v>
      </c>
      <c r="F3269" s="161" t="s">
        <v>7363</v>
      </c>
      <c r="G3269" s="163">
        <v>15.153</v>
      </c>
      <c r="H3269" s="163">
        <f>G3269-G3268</f>
        <v>15.153</v>
      </c>
      <c r="I3269" s="163">
        <v>6.403</v>
      </c>
      <c r="J3269" s="174">
        <v>2904.30620325185</v>
      </c>
      <c r="K3269" s="172">
        <v>2904.30620325185</v>
      </c>
      <c r="L3269" s="172"/>
      <c r="M3269" s="161" t="s">
        <v>7364</v>
      </c>
      <c r="N3269" s="161" t="s">
        <v>1299</v>
      </c>
      <c r="O3269" s="161" t="s">
        <v>25</v>
      </c>
      <c r="P3269" s="49" t="s">
        <v>25</v>
      </c>
      <c r="Q3269" s="166"/>
      <c r="R3269" s="151"/>
    </row>
    <row r="3270" spans="1:18">
      <c r="A3270" s="49" t="s">
        <v>79</v>
      </c>
      <c r="B3270" s="195" t="s">
        <v>839</v>
      </c>
      <c r="C3270" s="87" t="s">
        <v>7370</v>
      </c>
      <c r="D3270" s="161" t="s">
        <v>1302</v>
      </c>
      <c r="E3270" s="161" t="s">
        <v>2750</v>
      </c>
      <c r="F3270" s="161" t="s">
        <v>7363</v>
      </c>
      <c r="G3270" s="163">
        <v>35.145</v>
      </c>
      <c r="H3270" s="163">
        <f t="shared" ref="H3270:H3278" si="249">G3270-G3269</f>
        <v>19.992</v>
      </c>
      <c r="I3270" s="174">
        <v>41.944</v>
      </c>
      <c r="J3270" s="174">
        <v>3831.77520064746</v>
      </c>
      <c r="K3270" s="172">
        <v>6736.0814038993</v>
      </c>
      <c r="L3270" s="172"/>
      <c r="M3270" s="161" t="s">
        <v>7364</v>
      </c>
      <c r="N3270" s="161" t="s">
        <v>1299</v>
      </c>
      <c r="O3270" s="161" t="s">
        <v>25</v>
      </c>
      <c r="P3270" s="49" t="s">
        <v>25</v>
      </c>
      <c r="Q3270" s="166"/>
      <c r="R3270" s="151"/>
    </row>
    <row r="3271" spans="1:18">
      <c r="A3271" s="49" t="s">
        <v>79</v>
      </c>
      <c r="B3271" s="195" t="s">
        <v>839</v>
      </c>
      <c r="C3271" s="87" t="s">
        <v>7371</v>
      </c>
      <c r="D3271" s="161" t="s">
        <v>1305</v>
      </c>
      <c r="E3271" s="161" t="s">
        <v>2750</v>
      </c>
      <c r="F3271" s="161" t="s">
        <v>7363</v>
      </c>
      <c r="G3271" s="163">
        <v>38.958</v>
      </c>
      <c r="H3271" s="163">
        <f t="shared" si="249"/>
        <v>3.813</v>
      </c>
      <c r="I3271" s="163">
        <v>10.682</v>
      </c>
      <c r="J3271" s="174">
        <v>730.820270111482</v>
      </c>
      <c r="K3271" s="172">
        <v>7466.90167401079</v>
      </c>
      <c r="L3271" s="172"/>
      <c r="M3271" s="161" t="s">
        <v>7364</v>
      </c>
      <c r="N3271" s="161" t="s">
        <v>1299</v>
      </c>
      <c r="O3271" s="161" t="s">
        <v>25</v>
      </c>
      <c r="P3271" s="49" t="s">
        <v>25</v>
      </c>
      <c r="Q3271" s="166"/>
      <c r="R3271" s="151"/>
    </row>
    <row r="3272" spans="1:18">
      <c r="A3272" s="49" t="s">
        <v>79</v>
      </c>
      <c r="B3272" s="195" t="s">
        <v>839</v>
      </c>
      <c r="C3272" s="87" t="s">
        <v>7372</v>
      </c>
      <c r="D3272" s="161" t="s">
        <v>1307</v>
      </c>
      <c r="E3272" s="161" t="s">
        <v>2750</v>
      </c>
      <c r="F3272" s="161" t="s">
        <v>7363</v>
      </c>
      <c r="G3272" s="163">
        <v>51.755</v>
      </c>
      <c r="H3272" s="163">
        <f t="shared" si="249"/>
        <v>12.797</v>
      </c>
      <c r="I3272" s="174">
        <v>77.397</v>
      </c>
      <c r="J3272" s="174">
        <v>2452.74245911792</v>
      </c>
      <c r="K3272" s="172">
        <v>9919.64413312871</v>
      </c>
      <c r="L3272" s="172"/>
      <c r="M3272" s="161" t="s">
        <v>7364</v>
      </c>
      <c r="N3272" s="161" t="s">
        <v>1299</v>
      </c>
      <c r="O3272" s="161" t="s">
        <v>25</v>
      </c>
      <c r="P3272" s="49" t="s">
        <v>25</v>
      </c>
      <c r="Q3272" s="166"/>
      <c r="R3272" s="151"/>
    </row>
    <row r="3273" spans="1:18">
      <c r="A3273" s="49" t="s">
        <v>79</v>
      </c>
      <c r="B3273" s="195" t="s">
        <v>839</v>
      </c>
      <c r="C3273" s="87" t="s">
        <v>7373</v>
      </c>
      <c r="D3273" s="161" t="s">
        <v>1311</v>
      </c>
      <c r="E3273" s="161" t="s">
        <v>2750</v>
      </c>
      <c r="F3273" s="161" t="s">
        <v>7363</v>
      </c>
      <c r="G3273" s="163">
        <v>65.285</v>
      </c>
      <c r="H3273" s="163">
        <f t="shared" si="249"/>
        <v>13.53</v>
      </c>
      <c r="I3273" s="163">
        <v>11.046</v>
      </c>
      <c r="J3273" s="174">
        <v>2593.23321652461</v>
      </c>
      <c r="K3273" s="172">
        <v>12512.8773496533</v>
      </c>
      <c r="L3273" s="172"/>
      <c r="M3273" s="161" t="s">
        <v>7364</v>
      </c>
      <c r="N3273" s="161" t="s">
        <v>1299</v>
      </c>
      <c r="O3273" s="161" t="s">
        <v>25</v>
      </c>
      <c r="P3273" s="49" t="s">
        <v>25</v>
      </c>
      <c r="Q3273" s="166"/>
      <c r="R3273" s="151"/>
    </row>
    <row r="3274" spans="1:18">
      <c r="A3274" s="49" t="s">
        <v>79</v>
      </c>
      <c r="B3274" s="195" t="s">
        <v>839</v>
      </c>
      <c r="C3274" s="87" t="s">
        <v>7374</v>
      </c>
      <c r="D3274" s="161" t="s">
        <v>1318</v>
      </c>
      <c r="E3274" s="161" t="s">
        <v>2750</v>
      </c>
      <c r="F3274" s="161" t="s">
        <v>7363</v>
      </c>
      <c r="G3274" s="163">
        <v>66.783</v>
      </c>
      <c r="H3274" s="163">
        <f t="shared" si="249"/>
        <v>1.498</v>
      </c>
      <c r="I3274" s="163">
        <v>19.929</v>
      </c>
      <c r="J3274" s="174">
        <v>287.114808451875</v>
      </c>
      <c r="K3274" s="172">
        <v>12799.9921581052</v>
      </c>
      <c r="L3274" s="172"/>
      <c r="M3274" s="161" t="s">
        <v>7364</v>
      </c>
      <c r="N3274" s="161" t="s">
        <v>1299</v>
      </c>
      <c r="O3274" s="161" t="s">
        <v>25</v>
      </c>
      <c r="P3274" s="49" t="s">
        <v>25</v>
      </c>
      <c r="Q3274" s="166"/>
      <c r="R3274" s="151"/>
    </row>
    <row r="3275" spans="1:18">
      <c r="A3275" s="49" t="s">
        <v>79</v>
      </c>
      <c r="B3275" s="195" t="s">
        <v>839</v>
      </c>
      <c r="C3275" s="87" t="s">
        <v>7375</v>
      </c>
      <c r="D3275" s="161" t="s">
        <v>1321</v>
      </c>
      <c r="E3275" s="161" t="s">
        <v>2750</v>
      </c>
      <c r="F3275" s="161" t="s">
        <v>7376</v>
      </c>
      <c r="G3275" s="163">
        <v>97.299</v>
      </c>
      <c r="H3275" s="163">
        <f t="shared" si="249"/>
        <v>30.516</v>
      </c>
      <c r="I3275" s="174">
        <v>24.064</v>
      </c>
      <c r="J3275" s="174">
        <v>5848.86214600629</v>
      </c>
      <c r="K3275" s="172">
        <v>18648.8543041115</v>
      </c>
      <c r="L3275" s="172"/>
      <c r="M3275" s="161" t="s">
        <v>7364</v>
      </c>
      <c r="N3275" s="161" t="s">
        <v>1299</v>
      </c>
      <c r="O3275" s="161" t="s">
        <v>25</v>
      </c>
      <c r="P3275" s="49" t="s">
        <v>25</v>
      </c>
      <c r="Q3275" s="166"/>
      <c r="R3275" s="151"/>
    </row>
    <row r="3276" spans="1:18">
      <c r="A3276" s="49" t="s">
        <v>79</v>
      </c>
      <c r="B3276" s="195" t="s">
        <v>839</v>
      </c>
      <c r="C3276" s="87" t="s">
        <v>7377</v>
      </c>
      <c r="D3276" s="161" t="s">
        <v>1324</v>
      </c>
      <c r="E3276" s="161" t="s">
        <v>2750</v>
      </c>
      <c r="F3276" s="161" t="s">
        <v>7376</v>
      </c>
      <c r="G3276" s="163">
        <v>112.818</v>
      </c>
      <c r="H3276" s="163">
        <f t="shared" si="249"/>
        <v>15.519</v>
      </c>
      <c r="I3276" s="163">
        <v>-2.657</v>
      </c>
      <c r="J3276" s="174">
        <v>2974.45574924209</v>
      </c>
      <c r="K3276" s="172">
        <v>21623.3100533536</v>
      </c>
      <c r="L3276" s="172"/>
      <c r="M3276" s="161" t="s">
        <v>7364</v>
      </c>
      <c r="N3276" s="161" t="s">
        <v>1299</v>
      </c>
      <c r="O3276" s="161" t="s">
        <v>25</v>
      </c>
      <c r="P3276" s="49" t="s">
        <v>25</v>
      </c>
      <c r="Q3276" s="166"/>
      <c r="R3276" s="151"/>
    </row>
    <row r="3277" spans="1:18">
      <c r="A3277" s="49" t="s">
        <v>79</v>
      </c>
      <c r="B3277" s="195" t="s">
        <v>839</v>
      </c>
      <c r="C3277" s="87" t="s">
        <v>863</v>
      </c>
      <c r="D3277" s="161" t="s">
        <v>863</v>
      </c>
      <c r="E3277" s="161" t="s">
        <v>2750</v>
      </c>
      <c r="F3277" s="161" t="s">
        <v>7376</v>
      </c>
      <c r="G3277" s="163">
        <v>116.291</v>
      </c>
      <c r="H3277" s="163">
        <f t="shared" si="249"/>
        <v>3.473</v>
      </c>
      <c r="I3277" s="174">
        <v>11.186</v>
      </c>
      <c r="J3277" s="174">
        <v>665.654025202512</v>
      </c>
      <c r="K3277" s="172">
        <v>22288.9640785561</v>
      </c>
      <c r="L3277" s="172"/>
      <c r="M3277" s="161" t="s">
        <v>7364</v>
      </c>
      <c r="N3277" s="161"/>
      <c r="O3277" s="161" t="s">
        <v>15</v>
      </c>
      <c r="P3277" s="49" t="s">
        <v>15</v>
      </c>
      <c r="Q3277" s="166"/>
      <c r="R3277" s="151"/>
    </row>
    <row r="3278" spans="1:18">
      <c r="A3278" s="49" t="s">
        <v>79</v>
      </c>
      <c r="B3278" s="195" t="s">
        <v>839</v>
      </c>
      <c r="C3278" s="87" t="s">
        <v>7378</v>
      </c>
      <c r="D3278" s="161" t="s">
        <v>7378</v>
      </c>
      <c r="E3278" s="161" t="s">
        <v>2750</v>
      </c>
      <c r="F3278" s="161" t="s">
        <v>7376</v>
      </c>
      <c r="G3278" s="163">
        <v>133.893</v>
      </c>
      <c r="H3278" s="163">
        <f t="shared" si="249"/>
        <v>17.602</v>
      </c>
      <c r="I3278" s="163">
        <v>25.501</v>
      </c>
      <c r="J3278" s="174">
        <v>3373.69483202264</v>
      </c>
      <c r="K3278" s="172">
        <v>25662.6589105787</v>
      </c>
      <c r="L3278" s="172"/>
      <c r="M3278" s="161" t="s">
        <v>7364</v>
      </c>
      <c r="N3278" s="161"/>
      <c r="O3278" s="161" t="s">
        <v>14</v>
      </c>
      <c r="P3278" s="49" t="s">
        <v>14</v>
      </c>
      <c r="Q3278" s="166"/>
      <c r="R3278" s="151"/>
    </row>
    <row r="3279" spans="1:18">
      <c r="A3279" s="49" t="s">
        <v>79</v>
      </c>
      <c r="B3279" s="195" t="s">
        <v>848</v>
      </c>
      <c r="C3279" s="87" t="s">
        <v>7371</v>
      </c>
      <c r="D3279" s="161" t="s">
        <v>7379</v>
      </c>
      <c r="E3279" s="161" t="s">
        <v>2750</v>
      </c>
      <c r="F3279" s="161" t="s">
        <v>7363</v>
      </c>
      <c r="G3279" s="163">
        <v>0</v>
      </c>
      <c r="H3279" s="163">
        <v>0</v>
      </c>
      <c r="I3279" s="163">
        <v>10.682</v>
      </c>
      <c r="J3279" s="174">
        <v>0</v>
      </c>
      <c r="K3279" s="174">
        <v>0</v>
      </c>
      <c r="L3279" s="172"/>
      <c r="M3279" s="161" t="s">
        <v>7364</v>
      </c>
      <c r="N3279" s="161" t="s">
        <v>1299</v>
      </c>
      <c r="O3279" s="161" t="s">
        <v>25</v>
      </c>
      <c r="P3279" s="49" t="s">
        <v>25</v>
      </c>
      <c r="Q3279" s="166"/>
      <c r="R3279" s="151"/>
    </row>
    <row r="3280" spans="1:18">
      <c r="A3280" s="49" t="s">
        <v>79</v>
      </c>
      <c r="B3280" s="195" t="s">
        <v>848</v>
      </c>
      <c r="C3280" s="87" t="s">
        <v>7380</v>
      </c>
      <c r="D3280" s="161" t="s">
        <v>7380</v>
      </c>
      <c r="E3280" s="161" t="s">
        <v>2750</v>
      </c>
      <c r="F3280" s="161" t="s">
        <v>7363</v>
      </c>
      <c r="G3280" s="163">
        <v>4.943</v>
      </c>
      <c r="H3280" s="163">
        <v>4.943</v>
      </c>
      <c r="I3280" s="174"/>
      <c r="J3280" s="174">
        <v>82.7029426123422</v>
      </c>
      <c r="K3280" s="174">
        <v>82.7029426123422</v>
      </c>
      <c r="L3280" s="172"/>
      <c r="M3280" s="161" t="s">
        <v>7364</v>
      </c>
      <c r="N3280" s="161"/>
      <c r="O3280" s="161" t="s">
        <v>14</v>
      </c>
      <c r="P3280" s="49" t="s">
        <v>14</v>
      </c>
      <c r="Q3280" s="166"/>
      <c r="R3280" s="151"/>
    </row>
    <row r="3281" spans="1:18">
      <c r="A3281" s="49" t="s">
        <v>79</v>
      </c>
      <c r="B3281" s="195" t="s">
        <v>846</v>
      </c>
      <c r="C3281" s="135" t="s">
        <v>863</v>
      </c>
      <c r="D3281" s="161" t="s">
        <v>863</v>
      </c>
      <c r="E3281" s="161" t="s">
        <v>2750</v>
      </c>
      <c r="F3281" s="161" t="s">
        <v>7376</v>
      </c>
      <c r="G3281" s="163">
        <v>0</v>
      </c>
      <c r="H3281" s="163">
        <v>0</v>
      </c>
      <c r="I3281" s="174">
        <v>11.186</v>
      </c>
      <c r="J3281" s="174">
        <v>0</v>
      </c>
      <c r="K3281" s="172">
        <v>0</v>
      </c>
      <c r="L3281" s="172"/>
      <c r="M3281" s="161" t="s">
        <v>7364</v>
      </c>
      <c r="N3281" s="161"/>
      <c r="O3281" s="161"/>
      <c r="P3281" s="49"/>
      <c r="Q3281" s="166"/>
      <c r="R3281" s="151"/>
    </row>
    <row r="3282" spans="1:18">
      <c r="A3282" s="49" t="s">
        <v>79</v>
      </c>
      <c r="B3282" s="195" t="s">
        <v>846</v>
      </c>
      <c r="C3282" s="87" t="s">
        <v>7381</v>
      </c>
      <c r="D3282" s="161" t="s">
        <v>1327</v>
      </c>
      <c r="E3282" s="161" t="s">
        <v>2750</v>
      </c>
      <c r="F3282" s="161" t="s">
        <v>7376</v>
      </c>
      <c r="G3282" s="163">
        <v>18.462</v>
      </c>
      <c r="H3282" s="163">
        <f>G3282-G3281</f>
        <v>18.462</v>
      </c>
      <c r="I3282" s="163">
        <v>87.23</v>
      </c>
      <c r="J3282" s="174">
        <v>1402.45652075735</v>
      </c>
      <c r="K3282" s="172">
        <v>1402.45652075735</v>
      </c>
      <c r="L3282" s="172"/>
      <c r="M3282" s="161" t="s">
        <v>7364</v>
      </c>
      <c r="N3282" s="161" t="s">
        <v>1299</v>
      </c>
      <c r="O3282" s="161" t="s">
        <v>25</v>
      </c>
      <c r="P3282" s="49" t="s">
        <v>25</v>
      </c>
      <c r="Q3282" s="166"/>
      <c r="R3282" s="151"/>
    </row>
    <row r="3283" spans="1:18">
      <c r="A3283" s="49" t="s">
        <v>79</v>
      </c>
      <c r="B3283" s="195" t="s">
        <v>846</v>
      </c>
      <c r="C3283" s="87" t="s">
        <v>7382</v>
      </c>
      <c r="D3283" s="161" t="s">
        <v>1334</v>
      </c>
      <c r="E3283" s="161" t="s">
        <v>2750</v>
      </c>
      <c r="F3283" s="161" t="s">
        <v>7376</v>
      </c>
      <c r="G3283" s="163">
        <v>38.308</v>
      </c>
      <c r="H3283" s="163">
        <f>G3283-G3282</f>
        <v>19.846</v>
      </c>
      <c r="I3283" s="163">
        <v>44.034</v>
      </c>
      <c r="J3283" s="174">
        <v>1507.5913828919</v>
      </c>
      <c r="K3283" s="172">
        <v>2910.04790364925</v>
      </c>
      <c r="L3283" s="172"/>
      <c r="M3283" s="161" t="s">
        <v>7364</v>
      </c>
      <c r="N3283" s="161" t="s">
        <v>1299</v>
      </c>
      <c r="O3283" s="161" t="s">
        <v>25</v>
      </c>
      <c r="P3283" s="49" t="s">
        <v>25</v>
      </c>
      <c r="Q3283" s="166"/>
      <c r="R3283" s="151"/>
    </row>
    <row r="3284" spans="1:18">
      <c r="A3284" s="49" t="s">
        <v>79</v>
      </c>
      <c r="B3284" s="195" t="s">
        <v>846</v>
      </c>
      <c r="C3284" s="87" t="s">
        <v>7383</v>
      </c>
      <c r="D3284" s="161" t="s">
        <v>1338</v>
      </c>
      <c r="E3284" s="161" t="s">
        <v>2750</v>
      </c>
      <c r="F3284" s="161" t="s">
        <v>7376</v>
      </c>
      <c r="G3284" s="163">
        <v>51.703</v>
      </c>
      <c r="H3284" s="163">
        <f>G3284-G3283</f>
        <v>13.395</v>
      </c>
      <c r="I3284" s="174">
        <v>52.466</v>
      </c>
      <c r="J3284" s="174">
        <v>1006.14974636719</v>
      </c>
      <c r="K3284" s="172">
        <v>3916.19765001644</v>
      </c>
      <c r="L3284" s="172"/>
      <c r="M3284" s="161" t="s">
        <v>7364</v>
      </c>
      <c r="N3284" s="161" t="s">
        <v>1299</v>
      </c>
      <c r="O3284" s="161" t="s">
        <v>25</v>
      </c>
      <c r="P3284" s="49" t="s">
        <v>25</v>
      </c>
      <c r="Q3284" s="166"/>
      <c r="R3284" s="151"/>
    </row>
    <row r="3285" spans="1:18">
      <c r="A3285" s="49" t="s">
        <v>79</v>
      </c>
      <c r="B3285" s="195" t="s">
        <v>846</v>
      </c>
      <c r="C3285" s="87" t="s">
        <v>7384</v>
      </c>
      <c r="D3285" s="161" t="s">
        <v>1344</v>
      </c>
      <c r="E3285" s="161" t="s">
        <v>2750</v>
      </c>
      <c r="F3285" s="161" t="s">
        <v>7376</v>
      </c>
      <c r="G3285" s="163">
        <v>74.098</v>
      </c>
      <c r="H3285" s="163">
        <f>G3285-G3284</f>
        <v>22.395</v>
      </c>
      <c r="I3285" s="163">
        <v>17.137</v>
      </c>
      <c r="J3285" s="174">
        <v>1701.14891809338</v>
      </c>
      <c r="K3285" s="172">
        <v>5617.34656810983</v>
      </c>
      <c r="L3285" s="172"/>
      <c r="M3285" s="161" t="s">
        <v>7364</v>
      </c>
      <c r="N3285" s="161" t="s">
        <v>1299</v>
      </c>
      <c r="O3285" s="161" t="s">
        <v>25</v>
      </c>
      <c r="P3285" s="49" t="s">
        <v>25</v>
      </c>
      <c r="Q3285" s="166"/>
      <c r="R3285" s="151"/>
    </row>
    <row r="3286" spans="1:18">
      <c r="A3286" s="49" t="s">
        <v>79</v>
      </c>
      <c r="B3286" s="195" t="s">
        <v>846</v>
      </c>
      <c r="C3286" s="87" t="s">
        <v>847</v>
      </c>
      <c r="D3286" s="161" t="s">
        <v>847</v>
      </c>
      <c r="E3286" s="161" t="s">
        <v>2750</v>
      </c>
      <c r="F3286" s="161" t="s">
        <v>7376</v>
      </c>
      <c r="G3286" s="163">
        <v>90.999</v>
      </c>
      <c r="H3286" s="163">
        <f>G3286-G3285</f>
        <v>16.901</v>
      </c>
      <c r="I3286" s="174">
        <v>24.521</v>
      </c>
      <c r="J3286" s="174">
        <v>1283.95190736869</v>
      </c>
      <c r="K3286" s="172">
        <v>6901.29847547852</v>
      </c>
      <c r="L3286" s="172"/>
      <c r="M3286" s="161" t="s">
        <v>7364</v>
      </c>
      <c r="N3286" s="161"/>
      <c r="O3286" s="161" t="s">
        <v>14</v>
      </c>
      <c r="P3286" s="49" t="s">
        <v>14</v>
      </c>
      <c r="Q3286" s="166"/>
      <c r="R3286" s="151"/>
    </row>
    <row r="3287" spans="1:18">
      <c r="A3287" s="49" t="s">
        <v>79</v>
      </c>
      <c r="B3287" s="195" t="s">
        <v>851</v>
      </c>
      <c r="C3287" s="135" t="s">
        <v>847</v>
      </c>
      <c r="D3287" s="161" t="s">
        <v>847</v>
      </c>
      <c r="E3287" s="161" t="s">
        <v>2750</v>
      </c>
      <c r="F3287" s="161" t="s">
        <v>7376</v>
      </c>
      <c r="G3287" s="171">
        <v>0</v>
      </c>
      <c r="H3287" s="163">
        <v>0</v>
      </c>
      <c r="I3287" s="163">
        <v>23.511</v>
      </c>
      <c r="J3287" s="174">
        <v>0</v>
      </c>
      <c r="K3287" s="172">
        <v>0</v>
      </c>
      <c r="L3287" s="172"/>
      <c r="M3287" s="161" t="s">
        <v>7364</v>
      </c>
      <c r="N3287" s="161"/>
      <c r="O3287" s="161"/>
      <c r="P3287" s="49"/>
      <c r="Q3287" s="166"/>
      <c r="R3287" s="151"/>
    </row>
    <row r="3288" spans="1:18">
      <c r="A3288" s="49" t="s">
        <v>79</v>
      </c>
      <c r="B3288" s="195" t="s">
        <v>851</v>
      </c>
      <c r="C3288" s="87" t="s">
        <v>7385</v>
      </c>
      <c r="D3288" s="161" t="s">
        <v>1349</v>
      </c>
      <c r="E3288" s="161" t="s">
        <v>2750</v>
      </c>
      <c r="F3288" s="161" t="s">
        <v>7376</v>
      </c>
      <c r="G3288" s="171">
        <v>27.713</v>
      </c>
      <c r="H3288" s="163">
        <f t="shared" ref="H3288:H3293" si="250">G3288-G3287</f>
        <v>27.713</v>
      </c>
      <c r="I3288" s="163">
        <v>32.195</v>
      </c>
      <c r="J3288" s="174">
        <v>4209.73942111949</v>
      </c>
      <c r="K3288" s="172">
        <v>4209.73942111949</v>
      </c>
      <c r="L3288" s="172"/>
      <c r="M3288" s="161" t="s">
        <v>7364</v>
      </c>
      <c r="N3288" s="161" t="s">
        <v>1299</v>
      </c>
      <c r="O3288" s="161" t="s">
        <v>25</v>
      </c>
      <c r="P3288" s="49" t="s">
        <v>25</v>
      </c>
      <c r="Q3288" s="166"/>
      <c r="R3288" s="151"/>
    </row>
    <row r="3289" spans="1:18">
      <c r="A3289" s="49" t="s">
        <v>79</v>
      </c>
      <c r="B3289" s="195" t="s">
        <v>851</v>
      </c>
      <c r="C3289" s="87" t="s">
        <v>7386</v>
      </c>
      <c r="D3289" s="161" t="s">
        <v>1352</v>
      </c>
      <c r="E3289" s="161" t="s">
        <v>2750</v>
      </c>
      <c r="F3289" s="161" t="s">
        <v>7376</v>
      </c>
      <c r="G3289" s="171">
        <v>37.468</v>
      </c>
      <c r="H3289" s="163">
        <f t="shared" si="250"/>
        <v>9.755</v>
      </c>
      <c r="I3289" s="174">
        <v>12.259</v>
      </c>
      <c r="J3289" s="174">
        <v>1869.69623260884</v>
      </c>
      <c r="K3289" s="172">
        <v>6079.43565372833</v>
      </c>
      <c r="L3289" s="172"/>
      <c r="M3289" s="161" t="s">
        <v>7364</v>
      </c>
      <c r="N3289" s="161" t="s">
        <v>1299</v>
      </c>
      <c r="O3289" s="161" t="s">
        <v>25</v>
      </c>
      <c r="P3289" s="49" t="s">
        <v>25</v>
      </c>
      <c r="Q3289" s="166"/>
      <c r="R3289" s="151"/>
    </row>
    <row r="3290" spans="1:18">
      <c r="A3290" s="49" t="s">
        <v>79</v>
      </c>
      <c r="B3290" s="195" t="s">
        <v>851</v>
      </c>
      <c r="C3290" s="87" t="s">
        <v>7387</v>
      </c>
      <c r="D3290" s="161" t="s">
        <v>1354</v>
      </c>
      <c r="E3290" s="161" t="s">
        <v>2750</v>
      </c>
      <c r="F3290" s="161" t="s">
        <v>7388</v>
      </c>
      <c r="G3290" s="171">
        <v>45.621</v>
      </c>
      <c r="H3290" s="163">
        <f t="shared" si="250"/>
        <v>8.153</v>
      </c>
      <c r="I3290" s="163">
        <v>7.444</v>
      </c>
      <c r="J3290" s="174">
        <v>1562.64821983187</v>
      </c>
      <c r="K3290" s="172">
        <v>7642.08387356019</v>
      </c>
      <c r="L3290" s="172"/>
      <c r="M3290" s="161" t="s">
        <v>7364</v>
      </c>
      <c r="N3290" s="161" t="s">
        <v>1299</v>
      </c>
      <c r="O3290" s="161" t="s">
        <v>25</v>
      </c>
      <c r="P3290" s="49" t="s">
        <v>25</v>
      </c>
      <c r="Q3290" s="166"/>
      <c r="R3290" s="151"/>
    </row>
    <row r="3291" spans="1:18">
      <c r="A3291" s="49" t="s">
        <v>79</v>
      </c>
      <c r="B3291" s="195" t="s">
        <v>851</v>
      </c>
      <c r="C3291" s="87" t="s">
        <v>7389</v>
      </c>
      <c r="D3291" s="161" t="s">
        <v>1356</v>
      </c>
      <c r="E3291" s="161" t="s">
        <v>2750</v>
      </c>
      <c r="F3291" s="161" t="s">
        <v>7388</v>
      </c>
      <c r="G3291" s="171">
        <v>63.395</v>
      </c>
      <c r="H3291" s="163">
        <f t="shared" si="250"/>
        <v>17.774</v>
      </c>
      <c r="I3291" s="163">
        <v>32.476</v>
      </c>
      <c r="J3291" s="174">
        <v>3395.92802146217</v>
      </c>
      <c r="K3291" s="172">
        <v>11038.0118950224</v>
      </c>
      <c r="L3291" s="172"/>
      <c r="M3291" s="161" t="s">
        <v>7364</v>
      </c>
      <c r="N3291" s="161" t="s">
        <v>1299</v>
      </c>
      <c r="O3291" s="161" t="s">
        <v>25</v>
      </c>
      <c r="P3291" s="49" t="s">
        <v>25</v>
      </c>
      <c r="Q3291" s="166"/>
      <c r="R3291" s="151"/>
    </row>
    <row r="3292" spans="1:18">
      <c r="A3292" s="49" t="s">
        <v>79</v>
      </c>
      <c r="B3292" s="195" t="s">
        <v>851</v>
      </c>
      <c r="C3292" s="87" t="s">
        <v>7390</v>
      </c>
      <c r="D3292" s="161" t="s">
        <v>1358</v>
      </c>
      <c r="E3292" s="161" t="s">
        <v>2750</v>
      </c>
      <c r="F3292" s="161" t="s">
        <v>7388</v>
      </c>
      <c r="G3292" s="171">
        <v>81.924</v>
      </c>
      <c r="H3292" s="163">
        <f t="shared" si="250"/>
        <v>18.529</v>
      </c>
      <c r="I3292" s="163">
        <v>61.881</v>
      </c>
      <c r="J3292" s="174">
        <v>3536.41877886886</v>
      </c>
      <c r="K3292" s="172">
        <v>14574.4306738912</v>
      </c>
      <c r="L3292" s="172"/>
      <c r="M3292" s="161" t="s">
        <v>7364</v>
      </c>
      <c r="N3292" s="161" t="s">
        <v>1299</v>
      </c>
      <c r="O3292" s="161" t="s">
        <v>25</v>
      </c>
      <c r="P3292" s="49" t="s">
        <v>25</v>
      </c>
      <c r="Q3292" s="166"/>
      <c r="R3292" s="151"/>
    </row>
    <row r="3293" spans="1:18">
      <c r="A3293" s="49" t="s">
        <v>79</v>
      </c>
      <c r="B3293" s="195" t="s">
        <v>851</v>
      </c>
      <c r="C3293" s="87" t="s">
        <v>852</v>
      </c>
      <c r="D3293" s="161" t="s">
        <v>852</v>
      </c>
      <c r="E3293" s="161" t="s">
        <v>2750</v>
      </c>
      <c r="F3293" s="161" t="s">
        <v>7388</v>
      </c>
      <c r="G3293" s="171">
        <v>90.835</v>
      </c>
      <c r="H3293" s="163">
        <f t="shared" si="250"/>
        <v>8.91099999999999</v>
      </c>
      <c r="I3293" s="174">
        <v>23.964</v>
      </c>
      <c r="J3293" s="174">
        <v>1667.10587711243</v>
      </c>
      <c r="K3293" s="172">
        <v>16241.5365510036</v>
      </c>
      <c r="L3293" s="172"/>
      <c r="M3293" s="161" t="s">
        <v>7364</v>
      </c>
      <c r="N3293" s="161"/>
      <c r="O3293" s="161" t="s">
        <v>15</v>
      </c>
      <c r="P3293" s="49" t="s">
        <v>15</v>
      </c>
      <c r="Q3293" s="166"/>
      <c r="R3293" s="151"/>
    </row>
    <row r="3294" spans="1:18">
      <c r="A3294" s="49" t="s">
        <v>79</v>
      </c>
      <c r="B3294" s="195" t="s">
        <v>853</v>
      </c>
      <c r="C3294" s="135" t="s">
        <v>852</v>
      </c>
      <c r="D3294" s="161" t="s">
        <v>852</v>
      </c>
      <c r="E3294" s="161" t="s">
        <v>2750</v>
      </c>
      <c r="F3294" s="161" t="s">
        <v>7388</v>
      </c>
      <c r="G3294" s="163">
        <v>0</v>
      </c>
      <c r="H3294" s="163">
        <v>0</v>
      </c>
      <c r="I3294" s="163">
        <v>23.964</v>
      </c>
      <c r="J3294" s="174">
        <v>0</v>
      </c>
      <c r="K3294" s="172">
        <v>0</v>
      </c>
      <c r="L3294" s="172"/>
      <c r="M3294" s="161" t="s">
        <v>7364</v>
      </c>
      <c r="N3294" s="161"/>
      <c r="O3294" s="161"/>
      <c r="P3294" s="49"/>
      <c r="Q3294" s="166"/>
      <c r="R3294" s="151"/>
    </row>
    <row r="3295" spans="1:18">
      <c r="A3295" s="49" t="s">
        <v>79</v>
      </c>
      <c r="B3295" s="195" t="s">
        <v>853</v>
      </c>
      <c r="C3295" s="87" t="s">
        <v>7391</v>
      </c>
      <c r="D3295" s="161" t="s">
        <v>7392</v>
      </c>
      <c r="E3295" s="161" t="s">
        <v>2750</v>
      </c>
      <c r="F3295" s="161" t="s">
        <v>7388</v>
      </c>
      <c r="G3295" s="163">
        <v>15.147</v>
      </c>
      <c r="H3295" s="163">
        <f>G3295-G3294</f>
        <v>15.147</v>
      </c>
      <c r="I3295" s="174" t="s">
        <v>147</v>
      </c>
      <c r="J3295" s="174">
        <v>4132.67057385838</v>
      </c>
      <c r="K3295" s="172">
        <v>4132.67057385838</v>
      </c>
      <c r="L3295" s="172"/>
      <c r="M3295" s="161" t="s">
        <v>7364</v>
      </c>
      <c r="N3295" s="161" t="s">
        <v>1299</v>
      </c>
      <c r="O3295" s="161" t="s">
        <v>25</v>
      </c>
      <c r="P3295" s="49" t="s">
        <v>25</v>
      </c>
      <c r="Q3295" s="166"/>
      <c r="R3295" s="151"/>
    </row>
    <row r="3296" spans="1:18">
      <c r="A3296" s="49" t="s">
        <v>79</v>
      </c>
      <c r="B3296" s="195" t="s">
        <v>853</v>
      </c>
      <c r="C3296" s="87" t="s">
        <v>7393</v>
      </c>
      <c r="D3296" s="161" t="s">
        <v>7393</v>
      </c>
      <c r="E3296" s="161" t="s">
        <v>2750</v>
      </c>
      <c r="F3296" s="161" t="s">
        <v>7388</v>
      </c>
      <c r="G3296" s="163">
        <v>28.498</v>
      </c>
      <c r="H3296" s="163">
        <f>G3296-G3295</f>
        <v>13.351</v>
      </c>
      <c r="I3296" s="163" t="s">
        <v>147</v>
      </c>
      <c r="J3296" s="174">
        <v>3658.05320708025</v>
      </c>
      <c r="K3296" s="172">
        <v>7790.72378093863</v>
      </c>
      <c r="L3296" s="172"/>
      <c r="M3296" s="161" t="s">
        <v>7364</v>
      </c>
      <c r="N3296" s="161"/>
      <c r="O3296" s="161" t="s">
        <v>15</v>
      </c>
      <c r="P3296" s="49" t="s">
        <v>15</v>
      </c>
      <c r="Q3296" s="166"/>
      <c r="R3296" s="151"/>
    </row>
    <row r="3297" spans="1:18">
      <c r="A3297" s="49" t="s">
        <v>79</v>
      </c>
      <c r="B3297" s="195" t="s">
        <v>856</v>
      </c>
      <c r="C3297" s="135" t="s">
        <v>852</v>
      </c>
      <c r="D3297" s="161" t="s">
        <v>852</v>
      </c>
      <c r="E3297" s="161" t="s">
        <v>2750</v>
      </c>
      <c r="F3297" s="161" t="s">
        <v>7388</v>
      </c>
      <c r="G3297" s="171">
        <v>0</v>
      </c>
      <c r="H3297" s="163">
        <v>0</v>
      </c>
      <c r="I3297" s="174">
        <v>23.964</v>
      </c>
      <c r="J3297" s="174">
        <v>0</v>
      </c>
      <c r="K3297" s="172">
        <v>0</v>
      </c>
      <c r="L3297" s="172"/>
      <c r="M3297" s="161" t="s">
        <v>7364</v>
      </c>
      <c r="N3297" s="161"/>
      <c r="O3297" s="161"/>
      <c r="P3297" s="49"/>
      <c r="Q3297" s="166"/>
      <c r="R3297" s="151"/>
    </row>
    <row r="3298" spans="1:18">
      <c r="A3298" s="49" t="s">
        <v>79</v>
      </c>
      <c r="B3298" s="195" t="s">
        <v>856</v>
      </c>
      <c r="C3298" s="87" t="s">
        <v>7394</v>
      </c>
      <c r="D3298" s="161" t="s">
        <v>1361</v>
      </c>
      <c r="E3298" s="161" t="s">
        <v>2750</v>
      </c>
      <c r="F3298" s="161" t="s">
        <v>7388</v>
      </c>
      <c r="G3298" s="171">
        <v>17.802</v>
      </c>
      <c r="H3298" s="163">
        <f t="shared" ref="H3298:H3306" si="251">G3298-G3297</f>
        <v>17.802</v>
      </c>
      <c r="I3298" s="174">
        <v>65</v>
      </c>
      <c r="J3298" s="174">
        <v>4834</v>
      </c>
      <c r="K3298" s="172">
        <v>4834</v>
      </c>
      <c r="L3298" s="172"/>
      <c r="M3298" s="161" t="s">
        <v>7364</v>
      </c>
      <c r="N3298" s="161" t="s">
        <v>1299</v>
      </c>
      <c r="O3298" s="161" t="s">
        <v>25</v>
      </c>
      <c r="P3298" s="49" t="s">
        <v>25</v>
      </c>
      <c r="Q3298" s="166"/>
      <c r="R3298" s="151"/>
    </row>
    <row r="3299" spans="1:18">
      <c r="A3299" s="49" t="s">
        <v>79</v>
      </c>
      <c r="B3299" s="195" t="s">
        <v>856</v>
      </c>
      <c r="C3299" s="87" t="s">
        <v>7395</v>
      </c>
      <c r="D3299" s="161" t="s">
        <v>7395</v>
      </c>
      <c r="E3299" s="161" t="s">
        <v>2750</v>
      </c>
      <c r="F3299" s="161" t="s">
        <v>7388</v>
      </c>
      <c r="G3299" s="171">
        <v>31.26</v>
      </c>
      <c r="H3299" s="163">
        <f t="shared" si="251"/>
        <v>13.458</v>
      </c>
      <c r="I3299" s="174">
        <v>35</v>
      </c>
      <c r="J3299" s="174">
        <v>3675</v>
      </c>
      <c r="K3299" s="172">
        <v>8509</v>
      </c>
      <c r="L3299" s="172"/>
      <c r="M3299" s="161" t="s">
        <v>7364</v>
      </c>
      <c r="N3299" s="161"/>
      <c r="O3299" s="161" t="s">
        <v>15</v>
      </c>
      <c r="P3299" s="49" t="s">
        <v>15</v>
      </c>
      <c r="Q3299" s="166"/>
      <c r="R3299" s="151"/>
    </row>
    <row r="3300" spans="1:18">
      <c r="A3300" s="49" t="s">
        <v>79</v>
      </c>
      <c r="B3300" s="195" t="s">
        <v>856</v>
      </c>
      <c r="C3300" s="87" t="s">
        <v>7396</v>
      </c>
      <c r="D3300" s="161" t="s">
        <v>1363</v>
      </c>
      <c r="E3300" s="161" t="s">
        <v>2750</v>
      </c>
      <c r="F3300" s="161" t="s">
        <v>7388</v>
      </c>
      <c r="G3300" s="171">
        <v>48.959</v>
      </c>
      <c r="H3300" s="163">
        <f t="shared" si="251"/>
        <v>17.699</v>
      </c>
      <c r="I3300" s="174">
        <v>7</v>
      </c>
      <c r="J3300" s="174">
        <v>4837</v>
      </c>
      <c r="K3300" s="172">
        <v>13346</v>
      </c>
      <c r="L3300" s="172"/>
      <c r="M3300" s="161" t="s">
        <v>7364</v>
      </c>
      <c r="N3300" s="161" t="s">
        <v>1299</v>
      </c>
      <c r="O3300" s="161" t="s">
        <v>25</v>
      </c>
      <c r="P3300" s="49" t="s">
        <v>25</v>
      </c>
      <c r="Q3300" s="166"/>
      <c r="R3300" s="151"/>
    </row>
    <row r="3301" spans="1:18">
      <c r="A3301" s="49" t="s">
        <v>79</v>
      </c>
      <c r="B3301" s="195" t="s">
        <v>856</v>
      </c>
      <c r="C3301" s="87" t="s">
        <v>7397</v>
      </c>
      <c r="D3301" s="161" t="s">
        <v>1365</v>
      </c>
      <c r="E3301" s="161" t="s">
        <v>2750</v>
      </c>
      <c r="F3301" s="161" t="s">
        <v>7388</v>
      </c>
      <c r="G3301" s="171">
        <v>54.796</v>
      </c>
      <c r="H3301" s="163">
        <f t="shared" si="251"/>
        <v>5.837</v>
      </c>
      <c r="I3301" s="174">
        <v>21</v>
      </c>
      <c r="J3301" s="174">
        <v>1582</v>
      </c>
      <c r="K3301" s="172">
        <v>14928</v>
      </c>
      <c r="L3301" s="172"/>
      <c r="M3301" s="161" t="s">
        <v>7364</v>
      </c>
      <c r="N3301" s="161" t="s">
        <v>1299</v>
      </c>
      <c r="O3301" s="161" t="s">
        <v>25</v>
      </c>
      <c r="P3301" s="49" t="s">
        <v>25</v>
      </c>
      <c r="Q3301" s="166"/>
      <c r="R3301" s="151"/>
    </row>
    <row r="3302" spans="1:18">
      <c r="A3302" s="49" t="s">
        <v>79</v>
      </c>
      <c r="B3302" s="195" t="s">
        <v>856</v>
      </c>
      <c r="C3302" s="87" t="s">
        <v>7398</v>
      </c>
      <c r="D3302" s="161" t="s">
        <v>1367</v>
      </c>
      <c r="E3302" s="161" t="s">
        <v>2750</v>
      </c>
      <c r="F3302" s="161" t="s">
        <v>7366</v>
      </c>
      <c r="G3302" s="171">
        <v>78.23</v>
      </c>
      <c r="H3302" s="163">
        <f t="shared" si="251"/>
        <v>23.434</v>
      </c>
      <c r="I3302" s="174">
        <v>37</v>
      </c>
      <c r="J3302" s="174">
        <v>6413</v>
      </c>
      <c r="K3302" s="172">
        <v>21341</v>
      </c>
      <c r="L3302" s="172"/>
      <c r="M3302" s="161" t="s">
        <v>7364</v>
      </c>
      <c r="N3302" s="161" t="s">
        <v>1299</v>
      </c>
      <c r="O3302" s="161" t="s">
        <v>25</v>
      </c>
      <c r="P3302" s="49" t="s">
        <v>25</v>
      </c>
      <c r="Q3302" s="166"/>
      <c r="R3302" s="151"/>
    </row>
    <row r="3303" spans="1:18">
      <c r="A3303" s="49" t="s">
        <v>79</v>
      </c>
      <c r="B3303" s="195" t="s">
        <v>856</v>
      </c>
      <c r="C3303" s="87" t="s">
        <v>7399</v>
      </c>
      <c r="D3303" s="161" t="s">
        <v>1370</v>
      </c>
      <c r="E3303" s="161" t="s">
        <v>2750</v>
      </c>
      <c r="F3303" s="161" t="s">
        <v>7366</v>
      </c>
      <c r="G3303" s="171">
        <v>85.251</v>
      </c>
      <c r="H3303" s="163">
        <f t="shared" si="251"/>
        <v>7.021</v>
      </c>
      <c r="I3303" s="174">
        <v>30</v>
      </c>
      <c r="J3303" s="174">
        <v>1918</v>
      </c>
      <c r="K3303" s="172">
        <v>23260</v>
      </c>
      <c r="L3303" s="172"/>
      <c r="M3303" s="161" t="s">
        <v>7364</v>
      </c>
      <c r="N3303" s="161" t="s">
        <v>1299</v>
      </c>
      <c r="O3303" s="161" t="s">
        <v>25</v>
      </c>
      <c r="P3303" s="49" t="s">
        <v>25</v>
      </c>
      <c r="Q3303" s="166"/>
      <c r="R3303" s="151"/>
    </row>
    <row r="3304" spans="1:18">
      <c r="A3304" s="49" t="s">
        <v>79</v>
      </c>
      <c r="B3304" s="195" t="s">
        <v>856</v>
      </c>
      <c r="C3304" s="87" t="s">
        <v>7400</v>
      </c>
      <c r="D3304" s="101" t="s">
        <v>7400</v>
      </c>
      <c r="E3304" s="161" t="s">
        <v>2750</v>
      </c>
      <c r="F3304" s="161" t="s">
        <v>7366</v>
      </c>
      <c r="G3304" s="171">
        <v>87.912</v>
      </c>
      <c r="H3304" s="163">
        <f t="shared" si="251"/>
        <v>2.661</v>
      </c>
      <c r="I3304" s="173" t="s">
        <v>147</v>
      </c>
      <c r="J3304" s="174" t="s">
        <v>147</v>
      </c>
      <c r="K3304" s="174" t="s">
        <v>147</v>
      </c>
      <c r="L3304" s="172"/>
      <c r="M3304" s="161" t="s">
        <v>7364</v>
      </c>
      <c r="N3304" s="161"/>
      <c r="O3304" s="161" t="s">
        <v>14</v>
      </c>
      <c r="P3304" s="49" t="s">
        <v>14</v>
      </c>
      <c r="Q3304" s="166"/>
      <c r="R3304" s="151"/>
    </row>
    <row r="3305" spans="1:18">
      <c r="A3305" s="49" t="s">
        <v>79</v>
      </c>
      <c r="B3305" s="195" t="s">
        <v>856</v>
      </c>
      <c r="C3305" s="87" t="s">
        <v>7401</v>
      </c>
      <c r="D3305" s="161" t="s">
        <v>3343</v>
      </c>
      <c r="E3305" s="161" t="s">
        <v>2750</v>
      </c>
      <c r="F3305" s="161" t="s">
        <v>7366</v>
      </c>
      <c r="G3305" s="171">
        <v>99.623</v>
      </c>
      <c r="H3305" s="163">
        <f t="shared" si="251"/>
        <v>11.711</v>
      </c>
      <c r="I3305" s="174">
        <v>17</v>
      </c>
      <c r="J3305" s="174">
        <v>3965</v>
      </c>
      <c r="K3305" s="172">
        <v>27225</v>
      </c>
      <c r="L3305" s="172"/>
      <c r="M3305" s="161" t="s">
        <v>7364</v>
      </c>
      <c r="N3305" s="161" t="s">
        <v>1299</v>
      </c>
      <c r="O3305" s="161" t="s">
        <v>25</v>
      </c>
      <c r="P3305" s="49" t="s">
        <v>25</v>
      </c>
      <c r="Q3305" s="166"/>
      <c r="R3305" s="151"/>
    </row>
    <row r="3306" spans="1:18">
      <c r="A3306" s="49" t="s">
        <v>79</v>
      </c>
      <c r="B3306" s="195" t="s">
        <v>856</v>
      </c>
      <c r="C3306" s="87" t="s">
        <v>7402</v>
      </c>
      <c r="D3306" s="161" t="s">
        <v>7402</v>
      </c>
      <c r="E3306" s="161" t="s">
        <v>2750</v>
      </c>
      <c r="F3306" s="161" t="s">
        <v>7366</v>
      </c>
      <c r="G3306" s="171">
        <v>118.016</v>
      </c>
      <c r="H3306" s="163">
        <f t="shared" si="251"/>
        <v>18.393</v>
      </c>
      <c r="I3306" s="174">
        <v>43</v>
      </c>
      <c r="J3306" s="174">
        <v>4916</v>
      </c>
      <c r="K3306" s="172">
        <v>32141</v>
      </c>
      <c r="L3306" s="172"/>
      <c r="M3306" s="161" t="s">
        <v>7364</v>
      </c>
      <c r="N3306" s="161"/>
      <c r="O3306" s="161" t="s">
        <v>14</v>
      </c>
      <c r="P3306" s="49" t="s">
        <v>14</v>
      </c>
      <c r="Q3306" s="166"/>
      <c r="R3306" s="151"/>
    </row>
    <row r="3307" spans="1:18">
      <c r="A3307" s="49" t="s">
        <v>79</v>
      </c>
      <c r="B3307" s="195" t="s">
        <v>856</v>
      </c>
      <c r="C3307" s="87" t="s">
        <v>7403</v>
      </c>
      <c r="D3307" s="161" t="s">
        <v>1374</v>
      </c>
      <c r="E3307" s="161" t="s">
        <v>2750</v>
      </c>
      <c r="F3307" s="161" t="s">
        <v>7366</v>
      </c>
      <c r="G3307" s="171">
        <v>124.144</v>
      </c>
      <c r="H3307" s="163">
        <f t="shared" ref="H3307:H3318" si="252">G3307-G3306</f>
        <v>6.128</v>
      </c>
      <c r="I3307" s="174">
        <v>45</v>
      </c>
      <c r="J3307" s="174">
        <v>1705</v>
      </c>
      <c r="K3307" s="172">
        <v>33846</v>
      </c>
      <c r="L3307" s="172"/>
      <c r="M3307" s="161" t="s">
        <v>7364</v>
      </c>
      <c r="N3307" s="161" t="s">
        <v>1299</v>
      </c>
      <c r="O3307" s="161" t="s">
        <v>25</v>
      </c>
      <c r="P3307" s="49" t="s">
        <v>25</v>
      </c>
      <c r="Q3307" s="166"/>
      <c r="R3307" s="151"/>
    </row>
    <row r="3308" spans="1:18">
      <c r="A3308" s="49" t="s">
        <v>79</v>
      </c>
      <c r="B3308" s="195" t="s">
        <v>856</v>
      </c>
      <c r="C3308" s="87" t="s">
        <v>7404</v>
      </c>
      <c r="D3308" s="161" t="s">
        <v>1376</v>
      </c>
      <c r="E3308" s="161" t="s">
        <v>2750</v>
      </c>
      <c r="F3308" s="161" t="s">
        <v>7366</v>
      </c>
      <c r="G3308" s="171">
        <v>142.973</v>
      </c>
      <c r="H3308" s="163">
        <f t="shared" si="252"/>
        <v>18.829</v>
      </c>
      <c r="I3308" s="174">
        <v>65</v>
      </c>
      <c r="J3308" s="174">
        <v>5145</v>
      </c>
      <c r="K3308" s="172">
        <v>38991</v>
      </c>
      <c r="L3308" s="172"/>
      <c r="M3308" s="161" t="s">
        <v>7364</v>
      </c>
      <c r="N3308" s="161" t="s">
        <v>1299</v>
      </c>
      <c r="O3308" s="161" t="s">
        <v>25</v>
      </c>
      <c r="P3308" s="49" t="s">
        <v>25</v>
      </c>
      <c r="Q3308" s="166"/>
      <c r="R3308" s="151"/>
    </row>
    <row r="3309" spans="1:18">
      <c r="A3309" s="49" t="s">
        <v>79</v>
      </c>
      <c r="B3309" s="195" t="s">
        <v>856</v>
      </c>
      <c r="C3309" s="87" t="s">
        <v>7405</v>
      </c>
      <c r="D3309" s="161" t="s">
        <v>1378</v>
      </c>
      <c r="E3309" s="161" t="s">
        <v>2750</v>
      </c>
      <c r="F3309" s="161" t="s">
        <v>7366</v>
      </c>
      <c r="G3309" s="171">
        <v>163.036</v>
      </c>
      <c r="H3309" s="163">
        <f t="shared" si="252"/>
        <v>20.063</v>
      </c>
      <c r="I3309" s="174">
        <v>30</v>
      </c>
      <c r="J3309" s="174">
        <v>5487</v>
      </c>
      <c r="K3309" s="172">
        <v>44478</v>
      </c>
      <c r="L3309" s="172"/>
      <c r="M3309" s="161" t="s">
        <v>7364</v>
      </c>
      <c r="N3309" s="161" t="s">
        <v>1299</v>
      </c>
      <c r="O3309" s="161" t="s">
        <v>25</v>
      </c>
      <c r="P3309" s="49" t="s">
        <v>25</v>
      </c>
      <c r="Q3309" s="166"/>
      <c r="R3309" s="151"/>
    </row>
    <row r="3310" spans="1:18">
      <c r="A3310" s="49" t="s">
        <v>79</v>
      </c>
      <c r="B3310" s="195" t="s">
        <v>856</v>
      </c>
      <c r="C3310" s="87" t="s">
        <v>7406</v>
      </c>
      <c r="D3310" s="161" t="s">
        <v>1380</v>
      </c>
      <c r="E3310" s="161" t="s">
        <v>2750</v>
      </c>
      <c r="F3310" s="161" t="s">
        <v>7366</v>
      </c>
      <c r="G3310" s="171">
        <v>174.922</v>
      </c>
      <c r="H3310" s="163">
        <f t="shared" si="252"/>
        <v>11.886</v>
      </c>
      <c r="I3310" s="174">
        <v>85</v>
      </c>
      <c r="J3310" s="174">
        <v>3244</v>
      </c>
      <c r="K3310" s="172">
        <v>47722</v>
      </c>
      <c r="L3310" s="172"/>
      <c r="M3310" s="161" t="s">
        <v>7364</v>
      </c>
      <c r="N3310" s="161" t="s">
        <v>1299</v>
      </c>
      <c r="O3310" s="161" t="s">
        <v>25</v>
      </c>
      <c r="P3310" s="49" t="s">
        <v>25</v>
      </c>
      <c r="Q3310" s="166"/>
      <c r="R3310" s="151"/>
    </row>
    <row r="3311" spans="1:18">
      <c r="A3311" s="49" t="s">
        <v>79</v>
      </c>
      <c r="B3311" s="195" t="s">
        <v>856</v>
      </c>
      <c r="C3311" s="87" t="s">
        <v>7407</v>
      </c>
      <c r="D3311" s="161" t="s">
        <v>1389</v>
      </c>
      <c r="E3311" s="161" t="s">
        <v>2750</v>
      </c>
      <c r="F3311" s="161" t="s">
        <v>7366</v>
      </c>
      <c r="G3311" s="171">
        <v>185.4</v>
      </c>
      <c r="H3311" s="163">
        <f t="shared" si="252"/>
        <v>10.478</v>
      </c>
      <c r="I3311" s="174">
        <v>42</v>
      </c>
      <c r="J3311" s="174">
        <v>2864</v>
      </c>
      <c r="K3311" s="172">
        <v>50586</v>
      </c>
      <c r="L3311" s="172"/>
      <c r="M3311" s="161" t="s">
        <v>7364</v>
      </c>
      <c r="N3311" s="161" t="s">
        <v>1299</v>
      </c>
      <c r="O3311" s="161" t="s">
        <v>25</v>
      </c>
      <c r="P3311" s="49" t="s">
        <v>25</v>
      </c>
      <c r="Q3311" s="166"/>
      <c r="R3311" s="151"/>
    </row>
    <row r="3312" spans="1:18">
      <c r="A3312" s="49" t="s">
        <v>79</v>
      </c>
      <c r="B3312" s="195" t="s">
        <v>856</v>
      </c>
      <c r="C3312" s="87" t="s">
        <v>7408</v>
      </c>
      <c r="D3312" s="161" t="s">
        <v>1391</v>
      </c>
      <c r="E3312" s="161" t="s">
        <v>2750</v>
      </c>
      <c r="F3312" s="161" t="s">
        <v>7366</v>
      </c>
      <c r="G3312" s="171">
        <v>205.778</v>
      </c>
      <c r="H3312" s="163">
        <f t="shared" si="252"/>
        <v>20.378</v>
      </c>
      <c r="I3312" s="174">
        <v>32</v>
      </c>
      <c r="J3312" s="174">
        <v>5566</v>
      </c>
      <c r="K3312" s="172">
        <v>56152</v>
      </c>
      <c r="L3312" s="172"/>
      <c r="M3312" s="161" t="s">
        <v>7364</v>
      </c>
      <c r="N3312" s="161" t="s">
        <v>1299</v>
      </c>
      <c r="O3312" s="161" t="s">
        <v>25</v>
      </c>
      <c r="P3312" s="49" t="s">
        <v>25</v>
      </c>
      <c r="Q3312" s="166"/>
      <c r="R3312" s="151"/>
    </row>
    <row r="3313" spans="1:18">
      <c r="A3313" s="49" t="s">
        <v>79</v>
      </c>
      <c r="B3313" s="195" t="s">
        <v>856</v>
      </c>
      <c r="C3313" s="87" t="s">
        <v>7409</v>
      </c>
      <c r="D3313" s="161" t="s">
        <v>1394</v>
      </c>
      <c r="E3313" s="161" t="s">
        <v>2750</v>
      </c>
      <c r="F3313" s="161" t="s">
        <v>7366</v>
      </c>
      <c r="G3313" s="171">
        <v>216.875</v>
      </c>
      <c r="H3313" s="163">
        <f t="shared" si="252"/>
        <v>11.097</v>
      </c>
      <c r="I3313" s="174">
        <v>35</v>
      </c>
      <c r="J3313" s="174">
        <v>3189</v>
      </c>
      <c r="K3313" s="172">
        <v>59341</v>
      </c>
      <c r="L3313" s="172"/>
      <c r="M3313" s="161" t="s">
        <v>7364</v>
      </c>
      <c r="N3313" s="161" t="s">
        <v>1299</v>
      </c>
      <c r="O3313" s="161" t="s">
        <v>25</v>
      </c>
      <c r="P3313" s="49" t="s">
        <v>25</v>
      </c>
      <c r="Q3313" s="166"/>
      <c r="R3313" s="151"/>
    </row>
    <row r="3314" spans="1:18">
      <c r="A3314" s="49" t="s">
        <v>79</v>
      </c>
      <c r="B3314" s="195" t="s">
        <v>856</v>
      </c>
      <c r="C3314" s="87" t="s">
        <v>7410</v>
      </c>
      <c r="D3314" s="161" t="s">
        <v>1396</v>
      </c>
      <c r="E3314" s="161" t="s">
        <v>2750</v>
      </c>
      <c r="F3314" s="161" t="s">
        <v>7366</v>
      </c>
      <c r="G3314" s="171">
        <v>226.537</v>
      </c>
      <c r="H3314" s="163">
        <f t="shared" si="252"/>
        <v>9.66200000000001</v>
      </c>
      <c r="I3314" s="174">
        <v>57</v>
      </c>
      <c r="J3314" s="174">
        <v>2585</v>
      </c>
      <c r="K3314" s="172">
        <v>61926</v>
      </c>
      <c r="L3314" s="172"/>
      <c r="M3314" s="161" t="s">
        <v>7364</v>
      </c>
      <c r="N3314" s="161" t="s">
        <v>1299</v>
      </c>
      <c r="O3314" s="161" t="s">
        <v>25</v>
      </c>
      <c r="P3314" s="49" t="s">
        <v>25</v>
      </c>
      <c r="Q3314" s="166"/>
      <c r="R3314" s="151"/>
    </row>
    <row r="3315" spans="1:18">
      <c r="A3315" s="49" t="s">
        <v>79</v>
      </c>
      <c r="B3315" s="195" t="s">
        <v>856</v>
      </c>
      <c r="C3315" s="87" t="s">
        <v>7411</v>
      </c>
      <c r="D3315" s="161" t="s">
        <v>1402</v>
      </c>
      <c r="E3315" s="161" t="s">
        <v>2750</v>
      </c>
      <c r="F3315" s="161" t="s">
        <v>7366</v>
      </c>
      <c r="G3315" s="171">
        <v>234.027</v>
      </c>
      <c r="H3315" s="163">
        <f t="shared" si="252"/>
        <v>7.48999999999998</v>
      </c>
      <c r="I3315" s="174">
        <v>22</v>
      </c>
      <c r="J3315" s="174">
        <v>2085</v>
      </c>
      <c r="K3315" s="172">
        <v>64011</v>
      </c>
      <c r="L3315" s="172"/>
      <c r="M3315" s="161" t="s">
        <v>7364</v>
      </c>
      <c r="N3315" s="161" t="s">
        <v>1299</v>
      </c>
      <c r="O3315" s="161" t="s">
        <v>25</v>
      </c>
      <c r="P3315" s="49" t="s">
        <v>25</v>
      </c>
      <c r="Q3315" s="166"/>
      <c r="R3315" s="151"/>
    </row>
    <row r="3316" spans="1:18">
      <c r="A3316" s="49" t="s">
        <v>79</v>
      </c>
      <c r="B3316" s="195" t="s">
        <v>856</v>
      </c>
      <c r="C3316" s="87" t="s">
        <v>7412</v>
      </c>
      <c r="D3316" s="161" t="s">
        <v>1405</v>
      </c>
      <c r="E3316" s="161" t="s">
        <v>2750</v>
      </c>
      <c r="F3316" s="161" t="s">
        <v>7366</v>
      </c>
      <c r="G3316" s="171">
        <v>247.667</v>
      </c>
      <c r="H3316" s="163">
        <f t="shared" si="252"/>
        <v>13.64</v>
      </c>
      <c r="I3316" s="174">
        <v>34</v>
      </c>
      <c r="J3316" s="174">
        <v>3735</v>
      </c>
      <c r="K3316" s="172">
        <v>67746</v>
      </c>
      <c r="L3316" s="172"/>
      <c r="M3316" s="161" t="s">
        <v>7364</v>
      </c>
      <c r="N3316" s="161" t="s">
        <v>1299</v>
      </c>
      <c r="O3316" s="161" t="s">
        <v>25</v>
      </c>
      <c r="P3316" s="49" t="s">
        <v>25</v>
      </c>
      <c r="Q3316" s="166"/>
      <c r="R3316" s="151"/>
    </row>
    <row r="3317" spans="1:18">
      <c r="A3317" s="49" t="s">
        <v>79</v>
      </c>
      <c r="B3317" s="195" t="s">
        <v>856</v>
      </c>
      <c r="C3317" s="87" t="s">
        <v>7413</v>
      </c>
      <c r="D3317" s="161" t="s">
        <v>1409</v>
      </c>
      <c r="E3317" s="161" t="s">
        <v>2750</v>
      </c>
      <c r="F3317" s="161" t="s">
        <v>7366</v>
      </c>
      <c r="G3317" s="171">
        <v>257.096</v>
      </c>
      <c r="H3317" s="163">
        <f t="shared" si="252"/>
        <v>9.429</v>
      </c>
      <c r="I3317" s="174">
        <v>20</v>
      </c>
      <c r="J3317" s="174">
        <v>2653</v>
      </c>
      <c r="K3317" s="172">
        <v>70400</v>
      </c>
      <c r="L3317" s="172"/>
      <c r="M3317" s="161" t="s">
        <v>7364</v>
      </c>
      <c r="N3317" s="161" t="s">
        <v>1299</v>
      </c>
      <c r="O3317" s="161" t="s">
        <v>25</v>
      </c>
      <c r="P3317" s="49" t="s">
        <v>25</v>
      </c>
      <c r="Q3317" s="166"/>
      <c r="R3317" s="151"/>
    </row>
    <row r="3318" spans="1:18">
      <c r="A3318" s="49" t="s">
        <v>79</v>
      </c>
      <c r="B3318" s="195" t="s">
        <v>856</v>
      </c>
      <c r="C3318" s="135" t="s">
        <v>857</v>
      </c>
      <c r="D3318" s="161" t="s">
        <v>857</v>
      </c>
      <c r="E3318" s="161" t="s">
        <v>2750</v>
      </c>
      <c r="F3318" s="161" t="s">
        <v>7366</v>
      </c>
      <c r="G3318" s="171">
        <v>268.548</v>
      </c>
      <c r="H3318" s="163">
        <f t="shared" si="252"/>
        <v>11.452</v>
      </c>
      <c r="I3318" s="174">
        <v>43</v>
      </c>
      <c r="J3318" s="174">
        <v>3153</v>
      </c>
      <c r="K3318" s="172">
        <v>73553</v>
      </c>
      <c r="L3318" s="172"/>
      <c r="M3318" s="161" t="s">
        <v>7364</v>
      </c>
      <c r="N3318" s="161"/>
      <c r="O3318" s="161"/>
      <c r="P3318" s="49"/>
      <c r="Q3318" s="166"/>
      <c r="R3318" s="151"/>
    </row>
    <row r="3319" spans="1:18">
      <c r="A3319" s="49" t="s">
        <v>79</v>
      </c>
      <c r="B3319" s="195" t="s">
        <v>858</v>
      </c>
      <c r="C3319" s="135" t="s">
        <v>7402</v>
      </c>
      <c r="D3319" s="161" t="s">
        <v>7402</v>
      </c>
      <c r="E3319" s="161" t="s">
        <v>2750</v>
      </c>
      <c r="F3319" s="161" t="s">
        <v>7366</v>
      </c>
      <c r="G3319" s="163">
        <v>0</v>
      </c>
      <c r="H3319" s="163">
        <v>0</v>
      </c>
      <c r="I3319" s="174" t="s">
        <v>147</v>
      </c>
      <c r="J3319" s="174">
        <v>0</v>
      </c>
      <c r="K3319" s="172">
        <v>0</v>
      </c>
      <c r="L3319" s="172"/>
      <c r="M3319" s="161" t="s">
        <v>7364</v>
      </c>
      <c r="N3319" s="161"/>
      <c r="O3319" s="161"/>
      <c r="P3319" s="49"/>
      <c r="Q3319" s="166"/>
      <c r="R3319" s="151"/>
    </row>
    <row r="3320" spans="1:18">
      <c r="A3320" s="49" t="s">
        <v>79</v>
      </c>
      <c r="B3320" s="195" t="s">
        <v>858</v>
      </c>
      <c r="C3320" s="135" t="s">
        <v>860</v>
      </c>
      <c r="D3320" s="161" t="s">
        <v>7414</v>
      </c>
      <c r="E3320" s="161" t="s">
        <v>2750</v>
      </c>
      <c r="F3320" s="161"/>
      <c r="G3320" s="163">
        <v>18.788</v>
      </c>
      <c r="H3320" s="163">
        <v>18.7</v>
      </c>
      <c r="I3320" s="174" t="s">
        <v>147</v>
      </c>
      <c r="J3320" s="174">
        <v>300.333351709971</v>
      </c>
      <c r="K3320" s="172">
        <v>300.333351709971</v>
      </c>
      <c r="L3320" s="172"/>
      <c r="M3320" s="161" t="s">
        <v>7364</v>
      </c>
      <c r="N3320" s="161"/>
      <c r="O3320" s="161"/>
      <c r="P3320" s="49"/>
      <c r="Q3320" s="166"/>
      <c r="R3320" s="151"/>
    </row>
    <row r="3321" ht="30" spans="1:18">
      <c r="A3321" s="49" t="s">
        <v>79</v>
      </c>
      <c r="B3321" s="195" t="s">
        <v>861</v>
      </c>
      <c r="C3321" s="135" t="s">
        <v>7415</v>
      </c>
      <c r="D3321" s="161"/>
      <c r="E3321" s="161" t="s">
        <v>7416</v>
      </c>
      <c r="F3321" s="161" t="s">
        <v>7417</v>
      </c>
      <c r="G3321" s="163">
        <v>0</v>
      </c>
      <c r="H3321" s="163">
        <v>0</v>
      </c>
      <c r="I3321" s="174" t="s">
        <v>147</v>
      </c>
      <c r="J3321" s="174">
        <v>0</v>
      </c>
      <c r="K3321" s="172">
        <v>0</v>
      </c>
      <c r="L3321" s="172"/>
      <c r="M3321" s="161" t="e">
        <v>#N/A</v>
      </c>
      <c r="N3321" s="161"/>
      <c r="O3321" s="161"/>
      <c r="P3321" s="49"/>
      <c r="Q3321" s="166"/>
      <c r="R3321" s="151"/>
    </row>
    <row r="3322" ht="30" spans="1:18">
      <c r="A3322" s="49" t="s">
        <v>79</v>
      </c>
      <c r="B3322" s="195" t="s">
        <v>861</v>
      </c>
      <c r="C3322" s="135" t="s">
        <v>7378</v>
      </c>
      <c r="D3322" s="161" t="s">
        <v>7378</v>
      </c>
      <c r="E3322" s="161" t="s">
        <v>2750</v>
      </c>
      <c r="F3322" s="161" t="s">
        <v>7376</v>
      </c>
      <c r="G3322" s="163">
        <v>5.185</v>
      </c>
      <c r="H3322" s="163">
        <f>G3322-G3321</f>
        <v>5.185</v>
      </c>
      <c r="I3322" s="163">
        <v>26.313</v>
      </c>
      <c r="J3322" s="174">
        <v>3927.0064778265</v>
      </c>
      <c r="K3322" s="172">
        <v>3927.0064778265</v>
      </c>
      <c r="L3322" s="172"/>
      <c r="M3322" s="161" t="s">
        <v>7364</v>
      </c>
      <c r="N3322" s="161"/>
      <c r="O3322" s="161"/>
      <c r="P3322" s="49"/>
      <c r="Q3322" s="166"/>
      <c r="R3322" s="151"/>
    </row>
    <row r="3323" ht="30" spans="1:18">
      <c r="A3323" s="49" t="s">
        <v>79</v>
      </c>
      <c r="B3323" s="195" t="s">
        <v>861</v>
      </c>
      <c r="C3323" s="135" t="s">
        <v>863</v>
      </c>
      <c r="D3323" s="161" t="s">
        <v>863</v>
      </c>
      <c r="E3323" s="161" t="s">
        <v>2750</v>
      </c>
      <c r="F3323" s="161" t="s">
        <v>7376</v>
      </c>
      <c r="G3323" s="163">
        <v>22.434</v>
      </c>
      <c r="H3323" s="163">
        <f t="shared" ref="H3323:H3328" si="253">G3323-G3322</f>
        <v>17.249</v>
      </c>
      <c r="I3323" s="163">
        <v>-3.357</v>
      </c>
      <c r="J3323" s="174">
        <v>13064.0182711725</v>
      </c>
      <c r="K3323" s="172">
        <v>16991.024748999</v>
      </c>
      <c r="L3323" s="172"/>
      <c r="M3323" s="161" t="s">
        <v>7364</v>
      </c>
      <c r="N3323" s="161"/>
      <c r="O3323" s="161"/>
      <c r="P3323" s="49"/>
      <c r="Q3323" s="166"/>
      <c r="R3323" s="151"/>
    </row>
    <row r="3324" spans="1:18">
      <c r="A3324" s="49" t="s">
        <v>79</v>
      </c>
      <c r="B3324" s="195" t="s">
        <v>864</v>
      </c>
      <c r="C3324" s="87" t="s">
        <v>7418</v>
      </c>
      <c r="D3324" s="161" t="s">
        <v>7419</v>
      </c>
      <c r="E3324" s="161" t="s">
        <v>2750</v>
      </c>
      <c r="F3324" s="161" t="s">
        <v>7376</v>
      </c>
      <c r="G3324" s="163">
        <v>40.752</v>
      </c>
      <c r="H3324" s="163">
        <f t="shared" si="253"/>
        <v>18.318</v>
      </c>
      <c r="I3324" s="174">
        <v>74.5</v>
      </c>
      <c r="J3324" s="174">
        <v>5048.91472642483</v>
      </c>
      <c r="K3324" s="172">
        <v>22039.9394754238</v>
      </c>
      <c r="L3324" s="172"/>
      <c r="M3324" s="161" t="s">
        <v>7364</v>
      </c>
      <c r="N3324" s="161" t="s">
        <v>1299</v>
      </c>
      <c r="O3324" s="161" t="s">
        <v>25</v>
      </c>
      <c r="P3324" s="49" t="s">
        <v>25</v>
      </c>
      <c r="Q3324" s="166"/>
      <c r="R3324" s="151"/>
    </row>
    <row r="3325" spans="1:18">
      <c r="A3325" s="49" t="s">
        <v>79</v>
      </c>
      <c r="B3325" s="195" t="s">
        <v>864</v>
      </c>
      <c r="C3325" s="87" t="s">
        <v>7420</v>
      </c>
      <c r="D3325" s="161" t="s">
        <v>7421</v>
      </c>
      <c r="E3325" s="161" t="s">
        <v>2750</v>
      </c>
      <c r="F3325" s="161" t="s">
        <v>7376</v>
      </c>
      <c r="G3325" s="163">
        <v>60.623</v>
      </c>
      <c r="H3325" s="163">
        <f t="shared" si="253"/>
        <v>19.871</v>
      </c>
      <c r="I3325" s="163" t="s">
        <v>147</v>
      </c>
      <c r="J3325" s="174">
        <v>5476.96170590609</v>
      </c>
      <c r="K3325" s="172">
        <v>27516.9011813299</v>
      </c>
      <c r="L3325" s="172"/>
      <c r="M3325" s="161" t="s">
        <v>7364</v>
      </c>
      <c r="N3325" s="161" t="s">
        <v>1299</v>
      </c>
      <c r="O3325" s="161" t="s">
        <v>25</v>
      </c>
      <c r="P3325" s="49" t="s">
        <v>25</v>
      </c>
      <c r="Q3325" s="166"/>
      <c r="R3325" s="151"/>
    </row>
    <row r="3326" spans="1:18">
      <c r="A3326" s="49" t="s">
        <v>79</v>
      </c>
      <c r="B3326" s="195" t="s">
        <v>864</v>
      </c>
      <c r="C3326" s="87" t="s">
        <v>7422</v>
      </c>
      <c r="D3326" s="161" t="s">
        <v>7423</v>
      </c>
      <c r="E3326" s="161" t="s">
        <v>2750</v>
      </c>
      <c r="F3326" s="161" t="s">
        <v>7376</v>
      </c>
      <c r="G3326" s="163">
        <v>73.908</v>
      </c>
      <c r="H3326" s="163">
        <f t="shared" si="253"/>
        <v>13.285</v>
      </c>
      <c r="I3326" s="174">
        <v>37.935</v>
      </c>
      <c r="J3326" s="174">
        <v>3661.68971178916</v>
      </c>
      <c r="K3326" s="172">
        <v>31178.5908931191</v>
      </c>
      <c r="L3326" s="172"/>
      <c r="M3326" s="161" t="s">
        <v>7364</v>
      </c>
      <c r="N3326" s="161" t="s">
        <v>1299</v>
      </c>
      <c r="O3326" s="161" t="s">
        <v>25</v>
      </c>
      <c r="P3326" s="49" t="s">
        <v>25</v>
      </c>
      <c r="Q3326" s="166"/>
      <c r="R3326" s="151"/>
    </row>
    <row r="3327" spans="1:18">
      <c r="A3327" s="49" t="s">
        <v>79</v>
      </c>
      <c r="B3327" s="195" t="s">
        <v>864</v>
      </c>
      <c r="C3327" s="87" t="s">
        <v>7424</v>
      </c>
      <c r="D3327" s="161" t="s">
        <v>7425</v>
      </c>
      <c r="E3327" s="161" t="s">
        <v>2750</v>
      </c>
      <c r="F3327" s="161" t="s">
        <v>7376</v>
      </c>
      <c r="G3327" s="163">
        <v>96.496</v>
      </c>
      <c r="H3327" s="163">
        <f t="shared" si="253"/>
        <v>22.588</v>
      </c>
      <c r="I3327" s="163">
        <v>21.118</v>
      </c>
      <c r="J3327" s="174">
        <v>6225.83720059417</v>
      </c>
      <c r="K3327" s="172">
        <v>37404.4280937132</v>
      </c>
      <c r="L3327" s="172"/>
      <c r="M3327" s="161" t="s">
        <v>7364</v>
      </c>
      <c r="N3327" s="161" t="s">
        <v>1299</v>
      </c>
      <c r="O3327" s="161" t="s">
        <v>25</v>
      </c>
      <c r="P3327" s="49" t="s">
        <v>25</v>
      </c>
      <c r="Q3327" s="166"/>
      <c r="R3327" s="151"/>
    </row>
    <row r="3328" spans="1:18">
      <c r="A3328" s="49" t="s">
        <v>79</v>
      </c>
      <c r="B3328" s="195" t="s">
        <v>864</v>
      </c>
      <c r="C3328" s="135" t="s">
        <v>847</v>
      </c>
      <c r="D3328" s="161" t="s">
        <v>847</v>
      </c>
      <c r="E3328" s="161" t="s">
        <v>2750</v>
      </c>
      <c r="F3328" s="161" t="s">
        <v>7376</v>
      </c>
      <c r="G3328" s="163">
        <v>105.87</v>
      </c>
      <c r="H3328" s="163">
        <f t="shared" si="253"/>
        <v>9.37400000000001</v>
      </c>
      <c r="I3328" s="174">
        <v>24.521</v>
      </c>
      <c r="J3328" s="174">
        <v>2529.14300303932</v>
      </c>
      <c r="K3328" s="172">
        <v>39933.5710967526</v>
      </c>
      <c r="L3328" s="172"/>
      <c r="M3328" s="161" t="s">
        <v>7364</v>
      </c>
      <c r="N3328" s="161"/>
      <c r="O3328" s="161"/>
      <c r="P3328" s="49"/>
      <c r="Q3328" s="166"/>
      <c r="R3328" s="151"/>
    </row>
    <row r="3329" spans="1:18">
      <c r="A3329" s="49" t="s">
        <v>79</v>
      </c>
      <c r="B3329" s="195" t="s">
        <v>865</v>
      </c>
      <c r="C3329" s="135" t="s">
        <v>847</v>
      </c>
      <c r="D3329" s="161" t="s">
        <v>847</v>
      </c>
      <c r="E3329" s="161" t="s">
        <v>2750</v>
      </c>
      <c r="F3329" s="161" t="s">
        <v>7376</v>
      </c>
      <c r="G3329" s="163">
        <v>0</v>
      </c>
      <c r="H3329" s="163">
        <v>0</v>
      </c>
      <c r="I3329" s="174">
        <v>100</v>
      </c>
      <c r="J3329" s="174">
        <v>0</v>
      </c>
      <c r="K3329" s="172">
        <v>0</v>
      </c>
      <c r="L3329" s="172"/>
      <c r="M3329" s="161" t="s">
        <v>7364</v>
      </c>
      <c r="N3329" s="161"/>
      <c r="O3329" s="161"/>
      <c r="P3329" s="49"/>
      <c r="Q3329" s="166"/>
      <c r="R3329" s="151"/>
    </row>
    <row r="3330" spans="1:18">
      <c r="A3330" s="49" t="s">
        <v>79</v>
      </c>
      <c r="B3330" s="195" t="s">
        <v>865</v>
      </c>
      <c r="C3330" s="87" t="s">
        <v>866</v>
      </c>
      <c r="D3330" s="161" t="s">
        <v>866</v>
      </c>
      <c r="E3330" s="161" t="s">
        <v>2750</v>
      </c>
      <c r="F3330" s="161" t="s">
        <v>7376</v>
      </c>
      <c r="G3330" s="163">
        <v>11.991</v>
      </c>
      <c r="H3330" s="163">
        <v>11.991</v>
      </c>
      <c r="I3330" s="174">
        <v>48</v>
      </c>
      <c r="J3330" s="174">
        <v>3322.63</v>
      </c>
      <c r="K3330" s="174">
        <v>3322.63</v>
      </c>
      <c r="L3330" s="172"/>
      <c r="M3330" s="161" t="s">
        <v>7364</v>
      </c>
      <c r="N3330" s="161"/>
      <c r="O3330" s="161" t="s">
        <v>15</v>
      </c>
      <c r="P3330" s="49" t="s">
        <v>15</v>
      </c>
      <c r="Q3330" s="166" t="s">
        <v>7426</v>
      </c>
      <c r="R3330" s="151"/>
    </row>
    <row r="3331" spans="1:18">
      <c r="A3331" s="49" t="s">
        <v>79</v>
      </c>
      <c r="B3331" s="195" t="s">
        <v>867</v>
      </c>
      <c r="C3331" s="135" t="s">
        <v>7378</v>
      </c>
      <c r="D3331" s="161" t="s">
        <v>7378</v>
      </c>
      <c r="E3331" s="161" t="s">
        <v>2750</v>
      </c>
      <c r="F3331" s="161" t="s">
        <v>7376</v>
      </c>
      <c r="G3331" s="163">
        <v>0</v>
      </c>
      <c r="H3331" s="163">
        <v>0</v>
      </c>
      <c r="I3331" s="174" t="s">
        <v>147</v>
      </c>
      <c r="J3331" s="174">
        <v>0</v>
      </c>
      <c r="K3331" s="172">
        <v>0</v>
      </c>
      <c r="L3331" s="172"/>
      <c r="M3331" s="161" t="s">
        <v>7364</v>
      </c>
      <c r="N3331" s="161"/>
      <c r="O3331" s="161"/>
      <c r="P3331" s="49"/>
      <c r="Q3331" s="166"/>
      <c r="R3331" s="151"/>
    </row>
    <row r="3332" spans="1:18">
      <c r="A3332" s="49" t="s">
        <v>79</v>
      </c>
      <c r="B3332" s="195" t="s">
        <v>867</v>
      </c>
      <c r="C3332" s="87" t="s">
        <v>868</v>
      </c>
      <c r="D3332" s="161" t="s">
        <v>868</v>
      </c>
      <c r="E3332" s="161" t="s">
        <v>2750</v>
      </c>
      <c r="F3332" s="161" t="s">
        <v>7376</v>
      </c>
      <c r="G3332" s="163">
        <v>7.073</v>
      </c>
      <c r="H3332" s="163">
        <v>7.073</v>
      </c>
      <c r="I3332" s="174" t="s">
        <v>147</v>
      </c>
      <c r="J3332" s="174">
        <v>1960.05</v>
      </c>
      <c r="K3332" s="172">
        <v>1960.05</v>
      </c>
      <c r="L3332" s="172"/>
      <c r="M3332" s="161" t="s">
        <v>7364</v>
      </c>
      <c r="N3332" s="161"/>
      <c r="O3332" s="161" t="s">
        <v>15</v>
      </c>
      <c r="P3332" s="49" t="s">
        <v>15</v>
      </c>
      <c r="Q3332" s="166"/>
      <c r="R3332" s="151"/>
    </row>
    <row r="3333" spans="1:18">
      <c r="A3333" s="49" t="s">
        <v>79</v>
      </c>
      <c r="B3333" s="195" t="s">
        <v>869</v>
      </c>
      <c r="C3333" s="135" t="s">
        <v>7415</v>
      </c>
      <c r="D3333" s="195" t="s">
        <v>7415</v>
      </c>
      <c r="E3333" s="161" t="s">
        <v>2750</v>
      </c>
      <c r="F3333" s="161"/>
      <c r="G3333" s="171">
        <v>0</v>
      </c>
      <c r="H3333" s="171">
        <v>0</v>
      </c>
      <c r="I3333" s="174" t="s">
        <v>147</v>
      </c>
      <c r="J3333" s="174" t="s">
        <v>147</v>
      </c>
      <c r="K3333" s="174" t="s">
        <v>147</v>
      </c>
      <c r="L3333" s="172"/>
      <c r="M3333" s="161" t="s">
        <v>7364</v>
      </c>
      <c r="N3333" s="161"/>
      <c r="O3333" s="161"/>
      <c r="P3333" s="49"/>
      <c r="Q3333" s="166"/>
      <c r="R3333" s="151"/>
    </row>
    <row r="3334" spans="1:18">
      <c r="A3334" s="49" t="s">
        <v>79</v>
      </c>
      <c r="B3334" s="195" t="s">
        <v>869</v>
      </c>
      <c r="C3334" s="135" t="s">
        <v>871</v>
      </c>
      <c r="D3334" s="195" t="s">
        <v>871</v>
      </c>
      <c r="E3334" s="161" t="s">
        <v>2750</v>
      </c>
      <c r="F3334" s="161"/>
      <c r="G3334" s="171">
        <v>2.793</v>
      </c>
      <c r="H3334" s="171">
        <v>2.793</v>
      </c>
      <c r="I3334" s="174" t="s">
        <v>147</v>
      </c>
      <c r="J3334" s="174" t="s">
        <v>147</v>
      </c>
      <c r="K3334" s="174" t="s">
        <v>147</v>
      </c>
      <c r="L3334" s="172"/>
      <c r="M3334" s="161" t="s">
        <v>7364</v>
      </c>
      <c r="N3334" s="161"/>
      <c r="O3334" s="161"/>
      <c r="P3334" s="49"/>
      <c r="Q3334" s="166"/>
      <c r="R3334" s="151"/>
    </row>
    <row r="3335" spans="1:24">
      <c r="A3335" s="161" t="s">
        <v>81</v>
      </c>
      <c r="B3335" s="101" t="s">
        <v>872</v>
      </c>
      <c r="C3335" s="38" t="s">
        <v>7427</v>
      </c>
      <c r="D3335" s="161" t="s">
        <v>7427</v>
      </c>
      <c r="E3335" s="161" t="s">
        <v>1640</v>
      </c>
      <c r="F3335" s="161" t="s">
        <v>6920</v>
      </c>
      <c r="G3335" s="163">
        <v>0</v>
      </c>
      <c r="H3335" s="163">
        <v>0</v>
      </c>
      <c r="I3335" s="174">
        <v>17.65</v>
      </c>
      <c r="J3335" s="173">
        <v>0</v>
      </c>
      <c r="K3335" s="172">
        <v>0</v>
      </c>
      <c r="L3335" s="174"/>
      <c r="M3335" s="161" t="s">
        <v>4421</v>
      </c>
      <c r="N3335" s="161"/>
      <c r="O3335" s="161" t="s">
        <v>15</v>
      </c>
      <c r="P3335" s="49" t="s">
        <v>15</v>
      </c>
      <c r="Q3335" s="166"/>
      <c r="R3335" s="151"/>
      <c r="S3335" s="151"/>
      <c r="T3335" s="94"/>
      <c r="V3335" s="151"/>
      <c r="W3335" s="151"/>
      <c r="X3335" s="156"/>
    </row>
    <row r="3336" spans="1:24">
      <c r="A3336" s="161" t="s">
        <v>81</v>
      </c>
      <c r="B3336" s="101" t="s">
        <v>872</v>
      </c>
      <c r="C3336" s="196" t="s">
        <v>7428</v>
      </c>
      <c r="D3336" s="161" t="s">
        <v>7429</v>
      </c>
      <c r="E3336" s="161" t="s">
        <v>1640</v>
      </c>
      <c r="F3336" s="161" t="s">
        <v>7430</v>
      </c>
      <c r="G3336" s="163">
        <v>16.1</v>
      </c>
      <c r="H3336" s="163">
        <f>G3336-G3335</f>
        <v>16.1</v>
      </c>
      <c r="I3336" s="174">
        <v>17.4</v>
      </c>
      <c r="J3336" s="173">
        <v>9973</v>
      </c>
      <c r="K3336" s="172">
        <v>9973</v>
      </c>
      <c r="L3336" s="174"/>
      <c r="M3336" s="161" t="s">
        <v>4421</v>
      </c>
      <c r="N3336" s="161" t="s">
        <v>1299</v>
      </c>
      <c r="O3336" s="161" t="s">
        <v>25</v>
      </c>
      <c r="P3336" s="49" t="s">
        <v>25</v>
      </c>
      <c r="Q3336" s="166"/>
      <c r="R3336" s="151"/>
      <c r="S3336" s="151"/>
      <c r="T3336" s="94"/>
      <c r="V3336" s="151"/>
      <c r="W3336" s="151"/>
      <c r="X3336" s="156"/>
    </row>
    <row r="3337" spans="1:24">
      <c r="A3337" s="161" t="s">
        <v>81</v>
      </c>
      <c r="B3337" s="101" t="s">
        <v>872</v>
      </c>
      <c r="C3337" s="196" t="s">
        <v>7431</v>
      </c>
      <c r="D3337" s="161" t="s">
        <v>7432</v>
      </c>
      <c r="E3337" s="161" t="s">
        <v>1640</v>
      </c>
      <c r="F3337" s="161" t="s">
        <v>7430</v>
      </c>
      <c r="G3337" s="163">
        <v>36.4</v>
      </c>
      <c r="H3337" s="163">
        <f t="shared" ref="H3337:H3350" si="254">G3337-G3336</f>
        <v>20.3</v>
      </c>
      <c r="I3337" s="174">
        <v>13.3</v>
      </c>
      <c r="J3337" s="173">
        <v>16704</v>
      </c>
      <c r="K3337" s="172">
        <v>26677</v>
      </c>
      <c r="L3337" s="174"/>
      <c r="M3337" s="161" t="s">
        <v>4421</v>
      </c>
      <c r="N3337" s="161" t="s">
        <v>1299</v>
      </c>
      <c r="O3337" s="161" t="s">
        <v>25</v>
      </c>
      <c r="P3337" s="49" t="s">
        <v>25</v>
      </c>
      <c r="Q3337" s="166"/>
      <c r="R3337" s="151"/>
      <c r="S3337" s="151"/>
      <c r="T3337" s="94"/>
      <c r="V3337" s="151"/>
      <c r="W3337" s="151"/>
      <c r="X3337" s="156"/>
    </row>
    <row r="3338" spans="1:24">
      <c r="A3338" s="161" t="s">
        <v>81</v>
      </c>
      <c r="B3338" s="101" t="s">
        <v>872</v>
      </c>
      <c r="C3338" s="196" t="s">
        <v>7433</v>
      </c>
      <c r="D3338" s="161" t="s">
        <v>7434</v>
      </c>
      <c r="E3338" s="161" t="s">
        <v>1640</v>
      </c>
      <c r="F3338" s="161" t="s">
        <v>7430</v>
      </c>
      <c r="G3338" s="163">
        <v>49.28</v>
      </c>
      <c r="H3338" s="163">
        <f t="shared" si="254"/>
        <v>12.88</v>
      </c>
      <c r="I3338" s="174">
        <v>8.9</v>
      </c>
      <c r="J3338" s="173">
        <v>10554</v>
      </c>
      <c r="K3338" s="172">
        <v>37231</v>
      </c>
      <c r="L3338" s="174"/>
      <c r="M3338" s="161" t="s">
        <v>4421</v>
      </c>
      <c r="N3338" s="161" t="s">
        <v>1299</v>
      </c>
      <c r="O3338" s="161" t="s">
        <v>25</v>
      </c>
      <c r="P3338" s="49" t="s">
        <v>25</v>
      </c>
      <c r="Q3338" s="166"/>
      <c r="R3338" s="151"/>
      <c r="S3338" s="151"/>
      <c r="T3338" s="94"/>
      <c r="V3338" s="151"/>
      <c r="W3338" s="151"/>
      <c r="X3338" s="156"/>
    </row>
    <row r="3339" spans="1:24">
      <c r="A3339" s="161" t="s">
        <v>81</v>
      </c>
      <c r="B3339" s="101" t="s">
        <v>872</v>
      </c>
      <c r="C3339" s="196" t="s">
        <v>7435</v>
      </c>
      <c r="D3339" s="161" t="s">
        <v>7436</v>
      </c>
      <c r="E3339" s="161" t="s">
        <v>1640</v>
      </c>
      <c r="F3339" s="161" t="s">
        <v>4132</v>
      </c>
      <c r="G3339" s="163">
        <v>66.62</v>
      </c>
      <c r="H3339" s="163">
        <f t="shared" si="254"/>
        <v>17.34</v>
      </c>
      <c r="I3339" s="174">
        <v>3.2</v>
      </c>
      <c r="J3339" s="173">
        <v>13100</v>
      </c>
      <c r="K3339" s="172">
        <v>50331</v>
      </c>
      <c r="L3339" s="174"/>
      <c r="M3339" s="161" t="s">
        <v>4421</v>
      </c>
      <c r="N3339" s="161" t="s">
        <v>1299</v>
      </c>
      <c r="O3339" s="161" t="s">
        <v>25</v>
      </c>
      <c r="P3339" s="49" t="s">
        <v>25</v>
      </c>
      <c r="Q3339" s="166"/>
      <c r="R3339" s="151"/>
      <c r="S3339" s="151"/>
      <c r="T3339" s="94"/>
      <c r="V3339" s="151"/>
      <c r="W3339" s="151"/>
      <c r="X3339" s="156"/>
    </row>
    <row r="3340" spans="1:24">
      <c r="A3340" s="161" t="s">
        <v>81</v>
      </c>
      <c r="B3340" s="101" t="s">
        <v>872</v>
      </c>
      <c r="C3340" s="38" t="s">
        <v>7437</v>
      </c>
      <c r="D3340" s="161" t="s">
        <v>880</v>
      </c>
      <c r="E3340" s="161" t="s">
        <v>1640</v>
      </c>
      <c r="F3340" s="161" t="s">
        <v>4132</v>
      </c>
      <c r="G3340" s="163">
        <v>84.97</v>
      </c>
      <c r="H3340" s="163">
        <f t="shared" si="254"/>
        <v>18.35</v>
      </c>
      <c r="I3340" s="174">
        <v>3.88</v>
      </c>
      <c r="J3340" s="173">
        <v>13863</v>
      </c>
      <c r="K3340" s="172">
        <v>64194</v>
      </c>
      <c r="L3340" s="174"/>
      <c r="M3340" s="161" t="s">
        <v>4421</v>
      </c>
      <c r="N3340" s="161"/>
      <c r="O3340" s="161" t="s">
        <v>15</v>
      </c>
      <c r="P3340" s="49" t="s">
        <v>15</v>
      </c>
      <c r="Q3340" s="166"/>
      <c r="R3340" s="151"/>
      <c r="S3340" s="151"/>
      <c r="T3340" s="94"/>
      <c r="V3340" s="151"/>
      <c r="W3340" s="151"/>
      <c r="X3340" s="156"/>
    </row>
    <row r="3341" spans="1:24">
      <c r="A3341" s="161" t="s">
        <v>81</v>
      </c>
      <c r="B3341" s="101" t="s">
        <v>872</v>
      </c>
      <c r="C3341" s="196" t="s">
        <v>7438</v>
      </c>
      <c r="D3341" s="161" t="s">
        <v>7439</v>
      </c>
      <c r="E3341" s="161" t="s">
        <v>1640</v>
      </c>
      <c r="F3341" s="161" t="s">
        <v>4132</v>
      </c>
      <c r="G3341" s="163">
        <v>97.96</v>
      </c>
      <c r="H3341" s="163">
        <f t="shared" si="254"/>
        <v>12.99</v>
      </c>
      <c r="I3341" s="174">
        <v>2.53</v>
      </c>
      <c r="J3341" s="173">
        <v>9814</v>
      </c>
      <c r="K3341" s="172">
        <v>74008</v>
      </c>
      <c r="L3341" s="174"/>
      <c r="M3341" s="161" t="s">
        <v>4421</v>
      </c>
      <c r="N3341" s="161" t="s">
        <v>1299</v>
      </c>
      <c r="O3341" s="161" t="s">
        <v>25</v>
      </c>
      <c r="P3341" s="49" t="s">
        <v>25</v>
      </c>
      <c r="Q3341" s="166"/>
      <c r="R3341" s="151"/>
      <c r="S3341" s="151"/>
      <c r="T3341" s="94"/>
      <c r="V3341" s="151"/>
      <c r="W3341" s="151"/>
      <c r="X3341" s="156"/>
    </row>
    <row r="3342" spans="1:24">
      <c r="A3342" s="161" t="s">
        <v>81</v>
      </c>
      <c r="B3342" s="101" t="s">
        <v>872</v>
      </c>
      <c r="C3342" s="196" t="s">
        <v>7440</v>
      </c>
      <c r="D3342" s="161" t="s">
        <v>7441</v>
      </c>
      <c r="E3342" s="161" t="s">
        <v>1640</v>
      </c>
      <c r="F3342" s="161" t="s">
        <v>4132</v>
      </c>
      <c r="G3342" s="163">
        <v>109.7</v>
      </c>
      <c r="H3342" s="163">
        <f t="shared" si="254"/>
        <v>11.74</v>
      </c>
      <c r="I3342" s="174">
        <v>1.1</v>
      </c>
      <c r="J3342" s="173">
        <v>8870</v>
      </c>
      <c r="K3342" s="172">
        <v>82878</v>
      </c>
      <c r="L3342" s="174"/>
      <c r="M3342" s="161" t="s">
        <v>4421</v>
      </c>
      <c r="N3342" s="161" t="s">
        <v>1299</v>
      </c>
      <c r="O3342" s="161" t="s">
        <v>25</v>
      </c>
      <c r="P3342" s="49" t="s">
        <v>25</v>
      </c>
      <c r="Q3342" s="166"/>
      <c r="R3342" s="151"/>
      <c r="S3342" s="151"/>
      <c r="T3342" s="94"/>
      <c r="V3342" s="151"/>
      <c r="W3342" s="151"/>
      <c r="X3342" s="156"/>
    </row>
    <row r="3343" spans="1:24">
      <c r="A3343" s="161" t="s">
        <v>81</v>
      </c>
      <c r="B3343" s="101" t="s">
        <v>872</v>
      </c>
      <c r="C3343" s="196" t="s">
        <v>7442</v>
      </c>
      <c r="D3343" s="161" t="s">
        <v>7443</v>
      </c>
      <c r="E3343" s="161" t="s">
        <v>1640</v>
      </c>
      <c r="F3343" s="161" t="s">
        <v>4317</v>
      </c>
      <c r="G3343" s="163">
        <v>125.03</v>
      </c>
      <c r="H3343" s="163">
        <f t="shared" si="254"/>
        <v>15.33</v>
      </c>
      <c r="I3343" s="174">
        <v>2.99</v>
      </c>
      <c r="J3343" s="173">
        <v>11582</v>
      </c>
      <c r="K3343" s="172">
        <v>94460</v>
      </c>
      <c r="L3343" s="174"/>
      <c r="M3343" s="161" t="s">
        <v>4421</v>
      </c>
      <c r="N3343" s="161" t="s">
        <v>1299</v>
      </c>
      <c r="O3343" s="161" t="s">
        <v>25</v>
      </c>
      <c r="P3343" s="49" t="s">
        <v>25</v>
      </c>
      <c r="Q3343" s="166"/>
      <c r="R3343" s="151"/>
      <c r="S3343" s="151"/>
      <c r="T3343" s="94"/>
      <c r="V3343" s="151"/>
      <c r="W3343" s="151"/>
      <c r="X3343" s="156"/>
    </row>
    <row r="3344" spans="1:24">
      <c r="A3344" s="161" t="s">
        <v>81</v>
      </c>
      <c r="B3344" s="101" t="s">
        <v>872</v>
      </c>
      <c r="C3344" s="196" t="s">
        <v>7444</v>
      </c>
      <c r="D3344" s="161" t="s">
        <v>7445</v>
      </c>
      <c r="E3344" s="161" t="s">
        <v>1640</v>
      </c>
      <c r="F3344" s="161" t="s">
        <v>4317</v>
      </c>
      <c r="G3344" s="163">
        <v>141.06</v>
      </c>
      <c r="H3344" s="163">
        <f t="shared" si="254"/>
        <v>16.03</v>
      </c>
      <c r="I3344" s="174">
        <v>3.93</v>
      </c>
      <c r="J3344" s="173">
        <v>12111</v>
      </c>
      <c r="K3344" s="172">
        <v>106571</v>
      </c>
      <c r="L3344" s="174"/>
      <c r="M3344" s="161" t="s">
        <v>4421</v>
      </c>
      <c r="N3344" s="161" t="s">
        <v>1299</v>
      </c>
      <c r="O3344" s="161" t="s">
        <v>25</v>
      </c>
      <c r="P3344" s="49" t="s">
        <v>25</v>
      </c>
      <c r="Q3344" s="166"/>
      <c r="R3344" s="151"/>
      <c r="S3344" s="151"/>
      <c r="T3344" s="94"/>
      <c r="V3344" s="151"/>
      <c r="W3344" s="151"/>
      <c r="X3344" s="156"/>
    </row>
    <row r="3345" spans="1:24">
      <c r="A3345" s="161" t="s">
        <v>81</v>
      </c>
      <c r="B3345" s="101" t="s">
        <v>872</v>
      </c>
      <c r="C3345" s="38" t="s">
        <v>7446</v>
      </c>
      <c r="D3345" s="161" t="s">
        <v>7446</v>
      </c>
      <c r="E3345" s="161" t="s">
        <v>1640</v>
      </c>
      <c r="F3345" s="161" t="s">
        <v>4317</v>
      </c>
      <c r="G3345" s="163">
        <v>156.55</v>
      </c>
      <c r="H3345" s="163">
        <f t="shared" si="254"/>
        <v>15.49</v>
      </c>
      <c r="I3345" s="174">
        <v>3.28</v>
      </c>
      <c r="J3345" s="173">
        <v>11703</v>
      </c>
      <c r="K3345" s="172">
        <v>118274</v>
      </c>
      <c r="L3345" s="174"/>
      <c r="M3345" s="161" t="s">
        <v>4421</v>
      </c>
      <c r="N3345" s="161"/>
      <c r="O3345" s="161" t="s">
        <v>15</v>
      </c>
      <c r="P3345" s="49" t="s">
        <v>15</v>
      </c>
      <c r="Q3345" s="166"/>
      <c r="R3345" s="151"/>
      <c r="S3345" s="151"/>
      <c r="T3345" s="94"/>
      <c r="V3345" s="151"/>
      <c r="W3345" s="151"/>
      <c r="X3345" s="156"/>
    </row>
    <row r="3346" spans="1:24">
      <c r="A3346" s="161" t="s">
        <v>81</v>
      </c>
      <c r="B3346" s="101" t="s">
        <v>872</v>
      </c>
      <c r="C3346" s="196" t="s">
        <v>7447</v>
      </c>
      <c r="D3346" s="161" t="s">
        <v>7448</v>
      </c>
      <c r="E3346" s="161" t="s">
        <v>1640</v>
      </c>
      <c r="F3346" s="161" t="s">
        <v>4317</v>
      </c>
      <c r="G3346" s="163">
        <v>174.52</v>
      </c>
      <c r="H3346" s="163">
        <f t="shared" si="254"/>
        <v>17.97</v>
      </c>
      <c r="I3346" s="174">
        <v>2</v>
      </c>
      <c r="J3346" s="173">
        <v>13576</v>
      </c>
      <c r="K3346" s="172">
        <v>131850</v>
      </c>
      <c r="L3346" s="174"/>
      <c r="M3346" s="161" t="s">
        <v>4421</v>
      </c>
      <c r="N3346" s="161" t="s">
        <v>1299</v>
      </c>
      <c r="O3346" s="161" t="s">
        <v>25</v>
      </c>
      <c r="P3346" s="49" t="s">
        <v>25</v>
      </c>
      <c r="Q3346" s="166"/>
      <c r="R3346" s="151"/>
      <c r="S3346" s="151"/>
      <c r="T3346" s="94"/>
      <c r="V3346" s="151"/>
      <c r="W3346" s="151"/>
      <c r="X3346" s="156"/>
    </row>
    <row r="3347" spans="1:24">
      <c r="A3347" s="161" t="s">
        <v>81</v>
      </c>
      <c r="B3347" s="101" t="s">
        <v>872</v>
      </c>
      <c r="C3347" s="196" t="s">
        <v>7449</v>
      </c>
      <c r="D3347" s="161" t="s">
        <v>7450</v>
      </c>
      <c r="E3347" s="161" t="s">
        <v>1640</v>
      </c>
      <c r="F3347" s="161" t="s">
        <v>7451</v>
      </c>
      <c r="G3347" s="163">
        <v>195.77</v>
      </c>
      <c r="H3347" s="163">
        <f t="shared" si="254"/>
        <v>21.25</v>
      </c>
      <c r="I3347" s="174">
        <v>2</v>
      </c>
      <c r="J3347" s="173">
        <v>16054</v>
      </c>
      <c r="K3347" s="172">
        <v>147904</v>
      </c>
      <c r="L3347" s="174"/>
      <c r="M3347" s="161" t="s">
        <v>4421</v>
      </c>
      <c r="N3347" s="161" t="s">
        <v>1299</v>
      </c>
      <c r="O3347" s="161" t="s">
        <v>25</v>
      </c>
      <c r="P3347" s="49" t="s">
        <v>25</v>
      </c>
      <c r="Q3347" s="166"/>
      <c r="R3347" s="151"/>
      <c r="S3347" s="151"/>
      <c r="T3347" s="94"/>
      <c r="V3347" s="151"/>
      <c r="W3347" s="151"/>
      <c r="X3347" s="156"/>
    </row>
    <row r="3348" spans="1:24">
      <c r="A3348" s="161" t="s">
        <v>81</v>
      </c>
      <c r="B3348" s="101" t="s">
        <v>872</v>
      </c>
      <c r="C3348" s="38" t="s">
        <v>7452</v>
      </c>
      <c r="D3348" s="161" t="s">
        <v>7453</v>
      </c>
      <c r="E3348" s="161" t="s">
        <v>1640</v>
      </c>
      <c r="F3348" s="161" t="s">
        <v>7451</v>
      </c>
      <c r="G3348" s="163">
        <v>211.01</v>
      </c>
      <c r="H3348" s="163">
        <f t="shared" si="254"/>
        <v>15.24</v>
      </c>
      <c r="I3348" s="174">
        <v>2</v>
      </c>
      <c r="J3348" s="173">
        <v>11514</v>
      </c>
      <c r="K3348" s="172">
        <v>159418</v>
      </c>
      <c r="L3348" s="174"/>
      <c r="M3348" s="161" t="s">
        <v>4421</v>
      </c>
      <c r="N3348" s="161"/>
      <c r="O3348" s="161" t="s">
        <v>15</v>
      </c>
      <c r="P3348" s="49" t="s">
        <v>15</v>
      </c>
      <c r="Q3348" s="166"/>
      <c r="R3348" s="151"/>
      <c r="S3348" s="151"/>
      <c r="T3348" s="94"/>
      <c r="V3348" s="151"/>
      <c r="W3348" s="151"/>
      <c r="X3348" s="156"/>
    </row>
    <row r="3349" spans="1:24">
      <c r="A3349" s="161" t="s">
        <v>81</v>
      </c>
      <c r="B3349" s="101" t="s">
        <v>872</v>
      </c>
      <c r="C3349" s="196" t="s">
        <v>7454</v>
      </c>
      <c r="D3349" s="161" t="s">
        <v>7455</v>
      </c>
      <c r="E3349" s="161" t="s">
        <v>1640</v>
      </c>
      <c r="F3349" s="161" t="s">
        <v>7451</v>
      </c>
      <c r="G3349" s="163">
        <v>222.32</v>
      </c>
      <c r="H3349" s="163">
        <f t="shared" si="254"/>
        <v>11.31</v>
      </c>
      <c r="I3349" s="174">
        <v>2.7</v>
      </c>
      <c r="J3349" s="173">
        <v>8545</v>
      </c>
      <c r="K3349" s="172">
        <v>167963</v>
      </c>
      <c r="L3349" s="174"/>
      <c r="M3349" s="161" t="s">
        <v>4421</v>
      </c>
      <c r="N3349" s="161" t="s">
        <v>1299</v>
      </c>
      <c r="O3349" s="161" t="s">
        <v>25</v>
      </c>
      <c r="P3349" s="49" t="s">
        <v>25</v>
      </c>
      <c r="Q3349" s="166"/>
      <c r="R3349" s="151"/>
      <c r="S3349" s="151"/>
      <c r="T3349" s="94"/>
      <c r="V3349" s="151"/>
      <c r="W3349" s="151"/>
      <c r="X3349" s="156"/>
    </row>
    <row r="3350" spans="1:24">
      <c r="A3350" s="161" t="s">
        <v>81</v>
      </c>
      <c r="B3350" s="101" t="s">
        <v>872</v>
      </c>
      <c r="C3350" s="38" t="s">
        <v>7456</v>
      </c>
      <c r="D3350" s="161" t="s">
        <v>7456</v>
      </c>
      <c r="E3350" s="161" t="s">
        <v>1640</v>
      </c>
      <c r="F3350" s="161" t="s">
        <v>7451</v>
      </c>
      <c r="G3350" s="163">
        <v>238.6</v>
      </c>
      <c r="H3350" s="163">
        <f t="shared" si="254"/>
        <v>16.28</v>
      </c>
      <c r="I3350" s="174">
        <v>2.76</v>
      </c>
      <c r="J3350" s="173">
        <v>12300</v>
      </c>
      <c r="K3350" s="172">
        <v>180263</v>
      </c>
      <c r="L3350" s="174"/>
      <c r="M3350" s="161" t="s">
        <v>4421</v>
      </c>
      <c r="N3350" s="161"/>
      <c r="O3350" s="161" t="s">
        <v>15</v>
      </c>
      <c r="P3350" s="49" t="s">
        <v>15</v>
      </c>
      <c r="Q3350" s="166"/>
      <c r="R3350" s="151"/>
      <c r="S3350" s="151"/>
      <c r="T3350" s="94"/>
      <c r="V3350" s="151"/>
      <c r="W3350" s="151"/>
      <c r="X3350" s="156"/>
    </row>
    <row r="3351" spans="1:24">
      <c r="A3351" s="161" t="s">
        <v>81</v>
      </c>
      <c r="B3351" s="101" t="s">
        <v>876</v>
      </c>
      <c r="C3351" s="38" t="s">
        <v>886</v>
      </c>
      <c r="D3351" s="161" t="s">
        <v>886</v>
      </c>
      <c r="E3351" s="161" t="s">
        <v>1640</v>
      </c>
      <c r="F3351" s="161" t="s">
        <v>7451</v>
      </c>
      <c r="G3351" s="163">
        <v>0</v>
      </c>
      <c r="H3351" s="163">
        <v>0</v>
      </c>
      <c r="I3351" s="174">
        <v>2.1</v>
      </c>
      <c r="J3351" s="173">
        <v>0</v>
      </c>
      <c r="K3351" s="172">
        <v>0</v>
      </c>
      <c r="L3351" s="174"/>
      <c r="M3351" s="161" t="s">
        <v>4421</v>
      </c>
      <c r="N3351" s="161"/>
      <c r="O3351" s="161" t="s">
        <v>15</v>
      </c>
      <c r="P3351" s="49" t="s">
        <v>15</v>
      </c>
      <c r="Q3351" s="166"/>
      <c r="R3351" s="151"/>
      <c r="S3351" s="151"/>
      <c r="T3351" s="94"/>
      <c r="V3351" s="151"/>
      <c r="W3351" s="151"/>
      <c r="X3351" s="156"/>
    </row>
    <row r="3352" spans="1:24">
      <c r="A3352" s="161" t="s">
        <v>81</v>
      </c>
      <c r="B3352" s="101" t="s">
        <v>876</v>
      </c>
      <c r="C3352" s="196" t="s">
        <v>7457</v>
      </c>
      <c r="D3352" s="161" t="s">
        <v>7458</v>
      </c>
      <c r="E3352" s="161" t="s">
        <v>1640</v>
      </c>
      <c r="F3352" s="161" t="s">
        <v>7451</v>
      </c>
      <c r="G3352" s="163">
        <v>12.1</v>
      </c>
      <c r="H3352" s="163">
        <v>12.1</v>
      </c>
      <c r="I3352" s="174">
        <v>3.1</v>
      </c>
      <c r="J3352" s="173">
        <v>9142</v>
      </c>
      <c r="K3352" s="172">
        <v>9142</v>
      </c>
      <c r="L3352" s="174"/>
      <c r="M3352" s="161" t="s">
        <v>4421</v>
      </c>
      <c r="N3352" s="161" t="s">
        <v>1299</v>
      </c>
      <c r="O3352" s="161" t="s">
        <v>25</v>
      </c>
      <c r="P3352" s="49" t="s">
        <v>25</v>
      </c>
      <c r="Q3352" s="166"/>
      <c r="R3352" s="151"/>
      <c r="S3352" s="151"/>
      <c r="T3352" s="94"/>
      <c r="V3352" s="151"/>
      <c r="W3352" s="151"/>
      <c r="X3352" s="156"/>
    </row>
    <row r="3353" spans="1:24">
      <c r="A3353" s="161" t="s">
        <v>81</v>
      </c>
      <c r="B3353" s="101" t="s">
        <v>876</v>
      </c>
      <c r="C3353" s="196" t="s">
        <v>7459</v>
      </c>
      <c r="D3353" s="161" t="s">
        <v>7460</v>
      </c>
      <c r="E3353" s="161" t="s">
        <v>1640</v>
      </c>
      <c r="F3353" s="161" t="s">
        <v>7451</v>
      </c>
      <c r="G3353" s="163">
        <v>25.1</v>
      </c>
      <c r="H3353" s="163">
        <v>13</v>
      </c>
      <c r="I3353" s="174">
        <v>3.1</v>
      </c>
      <c r="J3353" s="173">
        <v>9822</v>
      </c>
      <c r="K3353" s="172">
        <v>18964</v>
      </c>
      <c r="L3353" s="174"/>
      <c r="M3353" s="161" t="s">
        <v>4421</v>
      </c>
      <c r="N3353" s="161" t="s">
        <v>1299</v>
      </c>
      <c r="O3353" s="161" t="s">
        <v>25</v>
      </c>
      <c r="P3353" s="49" t="s">
        <v>25</v>
      </c>
      <c r="Q3353" s="166"/>
      <c r="R3353" s="151"/>
      <c r="S3353" s="151"/>
      <c r="T3353" s="94"/>
      <c r="V3353" s="151"/>
      <c r="W3353" s="151"/>
      <c r="X3353" s="156"/>
    </row>
    <row r="3354" spans="1:24">
      <c r="A3354" s="161" t="s">
        <v>81</v>
      </c>
      <c r="B3354" s="101" t="s">
        <v>876</v>
      </c>
      <c r="C3354" s="196" t="s">
        <v>7461</v>
      </c>
      <c r="D3354" s="161" t="s">
        <v>7462</v>
      </c>
      <c r="E3354" s="161" t="s">
        <v>1640</v>
      </c>
      <c r="F3354" s="161" t="s">
        <v>7451</v>
      </c>
      <c r="G3354" s="163">
        <v>31.5</v>
      </c>
      <c r="H3354" s="163">
        <v>6.4</v>
      </c>
      <c r="I3354" s="174">
        <v>2.55</v>
      </c>
      <c r="J3354" s="173">
        <v>4835</v>
      </c>
      <c r="K3354" s="172">
        <v>23799</v>
      </c>
      <c r="L3354" s="174"/>
      <c r="M3354" s="161" t="s">
        <v>4421</v>
      </c>
      <c r="N3354" s="161" t="s">
        <v>1299</v>
      </c>
      <c r="O3354" s="161" t="s">
        <v>25</v>
      </c>
      <c r="P3354" s="49" t="s">
        <v>25</v>
      </c>
      <c r="Q3354" s="166"/>
      <c r="R3354" s="151"/>
      <c r="S3354" s="151"/>
      <c r="T3354" s="94"/>
      <c r="V3354" s="151"/>
      <c r="W3354" s="151"/>
      <c r="X3354" s="156"/>
    </row>
    <row r="3355" spans="1:24">
      <c r="A3355" s="161" t="s">
        <v>81</v>
      </c>
      <c r="B3355" s="101" t="s">
        <v>876</v>
      </c>
      <c r="C3355" s="196" t="s">
        <v>7463</v>
      </c>
      <c r="D3355" s="161" t="s">
        <v>7464</v>
      </c>
      <c r="E3355" s="161" t="s">
        <v>1640</v>
      </c>
      <c r="F3355" s="161" t="s">
        <v>7451</v>
      </c>
      <c r="G3355" s="163">
        <v>42.7</v>
      </c>
      <c r="H3355" s="163">
        <v>11.2</v>
      </c>
      <c r="I3355" s="174">
        <v>3.76</v>
      </c>
      <c r="J3355" s="173">
        <v>7857</v>
      </c>
      <c r="K3355" s="172">
        <v>31656</v>
      </c>
      <c r="L3355" s="174"/>
      <c r="M3355" s="161" t="s">
        <v>4421</v>
      </c>
      <c r="N3355" s="161" t="s">
        <v>1299</v>
      </c>
      <c r="O3355" s="161" t="s">
        <v>25</v>
      </c>
      <c r="P3355" s="49" t="s">
        <v>25</v>
      </c>
      <c r="Q3355" s="166"/>
      <c r="R3355" s="151"/>
      <c r="S3355" s="151"/>
      <c r="T3355" s="94"/>
      <c r="V3355" s="151"/>
      <c r="W3355" s="151"/>
      <c r="X3355" s="156"/>
    </row>
    <row r="3356" spans="1:24">
      <c r="A3356" s="161" t="s">
        <v>81</v>
      </c>
      <c r="B3356" s="101" t="s">
        <v>876</v>
      </c>
      <c r="C3356" s="196" t="s">
        <v>7465</v>
      </c>
      <c r="D3356" s="161" t="s">
        <v>7466</v>
      </c>
      <c r="E3356" s="161" t="s">
        <v>1640</v>
      </c>
      <c r="F3356" s="161" t="s">
        <v>7451</v>
      </c>
      <c r="G3356" s="163">
        <v>66.6</v>
      </c>
      <c r="H3356" s="163">
        <v>23.9</v>
      </c>
      <c r="I3356" s="174">
        <v>1.9</v>
      </c>
      <c r="J3356" s="173">
        <v>16727</v>
      </c>
      <c r="K3356" s="172">
        <v>48383</v>
      </c>
      <c r="L3356" s="174"/>
      <c r="M3356" s="161" t="s">
        <v>4421</v>
      </c>
      <c r="N3356" s="161" t="s">
        <v>1299</v>
      </c>
      <c r="O3356" s="161" t="s">
        <v>25</v>
      </c>
      <c r="P3356" s="49" t="s">
        <v>25</v>
      </c>
      <c r="Q3356" s="166"/>
      <c r="R3356" s="151"/>
      <c r="S3356" s="151"/>
      <c r="T3356" s="94"/>
      <c r="V3356" s="151"/>
      <c r="W3356" s="151"/>
      <c r="X3356" s="156"/>
    </row>
    <row r="3357" spans="1:24">
      <c r="A3357" s="161" t="s">
        <v>81</v>
      </c>
      <c r="B3357" s="101" t="s">
        <v>876</v>
      </c>
      <c r="C3357" s="135" t="s">
        <v>7452</v>
      </c>
      <c r="D3357" s="161" t="s">
        <v>7453</v>
      </c>
      <c r="E3357" s="161" t="s">
        <v>1640</v>
      </c>
      <c r="F3357" s="161" t="s">
        <v>7451</v>
      </c>
      <c r="G3357" s="163">
        <v>87.5</v>
      </c>
      <c r="H3357" s="163">
        <v>20.9</v>
      </c>
      <c r="I3357" s="174">
        <v>2</v>
      </c>
      <c r="J3357" s="173">
        <v>15888</v>
      </c>
      <c r="K3357" s="172">
        <v>64271</v>
      </c>
      <c r="L3357" s="174"/>
      <c r="M3357" s="161" t="s">
        <v>4421</v>
      </c>
      <c r="N3357" s="161"/>
      <c r="O3357" s="161"/>
      <c r="P3357" s="49"/>
      <c r="Q3357" s="166"/>
      <c r="R3357" s="151"/>
      <c r="S3357" s="151"/>
      <c r="T3357" s="94"/>
      <c r="V3357" s="151"/>
      <c r="W3357" s="151"/>
      <c r="X3357" s="156"/>
    </row>
    <row r="3358" spans="1:24">
      <c r="A3358" s="161" t="s">
        <v>81</v>
      </c>
      <c r="B3358" s="101" t="s">
        <v>879</v>
      </c>
      <c r="C3358" s="135" t="s">
        <v>7437</v>
      </c>
      <c r="D3358" s="161" t="s">
        <v>880</v>
      </c>
      <c r="E3358" s="161" t="s">
        <v>1640</v>
      </c>
      <c r="F3358" s="161" t="s">
        <v>4132</v>
      </c>
      <c r="G3358" s="163">
        <v>0</v>
      </c>
      <c r="H3358" s="163">
        <v>0</v>
      </c>
      <c r="I3358" s="174">
        <v>3.88</v>
      </c>
      <c r="J3358" s="173">
        <v>0</v>
      </c>
      <c r="K3358" s="172">
        <v>0</v>
      </c>
      <c r="L3358" s="174"/>
      <c r="M3358" s="161" t="s">
        <v>4421</v>
      </c>
      <c r="N3358" s="161" t="s">
        <v>1331</v>
      </c>
      <c r="O3358" s="161"/>
      <c r="P3358" s="49"/>
      <c r="Q3358" s="166" t="s">
        <v>4260</v>
      </c>
      <c r="R3358" s="151"/>
      <c r="S3358" s="151"/>
      <c r="T3358" s="94"/>
      <c r="V3358" s="151"/>
      <c r="W3358" s="151"/>
      <c r="X3358" s="156"/>
    </row>
    <row r="3359" spans="1:24">
      <c r="A3359" s="161" t="s">
        <v>81</v>
      </c>
      <c r="B3359" s="101" t="s">
        <v>879</v>
      </c>
      <c r="C3359" s="84" t="s">
        <v>7467</v>
      </c>
      <c r="D3359" s="161" t="s">
        <v>7468</v>
      </c>
      <c r="E3359" s="161" t="s">
        <v>1640</v>
      </c>
      <c r="F3359" s="161" t="s">
        <v>4132</v>
      </c>
      <c r="G3359" s="163">
        <v>5.63</v>
      </c>
      <c r="H3359" s="163">
        <v>5.63</v>
      </c>
      <c r="I3359" s="174">
        <v>4.2</v>
      </c>
      <c r="J3359" s="173">
        <v>3392</v>
      </c>
      <c r="K3359" s="172">
        <v>3392</v>
      </c>
      <c r="L3359" s="174"/>
      <c r="M3359" s="161" t="s">
        <v>4421</v>
      </c>
      <c r="N3359" s="161" t="s">
        <v>1299</v>
      </c>
      <c r="O3359" s="161" t="s">
        <v>25</v>
      </c>
      <c r="P3359" s="49" t="s">
        <v>25</v>
      </c>
      <c r="Q3359" s="166"/>
      <c r="R3359" s="151"/>
      <c r="S3359" s="151"/>
      <c r="T3359" s="94"/>
      <c r="V3359" s="151"/>
      <c r="W3359" s="151"/>
      <c r="X3359" s="156"/>
    </row>
    <row r="3360" spans="1:24">
      <c r="A3360" s="161" t="s">
        <v>81</v>
      </c>
      <c r="B3360" s="101" t="s">
        <v>879</v>
      </c>
      <c r="C3360" s="84" t="s">
        <v>7469</v>
      </c>
      <c r="D3360" s="161" t="s">
        <v>7470</v>
      </c>
      <c r="E3360" s="161" t="s">
        <v>1640</v>
      </c>
      <c r="F3360" s="161" t="s">
        <v>4132</v>
      </c>
      <c r="G3360" s="163">
        <v>19.86</v>
      </c>
      <c r="H3360" s="163">
        <v>14.23</v>
      </c>
      <c r="I3360" s="174">
        <v>6.9</v>
      </c>
      <c r="J3360" s="173">
        <v>8572</v>
      </c>
      <c r="K3360" s="172">
        <v>11964</v>
      </c>
      <c r="L3360" s="174"/>
      <c r="M3360" s="161" t="s">
        <v>4421</v>
      </c>
      <c r="N3360" s="161" t="s">
        <v>1299</v>
      </c>
      <c r="O3360" s="161" t="s">
        <v>25</v>
      </c>
      <c r="P3360" s="49" t="s">
        <v>25</v>
      </c>
      <c r="Q3360" s="166"/>
      <c r="R3360" s="151"/>
      <c r="S3360" s="151"/>
      <c r="T3360" s="94"/>
      <c r="V3360" s="151"/>
      <c r="W3360" s="151"/>
      <c r="X3360" s="156"/>
    </row>
    <row r="3361" spans="1:24">
      <c r="A3361" s="161" t="s">
        <v>81</v>
      </c>
      <c r="B3361" s="101" t="s">
        <v>879</v>
      </c>
      <c r="C3361" s="84" t="s">
        <v>357</v>
      </c>
      <c r="D3361" s="161" t="s">
        <v>357</v>
      </c>
      <c r="E3361" s="161" t="s">
        <v>1640</v>
      </c>
      <c r="F3361" s="161" t="s">
        <v>4132</v>
      </c>
      <c r="G3361" s="163">
        <v>30.5</v>
      </c>
      <c r="H3361" s="163">
        <v>10.64</v>
      </c>
      <c r="I3361" s="174">
        <v>9.8</v>
      </c>
      <c r="J3361" s="173">
        <v>5367</v>
      </c>
      <c r="K3361" s="172">
        <v>17331</v>
      </c>
      <c r="L3361" s="174"/>
      <c r="M3361" s="161" t="s">
        <v>4125</v>
      </c>
      <c r="N3361" s="161" t="s">
        <v>1295</v>
      </c>
      <c r="O3361" s="161" t="s">
        <v>14</v>
      </c>
      <c r="P3361" s="49" t="s">
        <v>14</v>
      </c>
      <c r="Q3361" s="166" t="s">
        <v>4137</v>
      </c>
      <c r="R3361" s="151"/>
      <c r="S3361" s="151"/>
      <c r="T3361" s="94"/>
      <c r="V3361" s="151"/>
      <c r="W3361" s="151"/>
      <c r="X3361" s="156"/>
    </row>
    <row r="3362" spans="1:24">
      <c r="A3362" s="161" t="s">
        <v>81</v>
      </c>
      <c r="B3362" s="101" t="s">
        <v>879</v>
      </c>
      <c r="C3362" s="135" t="s">
        <v>7471</v>
      </c>
      <c r="D3362" s="161" t="s">
        <v>7471</v>
      </c>
      <c r="E3362" s="161" t="s">
        <v>1640</v>
      </c>
      <c r="F3362" s="161"/>
      <c r="G3362" s="163">
        <v>47</v>
      </c>
      <c r="H3362" s="163"/>
      <c r="I3362" s="174" t="s">
        <v>147</v>
      </c>
      <c r="J3362" s="173">
        <v>9758</v>
      </c>
      <c r="K3362" s="172">
        <v>27089</v>
      </c>
      <c r="L3362" s="174"/>
      <c r="M3362" s="161" t="s">
        <v>4421</v>
      </c>
      <c r="N3362" s="161"/>
      <c r="O3362" s="161"/>
      <c r="P3362" s="49"/>
      <c r="Q3362" s="166"/>
      <c r="R3362" s="151"/>
      <c r="S3362" s="151"/>
      <c r="T3362" s="94"/>
      <c r="V3362" s="151"/>
      <c r="W3362" s="151"/>
      <c r="X3362" s="156"/>
    </row>
    <row r="3363" spans="1:24">
      <c r="A3363" s="161" t="s">
        <v>81</v>
      </c>
      <c r="B3363" s="101" t="s">
        <v>879</v>
      </c>
      <c r="C3363" s="135" t="s">
        <v>7472</v>
      </c>
      <c r="D3363" s="161" t="s">
        <v>7472</v>
      </c>
      <c r="E3363" s="161" t="s">
        <v>1640</v>
      </c>
      <c r="F3363" s="161"/>
      <c r="G3363" s="163">
        <v>61.2</v>
      </c>
      <c r="H3363" s="163"/>
      <c r="I3363" s="174" t="s">
        <v>147</v>
      </c>
      <c r="J3363" s="173">
        <v>8398</v>
      </c>
      <c r="K3363" s="172">
        <v>35487</v>
      </c>
      <c r="L3363" s="174"/>
      <c r="M3363" s="161" t="s">
        <v>4421</v>
      </c>
      <c r="N3363" s="161"/>
      <c r="O3363" s="161"/>
      <c r="P3363" s="49"/>
      <c r="Q3363" s="166"/>
      <c r="R3363" s="151"/>
      <c r="S3363" s="151"/>
      <c r="T3363" s="94"/>
      <c r="V3363" s="151"/>
      <c r="W3363" s="151"/>
      <c r="X3363" s="156"/>
    </row>
    <row r="3364" spans="1:24">
      <c r="A3364" s="161" t="s">
        <v>81</v>
      </c>
      <c r="B3364" s="101" t="s">
        <v>879</v>
      </c>
      <c r="C3364" s="135" t="s">
        <v>7473</v>
      </c>
      <c r="D3364" s="161" t="s">
        <v>7473</v>
      </c>
      <c r="E3364" s="161" t="s">
        <v>1640</v>
      </c>
      <c r="F3364" s="161"/>
      <c r="G3364" s="163">
        <v>76.7</v>
      </c>
      <c r="H3364" s="163"/>
      <c r="I3364" s="174" t="s">
        <v>147</v>
      </c>
      <c r="J3364" s="173">
        <v>9167</v>
      </c>
      <c r="K3364" s="172">
        <v>44654</v>
      </c>
      <c r="L3364" s="174"/>
      <c r="M3364" s="161" t="s">
        <v>4421</v>
      </c>
      <c r="N3364" s="161"/>
      <c r="O3364" s="161"/>
      <c r="P3364" s="49"/>
      <c r="Q3364" s="166"/>
      <c r="R3364" s="151"/>
      <c r="S3364" s="151"/>
      <c r="T3364" s="94"/>
      <c r="V3364" s="151"/>
      <c r="W3364" s="151"/>
      <c r="X3364" s="156"/>
    </row>
    <row r="3365" spans="1:24">
      <c r="A3365" s="161" t="s">
        <v>81</v>
      </c>
      <c r="B3365" s="101" t="s">
        <v>882</v>
      </c>
      <c r="C3365" s="135" t="s">
        <v>883</v>
      </c>
      <c r="D3365" s="161" t="s">
        <v>7474</v>
      </c>
      <c r="E3365" s="161" t="s">
        <v>1640</v>
      </c>
      <c r="F3365" s="161" t="s">
        <v>4255</v>
      </c>
      <c r="G3365" s="163">
        <v>0</v>
      </c>
      <c r="H3365" s="163">
        <v>0</v>
      </c>
      <c r="I3365" s="174">
        <v>4.9</v>
      </c>
      <c r="J3365" s="173">
        <v>0</v>
      </c>
      <c r="K3365" s="172">
        <v>0</v>
      </c>
      <c r="L3365" s="174"/>
      <c r="M3365" s="161" t="s">
        <v>4421</v>
      </c>
      <c r="N3365" s="161"/>
      <c r="O3365" s="161"/>
      <c r="P3365" s="49"/>
      <c r="Q3365" s="166"/>
      <c r="R3365" s="151"/>
      <c r="S3365" s="151"/>
      <c r="T3365" s="94"/>
      <c r="V3365" s="151"/>
      <c r="W3365" s="151"/>
      <c r="X3365" s="156"/>
    </row>
    <row r="3366" spans="1:24">
      <c r="A3366" s="161" t="s">
        <v>81</v>
      </c>
      <c r="B3366" s="101" t="s">
        <v>882</v>
      </c>
      <c r="C3366" s="135" t="s">
        <v>4420</v>
      </c>
      <c r="D3366" s="161" t="s">
        <v>4420</v>
      </c>
      <c r="E3366" s="161" t="s">
        <v>1640</v>
      </c>
      <c r="F3366" s="161" t="s">
        <v>7451</v>
      </c>
      <c r="G3366" s="163">
        <v>0.8</v>
      </c>
      <c r="H3366" s="163">
        <v>0.8</v>
      </c>
      <c r="I3366" s="174">
        <v>4.9</v>
      </c>
      <c r="J3366" s="173">
        <v>472</v>
      </c>
      <c r="K3366" s="172">
        <v>472</v>
      </c>
      <c r="L3366" s="174"/>
      <c r="M3366" s="161" t="s">
        <v>4421</v>
      </c>
      <c r="N3366" s="161"/>
      <c r="O3366" s="161"/>
      <c r="P3366" s="49"/>
      <c r="Q3366" s="166"/>
      <c r="R3366" s="151"/>
      <c r="S3366" s="151"/>
      <c r="T3366" s="94"/>
      <c r="V3366" s="151"/>
      <c r="W3366" s="151"/>
      <c r="X3366" s="156"/>
    </row>
    <row r="3367" spans="1:24">
      <c r="A3367" s="161" t="s">
        <v>81</v>
      </c>
      <c r="B3367" s="101" t="s">
        <v>885</v>
      </c>
      <c r="C3367" s="135" t="s">
        <v>800</v>
      </c>
      <c r="D3367" s="161" t="s">
        <v>800</v>
      </c>
      <c r="E3367" s="161" t="s">
        <v>7081</v>
      </c>
      <c r="F3367" s="161"/>
      <c r="G3367" s="163">
        <v>0</v>
      </c>
      <c r="H3367" s="163">
        <v>0</v>
      </c>
      <c r="I3367" s="174">
        <v>4.9</v>
      </c>
      <c r="J3367" s="173">
        <v>0</v>
      </c>
      <c r="K3367" s="172">
        <v>0</v>
      </c>
      <c r="L3367" s="174"/>
      <c r="M3367" s="161" t="s">
        <v>6975</v>
      </c>
      <c r="N3367" s="161"/>
      <c r="O3367" s="161"/>
      <c r="P3367" s="49"/>
      <c r="Q3367" s="166"/>
      <c r="R3367" s="151"/>
      <c r="S3367" s="151"/>
      <c r="T3367" s="94"/>
      <c r="V3367" s="151"/>
      <c r="W3367" s="151"/>
      <c r="X3367" s="156"/>
    </row>
    <row r="3368" spans="1:24">
      <c r="A3368" s="161" t="s">
        <v>81</v>
      </c>
      <c r="B3368" s="101" t="s">
        <v>885</v>
      </c>
      <c r="C3368" s="84" t="s">
        <v>1811</v>
      </c>
      <c r="D3368" s="161" t="s">
        <v>1298</v>
      </c>
      <c r="E3368" s="161" t="s">
        <v>1640</v>
      </c>
      <c r="F3368" s="161" t="s">
        <v>7451</v>
      </c>
      <c r="G3368" s="163">
        <v>11.44</v>
      </c>
      <c r="H3368" s="163">
        <v>11.44</v>
      </c>
      <c r="I3368" s="174">
        <v>4.01</v>
      </c>
      <c r="J3368" s="173">
        <v>8979</v>
      </c>
      <c r="K3368" s="172">
        <v>8979</v>
      </c>
      <c r="L3368" s="174"/>
      <c r="M3368" s="161" t="s">
        <v>4843</v>
      </c>
      <c r="N3368" s="161" t="s">
        <v>1299</v>
      </c>
      <c r="O3368" s="161" t="s">
        <v>25</v>
      </c>
      <c r="P3368" s="49" t="s">
        <v>25</v>
      </c>
      <c r="Q3368" s="166"/>
      <c r="R3368" s="151"/>
      <c r="S3368" s="151"/>
      <c r="T3368" s="94"/>
      <c r="V3368" s="151"/>
      <c r="W3368" s="151"/>
      <c r="X3368" s="156"/>
    </row>
    <row r="3369" spans="1:24">
      <c r="A3369" s="161" t="s">
        <v>81</v>
      </c>
      <c r="B3369" s="101" t="s">
        <v>885</v>
      </c>
      <c r="C3369" s="135" t="s">
        <v>886</v>
      </c>
      <c r="D3369" s="161" t="s">
        <v>886</v>
      </c>
      <c r="E3369" s="161" t="s">
        <v>1640</v>
      </c>
      <c r="F3369" s="161" t="s">
        <v>7451</v>
      </c>
      <c r="G3369" s="163">
        <v>17.2</v>
      </c>
      <c r="H3369" s="163">
        <v>5.76</v>
      </c>
      <c r="I3369" s="174">
        <v>3.55</v>
      </c>
      <c r="J3369" s="173">
        <v>4521</v>
      </c>
      <c r="K3369" s="172">
        <v>13500</v>
      </c>
      <c r="L3369" s="174"/>
      <c r="M3369" s="161" t="s">
        <v>4421</v>
      </c>
      <c r="N3369" s="161"/>
      <c r="O3369" s="161"/>
      <c r="P3369" s="49"/>
      <c r="Q3369" s="166"/>
      <c r="R3369" s="151"/>
      <c r="S3369" s="151"/>
      <c r="T3369" s="94"/>
      <c r="V3369" s="151"/>
      <c r="W3369" s="151"/>
      <c r="X3369" s="156"/>
    </row>
    <row r="3370" ht="30" spans="1:24">
      <c r="A3370" s="161" t="s">
        <v>81</v>
      </c>
      <c r="B3370" s="101" t="s">
        <v>887</v>
      </c>
      <c r="C3370" s="135" t="s">
        <v>800</v>
      </c>
      <c r="D3370" s="161" t="s">
        <v>800</v>
      </c>
      <c r="E3370" s="161" t="s">
        <v>7081</v>
      </c>
      <c r="F3370" s="161"/>
      <c r="G3370" s="163">
        <v>0</v>
      </c>
      <c r="H3370" s="163">
        <v>0</v>
      </c>
      <c r="I3370" s="174">
        <v>4.9</v>
      </c>
      <c r="J3370" s="173">
        <v>0</v>
      </c>
      <c r="K3370" s="172">
        <v>0</v>
      </c>
      <c r="L3370" s="174"/>
      <c r="M3370" s="161" t="s">
        <v>6975</v>
      </c>
      <c r="N3370" s="161"/>
      <c r="O3370" s="161"/>
      <c r="P3370" s="49"/>
      <c r="Q3370" s="166"/>
      <c r="R3370" s="151"/>
      <c r="S3370" s="151"/>
      <c r="T3370" s="94"/>
      <c r="V3370" s="151"/>
      <c r="W3370" s="151"/>
      <c r="X3370" s="156"/>
    </row>
    <row r="3371" ht="30" spans="1:24">
      <c r="A3371" s="161" t="s">
        <v>81</v>
      </c>
      <c r="B3371" s="101" t="s">
        <v>887</v>
      </c>
      <c r="C3371" s="135" t="s">
        <v>886</v>
      </c>
      <c r="D3371" s="161" t="s">
        <v>886</v>
      </c>
      <c r="E3371" s="161" t="s">
        <v>1640</v>
      </c>
      <c r="F3371" s="161" t="s">
        <v>7451</v>
      </c>
      <c r="G3371" s="163">
        <v>16.94</v>
      </c>
      <c r="H3371" s="163">
        <v>16.94</v>
      </c>
      <c r="I3371" s="174">
        <v>3.55</v>
      </c>
      <c r="J3371" s="173">
        <v>19760</v>
      </c>
      <c r="K3371" s="172">
        <v>19760</v>
      </c>
      <c r="L3371" s="174"/>
      <c r="M3371" s="161" t="s">
        <v>4421</v>
      </c>
      <c r="N3371" s="161"/>
      <c r="O3371" s="161"/>
      <c r="P3371" s="49"/>
      <c r="Q3371" s="166"/>
      <c r="R3371" s="151"/>
      <c r="S3371" s="151"/>
      <c r="T3371" s="94"/>
      <c r="V3371" s="151"/>
      <c r="W3371" s="151"/>
      <c r="X3371" s="156"/>
    </row>
    <row r="3372" spans="1:18">
      <c r="A3372" s="49" t="s">
        <v>88</v>
      </c>
      <c r="B3372" s="195" t="s">
        <v>1019</v>
      </c>
      <c r="C3372" s="88" t="s">
        <v>1020</v>
      </c>
      <c r="D3372" s="161" t="s">
        <v>1020</v>
      </c>
      <c r="E3372" s="161" t="s">
        <v>2750</v>
      </c>
      <c r="F3372" s="161" t="s">
        <v>3809</v>
      </c>
      <c r="G3372" s="163">
        <v>0</v>
      </c>
      <c r="H3372" s="163">
        <v>0</v>
      </c>
      <c r="I3372" s="171"/>
      <c r="J3372" s="173">
        <v>0</v>
      </c>
      <c r="K3372" s="172">
        <v>0</v>
      </c>
      <c r="L3372" s="172"/>
      <c r="M3372" s="161" t="s">
        <v>7475</v>
      </c>
      <c r="N3372" s="161"/>
      <c r="O3372" s="161" t="s">
        <v>15</v>
      </c>
      <c r="P3372" s="49" t="s">
        <v>15</v>
      </c>
      <c r="Q3372" s="166" t="s">
        <v>7476</v>
      </c>
      <c r="R3372" s="151"/>
    </row>
    <row r="3373" spans="1:18">
      <c r="A3373" s="49" t="s">
        <v>88</v>
      </c>
      <c r="B3373" s="195" t="s">
        <v>1019</v>
      </c>
      <c r="C3373" s="88" t="s">
        <v>7477</v>
      </c>
      <c r="D3373" s="161" t="s">
        <v>7477</v>
      </c>
      <c r="E3373" s="161" t="s">
        <v>2750</v>
      </c>
      <c r="F3373" s="161" t="s">
        <v>3809</v>
      </c>
      <c r="G3373" s="163">
        <v>14.89</v>
      </c>
      <c r="H3373" s="163">
        <f>G3373-G3372</f>
        <v>14.89</v>
      </c>
      <c r="I3373" s="171"/>
      <c r="J3373" s="173">
        <v>9031</v>
      </c>
      <c r="K3373" s="172">
        <v>9031</v>
      </c>
      <c r="L3373" s="172"/>
      <c r="M3373" s="161" t="s">
        <v>7475</v>
      </c>
      <c r="N3373" s="161"/>
      <c r="O3373" s="161" t="s">
        <v>15</v>
      </c>
      <c r="P3373" s="49" t="s">
        <v>15</v>
      </c>
      <c r="Q3373" s="166" t="s">
        <v>7478</v>
      </c>
      <c r="R3373" s="151"/>
    </row>
    <row r="3374" spans="1:18">
      <c r="A3374" s="49" t="s">
        <v>88</v>
      </c>
      <c r="B3374" s="195" t="s">
        <v>1019</v>
      </c>
      <c r="C3374" s="88" t="s">
        <v>1023</v>
      </c>
      <c r="D3374" s="161" t="s">
        <v>1023</v>
      </c>
      <c r="E3374" s="161" t="s">
        <v>2750</v>
      </c>
      <c r="F3374" s="161" t="s">
        <v>3809</v>
      </c>
      <c r="G3374" s="163">
        <v>37.83</v>
      </c>
      <c r="H3374" s="163">
        <f t="shared" ref="H3374:H3383" si="255">G3374-G3373</f>
        <v>22.94</v>
      </c>
      <c r="I3374" s="171"/>
      <c r="J3374" s="173">
        <v>14123</v>
      </c>
      <c r="K3374" s="172">
        <v>23154</v>
      </c>
      <c r="L3374" s="172"/>
      <c r="M3374" s="161" t="s">
        <v>7475</v>
      </c>
      <c r="N3374" s="161"/>
      <c r="O3374" s="161" t="s">
        <v>15</v>
      </c>
      <c r="P3374" s="49" t="s">
        <v>15</v>
      </c>
      <c r="Q3374" s="166" t="s">
        <v>7479</v>
      </c>
      <c r="R3374" s="151"/>
    </row>
    <row r="3375" spans="1:18">
      <c r="A3375" s="49" t="s">
        <v>88</v>
      </c>
      <c r="B3375" s="195" t="s">
        <v>1019</v>
      </c>
      <c r="C3375" s="88" t="s">
        <v>7480</v>
      </c>
      <c r="D3375" s="161" t="s">
        <v>7481</v>
      </c>
      <c r="E3375" s="161" t="s">
        <v>2750</v>
      </c>
      <c r="F3375" s="161" t="s">
        <v>3809</v>
      </c>
      <c r="G3375" s="163">
        <v>46.22</v>
      </c>
      <c r="H3375" s="163">
        <f t="shared" si="255"/>
        <v>8.39</v>
      </c>
      <c r="I3375" s="171"/>
      <c r="J3375" s="173">
        <v>5089</v>
      </c>
      <c r="K3375" s="172">
        <v>28243</v>
      </c>
      <c r="L3375" s="172"/>
      <c r="M3375" s="161" t="s">
        <v>7475</v>
      </c>
      <c r="N3375" s="161" t="s">
        <v>1299</v>
      </c>
      <c r="O3375" s="161" t="s">
        <v>25</v>
      </c>
      <c r="P3375" s="49" t="s">
        <v>25</v>
      </c>
      <c r="Q3375" s="166" t="s">
        <v>7482</v>
      </c>
      <c r="R3375" s="151"/>
    </row>
    <row r="3376" spans="1:18">
      <c r="A3376" s="49" t="s">
        <v>88</v>
      </c>
      <c r="B3376" s="195" t="s">
        <v>1019</v>
      </c>
      <c r="C3376" s="88" t="s">
        <v>7483</v>
      </c>
      <c r="D3376" s="161" t="s">
        <v>7484</v>
      </c>
      <c r="E3376" s="161" t="s">
        <v>2750</v>
      </c>
      <c r="F3376" s="161" t="s">
        <v>3809</v>
      </c>
      <c r="G3376" s="163">
        <v>55.58</v>
      </c>
      <c r="H3376" s="163">
        <f t="shared" si="255"/>
        <v>9.36</v>
      </c>
      <c r="I3376" s="171"/>
      <c r="J3376" s="173">
        <v>5561</v>
      </c>
      <c r="K3376" s="172">
        <v>33805</v>
      </c>
      <c r="L3376" s="172"/>
      <c r="M3376" s="161" t="s">
        <v>7475</v>
      </c>
      <c r="N3376" s="161" t="s">
        <v>1299</v>
      </c>
      <c r="O3376" s="161" t="s">
        <v>25</v>
      </c>
      <c r="P3376" s="49" t="s">
        <v>25</v>
      </c>
      <c r="Q3376" s="166" t="s">
        <v>7485</v>
      </c>
      <c r="R3376" s="151"/>
    </row>
    <row r="3377" spans="1:18">
      <c r="A3377" s="49" t="s">
        <v>88</v>
      </c>
      <c r="B3377" s="195" t="s">
        <v>1019</v>
      </c>
      <c r="C3377" s="88" t="s">
        <v>1027</v>
      </c>
      <c r="D3377" s="161" t="s">
        <v>1027</v>
      </c>
      <c r="E3377" s="161" t="s">
        <v>2750</v>
      </c>
      <c r="F3377" s="161" t="s">
        <v>3809</v>
      </c>
      <c r="G3377" s="163">
        <v>74.37</v>
      </c>
      <c r="H3377" s="163">
        <f t="shared" si="255"/>
        <v>18.79</v>
      </c>
      <c r="I3377" s="171"/>
      <c r="J3377" s="173">
        <v>11397</v>
      </c>
      <c r="K3377" s="172">
        <v>45201</v>
      </c>
      <c r="L3377" s="172"/>
      <c r="M3377" s="161" t="s">
        <v>7475</v>
      </c>
      <c r="N3377" s="161"/>
      <c r="O3377" s="161" t="s">
        <v>15</v>
      </c>
      <c r="P3377" s="49" t="s">
        <v>15</v>
      </c>
      <c r="Q3377" s="166" t="s">
        <v>7486</v>
      </c>
      <c r="R3377" s="151"/>
    </row>
    <row r="3378" spans="1:18">
      <c r="A3378" s="49" t="s">
        <v>88</v>
      </c>
      <c r="B3378" s="195" t="s">
        <v>1019</v>
      </c>
      <c r="C3378" s="88" t="s">
        <v>7487</v>
      </c>
      <c r="D3378" s="161" t="s">
        <v>7488</v>
      </c>
      <c r="E3378" s="161" t="s">
        <v>2750</v>
      </c>
      <c r="F3378" s="161" t="s">
        <v>3809</v>
      </c>
      <c r="G3378" s="163">
        <v>91.18</v>
      </c>
      <c r="H3378" s="163">
        <f t="shared" si="255"/>
        <v>16.81</v>
      </c>
      <c r="I3378" s="171"/>
      <c r="J3378" s="173">
        <v>10196</v>
      </c>
      <c r="K3378" s="172">
        <v>55397</v>
      </c>
      <c r="L3378" s="172"/>
      <c r="M3378" s="161" t="s">
        <v>7475</v>
      </c>
      <c r="N3378" s="161" t="s">
        <v>1299</v>
      </c>
      <c r="O3378" s="161" t="s">
        <v>25</v>
      </c>
      <c r="P3378" s="49" t="s">
        <v>25</v>
      </c>
      <c r="Q3378" s="166" t="s">
        <v>7489</v>
      </c>
      <c r="R3378" s="151"/>
    </row>
    <row r="3379" spans="1:18">
      <c r="A3379" s="49" t="s">
        <v>88</v>
      </c>
      <c r="B3379" s="195" t="s">
        <v>1019</v>
      </c>
      <c r="C3379" s="88" t="s">
        <v>7490</v>
      </c>
      <c r="D3379" s="161" t="s">
        <v>7490</v>
      </c>
      <c r="E3379" s="161" t="s">
        <v>2750</v>
      </c>
      <c r="F3379" s="161" t="s">
        <v>3809</v>
      </c>
      <c r="G3379" s="163">
        <v>107.43</v>
      </c>
      <c r="H3379" s="163">
        <f t="shared" si="255"/>
        <v>16.25</v>
      </c>
      <c r="I3379" s="171"/>
      <c r="J3379" s="173">
        <v>9856</v>
      </c>
      <c r="K3379" s="172">
        <v>65253</v>
      </c>
      <c r="L3379" s="172"/>
      <c r="M3379" s="161" t="s">
        <v>7475</v>
      </c>
      <c r="N3379" s="161"/>
      <c r="O3379" s="161" t="s">
        <v>15</v>
      </c>
      <c r="P3379" s="49" t="s">
        <v>15</v>
      </c>
      <c r="Q3379" s="166" t="s">
        <v>7491</v>
      </c>
      <c r="R3379" s="151"/>
    </row>
    <row r="3380" spans="1:18">
      <c r="A3380" s="49" t="s">
        <v>88</v>
      </c>
      <c r="B3380" s="195" t="s">
        <v>1019</v>
      </c>
      <c r="C3380" s="88" t="s">
        <v>7492</v>
      </c>
      <c r="D3380" s="161" t="s">
        <v>7492</v>
      </c>
      <c r="E3380" s="161" t="s">
        <v>2750</v>
      </c>
      <c r="F3380" s="161" t="s">
        <v>3809</v>
      </c>
      <c r="G3380" s="163">
        <v>114.6</v>
      </c>
      <c r="H3380" s="163">
        <f t="shared" si="255"/>
        <v>7.16999999999999</v>
      </c>
      <c r="I3380" s="171">
        <v>4.5</v>
      </c>
      <c r="J3380" s="173">
        <v>4260</v>
      </c>
      <c r="K3380" s="172">
        <v>69513</v>
      </c>
      <c r="L3380" s="172"/>
      <c r="M3380" s="161" t="s">
        <v>7475</v>
      </c>
      <c r="N3380" s="161"/>
      <c r="O3380" s="161" t="s">
        <v>14</v>
      </c>
      <c r="P3380" s="49" t="s">
        <v>14</v>
      </c>
      <c r="Q3380" s="166" t="s">
        <v>7493</v>
      </c>
      <c r="R3380" s="151"/>
    </row>
    <row r="3381" spans="1:18">
      <c r="A3381" s="49" t="s">
        <v>88</v>
      </c>
      <c r="B3381" s="195" t="s">
        <v>1019</v>
      </c>
      <c r="C3381" s="88" t="s">
        <v>7494</v>
      </c>
      <c r="D3381" s="161" t="s">
        <v>7495</v>
      </c>
      <c r="E3381" s="161" t="s">
        <v>2750</v>
      </c>
      <c r="F3381" s="161" t="s">
        <v>3809</v>
      </c>
      <c r="G3381" s="163">
        <v>123.08</v>
      </c>
      <c r="H3381" s="163">
        <f t="shared" si="255"/>
        <v>8.48</v>
      </c>
      <c r="I3381" s="171">
        <v>5.15</v>
      </c>
      <c r="J3381" s="173">
        <v>5039</v>
      </c>
      <c r="K3381" s="172">
        <v>74552</v>
      </c>
      <c r="L3381" s="172"/>
      <c r="M3381" s="161" t="s">
        <v>7475</v>
      </c>
      <c r="N3381" s="161" t="s">
        <v>1299</v>
      </c>
      <c r="O3381" s="161" t="s">
        <v>25</v>
      </c>
      <c r="P3381" s="49" t="s">
        <v>25</v>
      </c>
      <c r="Q3381" s="166" t="s">
        <v>7496</v>
      </c>
      <c r="R3381" s="151"/>
    </row>
    <row r="3382" spans="1:18">
      <c r="A3382" s="49" t="s">
        <v>88</v>
      </c>
      <c r="B3382" s="195" t="s">
        <v>1019</v>
      </c>
      <c r="C3382" s="88" t="s">
        <v>7497</v>
      </c>
      <c r="D3382" s="161" t="s">
        <v>7498</v>
      </c>
      <c r="E3382" s="161" t="s">
        <v>2750</v>
      </c>
      <c r="F3382" s="161" t="s">
        <v>3809</v>
      </c>
      <c r="G3382" s="163">
        <v>133.68</v>
      </c>
      <c r="H3382" s="163">
        <f t="shared" si="255"/>
        <v>10.6</v>
      </c>
      <c r="I3382" s="171">
        <v>10.65</v>
      </c>
      <c r="J3382" s="173">
        <v>6298</v>
      </c>
      <c r="K3382" s="172">
        <v>80850</v>
      </c>
      <c r="L3382" s="172"/>
      <c r="M3382" s="161" t="s">
        <v>7475</v>
      </c>
      <c r="N3382" s="161" t="s">
        <v>1299</v>
      </c>
      <c r="O3382" s="161" t="s">
        <v>25</v>
      </c>
      <c r="P3382" s="49" t="s">
        <v>25</v>
      </c>
      <c r="Q3382" s="166" t="s">
        <v>7499</v>
      </c>
      <c r="R3382" s="151"/>
    </row>
    <row r="3383" spans="1:18">
      <c r="A3383" s="49" t="s">
        <v>88</v>
      </c>
      <c r="B3383" s="195" t="s">
        <v>1019</v>
      </c>
      <c r="C3383" s="88" t="s">
        <v>1016</v>
      </c>
      <c r="D3383" s="161" t="s">
        <v>1016</v>
      </c>
      <c r="E3383" s="161" t="s">
        <v>2750</v>
      </c>
      <c r="F3383" s="161" t="s">
        <v>3809</v>
      </c>
      <c r="G3383" s="163">
        <v>150.18</v>
      </c>
      <c r="H3383" s="163">
        <f t="shared" si="255"/>
        <v>16.5</v>
      </c>
      <c r="I3383" s="171">
        <v>30.6</v>
      </c>
      <c r="J3383" s="173">
        <v>10008</v>
      </c>
      <c r="K3383" s="172">
        <v>90857</v>
      </c>
      <c r="L3383" s="172"/>
      <c r="M3383" s="161" t="s">
        <v>7475</v>
      </c>
      <c r="N3383" s="161"/>
      <c r="O3383" s="161" t="s">
        <v>15</v>
      </c>
      <c r="P3383" s="49" t="s">
        <v>15</v>
      </c>
      <c r="Q3383" s="166" t="s">
        <v>7500</v>
      </c>
      <c r="R3383" s="151"/>
    </row>
    <row r="3384" spans="1:18">
      <c r="A3384" s="49" t="s">
        <v>88</v>
      </c>
      <c r="B3384" s="195" t="s">
        <v>1022</v>
      </c>
      <c r="C3384" s="135" t="s">
        <v>1023</v>
      </c>
      <c r="D3384" s="161" t="s">
        <v>1023</v>
      </c>
      <c r="E3384" s="161" t="s">
        <v>2750</v>
      </c>
      <c r="F3384" s="161" t="s">
        <v>3809</v>
      </c>
      <c r="G3384" s="171">
        <v>0</v>
      </c>
      <c r="H3384" s="171">
        <v>0</v>
      </c>
      <c r="I3384" s="171">
        <v>34</v>
      </c>
      <c r="J3384" s="173">
        <v>0</v>
      </c>
      <c r="K3384" s="172">
        <v>0</v>
      </c>
      <c r="L3384" s="172"/>
      <c r="M3384" s="161" t="s">
        <v>7475</v>
      </c>
      <c r="N3384" s="161"/>
      <c r="O3384" s="161"/>
      <c r="P3384" s="49"/>
      <c r="Q3384" s="166" t="s">
        <v>7479</v>
      </c>
      <c r="R3384" s="151"/>
    </row>
    <row r="3385" spans="1:18">
      <c r="A3385" s="49" t="s">
        <v>88</v>
      </c>
      <c r="B3385" s="195" t="s">
        <v>1022</v>
      </c>
      <c r="C3385" s="88" t="s">
        <v>1024</v>
      </c>
      <c r="D3385" s="161" t="s">
        <v>1024</v>
      </c>
      <c r="E3385" s="161" t="s">
        <v>2750</v>
      </c>
      <c r="F3385" s="161" t="s">
        <v>3809</v>
      </c>
      <c r="G3385" s="171">
        <v>14.1</v>
      </c>
      <c r="H3385" s="171">
        <v>14.1</v>
      </c>
      <c r="I3385" s="171">
        <v>36</v>
      </c>
      <c r="J3385" s="173">
        <v>1054</v>
      </c>
      <c r="K3385" s="172">
        <v>1054</v>
      </c>
      <c r="L3385" s="172"/>
      <c r="M3385" s="161" t="s">
        <v>7475</v>
      </c>
      <c r="N3385" s="161"/>
      <c r="O3385" s="161" t="s">
        <v>14</v>
      </c>
      <c r="P3385" s="49" t="s">
        <v>14</v>
      </c>
      <c r="Q3385" s="166" t="s">
        <v>7501</v>
      </c>
      <c r="R3385" s="151"/>
    </row>
    <row r="3386" spans="1:18">
      <c r="A3386" s="49" t="s">
        <v>88</v>
      </c>
      <c r="B3386" s="195" t="s">
        <v>1026</v>
      </c>
      <c r="C3386" s="135" t="s">
        <v>1027</v>
      </c>
      <c r="D3386" s="161" t="s">
        <v>1027</v>
      </c>
      <c r="E3386" s="161" t="s">
        <v>2750</v>
      </c>
      <c r="F3386" s="161" t="s">
        <v>3809</v>
      </c>
      <c r="G3386" s="163">
        <v>0</v>
      </c>
      <c r="H3386" s="163">
        <v>0</v>
      </c>
      <c r="I3386" s="171">
        <v>60.5</v>
      </c>
      <c r="J3386" s="173">
        <v>0</v>
      </c>
      <c r="K3386" s="172">
        <v>0</v>
      </c>
      <c r="L3386" s="172"/>
      <c r="M3386" s="161" t="s">
        <v>7475</v>
      </c>
      <c r="N3386" s="161"/>
      <c r="O3386" s="161"/>
      <c r="P3386" s="49"/>
      <c r="Q3386" s="166" t="s">
        <v>7486</v>
      </c>
      <c r="R3386" s="151"/>
    </row>
    <row r="3387" spans="1:18">
      <c r="A3387" s="49" t="s">
        <v>88</v>
      </c>
      <c r="B3387" s="195" t="s">
        <v>1026</v>
      </c>
      <c r="C3387" s="88" t="s">
        <v>1028</v>
      </c>
      <c r="D3387" s="161" t="s">
        <v>1028</v>
      </c>
      <c r="E3387" s="161" t="s">
        <v>2750</v>
      </c>
      <c r="F3387" s="161" t="s">
        <v>3809</v>
      </c>
      <c r="G3387" s="163">
        <v>15</v>
      </c>
      <c r="H3387" s="163">
        <v>15</v>
      </c>
      <c r="I3387" s="171">
        <v>3.55</v>
      </c>
      <c r="J3387" s="173">
        <v>1129</v>
      </c>
      <c r="K3387" s="172">
        <v>1129</v>
      </c>
      <c r="L3387" s="172"/>
      <c r="M3387" s="161" t="s">
        <v>7475</v>
      </c>
      <c r="N3387" s="161"/>
      <c r="O3387" s="161" t="s">
        <v>15</v>
      </c>
      <c r="P3387" s="49" t="s">
        <v>15</v>
      </c>
      <c r="Q3387" s="166" t="s">
        <v>7502</v>
      </c>
      <c r="R3387" s="151"/>
    </row>
    <row r="3388" spans="1:18">
      <c r="A3388" s="49" t="s">
        <v>83</v>
      </c>
      <c r="B3388" s="195" t="s">
        <v>888</v>
      </c>
      <c r="C3388" s="38" t="s">
        <v>889</v>
      </c>
      <c r="D3388" s="161" t="s">
        <v>889</v>
      </c>
      <c r="E3388" s="161" t="s">
        <v>1689</v>
      </c>
      <c r="F3388" s="161" t="s">
        <v>7451</v>
      </c>
      <c r="G3388" s="163">
        <v>0</v>
      </c>
      <c r="H3388" s="163">
        <v>0</v>
      </c>
      <c r="I3388" s="171">
        <v>6.2</v>
      </c>
      <c r="J3388" s="173">
        <v>0</v>
      </c>
      <c r="K3388" s="172">
        <v>0</v>
      </c>
      <c r="L3388" s="172"/>
      <c r="M3388" s="161" t="s">
        <v>7503</v>
      </c>
      <c r="N3388" s="161"/>
      <c r="O3388" s="161" t="s">
        <v>15</v>
      </c>
      <c r="P3388" s="49" t="s">
        <v>15</v>
      </c>
      <c r="Q3388" s="166"/>
      <c r="R3388" s="151"/>
    </row>
    <row r="3389" spans="1:18">
      <c r="A3389" s="49" t="s">
        <v>83</v>
      </c>
      <c r="B3389" s="195" t="s">
        <v>888</v>
      </c>
      <c r="C3389" s="38" t="s">
        <v>7504</v>
      </c>
      <c r="D3389" s="161" t="e">
        <v>#N/A</v>
      </c>
      <c r="E3389" s="161" t="s">
        <v>1689</v>
      </c>
      <c r="F3389" s="161" t="s">
        <v>7451</v>
      </c>
      <c r="G3389" s="163">
        <v>12.25</v>
      </c>
      <c r="H3389" s="163">
        <f t="shared" ref="H3389:H3397" si="256">G3389-G3388</f>
        <v>12.25</v>
      </c>
      <c r="I3389" s="171">
        <v>2.9</v>
      </c>
      <c r="J3389" s="171">
        <v>13172.5843603071</v>
      </c>
      <c r="K3389" s="173">
        <f>K3388+J3389</f>
        <v>13172.5843603071</v>
      </c>
      <c r="L3389" s="172"/>
      <c r="M3389" s="161" t="s">
        <v>7503</v>
      </c>
      <c r="N3389" s="161"/>
      <c r="O3389" s="161" t="s">
        <v>25</v>
      </c>
      <c r="P3389" s="49" t="s">
        <v>25</v>
      </c>
      <c r="Q3389" s="166" t="e">
        <v>#N/A</v>
      </c>
      <c r="R3389" s="151"/>
    </row>
    <row r="3390" spans="1:18">
      <c r="A3390" s="49" t="s">
        <v>83</v>
      </c>
      <c r="B3390" s="195" t="s">
        <v>888</v>
      </c>
      <c r="C3390" s="38" t="s">
        <v>4128</v>
      </c>
      <c r="D3390" s="161" t="s">
        <v>4128</v>
      </c>
      <c r="E3390" s="161" t="s">
        <v>1689</v>
      </c>
      <c r="F3390" s="161" t="s">
        <v>7451</v>
      </c>
      <c r="G3390" s="163">
        <v>16.68</v>
      </c>
      <c r="H3390" s="163">
        <f t="shared" si="256"/>
        <v>4.43</v>
      </c>
      <c r="I3390" s="171">
        <v>1.23</v>
      </c>
      <c r="J3390" s="171">
        <v>4674.14283752834</v>
      </c>
      <c r="K3390" s="173">
        <f t="shared" ref="K3390:K3421" si="257">K3389+J3390</f>
        <v>17846.7271978354</v>
      </c>
      <c r="L3390" s="172"/>
      <c r="M3390" s="161" t="s">
        <v>7503</v>
      </c>
      <c r="N3390" s="161"/>
      <c r="O3390" s="161" t="s">
        <v>15</v>
      </c>
      <c r="P3390" s="49" t="s">
        <v>15</v>
      </c>
      <c r="Q3390" s="166"/>
      <c r="R3390" s="151"/>
    </row>
    <row r="3391" spans="1:18">
      <c r="A3391" s="49" t="s">
        <v>83</v>
      </c>
      <c r="B3391" s="195" t="s">
        <v>888</v>
      </c>
      <c r="C3391" s="38" t="s">
        <v>1811</v>
      </c>
      <c r="D3391" s="161" t="s">
        <v>1298</v>
      </c>
      <c r="E3391" s="161" t="s">
        <v>1689</v>
      </c>
      <c r="F3391" s="161" t="s">
        <v>7505</v>
      </c>
      <c r="G3391" s="163">
        <v>33.36</v>
      </c>
      <c r="H3391" s="163">
        <f t="shared" si="256"/>
        <v>16.68</v>
      </c>
      <c r="I3391" s="171">
        <v>2.9</v>
      </c>
      <c r="J3391" s="171">
        <v>18096.1562765158</v>
      </c>
      <c r="K3391" s="173">
        <f t="shared" si="257"/>
        <v>35942.8834743512</v>
      </c>
      <c r="L3391" s="172"/>
      <c r="M3391" s="161" t="s">
        <v>7503</v>
      </c>
      <c r="N3391" s="161" t="s">
        <v>1299</v>
      </c>
      <c r="O3391" s="161" t="s">
        <v>25</v>
      </c>
      <c r="P3391" s="49" t="s">
        <v>25</v>
      </c>
      <c r="Q3391" s="166"/>
      <c r="R3391" s="151"/>
    </row>
    <row r="3392" spans="1:18">
      <c r="A3392" s="49" t="s">
        <v>83</v>
      </c>
      <c r="B3392" s="195" t="s">
        <v>888</v>
      </c>
      <c r="C3392" s="38" t="s">
        <v>1815</v>
      </c>
      <c r="D3392" s="161" t="s">
        <v>1302</v>
      </c>
      <c r="E3392" s="161" t="s">
        <v>1689</v>
      </c>
      <c r="F3392" s="161" t="s">
        <v>7505</v>
      </c>
      <c r="G3392" s="163">
        <v>50.24</v>
      </c>
      <c r="H3392" s="163">
        <f t="shared" si="256"/>
        <v>16.88</v>
      </c>
      <c r="I3392" s="171">
        <v>3.1</v>
      </c>
      <c r="J3392" s="171">
        <v>18529.5971454144</v>
      </c>
      <c r="K3392" s="173">
        <f t="shared" si="257"/>
        <v>54472.4806197656</v>
      </c>
      <c r="L3392" s="172"/>
      <c r="M3392" s="161" t="s">
        <v>7503</v>
      </c>
      <c r="N3392" s="161" t="s">
        <v>1299</v>
      </c>
      <c r="O3392" s="161" t="s">
        <v>25</v>
      </c>
      <c r="P3392" s="49" t="s">
        <v>25</v>
      </c>
      <c r="Q3392" s="166"/>
      <c r="R3392" s="151"/>
    </row>
    <row r="3393" spans="1:18">
      <c r="A3393" s="49" t="s">
        <v>83</v>
      </c>
      <c r="B3393" s="195" t="s">
        <v>888</v>
      </c>
      <c r="C3393" s="38" t="s">
        <v>1210</v>
      </c>
      <c r="D3393" s="161" t="s">
        <v>1305</v>
      </c>
      <c r="E3393" s="161" t="s">
        <v>1689</v>
      </c>
      <c r="F3393" s="161" t="s">
        <v>7505</v>
      </c>
      <c r="G3393" s="163">
        <v>60.98</v>
      </c>
      <c r="H3393" s="163">
        <f t="shared" si="256"/>
        <v>10.74</v>
      </c>
      <c r="I3393" s="171">
        <v>3.9</v>
      </c>
      <c r="J3393" s="171">
        <v>11811.2636774863</v>
      </c>
      <c r="K3393" s="173">
        <f t="shared" si="257"/>
        <v>66283.7442972519</v>
      </c>
      <c r="L3393" s="172"/>
      <c r="M3393" s="161" t="s">
        <v>7503</v>
      </c>
      <c r="N3393" s="161" t="s">
        <v>1299</v>
      </c>
      <c r="O3393" s="161" t="s">
        <v>25</v>
      </c>
      <c r="P3393" s="49" t="s">
        <v>25</v>
      </c>
      <c r="Q3393" s="166"/>
      <c r="R3393" s="151"/>
    </row>
    <row r="3394" spans="1:18">
      <c r="A3394" s="49" t="s">
        <v>83</v>
      </c>
      <c r="B3394" s="195" t="s">
        <v>888</v>
      </c>
      <c r="C3394" s="38" t="s">
        <v>7506</v>
      </c>
      <c r="D3394" s="161" t="s">
        <v>7506</v>
      </c>
      <c r="E3394" s="161" t="s">
        <v>1689</v>
      </c>
      <c r="F3394" s="161" t="s">
        <v>7507</v>
      </c>
      <c r="G3394" s="163">
        <v>72.04</v>
      </c>
      <c r="H3394" s="163">
        <f t="shared" si="256"/>
        <v>11.06</v>
      </c>
      <c r="I3394" s="171">
        <v>0.8</v>
      </c>
      <c r="J3394" s="171">
        <v>12136.3443291603</v>
      </c>
      <c r="K3394" s="173">
        <f t="shared" si="257"/>
        <v>78420.0886264123</v>
      </c>
      <c r="L3394" s="172"/>
      <c r="M3394" s="161" t="s">
        <v>7503</v>
      </c>
      <c r="N3394" s="161"/>
      <c r="O3394" s="161" t="s">
        <v>15</v>
      </c>
      <c r="P3394" s="49" t="s">
        <v>15</v>
      </c>
      <c r="Q3394" s="166"/>
      <c r="R3394" s="151"/>
    </row>
    <row r="3395" spans="1:18">
      <c r="A3395" s="49" t="s">
        <v>83</v>
      </c>
      <c r="B3395" s="195" t="s">
        <v>888</v>
      </c>
      <c r="C3395" s="38" t="s">
        <v>1820</v>
      </c>
      <c r="D3395" s="161" t="s">
        <v>1307</v>
      </c>
      <c r="E3395" s="161" t="s">
        <v>1689</v>
      </c>
      <c r="F3395" s="161" t="s">
        <v>7507</v>
      </c>
      <c r="G3395" s="163">
        <v>89.05</v>
      </c>
      <c r="H3395" s="163">
        <f t="shared" si="256"/>
        <v>17.01</v>
      </c>
      <c r="I3395" s="171">
        <v>1.6</v>
      </c>
      <c r="J3395" s="171">
        <v>10189.9431511782</v>
      </c>
      <c r="K3395" s="173">
        <f t="shared" si="257"/>
        <v>88610.0317775905</v>
      </c>
      <c r="L3395" s="172"/>
      <c r="M3395" s="161" t="s">
        <v>7503</v>
      </c>
      <c r="N3395" s="161" t="s">
        <v>1299</v>
      </c>
      <c r="O3395" s="161" t="s">
        <v>25</v>
      </c>
      <c r="P3395" s="49" t="s">
        <v>25</v>
      </c>
      <c r="Q3395" s="166"/>
      <c r="R3395" s="151"/>
    </row>
    <row r="3396" spans="1:18">
      <c r="A3396" s="49" t="s">
        <v>83</v>
      </c>
      <c r="B3396" s="195" t="s">
        <v>888</v>
      </c>
      <c r="C3396" s="101" t="s">
        <v>5627</v>
      </c>
      <c r="D3396" s="161" t="s">
        <v>5627</v>
      </c>
      <c r="E3396" s="161" t="s">
        <v>1689</v>
      </c>
      <c r="F3396" s="161" t="s">
        <v>7507</v>
      </c>
      <c r="G3396" s="163">
        <v>103.35</v>
      </c>
      <c r="H3396" s="163">
        <f t="shared" si="256"/>
        <v>14.3</v>
      </c>
      <c r="I3396" s="171">
        <v>2</v>
      </c>
      <c r="J3396" s="171">
        <v>8589</v>
      </c>
      <c r="K3396" s="173">
        <f t="shared" si="257"/>
        <v>97199.0317775905</v>
      </c>
      <c r="L3396" s="172"/>
      <c r="M3396" s="161" t="s">
        <v>7503</v>
      </c>
      <c r="N3396" s="161"/>
      <c r="O3396" s="161"/>
      <c r="P3396" s="49"/>
      <c r="Q3396" s="166"/>
      <c r="R3396" s="151"/>
    </row>
    <row r="3397" spans="1:18">
      <c r="A3397" s="49" t="s">
        <v>83</v>
      </c>
      <c r="B3397" s="195" t="s">
        <v>888</v>
      </c>
      <c r="C3397" s="38" t="s">
        <v>741</v>
      </c>
      <c r="D3397" s="161" t="s">
        <v>1311</v>
      </c>
      <c r="E3397" s="161" t="s">
        <v>1689</v>
      </c>
      <c r="F3397" s="161" t="s">
        <v>7507</v>
      </c>
      <c r="G3397" s="163">
        <v>105.82</v>
      </c>
      <c r="H3397" s="163">
        <f t="shared" si="256"/>
        <v>2.47</v>
      </c>
      <c r="I3397" s="171">
        <v>3.31</v>
      </c>
      <c r="J3397" s="171">
        <v>1483</v>
      </c>
      <c r="K3397" s="173">
        <f t="shared" si="257"/>
        <v>98682.0317775905</v>
      </c>
      <c r="L3397" s="172"/>
      <c r="M3397" s="161" t="s">
        <v>7503</v>
      </c>
      <c r="N3397" s="161" t="s">
        <v>1299</v>
      </c>
      <c r="O3397" s="161" t="s">
        <v>25</v>
      </c>
      <c r="P3397" s="49" t="s">
        <v>25</v>
      </c>
      <c r="Q3397" s="166"/>
      <c r="R3397" s="151"/>
    </row>
    <row r="3398" spans="1:18">
      <c r="A3398" s="49" t="s">
        <v>83</v>
      </c>
      <c r="B3398" s="195" t="s">
        <v>888</v>
      </c>
      <c r="C3398" s="38" t="s">
        <v>1848</v>
      </c>
      <c r="D3398" s="161" t="s">
        <v>1318</v>
      </c>
      <c r="E3398" s="161" t="s">
        <v>1689</v>
      </c>
      <c r="F3398" s="161" t="s">
        <v>7507</v>
      </c>
      <c r="G3398" s="163">
        <v>128.28</v>
      </c>
      <c r="H3398" s="163">
        <f t="shared" ref="H3398:H3421" si="258">G3398-G3397</f>
        <v>22.46</v>
      </c>
      <c r="I3398" s="171">
        <v>3.97</v>
      </c>
      <c r="J3398" s="171">
        <v>13370.6190480778</v>
      </c>
      <c r="K3398" s="173">
        <f t="shared" si="257"/>
        <v>112052.650825668</v>
      </c>
      <c r="L3398" s="172"/>
      <c r="M3398" s="161" t="s">
        <v>7503</v>
      </c>
      <c r="N3398" s="161" t="s">
        <v>1299</v>
      </c>
      <c r="O3398" s="161" t="s">
        <v>25</v>
      </c>
      <c r="P3398" s="49" t="s">
        <v>25</v>
      </c>
      <c r="Q3398" s="166"/>
      <c r="R3398" s="151"/>
    </row>
    <row r="3399" spans="1:18">
      <c r="A3399" s="49" t="s">
        <v>83</v>
      </c>
      <c r="B3399" s="195" t="s">
        <v>888</v>
      </c>
      <c r="C3399" s="38" t="s">
        <v>1851</v>
      </c>
      <c r="D3399" s="161" t="s">
        <v>1321</v>
      </c>
      <c r="E3399" s="161" t="s">
        <v>1689</v>
      </c>
      <c r="F3399" s="161" t="s">
        <v>7508</v>
      </c>
      <c r="G3399" s="163">
        <v>144.76</v>
      </c>
      <c r="H3399" s="163">
        <f t="shared" si="258"/>
        <v>16.48</v>
      </c>
      <c r="I3399" s="171">
        <v>3.49</v>
      </c>
      <c r="J3399" s="171">
        <v>9836.53471818938</v>
      </c>
      <c r="K3399" s="173">
        <f t="shared" si="257"/>
        <v>121889.185543858</v>
      </c>
      <c r="L3399" s="172"/>
      <c r="M3399" s="161" t="s">
        <v>7503</v>
      </c>
      <c r="N3399" s="161" t="s">
        <v>1299</v>
      </c>
      <c r="O3399" s="161" t="s">
        <v>25</v>
      </c>
      <c r="P3399" s="49" t="s">
        <v>25</v>
      </c>
      <c r="Q3399" s="166"/>
      <c r="R3399" s="151"/>
    </row>
    <row r="3400" spans="1:18">
      <c r="A3400" s="49" t="s">
        <v>83</v>
      </c>
      <c r="B3400" s="195" t="s">
        <v>888</v>
      </c>
      <c r="C3400" s="38" t="s">
        <v>1933</v>
      </c>
      <c r="D3400" s="161" t="s">
        <v>1324</v>
      </c>
      <c r="E3400" s="161" t="s">
        <v>1689</v>
      </c>
      <c r="F3400" s="161" t="s">
        <v>7508</v>
      </c>
      <c r="G3400" s="163">
        <v>158.04</v>
      </c>
      <c r="H3400" s="163">
        <f t="shared" si="258"/>
        <v>13.28</v>
      </c>
      <c r="I3400" s="171">
        <v>5.23</v>
      </c>
      <c r="J3400" s="171">
        <v>7892.78833675076</v>
      </c>
      <c r="K3400" s="173">
        <f t="shared" si="257"/>
        <v>129781.973880608</v>
      </c>
      <c r="L3400" s="172"/>
      <c r="M3400" s="161" t="s">
        <v>7503</v>
      </c>
      <c r="N3400" s="161" t="s">
        <v>1299</v>
      </c>
      <c r="O3400" s="161" t="s">
        <v>25</v>
      </c>
      <c r="P3400" s="49" t="s">
        <v>25</v>
      </c>
      <c r="Q3400" s="166"/>
      <c r="R3400" s="151"/>
    </row>
    <row r="3401" spans="1:18">
      <c r="A3401" s="49" t="s">
        <v>83</v>
      </c>
      <c r="B3401" s="195" t="s">
        <v>888</v>
      </c>
      <c r="C3401" s="38" t="s">
        <v>1936</v>
      </c>
      <c r="D3401" s="161" t="s">
        <v>1327</v>
      </c>
      <c r="E3401" s="161" t="s">
        <v>1689</v>
      </c>
      <c r="F3401" s="161" t="s">
        <v>7508</v>
      </c>
      <c r="G3401" s="163">
        <v>174.57</v>
      </c>
      <c r="H3401" s="163">
        <f t="shared" si="258"/>
        <v>16.53</v>
      </c>
      <c r="I3401" s="171">
        <v>5.96</v>
      </c>
      <c r="J3401" s="171">
        <v>9718.7319071931</v>
      </c>
      <c r="K3401" s="173">
        <f t="shared" si="257"/>
        <v>139500.705787802</v>
      </c>
      <c r="L3401" s="172"/>
      <c r="M3401" s="161" t="s">
        <v>7503</v>
      </c>
      <c r="N3401" s="161" t="s">
        <v>1299</v>
      </c>
      <c r="O3401" s="161" t="s">
        <v>25</v>
      </c>
      <c r="P3401" s="49" t="s">
        <v>25</v>
      </c>
      <c r="Q3401" s="166"/>
      <c r="R3401" s="151"/>
    </row>
    <row r="3402" spans="1:18">
      <c r="A3402" s="49" t="s">
        <v>83</v>
      </c>
      <c r="B3402" s="195" t="s">
        <v>888</v>
      </c>
      <c r="C3402" s="38" t="s">
        <v>7509</v>
      </c>
      <c r="D3402" s="161" t="s">
        <v>7509</v>
      </c>
      <c r="E3402" s="161" t="s">
        <v>1689</v>
      </c>
      <c r="F3402" s="161" t="s">
        <v>7508</v>
      </c>
      <c r="G3402" s="163">
        <v>195.53</v>
      </c>
      <c r="H3402" s="163">
        <f t="shared" si="258"/>
        <v>20.96</v>
      </c>
      <c r="I3402" s="171">
        <v>7.19</v>
      </c>
      <c r="J3402" s="171">
        <v>11662.4782886317</v>
      </c>
      <c r="K3402" s="173">
        <f t="shared" si="257"/>
        <v>151163.184076433</v>
      </c>
      <c r="L3402" s="172"/>
      <c r="M3402" s="161" t="s">
        <v>7503</v>
      </c>
      <c r="N3402" s="161"/>
      <c r="O3402" s="161" t="s">
        <v>15</v>
      </c>
      <c r="P3402" s="49" t="s">
        <v>15</v>
      </c>
      <c r="Q3402" s="166"/>
      <c r="R3402" s="151"/>
    </row>
    <row r="3403" spans="1:18">
      <c r="A3403" s="49" t="s">
        <v>83</v>
      </c>
      <c r="B3403" s="195" t="s">
        <v>888</v>
      </c>
      <c r="C3403" s="38" t="s">
        <v>2201</v>
      </c>
      <c r="D3403" s="161" t="s">
        <v>1334</v>
      </c>
      <c r="E3403" s="161" t="s">
        <v>1689</v>
      </c>
      <c r="F3403" s="161" t="s">
        <v>7508</v>
      </c>
      <c r="G3403" s="163">
        <v>214.29</v>
      </c>
      <c r="H3403" s="163">
        <f t="shared" si="258"/>
        <v>18.76</v>
      </c>
      <c r="I3403" s="171">
        <v>8.6</v>
      </c>
      <c r="J3403" s="171">
        <v>12074.7881271187</v>
      </c>
      <c r="K3403" s="173">
        <f t="shared" si="257"/>
        <v>163237.972203552</v>
      </c>
      <c r="L3403" s="172"/>
      <c r="M3403" s="161" t="s">
        <v>7503</v>
      </c>
      <c r="N3403" s="161" t="s">
        <v>1299</v>
      </c>
      <c r="O3403" s="161" t="s">
        <v>25</v>
      </c>
      <c r="P3403" s="49" t="s">
        <v>25</v>
      </c>
      <c r="Q3403" s="166"/>
      <c r="R3403" s="151"/>
    </row>
    <row r="3404" spans="1:18">
      <c r="A3404" s="49" t="s">
        <v>83</v>
      </c>
      <c r="B3404" s="195" t="s">
        <v>888</v>
      </c>
      <c r="C3404" s="38" t="s">
        <v>1942</v>
      </c>
      <c r="D3404" s="161" t="s">
        <v>1338</v>
      </c>
      <c r="E3404" s="161" t="s">
        <v>1689</v>
      </c>
      <c r="F3404" s="161" t="s">
        <v>7508</v>
      </c>
      <c r="G3404" s="163">
        <v>232</v>
      </c>
      <c r="H3404" s="163">
        <f t="shared" si="258"/>
        <v>17.71</v>
      </c>
      <c r="I3404" s="171">
        <v>9.51</v>
      </c>
      <c r="J3404" s="171">
        <v>10543.3515841671</v>
      </c>
      <c r="K3404" s="173">
        <f t="shared" si="257"/>
        <v>173781.323787719</v>
      </c>
      <c r="L3404" s="172"/>
      <c r="M3404" s="161" t="s">
        <v>7503</v>
      </c>
      <c r="N3404" s="161" t="s">
        <v>1299</v>
      </c>
      <c r="O3404" s="161" t="s">
        <v>25</v>
      </c>
      <c r="P3404" s="49" t="s">
        <v>25</v>
      </c>
      <c r="Q3404" s="166"/>
      <c r="R3404" s="151"/>
    </row>
    <row r="3405" spans="1:18">
      <c r="A3405" s="49" t="s">
        <v>83</v>
      </c>
      <c r="B3405" s="195" t="s">
        <v>888</v>
      </c>
      <c r="C3405" s="38" t="s">
        <v>4914</v>
      </c>
      <c r="D3405" s="161" t="s">
        <v>1344</v>
      </c>
      <c r="E3405" s="161" t="s">
        <v>1689</v>
      </c>
      <c r="F3405" s="161" t="s">
        <v>7510</v>
      </c>
      <c r="G3405" s="163">
        <v>245.97</v>
      </c>
      <c r="H3405" s="163">
        <f t="shared" si="258"/>
        <v>13.97</v>
      </c>
      <c r="I3405" s="171">
        <v>14.9</v>
      </c>
      <c r="J3405" s="171">
        <v>8128.39395874332</v>
      </c>
      <c r="K3405" s="173">
        <f t="shared" si="257"/>
        <v>181909.717746462</v>
      </c>
      <c r="L3405" s="172"/>
      <c r="M3405" s="161" t="s">
        <v>7503</v>
      </c>
      <c r="N3405" s="161" t="s">
        <v>1299</v>
      </c>
      <c r="O3405" s="161" t="s">
        <v>25</v>
      </c>
      <c r="P3405" s="49" t="s">
        <v>25</v>
      </c>
      <c r="Q3405" s="166"/>
      <c r="R3405" s="151"/>
    </row>
    <row r="3406" spans="1:18">
      <c r="A3406" s="49" t="s">
        <v>83</v>
      </c>
      <c r="B3406" s="195" t="s">
        <v>888</v>
      </c>
      <c r="C3406" s="38" t="s">
        <v>1949</v>
      </c>
      <c r="D3406" s="161" t="s">
        <v>1346</v>
      </c>
      <c r="E3406" s="161" t="s">
        <v>1689</v>
      </c>
      <c r="F3406" s="161" t="s">
        <v>7510</v>
      </c>
      <c r="G3406" s="163">
        <v>257.35</v>
      </c>
      <c r="H3406" s="163">
        <f t="shared" si="258"/>
        <v>11.38</v>
      </c>
      <c r="I3406" s="171">
        <v>26.2</v>
      </c>
      <c r="J3406" s="171">
        <v>6479.1546047954</v>
      </c>
      <c r="K3406" s="173">
        <f t="shared" si="257"/>
        <v>188388.872351258</v>
      </c>
      <c r="L3406" s="172"/>
      <c r="M3406" s="161" t="s">
        <v>7503</v>
      </c>
      <c r="N3406" s="161" t="s">
        <v>1299</v>
      </c>
      <c r="O3406" s="161" t="s">
        <v>25</v>
      </c>
      <c r="P3406" s="49" t="s">
        <v>25</v>
      </c>
      <c r="Q3406" s="166"/>
      <c r="R3406" s="151"/>
    </row>
    <row r="3407" spans="1:18">
      <c r="A3407" s="49" t="s">
        <v>83</v>
      </c>
      <c r="B3407" s="195" t="s">
        <v>888</v>
      </c>
      <c r="C3407" s="38" t="s">
        <v>1953</v>
      </c>
      <c r="D3407" s="161" t="s">
        <v>1349</v>
      </c>
      <c r="E3407" s="161" t="s">
        <v>1689</v>
      </c>
      <c r="F3407" s="161" t="s">
        <v>7510</v>
      </c>
      <c r="G3407" s="163">
        <v>271.89</v>
      </c>
      <c r="H3407" s="163">
        <f t="shared" si="258"/>
        <v>14.54</v>
      </c>
      <c r="I3407" s="171">
        <v>31.1</v>
      </c>
      <c r="J3407" s="171">
        <v>8481.80239173216</v>
      </c>
      <c r="K3407" s="173">
        <f t="shared" si="257"/>
        <v>196870.67474299</v>
      </c>
      <c r="L3407" s="172"/>
      <c r="M3407" s="161" t="s">
        <v>7503</v>
      </c>
      <c r="N3407" s="161" t="s">
        <v>1299</v>
      </c>
      <c r="O3407" s="161" t="s">
        <v>25</v>
      </c>
      <c r="P3407" s="49" t="s">
        <v>25</v>
      </c>
      <c r="Q3407" s="166"/>
      <c r="R3407" s="151"/>
    </row>
    <row r="3408" spans="1:18">
      <c r="A3408" s="49" t="s">
        <v>83</v>
      </c>
      <c r="B3408" s="195" t="s">
        <v>888</v>
      </c>
      <c r="C3408" s="38" t="s">
        <v>7511</v>
      </c>
      <c r="D3408" s="161" t="s">
        <v>7511</v>
      </c>
      <c r="E3408" s="161" t="s">
        <v>1689</v>
      </c>
      <c r="F3408" s="161" t="s">
        <v>7510</v>
      </c>
      <c r="G3408" s="163">
        <v>288.68</v>
      </c>
      <c r="H3408" s="163">
        <f t="shared" si="258"/>
        <v>16.79</v>
      </c>
      <c r="I3408" s="171">
        <v>29.65</v>
      </c>
      <c r="J3408" s="171">
        <v>9600.92909619682</v>
      </c>
      <c r="K3408" s="173">
        <f t="shared" si="257"/>
        <v>206471.603839187</v>
      </c>
      <c r="L3408" s="172"/>
      <c r="M3408" s="161" t="s">
        <v>7503</v>
      </c>
      <c r="N3408" s="161"/>
      <c r="O3408" s="161" t="s">
        <v>14</v>
      </c>
      <c r="P3408" s="49" t="s">
        <v>14</v>
      </c>
      <c r="Q3408" s="166"/>
      <c r="R3408" s="151"/>
    </row>
    <row r="3409" spans="1:18">
      <c r="A3409" s="49" t="s">
        <v>83</v>
      </c>
      <c r="B3409" s="195" t="s">
        <v>888</v>
      </c>
      <c r="C3409" s="38" t="s">
        <v>316</v>
      </c>
      <c r="D3409" s="161" t="s">
        <v>1352</v>
      </c>
      <c r="E3409" s="161" t="s">
        <v>1689</v>
      </c>
      <c r="F3409" s="161" t="s">
        <v>7512</v>
      </c>
      <c r="G3409" s="163">
        <v>296.99</v>
      </c>
      <c r="H3409" s="163">
        <f t="shared" si="258"/>
        <v>8.31</v>
      </c>
      <c r="I3409" s="171">
        <v>22.4</v>
      </c>
      <c r="J3409" s="171">
        <v>4947.71806184376</v>
      </c>
      <c r="K3409" s="173">
        <f t="shared" si="257"/>
        <v>211419.32190103</v>
      </c>
      <c r="L3409" s="172"/>
      <c r="M3409" s="161" t="s">
        <v>7503</v>
      </c>
      <c r="N3409" s="161" t="s">
        <v>1299</v>
      </c>
      <c r="O3409" s="161" t="s">
        <v>25</v>
      </c>
      <c r="P3409" s="49" t="s">
        <v>25</v>
      </c>
      <c r="Q3409" s="166"/>
      <c r="R3409" s="151"/>
    </row>
    <row r="3410" spans="1:18">
      <c r="A3410" s="49" t="s">
        <v>83</v>
      </c>
      <c r="B3410" s="195" t="s">
        <v>888</v>
      </c>
      <c r="C3410" s="38" t="s">
        <v>1960</v>
      </c>
      <c r="D3410" s="161" t="s">
        <v>1354</v>
      </c>
      <c r="E3410" s="161" t="s">
        <v>1689</v>
      </c>
      <c r="F3410" s="161" t="s">
        <v>7512</v>
      </c>
      <c r="G3410" s="163">
        <v>307.87</v>
      </c>
      <c r="H3410" s="163">
        <f t="shared" si="258"/>
        <v>10.88</v>
      </c>
      <c r="I3410" s="171">
        <v>32.6</v>
      </c>
      <c r="J3410" s="171">
        <v>6361.35179379912</v>
      </c>
      <c r="K3410" s="173">
        <f t="shared" si="257"/>
        <v>217780.67369483</v>
      </c>
      <c r="L3410" s="172"/>
      <c r="M3410" s="161" t="s">
        <v>7503</v>
      </c>
      <c r="N3410" s="161" t="s">
        <v>1299</v>
      </c>
      <c r="O3410" s="161" t="s">
        <v>25</v>
      </c>
      <c r="P3410" s="49" t="s">
        <v>25</v>
      </c>
      <c r="Q3410" s="166"/>
      <c r="R3410" s="151"/>
    </row>
    <row r="3411" spans="1:18">
      <c r="A3411" s="49" t="s">
        <v>83</v>
      </c>
      <c r="B3411" s="195" t="s">
        <v>888</v>
      </c>
      <c r="C3411" s="38" t="s">
        <v>1965</v>
      </c>
      <c r="D3411" s="161" t="s">
        <v>1356</v>
      </c>
      <c r="E3411" s="161" t="s">
        <v>1689</v>
      </c>
      <c r="F3411" s="161" t="s">
        <v>7512</v>
      </c>
      <c r="G3411" s="163">
        <v>333.46</v>
      </c>
      <c r="H3411" s="163">
        <f t="shared" si="258"/>
        <v>25.59</v>
      </c>
      <c r="I3411" s="171">
        <v>178.1</v>
      </c>
      <c r="J3411" s="171">
        <v>15196.5626185201</v>
      </c>
      <c r="K3411" s="173">
        <f t="shared" si="257"/>
        <v>232977.23631335</v>
      </c>
      <c r="L3411" s="172"/>
      <c r="M3411" s="161" t="s">
        <v>7503</v>
      </c>
      <c r="N3411" s="161" t="s">
        <v>1299</v>
      </c>
      <c r="O3411" s="161" t="s">
        <v>25</v>
      </c>
      <c r="P3411" s="49" t="s">
        <v>25</v>
      </c>
      <c r="Q3411" s="166"/>
      <c r="R3411" s="151"/>
    </row>
    <row r="3412" spans="1:18">
      <c r="A3412" s="49" t="s">
        <v>83</v>
      </c>
      <c r="B3412" s="195" t="s">
        <v>888</v>
      </c>
      <c r="C3412" s="38" t="s">
        <v>7513</v>
      </c>
      <c r="D3412" s="161" t="s">
        <v>1358</v>
      </c>
      <c r="E3412" s="161" t="s">
        <v>1689</v>
      </c>
      <c r="F3412" s="161" t="s">
        <v>7512</v>
      </c>
      <c r="G3412" s="163">
        <v>345.11</v>
      </c>
      <c r="H3412" s="163">
        <f t="shared" si="258"/>
        <v>11.65</v>
      </c>
      <c r="I3412" s="171">
        <v>42.5</v>
      </c>
      <c r="J3412" s="171">
        <v>6832.56303778424</v>
      </c>
      <c r="K3412" s="173">
        <f t="shared" si="257"/>
        <v>239809.799351134</v>
      </c>
      <c r="L3412" s="172"/>
      <c r="M3412" s="161" t="s">
        <v>7503</v>
      </c>
      <c r="N3412" s="161" t="s">
        <v>1299</v>
      </c>
      <c r="O3412" s="161" t="s">
        <v>25</v>
      </c>
      <c r="P3412" s="49" t="s">
        <v>25</v>
      </c>
      <c r="Q3412" s="166"/>
      <c r="R3412" s="151"/>
    </row>
    <row r="3413" spans="1:18">
      <c r="A3413" s="49" t="s">
        <v>83</v>
      </c>
      <c r="B3413" s="195" t="s">
        <v>888</v>
      </c>
      <c r="C3413" s="38" t="s">
        <v>7514</v>
      </c>
      <c r="D3413" s="161" t="s">
        <v>7514</v>
      </c>
      <c r="E3413" s="161" t="s">
        <v>1689</v>
      </c>
      <c r="F3413" s="161" t="s">
        <v>7512</v>
      </c>
      <c r="G3413" s="163">
        <v>357.43</v>
      </c>
      <c r="H3413" s="163">
        <f t="shared" si="258"/>
        <v>12.32</v>
      </c>
      <c r="I3413" s="171">
        <v>15.15</v>
      </c>
      <c r="J3413" s="171">
        <v>7244.87287627122</v>
      </c>
      <c r="K3413" s="173">
        <f t="shared" si="257"/>
        <v>247054.672227405</v>
      </c>
      <c r="L3413" s="172"/>
      <c r="M3413" s="161" t="s">
        <v>7503</v>
      </c>
      <c r="N3413" s="161"/>
      <c r="O3413" s="161" t="s">
        <v>15</v>
      </c>
      <c r="P3413" s="49" t="s">
        <v>15</v>
      </c>
      <c r="Q3413" s="166"/>
      <c r="R3413" s="151"/>
    </row>
    <row r="3414" spans="1:18">
      <c r="A3414" s="49" t="s">
        <v>83</v>
      </c>
      <c r="B3414" s="195" t="s">
        <v>888</v>
      </c>
      <c r="C3414" s="38" t="s">
        <v>1972</v>
      </c>
      <c r="D3414" s="161" t="s">
        <v>1361</v>
      </c>
      <c r="E3414" s="161" t="s">
        <v>1689</v>
      </c>
      <c r="F3414" s="161" t="s">
        <v>7512</v>
      </c>
      <c r="G3414" s="163">
        <v>368.87</v>
      </c>
      <c r="H3414" s="163">
        <f t="shared" si="258"/>
        <v>11.44</v>
      </c>
      <c r="I3414" s="171">
        <v>25.4</v>
      </c>
      <c r="J3414" s="171">
        <v>6655.85882128982</v>
      </c>
      <c r="K3414" s="173">
        <f t="shared" si="257"/>
        <v>253710.531048695</v>
      </c>
      <c r="L3414" s="172"/>
      <c r="M3414" s="161" t="s">
        <v>7503</v>
      </c>
      <c r="N3414" s="161" t="s">
        <v>1299</v>
      </c>
      <c r="O3414" s="161" t="s">
        <v>25</v>
      </c>
      <c r="P3414" s="49" t="s">
        <v>25</v>
      </c>
      <c r="Q3414" s="166"/>
      <c r="R3414" s="151"/>
    </row>
    <row r="3415" spans="1:18">
      <c r="A3415" s="49" t="s">
        <v>83</v>
      </c>
      <c r="B3415" s="195" t="s">
        <v>888</v>
      </c>
      <c r="C3415" s="38" t="s">
        <v>1977</v>
      </c>
      <c r="D3415" s="161" t="s">
        <v>1363</v>
      </c>
      <c r="E3415" s="161" t="s">
        <v>1689</v>
      </c>
      <c r="F3415" s="161" t="s">
        <v>7512</v>
      </c>
      <c r="G3415" s="163">
        <v>380.53</v>
      </c>
      <c r="H3415" s="163">
        <f t="shared" si="258"/>
        <v>11.66</v>
      </c>
      <c r="I3415" s="171">
        <v>36.8</v>
      </c>
      <c r="J3415" s="171">
        <v>7539.37990376192</v>
      </c>
      <c r="K3415" s="173">
        <f t="shared" si="257"/>
        <v>261249.910952457</v>
      </c>
      <c r="L3415" s="172"/>
      <c r="M3415" s="161" t="s">
        <v>7503</v>
      </c>
      <c r="N3415" s="161" t="s">
        <v>1299</v>
      </c>
      <c r="O3415" s="161" t="s">
        <v>25</v>
      </c>
      <c r="P3415" s="49" t="s">
        <v>25</v>
      </c>
      <c r="Q3415" s="166"/>
      <c r="R3415" s="151"/>
    </row>
    <row r="3416" spans="1:18">
      <c r="A3416" s="49" t="s">
        <v>83</v>
      </c>
      <c r="B3416" s="195" t="s">
        <v>888</v>
      </c>
      <c r="C3416" s="38" t="s">
        <v>7515</v>
      </c>
      <c r="D3416" s="161" t="s">
        <v>7515</v>
      </c>
      <c r="E3416" s="161" t="s">
        <v>1689</v>
      </c>
      <c r="F3416" s="161" t="s">
        <v>7512</v>
      </c>
      <c r="G3416" s="163">
        <v>398.23</v>
      </c>
      <c r="H3416" s="163">
        <f t="shared" si="258"/>
        <v>17.7</v>
      </c>
      <c r="I3416" s="171">
        <v>7.85</v>
      </c>
      <c r="J3416" s="171">
        <v>10484.4501786689</v>
      </c>
      <c r="K3416" s="173">
        <f t="shared" si="257"/>
        <v>271734.361131126</v>
      </c>
      <c r="L3416" s="172"/>
      <c r="M3416" s="161" t="s">
        <v>7503</v>
      </c>
      <c r="N3416" s="161"/>
      <c r="O3416" s="161" t="s">
        <v>15</v>
      </c>
      <c r="P3416" s="49" t="s">
        <v>15</v>
      </c>
      <c r="Q3416" s="166"/>
      <c r="R3416" s="151"/>
    </row>
    <row r="3417" spans="1:18">
      <c r="A3417" s="49" t="s">
        <v>83</v>
      </c>
      <c r="B3417" s="195" t="s">
        <v>888</v>
      </c>
      <c r="C3417" s="38" t="s">
        <v>7516</v>
      </c>
      <c r="D3417" s="161" t="s">
        <v>1365</v>
      </c>
      <c r="E3417" s="161" t="s">
        <v>1689</v>
      </c>
      <c r="F3417" s="161" t="s">
        <v>7512</v>
      </c>
      <c r="G3417" s="163">
        <v>420.73</v>
      </c>
      <c r="H3417" s="163">
        <f t="shared" si="258"/>
        <v>22.5</v>
      </c>
      <c r="I3417" s="171">
        <v>25.4</v>
      </c>
      <c r="J3417" s="171">
        <v>13193.9148315834</v>
      </c>
      <c r="K3417" s="173">
        <f t="shared" si="257"/>
        <v>284928.275962709</v>
      </c>
      <c r="L3417" s="172"/>
      <c r="M3417" s="161" t="s">
        <v>7503</v>
      </c>
      <c r="N3417" s="161" t="s">
        <v>1299</v>
      </c>
      <c r="O3417" s="161" t="s">
        <v>25</v>
      </c>
      <c r="P3417" s="49" t="s">
        <v>25</v>
      </c>
      <c r="Q3417" s="166"/>
      <c r="R3417" s="151"/>
    </row>
    <row r="3418" spans="1:18">
      <c r="A3418" s="49" t="s">
        <v>83</v>
      </c>
      <c r="B3418" s="195" t="s">
        <v>888</v>
      </c>
      <c r="C3418" s="38" t="s">
        <v>1984</v>
      </c>
      <c r="D3418" s="161" t="s">
        <v>1367</v>
      </c>
      <c r="E3418" s="161" t="s">
        <v>1689</v>
      </c>
      <c r="F3418" s="161" t="s">
        <v>7512</v>
      </c>
      <c r="G3418" s="163">
        <v>443.53</v>
      </c>
      <c r="H3418" s="163">
        <f t="shared" si="258"/>
        <v>22.8</v>
      </c>
      <c r="I3418" s="171">
        <v>55.9</v>
      </c>
      <c r="J3418" s="171">
        <v>13429.5204535759</v>
      </c>
      <c r="K3418" s="173">
        <f t="shared" si="257"/>
        <v>298357.796416285</v>
      </c>
      <c r="L3418" s="172"/>
      <c r="M3418" s="161" t="s">
        <v>7503</v>
      </c>
      <c r="N3418" s="161" t="s">
        <v>1299</v>
      </c>
      <c r="O3418" s="161" t="s">
        <v>25</v>
      </c>
      <c r="P3418" s="49" t="s">
        <v>25</v>
      </c>
      <c r="Q3418" s="166"/>
      <c r="R3418" s="151"/>
    </row>
    <row r="3419" spans="1:18">
      <c r="A3419" s="49" t="s">
        <v>83</v>
      </c>
      <c r="B3419" s="195" t="s">
        <v>888</v>
      </c>
      <c r="C3419" s="38" t="s">
        <v>1991</v>
      </c>
      <c r="D3419" s="161" t="s">
        <v>1370</v>
      </c>
      <c r="E3419" s="161" t="s">
        <v>1689</v>
      </c>
      <c r="F3419" s="161" t="s">
        <v>7512</v>
      </c>
      <c r="G3419" s="163">
        <v>464.34</v>
      </c>
      <c r="H3419" s="163">
        <f t="shared" si="258"/>
        <v>20.81</v>
      </c>
      <c r="I3419" s="171">
        <v>34.2</v>
      </c>
      <c r="J3419" s="171">
        <v>11956.9853161224</v>
      </c>
      <c r="K3419" s="173">
        <f t="shared" si="257"/>
        <v>310314.781732408</v>
      </c>
      <c r="L3419" s="172"/>
      <c r="M3419" s="161" t="s">
        <v>7503</v>
      </c>
      <c r="N3419" s="161" t="s">
        <v>1299</v>
      </c>
      <c r="O3419" s="161" t="s">
        <v>25</v>
      </c>
      <c r="P3419" s="49" t="s">
        <v>25</v>
      </c>
      <c r="Q3419" s="166"/>
      <c r="R3419" s="151"/>
    </row>
    <row r="3420" spans="1:18">
      <c r="A3420" s="49" t="s">
        <v>83</v>
      </c>
      <c r="B3420" s="195" t="s">
        <v>888</v>
      </c>
      <c r="C3420" s="38" t="s">
        <v>1995</v>
      </c>
      <c r="D3420" s="161" t="s">
        <v>3343</v>
      </c>
      <c r="E3420" s="161" t="s">
        <v>1689</v>
      </c>
      <c r="F3420" s="161" t="s">
        <v>7512</v>
      </c>
      <c r="G3420" s="163">
        <v>474.36</v>
      </c>
      <c r="H3420" s="163">
        <f t="shared" si="258"/>
        <v>10.02</v>
      </c>
      <c r="I3420" s="171">
        <v>33.6</v>
      </c>
      <c r="J3420" s="171">
        <v>5949.04195531214</v>
      </c>
      <c r="K3420" s="173">
        <f t="shared" si="257"/>
        <v>316263.82368772</v>
      </c>
      <c r="L3420" s="172"/>
      <c r="M3420" s="161" t="s">
        <v>7503</v>
      </c>
      <c r="N3420" s="161" t="s">
        <v>1299</v>
      </c>
      <c r="O3420" s="161" t="s">
        <v>25</v>
      </c>
      <c r="P3420" s="49" t="s">
        <v>25</v>
      </c>
      <c r="Q3420" s="166"/>
      <c r="R3420" s="151"/>
    </row>
    <row r="3421" spans="1:18">
      <c r="A3421" s="49" t="s">
        <v>83</v>
      </c>
      <c r="B3421" s="195" t="s">
        <v>888</v>
      </c>
      <c r="C3421" s="38" t="s">
        <v>890</v>
      </c>
      <c r="D3421" s="161" t="s">
        <v>890</v>
      </c>
      <c r="E3421" s="161" t="s">
        <v>1689</v>
      </c>
      <c r="F3421" s="161" t="s">
        <v>7512</v>
      </c>
      <c r="G3421" s="163">
        <v>494.88</v>
      </c>
      <c r="H3421" s="163">
        <f t="shared" si="258"/>
        <v>20.52</v>
      </c>
      <c r="I3421" s="171">
        <v>28.6</v>
      </c>
      <c r="J3421" s="171">
        <v>12133.6895326168</v>
      </c>
      <c r="K3421" s="173">
        <f t="shared" si="257"/>
        <v>328397.513220336</v>
      </c>
      <c r="L3421" s="172"/>
      <c r="M3421" s="161" t="s">
        <v>7503</v>
      </c>
      <c r="N3421" s="161"/>
      <c r="O3421" s="161" t="s">
        <v>15</v>
      </c>
      <c r="P3421" s="49" t="s">
        <v>15</v>
      </c>
      <c r="Q3421" s="166"/>
      <c r="R3421" s="151"/>
    </row>
    <row r="3422" spans="1:18">
      <c r="A3422" s="49" t="s">
        <v>83</v>
      </c>
      <c r="B3422" s="195" t="s">
        <v>892</v>
      </c>
      <c r="C3422" s="101" t="s">
        <v>7506</v>
      </c>
      <c r="D3422" s="161" t="s">
        <v>7506</v>
      </c>
      <c r="E3422" s="161" t="s">
        <v>1689</v>
      </c>
      <c r="F3422" s="161" t="s">
        <v>7507</v>
      </c>
      <c r="G3422" s="163">
        <v>0</v>
      </c>
      <c r="H3422" s="163">
        <v>0</v>
      </c>
      <c r="I3422" s="171">
        <v>0.8</v>
      </c>
      <c r="J3422" s="171">
        <v>0</v>
      </c>
      <c r="K3422" s="173">
        <v>0</v>
      </c>
      <c r="L3422" s="172"/>
      <c r="M3422" s="161">
        <v>0</v>
      </c>
      <c r="N3422" s="161"/>
      <c r="O3422" s="161"/>
      <c r="P3422" s="49"/>
      <c r="Q3422" s="166"/>
      <c r="R3422" s="151"/>
    </row>
    <row r="3423" spans="1:18">
      <c r="A3423" s="49" t="s">
        <v>83</v>
      </c>
      <c r="B3423" s="195" t="s">
        <v>892</v>
      </c>
      <c r="C3423" s="38" t="s">
        <v>1811</v>
      </c>
      <c r="D3423" s="161" t="s">
        <v>1298</v>
      </c>
      <c r="E3423" s="161" t="s">
        <v>1689</v>
      </c>
      <c r="F3423" s="161" t="s">
        <v>7517</v>
      </c>
      <c r="G3423" s="163">
        <v>15.6</v>
      </c>
      <c r="H3423" s="163">
        <f>G3423-G3422</f>
        <v>15.6</v>
      </c>
      <c r="I3423" s="171">
        <v>1.9</v>
      </c>
      <c r="J3423" s="171">
        <v>1750.64493652776</v>
      </c>
      <c r="K3423" s="173">
        <v>1750.64493652776</v>
      </c>
      <c r="L3423" s="172"/>
      <c r="M3423" s="161" t="s">
        <v>4843</v>
      </c>
      <c r="N3423" s="161" t="s">
        <v>1299</v>
      </c>
      <c r="O3423" s="161" t="s">
        <v>25</v>
      </c>
      <c r="P3423" s="49" t="s">
        <v>25</v>
      </c>
      <c r="Q3423" s="166"/>
      <c r="R3423" s="151"/>
    </row>
    <row r="3424" spans="1:18">
      <c r="A3424" s="49" t="s">
        <v>83</v>
      </c>
      <c r="B3424" s="195" t="s">
        <v>892</v>
      </c>
      <c r="C3424" s="38" t="s">
        <v>894</v>
      </c>
      <c r="D3424" s="161" t="s">
        <v>894</v>
      </c>
      <c r="E3424" s="161" t="s">
        <v>1689</v>
      </c>
      <c r="F3424" s="161" t="s">
        <v>7517</v>
      </c>
      <c r="G3424" s="163">
        <v>19.25</v>
      </c>
      <c r="H3424" s="163">
        <f>G3424-G3423</f>
        <v>3.65</v>
      </c>
      <c r="I3424" s="171">
        <v>0.41</v>
      </c>
      <c r="J3424" s="171">
        <v>403.99498535256</v>
      </c>
      <c r="K3424" s="173">
        <v>2154.63992188032</v>
      </c>
      <c r="L3424" s="172"/>
      <c r="M3424" s="161">
        <v>0</v>
      </c>
      <c r="N3424" s="161"/>
      <c r="O3424" s="161" t="s">
        <v>15</v>
      </c>
      <c r="P3424" s="49" t="s">
        <v>15</v>
      </c>
      <c r="Q3424" s="166"/>
      <c r="R3424" s="151"/>
    </row>
    <row r="3425" spans="1:18">
      <c r="A3425" s="49" t="s">
        <v>83</v>
      </c>
      <c r="B3425" s="195" t="s">
        <v>895</v>
      </c>
      <c r="C3425" s="101" t="s">
        <v>894</v>
      </c>
      <c r="D3425" s="195" t="s">
        <v>894</v>
      </c>
      <c r="E3425" s="161" t="s">
        <v>1689</v>
      </c>
      <c r="F3425" s="161"/>
      <c r="G3425" s="163">
        <v>0</v>
      </c>
      <c r="H3425" s="163">
        <v>0</v>
      </c>
      <c r="I3425" s="171"/>
      <c r="J3425" s="171"/>
      <c r="K3425" s="173"/>
      <c r="L3425" s="172"/>
      <c r="M3425" s="161"/>
      <c r="N3425" s="161"/>
      <c r="O3425" s="161"/>
      <c r="P3425" s="49"/>
      <c r="Q3425" s="166"/>
      <c r="R3425" s="151"/>
    </row>
    <row r="3426" spans="1:18">
      <c r="A3426" s="49" t="s">
        <v>83</v>
      </c>
      <c r="B3426" s="195" t="s">
        <v>895</v>
      </c>
      <c r="C3426" s="38" t="s">
        <v>896</v>
      </c>
      <c r="D3426" s="195" t="s">
        <v>896</v>
      </c>
      <c r="E3426" s="161" t="s">
        <v>1689</v>
      </c>
      <c r="F3426" s="161"/>
      <c r="G3426" s="163">
        <v>2.6</v>
      </c>
      <c r="H3426" s="163">
        <v>2.6</v>
      </c>
      <c r="I3426" s="171"/>
      <c r="J3426" s="171"/>
      <c r="K3426" s="173"/>
      <c r="L3426" s="172"/>
      <c r="M3426" s="161"/>
      <c r="N3426" s="161"/>
      <c r="O3426" s="161"/>
      <c r="P3426" s="49" t="s">
        <v>14</v>
      </c>
      <c r="Q3426" s="166"/>
      <c r="R3426" s="151"/>
    </row>
    <row r="3427" spans="1:18">
      <c r="A3427" s="49" t="s">
        <v>84</v>
      </c>
      <c r="B3427" s="195" t="s">
        <v>897</v>
      </c>
      <c r="C3427" s="135" t="s">
        <v>328</v>
      </c>
      <c r="D3427" s="161" t="s">
        <v>328</v>
      </c>
      <c r="E3427" s="161" t="s">
        <v>3647</v>
      </c>
      <c r="F3427" s="161" t="s">
        <v>3679</v>
      </c>
      <c r="G3427" s="163">
        <v>0</v>
      </c>
      <c r="H3427" s="163" t="s">
        <v>2841</v>
      </c>
      <c r="I3427" s="171"/>
      <c r="J3427" s="171">
        <v>58.875</v>
      </c>
      <c r="K3427" s="171">
        <v>58.875</v>
      </c>
      <c r="L3427" s="172"/>
      <c r="M3427" s="161">
        <v>0</v>
      </c>
      <c r="N3427" s="161"/>
      <c r="O3427" s="161"/>
      <c r="P3427" s="49"/>
      <c r="Q3427" s="166" t="s">
        <v>3763</v>
      </c>
      <c r="R3427" s="151"/>
    </row>
    <row r="3428" spans="1:18">
      <c r="A3428" s="49" t="s">
        <v>84</v>
      </c>
      <c r="B3428" s="195" t="s">
        <v>897</v>
      </c>
      <c r="C3428" s="87" t="s">
        <v>7518</v>
      </c>
      <c r="D3428" s="161" t="s">
        <v>1302</v>
      </c>
      <c r="E3428" s="161" t="s">
        <v>3647</v>
      </c>
      <c r="F3428" s="161" t="s">
        <v>7519</v>
      </c>
      <c r="G3428" s="163">
        <v>0.2</v>
      </c>
      <c r="H3428" s="163">
        <f>G3428-G3427</f>
        <v>0.2</v>
      </c>
      <c r="I3428" s="171"/>
      <c r="J3428" s="171">
        <v>3022.25</v>
      </c>
      <c r="K3428" s="171">
        <v>3081.125</v>
      </c>
      <c r="L3428" s="172"/>
      <c r="M3428" s="161" t="s">
        <v>4843</v>
      </c>
      <c r="N3428" s="161" t="s">
        <v>1299</v>
      </c>
      <c r="O3428" s="161" t="s">
        <v>25</v>
      </c>
      <c r="P3428" s="49" t="s">
        <v>25</v>
      </c>
      <c r="Q3428" s="166"/>
      <c r="R3428" s="151"/>
    </row>
    <row r="3429" spans="1:18">
      <c r="A3429" s="49" t="s">
        <v>84</v>
      </c>
      <c r="B3429" s="195" t="s">
        <v>897</v>
      </c>
      <c r="C3429" s="87" t="s">
        <v>7520</v>
      </c>
      <c r="D3429" s="161" t="s">
        <v>7520</v>
      </c>
      <c r="E3429" s="161" t="s">
        <v>3647</v>
      </c>
      <c r="F3429" s="161" t="s">
        <v>7519</v>
      </c>
      <c r="G3429" s="163">
        <v>13.93</v>
      </c>
      <c r="H3429" s="163">
        <f t="shared" ref="H3429:H3434" si="259">G3429-G3428</f>
        <v>13.73</v>
      </c>
      <c r="I3429" s="171"/>
      <c r="J3429" s="171">
        <v>1059.75</v>
      </c>
      <c r="K3429" s="171">
        <v>4140.875</v>
      </c>
      <c r="L3429" s="172"/>
      <c r="M3429" s="161">
        <v>0</v>
      </c>
      <c r="N3429" s="161"/>
      <c r="O3429" s="161" t="s">
        <v>14</v>
      </c>
      <c r="P3429" s="49" t="s">
        <v>14</v>
      </c>
      <c r="Q3429" s="166"/>
      <c r="R3429" s="151"/>
    </row>
    <row r="3430" spans="1:18">
      <c r="A3430" s="49" t="s">
        <v>84</v>
      </c>
      <c r="B3430" s="195" t="s">
        <v>897</v>
      </c>
      <c r="C3430" s="87" t="s">
        <v>7521</v>
      </c>
      <c r="D3430" s="161" t="s">
        <v>1305</v>
      </c>
      <c r="E3430" s="161" t="s">
        <v>3647</v>
      </c>
      <c r="F3430" s="161" t="s">
        <v>7519</v>
      </c>
      <c r="G3430" s="163">
        <v>20.63</v>
      </c>
      <c r="H3430" s="163">
        <f t="shared" si="259"/>
        <v>6.7</v>
      </c>
      <c r="I3430" s="171"/>
      <c r="J3430" s="171">
        <v>3532.5</v>
      </c>
      <c r="K3430" s="171">
        <v>7673.375</v>
      </c>
      <c r="L3430" s="172"/>
      <c r="M3430" s="161" t="s">
        <v>4843</v>
      </c>
      <c r="N3430" s="161" t="s">
        <v>1299</v>
      </c>
      <c r="O3430" s="161" t="s">
        <v>25</v>
      </c>
      <c r="P3430" s="49" t="s">
        <v>25</v>
      </c>
      <c r="Q3430" s="166"/>
      <c r="R3430" s="151"/>
    </row>
    <row r="3431" spans="1:18">
      <c r="A3431" s="49" t="s">
        <v>84</v>
      </c>
      <c r="B3431" s="195" t="s">
        <v>897</v>
      </c>
      <c r="C3431" s="87" t="s">
        <v>7522</v>
      </c>
      <c r="D3431" s="161" t="s">
        <v>7522</v>
      </c>
      <c r="E3431" s="161" t="s">
        <v>3647</v>
      </c>
      <c r="F3431" s="161" t="s">
        <v>7519</v>
      </c>
      <c r="G3431" s="163">
        <v>37.53</v>
      </c>
      <c r="H3431" s="163">
        <f t="shared" si="259"/>
        <v>16.9</v>
      </c>
      <c r="I3431" s="171"/>
      <c r="J3431" s="171">
        <v>5043.625</v>
      </c>
      <c r="K3431" s="171">
        <v>12717</v>
      </c>
      <c r="L3431" s="172"/>
      <c r="M3431" s="161">
        <v>0</v>
      </c>
      <c r="N3431" s="161"/>
      <c r="O3431" s="161" t="s">
        <v>15</v>
      </c>
      <c r="P3431" s="49" t="s">
        <v>15</v>
      </c>
      <c r="Q3431" s="166"/>
      <c r="R3431" s="151"/>
    </row>
    <row r="3432" spans="1:18">
      <c r="A3432" s="49" t="s">
        <v>84</v>
      </c>
      <c r="B3432" s="195" t="s">
        <v>897</v>
      </c>
      <c r="C3432" s="87" t="s">
        <v>7523</v>
      </c>
      <c r="D3432" s="161" t="s">
        <v>7523</v>
      </c>
      <c r="E3432" s="161" t="s">
        <v>3647</v>
      </c>
      <c r="F3432" s="161" t="s">
        <v>7519</v>
      </c>
      <c r="G3432" s="163">
        <v>64.03</v>
      </c>
      <c r="H3432" s="163">
        <f t="shared" si="259"/>
        <v>26.5</v>
      </c>
      <c r="I3432" s="171"/>
      <c r="J3432" s="171">
        <v>2413.875</v>
      </c>
      <c r="K3432" s="171">
        <v>15130.875</v>
      </c>
      <c r="L3432" s="172"/>
      <c r="M3432" s="161">
        <v>0</v>
      </c>
      <c r="N3432" s="161"/>
      <c r="O3432" s="161" t="s">
        <v>14</v>
      </c>
      <c r="P3432" s="49" t="s">
        <v>14</v>
      </c>
      <c r="Q3432" s="166"/>
      <c r="R3432" s="151"/>
    </row>
    <row r="3433" spans="1:18">
      <c r="A3433" s="49" t="s">
        <v>84</v>
      </c>
      <c r="B3433" s="195" t="s">
        <v>897</v>
      </c>
      <c r="C3433" s="87" t="s">
        <v>7524</v>
      </c>
      <c r="D3433" s="161" t="s">
        <v>1307</v>
      </c>
      <c r="E3433" s="161" t="s">
        <v>3647</v>
      </c>
      <c r="F3433" s="161" t="s">
        <v>7519</v>
      </c>
      <c r="G3433" s="163">
        <v>73.03</v>
      </c>
      <c r="H3433" s="163">
        <f t="shared" si="259"/>
        <v>9</v>
      </c>
      <c r="I3433" s="171"/>
      <c r="J3433" s="171">
        <v>1884</v>
      </c>
      <c r="K3433" s="171">
        <v>17014.875</v>
      </c>
      <c r="L3433" s="172"/>
      <c r="M3433" s="161" t="s">
        <v>4843</v>
      </c>
      <c r="N3433" s="161" t="s">
        <v>1299</v>
      </c>
      <c r="O3433" s="161" t="s">
        <v>25</v>
      </c>
      <c r="P3433" s="49" t="s">
        <v>25</v>
      </c>
      <c r="Q3433" s="166"/>
      <c r="R3433" s="151"/>
    </row>
    <row r="3434" spans="1:18">
      <c r="A3434" s="49" t="s">
        <v>84</v>
      </c>
      <c r="B3434" s="195" t="s">
        <v>897</v>
      </c>
      <c r="C3434" s="87" t="s">
        <v>7525</v>
      </c>
      <c r="D3434" s="161" t="s">
        <v>7525</v>
      </c>
      <c r="E3434" s="161" t="s">
        <v>3647</v>
      </c>
      <c r="F3434" s="161" t="s">
        <v>7519</v>
      </c>
      <c r="G3434" s="163">
        <v>82.55</v>
      </c>
      <c r="H3434" s="163">
        <f t="shared" si="259"/>
        <v>9.52</v>
      </c>
      <c r="I3434" s="171"/>
      <c r="J3434" s="171">
        <v>1846.69</v>
      </c>
      <c r="K3434" s="171">
        <v>18861.565</v>
      </c>
      <c r="L3434" s="172"/>
      <c r="M3434" s="161">
        <v>0</v>
      </c>
      <c r="N3434" s="161"/>
      <c r="O3434" s="161" t="s">
        <v>14</v>
      </c>
      <c r="P3434" s="49" t="s">
        <v>14</v>
      </c>
      <c r="Q3434" s="166"/>
      <c r="R3434" s="151"/>
    </row>
    <row r="3435" s="152" customFormat="1" spans="1:18">
      <c r="A3435" s="49" t="s">
        <v>84</v>
      </c>
      <c r="B3435" s="195" t="s">
        <v>899</v>
      </c>
      <c r="C3435" s="135" t="s">
        <v>900</v>
      </c>
      <c r="D3435" s="195" t="s">
        <v>900</v>
      </c>
      <c r="E3435" s="161" t="s">
        <v>3647</v>
      </c>
      <c r="F3435" s="161"/>
      <c r="G3435" s="163">
        <v>0</v>
      </c>
      <c r="H3435" s="163">
        <v>0</v>
      </c>
      <c r="I3435" s="163">
        <v>3</v>
      </c>
      <c r="J3435" s="163">
        <v>0</v>
      </c>
      <c r="K3435" s="163">
        <v>0</v>
      </c>
      <c r="L3435" s="172" t="s">
        <v>7526</v>
      </c>
      <c r="M3435" s="161"/>
      <c r="N3435" s="161"/>
      <c r="O3435" s="161"/>
      <c r="P3435" s="49"/>
      <c r="Q3435" s="166" t="s">
        <v>7527</v>
      </c>
      <c r="R3435" s="151"/>
    </row>
    <row r="3436" s="152" customFormat="1" spans="1:18">
      <c r="A3436" s="49" t="s">
        <v>84</v>
      </c>
      <c r="B3436" s="195" t="s">
        <v>899</v>
      </c>
      <c r="C3436" s="87" t="s">
        <v>7528</v>
      </c>
      <c r="D3436" s="195" t="s">
        <v>7529</v>
      </c>
      <c r="E3436" s="161" t="s">
        <v>3647</v>
      </c>
      <c r="F3436" s="161" t="s">
        <v>3730</v>
      </c>
      <c r="G3436" s="163">
        <v>11.27</v>
      </c>
      <c r="H3436" s="163">
        <v>11.27</v>
      </c>
      <c r="I3436" s="163">
        <v>223</v>
      </c>
      <c r="J3436" s="163">
        <v>5491</v>
      </c>
      <c r="K3436" s="163">
        <v>5491</v>
      </c>
      <c r="L3436" s="172"/>
      <c r="M3436" s="161"/>
      <c r="N3436" s="161" t="s">
        <v>1299</v>
      </c>
      <c r="O3436" s="161"/>
      <c r="P3436" s="49" t="s">
        <v>25</v>
      </c>
      <c r="Q3436" s="166" t="s">
        <v>7530</v>
      </c>
      <c r="R3436" s="151"/>
    </row>
    <row r="3437" s="152" customFormat="1" spans="1:18">
      <c r="A3437" s="49" t="s">
        <v>84</v>
      </c>
      <c r="B3437" s="195" t="s">
        <v>899</v>
      </c>
      <c r="C3437" s="87" t="s">
        <v>7531</v>
      </c>
      <c r="D3437" s="195" t="s">
        <v>7531</v>
      </c>
      <c r="E3437" s="161" t="s">
        <v>3647</v>
      </c>
      <c r="F3437" s="161" t="s">
        <v>3730</v>
      </c>
      <c r="G3437" s="163">
        <v>18.6</v>
      </c>
      <c r="H3437" s="163">
        <v>7.33</v>
      </c>
      <c r="I3437" s="163">
        <v>3</v>
      </c>
      <c r="J3437" s="163">
        <v>3571</v>
      </c>
      <c r="K3437" s="163">
        <v>9062</v>
      </c>
      <c r="L3437" s="172"/>
      <c r="M3437" s="161"/>
      <c r="N3437" s="161"/>
      <c r="O3437" s="161"/>
      <c r="P3437" s="49" t="s">
        <v>14</v>
      </c>
      <c r="Q3437" s="166" t="s">
        <v>7532</v>
      </c>
      <c r="R3437" s="151"/>
    </row>
    <row r="3438" s="152" customFormat="1" spans="1:18">
      <c r="A3438" s="49" t="s">
        <v>84</v>
      </c>
      <c r="B3438" s="195" t="s">
        <v>899</v>
      </c>
      <c r="C3438" s="87" t="s">
        <v>7533</v>
      </c>
      <c r="D3438" s="195" t="s">
        <v>7533</v>
      </c>
      <c r="E3438" s="161" t="s">
        <v>3647</v>
      </c>
      <c r="F3438" s="161" t="s">
        <v>3730</v>
      </c>
      <c r="G3438" s="163">
        <v>34.48</v>
      </c>
      <c r="H3438" s="163">
        <v>15.88</v>
      </c>
      <c r="I3438" s="163">
        <v>18</v>
      </c>
      <c r="J3438" s="163">
        <v>7736</v>
      </c>
      <c r="K3438" s="163">
        <v>16798</v>
      </c>
      <c r="L3438" s="172"/>
      <c r="M3438" s="161"/>
      <c r="N3438" s="161"/>
      <c r="O3438" s="161"/>
      <c r="P3438" s="49" t="s">
        <v>14</v>
      </c>
      <c r="Q3438" s="166" t="s">
        <v>7534</v>
      </c>
      <c r="R3438" s="151"/>
    </row>
    <row r="3439" s="152" customFormat="1" spans="1:18">
      <c r="A3439" s="49" t="s">
        <v>84</v>
      </c>
      <c r="B3439" s="195" t="s">
        <v>899</v>
      </c>
      <c r="C3439" s="87" t="s">
        <v>7535</v>
      </c>
      <c r="D3439" s="195" t="s">
        <v>7536</v>
      </c>
      <c r="E3439" s="161" t="s">
        <v>3647</v>
      </c>
      <c r="F3439" s="161" t="s">
        <v>3730</v>
      </c>
      <c r="G3439" s="163">
        <v>51.65</v>
      </c>
      <c r="H3439" s="163">
        <v>17.17</v>
      </c>
      <c r="I3439" s="163">
        <v>64</v>
      </c>
      <c r="J3439" s="163">
        <v>8365</v>
      </c>
      <c r="K3439" s="163">
        <v>25163</v>
      </c>
      <c r="L3439" s="172"/>
      <c r="M3439" s="161"/>
      <c r="N3439" s="161" t="s">
        <v>1299</v>
      </c>
      <c r="O3439" s="161"/>
      <c r="P3439" s="49" t="s">
        <v>25</v>
      </c>
      <c r="Q3439" s="166" t="s">
        <v>7537</v>
      </c>
      <c r="R3439" s="151"/>
    </row>
    <row r="3440" s="152" customFormat="1" spans="1:18">
      <c r="A3440" s="49" t="s">
        <v>84</v>
      </c>
      <c r="B3440" s="195" t="s">
        <v>899</v>
      </c>
      <c r="C3440" s="87" t="s">
        <v>7538</v>
      </c>
      <c r="D3440" s="195" t="s">
        <v>7539</v>
      </c>
      <c r="E3440" s="161" t="s">
        <v>3647</v>
      </c>
      <c r="F3440" s="161" t="s">
        <v>3730</v>
      </c>
      <c r="G3440" s="163">
        <v>64.85</v>
      </c>
      <c r="H3440" s="163">
        <v>13.2</v>
      </c>
      <c r="I3440" s="163">
        <v>135</v>
      </c>
      <c r="J3440" s="163">
        <v>6431</v>
      </c>
      <c r="K3440" s="163">
        <v>31594</v>
      </c>
      <c r="L3440" s="172"/>
      <c r="M3440" s="161"/>
      <c r="N3440" s="161" t="s">
        <v>1299</v>
      </c>
      <c r="O3440" s="161"/>
      <c r="P3440" s="49" t="s">
        <v>25</v>
      </c>
      <c r="Q3440" s="166" t="s">
        <v>7540</v>
      </c>
      <c r="R3440" s="151"/>
    </row>
    <row r="3441" s="152" customFormat="1" spans="1:18">
      <c r="A3441" s="49" t="s">
        <v>84</v>
      </c>
      <c r="B3441" s="195" t="s">
        <v>899</v>
      </c>
      <c r="C3441" s="87" t="s">
        <v>7541</v>
      </c>
      <c r="D3441" s="195" t="s">
        <v>7541</v>
      </c>
      <c r="E3441" s="161" t="s">
        <v>3647</v>
      </c>
      <c r="F3441" s="161" t="s">
        <v>3730</v>
      </c>
      <c r="G3441" s="163">
        <v>83.74</v>
      </c>
      <c r="H3441" s="163">
        <v>18.89</v>
      </c>
      <c r="I3441" s="163">
        <v>12</v>
      </c>
      <c r="J3441" s="163">
        <v>9203</v>
      </c>
      <c r="K3441" s="163">
        <v>407965</v>
      </c>
      <c r="L3441" s="172"/>
      <c r="M3441" s="161"/>
      <c r="N3441" s="161"/>
      <c r="O3441" s="161"/>
      <c r="P3441" s="49" t="s">
        <v>14</v>
      </c>
      <c r="Q3441" s="166" t="s">
        <v>7542</v>
      </c>
      <c r="R3441" s="151"/>
    </row>
    <row r="3442" s="152" customFormat="1" spans="1:18">
      <c r="A3442" s="49" t="s">
        <v>84</v>
      </c>
      <c r="B3442" s="195" t="s">
        <v>899</v>
      </c>
      <c r="C3442" s="87" t="s">
        <v>7543</v>
      </c>
      <c r="D3442" s="195" t="s">
        <v>7543</v>
      </c>
      <c r="E3442" s="161" t="s">
        <v>3647</v>
      </c>
      <c r="F3442" s="161" t="s">
        <v>7544</v>
      </c>
      <c r="G3442" s="163">
        <v>105.08</v>
      </c>
      <c r="H3442" s="163">
        <v>21.34</v>
      </c>
      <c r="I3442" s="163">
        <v>47</v>
      </c>
      <c r="J3442" s="163">
        <v>10396</v>
      </c>
      <c r="K3442" s="163">
        <v>51193</v>
      </c>
      <c r="L3442" s="172"/>
      <c r="M3442" s="161"/>
      <c r="N3442" s="161"/>
      <c r="O3442" s="161"/>
      <c r="P3442" s="49" t="s">
        <v>14</v>
      </c>
      <c r="Q3442" s="166" t="s">
        <v>7545</v>
      </c>
      <c r="R3442" s="151"/>
    </row>
    <row r="3443" s="152" customFormat="1" spans="1:18">
      <c r="A3443" s="49" t="s">
        <v>84</v>
      </c>
      <c r="B3443" s="195" t="s">
        <v>899</v>
      </c>
      <c r="C3443" s="87" t="s">
        <v>7546</v>
      </c>
      <c r="D3443" s="195" t="s">
        <v>7547</v>
      </c>
      <c r="E3443" s="161" t="s">
        <v>3647</v>
      </c>
      <c r="F3443" s="161" t="s">
        <v>7544</v>
      </c>
      <c r="G3443" s="163">
        <v>119.23</v>
      </c>
      <c r="H3443" s="163">
        <v>14.15</v>
      </c>
      <c r="I3443" s="163">
        <v>28</v>
      </c>
      <c r="J3443" s="163">
        <v>6894</v>
      </c>
      <c r="K3443" s="163">
        <v>58086</v>
      </c>
      <c r="L3443" s="172"/>
      <c r="M3443" s="161"/>
      <c r="N3443" s="161" t="s">
        <v>1299</v>
      </c>
      <c r="O3443" s="161"/>
      <c r="P3443" s="49" t="s">
        <v>25</v>
      </c>
      <c r="Q3443" s="166" t="s">
        <v>7548</v>
      </c>
      <c r="R3443" s="151"/>
    </row>
    <row r="3444" s="152" customFormat="1" spans="1:18">
      <c r="A3444" s="49" t="s">
        <v>84</v>
      </c>
      <c r="B3444" s="195" t="s">
        <v>899</v>
      </c>
      <c r="C3444" s="87" t="s">
        <v>7549</v>
      </c>
      <c r="D3444" s="195" t="s">
        <v>7549</v>
      </c>
      <c r="E3444" s="161" t="s">
        <v>3647</v>
      </c>
      <c r="F3444" s="161" t="s">
        <v>7544</v>
      </c>
      <c r="G3444" s="163">
        <v>143.08</v>
      </c>
      <c r="H3444" s="163">
        <v>23.85</v>
      </c>
      <c r="I3444" s="163">
        <v>63</v>
      </c>
      <c r="J3444" s="163">
        <v>11619</v>
      </c>
      <c r="K3444" s="163">
        <v>69706</v>
      </c>
      <c r="L3444" s="172"/>
      <c r="M3444" s="161"/>
      <c r="N3444" s="161"/>
      <c r="O3444" s="161"/>
      <c r="P3444" s="49" t="s">
        <v>14</v>
      </c>
      <c r="Q3444" s="166" t="s">
        <v>7550</v>
      </c>
      <c r="R3444" s="151"/>
    </row>
    <row r="3445" s="152" customFormat="1" spans="1:18">
      <c r="A3445" s="49" t="s">
        <v>84</v>
      </c>
      <c r="B3445" s="195" t="s">
        <v>899</v>
      </c>
      <c r="C3445" s="87" t="s">
        <v>7551</v>
      </c>
      <c r="D3445" s="195" t="s">
        <v>7552</v>
      </c>
      <c r="E3445" s="161" t="s">
        <v>3647</v>
      </c>
      <c r="F3445" s="161" t="s">
        <v>7544</v>
      </c>
      <c r="G3445" s="163">
        <v>160.08</v>
      </c>
      <c r="H3445" s="163">
        <v>17</v>
      </c>
      <c r="I3445" s="163">
        <v>55</v>
      </c>
      <c r="J3445" s="163">
        <v>8282</v>
      </c>
      <c r="K3445" s="163">
        <v>77988</v>
      </c>
      <c r="L3445" s="172"/>
      <c r="M3445" s="161"/>
      <c r="N3445" s="161" t="s">
        <v>1299</v>
      </c>
      <c r="O3445" s="161"/>
      <c r="P3445" s="49" t="s">
        <v>25</v>
      </c>
      <c r="Q3445" s="166" t="s">
        <v>7553</v>
      </c>
      <c r="R3445" s="151"/>
    </row>
    <row r="3446" s="152" customFormat="1" spans="1:18">
      <c r="A3446" s="49" t="s">
        <v>84</v>
      </c>
      <c r="B3446" s="195" t="s">
        <v>899</v>
      </c>
      <c r="C3446" s="87" t="s">
        <v>7554</v>
      </c>
      <c r="D3446" s="195" t="s">
        <v>7554</v>
      </c>
      <c r="E3446" s="161" t="s">
        <v>3647</v>
      </c>
      <c r="F3446" s="161" t="s">
        <v>7544</v>
      </c>
      <c r="G3446" s="163">
        <v>169.87</v>
      </c>
      <c r="H3446" s="163">
        <v>9.79</v>
      </c>
      <c r="I3446" s="163">
        <v>51</v>
      </c>
      <c r="J3446" s="163">
        <v>4769</v>
      </c>
      <c r="K3446" s="163">
        <v>82757</v>
      </c>
      <c r="L3446" s="172"/>
      <c r="M3446" s="161"/>
      <c r="N3446" s="161"/>
      <c r="O3446" s="161"/>
      <c r="P3446" s="49" t="s">
        <v>14</v>
      </c>
      <c r="Q3446" s="166" t="s">
        <v>7555</v>
      </c>
      <c r="R3446" s="151"/>
    </row>
    <row r="3447" s="152" customFormat="1" spans="1:18">
      <c r="A3447" s="49" t="s">
        <v>84</v>
      </c>
      <c r="B3447" s="195" t="s">
        <v>899</v>
      </c>
      <c r="C3447" s="87" t="s">
        <v>7556</v>
      </c>
      <c r="D3447" s="195" t="s">
        <v>7557</v>
      </c>
      <c r="E3447" s="161" t="s">
        <v>3647</v>
      </c>
      <c r="F3447" s="161" t="s">
        <v>7544</v>
      </c>
      <c r="G3447" s="163">
        <v>192.54</v>
      </c>
      <c r="H3447" s="163">
        <v>22.67</v>
      </c>
      <c r="I3447" s="163">
        <v>676</v>
      </c>
      <c r="J3447" s="163">
        <v>11044</v>
      </c>
      <c r="K3447" s="163">
        <v>93801</v>
      </c>
      <c r="L3447" s="172"/>
      <c r="M3447" s="161"/>
      <c r="N3447" s="161" t="s">
        <v>1299</v>
      </c>
      <c r="O3447" s="161"/>
      <c r="P3447" s="49" t="s">
        <v>25</v>
      </c>
      <c r="Q3447" s="166" t="s">
        <v>7558</v>
      </c>
      <c r="R3447" s="151"/>
    </row>
    <row r="3448" s="152" customFormat="1" spans="1:18">
      <c r="A3448" s="49" t="s">
        <v>84</v>
      </c>
      <c r="B3448" s="195" t="s">
        <v>899</v>
      </c>
      <c r="C3448" s="87" t="s">
        <v>7559</v>
      </c>
      <c r="D3448" s="195" t="s">
        <v>7559</v>
      </c>
      <c r="E3448" s="161" t="s">
        <v>3647</v>
      </c>
      <c r="F3448" s="161" t="s">
        <v>7544</v>
      </c>
      <c r="G3448" s="163">
        <v>203.91</v>
      </c>
      <c r="H3448" s="163">
        <v>11.37</v>
      </c>
      <c r="I3448" s="163">
        <v>848</v>
      </c>
      <c r="J3448" s="163">
        <v>5539</v>
      </c>
      <c r="K3448" s="163">
        <v>99341</v>
      </c>
      <c r="L3448" s="172"/>
      <c r="M3448" s="161"/>
      <c r="N3448" s="161"/>
      <c r="O3448" s="161"/>
      <c r="P3448" s="49" t="s">
        <v>14</v>
      </c>
      <c r="Q3448" s="166" t="s">
        <v>7560</v>
      </c>
      <c r="R3448" s="151"/>
    </row>
    <row r="3449" s="152" customFormat="1" spans="1:18">
      <c r="A3449" s="49" t="s">
        <v>84</v>
      </c>
      <c r="B3449" s="195" t="s">
        <v>899</v>
      </c>
      <c r="C3449" s="87" t="s">
        <v>7561</v>
      </c>
      <c r="D3449" s="195" t="s">
        <v>7562</v>
      </c>
      <c r="E3449" s="161" t="s">
        <v>3647</v>
      </c>
      <c r="F3449" s="161" t="s">
        <v>7544</v>
      </c>
      <c r="G3449" s="163">
        <v>222.7</v>
      </c>
      <c r="H3449" s="163">
        <v>18.79</v>
      </c>
      <c r="I3449" s="163">
        <v>770</v>
      </c>
      <c r="J3449" s="163">
        <v>9154</v>
      </c>
      <c r="K3449" s="163">
        <v>108495</v>
      </c>
      <c r="L3449" s="172"/>
      <c r="M3449" s="161"/>
      <c r="N3449" s="161" t="s">
        <v>1299</v>
      </c>
      <c r="O3449" s="161"/>
      <c r="P3449" s="49" t="s">
        <v>25</v>
      </c>
      <c r="Q3449" s="192" t="s">
        <v>7563</v>
      </c>
      <c r="R3449" s="151"/>
    </row>
    <row r="3450" s="152" customFormat="1" spans="1:18">
      <c r="A3450" s="49" t="s">
        <v>84</v>
      </c>
      <c r="B3450" s="195" t="s">
        <v>899</v>
      </c>
      <c r="C3450" s="87" t="s">
        <v>901</v>
      </c>
      <c r="D3450" s="195" t="s">
        <v>901</v>
      </c>
      <c r="E3450" s="161" t="s">
        <v>3647</v>
      </c>
      <c r="F3450" s="161" t="s">
        <v>7544</v>
      </c>
      <c r="G3450" s="163">
        <v>249.8</v>
      </c>
      <c r="H3450" s="163">
        <v>27.1</v>
      </c>
      <c r="I3450" s="163">
        <v>28</v>
      </c>
      <c r="J3450" s="163">
        <v>13203</v>
      </c>
      <c r="K3450" s="163">
        <v>121697</v>
      </c>
      <c r="L3450" s="172"/>
      <c r="M3450" s="161"/>
      <c r="N3450" s="161"/>
      <c r="O3450" s="161"/>
      <c r="P3450" s="49" t="s">
        <v>14</v>
      </c>
      <c r="Q3450" s="192" t="s">
        <v>7564</v>
      </c>
      <c r="R3450" s="151"/>
    </row>
    <row r="3451" s="152" customFormat="1" spans="1:18">
      <c r="A3451" s="49" t="s">
        <v>84</v>
      </c>
      <c r="B3451" s="195" t="s">
        <v>902</v>
      </c>
      <c r="C3451" s="135" t="s">
        <v>3684</v>
      </c>
      <c r="D3451" s="195" t="s">
        <v>3684</v>
      </c>
      <c r="E3451" s="161" t="s">
        <v>3647</v>
      </c>
      <c r="F3451" s="161"/>
      <c r="G3451" s="163">
        <v>0</v>
      </c>
      <c r="H3451" s="163">
        <v>0</v>
      </c>
      <c r="I3451" s="163">
        <v>36</v>
      </c>
      <c r="J3451" s="163">
        <v>0</v>
      </c>
      <c r="K3451" s="163">
        <v>0</v>
      </c>
      <c r="L3451" s="172"/>
      <c r="M3451" s="161"/>
      <c r="N3451" s="161"/>
      <c r="O3451" s="161"/>
      <c r="P3451" s="49"/>
      <c r="Q3451" s="192" t="s">
        <v>7565</v>
      </c>
      <c r="R3451" s="151"/>
    </row>
    <row r="3452" s="152" customFormat="1" spans="1:18">
      <c r="A3452" s="49" t="s">
        <v>84</v>
      </c>
      <c r="B3452" s="195" t="s">
        <v>902</v>
      </c>
      <c r="C3452" s="87" t="s">
        <v>7566</v>
      </c>
      <c r="D3452" s="195" t="s">
        <v>7566</v>
      </c>
      <c r="E3452" s="161" t="s">
        <v>3647</v>
      </c>
      <c r="F3452" s="161"/>
      <c r="G3452" s="163">
        <v>3.32</v>
      </c>
      <c r="H3452" s="163">
        <v>3.32</v>
      </c>
      <c r="I3452" s="163">
        <v>34</v>
      </c>
      <c r="J3452" s="163">
        <v>1616</v>
      </c>
      <c r="K3452" s="163">
        <v>1616</v>
      </c>
      <c r="L3452" s="172"/>
      <c r="M3452" s="161"/>
      <c r="N3452" s="161"/>
      <c r="O3452" s="161"/>
      <c r="P3452" s="49" t="s">
        <v>15</v>
      </c>
      <c r="Q3452" s="192" t="s">
        <v>7567</v>
      </c>
      <c r="R3452" s="151"/>
    </row>
    <row r="3453" s="152" customFormat="1" spans="1:18">
      <c r="A3453" s="49" t="s">
        <v>84</v>
      </c>
      <c r="B3453" s="195" t="s">
        <v>904</v>
      </c>
      <c r="C3453" s="135" t="s">
        <v>7566</v>
      </c>
      <c r="D3453" s="195" t="s">
        <v>7566</v>
      </c>
      <c r="E3453" s="161" t="s">
        <v>3647</v>
      </c>
      <c r="F3453" s="161"/>
      <c r="G3453" s="163">
        <v>0</v>
      </c>
      <c r="H3453" s="163">
        <v>0</v>
      </c>
      <c r="I3453" s="163">
        <v>34</v>
      </c>
      <c r="J3453" s="163">
        <v>0</v>
      </c>
      <c r="K3453" s="163">
        <v>0</v>
      </c>
      <c r="L3453" s="172"/>
      <c r="M3453" s="161"/>
      <c r="N3453" s="161"/>
      <c r="O3453" s="161"/>
      <c r="P3453" s="49"/>
      <c r="Q3453" s="192" t="s">
        <v>7567</v>
      </c>
      <c r="R3453" s="151"/>
    </row>
    <row r="3454" s="152" customFormat="1" spans="1:18">
      <c r="A3454" s="49" t="s">
        <v>84</v>
      </c>
      <c r="B3454" s="195" t="s">
        <v>904</v>
      </c>
      <c r="C3454" s="87" t="s">
        <v>1811</v>
      </c>
      <c r="D3454" s="195" t="s">
        <v>1298</v>
      </c>
      <c r="E3454" s="161" t="s">
        <v>3647</v>
      </c>
      <c r="F3454" s="161"/>
      <c r="G3454" s="163">
        <f t="shared" ref="G3454:G3463" si="260">G3453+H3454</f>
        <v>12.42</v>
      </c>
      <c r="H3454" s="163">
        <v>12.42</v>
      </c>
      <c r="I3454" s="163">
        <v>25</v>
      </c>
      <c r="J3454" s="163">
        <v>4435</v>
      </c>
      <c r="K3454" s="163">
        <f>K3453+J3454</f>
        <v>4435</v>
      </c>
      <c r="L3454" s="172"/>
      <c r="M3454" s="161"/>
      <c r="N3454" s="161" t="s">
        <v>1299</v>
      </c>
      <c r="O3454" s="161"/>
      <c r="P3454" s="49" t="s">
        <v>25</v>
      </c>
      <c r="Q3454" s="192" t="s">
        <v>7568</v>
      </c>
      <c r="R3454" s="151"/>
    </row>
    <row r="3455" s="152" customFormat="1" spans="1:18">
      <c r="A3455" s="49" t="s">
        <v>84</v>
      </c>
      <c r="B3455" s="195" t="s">
        <v>904</v>
      </c>
      <c r="C3455" s="87" t="s">
        <v>7569</v>
      </c>
      <c r="D3455" s="195" t="s">
        <v>7569</v>
      </c>
      <c r="E3455" s="161" t="s">
        <v>3647</v>
      </c>
      <c r="F3455" s="161"/>
      <c r="G3455" s="163">
        <f t="shared" si="260"/>
        <v>35.7</v>
      </c>
      <c r="H3455" s="163">
        <v>23.28</v>
      </c>
      <c r="I3455" s="163">
        <v>71</v>
      </c>
      <c r="J3455" s="163">
        <v>11342</v>
      </c>
      <c r="K3455" s="163">
        <f t="shared" ref="K3455:K3463" si="261">K3454+J3455</f>
        <v>15777</v>
      </c>
      <c r="L3455" s="172"/>
      <c r="M3455" s="161"/>
      <c r="N3455" s="161"/>
      <c r="O3455" s="161"/>
      <c r="P3455" s="49" t="s">
        <v>15</v>
      </c>
      <c r="Q3455" s="192" t="s">
        <v>7570</v>
      </c>
      <c r="R3455" s="151"/>
    </row>
    <row r="3456" s="152" customFormat="1" spans="1:18">
      <c r="A3456" s="49" t="s">
        <v>84</v>
      </c>
      <c r="B3456" s="195" t="s">
        <v>904</v>
      </c>
      <c r="C3456" s="87" t="s">
        <v>1210</v>
      </c>
      <c r="D3456" s="195" t="s">
        <v>1305</v>
      </c>
      <c r="E3456" s="161" t="s">
        <v>3647</v>
      </c>
      <c r="F3456" s="161"/>
      <c r="G3456" s="163">
        <f t="shared" si="260"/>
        <v>53.37</v>
      </c>
      <c r="H3456" s="163">
        <v>17.67</v>
      </c>
      <c r="I3456" s="163">
        <v>32</v>
      </c>
      <c r="J3456" s="163">
        <v>8609</v>
      </c>
      <c r="K3456" s="163">
        <f t="shared" si="261"/>
        <v>24386</v>
      </c>
      <c r="L3456" s="172"/>
      <c r="M3456" s="161"/>
      <c r="N3456" s="161" t="s">
        <v>1299</v>
      </c>
      <c r="O3456" s="161"/>
      <c r="P3456" s="49" t="s">
        <v>25</v>
      </c>
      <c r="Q3456" s="192" t="s">
        <v>7571</v>
      </c>
      <c r="R3456" s="151"/>
    </row>
    <row r="3457" s="152" customFormat="1" spans="1:18">
      <c r="A3457" s="49" t="s">
        <v>84</v>
      </c>
      <c r="B3457" s="195" t="s">
        <v>904</v>
      </c>
      <c r="C3457" s="87" t="s">
        <v>1820</v>
      </c>
      <c r="D3457" s="195" t="s">
        <v>1307</v>
      </c>
      <c r="E3457" s="161" t="s">
        <v>3647</v>
      </c>
      <c r="F3457" s="161"/>
      <c r="G3457" s="163">
        <f t="shared" si="260"/>
        <v>70.22</v>
      </c>
      <c r="H3457" s="163">
        <v>16.85</v>
      </c>
      <c r="I3457" s="163">
        <v>25</v>
      </c>
      <c r="J3457" s="163">
        <v>8209</v>
      </c>
      <c r="K3457" s="163">
        <f t="shared" si="261"/>
        <v>32595</v>
      </c>
      <c r="L3457" s="172"/>
      <c r="M3457" s="161"/>
      <c r="N3457" s="161" t="s">
        <v>1299</v>
      </c>
      <c r="O3457" s="161"/>
      <c r="P3457" s="49" t="s">
        <v>25</v>
      </c>
      <c r="Q3457" s="192" t="s">
        <v>7572</v>
      </c>
      <c r="R3457" s="151"/>
    </row>
    <row r="3458" s="152" customFormat="1" spans="1:18">
      <c r="A3458" s="49" t="s">
        <v>84</v>
      </c>
      <c r="B3458" s="195" t="s">
        <v>904</v>
      </c>
      <c r="C3458" s="87" t="s">
        <v>7573</v>
      </c>
      <c r="D3458" s="195" t="s">
        <v>7573</v>
      </c>
      <c r="E3458" s="161" t="s">
        <v>3647</v>
      </c>
      <c r="F3458" s="161"/>
      <c r="G3458" s="163">
        <f t="shared" si="260"/>
        <v>86.34</v>
      </c>
      <c r="H3458" s="163">
        <v>16.12</v>
      </c>
      <c r="I3458" s="163">
        <v>14</v>
      </c>
      <c r="J3458" s="163">
        <v>7854</v>
      </c>
      <c r="K3458" s="163">
        <f t="shared" si="261"/>
        <v>40449</v>
      </c>
      <c r="L3458" s="172"/>
      <c r="M3458" s="161"/>
      <c r="N3458" s="161"/>
      <c r="O3458" s="161"/>
      <c r="P3458" s="49" t="s">
        <v>14</v>
      </c>
      <c r="Q3458" s="192" t="s">
        <v>7574</v>
      </c>
      <c r="R3458" s="151"/>
    </row>
    <row r="3459" s="152" customFormat="1" spans="1:18">
      <c r="A3459" s="49" t="s">
        <v>84</v>
      </c>
      <c r="B3459" s="195" t="s">
        <v>904</v>
      </c>
      <c r="C3459" s="87" t="s">
        <v>741</v>
      </c>
      <c r="D3459" s="195" t="s">
        <v>1311</v>
      </c>
      <c r="E3459" s="161" t="s">
        <v>3647</v>
      </c>
      <c r="F3459" s="161"/>
      <c r="G3459" s="163">
        <f t="shared" si="260"/>
        <v>106.43</v>
      </c>
      <c r="H3459" s="163">
        <v>20.09</v>
      </c>
      <c r="I3459" s="163">
        <v>14</v>
      </c>
      <c r="J3459" s="163">
        <v>9788</v>
      </c>
      <c r="K3459" s="163">
        <f t="shared" si="261"/>
        <v>50237</v>
      </c>
      <c r="L3459" s="172"/>
      <c r="M3459" s="161"/>
      <c r="N3459" s="161" t="s">
        <v>1299</v>
      </c>
      <c r="O3459" s="161"/>
      <c r="P3459" s="49" t="s">
        <v>25</v>
      </c>
      <c r="Q3459" s="192" t="s">
        <v>7575</v>
      </c>
      <c r="R3459" s="151"/>
    </row>
    <row r="3460" s="152" customFormat="1" spans="1:18">
      <c r="A3460" s="49" t="s">
        <v>84</v>
      </c>
      <c r="B3460" s="195" t="s">
        <v>904</v>
      </c>
      <c r="C3460" s="87" t="s">
        <v>1848</v>
      </c>
      <c r="D3460" s="195" t="s">
        <v>1318</v>
      </c>
      <c r="E3460" s="161" t="s">
        <v>3647</v>
      </c>
      <c r="F3460" s="161"/>
      <c r="G3460" s="163">
        <f t="shared" si="260"/>
        <v>128.34</v>
      </c>
      <c r="H3460" s="163">
        <v>21.91</v>
      </c>
      <c r="I3460" s="163">
        <v>20</v>
      </c>
      <c r="J3460" s="163">
        <v>10674</v>
      </c>
      <c r="K3460" s="163">
        <f t="shared" si="261"/>
        <v>60911</v>
      </c>
      <c r="L3460" s="172"/>
      <c r="M3460" s="161"/>
      <c r="N3460" s="161" t="s">
        <v>1299</v>
      </c>
      <c r="O3460" s="161"/>
      <c r="P3460" s="49" t="s">
        <v>25</v>
      </c>
      <c r="Q3460" s="192" t="s">
        <v>7576</v>
      </c>
      <c r="R3460" s="151"/>
    </row>
    <row r="3461" s="152" customFormat="1" spans="1:18">
      <c r="A3461" s="49" t="s">
        <v>84</v>
      </c>
      <c r="B3461" s="195" t="s">
        <v>904</v>
      </c>
      <c r="C3461" s="87" t="s">
        <v>7577</v>
      </c>
      <c r="D3461" s="195" t="s">
        <v>7577</v>
      </c>
      <c r="E3461" s="161" t="s">
        <v>3647</v>
      </c>
      <c r="F3461" s="161"/>
      <c r="G3461" s="163">
        <f t="shared" si="260"/>
        <v>153.93</v>
      </c>
      <c r="H3461" s="163">
        <v>25.59</v>
      </c>
      <c r="I3461" s="163">
        <v>14</v>
      </c>
      <c r="J3461" s="163">
        <v>12467</v>
      </c>
      <c r="K3461" s="163">
        <f t="shared" si="261"/>
        <v>73378</v>
      </c>
      <c r="L3461" s="172"/>
      <c r="M3461" s="161"/>
      <c r="N3461" s="161"/>
      <c r="O3461" s="161"/>
      <c r="P3461" s="49" t="s">
        <v>14</v>
      </c>
      <c r="Q3461" s="192" t="s">
        <v>7578</v>
      </c>
      <c r="R3461" s="151"/>
    </row>
    <row r="3462" s="152" customFormat="1" spans="1:18">
      <c r="A3462" s="49" t="s">
        <v>84</v>
      </c>
      <c r="B3462" s="195" t="s">
        <v>904</v>
      </c>
      <c r="C3462" s="87" t="s">
        <v>1851</v>
      </c>
      <c r="D3462" s="195" t="s">
        <v>1321</v>
      </c>
      <c r="E3462" s="161" t="s">
        <v>3647</v>
      </c>
      <c r="F3462" s="161"/>
      <c r="G3462" s="163">
        <f t="shared" si="260"/>
        <v>166.54</v>
      </c>
      <c r="H3462" s="163">
        <v>12.61</v>
      </c>
      <c r="I3462" s="163">
        <v>31</v>
      </c>
      <c r="J3462" s="163">
        <v>6144</v>
      </c>
      <c r="K3462" s="163">
        <f t="shared" si="261"/>
        <v>79522</v>
      </c>
      <c r="L3462" s="172"/>
      <c r="M3462" s="161"/>
      <c r="N3462" s="161" t="s">
        <v>1299</v>
      </c>
      <c r="O3462" s="161"/>
      <c r="P3462" s="49" t="s">
        <v>25</v>
      </c>
      <c r="Q3462" s="192" t="s">
        <v>7579</v>
      </c>
      <c r="R3462" s="151"/>
    </row>
    <row r="3463" s="152" customFormat="1" spans="1:18">
      <c r="A3463" s="49" t="s">
        <v>84</v>
      </c>
      <c r="B3463" s="195" t="s">
        <v>904</v>
      </c>
      <c r="C3463" s="87" t="s">
        <v>905</v>
      </c>
      <c r="D3463" s="195" t="s">
        <v>905</v>
      </c>
      <c r="E3463" s="161" t="s">
        <v>3647</v>
      </c>
      <c r="F3463" s="161"/>
      <c r="G3463" s="163">
        <f t="shared" si="260"/>
        <v>181.73</v>
      </c>
      <c r="H3463" s="163">
        <v>15.19</v>
      </c>
      <c r="I3463" s="163">
        <v>15</v>
      </c>
      <c r="J3463" s="163">
        <v>7400</v>
      </c>
      <c r="K3463" s="163">
        <f t="shared" si="261"/>
        <v>86922</v>
      </c>
      <c r="L3463" s="172"/>
      <c r="M3463" s="161"/>
      <c r="N3463" s="161"/>
      <c r="O3463" s="161"/>
      <c r="P3463" s="49" t="s">
        <v>14</v>
      </c>
      <c r="Q3463" s="192" t="s">
        <v>7580</v>
      </c>
      <c r="R3463" s="151"/>
    </row>
    <row r="3464" spans="1:18">
      <c r="A3464" s="49" t="s">
        <v>85</v>
      </c>
      <c r="B3464" s="195" t="s">
        <v>85</v>
      </c>
      <c r="C3464" s="135" t="s">
        <v>341</v>
      </c>
      <c r="D3464" s="195" t="s">
        <v>341</v>
      </c>
      <c r="E3464" s="161" t="s">
        <v>7081</v>
      </c>
      <c r="F3464" s="161"/>
      <c r="G3464" s="163">
        <v>0</v>
      </c>
      <c r="H3464" s="163">
        <v>0</v>
      </c>
      <c r="I3464" s="163">
        <v>8.5</v>
      </c>
      <c r="J3464" s="163">
        <v>0</v>
      </c>
      <c r="K3464" s="163">
        <v>0</v>
      </c>
      <c r="L3464" s="172"/>
      <c r="M3464" s="161"/>
      <c r="N3464" s="161"/>
      <c r="O3464" s="161"/>
      <c r="P3464" s="161"/>
      <c r="Q3464" s="192" t="s">
        <v>7581</v>
      </c>
      <c r="R3464" s="151"/>
    </row>
    <row r="3465" spans="1:18">
      <c r="A3465" s="49" t="s">
        <v>85</v>
      </c>
      <c r="B3465" s="195" t="s">
        <v>85</v>
      </c>
      <c r="C3465" s="87" t="s">
        <v>7582</v>
      </c>
      <c r="D3465" s="195" t="s">
        <v>7582</v>
      </c>
      <c r="E3465" s="161" t="s">
        <v>3647</v>
      </c>
      <c r="F3465" s="161"/>
      <c r="G3465" s="163">
        <v>16.64</v>
      </c>
      <c r="H3465" s="163">
        <v>16.64</v>
      </c>
      <c r="I3465" s="163">
        <v>209</v>
      </c>
      <c r="J3465" s="163">
        <v>11524.54</v>
      </c>
      <c r="K3465" s="163">
        <v>11524.54</v>
      </c>
      <c r="L3465" s="172"/>
      <c r="M3465" s="161"/>
      <c r="N3465" s="161" t="s">
        <v>1299</v>
      </c>
      <c r="O3465" s="161"/>
      <c r="P3465" s="49" t="s">
        <v>14</v>
      </c>
      <c r="Q3465" s="192" t="s">
        <v>7583</v>
      </c>
      <c r="R3465" s="151"/>
    </row>
    <row r="3466" spans="1:18">
      <c r="A3466" s="49" t="s">
        <v>85</v>
      </c>
      <c r="B3466" s="195" t="s">
        <v>85</v>
      </c>
      <c r="C3466" s="87" t="s">
        <v>1811</v>
      </c>
      <c r="D3466" s="195" t="s">
        <v>1298</v>
      </c>
      <c r="E3466" s="161" t="s">
        <v>3647</v>
      </c>
      <c r="F3466" s="161"/>
      <c r="G3466" s="163">
        <v>31.44</v>
      </c>
      <c r="H3466" s="163">
        <v>14.8</v>
      </c>
      <c r="I3466" s="163">
        <v>113.2</v>
      </c>
      <c r="J3466" s="163">
        <v>10250.19</v>
      </c>
      <c r="K3466" s="163">
        <v>21774.73</v>
      </c>
      <c r="L3466" s="172"/>
      <c r="M3466" s="161"/>
      <c r="N3466" s="161" t="s">
        <v>1299</v>
      </c>
      <c r="O3466" s="161"/>
      <c r="P3466" s="49" t="s">
        <v>25</v>
      </c>
      <c r="Q3466" s="166" t="s">
        <v>7584</v>
      </c>
      <c r="R3466" s="151"/>
    </row>
    <row r="3467" spans="1:18">
      <c r="A3467" s="49" t="s">
        <v>85</v>
      </c>
      <c r="B3467" s="195" t="s">
        <v>85</v>
      </c>
      <c r="C3467" s="87" t="s">
        <v>1815</v>
      </c>
      <c r="D3467" s="195" t="s">
        <v>1302</v>
      </c>
      <c r="E3467" s="161" t="s">
        <v>3647</v>
      </c>
      <c r="F3467" s="161"/>
      <c r="G3467" s="163">
        <v>48.27</v>
      </c>
      <c r="H3467" s="163">
        <v>16.83</v>
      </c>
      <c r="I3467" s="163">
        <v>22</v>
      </c>
      <c r="J3467" s="163">
        <v>11656.13</v>
      </c>
      <c r="K3467" s="163">
        <v>33430.86</v>
      </c>
      <c r="L3467" s="172"/>
      <c r="M3467" s="161"/>
      <c r="N3467" s="161" t="s">
        <v>1299</v>
      </c>
      <c r="O3467" s="161"/>
      <c r="P3467" s="49" t="s">
        <v>25</v>
      </c>
      <c r="Q3467" s="166" t="s">
        <v>7585</v>
      </c>
      <c r="R3467" s="151"/>
    </row>
    <row r="3468" spans="1:18">
      <c r="A3468" s="49" t="s">
        <v>85</v>
      </c>
      <c r="B3468" s="195" t="s">
        <v>85</v>
      </c>
      <c r="C3468" s="87" t="s">
        <v>1210</v>
      </c>
      <c r="D3468" s="195" t="s">
        <v>1305</v>
      </c>
      <c r="E3468" s="161" t="s">
        <v>3647</v>
      </c>
      <c r="F3468" s="161"/>
      <c r="G3468" s="163">
        <v>63.71</v>
      </c>
      <c r="H3468" s="163">
        <v>15.44</v>
      </c>
      <c r="I3468" s="163">
        <v>107</v>
      </c>
      <c r="J3468" s="163">
        <v>10693.44</v>
      </c>
      <c r="K3468" s="163">
        <v>44124.3</v>
      </c>
      <c r="L3468" s="172"/>
      <c r="M3468" s="161"/>
      <c r="N3468" s="161" t="s">
        <v>1299</v>
      </c>
      <c r="O3468" s="161"/>
      <c r="P3468" s="49" t="s">
        <v>25</v>
      </c>
      <c r="Q3468" s="166" t="s">
        <v>7586</v>
      </c>
      <c r="R3468" s="151"/>
    </row>
    <row r="3469" spans="1:18">
      <c r="A3469" s="49" t="s">
        <v>85</v>
      </c>
      <c r="B3469" s="195" t="s">
        <v>85</v>
      </c>
      <c r="C3469" s="87" t="s">
        <v>7569</v>
      </c>
      <c r="D3469" s="195" t="s">
        <v>7569</v>
      </c>
      <c r="E3469" s="161" t="s">
        <v>3647</v>
      </c>
      <c r="F3469" s="161"/>
      <c r="G3469" s="163">
        <v>77.75</v>
      </c>
      <c r="H3469" s="163">
        <v>14.04</v>
      </c>
      <c r="I3469" s="163">
        <v>85.2</v>
      </c>
      <c r="J3469" s="163">
        <v>9723.83</v>
      </c>
      <c r="K3469" s="163">
        <v>53848.13</v>
      </c>
      <c r="L3469" s="172"/>
      <c r="M3469" s="161"/>
      <c r="N3469" s="161"/>
      <c r="O3469" s="161"/>
      <c r="P3469" s="49" t="s">
        <v>14</v>
      </c>
      <c r="Q3469" s="166" t="s">
        <v>7570</v>
      </c>
      <c r="R3469" s="151"/>
    </row>
    <row r="3470" spans="1:18">
      <c r="A3470" s="49" t="s">
        <v>85</v>
      </c>
      <c r="B3470" s="195" t="s">
        <v>85</v>
      </c>
      <c r="C3470" s="87" t="s">
        <v>1820</v>
      </c>
      <c r="D3470" s="195" t="s">
        <v>1307</v>
      </c>
      <c r="E3470" s="161" t="s">
        <v>3647</v>
      </c>
      <c r="F3470" s="161"/>
      <c r="G3470" s="163">
        <v>94.59</v>
      </c>
      <c r="H3470" s="163">
        <v>16.84</v>
      </c>
      <c r="I3470" s="163">
        <v>67.5</v>
      </c>
      <c r="J3470" s="163">
        <v>11663.06</v>
      </c>
      <c r="K3470" s="163">
        <v>65511.19</v>
      </c>
      <c r="L3470" s="172"/>
      <c r="M3470" s="161"/>
      <c r="N3470" s="161" t="s">
        <v>1299</v>
      </c>
      <c r="O3470" s="161"/>
      <c r="P3470" s="49" t="s">
        <v>25</v>
      </c>
      <c r="Q3470" s="166" t="s">
        <v>7587</v>
      </c>
      <c r="R3470" s="151"/>
    </row>
    <row r="3471" spans="1:18">
      <c r="A3471" s="49" t="s">
        <v>85</v>
      </c>
      <c r="B3471" s="195" t="s">
        <v>85</v>
      </c>
      <c r="C3471" s="87" t="s">
        <v>741</v>
      </c>
      <c r="D3471" s="195" t="s">
        <v>1311</v>
      </c>
      <c r="E3471" s="161" t="s">
        <v>3647</v>
      </c>
      <c r="F3471" s="161"/>
      <c r="G3471" s="163">
        <v>113.05</v>
      </c>
      <c r="H3471" s="163">
        <v>18.46</v>
      </c>
      <c r="I3471" s="163">
        <v>33.9</v>
      </c>
      <c r="J3471" s="163">
        <v>12785.04</v>
      </c>
      <c r="K3471" s="163">
        <v>78296.23</v>
      </c>
      <c r="L3471" s="172"/>
      <c r="M3471" s="161"/>
      <c r="N3471" s="161" t="s">
        <v>1299</v>
      </c>
      <c r="O3471" s="161"/>
      <c r="P3471" s="49" t="s">
        <v>25</v>
      </c>
      <c r="Q3471" s="166" t="s">
        <v>7588</v>
      </c>
      <c r="R3471" s="151"/>
    </row>
    <row r="3472" spans="1:18">
      <c r="A3472" s="49" t="s">
        <v>85</v>
      </c>
      <c r="B3472" s="195" t="s">
        <v>85</v>
      </c>
      <c r="C3472" s="135" t="s">
        <v>3684</v>
      </c>
      <c r="D3472" s="195" t="s">
        <v>3684</v>
      </c>
      <c r="E3472" s="161" t="s">
        <v>3647</v>
      </c>
      <c r="F3472" s="161"/>
      <c r="G3472" s="163">
        <v>123.25</v>
      </c>
      <c r="H3472" s="163">
        <v>10.2</v>
      </c>
      <c r="I3472" s="163">
        <v>54.1</v>
      </c>
      <c r="J3472" s="163">
        <v>7064.32</v>
      </c>
      <c r="K3472" s="163">
        <v>85360.55</v>
      </c>
      <c r="L3472" s="172"/>
      <c r="M3472" s="161"/>
      <c r="N3472" s="161"/>
      <c r="O3472" s="161"/>
      <c r="P3472" s="161"/>
      <c r="Q3472" s="166" t="s">
        <v>3685</v>
      </c>
      <c r="R3472" s="151"/>
    </row>
    <row r="3473" spans="1:18">
      <c r="A3473" s="161" t="s">
        <v>86</v>
      </c>
      <c r="B3473" s="161" t="s">
        <v>906</v>
      </c>
      <c r="C3473" s="88" t="s">
        <v>960</v>
      </c>
      <c r="D3473" s="161" t="s">
        <v>960</v>
      </c>
      <c r="E3473" s="161" t="s">
        <v>2750</v>
      </c>
      <c r="F3473" s="161" t="s">
        <v>2777</v>
      </c>
      <c r="G3473" s="171">
        <v>0</v>
      </c>
      <c r="H3473" s="163">
        <v>0</v>
      </c>
      <c r="I3473" s="174">
        <v>45.3</v>
      </c>
      <c r="J3473" s="174">
        <v>198.026334512289</v>
      </c>
      <c r="K3473" s="174">
        <v>198.026334512289</v>
      </c>
      <c r="L3473" s="174"/>
      <c r="M3473" s="101"/>
      <c r="N3473" s="161"/>
      <c r="O3473" s="161" t="s">
        <v>15</v>
      </c>
      <c r="P3473" s="49" t="s">
        <v>15</v>
      </c>
      <c r="Q3473" s="166"/>
      <c r="R3473" s="151"/>
    </row>
    <row r="3474" spans="1:18">
      <c r="A3474" s="161" t="s">
        <v>86</v>
      </c>
      <c r="B3474" s="161" t="s">
        <v>906</v>
      </c>
      <c r="C3474" s="88" t="s">
        <v>7589</v>
      </c>
      <c r="D3474" s="161" t="s">
        <v>7589</v>
      </c>
      <c r="E3474" s="161" t="s">
        <v>2750</v>
      </c>
      <c r="F3474" s="161" t="s">
        <v>2777</v>
      </c>
      <c r="G3474" s="171">
        <v>21.095</v>
      </c>
      <c r="H3474" s="163">
        <f>G3474-G3473</f>
        <v>21.095</v>
      </c>
      <c r="I3474" s="174">
        <v>39.8</v>
      </c>
      <c r="J3474" s="174">
        <v>12801.0961978017</v>
      </c>
      <c r="K3474" s="174">
        <v>12999.1225323139</v>
      </c>
      <c r="L3474" s="174"/>
      <c r="M3474" s="101"/>
      <c r="N3474" s="161"/>
      <c r="O3474" s="161" t="s">
        <v>14</v>
      </c>
      <c r="P3474" s="49" t="s">
        <v>14</v>
      </c>
      <c r="Q3474" s="166"/>
      <c r="R3474" s="151"/>
    </row>
    <row r="3475" spans="1:18">
      <c r="A3475" s="161" t="s">
        <v>86</v>
      </c>
      <c r="B3475" s="161" t="s">
        <v>906</v>
      </c>
      <c r="C3475" s="88" t="s">
        <v>908</v>
      </c>
      <c r="D3475" s="161" t="s">
        <v>7590</v>
      </c>
      <c r="E3475" s="161" t="s">
        <v>2750</v>
      </c>
      <c r="F3475" s="161" t="s">
        <v>2777</v>
      </c>
      <c r="G3475" s="171">
        <v>38.643</v>
      </c>
      <c r="H3475" s="163">
        <f>G3475-G3474</f>
        <v>17.548</v>
      </c>
      <c r="I3475" s="174">
        <v>22.6</v>
      </c>
      <c r="J3475" s="174">
        <v>10648.667270871</v>
      </c>
      <c r="K3475" s="174">
        <v>23647.7898031849</v>
      </c>
      <c r="L3475" s="174"/>
      <c r="M3475" s="101"/>
      <c r="N3475" s="161"/>
      <c r="O3475" s="161" t="s">
        <v>14</v>
      </c>
      <c r="P3475" s="49" t="s">
        <v>14</v>
      </c>
      <c r="Q3475" s="166"/>
      <c r="R3475" s="151"/>
    </row>
    <row r="3476" spans="1:18">
      <c r="A3476" s="161" t="s">
        <v>86</v>
      </c>
      <c r="B3476" s="161" t="s">
        <v>910</v>
      </c>
      <c r="C3476" s="135" t="s">
        <v>208</v>
      </c>
      <c r="D3476" s="191" t="s">
        <v>208</v>
      </c>
      <c r="E3476" s="161" t="s">
        <v>2750</v>
      </c>
      <c r="F3476" s="161" t="s">
        <v>2777</v>
      </c>
      <c r="G3476" s="171">
        <v>0</v>
      </c>
      <c r="H3476" s="171">
        <v>0</v>
      </c>
      <c r="I3476" s="174"/>
      <c r="J3476" s="174"/>
      <c r="K3476" s="174"/>
      <c r="L3476" s="174"/>
      <c r="M3476" s="101"/>
      <c r="N3476" s="161"/>
      <c r="O3476" s="161"/>
      <c r="P3476" s="49"/>
      <c r="Q3476" s="166"/>
      <c r="R3476" s="151"/>
    </row>
    <row r="3477" spans="1:18">
      <c r="A3477" s="161" t="s">
        <v>86</v>
      </c>
      <c r="B3477" s="161" t="s">
        <v>910</v>
      </c>
      <c r="C3477" s="135" t="s">
        <v>960</v>
      </c>
      <c r="D3477" s="191" t="s">
        <v>960</v>
      </c>
      <c r="E3477" s="161" t="s">
        <v>2750</v>
      </c>
      <c r="F3477" s="161" t="s">
        <v>2777</v>
      </c>
      <c r="G3477" s="171">
        <v>0.56</v>
      </c>
      <c r="H3477" s="171">
        <v>0.56</v>
      </c>
      <c r="I3477" s="174"/>
      <c r="J3477" s="174"/>
      <c r="K3477" s="174"/>
      <c r="L3477" s="174"/>
      <c r="M3477" s="101"/>
      <c r="N3477" s="161"/>
      <c r="O3477" s="161"/>
      <c r="P3477" s="49"/>
      <c r="Q3477" s="166"/>
      <c r="R3477" s="151"/>
    </row>
    <row r="3478" spans="1:18">
      <c r="A3478" s="161" t="s">
        <v>86</v>
      </c>
      <c r="B3478" s="161" t="s">
        <v>911</v>
      </c>
      <c r="C3478" s="135" t="s">
        <v>908</v>
      </c>
      <c r="D3478" s="161" t="s">
        <v>7590</v>
      </c>
      <c r="E3478" s="161" t="s">
        <v>2750</v>
      </c>
      <c r="F3478" s="161" t="s">
        <v>2777</v>
      </c>
      <c r="G3478" s="163">
        <v>0</v>
      </c>
      <c r="H3478" s="163">
        <v>0</v>
      </c>
      <c r="I3478" s="174">
        <v>22.6</v>
      </c>
      <c r="J3478" s="174">
        <v>0</v>
      </c>
      <c r="K3478" s="174">
        <v>0</v>
      </c>
      <c r="L3478" s="174"/>
      <c r="M3478" s="101"/>
      <c r="N3478" s="161"/>
      <c r="O3478" s="161"/>
      <c r="P3478" s="49"/>
      <c r="Q3478" s="166"/>
      <c r="R3478" s="151"/>
    </row>
    <row r="3479" spans="1:18">
      <c r="A3479" s="161" t="s">
        <v>86</v>
      </c>
      <c r="B3479" s="161" t="s">
        <v>911</v>
      </c>
      <c r="C3479" s="88" t="s">
        <v>7591</v>
      </c>
      <c r="D3479" s="161" t="s">
        <v>7592</v>
      </c>
      <c r="E3479" s="161" t="s">
        <v>2750</v>
      </c>
      <c r="F3479" s="161" t="s">
        <v>2777</v>
      </c>
      <c r="G3479" s="163">
        <v>20.035</v>
      </c>
      <c r="H3479" s="163">
        <v>20.035</v>
      </c>
      <c r="I3479" s="174">
        <v>36.1</v>
      </c>
      <c r="J3479" s="174">
        <v>12240.9859200861</v>
      </c>
      <c r="K3479" s="174">
        <v>35888.7757232711</v>
      </c>
      <c r="L3479" s="174"/>
      <c r="M3479" s="101"/>
      <c r="N3479" s="161" t="s">
        <v>1299</v>
      </c>
      <c r="O3479" s="161" t="s">
        <v>25</v>
      </c>
      <c r="P3479" s="49" t="s">
        <v>25</v>
      </c>
      <c r="Q3479" s="166"/>
      <c r="R3479" s="151"/>
    </row>
    <row r="3480" spans="1:18">
      <c r="A3480" s="161" t="s">
        <v>86</v>
      </c>
      <c r="B3480" s="161" t="s">
        <v>911</v>
      </c>
      <c r="C3480" s="88" t="s">
        <v>7593</v>
      </c>
      <c r="D3480" s="161" t="s">
        <v>7594</v>
      </c>
      <c r="E3480" s="161" t="s">
        <v>2750</v>
      </c>
      <c r="F3480" s="161" t="s">
        <v>2777</v>
      </c>
      <c r="G3480" s="163">
        <v>36.426</v>
      </c>
      <c r="H3480" s="163">
        <v>16.391</v>
      </c>
      <c r="I3480" s="174">
        <v>17.8</v>
      </c>
      <c r="J3480" s="174">
        <v>10014.5745054221</v>
      </c>
      <c r="K3480" s="174">
        <v>45903.3502286932</v>
      </c>
      <c r="L3480" s="174"/>
      <c r="M3480" s="101"/>
      <c r="N3480" s="161" t="s">
        <v>1299</v>
      </c>
      <c r="O3480" s="161" t="s">
        <v>25</v>
      </c>
      <c r="P3480" s="49" t="s">
        <v>25</v>
      </c>
      <c r="Q3480" s="166"/>
      <c r="R3480" s="151"/>
    </row>
    <row r="3481" spans="1:18">
      <c r="A3481" s="161" t="s">
        <v>86</v>
      </c>
      <c r="B3481" s="161" t="s">
        <v>911</v>
      </c>
      <c r="C3481" s="88" t="s">
        <v>919</v>
      </c>
      <c r="D3481" s="161" t="s">
        <v>7595</v>
      </c>
      <c r="E3481" s="161" t="s">
        <v>2750</v>
      </c>
      <c r="F3481" s="161" t="s">
        <v>2777</v>
      </c>
      <c r="G3481" s="163">
        <v>51.361</v>
      </c>
      <c r="H3481" s="163">
        <v>14.935</v>
      </c>
      <c r="I3481" s="174">
        <v>16.8</v>
      </c>
      <c r="J3481" s="174">
        <v>9124.98750768587</v>
      </c>
      <c r="K3481" s="174">
        <v>55028.337736379</v>
      </c>
      <c r="L3481" s="174"/>
      <c r="M3481" s="101"/>
      <c r="N3481" s="161"/>
      <c r="O3481" s="161" t="s">
        <v>14</v>
      </c>
      <c r="P3481" s="49" t="s">
        <v>14</v>
      </c>
      <c r="Q3481" s="166"/>
      <c r="R3481" s="151"/>
    </row>
    <row r="3482" spans="1:18">
      <c r="A3482" s="161" t="s">
        <v>86</v>
      </c>
      <c r="B3482" s="161" t="s">
        <v>911</v>
      </c>
      <c r="C3482" s="88" t="s">
        <v>922</v>
      </c>
      <c r="D3482" s="161" t="s">
        <v>7596</v>
      </c>
      <c r="E3482" s="161" t="s">
        <v>2750</v>
      </c>
      <c r="F3482" s="161" t="s">
        <v>3284</v>
      </c>
      <c r="G3482" s="163">
        <v>70.455</v>
      </c>
      <c r="H3482" s="163">
        <v>19.094</v>
      </c>
      <c r="I3482" s="174">
        <v>11.2</v>
      </c>
      <c r="J3482" s="174">
        <v>11666.0536639942</v>
      </c>
      <c r="K3482" s="174">
        <v>66694.3914003733</v>
      </c>
      <c r="L3482" s="174"/>
      <c r="M3482" s="101"/>
      <c r="N3482" s="161" t="s">
        <v>1299</v>
      </c>
      <c r="O3482" s="161" t="s">
        <v>25</v>
      </c>
      <c r="P3482" s="49" t="s">
        <v>25</v>
      </c>
      <c r="Q3482" s="166"/>
      <c r="R3482" s="151"/>
    </row>
    <row r="3483" spans="1:18">
      <c r="A3483" s="161" t="s">
        <v>86</v>
      </c>
      <c r="B3483" s="161" t="s">
        <v>911</v>
      </c>
      <c r="C3483" s="88" t="s">
        <v>7597</v>
      </c>
      <c r="D3483" s="161" t="s">
        <v>7598</v>
      </c>
      <c r="E3483" s="161" t="s">
        <v>2750</v>
      </c>
      <c r="F3483" s="161" t="s">
        <v>3284</v>
      </c>
      <c r="G3483" s="163">
        <v>78.876</v>
      </c>
      <c r="H3483" s="163">
        <v>8.421</v>
      </c>
      <c r="I3483" s="174">
        <v>14.3</v>
      </c>
      <c r="J3483" s="174">
        <v>5145.06326094561</v>
      </c>
      <c r="K3483" s="174">
        <v>71839.4546613189</v>
      </c>
      <c r="L3483" s="174"/>
      <c r="M3483" s="101"/>
      <c r="N3483" s="161" t="s">
        <v>1299</v>
      </c>
      <c r="O3483" s="161" t="s">
        <v>25</v>
      </c>
      <c r="P3483" s="49" t="s">
        <v>25</v>
      </c>
      <c r="Q3483" s="166"/>
      <c r="R3483" s="151"/>
    </row>
    <row r="3484" spans="1:18">
      <c r="A3484" s="161" t="s">
        <v>86</v>
      </c>
      <c r="B3484" s="161" t="s">
        <v>911</v>
      </c>
      <c r="C3484" s="88" t="s">
        <v>7599</v>
      </c>
      <c r="D3484" s="161" t="s">
        <v>7600</v>
      </c>
      <c r="E3484" s="161" t="s">
        <v>2750</v>
      </c>
      <c r="F3484" s="161" t="s">
        <v>3284</v>
      </c>
      <c r="G3484" s="163">
        <v>98.424</v>
      </c>
      <c r="H3484" s="163">
        <v>19.548</v>
      </c>
      <c r="I3484" s="174">
        <v>23</v>
      </c>
      <c r="J3484" s="174">
        <v>11943.4386207059</v>
      </c>
      <c r="K3484" s="174">
        <v>83782.8932820248</v>
      </c>
      <c r="L3484" s="174"/>
      <c r="M3484" s="101"/>
      <c r="N3484" s="161" t="s">
        <v>1299</v>
      </c>
      <c r="O3484" s="161" t="s">
        <v>25</v>
      </c>
      <c r="P3484" s="49" t="s">
        <v>25</v>
      </c>
      <c r="Q3484" s="166"/>
      <c r="R3484" s="151"/>
    </row>
    <row r="3485" spans="1:18">
      <c r="A3485" s="161" t="s">
        <v>86</v>
      </c>
      <c r="B3485" s="161" t="s">
        <v>911</v>
      </c>
      <c r="C3485" s="88" t="s">
        <v>7601</v>
      </c>
      <c r="D3485" s="161" t="s">
        <v>7602</v>
      </c>
      <c r="E3485" s="161" t="s">
        <v>2750</v>
      </c>
      <c r="F3485" s="161" t="s">
        <v>3284</v>
      </c>
      <c r="G3485" s="163">
        <v>109.693</v>
      </c>
      <c r="H3485" s="163">
        <v>11.269</v>
      </c>
      <c r="I3485" s="174">
        <v>13.3</v>
      </c>
      <c r="J3485" s="174">
        <v>6885.13453124286</v>
      </c>
      <c r="K3485" s="174">
        <v>90668.0278132677</v>
      </c>
      <c r="L3485" s="174"/>
      <c r="M3485" s="101"/>
      <c r="N3485" s="161" t="s">
        <v>1299</v>
      </c>
      <c r="O3485" s="161" t="s">
        <v>25</v>
      </c>
      <c r="P3485" s="49" t="s">
        <v>25</v>
      </c>
      <c r="Q3485" s="166"/>
      <c r="R3485" s="151"/>
    </row>
    <row r="3486" spans="1:18">
      <c r="A3486" s="161" t="s">
        <v>86</v>
      </c>
      <c r="B3486" s="161" t="s">
        <v>911</v>
      </c>
      <c r="C3486" s="88" t="s">
        <v>7603</v>
      </c>
      <c r="D3486" s="161" t="s">
        <v>7604</v>
      </c>
      <c r="E3486" s="161" t="s">
        <v>2750</v>
      </c>
      <c r="F3486" s="161" t="s">
        <v>3284</v>
      </c>
      <c r="G3486" s="163">
        <v>125.064</v>
      </c>
      <c r="H3486" s="163">
        <v>15.371</v>
      </c>
      <c r="I3486" s="174">
        <v>25</v>
      </c>
      <c r="J3486" s="174">
        <v>9327.59657058114</v>
      </c>
      <c r="K3486" s="174">
        <v>99995.6243838488</v>
      </c>
      <c r="L3486" s="174"/>
      <c r="M3486" s="101"/>
      <c r="N3486" s="161" t="s">
        <v>1299</v>
      </c>
      <c r="O3486" s="161" t="s">
        <v>25</v>
      </c>
      <c r="P3486" s="49" t="s">
        <v>25</v>
      </c>
      <c r="Q3486" s="166"/>
      <c r="R3486" s="151"/>
    </row>
    <row r="3487" spans="1:18">
      <c r="A3487" s="161" t="s">
        <v>86</v>
      </c>
      <c r="B3487" s="161" t="s">
        <v>911</v>
      </c>
      <c r="C3487" s="88" t="s">
        <v>7605</v>
      </c>
      <c r="D3487" s="161" t="s">
        <v>7606</v>
      </c>
      <c r="E3487" s="161" t="s">
        <v>2750</v>
      </c>
      <c r="F3487" s="161" t="s">
        <v>3284</v>
      </c>
      <c r="G3487" s="163">
        <v>136.822</v>
      </c>
      <c r="H3487" s="163">
        <v>11.758</v>
      </c>
      <c r="I3487" s="174">
        <v>76.3</v>
      </c>
      <c r="J3487" s="174">
        <v>7135.11680937435</v>
      </c>
      <c r="K3487" s="174">
        <v>107130.741193223</v>
      </c>
      <c r="L3487" s="174"/>
      <c r="M3487" s="101"/>
      <c r="N3487" s="161" t="s">
        <v>1299</v>
      </c>
      <c r="O3487" s="161" t="s">
        <v>25</v>
      </c>
      <c r="P3487" s="49" t="s">
        <v>25</v>
      </c>
      <c r="Q3487" s="166"/>
      <c r="R3487" s="151"/>
    </row>
    <row r="3488" spans="1:18">
      <c r="A3488" s="161" t="s">
        <v>86</v>
      </c>
      <c r="B3488" s="161" t="s">
        <v>911</v>
      </c>
      <c r="C3488" s="88" t="s">
        <v>995</v>
      </c>
      <c r="D3488" s="161" t="s">
        <v>995</v>
      </c>
      <c r="E3488" s="161" t="s">
        <v>2750</v>
      </c>
      <c r="F3488" s="161" t="s">
        <v>3284</v>
      </c>
      <c r="G3488" s="163">
        <v>150.729</v>
      </c>
      <c r="H3488" s="163">
        <v>13.907</v>
      </c>
      <c r="I3488" s="174">
        <v>20.3</v>
      </c>
      <c r="J3488" s="174">
        <v>8439.19624663795</v>
      </c>
      <c r="K3488" s="174">
        <v>115569.937439861</v>
      </c>
      <c r="L3488" s="174"/>
      <c r="M3488" s="101"/>
      <c r="N3488" s="161"/>
      <c r="O3488" s="161" t="s">
        <v>14</v>
      </c>
      <c r="P3488" s="49" t="s">
        <v>14</v>
      </c>
      <c r="Q3488" s="166"/>
      <c r="R3488" s="151"/>
    </row>
    <row r="3489" spans="1:18">
      <c r="A3489" s="161" t="s">
        <v>86</v>
      </c>
      <c r="B3489" s="161" t="s">
        <v>915</v>
      </c>
      <c r="C3489" s="135" t="s">
        <v>7601</v>
      </c>
      <c r="D3489" s="161" t="s">
        <v>7602</v>
      </c>
      <c r="E3489" s="161" t="s">
        <v>2750</v>
      </c>
      <c r="F3489" s="161" t="s">
        <v>3284</v>
      </c>
      <c r="G3489" s="163">
        <v>0</v>
      </c>
      <c r="H3489" s="163">
        <v>0</v>
      </c>
      <c r="I3489" s="174">
        <v>13.3</v>
      </c>
      <c r="J3489" s="174">
        <v>0</v>
      </c>
      <c r="K3489" s="174">
        <v>0</v>
      </c>
      <c r="L3489" s="174"/>
      <c r="M3489" s="101"/>
      <c r="N3489" s="161"/>
      <c r="O3489" s="161"/>
      <c r="P3489" s="49"/>
      <c r="Q3489" s="166"/>
      <c r="R3489" s="151"/>
    </row>
    <row r="3490" spans="1:18">
      <c r="A3490" s="161" t="s">
        <v>86</v>
      </c>
      <c r="B3490" s="161" t="s">
        <v>915</v>
      </c>
      <c r="C3490" s="88" t="s">
        <v>917</v>
      </c>
      <c r="D3490" s="161" t="s">
        <v>7607</v>
      </c>
      <c r="E3490" s="161" t="s">
        <v>2750</v>
      </c>
      <c r="F3490" s="161" t="s">
        <v>3284</v>
      </c>
      <c r="G3490" s="163">
        <v>19.565</v>
      </c>
      <c r="H3490" s="163">
        <v>19.565</v>
      </c>
      <c r="I3490" s="174">
        <v>10.9</v>
      </c>
      <c r="J3490" s="174">
        <v>5197.78760702611</v>
      </c>
      <c r="K3490" s="174">
        <v>5197.78760702611</v>
      </c>
      <c r="L3490" s="174"/>
      <c r="M3490" s="101"/>
      <c r="N3490" s="161"/>
      <c r="O3490" s="161" t="s">
        <v>14</v>
      </c>
      <c r="P3490" s="49" t="s">
        <v>14</v>
      </c>
      <c r="Q3490" s="166"/>
      <c r="R3490" s="151"/>
    </row>
    <row r="3491" s="152" customFormat="1" spans="1:18">
      <c r="A3491" s="161" t="s">
        <v>86</v>
      </c>
      <c r="B3491" s="49" t="s">
        <v>918</v>
      </c>
      <c r="C3491" s="135" t="s">
        <v>919</v>
      </c>
      <c r="D3491" s="49" t="s">
        <v>919</v>
      </c>
      <c r="E3491" s="161" t="s">
        <v>2750</v>
      </c>
      <c r="F3491" s="161"/>
      <c r="G3491" s="171">
        <v>0</v>
      </c>
      <c r="H3491" s="163">
        <v>0</v>
      </c>
      <c r="I3491" s="174"/>
      <c r="J3491" s="174">
        <v>0</v>
      </c>
      <c r="K3491" s="174">
        <v>0</v>
      </c>
      <c r="L3491" s="174"/>
      <c r="M3491" s="101"/>
      <c r="N3491" s="161"/>
      <c r="O3491" s="161"/>
      <c r="P3491" s="49"/>
      <c r="Q3491" s="166"/>
      <c r="R3491" s="151" t="s">
        <v>7608</v>
      </c>
    </row>
    <row r="3492" s="152" customFormat="1" spans="1:18">
      <c r="A3492" s="161" t="s">
        <v>86</v>
      </c>
      <c r="B3492" s="49" t="s">
        <v>918</v>
      </c>
      <c r="C3492" s="88" t="s">
        <v>920</v>
      </c>
      <c r="D3492" s="49" t="s">
        <v>920</v>
      </c>
      <c r="E3492" s="161" t="s">
        <v>2750</v>
      </c>
      <c r="F3492" s="161"/>
      <c r="G3492" s="171">
        <v>15.88</v>
      </c>
      <c r="H3492" s="163">
        <v>15.88</v>
      </c>
      <c r="I3492" s="174"/>
      <c r="J3492" s="174">
        <v>581149</v>
      </c>
      <c r="K3492" s="174">
        <v>581149</v>
      </c>
      <c r="L3492" s="174"/>
      <c r="M3492" s="101"/>
      <c r="N3492" s="161"/>
      <c r="O3492" s="161"/>
      <c r="P3492" s="49" t="s">
        <v>14</v>
      </c>
      <c r="Q3492" s="166" t="s">
        <v>6390</v>
      </c>
      <c r="R3492" s="151" t="s">
        <v>7609</v>
      </c>
    </row>
    <row r="3493" s="152" customFormat="1" spans="1:18">
      <c r="A3493" s="161" t="s">
        <v>86</v>
      </c>
      <c r="B3493" s="49" t="s">
        <v>921</v>
      </c>
      <c r="C3493" s="135" t="s">
        <v>922</v>
      </c>
      <c r="D3493" s="49" t="s">
        <v>922</v>
      </c>
      <c r="E3493" s="161" t="s">
        <v>2750</v>
      </c>
      <c r="F3493" s="161"/>
      <c r="G3493" s="171">
        <v>0</v>
      </c>
      <c r="H3493" s="163">
        <v>0</v>
      </c>
      <c r="I3493" s="174"/>
      <c r="J3493" s="174"/>
      <c r="K3493" s="174"/>
      <c r="L3493" s="174"/>
      <c r="M3493" s="101"/>
      <c r="N3493" s="161"/>
      <c r="O3493" s="161"/>
      <c r="P3493" s="49"/>
      <c r="Q3493" s="166"/>
      <c r="R3493" s="151"/>
    </row>
    <row r="3494" s="152" customFormat="1" spans="1:18">
      <c r="A3494" s="161" t="s">
        <v>86</v>
      </c>
      <c r="B3494" s="49" t="s">
        <v>921</v>
      </c>
      <c r="C3494" s="88" t="s">
        <v>7610</v>
      </c>
      <c r="D3494" s="49" t="s">
        <v>7610</v>
      </c>
      <c r="E3494" s="161" t="s">
        <v>2750</v>
      </c>
      <c r="F3494" s="161"/>
      <c r="G3494" s="171">
        <v>0.41</v>
      </c>
      <c r="H3494" s="163">
        <v>0.41</v>
      </c>
      <c r="I3494" s="174"/>
      <c r="J3494" s="174"/>
      <c r="K3494" s="174"/>
      <c r="L3494" s="174"/>
      <c r="M3494" s="101"/>
      <c r="N3494" s="161"/>
      <c r="O3494" s="161"/>
      <c r="P3494" s="49" t="s">
        <v>14</v>
      </c>
      <c r="Q3494" s="166"/>
      <c r="R3494" s="151"/>
    </row>
    <row r="3495" s="152" customFormat="1" spans="1:18">
      <c r="A3495" s="161" t="s">
        <v>86</v>
      </c>
      <c r="B3495" s="49" t="s">
        <v>921</v>
      </c>
      <c r="C3495" s="135" t="s">
        <v>923</v>
      </c>
      <c r="D3495" s="49" t="s">
        <v>923</v>
      </c>
      <c r="E3495" s="161" t="s">
        <v>2750</v>
      </c>
      <c r="F3495" s="161"/>
      <c r="G3495" s="171">
        <v>1.05</v>
      </c>
      <c r="H3495" s="163">
        <v>0.64</v>
      </c>
      <c r="I3495" s="174"/>
      <c r="J3495" s="174"/>
      <c r="K3495" s="174"/>
      <c r="L3495" s="174"/>
      <c r="M3495" s="101"/>
      <c r="N3495" s="161"/>
      <c r="O3495" s="161"/>
      <c r="P3495" s="49"/>
      <c r="Q3495" s="166"/>
      <c r="R3495" s="151"/>
    </row>
    <row r="3496" spans="1:18">
      <c r="A3496" s="161" t="s">
        <v>86</v>
      </c>
      <c r="B3496" s="161" t="s">
        <v>926</v>
      </c>
      <c r="C3496" s="135" t="s">
        <v>960</v>
      </c>
      <c r="D3496" s="161" t="s">
        <v>960</v>
      </c>
      <c r="E3496" s="161" t="s">
        <v>2750</v>
      </c>
      <c r="F3496" s="161" t="s">
        <v>3284</v>
      </c>
      <c r="G3496" s="163">
        <v>0</v>
      </c>
      <c r="H3496" s="163">
        <v>0</v>
      </c>
      <c r="I3496" s="174">
        <v>45.3</v>
      </c>
      <c r="J3496" s="174">
        <v>0</v>
      </c>
      <c r="K3496" s="174">
        <v>0</v>
      </c>
      <c r="L3496" s="174"/>
      <c r="M3496" s="101"/>
      <c r="N3496" s="161"/>
      <c r="O3496" s="161"/>
      <c r="P3496" s="49"/>
      <c r="Q3496" s="166"/>
      <c r="R3496" s="151"/>
    </row>
    <row r="3497" spans="1:18">
      <c r="A3497" s="161" t="s">
        <v>86</v>
      </c>
      <c r="B3497" s="161" t="s">
        <v>926</v>
      </c>
      <c r="C3497" s="88" t="s">
        <v>7611</v>
      </c>
      <c r="D3497" s="161" t="s">
        <v>7612</v>
      </c>
      <c r="E3497" s="161" t="s">
        <v>2750</v>
      </c>
      <c r="F3497" s="161" t="s">
        <v>2777</v>
      </c>
      <c r="G3497" s="163">
        <v>21.433</v>
      </c>
      <c r="H3497" s="163">
        <v>21.433</v>
      </c>
      <c r="I3497" s="174">
        <v>13.2</v>
      </c>
      <c r="J3497" s="174">
        <v>13095.1360731323</v>
      </c>
      <c r="K3497" s="174">
        <v>13095.1360731323</v>
      </c>
      <c r="L3497" s="174"/>
      <c r="M3497" s="101"/>
      <c r="N3497" s="161" t="s">
        <v>1299</v>
      </c>
      <c r="O3497" s="161" t="s">
        <v>25</v>
      </c>
      <c r="P3497" s="49" t="s">
        <v>25</v>
      </c>
      <c r="Q3497" s="166"/>
      <c r="R3497" s="151"/>
    </row>
    <row r="3498" spans="1:18">
      <c r="A3498" s="161" t="s">
        <v>86</v>
      </c>
      <c r="B3498" s="161" t="s">
        <v>926</v>
      </c>
      <c r="C3498" s="88" t="s">
        <v>7613</v>
      </c>
      <c r="D3498" s="161" t="s">
        <v>7614</v>
      </c>
      <c r="E3498" s="161" t="s">
        <v>2750</v>
      </c>
      <c r="F3498" s="161" t="s">
        <v>2777</v>
      </c>
      <c r="G3498" s="163">
        <v>27.851</v>
      </c>
      <c r="H3498" s="163">
        <v>6.418</v>
      </c>
      <c r="I3498" s="174">
        <v>12.3</v>
      </c>
      <c r="J3498" s="174">
        <v>3811.78727832358</v>
      </c>
      <c r="K3498" s="174">
        <v>16906.9233514559</v>
      </c>
      <c r="L3498" s="174"/>
      <c r="M3498" s="101"/>
      <c r="N3498" s="161" t="s">
        <v>1299</v>
      </c>
      <c r="O3498" s="161" t="s">
        <v>25</v>
      </c>
      <c r="P3498" s="49" t="s">
        <v>25</v>
      </c>
      <c r="Q3498" s="166"/>
      <c r="R3498" s="151"/>
    </row>
    <row r="3499" spans="1:18">
      <c r="A3499" s="161" t="s">
        <v>86</v>
      </c>
      <c r="B3499" s="161" t="s">
        <v>926</v>
      </c>
      <c r="C3499" s="88" t="s">
        <v>7615</v>
      </c>
      <c r="D3499" s="161" t="s">
        <v>7616</v>
      </c>
      <c r="E3499" s="161" t="s">
        <v>2750</v>
      </c>
      <c r="F3499" s="161" t="s">
        <v>2777</v>
      </c>
      <c r="G3499" s="163">
        <v>37.43</v>
      </c>
      <c r="H3499" s="163">
        <v>9.579</v>
      </c>
      <c r="I3499" s="174">
        <v>25.5</v>
      </c>
      <c r="J3499" s="174">
        <v>5689.17269228133</v>
      </c>
      <c r="K3499" s="174">
        <v>22596.0960437372</v>
      </c>
      <c r="L3499" s="174"/>
      <c r="M3499" s="101"/>
      <c r="N3499" s="161" t="s">
        <v>1299</v>
      </c>
      <c r="O3499" s="161" t="s">
        <v>25</v>
      </c>
      <c r="P3499" s="49" t="s">
        <v>25</v>
      </c>
      <c r="Q3499" s="166"/>
      <c r="R3499" s="151"/>
    </row>
    <row r="3500" spans="1:18">
      <c r="A3500" s="161" t="s">
        <v>86</v>
      </c>
      <c r="B3500" s="161" t="s">
        <v>926</v>
      </c>
      <c r="C3500" s="88" t="s">
        <v>7617</v>
      </c>
      <c r="D3500" s="161" t="s">
        <v>7618</v>
      </c>
      <c r="E3500" s="161" t="s">
        <v>2750</v>
      </c>
      <c r="F3500" s="161" t="s">
        <v>2777</v>
      </c>
      <c r="G3500" s="163">
        <v>45.545</v>
      </c>
      <c r="H3500" s="163">
        <v>8.115</v>
      </c>
      <c r="I3500" s="174">
        <v>13.9</v>
      </c>
      <c r="J3500" s="174">
        <v>4819.67182355809</v>
      </c>
      <c r="K3500" s="174">
        <v>27415.7678672953</v>
      </c>
      <c r="L3500" s="174"/>
      <c r="M3500" s="101"/>
      <c r="N3500" s="161" t="s">
        <v>1299</v>
      </c>
      <c r="O3500" s="161" t="s">
        <v>25</v>
      </c>
      <c r="P3500" s="49" t="s">
        <v>25</v>
      </c>
      <c r="Q3500" s="166"/>
      <c r="R3500" s="151"/>
    </row>
    <row r="3501" spans="1:18">
      <c r="A3501" s="161" t="s">
        <v>86</v>
      </c>
      <c r="B3501" s="161" t="s">
        <v>926</v>
      </c>
      <c r="C3501" s="88" t="s">
        <v>947</v>
      </c>
      <c r="D3501" s="161" t="s">
        <v>7619</v>
      </c>
      <c r="E3501" s="161" t="s">
        <v>2750</v>
      </c>
      <c r="F3501" s="161" t="s">
        <v>2777</v>
      </c>
      <c r="G3501" s="163">
        <v>57.101</v>
      </c>
      <c r="H3501" s="163">
        <v>11.556</v>
      </c>
      <c r="I3501" s="174">
        <v>9.7</v>
      </c>
      <c r="J3501" s="174">
        <v>7012.5369832565</v>
      </c>
      <c r="K3501" s="174">
        <v>34428.3048505518</v>
      </c>
      <c r="L3501" s="174"/>
      <c r="M3501" s="101"/>
      <c r="N3501" s="161" t="s">
        <v>1299</v>
      </c>
      <c r="O3501" s="161" t="s">
        <v>25</v>
      </c>
      <c r="P3501" s="49" t="s">
        <v>25</v>
      </c>
      <c r="Q3501" s="166"/>
      <c r="R3501" s="151"/>
    </row>
    <row r="3502" spans="1:18">
      <c r="A3502" s="161" t="s">
        <v>86</v>
      </c>
      <c r="B3502" s="161" t="s">
        <v>926</v>
      </c>
      <c r="C3502" s="88" t="s">
        <v>7620</v>
      </c>
      <c r="D3502" s="161" t="s">
        <v>7621</v>
      </c>
      <c r="E3502" s="161" t="s">
        <v>2750</v>
      </c>
      <c r="F3502" s="161" t="s">
        <v>2777</v>
      </c>
      <c r="G3502" s="163">
        <v>73.821</v>
      </c>
      <c r="H3502" s="163">
        <v>16.72</v>
      </c>
      <c r="I3502" s="174">
        <v>5.9</v>
      </c>
      <c r="J3502" s="174">
        <v>10146.2113499523</v>
      </c>
      <c r="K3502" s="174">
        <v>44574.5162005041</v>
      </c>
      <c r="L3502" s="174"/>
      <c r="M3502" s="101"/>
      <c r="N3502" s="161" t="s">
        <v>1299</v>
      </c>
      <c r="O3502" s="161" t="s">
        <v>25</v>
      </c>
      <c r="P3502" s="49" t="s">
        <v>25</v>
      </c>
      <c r="Q3502" s="166"/>
      <c r="R3502" s="151"/>
    </row>
    <row r="3503" spans="1:18">
      <c r="A3503" s="161" t="s">
        <v>86</v>
      </c>
      <c r="B3503" s="161" t="s">
        <v>926</v>
      </c>
      <c r="C3503" s="88" t="s">
        <v>7622</v>
      </c>
      <c r="D3503" s="161" t="s">
        <v>7622</v>
      </c>
      <c r="E3503" s="161" t="s">
        <v>2750</v>
      </c>
      <c r="F3503" s="161" t="s">
        <v>2777</v>
      </c>
      <c r="G3503" s="163">
        <v>88.535</v>
      </c>
      <c r="H3503" s="163">
        <v>14.714</v>
      </c>
      <c r="I3503" s="174">
        <v>5.8</v>
      </c>
      <c r="J3503" s="174">
        <v>8928.90872028697</v>
      </c>
      <c r="K3503" s="174">
        <v>53503.4249207911</v>
      </c>
      <c r="L3503" s="174"/>
      <c r="M3503" s="101"/>
      <c r="N3503" s="161"/>
      <c r="O3503" s="161" t="s">
        <v>14</v>
      </c>
      <c r="P3503" s="49" t="s">
        <v>14</v>
      </c>
      <c r="Q3503" s="166"/>
      <c r="R3503" s="151"/>
    </row>
    <row r="3504" spans="1:18">
      <c r="A3504" s="161" t="s">
        <v>86</v>
      </c>
      <c r="B3504" s="161" t="s">
        <v>926</v>
      </c>
      <c r="C3504" s="88" t="s">
        <v>7623</v>
      </c>
      <c r="D3504" s="161" t="s">
        <v>7624</v>
      </c>
      <c r="E3504" s="161" t="s">
        <v>2750</v>
      </c>
      <c r="F3504" s="161" t="s">
        <v>2777</v>
      </c>
      <c r="G3504" s="163">
        <v>99.466</v>
      </c>
      <c r="H3504" s="163">
        <v>10.931</v>
      </c>
      <c r="I3504" s="174">
        <v>12.8</v>
      </c>
      <c r="J3504" s="174">
        <v>6492.1543688618</v>
      </c>
      <c r="K3504" s="174">
        <v>59995.5792896529</v>
      </c>
      <c r="L3504" s="174"/>
      <c r="M3504" s="101"/>
      <c r="N3504" s="161" t="s">
        <v>1299</v>
      </c>
      <c r="O3504" s="161" t="s">
        <v>25</v>
      </c>
      <c r="P3504" s="49" t="s">
        <v>25</v>
      </c>
      <c r="Q3504" s="166"/>
      <c r="R3504" s="151"/>
    </row>
    <row r="3505" spans="1:18">
      <c r="A3505" s="161" t="s">
        <v>86</v>
      </c>
      <c r="B3505" s="161" t="s">
        <v>926</v>
      </c>
      <c r="C3505" s="88" t="s">
        <v>944</v>
      </c>
      <c r="D3505" s="161" t="s">
        <v>944</v>
      </c>
      <c r="E3505" s="161" t="s">
        <v>2750</v>
      </c>
      <c r="F3505" s="161" t="s">
        <v>2777</v>
      </c>
      <c r="G3505" s="163">
        <v>106.42</v>
      </c>
      <c r="H3505" s="163">
        <v>6.954</v>
      </c>
      <c r="I3505" s="174">
        <v>23.4</v>
      </c>
      <c r="J3505" s="174">
        <v>4219.90153873016</v>
      </c>
      <c r="K3505" s="174">
        <v>64215.480828383</v>
      </c>
      <c r="L3505" s="174"/>
      <c r="M3505" s="101"/>
      <c r="N3505" s="161"/>
      <c r="O3505" s="161" t="s">
        <v>14</v>
      </c>
      <c r="P3505" s="49" t="s">
        <v>14</v>
      </c>
      <c r="Q3505" s="166"/>
      <c r="R3505" s="151"/>
    </row>
    <row r="3506" spans="1:18">
      <c r="A3506" s="161" t="s">
        <v>86</v>
      </c>
      <c r="B3506" s="161" t="s">
        <v>926</v>
      </c>
      <c r="C3506" s="88" t="s">
        <v>7625</v>
      </c>
      <c r="D3506" s="161" t="s">
        <v>7626</v>
      </c>
      <c r="E3506" s="161" t="s">
        <v>2750</v>
      </c>
      <c r="F3506" s="161" t="s">
        <v>2777</v>
      </c>
      <c r="G3506" s="163">
        <v>121.804</v>
      </c>
      <c r="H3506" s="163">
        <v>15.384</v>
      </c>
      <c r="I3506" s="174">
        <v>6.1</v>
      </c>
      <c r="J3506" s="174">
        <v>9335.4853712719</v>
      </c>
      <c r="K3506" s="174">
        <v>73550.9661996549</v>
      </c>
      <c r="L3506" s="174"/>
      <c r="M3506" s="101"/>
      <c r="N3506" s="161" t="s">
        <v>1299</v>
      </c>
      <c r="O3506" s="161" t="s">
        <v>25</v>
      </c>
      <c r="P3506" s="49" t="s">
        <v>25</v>
      </c>
      <c r="Q3506" s="166"/>
      <c r="R3506" s="151"/>
    </row>
    <row r="3507" spans="1:18">
      <c r="A3507" s="161" t="s">
        <v>86</v>
      </c>
      <c r="B3507" s="161" t="s">
        <v>926</v>
      </c>
      <c r="C3507" s="88" t="s">
        <v>941</v>
      </c>
      <c r="D3507" s="161" t="s">
        <v>7627</v>
      </c>
      <c r="E3507" s="161" t="s">
        <v>2750</v>
      </c>
      <c r="F3507" s="161" t="s">
        <v>2777</v>
      </c>
      <c r="G3507" s="163">
        <v>130.416</v>
      </c>
      <c r="H3507" s="163">
        <v>8.612</v>
      </c>
      <c r="I3507" s="174">
        <v>5.6</v>
      </c>
      <c r="J3507" s="174">
        <v>5114.8507386916</v>
      </c>
      <c r="K3507" s="174">
        <v>78665.8169383465</v>
      </c>
      <c r="L3507" s="174"/>
      <c r="M3507" s="101"/>
      <c r="N3507" s="161" t="s">
        <v>1299</v>
      </c>
      <c r="O3507" s="161" t="s">
        <v>25</v>
      </c>
      <c r="P3507" s="49" t="s">
        <v>25</v>
      </c>
      <c r="Q3507" s="166"/>
      <c r="R3507" s="151"/>
    </row>
    <row r="3508" spans="1:18">
      <c r="A3508" s="161" t="s">
        <v>86</v>
      </c>
      <c r="B3508" s="161" t="s">
        <v>926</v>
      </c>
      <c r="C3508" s="88" t="s">
        <v>7628</v>
      </c>
      <c r="D3508" s="161" t="s">
        <v>7628</v>
      </c>
      <c r="E3508" s="161" t="s">
        <v>2750</v>
      </c>
      <c r="F3508" s="161" t="s">
        <v>2777</v>
      </c>
      <c r="G3508" s="163">
        <v>138.575</v>
      </c>
      <c r="H3508" s="163">
        <v>8.159</v>
      </c>
      <c r="I3508" s="174">
        <v>6</v>
      </c>
      <c r="J3508" s="174">
        <v>4845.80436332847</v>
      </c>
      <c r="K3508" s="174">
        <v>83511.621301675</v>
      </c>
      <c r="L3508" s="174"/>
      <c r="M3508" s="101"/>
      <c r="N3508" s="161"/>
      <c r="O3508" s="161" t="s">
        <v>14</v>
      </c>
      <c r="P3508" s="49" t="s">
        <v>14</v>
      </c>
      <c r="Q3508" s="166"/>
      <c r="R3508" s="151"/>
    </row>
    <row r="3509" spans="1:18">
      <c r="A3509" s="161" t="s">
        <v>86</v>
      </c>
      <c r="B3509" s="161" t="s">
        <v>926</v>
      </c>
      <c r="C3509" s="88" t="s">
        <v>7629</v>
      </c>
      <c r="D3509" s="161" t="s">
        <v>7630</v>
      </c>
      <c r="E3509" s="161" t="s">
        <v>2750</v>
      </c>
      <c r="F3509" s="161" t="s">
        <v>2777</v>
      </c>
      <c r="G3509" s="163">
        <v>150.428</v>
      </c>
      <c r="H3509" s="163">
        <v>11.853</v>
      </c>
      <c r="I3509" s="174">
        <v>26.2</v>
      </c>
      <c r="J3509" s="174">
        <v>7192.76573749908</v>
      </c>
      <c r="K3509" s="174">
        <v>90704.3870391741</v>
      </c>
      <c r="L3509" s="174"/>
      <c r="M3509" s="101"/>
      <c r="N3509" s="161" t="s">
        <v>1299</v>
      </c>
      <c r="O3509" s="161" t="s">
        <v>25</v>
      </c>
      <c r="P3509" s="49" t="s">
        <v>25</v>
      </c>
      <c r="Q3509" s="166"/>
      <c r="R3509" s="151"/>
    </row>
    <row r="3510" spans="1:18">
      <c r="A3510" s="161" t="s">
        <v>86</v>
      </c>
      <c r="B3510" s="161" t="s">
        <v>926</v>
      </c>
      <c r="C3510" s="88" t="s">
        <v>927</v>
      </c>
      <c r="D3510" s="161" t="s">
        <v>7631</v>
      </c>
      <c r="E3510" s="161" t="s">
        <v>2750</v>
      </c>
      <c r="F3510" s="161" t="s">
        <v>2777</v>
      </c>
      <c r="G3510" s="163">
        <v>163.619</v>
      </c>
      <c r="H3510" s="163">
        <v>13.191</v>
      </c>
      <c r="I3510" s="174">
        <v>7.8</v>
      </c>
      <c r="J3510" s="174">
        <v>7834.41663888538</v>
      </c>
      <c r="K3510" s="174">
        <v>98538.8036780595</v>
      </c>
      <c r="L3510" s="174"/>
      <c r="M3510" s="101"/>
      <c r="N3510" s="161"/>
      <c r="O3510" s="161" t="s">
        <v>14</v>
      </c>
      <c r="P3510" s="49" t="s">
        <v>14</v>
      </c>
      <c r="Q3510" s="166" t="s">
        <v>7632</v>
      </c>
      <c r="R3510" s="151"/>
    </row>
    <row r="3511" spans="1:18">
      <c r="A3511" s="161" t="s">
        <v>86</v>
      </c>
      <c r="B3511" s="161" t="s">
        <v>930</v>
      </c>
      <c r="C3511" s="135" t="s">
        <v>7617</v>
      </c>
      <c r="D3511" s="161" t="s">
        <v>7618</v>
      </c>
      <c r="E3511" s="161" t="s">
        <v>2750</v>
      </c>
      <c r="F3511" s="161" t="s">
        <v>2777</v>
      </c>
      <c r="G3511" s="163">
        <v>0</v>
      </c>
      <c r="H3511" s="163">
        <v>0</v>
      </c>
      <c r="I3511" s="174">
        <v>13.9</v>
      </c>
      <c r="J3511" s="174">
        <v>0</v>
      </c>
      <c r="K3511" s="174">
        <v>0</v>
      </c>
      <c r="L3511" s="174"/>
      <c r="M3511" s="101"/>
      <c r="N3511" s="161"/>
      <c r="O3511" s="161"/>
      <c r="P3511" s="49"/>
      <c r="Q3511" s="166"/>
      <c r="R3511" s="151"/>
    </row>
    <row r="3512" spans="1:18">
      <c r="A3512" s="161" t="s">
        <v>86</v>
      </c>
      <c r="B3512" s="161" t="s">
        <v>930</v>
      </c>
      <c r="C3512" s="88" t="s">
        <v>932</v>
      </c>
      <c r="D3512" s="161" t="s">
        <v>932</v>
      </c>
      <c r="E3512" s="161" t="s">
        <v>2750</v>
      </c>
      <c r="F3512" s="161" t="s">
        <v>2777</v>
      </c>
      <c r="G3512" s="163">
        <v>7.69</v>
      </c>
      <c r="H3512" s="163">
        <v>7.69</v>
      </c>
      <c r="I3512" s="174">
        <v>11.3</v>
      </c>
      <c r="J3512" s="174">
        <v>2042.98424216871</v>
      </c>
      <c r="K3512" s="174">
        <v>2042.98424216871</v>
      </c>
      <c r="L3512" s="174"/>
      <c r="M3512" s="101"/>
      <c r="N3512" s="161"/>
      <c r="O3512" s="161" t="s">
        <v>14</v>
      </c>
      <c r="P3512" s="49" t="s">
        <v>14</v>
      </c>
      <c r="Q3512" s="166"/>
      <c r="R3512" s="151"/>
    </row>
    <row r="3513" spans="1:18">
      <c r="A3513" s="161" t="s">
        <v>86</v>
      </c>
      <c r="B3513" s="161" t="s">
        <v>933</v>
      </c>
      <c r="C3513" s="135" t="s">
        <v>934</v>
      </c>
      <c r="D3513" s="161" t="s">
        <v>934</v>
      </c>
      <c r="E3513" s="161" t="s">
        <v>2750</v>
      </c>
      <c r="F3513" s="161" t="s">
        <v>7633</v>
      </c>
      <c r="G3513" s="163">
        <v>0</v>
      </c>
      <c r="H3513" s="163">
        <v>0</v>
      </c>
      <c r="I3513" s="174">
        <v>18</v>
      </c>
      <c r="J3513" s="174">
        <v>0</v>
      </c>
      <c r="K3513" s="174">
        <v>0</v>
      </c>
      <c r="L3513" s="174"/>
      <c r="M3513" s="101"/>
      <c r="N3513" s="161"/>
      <c r="O3513" s="161"/>
      <c r="P3513" s="49"/>
      <c r="Q3513" s="166"/>
      <c r="R3513" s="151"/>
    </row>
    <row r="3514" spans="1:18">
      <c r="A3514" s="161" t="s">
        <v>86</v>
      </c>
      <c r="B3514" s="161" t="s">
        <v>933</v>
      </c>
      <c r="C3514" s="135" t="s">
        <v>927</v>
      </c>
      <c r="D3514" s="161" t="s">
        <v>7631</v>
      </c>
      <c r="E3514" s="161" t="s">
        <v>2750</v>
      </c>
      <c r="F3514" s="161" t="s">
        <v>2777</v>
      </c>
      <c r="G3514" s="163">
        <v>23.692</v>
      </c>
      <c r="H3514" s="163">
        <v>23.692</v>
      </c>
      <c r="I3514" s="174">
        <v>7.8</v>
      </c>
      <c r="J3514" s="174">
        <v>14377.035843485</v>
      </c>
      <c r="K3514" s="174">
        <v>14377</v>
      </c>
      <c r="L3514" s="174"/>
      <c r="M3514" s="101"/>
      <c r="N3514" s="161"/>
      <c r="O3514" s="161"/>
      <c r="P3514" s="49"/>
      <c r="Q3514" s="166" t="s">
        <v>7632</v>
      </c>
      <c r="R3514" s="151"/>
    </row>
    <row r="3515" spans="1:18">
      <c r="A3515" s="161" t="s">
        <v>86</v>
      </c>
      <c r="B3515" s="49" t="s">
        <v>935</v>
      </c>
      <c r="C3515" s="135" t="s">
        <v>927</v>
      </c>
      <c r="D3515" s="161" t="s">
        <v>7631</v>
      </c>
      <c r="E3515" s="161" t="s">
        <v>2750</v>
      </c>
      <c r="F3515" s="161" t="s">
        <v>2777</v>
      </c>
      <c r="G3515" s="163">
        <v>0</v>
      </c>
      <c r="H3515" s="163">
        <v>0</v>
      </c>
      <c r="I3515" s="173">
        <v>9.42</v>
      </c>
      <c r="J3515" s="173">
        <v>0</v>
      </c>
      <c r="K3515" s="173">
        <v>0</v>
      </c>
      <c r="L3515" s="174"/>
      <c r="M3515" s="101"/>
      <c r="N3515" s="161"/>
      <c r="O3515" s="161"/>
      <c r="P3515" s="49"/>
      <c r="Q3515" s="166" t="s">
        <v>7632</v>
      </c>
      <c r="R3515" s="151"/>
    </row>
    <row r="3516" spans="1:18">
      <c r="A3516" s="161" t="s">
        <v>86</v>
      </c>
      <c r="B3516" s="49" t="s">
        <v>935</v>
      </c>
      <c r="C3516" s="88" t="s">
        <v>7634</v>
      </c>
      <c r="D3516" s="161" t="s">
        <v>7635</v>
      </c>
      <c r="E3516" s="161" t="s">
        <v>2750</v>
      </c>
      <c r="F3516" s="161" t="s">
        <v>2777</v>
      </c>
      <c r="G3516" s="163">
        <v>11.669</v>
      </c>
      <c r="H3516" s="163">
        <v>11.669</v>
      </c>
      <c r="I3516" s="173">
        <v>29.86</v>
      </c>
      <c r="J3516" s="173">
        <v>3099</v>
      </c>
      <c r="K3516" s="173">
        <v>3099</v>
      </c>
      <c r="L3516" s="174"/>
      <c r="M3516" s="101"/>
      <c r="N3516" s="161" t="s">
        <v>1299</v>
      </c>
      <c r="O3516" s="161" t="s">
        <v>25</v>
      </c>
      <c r="P3516" s="49" t="s">
        <v>25</v>
      </c>
      <c r="Q3516" s="166" t="s">
        <v>7636</v>
      </c>
      <c r="R3516" s="151"/>
    </row>
    <row r="3517" spans="1:18">
      <c r="A3517" s="161" t="s">
        <v>86</v>
      </c>
      <c r="B3517" s="49" t="s">
        <v>935</v>
      </c>
      <c r="C3517" s="88" t="s">
        <v>7637</v>
      </c>
      <c r="D3517" s="161" t="s">
        <v>7638</v>
      </c>
      <c r="E3517" s="161" t="s">
        <v>2750</v>
      </c>
      <c r="F3517" s="161" t="s">
        <v>2777</v>
      </c>
      <c r="G3517" s="163">
        <v>21.642</v>
      </c>
      <c r="H3517" s="163">
        <v>9.973</v>
      </c>
      <c r="I3517" s="173">
        <v>9.8</v>
      </c>
      <c r="J3517" s="173">
        <v>2648</v>
      </c>
      <c r="K3517" s="173">
        <v>5747</v>
      </c>
      <c r="L3517" s="174"/>
      <c r="M3517" s="101"/>
      <c r="N3517" s="161" t="s">
        <v>1299</v>
      </c>
      <c r="O3517" s="161" t="s">
        <v>25</v>
      </c>
      <c r="P3517" s="49" t="s">
        <v>25</v>
      </c>
      <c r="Q3517" s="166" t="s">
        <v>7639</v>
      </c>
      <c r="R3517" s="151"/>
    </row>
    <row r="3518" spans="1:18">
      <c r="A3518" s="161" t="s">
        <v>86</v>
      </c>
      <c r="B3518" s="49" t="s">
        <v>935</v>
      </c>
      <c r="C3518" s="88" t="s">
        <v>7640</v>
      </c>
      <c r="D3518" s="161" t="s">
        <v>7641</v>
      </c>
      <c r="E3518" s="161" t="s">
        <v>2750</v>
      </c>
      <c r="F3518" s="161" t="s">
        <v>2777</v>
      </c>
      <c r="G3518" s="163">
        <v>30.965</v>
      </c>
      <c r="H3518" s="163">
        <v>9.323</v>
      </c>
      <c r="I3518" s="173">
        <v>26.75</v>
      </c>
      <c r="J3518" s="173">
        <v>2474</v>
      </c>
      <c r="K3518" s="173">
        <v>8222</v>
      </c>
      <c r="L3518" s="174"/>
      <c r="M3518" s="101"/>
      <c r="N3518" s="161" t="s">
        <v>1299</v>
      </c>
      <c r="O3518" s="161" t="s">
        <v>25</v>
      </c>
      <c r="P3518" s="49" t="s">
        <v>25</v>
      </c>
      <c r="Q3518" s="166" t="s">
        <v>7642</v>
      </c>
      <c r="R3518" s="151"/>
    </row>
    <row r="3519" spans="1:18">
      <c r="A3519" s="161" t="s">
        <v>86</v>
      </c>
      <c r="B3519" s="49" t="s">
        <v>935</v>
      </c>
      <c r="C3519" s="88" t="s">
        <v>937</v>
      </c>
      <c r="D3519" s="161" t="s">
        <v>937</v>
      </c>
      <c r="E3519" s="161" t="s">
        <v>2750</v>
      </c>
      <c r="F3519" s="161" t="s">
        <v>2777</v>
      </c>
      <c r="G3519" s="163">
        <v>42.752</v>
      </c>
      <c r="H3519" s="163">
        <v>11.787</v>
      </c>
      <c r="I3519" s="173">
        <v>48.85</v>
      </c>
      <c r="J3519" s="173">
        <v>3130</v>
      </c>
      <c r="K3519" s="173">
        <v>11352</v>
      </c>
      <c r="L3519" s="174"/>
      <c r="M3519" s="101"/>
      <c r="N3519" s="161"/>
      <c r="O3519" s="161" t="s">
        <v>14</v>
      </c>
      <c r="P3519" s="49" t="s">
        <v>14</v>
      </c>
      <c r="Q3519" s="166" t="s">
        <v>7643</v>
      </c>
      <c r="R3519" s="151"/>
    </row>
    <row r="3520" s="152" customFormat="1" spans="1:18">
      <c r="A3520" s="161" t="s">
        <v>86</v>
      </c>
      <c r="B3520" s="49" t="s">
        <v>938</v>
      </c>
      <c r="C3520" s="135" t="s">
        <v>937</v>
      </c>
      <c r="D3520" s="49" t="s">
        <v>937</v>
      </c>
      <c r="E3520" s="161" t="s">
        <v>2750</v>
      </c>
      <c r="F3520" s="161" t="s">
        <v>7644</v>
      </c>
      <c r="G3520" s="171">
        <v>0</v>
      </c>
      <c r="H3520" s="163">
        <v>0</v>
      </c>
      <c r="I3520" s="174">
        <v>40</v>
      </c>
      <c r="J3520" s="174">
        <v>0</v>
      </c>
      <c r="K3520" s="174">
        <v>0</v>
      </c>
      <c r="L3520" s="174"/>
      <c r="M3520" s="101"/>
      <c r="N3520" s="161"/>
      <c r="O3520" s="161"/>
      <c r="P3520" s="49"/>
      <c r="Q3520" s="166" t="s">
        <v>7643</v>
      </c>
      <c r="R3520" s="151"/>
    </row>
    <row r="3521" s="152" customFormat="1" spans="1:18">
      <c r="A3521" s="161" t="s">
        <v>86</v>
      </c>
      <c r="B3521" s="49" t="s">
        <v>938</v>
      </c>
      <c r="C3521" s="88" t="s">
        <v>7645</v>
      </c>
      <c r="D3521" s="49" t="s">
        <v>7646</v>
      </c>
      <c r="E3521" s="161" t="s">
        <v>2750</v>
      </c>
      <c r="F3521" s="161" t="s">
        <v>7644</v>
      </c>
      <c r="G3521" s="171">
        <v>10.76</v>
      </c>
      <c r="H3521" s="163">
        <v>11</v>
      </c>
      <c r="I3521" s="174">
        <v>65</v>
      </c>
      <c r="J3521" s="174">
        <v>2987</v>
      </c>
      <c r="K3521" s="174">
        <v>2987</v>
      </c>
      <c r="L3521" s="174"/>
      <c r="M3521" s="101"/>
      <c r="N3521" s="161" t="s">
        <v>1299</v>
      </c>
      <c r="O3521" s="161"/>
      <c r="P3521" s="49" t="s">
        <v>25</v>
      </c>
      <c r="Q3521" s="166" t="s">
        <v>7647</v>
      </c>
      <c r="R3521" s="151"/>
    </row>
    <row r="3522" s="152" customFormat="1" spans="1:18">
      <c r="A3522" s="161" t="s">
        <v>86</v>
      </c>
      <c r="B3522" s="49" t="s">
        <v>938</v>
      </c>
      <c r="C3522" s="88" t="s">
        <v>7648</v>
      </c>
      <c r="D3522" s="49" t="s">
        <v>7648</v>
      </c>
      <c r="E3522" s="161" t="s">
        <v>2750</v>
      </c>
      <c r="F3522" s="161" t="s">
        <v>7644</v>
      </c>
      <c r="G3522" s="171">
        <v>26.148</v>
      </c>
      <c r="H3522" s="163">
        <v>15</v>
      </c>
      <c r="I3522" s="174">
        <v>135</v>
      </c>
      <c r="J3522" s="174">
        <v>4206</v>
      </c>
      <c r="K3522" s="174">
        <v>7193</v>
      </c>
      <c r="L3522" s="174"/>
      <c r="M3522" s="101"/>
      <c r="N3522" s="161"/>
      <c r="O3522" s="161"/>
      <c r="P3522" s="49" t="s">
        <v>14</v>
      </c>
      <c r="Q3522" s="166" t="s">
        <v>7649</v>
      </c>
      <c r="R3522" s="151"/>
    </row>
    <row r="3523" s="152" customFormat="1" spans="1:18">
      <c r="A3523" s="161" t="s">
        <v>86</v>
      </c>
      <c r="B3523" s="49" t="s">
        <v>938</v>
      </c>
      <c r="C3523" s="88" t="s">
        <v>939</v>
      </c>
      <c r="D3523" s="49" t="s">
        <v>939</v>
      </c>
      <c r="E3523" s="161" t="s">
        <v>2750</v>
      </c>
      <c r="F3523" s="161" t="s">
        <v>7644</v>
      </c>
      <c r="G3523" s="171">
        <v>38.848</v>
      </c>
      <c r="H3523" s="163">
        <v>12.7</v>
      </c>
      <c r="I3523" s="174">
        <v>40</v>
      </c>
      <c r="J3523" s="174">
        <v>3494</v>
      </c>
      <c r="K3523" s="174">
        <v>10687</v>
      </c>
      <c r="L3523" s="174"/>
      <c r="M3523" s="101"/>
      <c r="N3523" s="161"/>
      <c r="O3523" s="161"/>
      <c r="P3523" s="49" t="s">
        <v>14</v>
      </c>
      <c r="Q3523" s="166" t="s">
        <v>7650</v>
      </c>
      <c r="R3523" s="151"/>
    </row>
    <row r="3524" spans="1:18">
      <c r="A3524" s="161" t="s">
        <v>86</v>
      </c>
      <c r="B3524" s="49" t="s">
        <v>940</v>
      </c>
      <c r="C3524" s="135" t="s">
        <v>941</v>
      </c>
      <c r="D3524" s="161" t="s">
        <v>7627</v>
      </c>
      <c r="E3524" s="161" t="s">
        <v>2750</v>
      </c>
      <c r="F3524" s="161" t="s">
        <v>2777</v>
      </c>
      <c r="G3524" s="163">
        <v>0</v>
      </c>
      <c r="H3524" s="163">
        <v>0</v>
      </c>
      <c r="I3524" s="173">
        <v>6</v>
      </c>
      <c r="J3524" s="173"/>
      <c r="K3524" s="173"/>
      <c r="L3524" s="174"/>
      <c r="M3524" s="101"/>
      <c r="N3524" s="161"/>
      <c r="O3524" s="161"/>
      <c r="P3524" s="49"/>
      <c r="Q3524" s="166"/>
      <c r="R3524" s="151"/>
    </row>
    <row r="3525" spans="1:18">
      <c r="A3525" s="161" t="s">
        <v>86</v>
      </c>
      <c r="B3525" s="49" t="s">
        <v>940</v>
      </c>
      <c r="C3525" s="88" t="s">
        <v>942</v>
      </c>
      <c r="D3525" s="161" t="s">
        <v>942</v>
      </c>
      <c r="E3525" s="161" t="s">
        <v>2750</v>
      </c>
      <c r="F3525" s="161" t="s">
        <v>2777</v>
      </c>
      <c r="G3525" s="163">
        <v>0.7</v>
      </c>
      <c r="H3525" s="163">
        <v>0.7</v>
      </c>
      <c r="I3525" s="173"/>
      <c r="J3525" s="173"/>
      <c r="K3525" s="173"/>
      <c r="L3525" s="174"/>
      <c r="M3525" s="101"/>
      <c r="N3525" s="161"/>
      <c r="O3525" s="161" t="s">
        <v>14</v>
      </c>
      <c r="P3525" s="49" t="s">
        <v>14</v>
      </c>
      <c r="Q3525" s="166"/>
      <c r="R3525" s="151"/>
    </row>
    <row r="3526" s="152" customFormat="1" spans="1:18">
      <c r="A3526" s="161" t="s">
        <v>86</v>
      </c>
      <c r="B3526" s="49" t="s">
        <v>943</v>
      </c>
      <c r="C3526" s="135" t="s">
        <v>944</v>
      </c>
      <c r="D3526" s="49" t="s">
        <v>944</v>
      </c>
      <c r="E3526" s="161" t="s">
        <v>2750</v>
      </c>
      <c r="F3526" s="161"/>
      <c r="G3526" s="171">
        <v>0</v>
      </c>
      <c r="H3526" s="163">
        <v>0</v>
      </c>
      <c r="I3526" s="174">
        <v>7.05</v>
      </c>
      <c r="J3526" s="174">
        <v>0</v>
      </c>
      <c r="K3526" s="174">
        <v>0</v>
      </c>
      <c r="L3526" s="174"/>
      <c r="M3526" s="101"/>
      <c r="N3526" s="161"/>
      <c r="O3526" s="161"/>
      <c r="P3526" s="49"/>
      <c r="Q3526" s="166"/>
      <c r="R3526" s="151"/>
    </row>
    <row r="3527" s="152" customFormat="1" spans="1:18">
      <c r="A3527" s="161" t="s">
        <v>86</v>
      </c>
      <c r="B3527" s="49" t="s">
        <v>943</v>
      </c>
      <c r="C3527" s="88" t="s">
        <v>945</v>
      </c>
      <c r="D3527" s="49" t="s">
        <v>945</v>
      </c>
      <c r="E3527" s="161" t="s">
        <v>2750</v>
      </c>
      <c r="F3527" s="161"/>
      <c r="G3527" s="171">
        <v>8.026</v>
      </c>
      <c r="H3527" s="163">
        <v>8.026</v>
      </c>
      <c r="I3527" s="174">
        <v>6.48</v>
      </c>
      <c r="J3527" s="174">
        <v>941</v>
      </c>
      <c r="K3527" s="174">
        <v>941</v>
      </c>
      <c r="L3527" s="174"/>
      <c r="M3527" s="101"/>
      <c r="N3527" s="161"/>
      <c r="O3527" s="161"/>
      <c r="P3527" s="49" t="s">
        <v>14</v>
      </c>
      <c r="Q3527" s="166"/>
      <c r="R3527" s="151"/>
    </row>
    <row r="3528" s="152" customFormat="1" spans="1:18">
      <c r="A3528" s="161" t="s">
        <v>86</v>
      </c>
      <c r="B3528" s="49" t="s">
        <v>946</v>
      </c>
      <c r="C3528" s="135" t="s">
        <v>947</v>
      </c>
      <c r="D3528" s="49" t="s">
        <v>7619</v>
      </c>
      <c r="E3528" s="161" t="s">
        <v>2750</v>
      </c>
      <c r="F3528" s="161"/>
      <c r="G3528" s="171">
        <v>0</v>
      </c>
      <c r="H3528" s="163">
        <v>0</v>
      </c>
      <c r="I3528" s="174">
        <v>9.5</v>
      </c>
      <c r="J3528" s="174">
        <v>0</v>
      </c>
      <c r="K3528" s="174">
        <v>0</v>
      </c>
      <c r="L3528" s="174"/>
      <c r="M3528" s="101"/>
      <c r="N3528" s="161"/>
      <c r="O3528" s="161"/>
      <c r="P3528" s="49"/>
      <c r="Q3528" s="166"/>
      <c r="R3528" s="151"/>
    </row>
    <row r="3529" s="152" customFormat="1" spans="1:18">
      <c r="A3529" s="161" t="s">
        <v>86</v>
      </c>
      <c r="B3529" s="49" t="s">
        <v>946</v>
      </c>
      <c r="C3529" s="88" t="s">
        <v>7651</v>
      </c>
      <c r="D3529" s="49" t="s">
        <v>7651</v>
      </c>
      <c r="E3529" s="161" t="s">
        <v>2750</v>
      </c>
      <c r="F3529" s="161"/>
      <c r="G3529" s="171">
        <v>0.13</v>
      </c>
      <c r="H3529" s="163">
        <v>0.13</v>
      </c>
      <c r="I3529" s="174">
        <v>11</v>
      </c>
      <c r="J3529" s="174">
        <v>9</v>
      </c>
      <c r="K3529" s="174">
        <f>J3528+J3529</f>
        <v>9</v>
      </c>
      <c r="L3529" s="174"/>
      <c r="M3529" s="101"/>
      <c r="N3529" s="161"/>
      <c r="O3529" s="161"/>
      <c r="P3529" s="49" t="s">
        <v>14</v>
      </c>
      <c r="Q3529" s="166"/>
      <c r="R3529" s="151"/>
    </row>
    <row r="3530" s="152" customFormat="1" spans="1:18">
      <c r="A3530" s="161" t="s">
        <v>86</v>
      </c>
      <c r="B3530" s="49" t="s">
        <v>946</v>
      </c>
      <c r="C3530" s="88" t="s">
        <v>7651</v>
      </c>
      <c r="D3530" s="49" t="s">
        <v>948</v>
      </c>
      <c r="E3530" s="161" t="s">
        <v>2750</v>
      </c>
      <c r="F3530" s="161"/>
      <c r="G3530" s="171">
        <v>9.13</v>
      </c>
      <c r="H3530" s="163">
        <v>9</v>
      </c>
      <c r="I3530" s="174">
        <v>25</v>
      </c>
      <c r="J3530" s="174">
        <v>1055</v>
      </c>
      <c r="K3530" s="174">
        <f>J3529+J3530</f>
        <v>1064</v>
      </c>
      <c r="L3530" s="174"/>
      <c r="M3530" s="101"/>
      <c r="N3530" s="161"/>
      <c r="O3530" s="161"/>
      <c r="P3530" s="49" t="s">
        <v>14</v>
      </c>
      <c r="Q3530" s="166"/>
      <c r="R3530" s="151"/>
    </row>
    <row r="3531" spans="1:18">
      <c r="A3531" s="161" t="s">
        <v>86</v>
      </c>
      <c r="B3531" s="161" t="s">
        <v>951</v>
      </c>
      <c r="C3531" s="135" t="s">
        <v>7652</v>
      </c>
      <c r="D3531" s="161" t="s">
        <v>7652</v>
      </c>
      <c r="E3531" s="161" t="s">
        <v>3764</v>
      </c>
      <c r="F3531" s="161"/>
      <c r="G3531" s="163">
        <v>0</v>
      </c>
      <c r="H3531" s="163">
        <v>0</v>
      </c>
      <c r="I3531" s="174" t="s">
        <v>147</v>
      </c>
      <c r="J3531" s="174">
        <v>0</v>
      </c>
      <c r="K3531" s="174">
        <v>0</v>
      </c>
      <c r="L3531" s="174"/>
      <c r="M3531" s="101"/>
      <c r="N3531" s="161"/>
      <c r="O3531" s="161"/>
      <c r="P3531" s="49"/>
      <c r="Q3531" s="166"/>
      <c r="R3531" s="151"/>
    </row>
    <row r="3532" spans="1:18">
      <c r="A3532" s="161" t="s">
        <v>86</v>
      </c>
      <c r="B3532" s="161" t="s">
        <v>951</v>
      </c>
      <c r="C3532" s="88" t="s">
        <v>7653</v>
      </c>
      <c r="D3532" s="161" t="s">
        <v>7654</v>
      </c>
      <c r="E3532" s="161" t="s">
        <v>2750</v>
      </c>
      <c r="F3532" s="161" t="s">
        <v>7633</v>
      </c>
      <c r="G3532" s="163">
        <v>11.65</v>
      </c>
      <c r="H3532" s="163">
        <v>11.65</v>
      </c>
      <c r="I3532" s="174">
        <v>2.5</v>
      </c>
      <c r="J3532" s="174">
        <v>8538.27344976255</v>
      </c>
      <c r="K3532" s="174">
        <v>8538.27344976255</v>
      </c>
      <c r="L3532" s="174"/>
      <c r="M3532" s="101"/>
      <c r="N3532" s="161" t="s">
        <v>1299</v>
      </c>
      <c r="O3532" s="161" t="s">
        <v>25</v>
      </c>
      <c r="P3532" s="49" t="s">
        <v>25</v>
      </c>
      <c r="Q3532" s="166"/>
      <c r="R3532" s="151"/>
    </row>
    <row r="3533" spans="1:18">
      <c r="A3533" s="161" t="s">
        <v>86</v>
      </c>
      <c r="B3533" s="161" t="s">
        <v>951</v>
      </c>
      <c r="C3533" s="88" t="s">
        <v>7655</v>
      </c>
      <c r="D3533" s="161" t="s">
        <v>7656</v>
      </c>
      <c r="E3533" s="161" t="s">
        <v>2750</v>
      </c>
      <c r="F3533" s="161" t="s">
        <v>7633</v>
      </c>
      <c r="G3533" s="163">
        <v>23.487</v>
      </c>
      <c r="H3533" s="163">
        <v>11.837</v>
      </c>
      <c r="I3533" s="174">
        <v>2</v>
      </c>
      <c r="J3533" s="174">
        <v>8675.32556436389</v>
      </c>
      <c r="K3533" s="174">
        <v>17213.5990141264</v>
      </c>
      <c r="L3533" s="174"/>
      <c r="M3533" s="101"/>
      <c r="N3533" s="161" t="s">
        <v>1299</v>
      </c>
      <c r="O3533" s="161" t="s">
        <v>14</v>
      </c>
      <c r="P3533" s="49" t="s">
        <v>14</v>
      </c>
      <c r="Q3533" s="166"/>
      <c r="R3533" s="151"/>
    </row>
    <row r="3534" spans="1:18">
      <c r="A3534" s="161" t="s">
        <v>86</v>
      </c>
      <c r="B3534" s="161" t="s">
        <v>951</v>
      </c>
      <c r="C3534" s="88" t="s">
        <v>7657</v>
      </c>
      <c r="D3534" s="161" t="s">
        <v>7657</v>
      </c>
      <c r="E3534" s="161" t="s">
        <v>2750</v>
      </c>
      <c r="F3534" s="161" t="s">
        <v>7633</v>
      </c>
      <c r="G3534" s="163">
        <v>35.156</v>
      </c>
      <c r="H3534" s="163">
        <v>11.669</v>
      </c>
      <c r="I3534" s="174">
        <v>37.2</v>
      </c>
      <c r="J3534" s="174">
        <v>8552.19853092526</v>
      </c>
      <c r="K3534" s="174">
        <v>25765.7975450517</v>
      </c>
      <c r="L3534" s="174"/>
      <c r="M3534" s="101"/>
      <c r="N3534" s="161"/>
      <c r="O3534" s="161" t="s">
        <v>14</v>
      </c>
      <c r="P3534" s="49" t="s">
        <v>14</v>
      </c>
      <c r="Q3534" s="166"/>
      <c r="R3534" s="151"/>
    </row>
    <row r="3535" spans="1:18">
      <c r="A3535" s="161" t="s">
        <v>86</v>
      </c>
      <c r="B3535" s="161" t="s">
        <v>951</v>
      </c>
      <c r="C3535" s="88" t="s">
        <v>7658</v>
      </c>
      <c r="D3535" s="161" t="s">
        <v>7658</v>
      </c>
      <c r="E3535" s="161" t="s">
        <v>2750</v>
      </c>
      <c r="F3535" s="161" t="s">
        <v>7633</v>
      </c>
      <c r="G3535" s="163">
        <v>51.718</v>
      </c>
      <c r="H3535" s="163">
        <v>16.562</v>
      </c>
      <c r="I3535" s="174">
        <v>4.1</v>
      </c>
      <c r="J3535" s="174">
        <v>10050.3320800185</v>
      </c>
      <c r="K3535" s="174">
        <v>35816.1296250702</v>
      </c>
      <c r="L3535" s="174"/>
      <c r="M3535" s="101"/>
      <c r="N3535" s="161"/>
      <c r="O3535" s="161" t="s">
        <v>15</v>
      </c>
      <c r="P3535" s="49" t="s">
        <v>15</v>
      </c>
      <c r="Q3535" s="166"/>
      <c r="R3535" s="151"/>
    </row>
    <row r="3536" spans="1:18">
      <c r="A3536" s="161" t="s">
        <v>86</v>
      </c>
      <c r="B3536" s="161" t="s">
        <v>951</v>
      </c>
      <c r="C3536" s="88" t="s">
        <v>7659</v>
      </c>
      <c r="D3536" s="161" t="s">
        <v>7660</v>
      </c>
      <c r="E3536" s="161" t="s">
        <v>2750</v>
      </c>
      <c r="F3536" s="161" t="s">
        <v>7633</v>
      </c>
      <c r="G3536" s="163">
        <v>65.223</v>
      </c>
      <c r="H3536" s="163">
        <v>13.505</v>
      </c>
      <c r="I3536" s="174">
        <v>0.8</v>
      </c>
      <c r="J3536" s="174">
        <v>8195.25025604699</v>
      </c>
      <c r="K3536" s="174">
        <v>44011.3798811172</v>
      </c>
      <c r="L3536" s="174"/>
      <c r="M3536" s="101"/>
      <c r="N3536" s="161" t="s">
        <v>1299</v>
      </c>
      <c r="O3536" s="161" t="s">
        <v>25</v>
      </c>
      <c r="P3536" s="49" t="s">
        <v>25</v>
      </c>
      <c r="Q3536" s="166"/>
      <c r="R3536" s="151"/>
    </row>
    <row r="3537" spans="1:18">
      <c r="A3537" s="161" t="s">
        <v>86</v>
      </c>
      <c r="B3537" s="161" t="s">
        <v>951</v>
      </c>
      <c r="C3537" s="88" t="s">
        <v>7149</v>
      </c>
      <c r="D3537" s="161" t="s">
        <v>7150</v>
      </c>
      <c r="E3537" s="161" t="s">
        <v>2750</v>
      </c>
      <c r="F3537" s="161" t="s">
        <v>7633</v>
      </c>
      <c r="G3537" s="163">
        <v>78.3</v>
      </c>
      <c r="H3537" s="163">
        <v>13.077</v>
      </c>
      <c r="I3537" s="174">
        <v>32.2</v>
      </c>
      <c r="J3537" s="174">
        <v>7935.52666407453</v>
      </c>
      <c r="K3537" s="174">
        <v>51946.9065451918</v>
      </c>
      <c r="L3537" s="174"/>
      <c r="M3537" s="101"/>
      <c r="N3537" s="161" t="s">
        <v>1299</v>
      </c>
      <c r="O3537" s="161" t="s">
        <v>25</v>
      </c>
      <c r="P3537" s="49" t="s">
        <v>25</v>
      </c>
      <c r="Q3537" s="166"/>
      <c r="R3537" s="151"/>
    </row>
    <row r="3538" spans="1:18">
      <c r="A3538" s="161" t="s">
        <v>86</v>
      </c>
      <c r="B3538" s="161" t="s">
        <v>951</v>
      </c>
      <c r="C3538" s="88" t="s">
        <v>7661</v>
      </c>
      <c r="D3538" s="161" t="s">
        <v>7661</v>
      </c>
      <c r="E3538" s="161" t="s">
        <v>2750</v>
      </c>
      <c r="F3538" s="161" t="s">
        <v>7633</v>
      </c>
      <c r="G3538" s="163">
        <v>93.274</v>
      </c>
      <c r="H3538" s="163">
        <v>14.974</v>
      </c>
      <c r="I3538" s="174">
        <v>35.5</v>
      </c>
      <c r="J3538" s="174">
        <v>9086.68473410201</v>
      </c>
      <c r="K3538" s="174">
        <v>61033.5912792938</v>
      </c>
      <c r="L3538" s="174"/>
      <c r="M3538" s="101"/>
      <c r="N3538" s="161"/>
      <c r="O3538" s="161" t="s">
        <v>14</v>
      </c>
      <c r="P3538" s="49" t="s">
        <v>14</v>
      </c>
      <c r="Q3538" s="166"/>
      <c r="R3538" s="151"/>
    </row>
    <row r="3539" spans="1:18">
      <c r="A3539" s="161" t="s">
        <v>86</v>
      </c>
      <c r="B3539" s="161" t="s">
        <v>951</v>
      </c>
      <c r="C3539" s="88" t="s">
        <v>956</v>
      </c>
      <c r="D3539" s="161" t="s">
        <v>7662</v>
      </c>
      <c r="E3539" s="161" t="s">
        <v>2750</v>
      </c>
      <c r="F3539" s="161" t="s">
        <v>2777</v>
      </c>
      <c r="G3539" s="163">
        <v>115.591</v>
      </c>
      <c r="H3539" s="163">
        <v>22.317</v>
      </c>
      <c r="I3539" s="174">
        <v>12.5</v>
      </c>
      <c r="J3539" s="174">
        <v>13542.6434627324</v>
      </c>
      <c r="K3539" s="174">
        <v>74576.2347420262</v>
      </c>
      <c r="L3539" s="174"/>
      <c r="M3539" s="101"/>
      <c r="N3539" s="161" t="s">
        <v>1299</v>
      </c>
      <c r="O3539" s="161" t="s">
        <v>25</v>
      </c>
      <c r="P3539" s="49" t="s">
        <v>25</v>
      </c>
      <c r="Q3539" s="166"/>
      <c r="R3539" s="151"/>
    </row>
    <row r="3540" spans="1:18">
      <c r="A3540" s="161" t="s">
        <v>86</v>
      </c>
      <c r="B3540" s="161" t="s">
        <v>951</v>
      </c>
      <c r="C3540" s="88" t="s">
        <v>7663</v>
      </c>
      <c r="D3540" s="161" t="s">
        <v>7664</v>
      </c>
      <c r="E3540" s="161" t="s">
        <v>2750</v>
      </c>
      <c r="F3540" s="161" t="s">
        <v>2777</v>
      </c>
      <c r="G3540" s="163">
        <v>130.06</v>
      </c>
      <c r="H3540" s="163">
        <v>14.469</v>
      </c>
      <c r="I3540" s="174">
        <v>15.6</v>
      </c>
      <c r="J3540" s="174">
        <v>8780.2351688074</v>
      </c>
      <c r="K3540" s="174">
        <v>83356.4699108335</v>
      </c>
      <c r="L3540" s="174"/>
      <c r="M3540" s="101"/>
      <c r="N3540" s="161" t="s">
        <v>1299</v>
      </c>
      <c r="O3540" s="161" t="s">
        <v>25</v>
      </c>
      <c r="P3540" s="49" t="s">
        <v>25</v>
      </c>
      <c r="Q3540" s="166"/>
      <c r="R3540" s="151"/>
    </row>
    <row r="3541" spans="1:18">
      <c r="A3541" s="161" t="s">
        <v>86</v>
      </c>
      <c r="B3541" s="161" t="s">
        <v>951</v>
      </c>
      <c r="C3541" s="88" t="s">
        <v>934</v>
      </c>
      <c r="D3541" s="161" t="s">
        <v>934</v>
      </c>
      <c r="E3541" s="161" t="s">
        <v>2750</v>
      </c>
      <c r="F3541" s="161" t="s">
        <v>7633</v>
      </c>
      <c r="G3541" s="163">
        <v>144.601</v>
      </c>
      <c r="H3541" s="163">
        <v>14.541</v>
      </c>
      <c r="I3541" s="174">
        <v>18</v>
      </c>
      <c r="J3541" s="174">
        <v>8823.92698801772</v>
      </c>
      <c r="K3541" s="174">
        <v>92180.3968988513</v>
      </c>
      <c r="L3541" s="174"/>
      <c r="M3541" s="101"/>
      <c r="N3541" s="161"/>
      <c r="O3541" s="161" t="s">
        <v>14</v>
      </c>
      <c r="P3541" s="49" t="s">
        <v>14</v>
      </c>
      <c r="Q3541" s="166"/>
      <c r="R3541" s="151"/>
    </row>
    <row r="3542" spans="1:18">
      <c r="A3542" s="161" t="s">
        <v>86</v>
      </c>
      <c r="B3542" s="161" t="s">
        <v>955</v>
      </c>
      <c r="C3542" s="135" t="s">
        <v>956</v>
      </c>
      <c r="D3542" s="161" t="s">
        <v>7662</v>
      </c>
      <c r="E3542" s="161" t="s">
        <v>2750</v>
      </c>
      <c r="F3542" s="161" t="s">
        <v>7633</v>
      </c>
      <c r="G3542" s="163">
        <v>0</v>
      </c>
      <c r="H3542" s="163">
        <v>0</v>
      </c>
      <c r="I3542" s="174"/>
      <c r="J3542" s="174">
        <v>0</v>
      </c>
      <c r="K3542" s="174">
        <v>0</v>
      </c>
      <c r="L3542" s="174"/>
      <c r="M3542" s="101"/>
      <c r="N3542" s="161"/>
      <c r="O3542" s="161"/>
      <c r="P3542" s="49"/>
      <c r="Q3542" s="166"/>
      <c r="R3542" s="151"/>
    </row>
    <row r="3543" spans="1:18">
      <c r="A3543" s="161" t="s">
        <v>86</v>
      </c>
      <c r="B3543" s="161" t="s">
        <v>955</v>
      </c>
      <c r="C3543" s="88" t="s">
        <v>957</v>
      </c>
      <c r="D3543" s="161" t="s">
        <v>957</v>
      </c>
      <c r="E3543" s="161" t="s">
        <v>2750</v>
      </c>
      <c r="F3543" s="161" t="s">
        <v>7633</v>
      </c>
      <c r="G3543" s="163">
        <v>0.183</v>
      </c>
      <c r="H3543" s="163">
        <v>0.183</v>
      </c>
      <c r="I3543" s="174"/>
      <c r="J3543" s="174">
        <v>19</v>
      </c>
      <c r="K3543" s="174">
        <v>19</v>
      </c>
      <c r="L3543" s="174"/>
      <c r="M3543" s="101"/>
      <c r="N3543" s="161" t="s">
        <v>1299</v>
      </c>
      <c r="O3543" s="161" t="s">
        <v>25</v>
      </c>
      <c r="P3543" s="49" t="s">
        <v>25</v>
      </c>
      <c r="Q3543" s="166"/>
      <c r="R3543" s="151"/>
    </row>
    <row r="3544" spans="1:18">
      <c r="A3544" s="161" t="s">
        <v>86</v>
      </c>
      <c r="B3544" s="195" t="s">
        <v>958</v>
      </c>
      <c r="C3544" s="88" t="s">
        <v>971</v>
      </c>
      <c r="D3544" s="161" t="s">
        <v>7281</v>
      </c>
      <c r="E3544" s="161" t="s">
        <v>2750</v>
      </c>
      <c r="F3544" s="161" t="s">
        <v>2751</v>
      </c>
      <c r="G3544" s="163">
        <v>0</v>
      </c>
      <c r="H3544" s="163">
        <v>0</v>
      </c>
      <c r="I3544" s="174">
        <v>125.5</v>
      </c>
      <c r="J3544" s="174">
        <v>0</v>
      </c>
      <c r="K3544" s="174">
        <v>0</v>
      </c>
      <c r="L3544" s="174"/>
      <c r="M3544" s="101"/>
      <c r="N3544" s="161"/>
      <c r="O3544" s="161" t="s">
        <v>14</v>
      </c>
      <c r="P3544" s="49" t="s">
        <v>14</v>
      </c>
      <c r="Q3544" s="166"/>
      <c r="R3544" s="151"/>
    </row>
    <row r="3545" spans="1:18">
      <c r="A3545" s="161" t="s">
        <v>86</v>
      </c>
      <c r="B3545" s="195" t="s">
        <v>958</v>
      </c>
      <c r="C3545" s="88" t="s">
        <v>7665</v>
      </c>
      <c r="D3545" s="161" t="s">
        <v>7666</v>
      </c>
      <c r="E3545" s="161" t="s">
        <v>2750</v>
      </c>
      <c r="F3545" s="161" t="s">
        <v>2751</v>
      </c>
      <c r="G3545" s="163">
        <v>14.5</v>
      </c>
      <c r="H3545" s="163">
        <f>G3545-G3544</f>
        <v>14.5</v>
      </c>
      <c r="I3545" s="174">
        <v>115</v>
      </c>
      <c r="J3545" s="174">
        <v>8036.5196032128</v>
      </c>
      <c r="K3545" s="174">
        <v>8036.5196032128</v>
      </c>
      <c r="L3545" s="174"/>
      <c r="M3545" s="101"/>
      <c r="N3545" s="161" t="s">
        <v>1299</v>
      </c>
      <c r="O3545" s="161" t="s">
        <v>25</v>
      </c>
      <c r="P3545" s="49" t="s">
        <v>25</v>
      </c>
      <c r="Q3545" s="166" t="s">
        <v>7667</v>
      </c>
      <c r="R3545" s="151"/>
    </row>
    <row r="3546" s="152" customFormat="1" spans="1:18">
      <c r="A3546" s="161" t="s">
        <v>86</v>
      </c>
      <c r="B3546" s="195" t="s">
        <v>958</v>
      </c>
      <c r="C3546" s="88" t="s">
        <v>7668</v>
      </c>
      <c r="D3546" s="161" t="s">
        <v>7668</v>
      </c>
      <c r="E3546" s="161" t="s">
        <v>2750</v>
      </c>
      <c r="F3546" s="161" t="s">
        <v>2751</v>
      </c>
      <c r="G3546" s="163">
        <v>26.98</v>
      </c>
      <c r="H3546" s="163">
        <f t="shared" ref="H3546:H3554" si="262">G3546-G3545</f>
        <v>12.48</v>
      </c>
      <c r="I3546" s="174">
        <v>118</v>
      </c>
      <c r="J3546" s="174">
        <v>7009.588449045</v>
      </c>
      <c r="K3546" s="174">
        <v>15046.1080522578</v>
      </c>
      <c r="L3546" s="174"/>
      <c r="M3546" s="101"/>
      <c r="N3546" s="161"/>
      <c r="O3546" s="161" t="s">
        <v>15</v>
      </c>
      <c r="P3546" s="49" t="s">
        <v>14</v>
      </c>
      <c r="Q3546" s="166" t="s">
        <v>7669</v>
      </c>
      <c r="R3546" s="151"/>
    </row>
    <row r="3547" spans="1:18">
      <c r="A3547" s="161" t="s">
        <v>86</v>
      </c>
      <c r="B3547" s="195" t="s">
        <v>958</v>
      </c>
      <c r="C3547" s="88" t="s">
        <v>962</v>
      </c>
      <c r="D3547" s="161" t="s">
        <v>962</v>
      </c>
      <c r="E3547" s="161" t="s">
        <v>2750</v>
      </c>
      <c r="F3547" s="161" t="s">
        <v>2751</v>
      </c>
      <c r="G3547" s="163">
        <v>50.44</v>
      </c>
      <c r="H3547" s="163">
        <f t="shared" si="262"/>
        <v>23.46</v>
      </c>
      <c r="I3547" s="174">
        <v>281</v>
      </c>
      <c r="J3547" s="174">
        <v>13844.6672494592</v>
      </c>
      <c r="K3547" s="174">
        <v>28890.775301717</v>
      </c>
      <c r="L3547" s="174"/>
      <c r="M3547" s="101"/>
      <c r="N3547" s="161"/>
      <c r="O3547" s="161" t="s">
        <v>15</v>
      </c>
      <c r="P3547" s="49" t="s">
        <v>15</v>
      </c>
      <c r="Q3547" s="166" t="s">
        <v>7670</v>
      </c>
      <c r="R3547" s="151"/>
    </row>
    <row r="3548" s="152" customFormat="1" spans="1:18">
      <c r="A3548" s="161" t="s">
        <v>86</v>
      </c>
      <c r="B3548" s="195" t="s">
        <v>958</v>
      </c>
      <c r="C3548" s="88" t="s">
        <v>7671</v>
      </c>
      <c r="D3548" s="161" t="s">
        <v>7671</v>
      </c>
      <c r="E3548" s="161" t="s">
        <v>2750</v>
      </c>
      <c r="F3548" s="161" t="s">
        <v>2751</v>
      </c>
      <c r="G3548" s="163">
        <v>69.41</v>
      </c>
      <c r="H3548" s="163">
        <f t="shared" si="262"/>
        <v>18.97</v>
      </c>
      <c r="I3548" s="174">
        <v>166</v>
      </c>
      <c r="J3548" s="174">
        <v>12150.478965105</v>
      </c>
      <c r="K3548" s="174">
        <v>41041.254266822</v>
      </c>
      <c r="L3548" s="174"/>
      <c r="M3548" s="101"/>
      <c r="N3548" s="161"/>
      <c r="O3548" s="161" t="s">
        <v>15</v>
      </c>
      <c r="P3548" s="49" t="s">
        <v>14</v>
      </c>
      <c r="Q3548" s="166" t="s">
        <v>7672</v>
      </c>
      <c r="R3548" s="151"/>
    </row>
    <row r="3549" spans="1:18">
      <c r="A3549" s="161" t="s">
        <v>86</v>
      </c>
      <c r="B3549" s="195" t="s">
        <v>958</v>
      </c>
      <c r="C3549" s="88" t="s">
        <v>982</v>
      </c>
      <c r="D3549" s="161" t="s">
        <v>982</v>
      </c>
      <c r="E3549" s="161" t="s">
        <v>2750</v>
      </c>
      <c r="F3549" s="161" t="s">
        <v>2751</v>
      </c>
      <c r="G3549" s="163">
        <v>93.98</v>
      </c>
      <c r="H3549" s="163">
        <f t="shared" si="262"/>
        <v>24.57</v>
      </c>
      <c r="I3549" s="174">
        <v>135</v>
      </c>
      <c r="J3549" s="174">
        <v>14148.8713638272</v>
      </c>
      <c r="K3549" s="174">
        <v>55190.1256306492</v>
      </c>
      <c r="L3549" s="174"/>
      <c r="M3549" s="101"/>
      <c r="N3549" s="161"/>
      <c r="O3549" s="161" t="s">
        <v>15</v>
      </c>
      <c r="P3549" s="49" t="s">
        <v>15</v>
      </c>
      <c r="Q3549" s="166" t="s">
        <v>7673</v>
      </c>
      <c r="R3549" s="151"/>
    </row>
    <row r="3550" spans="1:18">
      <c r="A3550" s="161" t="s">
        <v>86</v>
      </c>
      <c r="B3550" s="195" t="s">
        <v>958</v>
      </c>
      <c r="C3550" s="88" t="s">
        <v>7674</v>
      </c>
      <c r="D3550" s="161" t="s">
        <v>7675</v>
      </c>
      <c r="E3550" s="161" t="s">
        <v>2750</v>
      </c>
      <c r="F3550" s="161" t="s">
        <v>2751</v>
      </c>
      <c r="G3550" s="163">
        <v>107.92</v>
      </c>
      <c r="H3550" s="163">
        <f t="shared" si="262"/>
        <v>13.94</v>
      </c>
      <c r="I3550" s="174">
        <v>89</v>
      </c>
      <c r="J3550" s="174">
        <v>8172.29339469</v>
      </c>
      <c r="K3550" s="174">
        <v>63362.4190253392</v>
      </c>
      <c r="L3550" s="174"/>
      <c r="M3550" s="101"/>
      <c r="N3550" s="161" t="s">
        <v>1299</v>
      </c>
      <c r="O3550" s="161" t="s">
        <v>25</v>
      </c>
      <c r="P3550" s="49" t="s">
        <v>25</v>
      </c>
      <c r="Q3550" s="166" t="s">
        <v>7676</v>
      </c>
      <c r="R3550" s="151"/>
    </row>
    <row r="3551" spans="1:18">
      <c r="A3551" s="161" t="s">
        <v>86</v>
      </c>
      <c r="B3551" s="195" t="s">
        <v>958</v>
      </c>
      <c r="C3551" s="88" t="s">
        <v>7677</v>
      </c>
      <c r="D3551" s="161" t="s">
        <v>7678</v>
      </c>
      <c r="E3551" s="161" t="s">
        <v>2750</v>
      </c>
      <c r="F3551" s="161" t="s">
        <v>2777</v>
      </c>
      <c r="G3551" s="163">
        <v>131.05</v>
      </c>
      <c r="H3551" s="163">
        <f t="shared" si="262"/>
        <v>23.13</v>
      </c>
      <c r="I3551" s="174">
        <v>150</v>
      </c>
      <c r="J3551" s="174">
        <v>13963.37676507</v>
      </c>
      <c r="K3551" s="174">
        <v>77325.7957904092</v>
      </c>
      <c r="L3551" s="174"/>
      <c r="M3551" s="101"/>
      <c r="N3551" s="161" t="s">
        <v>1299</v>
      </c>
      <c r="O3551" s="161" t="s">
        <v>25</v>
      </c>
      <c r="P3551" s="49" t="s">
        <v>25</v>
      </c>
      <c r="Q3551" s="166" t="s">
        <v>7679</v>
      </c>
      <c r="R3551" s="151"/>
    </row>
    <row r="3552" spans="1:18">
      <c r="A3552" s="161" t="s">
        <v>86</v>
      </c>
      <c r="B3552" s="195" t="s">
        <v>958</v>
      </c>
      <c r="C3552" s="88" t="s">
        <v>7680</v>
      </c>
      <c r="D3552" s="161" t="s">
        <v>7680</v>
      </c>
      <c r="E3552" s="161" t="s">
        <v>2750</v>
      </c>
      <c r="F3552" s="161" t="s">
        <v>2777</v>
      </c>
      <c r="G3552" s="163">
        <v>155.7</v>
      </c>
      <c r="H3552" s="163">
        <f t="shared" si="262"/>
        <v>24.65</v>
      </c>
      <c r="I3552" s="174">
        <v>99.5</v>
      </c>
      <c r="J3552" s="174">
        <v>15033.2142336768</v>
      </c>
      <c r="K3552" s="174">
        <v>92359.010024086</v>
      </c>
      <c r="L3552" s="174"/>
      <c r="M3552" s="101"/>
      <c r="N3552" s="161"/>
      <c r="O3552" s="161" t="s">
        <v>15</v>
      </c>
      <c r="P3552" s="49" t="s">
        <v>15</v>
      </c>
      <c r="Q3552" s="166" t="s">
        <v>7681</v>
      </c>
      <c r="R3552" s="151"/>
    </row>
    <row r="3553" spans="1:18">
      <c r="A3553" s="161" t="s">
        <v>86</v>
      </c>
      <c r="B3553" s="195" t="s">
        <v>958</v>
      </c>
      <c r="C3553" s="88" t="s">
        <v>7682</v>
      </c>
      <c r="D3553" s="161" t="s">
        <v>7683</v>
      </c>
      <c r="E3553" s="161" t="s">
        <v>2750</v>
      </c>
      <c r="F3553" s="161" t="s">
        <v>2777</v>
      </c>
      <c r="G3553" s="163">
        <v>178.05</v>
      </c>
      <c r="H3553" s="163">
        <f t="shared" si="262"/>
        <v>22.35</v>
      </c>
      <c r="I3553" s="174">
        <v>46.4</v>
      </c>
      <c r="J3553" s="174">
        <v>11941.3942349184</v>
      </c>
      <c r="K3553" s="174">
        <v>104300.404259004</v>
      </c>
      <c r="L3553" s="174"/>
      <c r="M3553" s="101"/>
      <c r="N3553" s="161" t="s">
        <v>1299</v>
      </c>
      <c r="O3553" s="161" t="s">
        <v>25</v>
      </c>
      <c r="P3553" s="49" t="s">
        <v>25</v>
      </c>
      <c r="Q3553" s="166" t="s">
        <v>7684</v>
      </c>
      <c r="R3553" s="151"/>
    </row>
    <row r="3554" spans="1:18">
      <c r="A3554" s="161" t="s">
        <v>86</v>
      </c>
      <c r="B3554" s="195" t="s">
        <v>958</v>
      </c>
      <c r="C3554" s="135" t="s">
        <v>960</v>
      </c>
      <c r="D3554" s="161" t="s">
        <v>960</v>
      </c>
      <c r="E3554" s="161" t="s">
        <v>2750</v>
      </c>
      <c r="F3554" s="161" t="s">
        <v>2777</v>
      </c>
      <c r="G3554" s="163">
        <v>191.78</v>
      </c>
      <c r="H3554" s="163">
        <f t="shared" si="262"/>
        <v>13.73</v>
      </c>
      <c r="I3554" s="174">
        <v>45.3</v>
      </c>
      <c r="J3554" s="174">
        <v>10443.11619933</v>
      </c>
      <c r="K3554" s="174">
        <v>114743.520458334</v>
      </c>
      <c r="L3554" s="174"/>
      <c r="M3554" s="101"/>
      <c r="N3554" s="161"/>
      <c r="O3554" s="161"/>
      <c r="P3554" s="49"/>
      <c r="Q3554" s="166"/>
      <c r="R3554" s="151"/>
    </row>
    <row r="3555" spans="1:18">
      <c r="A3555" s="161" t="s">
        <v>86</v>
      </c>
      <c r="B3555" s="49" t="s">
        <v>961</v>
      </c>
      <c r="C3555" s="135" t="s">
        <v>962</v>
      </c>
      <c r="D3555" s="161" t="s">
        <v>962</v>
      </c>
      <c r="E3555" s="161" t="s">
        <v>2750</v>
      </c>
      <c r="F3555" s="161" t="s">
        <v>2751</v>
      </c>
      <c r="G3555" s="163">
        <v>0</v>
      </c>
      <c r="H3555" s="163">
        <v>0</v>
      </c>
      <c r="I3555" s="174">
        <v>281</v>
      </c>
      <c r="J3555" s="174">
        <v>0</v>
      </c>
      <c r="K3555" s="174">
        <v>0</v>
      </c>
      <c r="L3555" s="174"/>
      <c r="M3555" s="101"/>
      <c r="N3555" s="161"/>
      <c r="O3555" s="161"/>
      <c r="P3555" s="49"/>
      <c r="Q3555" s="166" t="s">
        <v>7670</v>
      </c>
      <c r="R3555" s="151"/>
    </row>
    <row r="3556" spans="1:18">
      <c r="A3556" s="161" t="s">
        <v>86</v>
      </c>
      <c r="B3556" s="49" t="s">
        <v>961</v>
      </c>
      <c r="C3556" s="88" t="s">
        <v>7685</v>
      </c>
      <c r="D3556" s="161" t="s">
        <v>7686</v>
      </c>
      <c r="E3556" s="161" t="s">
        <v>2750</v>
      </c>
      <c r="F3556" s="161" t="s">
        <v>2751</v>
      </c>
      <c r="G3556" s="163">
        <v>18</v>
      </c>
      <c r="H3556" s="163">
        <v>18</v>
      </c>
      <c r="I3556" s="174">
        <v>133</v>
      </c>
      <c r="J3556" s="174">
        <v>4838.9152233354</v>
      </c>
      <c r="K3556" s="174">
        <v>4838.9152233354</v>
      </c>
      <c r="L3556" s="174"/>
      <c r="M3556" s="101"/>
      <c r="N3556" s="161" t="s">
        <v>1299</v>
      </c>
      <c r="O3556" s="161" t="s">
        <v>25</v>
      </c>
      <c r="P3556" s="49" t="s">
        <v>25</v>
      </c>
      <c r="Q3556" s="166" t="s">
        <v>7687</v>
      </c>
      <c r="R3556" s="151"/>
    </row>
    <row r="3557" spans="1:18">
      <c r="A3557" s="161" t="s">
        <v>86</v>
      </c>
      <c r="B3557" s="49" t="s">
        <v>961</v>
      </c>
      <c r="C3557" s="88" t="s">
        <v>7688</v>
      </c>
      <c r="D3557" s="161" t="s">
        <v>7689</v>
      </c>
      <c r="E3557" s="161" t="s">
        <v>2750</v>
      </c>
      <c r="F3557" s="161" t="s">
        <v>2751</v>
      </c>
      <c r="G3557" s="163">
        <v>32</v>
      </c>
      <c r="H3557" s="163">
        <v>14</v>
      </c>
      <c r="I3557" s="174">
        <v>55</v>
      </c>
      <c r="J3557" s="174">
        <v>3935.1953912546</v>
      </c>
      <c r="K3557" s="174">
        <v>8774.11061459</v>
      </c>
      <c r="L3557" s="174"/>
      <c r="M3557" s="101"/>
      <c r="N3557" s="161" t="s">
        <v>1299</v>
      </c>
      <c r="O3557" s="161" t="s">
        <v>25</v>
      </c>
      <c r="P3557" s="49" t="s">
        <v>25</v>
      </c>
      <c r="Q3557" s="166" t="s">
        <v>7690</v>
      </c>
      <c r="R3557" s="151"/>
    </row>
    <row r="3558" spans="1:18">
      <c r="A3558" s="161" t="s">
        <v>86</v>
      </c>
      <c r="B3558" s="49" t="s">
        <v>961</v>
      </c>
      <c r="C3558" s="88" t="s">
        <v>963</v>
      </c>
      <c r="D3558" s="161" t="s">
        <v>963</v>
      </c>
      <c r="E3558" s="161" t="s">
        <v>2750</v>
      </c>
      <c r="F3558" s="161" t="s">
        <v>2751</v>
      </c>
      <c r="G3558" s="163">
        <v>46</v>
      </c>
      <c r="H3558" s="163">
        <v>14</v>
      </c>
      <c r="I3558" s="174">
        <v>46</v>
      </c>
      <c r="J3558" s="174">
        <v>3410.9039178084</v>
      </c>
      <c r="K3558" s="174">
        <v>12185.0145323984</v>
      </c>
      <c r="L3558" s="174"/>
      <c r="M3558" s="101"/>
      <c r="N3558" s="161"/>
      <c r="O3558" s="161" t="s">
        <v>14</v>
      </c>
      <c r="P3558" s="49" t="s">
        <v>14</v>
      </c>
      <c r="Q3558" s="166" t="s">
        <v>7691</v>
      </c>
      <c r="R3558" s="151"/>
    </row>
    <row r="3559" spans="1:18">
      <c r="A3559" s="161" t="s">
        <v>86</v>
      </c>
      <c r="B3559" s="161" t="s">
        <v>964</v>
      </c>
      <c r="C3559" s="135" t="s">
        <v>830</v>
      </c>
      <c r="D3559" s="161" t="s">
        <v>830</v>
      </c>
      <c r="E3559" s="161" t="s">
        <v>2750</v>
      </c>
      <c r="F3559" s="161" t="s">
        <v>2751</v>
      </c>
      <c r="G3559" s="163">
        <v>0</v>
      </c>
      <c r="H3559" s="163">
        <v>0</v>
      </c>
      <c r="I3559" s="174" t="s">
        <v>147</v>
      </c>
      <c r="J3559" s="174">
        <v>0</v>
      </c>
      <c r="K3559" s="174">
        <v>0</v>
      </c>
      <c r="L3559" s="174"/>
      <c r="M3559" s="101"/>
      <c r="N3559" s="161" t="s">
        <v>1331</v>
      </c>
      <c r="O3559" s="161"/>
      <c r="P3559" s="49"/>
      <c r="Q3559" s="166" t="s">
        <v>2760</v>
      </c>
      <c r="R3559" s="151"/>
    </row>
    <row r="3560" spans="1:18">
      <c r="A3560" s="161" t="s">
        <v>86</v>
      </c>
      <c r="B3560" s="161" t="s">
        <v>964</v>
      </c>
      <c r="C3560" s="88" t="s">
        <v>965</v>
      </c>
      <c r="D3560" s="161" t="s">
        <v>965</v>
      </c>
      <c r="E3560" s="161" t="s">
        <v>2750</v>
      </c>
      <c r="F3560" s="161" t="s">
        <v>2751</v>
      </c>
      <c r="G3560" s="163">
        <v>0.178</v>
      </c>
      <c r="H3560" s="163">
        <v>0.178</v>
      </c>
      <c r="I3560" s="174">
        <v>122.8</v>
      </c>
      <c r="J3560" s="174">
        <v>10.419219270133</v>
      </c>
      <c r="K3560" s="174">
        <v>10.419219270133</v>
      </c>
      <c r="L3560" s="174"/>
      <c r="M3560" s="101"/>
      <c r="N3560" s="161"/>
      <c r="O3560" s="161" t="s">
        <v>15</v>
      </c>
      <c r="P3560" s="49" t="s">
        <v>15</v>
      </c>
      <c r="Q3560" s="166"/>
      <c r="R3560" s="151"/>
    </row>
    <row r="3561" spans="1:18">
      <c r="A3561" s="161" t="s">
        <v>86</v>
      </c>
      <c r="B3561" s="161" t="s">
        <v>964</v>
      </c>
      <c r="C3561" s="88" t="s">
        <v>7692</v>
      </c>
      <c r="D3561" s="161" t="s">
        <v>7693</v>
      </c>
      <c r="E3561" s="161" t="s">
        <v>2750</v>
      </c>
      <c r="F3561" s="161" t="s">
        <v>2751</v>
      </c>
      <c r="G3561" s="163">
        <v>22.243</v>
      </c>
      <c r="H3561" s="163">
        <v>22.065</v>
      </c>
      <c r="I3561" s="174">
        <v>190.3</v>
      </c>
      <c r="J3561" s="174">
        <v>3348.95398751295</v>
      </c>
      <c r="K3561" s="174">
        <v>3359.37320678309</v>
      </c>
      <c r="L3561" s="174"/>
      <c r="M3561" s="101"/>
      <c r="N3561" s="161" t="s">
        <v>1299</v>
      </c>
      <c r="O3561" s="161" t="s">
        <v>25</v>
      </c>
      <c r="P3561" s="49" t="s">
        <v>25</v>
      </c>
      <c r="Q3561" s="166"/>
      <c r="R3561" s="151"/>
    </row>
    <row r="3562" spans="1:18">
      <c r="A3562" s="161" t="s">
        <v>86</v>
      </c>
      <c r="B3562" s="161" t="s">
        <v>964</v>
      </c>
      <c r="C3562" s="88" t="s">
        <v>967</v>
      </c>
      <c r="D3562" s="161" t="s">
        <v>7694</v>
      </c>
      <c r="E3562" s="161" t="s">
        <v>2750</v>
      </c>
      <c r="F3562" s="161" t="s">
        <v>2751</v>
      </c>
      <c r="G3562" s="163">
        <v>44.817</v>
      </c>
      <c r="H3562" s="163">
        <v>22.574</v>
      </c>
      <c r="I3562" s="174">
        <v>105.2</v>
      </c>
      <c r="J3562" s="174">
        <v>3426.20835323442</v>
      </c>
      <c r="K3562" s="174">
        <v>6785.5815600175</v>
      </c>
      <c r="L3562" s="174"/>
      <c r="M3562" s="101"/>
      <c r="N3562" s="161" t="s">
        <v>1299</v>
      </c>
      <c r="O3562" s="161" t="s">
        <v>25</v>
      </c>
      <c r="P3562" s="49" t="s">
        <v>25</v>
      </c>
      <c r="Q3562" s="166"/>
      <c r="R3562" s="151"/>
    </row>
    <row r="3563" spans="1:18">
      <c r="A3563" s="161" t="s">
        <v>86</v>
      </c>
      <c r="B3563" s="161" t="s">
        <v>964</v>
      </c>
      <c r="C3563" s="135" t="s">
        <v>971</v>
      </c>
      <c r="D3563" s="161" t="s">
        <v>7281</v>
      </c>
      <c r="E3563" s="161" t="s">
        <v>2750</v>
      </c>
      <c r="F3563" s="161" t="s">
        <v>2751</v>
      </c>
      <c r="G3563" s="163">
        <v>64.255</v>
      </c>
      <c r="H3563" s="163">
        <v>19.438</v>
      </c>
      <c r="I3563" s="174">
        <v>102.9</v>
      </c>
      <c r="J3563" s="174">
        <v>2950.23646541023</v>
      </c>
      <c r="K3563" s="174">
        <v>9735.81802542774</v>
      </c>
      <c r="L3563" s="174"/>
      <c r="M3563" s="101"/>
      <c r="N3563" s="161"/>
      <c r="O3563" s="161"/>
      <c r="P3563" s="49"/>
      <c r="Q3563" s="166"/>
      <c r="R3563" s="151"/>
    </row>
    <row r="3564" spans="1:18">
      <c r="A3564" s="161" t="s">
        <v>86</v>
      </c>
      <c r="B3564" s="161" t="s">
        <v>966</v>
      </c>
      <c r="C3564" s="135" t="s">
        <v>967</v>
      </c>
      <c r="D3564" s="161" t="s">
        <v>7694</v>
      </c>
      <c r="E3564" s="161" t="s">
        <v>2750</v>
      </c>
      <c r="F3564" s="161" t="s">
        <v>2751</v>
      </c>
      <c r="G3564" s="163">
        <v>0</v>
      </c>
      <c r="H3564" s="163">
        <v>0</v>
      </c>
      <c r="I3564" s="174"/>
      <c r="J3564" s="174">
        <v>0</v>
      </c>
      <c r="K3564" s="174">
        <v>0</v>
      </c>
      <c r="L3564" s="174"/>
      <c r="M3564" s="101"/>
      <c r="N3564" s="161"/>
      <c r="O3564" s="161"/>
      <c r="P3564" s="49"/>
      <c r="Q3564" s="166"/>
      <c r="R3564" s="151"/>
    </row>
    <row r="3565" spans="1:18">
      <c r="A3565" s="161" t="s">
        <v>86</v>
      </c>
      <c r="B3565" s="161" t="s">
        <v>966</v>
      </c>
      <c r="C3565" s="88" t="s">
        <v>968</v>
      </c>
      <c r="D3565" s="161" t="s">
        <v>968</v>
      </c>
      <c r="E3565" s="161" t="s">
        <v>2750</v>
      </c>
      <c r="F3565" s="161" t="s">
        <v>2751</v>
      </c>
      <c r="G3565" s="163">
        <v>0.2</v>
      </c>
      <c r="H3565" s="163">
        <v>0.2</v>
      </c>
      <c r="I3565" s="174"/>
      <c r="J3565" s="174">
        <v>15</v>
      </c>
      <c r="K3565" s="174">
        <v>15</v>
      </c>
      <c r="L3565" s="174"/>
      <c r="M3565" s="101"/>
      <c r="N3565" s="161"/>
      <c r="O3565" s="161" t="s">
        <v>14</v>
      </c>
      <c r="P3565" s="49" t="s">
        <v>14</v>
      </c>
      <c r="Q3565" s="166"/>
      <c r="R3565" s="151"/>
    </row>
    <row r="3566" spans="1:18">
      <c r="A3566" s="161" t="s">
        <v>86</v>
      </c>
      <c r="B3566" s="49" t="s">
        <v>969</v>
      </c>
      <c r="C3566" s="135" t="s">
        <v>7280</v>
      </c>
      <c r="D3566" s="161" t="s">
        <v>7281</v>
      </c>
      <c r="E3566" s="161" t="s">
        <v>2750</v>
      </c>
      <c r="F3566" s="161" t="s">
        <v>2751</v>
      </c>
      <c r="G3566" s="163">
        <v>0</v>
      </c>
      <c r="H3566" s="163">
        <v>0</v>
      </c>
      <c r="I3566" s="173"/>
      <c r="J3566" s="173">
        <v>0</v>
      </c>
      <c r="K3566" s="173">
        <v>0</v>
      </c>
      <c r="L3566" s="174"/>
      <c r="M3566" s="101"/>
      <c r="N3566" s="161"/>
      <c r="O3566" s="161"/>
      <c r="P3566" s="49"/>
      <c r="Q3566" s="166"/>
      <c r="R3566" s="151"/>
    </row>
    <row r="3567" spans="1:18">
      <c r="A3567" s="161" t="s">
        <v>86</v>
      </c>
      <c r="B3567" s="49" t="s">
        <v>969</v>
      </c>
      <c r="C3567" s="135" t="s">
        <v>971</v>
      </c>
      <c r="D3567" s="161" t="s">
        <v>7281</v>
      </c>
      <c r="E3567" s="161" t="s">
        <v>2750</v>
      </c>
      <c r="F3567" s="161" t="s">
        <v>2751</v>
      </c>
      <c r="G3567" s="163">
        <v>0.183</v>
      </c>
      <c r="H3567" s="163">
        <v>0.183</v>
      </c>
      <c r="I3567" s="173"/>
      <c r="J3567" s="173">
        <v>51</v>
      </c>
      <c r="K3567" s="173">
        <v>51</v>
      </c>
      <c r="L3567" s="174"/>
      <c r="M3567" s="101"/>
      <c r="N3567" s="161"/>
      <c r="O3567" s="161"/>
      <c r="P3567" s="49"/>
      <c r="Q3567" s="166"/>
      <c r="R3567" s="151"/>
    </row>
    <row r="3568" spans="1:18">
      <c r="A3568" s="161" t="s">
        <v>86</v>
      </c>
      <c r="B3568" s="49" t="s">
        <v>972</v>
      </c>
      <c r="C3568" s="135" t="s">
        <v>7695</v>
      </c>
      <c r="D3568" s="49" t="s">
        <v>7696</v>
      </c>
      <c r="E3568" s="161" t="s">
        <v>2750</v>
      </c>
      <c r="F3568" s="161" t="s">
        <v>2751</v>
      </c>
      <c r="G3568" s="171">
        <v>0</v>
      </c>
      <c r="H3568" s="163">
        <v>0</v>
      </c>
      <c r="I3568" s="174"/>
      <c r="J3568" s="174">
        <v>0</v>
      </c>
      <c r="K3568" s="174">
        <v>0</v>
      </c>
      <c r="L3568" s="174"/>
      <c r="M3568" s="101"/>
      <c r="N3568" s="161"/>
      <c r="O3568" s="161"/>
      <c r="P3568" s="49"/>
      <c r="Q3568" s="166"/>
      <c r="R3568" s="151"/>
    </row>
    <row r="3569" spans="1:18">
      <c r="A3569" s="161" t="s">
        <v>86</v>
      </c>
      <c r="B3569" s="49" t="s">
        <v>972</v>
      </c>
      <c r="C3569" s="182" t="s">
        <v>7697</v>
      </c>
      <c r="D3569" s="49" t="s">
        <v>7697</v>
      </c>
      <c r="E3569" s="161" t="s">
        <v>2750</v>
      </c>
      <c r="F3569" s="161" t="s">
        <v>2751</v>
      </c>
      <c r="G3569" s="171">
        <v>1.25</v>
      </c>
      <c r="H3569" s="163">
        <v>1.25</v>
      </c>
      <c r="I3569" s="174"/>
      <c r="J3569" s="174">
        <v>107</v>
      </c>
      <c r="K3569" s="174">
        <v>107</v>
      </c>
      <c r="L3569" s="174"/>
      <c r="M3569" s="101"/>
      <c r="N3569" s="161"/>
      <c r="O3569" s="161"/>
      <c r="P3569" s="49" t="s">
        <v>15</v>
      </c>
      <c r="Q3569" s="166"/>
      <c r="R3569" s="151"/>
    </row>
    <row r="3570" spans="1:18">
      <c r="A3570" s="161" t="s">
        <v>86</v>
      </c>
      <c r="B3570" s="49" t="s">
        <v>972</v>
      </c>
      <c r="C3570" s="182" t="s">
        <v>974</v>
      </c>
      <c r="D3570" s="49" t="s">
        <v>974</v>
      </c>
      <c r="E3570" s="161" t="s">
        <v>2750</v>
      </c>
      <c r="F3570" s="161" t="s">
        <v>2751</v>
      </c>
      <c r="G3570" s="171">
        <v>15.474</v>
      </c>
      <c r="H3570" s="163">
        <v>14.224</v>
      </c>
      <c r="I3570" s="174"/>
      <c r="J3570" s="174">
        <v>1066</v>
      </c>
      <c r="K3570" s="174">
        <v>1173</v>
      </c>
      <c r="L3570" s="174"/>
      <c r="M3570" s="101"/>
      <c r="N3570" s="161"/>
      <c r="O3570" s="161"/>
      <c r="P3570" s="49" t="s">
        <v>14</v>
      </c>
      <c r="Q3570" s="166"/>
      <c r="R3570" s="151"/>
    </row>
    <row r="3571" spans="1:18">
      <c r="A3571" s="161" t="s">
        <v>86</v>
      </c>
      <c r="B3571" s="49" t="s">
        <v>976</v>
      </c>
      <c r="C3571" s="88" t="s">
        <v>977</v>
      </c>
      <c r="D3571" s="49" t="s">
        <v>977</v>
      </c>
      <c r="E3571" s="161" t="s">
        <v>2750</v>
      </c>
      <c r="F3571" s="161" t="s">
        <v>2751</v>
      </c>
      <c r="G3571" s="163">
        <v>0</v>
      </c>
      <c r="H3571" s="163">
        <v>0</v>
      </c>
      <c r="I3571" s="174">
        <v>0</v>
      </c>
      <c r="J3571" s="174">
        <v>0</v>
      </c>
      <c r="K3571" s="174">
        <v>0</v>
      </c>
      <c r="L3571" s="174"/>
      <c r="M3571" s="101"/>
      <c r="N3571" s="161"/>
      <c r="O3571" s="161"/>
      <c r="P3571" s="49" t="s">
        <v>14</v>
      </c>
      <c r="Q3571" s="166" t="s">
        <v>7698</v>
      </c>
      <c r="R3571" s="151"/>
    </row>
    <row r="3572" spans="1:18">
      <c r="A3572" s="161" t="s">
        <v>86</v>
      </c>
      <c r="B3572" s="49" t="s">
        <v>976</v>
      </c>
      <c r="C3572" s="88" t="s">
        <v>7699</v>
      </c>
      <c r="D3572" s="49" t="s">
        <v>7699</v>
      </c>
      <c r="E3572" s="161" t="s">
        <v>2750</v>
      </c>
      <c r="F3572" s="161" t="s">
        <v>2751</v>
      </c>
      <c r="G3572" s="163">
        <v>13.37</v>
      </c>
      <c r="H3572" s="163">
        <v>13.37</v>
      </c>
      <c r="I3572" s="174">
        <v>36</v>
      </c>
      <c r="J3572" s="174">
        <v>52688</v>
      </c>
      <c r="K3572" s="174">
        <v>52688</v>
      </c>
      <c r="L3572" s="174"/>
      <c r="M3572" s="101"/>
      <c r="N3572" s="161"/>
      <c r="O3572" s="161"/>
      <c r="P3572" s="49" t="s">
        <v>14</v>
      </c>
      <c r="Q3572" s="166" t="s">
        <v>7700</v>
      </c>
      <c r="R3572" s="151"/>
    </row>
    <row r="3573" s="152" customFormat="1" spans="1:18">
      <c r="A3573" s="161" t="s">
        <v>86</v>
      </c>
      <c r="B3573" s="49" t="s">
        <v>979</v>
      </c>
      <c r="C3573" s="135" t="s">
        <v>977</v>
      </c>
      <c r="D3573" s="49" t="s">
        <v>977</v>
      </c>
      <c r="E3573" s="161" t="s">
        <v>2750</v>
      </c>
      <c r="F3573" s="161"/>
      <c r="G3573" s="171">
        <v>0</v>
      </c>
      <c r="H3573" s="163">
        <v>0</v>
      </c>
      <c r="I3573" s="174">
        <v>88.4</v>
      </c>
      <c r="J3573" s="174">
        <v>0</v>
      </c>
      <c r="K3573" s="174">
        <v>0</v>
      </c>
      <c r="L3573" s="174"/>
      <c r="M3573" s="101"/>
      <c r="N3573" s="161"/>
      <c r="O3573" s="161"/>
      <c r="P3573" s="49"/>
      <c r="Q3573" s="166" t="s">
        <v>7701</v>
      </c>
      <c r="R3573" s="151"/>
    </row>
    <row r="3574" s="152" customFormat="1" spans="1:18">
      <c r="A3574" s="161" t="s">
        <v>86</v>
      </c>
      <c r="B3574" s="49" t="s">
        <v>979</v>
      </c>
      <c r="C3574" s="88" t="s">
        <v>7702</v>
      </c>
      <c r="D3574" s="49" t="s">
        <v>7703</v>
      </c>
      <c r="E3574" s="161" t="s">
        <v>2750</v>
      </c>
      <c r="F3574" s="161"/>
      <c r="G3574" s="171">
        <v>13.21</v>
      </c>
      <c r="H3574" s="163">
        <v>13.21</v>
      </c>
      <c r="I3574" s="174">
        <v>116.1</v>
      </c>
      <c r="J3574" s="174">
        <v>994.784467713787</v>
      </c>
      <c r="K3574" s="174">
        <f>J3574+K3573</f>
        <v>994.784467713787</v>
      </c>
      <c r="L3574" s="174"/>
      <c r="M3574" s="101"/>
      <c r="N3574" s="161" t="s">
        <v>1299</v>
      </c>
      <c r="O3574" s="161"/>
      <c r="P3574" s="49" t="s">
        <v>25</v>
      </c>
      <c r="Q3574" s="166" t="s">
        <v>7704</v>
      </c>
      <c r="R3574" s="151"/>
    </row>
    <row r="3575" s="152" customFormat="1" spans="1:18">
      <c r="A3575" s="161" t="s">
        <v>86</v>
      </c>
      <c r="B3575" s="49" t="s">
        <v>979</v>
      </c>
      <c r="C3575" s="88" t="s">
        <v>7705</v>
      </c>
      <c r="D3575" s="49" t="s">
        <v>7706</v>
      </c>
      <c r="E3575" s="161" t="s">
        <v>2750</v>
      </c>
      <c r="F3575" s="161"/>
      <c r="G3575" s="171">
        <v>21.51</v>
      </c>
      <c r="H3575" s="163">
        <v>8.3</v>
      </c>
      <c r="I3575" s="174">
        <v>114</v>
      </c>
      <c r="J3575" s="174">
        <v>625.034904013962</v>
      </c>
      <c r="K3575" s="174">
        <f>J3575+K3574</f>
        <v>1619.81937172775</v>
      </c>
      <c r="L3575" s="174"/>
      <c r="M3575" s="101"/>
      <c r="N3575" s="161" t="s">
        <v>1299</v>
      </c>
      <c r="O3575" s="161"/>
      <c r="P3575" s="49" t="s">
        <v>25</v>
      </c>
      <c r="Q3575" s="166" t="s">
        <v>7707</v>
      </c>
      <c r="R3575" s="151"/>
    </row>
    <row r="3576" s="152" customFormat="1" spans="1:18">
      <c r="A3576" s="161" t="s">
        <v>86</v>
      </c>
      <c r="B3576" s="49" t="s">
        <v>979</v>
      </c>
      <c r="C3576" s="88" t="s">
        <v>980</v>
      </c>
      <c r="D3576" s="49" t="s">
        <v>980</v>
      </c>
      <c r="E3576" s="161" t="s">
        <v>2750</v>
      </c>
      <c r="F3576" s="161"/>
      <c r="G3576" s="171">
        <v>34.38</v>
      </c>
      <c r="H3576" s="163">
        <v>12.87</v>
      </c>
      <c r="I3576" s="174">
        <v>117.55</v>
      </c>
      <c r="J3576" s="174">
        <v>969.180628272251</v>
      </c>
      <c r="K3576" s="174">
        <f>J3576+K3575</f>
        <v>2589</v>
      </c>
      <c r="L3576" s="174"/>
      <c r="M3576" s="101"/>
      <c r="N3576" s="161"/>
      <c r="O3576" s="161"/>
      <c r="P3576" s="49" t="s">
        <v>14</v>
      </c>
      <c r="Q3576" s="166" t="s">
        <v>7708</v>
      </c>
      <c r="R3576" s="151"/>
    </row>
    <row r="3577" spans="1:18">
      <c r="A3577" s="161" t="s">
        <v>86</v>
      </c>
      <c r="B3577" s="49" t="s">
        <v>981</v>
      </c>
      <c r="C3577" s="135" t="s">
        <v>982</v>
      </c>
      <c r="D3577" s="161" t="s">
        <v>982</v>
      </c>
      <c r="E3577" s="161" t="s">
        <v>2750</v>
      </c>
      <c r="F3577" s="161" t="s">
        <v>2751</v>
      </c>
      <c r="G3577" s="163">
        <v>0</v>
      </c>
      <c r="H3577" s="163">
        <v>0</v>
      </c>
      <c r="I3577" s="174"/>
      <c r="J3577" s="174"/>
      <c r="K3577" s="174"/>
      <c r="L3577" s="174"/>
      <c r="M3577" s="101"/>
      <c r="N3577" s="161"/>
      <c r="O3577" s="161"/>
      <c r="P3577" s="49"/>
      <c r="Q3577" s="166" t="s">
        <v>7673</v>
      </c>
      <c r="R3577" s="151"/>
    </row>
    <row r="3578" spans="1:18">
      <c r="A3578" s="161" t="s">
        <v>86</v>
      </c>
      <c r="B3578" s="49" t="s">
        <v>981</v>
      </c>
      <c r="C3578" s="88" t="s">
        <v>983</v>
      </c>
      <c r="D3578" s="161" t="s">
        <v>983</v>
      </c>
      <c r="E3578" s="161" t="s">
        <v>2750</v>
      </c>
      <c r="F3578" s="161" t="s">
        <v>2751</v>
      </c>
      <c r="G3578" s="163">
        <v>11</v>
      </c>
      <c r="H3578" s="163">
        <v>11</v>
      </c>
      <c r="I3578" s="174"/>
      <c r="J3578" s="174"/>
      <c r="K3578" s="174"/>
      <c r="L3578" s="174"/>
      <c r="M3578" s="101"/>
      <c r="N3578" s="161"/>
      <c r="O3578" s="161" t="s">
        <v>14</v>
      </c>
      <c r="P3578" s="49" t="s">
        <v>14</v>
      </c>
      <c r="Q3578" s="166"/>
      <c r="R3578" s="151"/>
    </row>
    <row r="3579" spans="1:18">
      <c r="A3579" s="161" t="s">
        <v>86</v>
      </c>
      <c r="B3579" s="49" t="s">
        <v>984</v>
      </c>
      <c r="C3579" s="135" t="s">
        <v>993</v>
      </c>
      <c r="D3579" s="161" t="s">
        <v>993</v>
      </c>
      <c r="E3579" s="161" t="s">
        <v>2750</v>
      </c>
      <c r="F3579" s="161" t="s">
        <v>7633</v>
      </c>
      <c r="G3579" s="163">
        <v>0</v>
      </c>
      <c r="H3579" s="163">
        <v>0</v>
      </c>
      <c r="I3579" s="173">
        <v>28</v>
      </c>
      <c r="J3579" s="173">
        <v>0</v>
      </c>
      <c r="K3579" s="173">
        <v>0</v>
      </c>
      <c r="L3579" s="174"/>
      <c r="M3579" s="101"/>
      <c r="N3579" s="161"/>
      <c r="O3579" s="161"/>
      <c r="P3579" s="49"/>
      <c r="Q3579" s="166"/>
      <c r="R3579" s="151"/>
    </row>
    <row r="3580" spans="1:18">
      <c r="A3580" s="161" t="s">
        <v>86</v>
      </c>
      <c r="B3580" s="49" t="s">
        <v>984</v>
      </c>
      <c r="C3580" s="88" t="s">
        <v>7709</v>
      </c>
      <c r="D3580" s="161" t="s">
        <v>7710</v>
      </c>
      <c r="E3580" s="161" t="s">
        <v>2750</v>
      </c>
      <c r="F3580" s="161" t="s">
        <v>7633</v>
      </c>
      <c r="G3580" s="163">
        <v>16.97</v>
      </c>
      <c r="H3580" s="163">
        <v>16.97</v>
      </c>
      <c r="I3580" s="173">
        <v>23</v>
      </c>
      <c r="J3580" s="173">
        <v>8130</v>
      </c>
      <c r="K3580" s="173">
        <v>8130</v>
      </c>
      <c r="L3580" s="174"/>
      <c r="M3580" s="101"/>
      <c r="N3580" s="161" t="s">
        <v>1299</v>
      </c>
      <c r="O3580" s="161" t="s">
        <v>25</v>
      </c>
      <c r="P3580" s="49" t="s">
        <v>25</v>
      </c>
      <c r="Q3580" s="166"/>
      <c r="R3580" s="151"/>
    </row>
    <row r="3581" spans="1:18">
      <c r="A3581" s="161" t="s">
        <v>86</v>
      </c>
      <c r="B3581" s="49" t="s">
        <v>984</v>
      </c>
      <c r="C3581" s="88" t="s">
        <v>7711</v>
      </c>
      <c r="D3581" s="161" t="s">
        <v>7712</v>
      </c>
      <c r="E3581" s="161" t="s">
        <v>2750</v>
      </c>
      <c r="F3581" s="161" t="s">
        <v>7633</v>
      </c>
      <c r="G3581" s="163">
        <v>34.75</v>
      </c>
      <c r="H3581" s="163">
        <v>17.78</v>
      </c>
      <c r="I3581" s="173">
        <v>28</v>
      </c>
      <c r="J3581" s="173">
        <v>8518</v>
      </c>
      <c r="K3581" s="173">
        <f t="shared" ref="K3581:K3590" si="263">K3580+J3581</f>
        <v>16648</v>
      </c>
      <c r="L3581" s="174"/>
      <c r="M3581" s="101"/>
      <c r="N3581" s="161" t="s">
        <v>1299</v>
      </c>
      <c r="O3581" s="161" t="s">
        <v>25</v>
      </c>
      <c r="P3581" s="49" t="s">
        <v>25</v>
      </c>
      <c r="Q3581" s="166"/>
      <c r="R3581" s="151"/>
    </row>
    <row r="3582" spans="1:18">
      <c r="A3582" s="161" t="s">
        <v>86</v>
      </c>
      <c r="B3582" s="49" t="s">
        <v>984</v>
      </c>
      <c r="C3582" s="88" t="s">
        <v>7713</v>
      </c>
      <c r="D3582" s="161" t="s">
        <v>7714</v>
      </c>
      <c r="E3582" s="161" t="s">
        <v>2750</v>
      </c>
      <c r="F3582" s="161" t="s">
        <v>7633</v>
      </c>
      <c r="G3582" s="163">
        <v>48.66</v>
      </c>
      <c r="H3582" s="163">
        <v>13.91</v>
      </c>
      <c r="I3582" s="173">
        <v>43</v>
      </c>
      <c r="J3582" s="173">
        <v>6664</v>
      </c>
      <c r="K3582" s="173">
        <f t="shared" si="263"/>
        <v>23312</v>
      </c>
      <c r="L3582" s="174"/>
      <c r="M3582" s="101"/>
      <c r="N3582" s="161" t="s">
        <v>1299</v>
      </c>
      <c r="O3582" s="161" t="s">
        <v>25</v>
      </c>
      <c r="P3582" s="49" t="s">
        <v>25</v>
      </c>
      <c r="Q3582" s="166"/>
      <c r="R3582" s="151"/>
    </row>
    <row r="3583" spans="1:18">
      <c r="A3583" s="161" t="s">
        <v>86</v>
      </c>
      <c r="B3583" s="49" t="s">
        <v>984</v>
      </c>
      <c r="C3583" s="88" t="s">
        <v>7715</v>
      </c>
      <c r="D3583" s="161" t="s">
        <v>7716</v>
      </c>
      <c r="E3583" s="161" t="s">
        <v>2750</v>
      </c>
      <c r="F3583" s="161" t="s">
        <v>7633</v>
      </c>
      <c r="G3583" s="163">
        <v>62.15</v>
      </c>
      <c r="H3583" s="163">
        <v>13.49</v>
      </c>
      <c r="I3583" s="173">
        <v>47</v>
      </c>
      <c r="J3583" s="173">
        <v>6463</v>
      </c>
      <c r="K3583" s="173">
        <f t="shared" si="263"/>
        <v>29775</v>
      </c>
      <c r="L3583" s="174"/>
      <c r="M3583" s="101"/>
      <c r="N3583" s="161" t="s">
        <v>1299</v>
      </c>
      <c r="O3583" s="161" t="s">
        <v>25</v>
      </c>
      <c r="P3583" s="49" t="s">
        <v>25</v>
      </c>
      <c r="Q3583" s="166"/>
      <c r="R3583" s="151"/>
    </row>
    <row r="3584" spans="1:18">
      <c r="A3584" s="161" t="s">
        <v>86</v>
      </c>
      <c r="B3584" s="49" t="s">
        <v>984</v>
      </c>
      <c r="C3584" s="88" t="s">
        <v>7717</v>
      </c>
      <c r="D3584" s="161" t="s">
        <v>7717</v>
      </c>
      <c r="E3584" s="161" t="s">
        <v>2750</v>
      </c>
      <c r="F3584" s="161" t="s">
        <v>7633</v>
      </c>
      <c r="G3584" s="163">
        <v>79.12</v>
      </c>
      <c r="H3584" s="163">
        <v>16.97</v>
      </c>
      <c r="I3584" s="173">
        <v>23</v>
      </c>
      <c r="J3584" s="173">
        <v>8130</v>
      </c>
      <c r="K3584" s="173">
        <f t="shared" si="263"/>
        <v>37905</v>
      </c>
      <c r="L3584" s="174"/>
      <c r="M3584" s="101"/>
      <c r="N3584" s="161"/>
      <c r="O3584" s="161" t="s">
        <v>15</v>
      </c>
      <c r="P3584" s="49" t="s">
        <v>15</v>
      </c>
      <c r="Q3584" s="166"/>
      <c r="R3584" s="151"/>
    </row>
    <row r="3585" spans="1:18">
      <c r="A3585" s="161" t="s">
        <v>86</v>
      </c>
      <c r="B3585" s="49" t="s">
        <v>984</v>
      </c>
      <c r="C3585" s="88" t="s">
        <v>7718</v>
      </c>
      <c r="D3585" s="161" t="s">
        <v>7719</v>
      </c>
      <c r="E3585" s="161" t="s">
        <v>2750</v>
      </c>
      <c r="F3585" s="161" t="s">
        <v>7633</v>
      </c>
      <c r="G3585" s="163">
        <v>92.68</v>
      </c>
      <c r="H3585" s="163">
        <v>13.56</v>
      </c>
      <c r="I3585" s="173">
        <v>43</v>
      </c>
      <c r="J3585" s="173">
        <v>6496</v>
      </c>
      <c r="K3585" s="173">
        <f t="shared" si="263"/>
        <v>44401</v>
      </c>
      <c r="L3585" s="174"/>
      <c r="M3585" s="101"/>
      <c r="N3585" s="161" t="s">
        <v>1299</v>
      </c>
      <c r="O3585" s="161" t="s">
        <v>25</v>
      </c>
      <c r="P3585" s="49" t="s">
        <v>25</v>
      </c>
      <c r="Q3585" s="166"/>
      <c r="R3585" s="151"/>
    </row>
    <row r="3586" spans="1:18">
      <c r="A3586" s="161" t="s">
        <v>86</v>
      </c>
      <c r="B3586" s="49" t="s">
        <v>984</v>
      </c>
      <c r="C3586" s="88" t="s">
        <v>7720</v>
      </c>
      <c r="D3586" s="161" t="s">
        <v>7721</v>
      </c>
      <c r="E3586" s="161" t="s">
        <v>2750</v>
      </c>
      <c r="F3586" s="161" t="s">
        <v>7633</v>
      </c>
      <c r="G3586" s="163">
        <v>109.6</v>
      </c>
      <c r="H3586" s="163">
        <v>16.92</v>
      </c>
      <c r="I3586" s="173">
        <v>25</v>
      </c>
      <c r="J3586" s="173">
        <v>8106</v>
      </c>
      <c r="K3586" s="173">
        <f t="shared" si="263"/>
        <v>52507</v>
      </c>
      <c r="L3586" s="174"/>
      <c r="M3586" s="101"/>
      <c r="N3586" s="161" t="s">
        <v>1299</v>
      </c>
      <c r="O3586" s="161" t="s">
        <v>25</v>
      </c>
      <c r="P3586" s="49" t="s">
        <v>25</v>
      </c>
      <c r="Q3586" s="166"/>
      <c r="R3586" s="151"/>
    </row>
    <row r="3587" spans="1:18">
      <c r="A3587" s="161" t="s">
        <v>86</v>
      </c>
      <c r="B3587" s="49" t="s">
        <v>984</v>
      </c>
      <c r="C3587" s="88" t="s">
        <v>7722</v>
      </c>
      <c r="D3587" s="161" t="s">
        <v>7722</v>
      </c>
      <c r="E3587" s="161"/>
      <c r="F3587" s="161"/>
      <c r="G3587" s="163">
        <v>109.6</v>
      </c>
      <c r="H3587" s="163">
        <v>0</v>
      </c>
      <c r="I3587" s="173">
        <v>25</v>
      </c>
      <c r="J3587" s="173">
        <v>0</v>
      </c>
      <c r="K3587" s="173">
        <f t="shared" si="263"/>
        <v>52507</v>
      </c>
      <c r="L3587" s="174"/>
      <c r="M3587" s="101"/>
      <c r="N3587" s="161"/>
      <c r="O3587" s="161"/>
      <c r="P3587" s="49" t="s">
        <v>16</v>
      </c>
      <c r="Q3587" s="166"/>
      <c r="R3587" s="151"/>
    </row>
    <row r="3588" spans="1:18">
      <c r="A3588" s="161" t="s">
        <v>86</v>
      </c>
      <c r="B3588" s="49" t="s">
        <v>984</v>
      </c>
      <c r="C3588" s="88" t="s">
        <v>6806</v>
      </c>
      <c r="D3588" s="161" t="s">
        <v>6807</v>
      </c>
      <c r="E3588" s="161" t="s">
        <v>2750</v>
      </c>
      <c r="F3588" s="161" t="s">
        <v>7633</v>
      </c>
      <c r="G3588" s="163">
        <v>124.72</v>
      </c>
      <c r="H3588" s="163">
        <v>15.12</v>
      </c>
      <c r="I3588" s="173">
        <v>36</v>
      </c>
      <c r="J3588" s="173">
        <v>7243</v>
      </c>
      <c r="K3588" s="173">
        <f t="shared" si="263"/>
        <v>59750</v>
      </c>
      <c r="L3588" s="174"/>
      <c r="M3588" s="101"/>
      <c r="N3588" s="161" t="s">
        <v>1299</v>
      </c>
      <c r="O3588" s="161" t="s">
        <v>25</v>
      </c>
      <c r="P3588" s="49" t="s">
        <v>25</v>
      </c>
      <c r="Q3588" s="166"/>
      <c r="R3588" s="151"/>
    </row>
    <row r="3589" spans="1:18">
      <c r="A3589" s="161" t="s">
        <v>86</v>
      </c>
      <c r="B3589" s="49" t="s">
        <v>984</v>
      </c>
      <c r="C3589" s="88" t="s">
        <v>7723</v>
      </c>
      <c r="D3589" s="161" t="s">
        <v>7724</v>
      </c>
      <c r="E3589" s="161" t="s">
        <v>2750</v>
      </c>
      <c r="F3589" s="161" t="s">
        <v>7633</v>
      </c>
      <c r="G3589" s="163">
        <v>141.4</v>
      </c>
      <c r="H3589" s="163">
        <v>16.68</v>
      </c>
      <c r="I3589" s="173">
        <v>17</v>
      </c>
      <c r="J3589" s="173">
        <v>7991</v>
      </c>
      <c r="K3589" s="173">
        <f t="shared" si="263"/>
        <v>67741</v>
      </c>
      <c r="L3589" s="174"/>
      <c r="M3589" s="101"/>
      <c r="N3589" s="161" t="s">
        <v>1299</v>
      </c>
      <c r="O3589" s="161" t="s">
        <v>25</v>
      </c>
      <c r="P3589" s="49" t="s">
        <v>25</v>
      </c>
      <c r="Q3589" s="166"/>
      <c r="R3589" s="151"/>
    </row>
    <row r="3590" spans="1:18">
      <c r="A3590" s="161" t="s">
        <v>86</v>
      </c>
      <c r="B3590" s="49" t="s">
        <v>984</v>
      </c>
      <c r="C3590" s="88" t="s">
        <v>985</v>
      </c>
      <c r="D3590" s="161" t="s">
        <v>985</v>
      </c>
      <c r="E3590" s="161" t="s">
        <v>2750</v>
      </c>
      <c r="F3590" s="161" t="s">
        <v>7633</v>
      </c>
      <c r="G3590" s="163">
        <v>154.13</v>
      </c>
      <c r="H3590" s="163">
        <v>12.73</v>
      </c>
      <c r="I3590" s="173">
        <v>19</v>
      </c>
      <c r="J3590" s="173">
        <v>6098</v>
      </c>
      <c r="K3590" s="173">
        <f t="shared" si="263"/>
        <v>73839</v>
      </c>
      <c r="L3590" s="174"/>
      <c r="M3590" s="101"/>
      <c r="N3590" s="161"/>
      <c r="O3590" s="161" t="s">
        <v>15</v>
      </c>
      <c r="P3590" s="49" t="s">
        <v>15</v>
      </c>
      <c r="Q3590" s="166" t="s">
        <v>7725</v>
      </c>
      <c r="R3590" s="151"/>
    </row>
    <row r="3591" spans="1:18">
      <c r="A3591" s="161" t="s">
        <v>86</v>
      </c>
      <c r="B3591" s="49" t="s">
        <v>986</v>
      </c>
      <c r="C3591" s="88" t="s">
        <v>987</v>
      </c>
      <c r="D3591" s="161" t="s">
        <v>987</v>
      </c>
      <c r="E3591" s="161" t="s">
        <v>2750</v>
      </c>
      <c r="F3591" s="161" t="s">
        <v>7633</v>
      </c>
      <c r="G3591" s="163">
        <v>0</v>
      </c>
      <c r="H3591" s="163">
        <v>0</v>
      </c>
      <c r="I3591" s="173">
        <v>6.3</v>
      </c>
      <c r="J3591" s="173">
        <v>0</v>
      </c>
      <c r="K3591" s="173">
        <v>0</v>
      </c>
      <c r="L3591" s="174"/>
      <c r="M3591" s="101"/>
      <c r="N3591" s="161"/>
      <c r="O3591" s="161" t="s">
        <v>14</v>
      </c>
      <c r="P3591" s="49" t="s">
        <v>14</v>
      </c>
      <c r="Q3591" s="166" t="s">
        <v>7726</v>
      </c>
      <c r="R3591" s="151"/>
    </row>
    <row r="3592" spans="1:18">
      <c r="A3592" s="161" t="s">
        <v>86</v>
      </c>
      <c r="B3592" s="49" t="s">
        <v>986</v>
      </c>
      <c r="C3592" s="135" t="s">
        <v>985</v>
      </c>
      <c r="D3592" s="161" t="s">
        <v>985</v>
      </c>
      <c r="E3592" s="161" t="s">
        <v>2750</v>
      </c>
      <c r="F3592" s="161" t="s">
        <v>7633</v>
      </c>
      <c r="G3592" s="163">
        <v>9.092</v>
      </c>
      <c r="H3592" s="163">
        <f>G3592-G3591</f>
        <v>9.092</v>
      </c>
      <c r="I3592" s="173">
        <v>31.5</v>
      </c>
      <c r="J3592" s="173">
        <v>4332.1816335672</v>
      </c>
      <c r="K3592" s="173">
        <v>4332.1816335672</v>
      </c>
      <c r="L3592" s="174"/>
      <c r="M3592" s="101"/>
      <c r="N3592" s="161"/>
      <c r="O3592" s="161"/>
      <c r="P3592" s="49"/>
      <c r="Q3592" s="166" t="s">
        <v>7725</v>
      </c>
      <c r="R3592" s="151"/>
    </row>
    <row r="3593" spans="1:18">
      <c r="A3593" s="161" t="s">
        <v>86</v>
      </c>
      <c r="B3593" s="49" t="s">
        <v>986</v>
      </c>
      <c r="C3593" s="88" t="s">
        <v>7727</v>
      </c>
      <c r="D3593" s="161" t="s">
        <v>7728</v>
      </c>
      <c r="E3593" s="161" t="s">
        <v>2750</v>
      </c>
      <c r="F3593" s="161" t="s">
        <v>7633</v>
      </c>
      <c r="G3593" s="163">
        <v>23.919</v>
      </c>
      <c r="H3593" s="163">
        <f t="shared" ref="H3593:H3604" si="264">G3593-G3592</f>
        <v>14.827</v>
      </c>
      <c r="I3593" s="173">
        <v>16.38</v>
      </c>
      <c r="J3593" s="173">
        <v>6943.0839782472</v>
      </c>
      <c r="K3593" s="173">
        <v>11275.2656118144</v>
      </c>
      <c r="L3593" s="174"/>
      <c r="M3593" s="101"/>
      <c r="N3593" s="161" t="s">
        <v>1299</v>
      </c>
      <c r="O3593" s="161" t="s">
        <v>25</v>
      </c>
      <c r="P3593" s="49" t="s">
        <v>25</v>
      </c>
      <c r="Q3593" s="166"/>
      <c r="R3593" s="151"/>
    </row>
    <row r="3594" spans="1:18">
      <c r="A3594" s="161" t="s">
        <v>86</v>
      </c>
      <c r="B3594" s="49" t="s">
        <v>986</v>
      </c>
      <c r="C3594" s="88" t="s">
        <v>7729</v>
      </c>
      <c r="D3594" s="161" t="s">
        <v>7730</v>
      </c>
      <c r="E3594" s="161" t="s">
        <v>2750</v>
      </c>
      <c r="F3594" s="161" t="s">
        <v>7633</v>
      </c>
      <c r="G3594" s="163">
        <v>39.075</v>
      </c>
      <c r="H3594" s="163">
        <f t="shared" si="264"/>
        <v>15.156</v>
      </c>
      <c r="I3594" s="173">
        <v>32.82</v>
      </c>
      <c r="J3594" s="173">
        <v>7196.9882429592</v>
      </c>
      <c r="K3594" s="173">
        <v>18472.2538547736</v>
      </c>
      <c r="L3594" s="174"/>
      <c r="M3594" s="101"/>
      <c r="N3594" s="161" t="s">
        <v>1299</v>
      </c>
      <c r="O3594" s="161" t="s">
        <v>25</v>
      </c>
      <c r="P3594" s="49" t="s">
        <v>25</v>
      </c>
      <c r="Q3594" s="166" t="s">
        <v>7731</v>
      </c>
      <c r="R3594" s="151"/>
    </row>
    <row r="3595" spans="1:18">
      <c r="A3595" s="161" t="s">
        <v>86</v>
      </c>
      <c r="B3595" s="49" t="s">
        <v>986</v>
      </c>
      <c r="C3595" s="88" t="s">
        <v>7732</v>
      </c>
      <c r="D3595" s="161" t="s">
        <v>7733</v>
      </c>
      <c r="E3595" s="161" t="s">
        <v>2750</v>
      </c>
      <c r="F3595" s="161" t="s">
        <v>7633</v>
      </c>
      <c r="G3595" s="163">
        <v>50.534</v>
      </c>
      <c r="H3595" s="163">
        <f t="shared" si="264"/>
        <v>11.459</v>
      </c>
      <c r="I3595" s="173">
        <v>18.36</v>
      </c>
      <c r="J3595" s="173">
        <v>5301.3294213264</v>
      </c>
      <c r="K3595" s="173">
        <v>23773.5832761</v>
      </c>
      <c r="L3595" s="174"/>
      <c r="M3595" s="101"/>
      <c r="N3595" s="161" t="s">
        <v>1299</v>
      </c>
      <c r="O3595" s="161" t="s">
        <v>25</v>
      </c>
      <c r="P3595" s="49" t="s">
        <v>25</v>
      </c>
      <c r="Q3595" s="166"/>
      <c r="R3595" s="151"/>
    </row>
    <row r="3596" spans="1:18">
      <c r="A3596" s="161" t="s">
        <v>86</v>
      </c>
      <c r="B3596" s="49" t="s">
        <v>986</v>
      </c>
      <c r="C3596" s="88" t="s">
        <v>7734</v>
      </c>
      <c r="D3596" s="161" t="s">
        <v>7735</v>
      </c>
      <c r="E3596" s="161" t="s">
        <v>2750</v>
      </c>
      <c r="F3596" s="161" t="s">
        <v>7633</v>
      </c>
      <c r="G3596" s="163">
        <v>62.389</v>
      </c>
      <c r="H3596" s="163">
        <f t="shared" si="264"/>
        <v>11.855</v>
      </c>
      <c r="I3596" s="173">
        <v>32.5</v>
      </c>
      <c r="J3596" s="173">
        <v>5946.6295054152</v>
      </c>
      <c r="K3596" s="173">
        <v>29720.2127815152</v>
      </c>
      <c r="L3596" s="174"/>
      <c r="M3596" s="101"/>
      <c r="N3596" s="161" t="s">
        <v>1299</v>
      </c>
      <c r="O3596" s="161" t="s">
        <v>25</v>
      </c>
      <c r="P3596" s="49" t="s">
        <v>25</v>
      </c>
      <c r="Q3596" s="166"/>
      <c r="R3596" s="151"/>
    </row>
    <row r="3597" spans="1:18">
      <c r="A3597" s="161" t="s">
        <v>86</v>
      </c>
      <c r="B3597" s="49" t="s">
        <v>986</v>
      </c>
      <c r="C3597" s="88" t="s">
        <v>7736</v>
      </c>
      <c r="D3597" s="161" t="s">
        <v>7736</v>
      </c>
      <c r="E3597" s="161" t="s">
        <v>2750</v>
      </c>
      <c r="F3597" s="161" t="s">
        <v>7633</v>
      </c>
      <c r="G3597" s="163">
        <v>72.074</v>
      </c>
      <c r="H3597" s="163">
        <f t="shared" si="264"/>
        <v>9.685</v>
      </c>
      <c r="I3597" s="173">
        <v>41.78</v>
      </c>
      <c r="J3597" s="173">
        <v>3672.9886746168</v>
      </c>
      <c r="K3597" s="173">
        <v>33393.201456132</v>
      </c>
      <c r="L3597" s="174"/>
      <c r="M3597" s="101"/>
      <c r="N3597" s="161"/>
      <c r="O3597" s="161" t="s">
        <v>14</v>
      </c>
      <c r="P3597" s="49" t="s">
        <v>14</v>
      </c>
      <c r="Q3597" s="166"/>
      <c r="R3597" s="151"/>
    </row>
    <row r="3598" spans="1:18">
      <c r="A3598" s="161" t="s">
        <v>86</v>
      </c>
      <c r="B3598" s="49" t="s">
        <v>986</v>
      </c>
      <c r="C3598" s="88" t="s">
        <v>7737</v>
      </c>
      <c r="D3598" s="161" t="s">
        <v>7738</v>
      </c>
      <c r="E3598" s="161" t="s">
        <v>2750</v>
      </c>
      <c r="F3598" s="161" t="s">
        <v>7633</v>
      </c>
      <c r="G3598" s="163">
        <v>86.074</v>
      </c>
      <c r="H3598" s="163">
        <f t="shared" si="264"/>
        <v>14</v>
      </c>
      <c r="I3598" s="173">
        <v>29.36</v>
      </c>
      <c r="J3598" s="173">
        <v>6561.7485165288</v>
      </c>
      <c r="K3598" s="173">
        <v>39954.9499726608</v>
      </c>
      <c r="L3598" s="174"/>
      <c r="M3598" s="101"/>
      <c r="N3598" s="161" t="s">
        <v>1299</v>
      </c>
      <c r="O3598" s="161" t="s">
        <v>25</v>
      </c>
      <c r="P3598" s="49" t="s">
        <v>25</v>
      </c>
      <c r="Q3598" s="166"/>
      <c r="R3598" s="151"/>
    </row>
    <row r="3599" spans="1:18">
      <c r="A3599" s="161" t="s">
        <v>86</v>
      </c>
      <c r="B3599" s="49" t="s">
        <v>986</v>
      </c>
      <c r="C3599" s="88" t="s">
        <v>7739</v>
      </c>
      <c r="D3599" s="161" t="s">
        <v>7740</v>
      </c>
      <c r="E3599" s="161" t="s">
        <v>2750</v>
      </c>
      <c r="F3599" s="161" t="s">
        <v>7633</v>
      </c>
      <c r="G3599" s="163">
        <v>100.987</v>
      </c>
      <c r="H3599" s="163">
        <f t="shared" si="264"/>
        <v>14.913</v>
      </c>
      <c r="I3599" s="173">
        <v>8.31</v>
      </c>
      <c r="J3599" s="173">
        <v>7572.0958642224</v>
      </c>
      <c r="K3599" s="173">
        <v>47527.0458368832</v>
      </c>
      <c r="L3599" s="174"/>
      <c r="M3599" s="101"/>
      <c r="N3599" s="161" t="s">
        <v>1299</v>
      </c>
      <c r="O3599" s="161" t="s">
        <v>25</v>
      </c>
      <c r="P3599" s="49" t="s">
        <v>25</v>
      </c>
      <c r="Q3599" s="166"/>
      <c r="R3599" s="151"/>
    </row>
    <row r="3600" spans="1:18">
      <c r="A3600" s="161" t="s">
        <v>86</v>
      </c>
      <c r="B3600" s="49" t="s">
        <v>986</v>
      </c>
      <c r="C3600" s="88" t="s">
        <v>990</v>
      </c>
      <c r="D3600" s="161" t="s">
        <v>7741</v>
      </c>
      <c r="E3600" s="161" t="s">
        <v>2750</v>
      </c>
      <c r="F3600" s="161" t="s">
        <v>7633</v>
      </c>
      <c r="G3600" s="163">
        <v>115.039</v>
      </c>
      <c r="H3600" s="163">
        <f t="shared" si="264"/>
        <v>14.052</v>
      </c>
      <c r="I3600" s="173">
        <v>20.76</v>
      </c>
      <c r="J3600" s="173">
        <v>6804.6342942816</v>
      </c>
      <c r="K3600" s="173">
        <v>54331.6801311648</v>
      </c>
      <c r="L3600" s="174"/>
      <c r="M3600" s="101"/>
      <c r="N3600" s="161" t="s">
        <v>1299</v>
      </c>
      <c r="O3600" s="161" t="s">
        <v>25</v>
      </c>
      <c r="P3600" s="49" t="s">
        <v>25</v>
      </c>
      <c r="Q3600" s="166"/>
      <c r="R3600" s="151"/>
    </row>
    <row r="3601" spans="1:18">
      <c r="A3601" s="161" t="s">
        <v>86</v>
      </c>
      <c r="B3601" s="49" t="s">
        <v>986</v>
      </c>
      <c r="C3601" s="88" t="s">
        <v>7742</v>
      </c>
      <c r="D3601" s="161" t="s">
        <v>7743</v>
      </c>
      <c r="E3601" s="161" t="s">
        <v>2750</v>
      </c>
      <c r="F3601" s="161" t="s">
        <v>7633</v>
      </c>
      <c r="G3601" s="163">
        <v>131.751</v>
      </c>
      <c r="H3601" s="163">
        <f t="shared" si="264"/>
        <v>16.712</v>
      </c>
      <c r="I3601" s="173">
        <v>18.68</v>
      </c>
      <c r="J3601" s="173">
        <v>8293.0881630744</v>
      </c>
      <c r="K3601" s="173">
        <v>62624.7682942392</v>
      </c>
      <c r="L3601" s="174"/>
      <c r="M3601" s="101"/>
      <c r="N3601" s="161" t="s">
        <v>1299</v>
      </c>
      <c r="O3601" s="161" t="s">
        <v>25</v>
      </c>
      <c r="P3601" s="49" t="s">
        <v>25</v>
      </c>
      <c r="Q3601" s="166"/>
      <c r="R3601" s="151"/>
    </row>
    <row r="3602" spans="1:18">
      <c r="A3602" s="161" t="s">
        <v>86</v>
      </c>
      <c r="B3602" s="49" t="s">
        <v>986</v>
      </c>
      <c r="C3602" s="88" t="s">
        <v>7744</v>
      </c>
      <c r="D3602" s="161" t="s">
        <v>7744</v>
      </c>
      <c r="E3602" s="161" t="s">
        <v>2750</v>
      </c>
      <c r="F3602" s="161" t="s">
        <v>7633</v>
      </c>
      <c r="G3602" s="163">
        <v>146.061</v>
      </c>
      <c r="H3602" s="163">
        <f t="shared" si="264"/>
        <v>14.31</v>
      </c>
      <c r="I3602" s="173">
        <v>43.6</v>
      </c>
      <c r="J3602" s="173">
        <v>6602.9480764632</v>
      </c>
      <c r="K3602" s="173">
        <v>69227.7163707024</v>
      </c>
      <c r="L3602" s="174"/>
      <c r="M3602" s="101"/>
      <c r="N3602" s="161"/>
      <c r="O3602" s="161" t="s">
        <v>15</v>
      </c>
      <c r="P3602" s="49" t="s">
        <v>15</v>
      </c>
      <c r="Q3602" s="166"/>
      <c r="R3602" s="151"/>
    </row>
    <row r="3603" spans="1:18">
      <c r="A3603" s="161" t="s">
        <v>86</v>
      </c>
      <c r="B3603" s="49" t="s">
        <v>986</v>
      </c>
      <c r="C3603" s="88" t="s">
        <v>7745</v>
      </c>
      <c r="D3603" s="161" t="s">
        <v>7746</v>
      </c>
      <c r="E3603" s="161" t="s">
        <v>2750</v>
      </c>
      <c r="F3603" s="161" t="s">
        <v>7633</v>
      </c>
      <c r="G3603" s="163">
        <v>155.75</v>
      </c>
      <c r="H3603" s="163">
        <f t="shared" si="264"/>
        <v>9.68899999999999</v>
      </c>
      <c r="I3603" s="173">
        <v>23.45</v>
      </c>
      <c r="J3603" s="173">
        <v>4678.5453758064</v>
      </c>
      <c r="K3603" s="173">
        <v>73906.2617465088</v>
      </c>
      <c r="L3603" s="174"/>
      <c r="M3603" s="101"/>
      <c r="N3603" s="161" t="s">
        <v>1299</v>
      </c>
      <c r="O3603" s="161" t="s">
        <v>25</v>
      </c>
      <c r="P3603" s="49" t="s">
        <v>25</v>
      </c>
      <c r="Q3603" s="166"/>
      <c r="R3603" s="151"/>
    </row>
    <row r="3604" spans="1:18">
      <c r="A3604" s="161" t="s">
        <v>86</v>
      </c>
      <c r="B3604" s="49" t="s">
        <v>986</v>
      </c>
      <c r="C3604" s="135" t="s">
        <v>988</v>
      </c>
      <c r="D3604" s="161" t="s">
        <v>988</v>
      </c>
      <c r="E3604" s="161" t="s">
        <v>2750</v>
      </c>
      <c r="F3604" s="161" t="s">
        <v>7633</v>
      </c>
      <c r="G3604" s="163">
        <v>170.708</v>
      </c>
      <c r="H3604" s="163">
        <f t="shared" si="264"/>
        <v>14.958</v>
      </c>
      <c r="I3604" s="173">
        <v>2.25</v>
      </c>
      <c r="J3604" s="173">
        <v>7878.6972404784</v>
      </c>
      <c r="K3604" s="173">
        <v>81784.9589869872</v>
      </c>
      <c r="L3604" s="174"/>
      <c r="M3604" s="101"/>
      <c r="N3604" s="161"/>
      <c r="O3604" s="161"/>
      <c r="P3604" s="49"/>
      <c r="Q3604" s="166"/>
      <c r="R3604" s="151"/>
    </row>
    <row r="3605" spans="1:18">
      <c r="A3605" s="161" t="s">
        <v>86</v>
      </c>
      <c r="B3605" s="49" t="s">
        <v>989</v>
      </c>
      <c r="C3605" s="135" t="s">
        <v>990</v>
      </c>
      <c r="D3605" s="161" t="s">
        <v>7741</v>
      </c>
      <c r="E3605" s="161" t="s">
        <v>2750</v>
      </c>
      <c r="F3605" s="161" t="s">
        <v>7633</v>
      </c>
      <c r="G3605" s="171" t="s">
        <v>4637</v>
      </c>
      <c r="H3605" s="171" t="s">
        <v>4637</v>
      </c>
      <c r="I3605" s="173"/>
      <c r="J3605" s="173"/>
      <c r="K3605" s="173"/>
      <c r="L3605" s="174"/>
      <c r="M3605" s="101"/>
      <c r="N3605" s="161"/>
      <c r="O3605" s="161"/>
      <c r="P3605" s="49"/>
      <c r="Q3605" s="166"/>
      <c r="R3605" s="151"/>
    </row>
    <row r="3606" spans="1:18">
      <c r="A3606" s="161" t="s">
        <v>86</v>
      </c>
      <c r="B3606" s="49" t="s">
        <v>989</v>
      </c>
      <c r="C3606" s="88" t="s">
        <v>991</v>
      </c>
      <c r="D3606" s="49" t="s">
        <v>991</v>
      </c>
      <c r="E3606" s="161" t="s">
        <v>2750</v>
      </c>
      <c r="F3606" s="161" t="s">
        <v>7633</v>
      </c>
      <c r="G3606" s="171">
        <v>0.1</v>
      </c>
      <c r="H3606" s="171">
        <v>0.1</v>
      </c>
      <c r="I3606" s="173"/>
      <c r="J3606" s="173"/>
      <c r="K3606" s="173"/>
      <c r="L3606" s="174"/>
      <c r="M3606" s="101"/>
      <c r="N3606" s="161"/>
      <c r="O3606" s="161" t="s">
        <v>14</v>
      </c>
      <c r="P3606" s="49" t="s">
        <v>14</v>
      </c>
      <c r="Q3606" s="166"/>
      <c r="R3606" s="151"/>
    </row>
    <row r="3607" spans="1:18">
      <c r="A3607" s="161" t="s">
        <v>86</v>
      </c>
      <c r="B3607" s="49" t="s">
        <v>992</v>
      </c>
      <c r="C3607" s="135" t="s">
        <v>993</v>
      </c>
      <c r="D3607" s="135" t="s">
        <v>993</v>
      </c>
      <c r="E3607" s="161"/>
      <c r="F3607" s="161"/>
      <c r="G3607" s="171">
        <v>0</v>
      </c>
      <c r="H3607" s="171">
        <v>0</v>
      </c>
      <c r="I3607" s="173">
        <v>20</v>
      </c>
      <c r="J3607" s="173">
        <v>0</v>
      </c>
      <c r="K3607" s="173">
        <v>0</v>
      </c>
      <c r="L3607" s="174"/>
      <c r="M3607" s="101"/>
      <c r="N3607" s="161"/>
      <c r="O3607" s="161"/>
      <c r="P3607" s="49"/>
      <c r="Q3607" s="166" t="s">
        <v>7747</v>
      </c>
      <c r="R3607" s="151"/>
    </row>
    <row r="3608" spans="1:18">
      <c r="A3608" s="161" t="s">
        <v>86</v>
      </c>
      <c r="B3608" s="49" t="s">
        <v>992</v>
      </c>
      <c r="C3608" s="88" t="s">
        <v>7748</v>
      </c>
      <c r="D3608" s="135" t="s">
        <v>7749</v>
      </c>
      <c r="E3608" s="161"/>
      <c r="F3608" s="161"/>
      <c r="G3608" s="171">
        <f t="shared" ref="G3608:G3613" si="265">G3607+H3608</f>
        <v>15.92</v>
      </c>
      <c r="H3608" s="171">
        <v>15.92</v>
      </c>
      <c r="I3608" s="173">
        <v>22</v>
      </c>
      <c r="J3608" s="173">
        <v>1199</v>
      </c>
      <c r="K3608" s="173">
        <f t="shared" ref="K3608:K3613" si="266">K3607+J3608</f>
        <v>1199</v>
      </c>
      <c r="L3608" s="174"/>
      <c r="M3608" s="101"/>
      <c r="N3608" s="161" t="s">
        <v>1299</v>
      </c>
      <c r="O3608" s="161"/>
      <c r="P3608" s="49" t="s">
        <v>25</v>
      </c>
      <c r="Q3608" s="166" t="s">
        <v>7750</v>
      </c>
      <c r="R3608" s="151"/>
    </row>
    <row r="3609" spans="1:18">
      <c r="A3609" s="161" t="s">
        <v>86</v>
      </c>
      <c r="B3609" s="49" t="s">
        <v>992</v>
      </c>
      <c r="C3609" s="88" t="s">
        <v>7751</v>
      </c>
      <c r="D3609" s="135" t="s">
        <v>7751</v>
      </c>
      <c r="E3609" s="161"/>
      <c r="F3609" s="161"/>
      <c r="G3609" s="171">
        <f t="shared" si="265"/>
        <v>27.9</v>
      </c>
      <c r="H3609" s="171">
        <v>11.98</v>
      </c>
      <c r="I3609" s="173">
        <v>59</v>
      </c>
      <c r="J3609" s="173">
        <v>902</v>
      </c>
      <c r="K3609" s="173">
        <f t="shared" si="266"/>
        <v>2101</v>
      </c>
      <c r="L3609" s="174"/>
      <c r="M3609" s="101"/>
      <c r="N3609" s="161"/>
      <c r="O3609" s="161"/>
      <c r="P3609" s="49" t="s">
        <v>15</v>
      </c>
      <c r="Q3609" s="166" t="s">
        <v>7752</v>
      </c>
      <c r="R3609" s="151"/>
    </row>
    <row r="3610" spans="1:18">
      <c r="A3610" s="161" t="s">
        <v>86</v>
      </c>
      <c r="B3610" s="49" t="s">
        <v>992</v>
      </c>
      <c r="C3610" s="88" t="s">
        <v>7753</v>
      </c>
      <c r="D3610" s="135" t="s">
        <v>7754</v>
      </c>
      <c r="E3610" s="161"/>
      <c r="F3610" s="161"/>
      <c r="G3610" s="171">
        <f t="shared" si="265"/>
        <v>42.69</v>
      </c>
      <c r="H3610" s="171">
        <v>14.79</v>
      </c>
      <c r="I3610" s="173">
        <v>51</v>
      </c>
      <c r="J3610" s="173">
        <v>1113</v>
      </c>
      <c r="K3610" s="173">
        <f t="shared" si="266"/>
        <v>3214</v>
      </c>
      <c r="L3610" s="174"/>
      <c r="M3610" s="101"/>
      <c r="N3610" s="161" t="s">
        <v>1299</v>
      </c>
      <c r="O3610" s="161"/>
      <c r="P3610" s="49" t="s">
        <v>25</v>
      </c>
      <c r="Q3610" s="166" t="s">
        <v>7755</v>
      </c>
      <c r="R3610" s="151"/>
    </row>
    <row r="3611" spans="1:18">
      <c r="A3611" s="161" t="s">
        <v>86</v>
      </c>
      <c r="B3611" s="49" t="s">
        <v>992</v>
      </c>
      <c r="C3611" s="88" t="s">
        <v>7756</v>
      </c>
      <c r="D3611" s="135" t="s">
        <v>7757</v>
      </c>
      <c r="E3611" s="161"/>
      <c r="F3611" s="161"/>
      <c r="G3611" s="171">
        <f t="shared" si="265"/>
        <v>59.03</v>
      </c>
      <c r="H3611" s="171">
        <v>16.34</v>
      </c>
      <c r="I3611" s="173">
        <v>54</v>
      </c>
      <c r="J3611" s="173">
        <v>1230</v>
      </c>
      <c r="K3611" s="173">
        <f t="shared" si="266"/>
        <v>4444</v>
      </c>
      <c r="L3611" s="174"/>
      <c r="M3611" s="101"/>
      <c r="N3611" s="161" t="s">
        <v>1299</v>
      </c>
      <c r="O3611" s="161"/>
      <c r="P3611" s="49" t="s">
        <v>25</v>
      </c>
      <c r="Q3611" s="166" t="s">
        <v>7758</v>
      </c>
      <c r="R3611" s="151"/>
    </row>
    <row r="3612" spans="1:18">
      <c r="A3612" s="161" t="s">
        <v>86</v>
      </c>
      <c r="B3612" s="49" t="s">
        <v>992</v>
      </c>
      <c r="C3612" s="88" t="s">
        <v>7145</v>
      </c>
      <c r="D3612" s="135" t="s">
        <v>7146</v>
      </c>
      <c r="E3612" s="161"/>
      <c r="F3612" s="161"/>
      <c r="G3612" s="171">
        <f t="shared" si="265"/>
        <v>75.42</v>
      </c>
      <c r="H3612" s="171">
        <v>16.39</v>
      </c>
      <c r="I3612" s="173">
        <v>68</v>
      </c>
      <c r="J3612" s="173">
        <v>1234</v>
      </c>
      <c r="K3612" s="173">
        <f t="shared" si="266"/>
        <v>5678</v>
      </c>
      <c r="L3612" s="174"/>
      <c r="M3612" s="101"/>
      <c r="N3612" s="161" t="s">
        <v>1299</v>
      </c>
      <c r="O3612" s="161"/>
      <c r="P3612" s="49" t="s">
        <v>25</v>
      </c>
      <c r="Q3612" s="166" t="s">
        <v>7759</v>
      </c>
      <c r="R3612" s="151"/>
    </row>
    <row r="3613" spans="1:18">
      <c r="A3613" s="161" t="s">
        <v>86</v>
      </c>
      <c r="B3613" s="49" t="s">
        <v>992</v>
      </c>
      <c r="C3613" s="88" t="s">
        <v>7760</v>
      </c>
      <c r="D3613" s="135" t="s">
        <v>7760</v>
      </c>
      <c r="E3613" s="161"/>
      <c r="F3613" s="161"/>
      <c r="G3613" s="171">
        <f t="shared" si="265"/>
        <v>91.14</v>
      </c>
      <c r="H3613" s="171">
        <v>15.72</v>
      </c>
      <c r="I3613" s="173">
        <v>118</v>
      </c>
      <c r="J3613" s="173">
        <v>1184</v>
      </c>
      <c r="K3613" s="173">
        <f t="shared" si="266"/>
        <v>6862</v>
      </c>
      <c r="L3613" s="174"/>
      <c r="M3613" s="101"/>
      <c r="N3613" s="161"/>
      <c r="O3613" s="161"/>
      <c r="P3613" s="49" t="s">
        <v>15</v>
      </c>
      <c r="Q3613" s="166" t="s">
        <v>7761</v>
      </c>
      <c r="R3613" s="151"/>
    </row>
    <row r="3614" spans="1:18">
      <c r="A3614" s="161" t="s">
        <v>86</v>
      </c>
      <c r="B3614" s="49" t="s">
        <v>994</v>
      </c>
      <c r="C3614" s="135" t="s">
        <v>995</v>
      </c>
      <c r="D3614" s="161" t="s">
        <v>995</v>
      </c>
      <c r="E3614" s="161" t="s">
        <v>2750</v>
      </c>
      <c r="F3614" s="161" t="s">
        <v>3284</v>
      </c>
      <c r="G3614" s="171">
        <v>0</v>
      </c>
      <c r="H3614" s="163">
        <v>0</v>
      </c>
      <c r="I3614" s="174">
        <v>20.3</v>
      </c>
      <c r="J3614" s="174"/>
      <c r="K3614" s="174"/>
      <c r="L3614" s="174"/>
      <c r="M3614" s="101"/>
      <c r="N3614" s="161"/>
      <c r="O3614" s="161"/>
      <c r="P3614" s="49"/>
      <c r="Q3614" s="166" t="s">
        <v>7762</v>
      </c>
      <c r="R3614" s="151"/>
    </row>
    <row r="3615" s="152" customFormat="1" spans="1:18">
      <c r="A3615" s="161" t="s">
        <v>86</v>
      </c>
      <c r="B3615" s="49" t="s">
        <v>994</v>
      </c>
      <c r="C3615" s="88" t="s">
        <v>1012</v>
      </c>
      <c r="D3615" s="49" t="s">
        <v>1012</v>
      </c>
      <c r="E3615" s="161" t="s">
        <v>2750</v>
      </c>
      <c r="F3615" s="161" t="s">
        <v>3284</v>
      </c>
      <c r="G3615" s="171">
        <v>16.8</v>
      </c>
      <c r="H3615" s="163">
        <v>16.8</v>
      </c>
      <c r="I3615" s="174"/>
      <c r="J3615" s="174">
        <v>9153</v>
      </c>
      <c r="K3615" s="174">
        <v>9153</v>
      </c>
      <c r="L3615" s="174"/>
      <c r="M3615" s="101"/>
      <c r="N3615" s="161"/>
      <c r="O3615" s="161" t="s">
        <v>25</v>
      </c>
      <c r="P3615" s="49" t="s">
        <v>14</v>
      </c>
      <c r="Q3615" s="166" t="s">
        <v>7763</v>
      </c>
      <c r="R3615" s="151"/>
    </row>
    <row r="3616" spans="1:18">
      <c r="A3616" s="161" t="s">
        <v>86</v>
      </c>
      <c r="B3616" s="49" t="s">
        <v>994</v>
      </c>
      <c r="C3616" s="88" t="s">
        <v>7764</v>
      </c>
      <c r="D3616" s="161" t="s">
        <v>7764</v>
      </c>
      <c r="E3616" s="161" t="s">
        <v>2750</v>
      </c>
      <c r="F3616" s="161" t="s">
        <v>3284</v>
      </c>
      <c r="G3616" s="171">
        <v>33.7</v>
      </c>
      <c r="H3616" s="163">
        <v>16.9</v>
      </c>
      <c r="I3616" s="174"/>
      <c r="J3616" s="174">
        <v>9501</v>
      </c>
      <c r="K3616" s="174">
        <v>18654</v>
      </c>
      <c r="L3616" s="174"/>
      <c r="M3616" s="101"/>
      <c r="N3616" s="161"/>
      <c r="O3616" s="161"/>
      <c r="P3616" s="49" t="s">
        <v>14</v>
      </c>
      <c r="Q3616" s="166" t="s">
        <v>7765</v>
      </c>
      <c r="R3616" s="151"/>
    </row>
    <row r="3617" s="152" customFormat="1" spans="1:18">
      <c r="A3617" s="161" t="s">
        <v>86</v>
      </c>
      <c r="B3617" s="49" t="s">
        <v>994</v>
      </c>
      <c r="C3617" s="88" t="s">
        <v>7766</v>
      </c>
      <c r="D3617" s="49" t="s">
        <v>7767</v>
      </c>
      <c r="E3617" s="161" t="s">
        <v>2750</v>
      </c>
      <c r="F3617" s="161"/>
      <c r="G3617" s="171">
        <v>50.1</v>
      </c>
      <c r="H3617" s="163">
        <v>16.4</v>
      </c>
      <c r="I3617" s="174"/>
      <c r="J3617" s="174"/>
      <c r="K3617" s="174"/>
      <c r="L3617" s="174"/>
      <c r="M3617" s="101"/>
      <c r="N3617" s="161" t="s">
        <v>1299</v>
      </c>
      <c r="O3617" s="161"/>
      <c r="P3617" s="49" t="s">
        <v>25</v>
      </c>
      <c r="Q3617" s="192" t="s">
        <v>7768</v>
      </c>
      <c r="R3617" s="151"/>
    </row>
    <row r="3618" s="152" customFormat="1" spans="1:18">
      <c r="A3618" s="161" t="s">
        <v>86</v>
      </c>
      <c r="B3618" s="49" t="s">
        <v>994</v>
      </c>
      <c r="C3618" s="88" t="s">
        <v>7769</v>
      </c>
      <c r="D3618" s="49" t="s">
        <v>7770</v>
      </c>
      <c r="E3618" s="161" t="s">
        <v>2750</v>
      </c>
      <c r="F3618" s="161"/>
      <c r="G3618" s="171">
        <v>65.5</v>
      </c>
      <c r="H3618" s="163">
        <v>15.4</v>
      </c>
      <c r="I3618" s="174"/>
      <c r="J3618" s="174"/>
      <c r="K3618" s="174"/>
      <c r="L3618" s="174"/>
      <c r="M3618" s="101"/>
      <c r="N3618" s="161" t="s">
        <v>1299</v>
      </c>
      <c r="O3618" s="161"/>
      <c r="P3618" s="49" t="s">
        <v>25</v>
      </c>
      <c r="Q3618" s="166" t="s">
        <v>7771</v>
      </c>
      <c r="R3618" s="151"/>
    </row>
    <row r="3619" s="152" customFormat="1" spans="1:18">
      <c r="A3619" s="161" t="s">
        <v>86</v>
      </c>
      <c r="B3619" s="49" t="s">
        <v>994</v>
      </c>
      <c r="C3619" s="88" t="s">
        <v>7772</v>
      </c>
      <c r="D3619" s="49" t="s">
        <v>7773</v>
      </c>
      <c r="E3619" s="161" t="s">
        <v>2750</v>
      </c>
      <c r="F3619" s="161"/>
      <c r="G3619" s="171">
        <v>89.1</v>
      </c>
      <c r="H3619" s="163">
        <v>23.6</v>
      </c>
      <c r="I3619" s="174"/>
      <c r="J3619" s="174"/>
      <c r="K3619" s="174"/>
      <c r="L3619" s="174"/>
      <c r="M3619" s="101"/>
      <c r="N3619" s="161" t="s">
        <v>1299</v>
      </c>
      <c r="O3619" s="161"/>
      <c r="P3619" s="49" t="s">
        <v>25</v>
      </c>
      <c r="Q3619" s="166" t="s">
        <v>7774</v>
      </c>
      <c r="R3619" s="151"/>
    </row>
    <row r="3620" s="152" customFormat="1" spans="1:18">
      <c r="A3620" s="161" t="s">
        <v>86</v>
      </c>
      <c r="B3620" s="49" t="s">
        <v>994</v>
      </c>
      <c r="C3620" s="88" t="s">
        <v>7775</v>
      </c>
      <c r="D3620" s="49" t="s">
        <v>7775</v>
      </c>
      <c r="E3620" s="161" t="s">
        <v>2750</v>
      </c>
      <c r="F3620" s="161"/>
      <c r="G3620" s="171">
        <v>106</v>
      </c>
      <c r="H3620" s="163">
        <v>16.9</v>
      </c>
      <c r="I3620" s="174"/>
      <c r="J3620" s="174"/>
      <c r="K3620" s="174">
        <v>51116</v>
      </c>
      <c r="L3620" s="174"/>
      <c r="M3620" s="101"/>
      <c r="N3620" s="161"/>
      <c r="O3620" s="161"/>
      <c r="P3620" s="49" t="s">
        <v>14</v>
      </c>
      <c r="Q3620" s="166" t="s">
        <v>7776</v>
      </c>
      <c r="R3620" s="151"/>
    </row>
    <row r="3621" s="152" customFormat="1" spans="1:18">
      <c r="A3621" s="161" t="s">
        <v>86</v>
      </c>
      <c r="B3621" s="49" t="s">
        <v>994</v>
      </c>
      <c r="C3621" s="88" t="s">
        <v>7777</v>
      </c>
      <c r="D3621" s="49" t="s">
        <v>7778</v>
      </c>
      <c r="E3621" s="161" t="s">
        <v>2750</v>
      </c>
      <c r="F3621" s="161"/>
      <c r="G3621" s="171">
        <v>127.6</v>
      </c>
      <c r="H3621" s="163">
        <v>21.6</v>
      </c>
      <c r="I3621" s="174"/>
      <c r="J3621" s="174"/>
      <c r="K3621" s="174"/>
      <c r="L3621" s="174"/>
      <c r="M3621" s="101"/>
      <c r="N3621" s="161" t="s">
        <v>1299</v>
      </c>
      <c r="O3621" s="161"/>
      <c r="P3621" s="49" t="s">
        <v>25</v>
      </c>
      <c r="Q3621" s="166" t="s">
        <v>7779</v>
      </c>
      <c r="R3621" s="151"/>
    </row>
    <row r="3622" s="152" customFormat="1" spans="1:18">
      <c r="A3622" s="161" t="s">
        <v>86</v>
      </c>
      <c r="B3622" s="49" t="s">
        <v>994</v>
      </c>
      <c r="C3622" s="88" t="s">
        <v>996</v>
      </c>
      <c r="D3622" s="49" t="s">
        <v>996</v>
      </c>
      <c r="E3622" s="161" t="s">
        <v>2750</v>
      </c>
      <c r="F3622" s="161"/>
      <c r="G3622" s="171">
        <v>150</v>
      </c>
      <c r="H3622" s="163">
        <v>22.4</v>
      </c>
      <c r="I3622" s="174"/>
      <c r="J3622" s="174"/>
      <c r="K3622" s="174">
        <v>75656</v>
      </c>
      <c r="L3622" s="174"/>
      <c r="M3622" s="101"/>
      <c r="N3622" s="161"/>
      <c r="O3622" s="161"/>
      <c r="P3622" s="49" t="s">
        <v>14</v>
      </c>
      <c r="Q3622" s="166" t="s">
        <v>7780</v>
      </c>
      <c r="R3622" s="151"/>
    </row>
    <row r="3623" spans="1:18">
      <c r="A3623" s="161" t="s">
        <v>86</v>
      </c>
      <c r="B3623" s="49" t="s">
        <v>997</v>
      </c>
      <c r="C3623" s="88" t="s">
        <v>996</v>
      </c>
      <c r="D3623" s="161" t="s">
        <v>996</v>
      </c>
      <c r="E3623" s="161" t="s">
        <v>2750</v>
      </c>
      <c r="F3623" s="161" t="s">
        <v>3809</v>
      </c>
      <c r="G3623" s="171">
        <v>0</v>
      </c>
      <c r="H3623" s="163">
        <v>0</v>
      </c>
      <c r="I3623" s="174">
        <v>26</v>
      </c>
      <c r="J3623" s="174">
        <v>0</v>
      </c>
      <c r="K3623" s="174">
        <v>0</v>
      </c>
      <c r="L3623" s="174"/>
      <c r="M3623" s="101"/>
      <c r="N3623" s="161"/>
      <c r="O3623" s="161" t="s">
        <v>14</v>
      </c>
      <c r="P3623" s="49" t="s">
        <v>14</v>
      </c>
      <c r="Q3623" s="166" t="s">
        <v>7781</v>
      </c>
      <c r="R3623" s="151"/>
    </row>
    <row r="3624" spans="1:18">
      <c r="A3624" s="161" t="s">
        <v>86</v>
      </c>
      <c r="B3624" s="49" t="s">
        <v>997</v>
      </c>
      <c r="C3624" s="88" t="s">
        <v>7782</v>
      </c>
      <c r="D3624" s="161" t="s">
        <v>7783</v>
      </c>
      <c r="E3624" s="161" t="s">
        <v>2750</v>
      </c>
      <c r="F3624" s="161" t="s">
        <v>3809</v>
      </c>
      <c r="G3624" s="171">
        <v>25.32</v>
      </c>
      <c r="H3624" s="163">
        <f>G3624-G3623</f>
        <v>25.32</v>
      </c>
      <c r="I3624" s="174">
        <v>109</v>
      </c>
      <c r="J3624" s="174">
        <v>12815</v>
      </c>
      <c r="K3624" s="174">
        <f t="shared" ref="K3624:K3630" si="267">K3623+J3624</f>
        <v>12815</v>
      </c>
      <c r="L3624" s="174"/>
      <c r="M3624" s="101"/>
      <c r="N3624" s="161" t="s">
        <v>1299</v>
      </c>
      <c r="O3624" s="161" t="s">
        <v>25</v>
      </c>
      <c r="P3624" s="49" t="s">
        <v>25</v>
      </c>
      <c r="Q3624" s="166" t="s">
        <v>7784</v>
      </c>
      <c r="R3624" s="151"/>
    </row>
    <row r="3625" spans="1:18">
      <c r="A3625" s="161" t="s">
        <v>86</v>
      </c>
      <c r="B3625" s="49" t="s">
        <v>997</v>
      </c>
      <c r="C3625" s="88" t="s">
        <v>7785</v>
      </c>
      <c r="D3625" s="161" t="s">
        <v>7786</v>
      </c>
      <c r="E3625" s="161" t="s">
        <v>2750</v>
      </c>
      <c r="F3625" s="161" t="s">
        <v>3809</v>
      </c>
      <c r="G3625" s="171">
        <v>45.499</v>
      </c>
      <c r="H3625" s="163">
        <f t="shared" ref="H3625:H3630" si="268">G3625-G3624</f>
        <v>20.179</v>
      </c>
      <c r="I3625" s="174">
        <v>0</v>
      </c>
      <c r="J3625" s="174">
        <v>11324</v>
      </c>
      <c r="K3625" s="174">
        <f t="shared" si="267"/>
        <v>24139</v>
      </c>
      <c r="L3625" s="174"/>
      <c r="M3625" s="101"/>
      <c r="N3625" s="161" t="s">
        <v>1299</v>
      </c>
      <c r="O3625" s="161" t="s">
        <v>25</v>
      </c>
      <c r="P3625" s="49" t="s">
        <v>25</v>
      </c>
      <c r="Q3625" s="166" t="s">
        <v>7787</v>
      </c>
      <c r="R3625" s="151"/>
    </row>
    <row r="3626" spans="1:18">
      <c r="A3626" s="161" t="s">
        <v>86</v>
      </c>
      <c r="B3626" s="49" t="s">
        <v>997</v>
      </c>
      <c r="C3626" s="88" t="s">
        <v>7788</v>
      </c>
      <c r="D3626" s="161" t="s">
        <v>7789</v>
      </c>
      <c r="E3626" s="161" t="s">
        <v>2750</v>
      </c>
      <c r="F3626" s="161" t="s">
        <v>3809</v>
      </c>
      <c r="G3626" s="171">
        <v>69.903</v>
      </c>
      <c r="H3626" s="163">
        <f t="shared" si="268"/>
        <v>24.404</v>
      </c>
      <c r="I3626" s="174">
        <v>8</v>
      </c>
      <c r="J3626" s="174">
        <v>13698</v>
      </c>
      <c r="K3626" s="174">
        <f t="shared" si="267"/>
        <v>37837</v>
      </c>
      <c r="L3626" s="174"/>
      <c r="M3626" s="101"/>
      <c r="N3626" s="161" t="s">
        <v>1299</v>
      </c>
      <c r="O3626" s="161" t="s">
        <v>25</v>
      </c>
      <c r="P3626" s="49" t="s">
        <v>25</v>
      </c>
      <c r="Q3626" s="166" t="s">
        <v>7790</v>
      </c>
      <c r="R3626" s="151"/>
    </row>
    <row r="3627" spans="1:18">
      <c r="A3627" s="161" t="s">
        <v>86</v>
      </c>
      <c r="B3627" s="49" t="s">
        <v>997</v>
      </c>
      <c r="C3627" s="88" t="s">
        <v>7791</v>
      </c>
      <c r="D3627" s="161" t="s">
        <v>7792</v>
      </c>
      <c r="E3627" s="161" t="s">
        <v>2750</v>
      </c>
      <c r="F3627" s="161" t="s">
        <v>3809</v>
      </c>
      <c r="G3627" s="171">
        <v>92.924</v>
      </c>
      <c r="H3627" s="163">
        <f t="shared" si="268"/>
        <v>23.021</v>
      </c>
      <c r="I3627" s="174">
        <v>18</v>
      </c>
      <c r="J3627" s="174">
        <v>13954</v>
      </c>
      <c r="K3627" s="174">
        <f t="shared" si="267"/>
        <v>51791</v>
      </c>
      <c r="L3627" s="174"/>
      <c r="M3627" s="101"/>
      <c r="N3627" s="161" t="s">
        <v>1299</v>
      </c>
      <c r="O3627" s="161" t="s">
        <v>25</v>
      </c>
      <c r="P3627" s="49" t="s">
        <v>25</v>
      </c>
      <c r="Q3627" s="166" t="s">
        <v>7793</v>
      </c>
      <c r="R3627" s="151"/>
    </row>
    <row r="3628" spans="1:18">
      <c r="A3628" s="161" t="s">
        <v>86</v>
      </c>
      <c r="B3628" s="49" t="s">
        <v>997</v>
      </c>
      <c r="C3628" s="88" t="s">
        <v>7794</v>
      </c>
      <c r="D3628" s="161" t="s">
        <v>7795</v>
      </c>
      <c r="E3628" s="161" t="s">
        <v>2750</v>
      </c>
      <c r="F3628" s="161" t="s">
        <v>3809</v>
      </c>
      <c r="G3628" s="171">
        <v>115.232</v>
      </c>
      <c r="H3628" s="163">
        <f t="shared" si="268"/>
        <v>22.308</v>
      </c>
      <c r="I3628" s="174">
        <v>57</v>
      </c>
      <c r="J3628" s="174">
        <v>14974</v>
      </c>
      <c r="K3628" s="174">
        <f t="shared" si="267"/>
        <v>66765</v>
      </c>
      <c r="L3628" s="174"/>
      <c r="M3628" s="101"/>
      <c r="N3628" s="161" t="s">
        <v>1299</v>
      </c>
      <c r="O3628" s="161" t="s">
        <v>25</v>
      </c>
      <c r="P3628" s="49" t="s">
        <v>25</v>
      </c>
      <c r="Q3628" s="166" t="s">
        <v>7796</v>
      </c>
      <c r="R3628" s="151"/>
    </row>
    <row r="3629" spans="1:18">
      <c r="A3629" s="161" t="s">
        <v>86</v>
      </c>
      <c r="B3629" s="49" t="s">
        <v>997</v>
      </c>
      <c r="C3629" s="88" t="s">
        <v>7797</v>
      </c>
      <c r="D3629" s="161" t="s">
        <v>7798</v>
      </c>
      <c r="E3629" s="161" t="s">
        <v>2750</v>
      </c>
      <c r="F3629" s="161" t="s">
        <v>3809</v>
      </c>
      <c r="G3629" s="171">
        <v>133.926</v>
      </c>
      <c r="H3629" s="163">
        <f t="shared" si="268"/>
        <v>18.694</v>
      </c>
      <c r="I3629" s="174">
        <v>2</v>
      </c>
      <c r="J3629" s="174">
        <v>12217</v>
      </c>
      <c r="K3629" s="174">
        <f t="shared" si="267"/>
        <v>78982</v>
      </c>
      <c r="L3629" s="174"/>
      <c r="M3629" s="101"/>
      <c r="N3629" s="161" t="s">
        <v>1299</v>
      </c>
      <c r="O3629" s="161" t="s">
        <v>25</v>
      </c>
      <c r="P3629" s="49" t="s">
        <v>25</v>
      </c>
      <c r="Q3629" s="166" t="s">
        <v>7799</v>
      </c>
      <c r="R3629" s="151"/>
    </row>
    <row r="3630" spans="1:18">
      <c r="A3630" s="161" t="s">
        <v>86</v>
      </c>
      <c r="B3630" s="49" t="s">
        <v>997</v>
      </c>
      <c r="C3630" s="135" t="s">
        <v>7800</v>
      </c>
      <c r="D3630" s="161" t="s">
        <v>7800</v>
      </c>
      <c r="E3630" s="161" t="s">
        <v>2750</v>
      </c>
      <c r="F3630" s="161" t="s">
        <v>3809</v>
      </c>
      <c r="G3630" s="171">
        <v>154.807</v>
      </c>
      <c r="H3630" s="163">
        <f t="shared" si="268"/>
        <v>20.881</v>
      </c>
      <c r="I3630" s="174">
        <v>26</v>
      </c>
      <c r="J3630" s="174">
        <v>15364</v>
      </c>
      <c r="K3630" s="174">
        <f t="shared" si="267"/>
        <v>94346</v>
      </c>
      <c r="L3630" s="174"/>
      <c r="M3630" s="101"/>
      <c r="N3630" s="161"/>
      <c r="O3630" s="161"/>
      <c r="P3630" s="49"/>
      <c r="Q3630" s="166" t="s">
        <v>7478</v>
      </c>
      <c r="R3630" s="151"/>
    </row>
    <row r="3631" spans="1:18">
      <c r="A3631" s="161" t="s">
        <v>86</v>
      </c>
      <c r="B3631" s="49" t="s">
        <v>999</v>
      </c>
      <c r="C3631" s="88" t="s">
        <v>1001</v>
      </c>
      <c r="D3631" s="161" t="s">
        <v>1001</v>
      </c>
      <c r="E3631" s="161" t="s">
        <v>2750</v>
      </c>
      <c r="F3631" s="161" t="s">
        <v>3284</v>
      </c>
      <c r="G3631" s="163">
        <v>1.2</v>
      </c>
      <c r="H3631" s="163">
        <v>1.2</v>
      </c>
      <c r="I3631" s="173"/>
      <c r="J3631" s="173">
        <v>0</v>
      </c>
      <c r="K3631" s="173">
        <v>0</v>
      </c>
      <c r="L3631" s="174"/>
      <c r="M3631" s="101"/>
      <c r="N3631" s="161"/>
      <c r="O3631" s="161" t="s">
        <v>14</v>
      </c>
      <c r="P3631" s="49" t="s">
        <v>14</v>
      </c>
      <c r="Q3631" s="166"/>
      <c r="R3631" s="151"/>
    </row>
    <row r="3632" spans="1:18">
      <c r="A3632" s="161" t="s">
        <v>86</v>
      </c>
      <c r="B3632" s="49" t="s">
        <v>999</v>
      </c>
      <c r="C3632" s="135" t="s">
        <v>3796</v>
      </c>
      <c r="D3632" s="161" t="s">
        <v>3796</v>
      </c>
      <c r="E3632" s="161" t="s">
        <v>2750</v>
      </c>
      <c r="F3632" s="161" t="s">
        <v>3284</v>
      </c>
      <c r="G3632" s="163">
        <v>0</v>
      </c>
      <c r="H3632" s="163">
        <v>0</v>
      </c>
      <c r="I3632" s="173"/>
      <c r="J3632" s="173">
        <v>270</v>
      </c>
      <c r="K3632" s="173">
        <v>270</v>
      </c>
      <c r="L3632" s="174"/>
      <c r="M3632" s="101"/>
      <c r="N3632" s="161"/>
      <c r="O3632" s="161"/>
      <c r="P3632" s="49"/>
      <c r="Q3632" s="166" t="s">
        <v>3797</v>
      </c>
      <c r="R3632" s="151"/>
    </row>
    <row r="3633" spans="1:18">
      <c r="A3633" s="161" t="s">
        <v>86</v>
      </c>
      <c r="B3633" s="195" t="s">
        <v>1003</v>
      </c>
      <c r="C3633" s="135" t="s">
        <v>7492</v>
      </c>
      <c r="D3633" s="161" t="s">
        <v>7492</v>
      </c>
      <c r="E3633" s="161" t="s">
        <v>2750</v>
      </c>
      <c r="F3633" s="161" t="s">
        <v>3809</v>
      </c>
      <c r="G3633" s="163">
        <v>0</v>
      </c>
      <c r="H3633" s="163">
        <v>0</v>
      </c>
      <c r="I3633" s="171">
        <v>4</v>
      </c>
      <c r="J3633" s="171">
        <v>0</v>
      </c>
      <c r="K3633" s="171">
        <v>0</v>
      </c>
      <c r="L3633" s="172"/>
      <c r="M3633" s="166"/>
      <c r="N3633" s="161"/>
      <c r="O3633" s="161"/>
      <c r="P3633" s="49"/>
      <c r="Q3633" s="166" t="s">
        <v>7493</v>
      </c>
      <c r="R3633" s="151"/>
    </row>
    <row r="3634" spans="1:18">
      <c r="A3634" s="161" t="s">
        <v>86</v>
      </c>
      <c r="B3634" s="195" t="s">
        <v>1003</v>
      </c>
      <c r="C3634" s="88" t="s">
        <v>7801</v>
      </c>
      <c r="D3634" s="161" t="s">
        <v>7801</v>
      </c>
      <c r="E3634" s="161" t="s">
        <v>2750</v>
      </c>
      <c r="F3634" s="161" t="s">
        <v>3809</v>
      </c>
      <c r="G3634" s="163">
        <v>15.692</v>
      </c>
      <c r="H3634" s="163">
        <f>G3634-G3633</f>
        <v>15.692</v>
      </c>
      <c r="I3634" s="171">
        <v>80</v>
      </c>
      <c r="J3634" s="171">
        <v>9126</v>
      </c>
      <c r="K3634" s="171">
        <v>9126</v>
      </c>
      <c r="L3634" s="172"/>
      <c r="M3634" s="166"/>
      <c r="N3634" s="161"/>
      <c r="O3634" s="161" t="s">
        <v>15</v>
      </c>
      <c r="P3634" s="49" t="s">
        <v>15</v>
      </c>
      <c r="Q3634" s="166" t="s">
        <v>7802</v>
      </c>
      <c r="R3634" s="151"/>
    </row>
    <row r="3635" spans="1:18">
      <c r="A3635" s="161" t="s">
        <v>86</v>
      </c>
      <c r="B3635" s="195" t="s">
        <v>1003</v>
      </c>
      <c r="C3635" s="88" t="s">
        <v>7803</v>
      </c>
      <c r="D3635" s="161" t="s">
        <v>7804</v>
      </c>
      <c r="E3635" s="161" t="s">
        <v>2750</v>
      </c>
      <c r="F3635" s="161" t="s">
        <v>3809</v>
      </c>
      <c r="G3635" s="163">
        <v>35.598</v>
      </c>
      <c r="H3635" s="163">
        <f>G3635-G3634</f>
        <v>19.906</v>
      </c>
      <c r="I3635" s="171">
        <v>45</v>
      </c>
      <c r="J3635" s="171">
        <v>12521</v>
      </c>
      <c r="K3635" s="171">
        <v>21647</v>
      </c>
      <c r="L3635" s="172"/>
      <c r="M3635" s="166"/>
      <c r="N3635" s="161" t="s">
        <v>1299</v>
      </c>
      <c r="O3635" s="161" t="s">
        <v>25</v>
      </c>
      <c r="P3635" s="49" t="s">
        <v>25</v>
      </c>
      <c r="Q3635" s="166" t="s">
        <v>7805</v>
      </c>
      <c r="R3635" s="151"/>
    </row>
    <row r="3636" spans="1:18">
      <c r="A3636" s="161" t="s">
        <v>86</v>
      </c>
      <c r="B3636" s="195" t="s">
        <v>1003</v>
      </c>
      <c r="C3636" s="88" t="s">
        <v>1010</v>
      </c>
      <c r="D3636" s="161" t="s">
        <v>7806</v>
      </c>
      <c r="E3636" s="161" t="s">
        <v>2750</v>
      </c>
      <c r="F3636" s="161" t="s">
        <v>3809</v>
      </c>
      <c r="G3636" s="163">
        <v>54.18</v>
      </c>
      <c r="H3636" s="163">
        <f>G3636-G3635</f>
        <v>18.582</v>
      </c>
      <c r="I3636" s="171">
        <v>40</v>
      </c>
      <c r="J3636" s="171">
        <v>11558</v>
      </c>
      <c r="K3636" s="171">
        <v>33205</v>
      </c>
      <c r="L3636" s="172"/>
      <c r="M3636" s="166"/>
      <c r="N3636" s="161"/>
      <c r="O3636" s="161" t="s">
        <v>15</v>
      </c>
      <c r="P3636" s="49" t="s">
        <v>15</v>
      </c>
      <c r="Q3636" s="166" t="s">
        <v>7807</v>
      </c>
      <c r="R3636" s="151"/>
    </row>
    <row r="3637" spans="1:18">
      <c r="A3637" s="161" t="s">
        <v>86</v>
      </c>
      <c r="B3637" s="195" t="s">
        <v>1003</v>
      </c>
      <c r="C3637" s="88" t="s">
        <v>7808</v>
      </c>
      <c r="D3637" s="161" t="s">
        <v>7809</v>
      </c>
      <c r="E3637" s="161" t="s">
        <v>2750</v>
      </c>
      <c r="F3637" s="161" t="s">
        <v>3809</v>
      </c>
      <c r="G3637" s="163">
        <v>73.506</v>
      </c>
      <c r="H3637" s="163">
        <v>19.326</v>
      </c>
      <c r="I3637" s="171">
        <v>34</v>
      </c>
      <c r="J3637" s="171">
        <v>5263</v>
      </c>
      <c r="K3637" s="171">
        <v>38468</v>
      </c>
      <c r="L3637" s="172"/>
      <c r="M3637" s="166"/>
      <c r="N3637" s="161" t="s">
        <v>1299</v>
      </c>
      <c r="O3637" s="161" t="s">
        <v>25</v>
      </c>
      <c r="P3637" s="49" t="s">
        <v>25</v>
      </c>
      <c r="Q3637" s="166" t="s">
        <v>7810</v>
      </c>
      <c r="R3637" s="151"/>
    </row>
    <row r="3638" spans="1:18">
      <c r="A3638" s="161" t="s">
        <v>86</v>
      </c>
      <c r="B3638" s="195" t="s">
        <v>1003</v>
      </c>
      <c r="C3638" s="88" t="s">
        <v>7811</v>
      </c>
      <c r="D3638" s="161" t="s">
        <v>7812</v>
      </c>
      <c r="E3638" s="161" t="s">
        <v>2750</v>
      </c>
      <c r="F3638" s="161" t="s">
        <v>3809</v>
      </c>
      <c r="G3638" s="163">
        <v>92.108</v>
      </c>
      <c r="H3638" s="163">
        <v>18.602</v>
      </c>
      <c r="I3638" s="171">
        <v>119</v>
      </c>
      <c r="J3638" s="171">
        <v>5066</v>
      </c>
      <c r="K3638" s="171">
        <v>43534</v>
      </c>
      <c r="L3638" s="172"/>
      <c r="M3638" s="166"/>
      <c r="N3638" s="161" t="s">
        <v>1299</v>
      </c>
      <c r="O3638" s="161" t="s">
        <v>25</v>
      </c>
      <c r="P3638" s="49" t="s">
        <v>25</v>
      </c>
      <c r="Q3638" s="166" t="s">
        <v>7813</v>
      </c>
      <c r="R3638" s="151"/>
    </row>
    <row r="3639" spans="1:18">
      <c r="A3639" s="161" t="s">
        <v>86</v>
      </c>
      <c r="B3639" s="195" t="s">
        <v>1003</v>
      </c>
      <c r="C3639" s="88" t="s">
        <v>7814</v>
      </c>
      <c r="D3639" s="161" t="s">
        <v>7815</v>
      </c>
      <c r="E3639" s="161" t="s">
        <v>2750</v>
      </c>
      <c r="F3639" s="161" t="s">
        <v>3809</v>
      </c>
      <c r="G3639" s="163">
        <v>119.693</v>
      </c>
      <c r="H3639" s="163">
        <v>27.585</v>
      </c>
      <c r="I3639" s="171">
        <v>99</v>
      </c>
      <c r="J3639" s="171">
        <v>7512</v>
      </c>
      <c r="K3639" s="171">
        <v>51047</v>
      </c>
      <c r="L3639" s="172"/>
      <c r="M3639" s="166"/>
      <c r="N3639" s="161" t="s">
        <v>1299</v>
      </c>
      <c r="O3639" s="161" t="s">
        <v>25</v>
      </c>
      <c r="P3639" s="49" t="s">
        <v>25</v>
      </c>
      <c r="Q3639" s="166" t="s">
        <v>7816</v>
      </c>
      <c r="R3639" s="151"/>
    </row>
    <row r="3640" spans="1:18">
      <c r="A3640" s="161" t="s">
        <v>86</v>
      </c>
      <c r="B3640" s="195" t="s">
        <v>1003</v>
      </c>
      <c r="C3640" s="88" t="s">
        <v>7817</v>
      </c>
      <c r="D3640" s="161" t="s">
        <v>7818</v>
      </c>
      <c r="E3640" s="161" t="s">
        <v>2750</v>
      </c>
      <c r="F3640" s="161" t="s">
        <v>3809</v>
      </c>
      <c r="G3640" s="163">
        <v>137.083</v>
      </c>
      <c r="H3640" s="163">
        <v>17.39</v>
      </c>
      <c r="I3640" s="171">
        <v>92</v>
      </c>
      <c r="J3640" s="171">
        <v>4736</v>
      </c>
      <c r="K3640" s="171">
        <v>55782</v>
      </c>
      <c r="L3640" s="172"/>
      <c r="M3640" s="166"/>
      <c r="N3640" s="161" t="s">
        <v>1299</v>
      </c>
      <c r="O3640" s="161" t="s">
        <v>25</v>
      </c>
      <c r="P3640" s="49" t="s">
        <v>25</v>
      </c>
      <c r="Q3640" s="166" t="s">
        <v>7819</v>
      </c>
      <c r="R3640" s="151"/>
    </row>
    <row r="3641" spans="1:18">
      <c r="A3641" s="161" t="s">
        <v>86</v>
      </c>
      <c r="B3641" s="195" t="s">
        <v>1003</v>
      </c>
      <c r="C3641" s="88" t="s">
        <v>1005</v>
      </c>
      <c r="D3641" s="161" t="s">
        <v>1005</v>
      </c>
      <c r="E3641" s="161" t="s">
        <v>2750</v>
      </c>
      <c r="F3641" s="161" t="s">
        <v>3809</v>
      </c>
      <c r="G3641" s="163">
        <v>150.099</v>
      </c>
      <c r="H3641" s="163">
        <v>13.016</v>
      </c>
      <c r="I3641" s="171">
        <v>121</v>
      </c>
      <c r="J3641" s="171">
        <v>3545</v>
      </c>
      <c r="K3641" s="171">
        <v>59327</v>
      </c>
      <c r="L3641" s="172"/>
      <c r="M3641" s="166"/>
      <c r="N3641" s="161"/>
      <c r="O3641" s="161" t="s">
        <v>14</v>
      </c>
      <c r="P3641" s="49" t="s">
        <v>14</v>
      </c>
      <c r="Q3641" s="166" t="s">
        <v>7820</v>
      </c>
      <c r="R3641" s="151"/>
    </row>
    <row r="3642" spans="1:18">
      <c r="A3642" s="161" t="s">
        <v>86</v>
      </c>
      <c r="B3642" s="195" t="s">
        <v>1008</v>
      </c>
      <c r="C3642" s="135" t="s">
        <v>1009</v>
      </c>
      <c r="D3642" s="161" t="s">
        <v>1009</v>
      </c>
      <c r="E3642" s="161" t="s">
        <v>2750</v>
      </c>
      <c r="F3642" s="161" t="s">
        <v>3809</v>
      </c>
      <c r="G3642" s="163">
        <v>0</v>
      </c>
      <c r="H3642" s="163">
        <v>0</v>
      </c>
      <c r="I3642" s="171"/>
      <c r="J3642" s="173">
        <v>0</v>
      </c>
      <c r="K3642" s="173">
        <v>0</v>
      </c>
      <c r="L3642" s="172"/>
      <c r="M3642" s="166"/>
      <c r="N3642" s="161"/>
      <c r="O3642" s="161"/>
      <c r="P3642" s="49"/>
      <c r="Q3642" s="166" t="s">
        <v>3821</v>
      </c>
      <c r="R3642" s="151"/>
    </row>
    <row r="3643" spans="1:18">
      <c r="A3643" s="161" t="s">
        <v>86</v>
      </c>
      <c r="B3643" s="195" t="s">
        <v>1008</v>
      </c>
      <c r="C3643" s="135" t="s">
        <v>1010</v>
      </c>
      <c r="D3643" s="161" t="s">
        <v>7806</v>
      </c>
      <c r="E3643" s="161" t="s">
        <v>2750</v>
      </c>
      <c r="F3643" s="161" t="s">
        <v>3809</v>
      </c>
      <c r="G3643" s="163">
        <v>2.17</v>
      </c>
      <c r="H3643" s="163">
        <v>2.17</v>
      </c>
      <c r="I3643" s="171"/>
      <c r="J3643" s="173">
        <v>1316</v>
      </c>
      <c r="K3643" s="173">
        <v>1316</v>
      </c>
      <c r="L3643" s="172"/>
      <c r="M3643" s="166"/>
      <c r="N3643" s="161"/>
      <c r="O3643" s="161"/>
      <c r="P3643" s="49"/>
      <c r="Q3643" s="166" t="s">
        <v>7807</v>
      </c>
      <c r="R3643" s="151"/>
    </row>
    <row r="3644" s="152" customFormat="1" ht="18" customHeight="1" spans="1:18">
      <c r="A3644" s="161" t="s">
        <v>86</v>
      </c>
      <c r="B3644" s="49" t="s">
        <v>1011</v>
      </c>
      <c r="C3644" s="135" t="s">
        <v>1012</v>
      </c>
      <c r="D3644" s="49" t="s">
        <v>1012</v>
      </c>
      <c r="E3644" s="164" t="s">
        <v>2750</v>
      </c>
      <c r="F3644" s="164"/>
      <c r="G3644" s="171">
        <v>0</v>
      </c>
      <c r="H3644" s="163">
        <v>0</v>
      </c>
      <c r="I3644" s="174"/>
      <c r="J3644" s="174">
        <v>0</v>
      </c>
      <c r="K3644" s="174">
        <v>0</v>
      </c>
      <c r="L3644" s="174"/>
      <c r="M3644" s="101"/>
      <c r="N3644" s="161"/>
      <c r="O3644" s="161"/>
      <c r="P3644" s="49"/>
      <c r="Q3644" s="166" t="s">
        <v>7763</v>
      </c>
      <c r="R3644" s="151"/>
    </row>
    <row r="3645" s="152" customFormat="1" spans="1:18">
      <c r="A3645" s="161" t="s">
        <v>86</v>
      </c>
      <c r="B3645" s="49" t="s">
        <v>1011</v>
      </c>
      <c r="C3645" s="88" t="s">
        <v>7821</v>
      </c>
      <c r="D3645" s="49" t="s">
        <v>7822</v>
      </c>
      <c r="E3645" s="161" t="s">
        <v>2750</v>
      </c>
      <c r="F3645" s="161"/>
      <c r="G3645" s="171">
        <v>11.7</v>
      </c>
      <c r="H3645" s="163">
        <v>11.7</v>
      </c>
      <c r="I3645" s="174"/>
      <c r="J3645" s="174">
        <v>2225.998</v>
      </c>
      <c r="K3645" s="174">
        <v>2225.998</v>
      </c>
      <c r="L3645" s="174"/>
      <c r="M3645" s="101"/>
      <c r="N3645" s="161" t="s">
        <v>1299</v>
      </c>
      <c r="O3645" s="161"/>
      <c r="P3645" s="49" t="s">
        <v>25</v>
      </c>
      <c r="Q3645" s="166" t="s">
        <v>7763</v>
      </c>
      <c r="R3645" s="151"/>
    </row>
    <row r="3646" s="152" customFormat="1" spans="1:18">
      <c r="A3646" s="161" t="s">
        <v>86</v>
      </c>
      <c r="B3646" s="49" t="s">
        <v>1011</v>
      </c>
      <c r="C3646" s="88" t="s">
        <v>1013</v>
      </c>
      <c r="D3646" s="49" t="s">
        <v>1013</v>
      </c>
      <c r="E3646" s="161" t="s">
        <v>2750</v>
      </c>
      <c r="F3646" s="161"/>
      <c r="G3646" s="171">
        <v>29.66</v>
      </c>
      <c r="H3646" s="163">
        <v>17.96</v>
      </c>
      <c r="I3646" s="174"/>
      <c r="J3646" s="174">
        <v>3417.002</v>
      </c>
      <c r="K3646" s="174">
        <f>K3645+J3646</f>
        <v>5643</v>
      </c>
      <c r="L3646" s="174"/>
      <c r="M3646" s="101"/>
      <c r="N3646" s="161"/>
      <c r="O3646" s="161"/>
      <c r="P3646" s="49" t="s">
        <v>14</v>
      </c>
      <c r="Q3646" s="166" t="s">
        <v>7823</v>
      </c>
      <c r="R3646" s="151"/>
    </row>
    <row r="3647" s="152" customFormat="1" spans="1:18">
      <c r="A3647" s="161" t="s">
        <v>86</v>
      </c>
      <c r="B3647" s="49" t="s">
        <v>1014</v>
      </c>
      <c r="C3647" s="88" t="s">
        <v>1015</v>
      </c>
      <c r="D3647" s="49" t="s">
        <v>1015</v>
      </c>
      <c r="E3647" s="161" t="s">
        <v>2750</v>
      </c>
      <c r="F3647" s="161"/>
      <c r="G3647" s="171">
        <v>0</v>
      </c>
      <c r="H3647" s="163">
        <v>0</v>
      </c>
      <c r="I3647" s="174">
        <v>7.9</v>
      </c>
      <c r="J3647" s="174">
        <v>0</v>
      </c>
      <c r="K3647" s="174">
        <v>0</v>
      </c>
      <c r="L3647" s="174"/>
      <c r="M3647" s="101"/>
      <c r="N3647" s="161"/>
      <c r="O3647" s="161"/>
      <c r="P3647" s="49" t="s">
        <v>15</v>
      </c>
      <c r="Q3647" s="166" t="s">
        <v>7824</v>
      </c>
      <c r="R3647" s="151"/>
    </row>
    <row r="3648" s="152" customFormat="1" spans="1:18">
      <c r="A3648" s="161" t="s">
        <v>86</v>
      </c>
      <c r="B3648" s="49" t="s">
        <v>1014</v>
      </c>
      <c r="C3648" s="88" t="s">
        <v>7825</v>
      </c>
      <c r="D3648" s="49" t="s">
        <v>7826</v>
      </c>
      <c r="E3648" s="161" t="s">
        <v>2750</v>
      </c>
      <c r="F3648" s="161"/>
      <c r="G3648" s="171">
        <v>9.77</v>
      </c>
      <c r="H3648" s="163">
        <f>G3648-G3647</f>
        <v>9.77</v>
      </c>
      <c r="I3648" s="174">
        <v>11.5</v>
      </c>
      <c r="J3648" s="174">
        <v>7001.29077516661</v>
      </c>
      <c r="K3648" s="174">
        <v>7001.29077516661</v>
      </c>
      <c r="L3648" s="174"/>
      <c r="M3648" s="101"/>
      <c r="N3648" s="161" t="s">
        <v>1299</v>
      </c>
      <c r="O3648" s="161"/>
      <c r="P3648" s="49" t="s">
        <v>25</v>
      </c>
      <c r="Q3648" s="166" t="s">
        <v>7827</v>
      </c>
      <c r="R3648" s="151"/>
    </row>
    <row r="3649" s="152" customFormat="1" spans="1:18">
      <c r="A3649" s="161" t="s">
        <v>86</v>
      </c>
      <c r="B3649" s="49" t="s">
        <v>1014</v>
      </c>
      <c r="C3649" s="88" t="s">
        <v>7828</v>
      </c>
      <c r="D3649" s="49" t="s">
        <v>7828</v>
      </c>
      <c r="E3649" s="161" t="s">
        <v>2750</v>
      </c>
      <c r="F3649" s="161"/>
      <c r="G3649" s="171">
        <v>26.47</v>
      </c>
      <c r="H3649" s="163">
        <f>G3649-G3648</f>
        <v>16.7</v>
      </c>
      <c r="I3649" s="174">
        <v>22</v>
      </c>
      <c r="J3649" s="174">
        <v>11378.7092248334</v>
      </c>
      <c r="K3649" s="174">
        <v>18380</v>
      </c>
      <c r="L3649" s="174"/>
      <c r="M3649" s="101"/>
      <c r="N3649" s="161"/>
      <c r="O3649" s="161"/>
      <c r="P3649" s="49" t="s">
        <v>15</v>
      </c>
      <c r="Q3649" s="166" t="s">
        <v>7829</v>
      </c>
      <c r="R3649" s="151"/>
    </row>
    <row r="3650" s="152" customFormat="1" spans="1:18">
      <c r="A3650" s="161" t="s">
        <v>86</v>
      </c>
      <c r="B3650" s="49" t="s">
        <v>1014</v>
      </c>
      <c r="C3650" s="88" t="s">
        <v>7830</v>
      </c>
      <c r="D3650" s="49" t="s">
        <v>7831</v>
      </c>
      <c r="E3650" s="161" t="s">
        <v>2750</v>
      </c>
      <c r="F3650" s="161"/>
      <c r="G3650" s="171">
        <v>37.762</v>
      </c>
      <c r="H3650" s="163">
        <f>G3650-G3649</f>
        <v>11.292</v>
      </c>
      <c r="I3650" s="174">
        <v>34</v>
      </c>
      <c r="J3650" s="174">
        <v>6612.69559032717</v>
      </c>
      <c r="K3650" s="174">
        <v>24992.6955903272</v>
      </c>
      <c r="L3650" s="174"/>
      <c r="M3650" s="101"/>
      <c r="N3650" s="161" t="s">
        <v>1299</v>
      </c>
      <c r="O3650" s="161"/>
      <c r="P3650" s="49" t="s">
        <v>25</v>
      </c>
      <c r="Q3650" s="166" t="s">
        <v>7832</v>
      </c>
      <c r="R3650" s="151"/>
    </row>
    <row r="3651" s="152" customFormat="1" spans="1:18">
      <c r="A3651" s="161" t="s">
        <v>86</v>
      </c>
      <c r="B3651" s="49" t="s">
        <v>1014</v>
      </c>
      <c r="C3651" s="135" t="s">
        <v>7833</v>
      </c>
      <c r="D3651" s="49" t="s">
        <v>7833</v>
      </c>
      <c r="E3651" s="161" t="s">
        <v>2750</v>
      </c>
      <c r="F3651" s="161"/>
      <c r="G3651" s="171">
        <v>52.249</v>
      </c>
      <c r="H3651" s="163">
        <f>G3651-G3650</f>
        <v>14.487</v>
      </c>
      <c r="I3651" s="174">
        <v>35.3</v>
      </c>
      <c r="J3651" s="174">
        <v>9362.30440967283</v>
      </c>
      <c r="K3651" s="174">
        <v>34355</v>
      </c>
      <c r="L3651" s="174"/>
      <c r="M3651" s="101"/>
      <c r="N3651" s="161"/>
      <c r="O3651" s="161"/>
      <c r="P3651" s="49"/>
      <c r="Q3651" s="166" t="s">
        <v>7834</v>
      </c>
      <c r="R3651" s="151"/>
    </row>
    <row r="3652" s="152" customFormat="1" spans="1:18">
      <c r="A3652" s="161" t="s">
        <v>86</v>
      </c>
      <c r="B3652" s="49" t="s">
        <v>1014</v>
      </c>
      <c r="C3652" s="135" t="s">
        <v>1016</v>
      </c>
      <c r="D3652" s="49" t="s">
        <v>1016</v>
      </c>
      <c r="E3652" s="161" t="s">
        <v>2750</v>
      </c>
      <c r="F3652" s="161"/>
      <c r="G3652" s="171">
        <v>58.3</v>
      </c>
      <c r="H3652" s="163">
        <f>G3652-G3651</f>
        <v>6.05099999999999</v>
      </c>
      <c r="I3652" s="174">
        <v>30.83</v>
      </c>
      <c r="J3652" s="174">
        <v>2102</v>
      </c>
      <c r="K3652" s="174">
        <v>36457</v>
      </c>
      <c r="L3652" s="174"/>
      <c r="M3652" s="101"/>
      <c r="N3652" s="161"/>
      <c r="O3652" s="161"/>
      <c r="P3652" s="49"/>
      <c r="Q3652" s="166" t="s">
        <v>7835</v>
      </c>
      <c r="R3652" s="151"/>
    </row>
    <row r="3653" s="152" customFormat="1" spans="1:18">
      <c r="A3653" s="161" t="s">
        <v>86</v>
      </c>
      <c r="B3653" s="49" t="s">
        <v>1017</v>
      </c>
      <c r="C3653" s="135" t="s">
        <v>1018</v>
      </c>
      <c r="D3653" s="49" t="s">
        <v>1018</v>
      </c>
      <c r="E3653" s="161" t="s">
        <v>2750</v>
      </c>
      <c r="F3653" s="161"/>
      <c r="G3653" s="171">
        <v>0</v>
      </c>
      <c r="H3653" s="163">
        <v>0</v>
      </c>
      <c r="I3653" s="174"/>
      <c r="J3653" s="174"/>
      <c r="K3653" s="174"/>
      <c r="L3653" s="174"/>
      <c r="M3653" s="101"/>
      <c r="N3653" s="161"/>
      <c r="O3653" s="161"/>
      <c r="P3653" s="49"/>
      <c r="Q3653" s="166"/>
      <c r="R3653" s="151"/>
    </row>
    <row r="3654" s="152" customFormat="1" spans="1:18">
      <c r="A3654" s="161" t="s">
        <v>86</v>
      </c>
      <c r="B3654" s="49" t="s">
        <v>1017</v>
      </c>
      <c r="C3654" s="135" t="s">
        <v>1015</v>
      </c>
      <c r="D3654" s="49" t="s">
        <v>1015</v>
      </c>
      <c r="E3654" s="161" t="s">
        <v>2750</v>
      </c>
      <c r="F3654" s="161"/>
      <c r="G3654" s="171">
        <v>0.462</v>
      </c>
      <c r="H3654" s="163">
        <v>0.462</v>
      </c>
      <c r="I3654" s="174"/>
      <c r="J3654" s="174"/>
      <c r="K3654" s="174"/>
      <c r="L3654" s="174"/>
      <c r="M3654" s="101"/>
      <c r="N3654" s="161"/>
      <c r="O3654" s="161"/>
      <c r="P3654" s="49"/>
      <c r="Q3654" s="166"/>
      <c r="R3654" s="151"/>
    </row>
    <row r="3655" s="152" customFormat="1" spans="1:18">
      <c r="A3655" s="49" t="s">
        <v>89</v>
      </c>
      <c r="B3655" s="49" t="s">
        <v>1029</v>
      </c>
      <c r="C3655" s="88" t="s">
        <v>7836</v>
      </c>
      <c r="D3655" s="161" t="s">
        <v>1030</v>
      </c>
      <c r="E3655" s="161" t="s">
        <v>2750</v>
      </c>
      <c r="F3655" s="161" t="s">
        <v>7837</v>
      </c>
      <c r="G3655" s="171">
        <v>0</v>
      </c>
      <c r="H3655" s="163">
        <v>0</v>
      </c>
      <c r="I3655" s="173">
        <v>0</v>
      </c>
      <c r="J3655" s="173">
        <v>0</v>
      </c>
      <c r="K3655" s="173">
        <v>0</v>
      </c>
      <c r="L3655" s="174"/>
      <c r="M3655" s="49"/>
      <c r="N3655" s="161"/>
      <c r="O3655" s="161" t="s">
        <v>14</v>
      </c>
      <c r="P3655" s="49" t="s">
        <v>14</v>
      </c>
      <c r="Q3655" s="166"/>
      <c r="R3655" s="151"/>
    </row>
    <row r="3656" spans="1:18">
      <c r="A3656" s="49" t="s">
        <v>89</v>
      </c>
      <c r="B3656" s="49" t="s">
        <v>1029</v>
      </c>
      <c r="C3656" s="88" t="s">
        <v>7838</v>
      </c>
      <c r="D3656" s="161" t="s">
        <v>7838</v>
      </c>
      <c r="E3656" s="161" t="s">
        <v>7839</v>
      </c>
      <c r="F3656" s="161" t="s">
        <v>7837</v>
      </c>
      <c r="G3656" s="171">
        <v>19.6995</v>
      </c>
      <c r="H3656" s="163">
        <v>19.69954</v>
      </c>
      <c r="I3656" s="173">
        <v>12.2</v>
      </c>
      <c r="J3656" s="173">
        <v>9607</v>
      </c>
      <c r="K3656" s="173">
        <v>9607</v>
      </c>
      <c r="L3656" s="174"/>
      <c r="M3656" s="49"/>
      <c r="N3656" s="161"/>
      <c r="O3656" s="161" t="s">
        <v>14</v>
      </c>
      <c r="P3656" s="49" t="s">
        <v>14</v>
      </c>
      <c r="Q3656" s="166"/>
      <c r="R3656" s="151"/>
    </row>
    <row r="3657" spans="1:18">
      <c r="A3657" s="49" t="s">
        <v>89</v>
      </c>
      <c r="B3657" s="49" t="s">
        <v>1029</v>
      </c>
      <c r="C3657" s="88" t="s">
        <v>1047</v>
      </c>
      <c r="D3657" s="161" t="s">
        <v>1047</v>
      </c>
      <c r="E3657" s="161" t="s">
        <v>7839</v>
      </c>
      <c r="F3657" s="161" t="s">
        <v>7837</v>
      </c>
      <c r="G3657" s="171">
        <v>31.9876</v>
      </c>
      <c r="H3657" s="163">
        <v>12.28805</v>
      </c>
      <c r="I3657" s="173">
        <v>15.3</v>
      </c>
      <c r="J3657" s="173">
        <v>6070</v>
      </c>
      <c r="K3657" s="173">
        <f t="shared" ref="K3657:K3661" si="269">K3656+J3657</f>
        <v>15677</v>
      </c>
      <c r="L3657" s="174"/>
      <c r="M3657" s="49"/>
      <c r="N3657" s="161"/>
      <c r="O3657" s="161" t="s">
        <v>15</v>
      </c>
      <c r="P3657" s="49" t="s">
        <v>15</v>
      </c>
      <c r="Q3657" s="166"/>
      <c r="R3657" s="151"/>
    </row>
    <row r="3658" spans="1:18">
      <c r="A3658" s="49" t="s">
        <v>89</v>
      </c>
      <c r="B3658" s="49" t="s">
        <v>1029</v>
      </c>
      <c r="C3658" s="88" t="s">
        <v>7840</v>
      </c>
      <c r="D3658" s="161" t="s">
        <v>7841</v>
      </c>
      <c r="E3658" s="161" t="s">
        <v>7839</v>
      </c>
      <c r="F3658" s="161" t="s">
        <v>7837</v>
      </c>
      <c r="G3658" s="171">
        <v>36.9114</v>
      </c>
      <c r="H3658" s="163">
        <v>4.92383</v>
      </c>
      <c r="I3658" s="173">
        <v>25.5</v>
      </c>
      <c r="J3658" s="173">
        <v>2430</v>
      </c>
      <c r="K3658" s="173">
        <f t="shared" si="269"/>
        <v>18107</v>
      </c>
      <c r="L3658" s="174"/>
      <c r="M3658" s="49"/>
      <c r="N3658" s="161" t="s">
        <v>1299</v>
      </c>
      <c r="O3658" s="161" t="s">
        <v>25</v>
      </c>
      <c r="P3658" s="49" t="s">
        <v>25</v>
      </c>
      <c r="Q3658" s="166"/>
      <c r="R3658" s="151"/>
    </row>
    <row r="3659" spans="1:18">
      <c r="A3659" s="49" t="s">
        <v>89</v>
      </c>
      <c r="B3659" s="49" t="s">
        <v>1029</v>
      </c>
      <c r="C3659" s="88" t="s">
        <v>1035</v>
      </c>
      <c r="D3659" s="161" t="s">
        <v>7842</v>
      </c>
      <c r="E3659" s="161" t="s">
        <v>7839</v>
      </c>
      <c r="F3659" s="161" t="s">
        <v>7837</v>
      </c>
      <c r="G3659" s="171">
        <v>55.4077</v>
      </c>
      <c r="H3659" s="163">
        <v>18.49631</v>
      </c>
      <c r="I3659" s="173">
        <v>22.4</v>
      </c>
      <c r="J3659" s="173">
        <v>9022</v>
      </c>
      <c r="K3659" s="173">
        <f t="shared" si="269"/>
        <v>27129</v>
      </c>
      <c r="L3659" s="174"/>
      <c r="M3659" s="49"/>
      <c r="N3659" s="161" t="s">
        <v>1299</v>
      </c>
      <c r="O3659" s="161" t="s">
        <v>25</v>
      </c>
      <c r="P3659" s="49" t="s">
        <v>25</v>
      </c>
      <c r="Q3659" s="166"/>
      <c r="R3659" s="151"/>
    </row>
    <row r="3660" spans="1:18">
      <c r="A3660" s="49" t="s">
        <v>89</v>
      </c>
      <c r="B3660" s="49" t="s">
        <v>1029</v>
      </c>
      <c r="C3660" s="88" t="s">
        <v>7843</v>
      </c>
      <c r="D3660" s="161" t="s">
        <v>7844</v>
      </c>
      <c r="E3660" s="161" t="s">
        <v>7839</v>
      </c>
      <c r="F3660" s="161" t="s">
        <v>7845</v>
      </c>
      <c r="G3660" s="171">
        <v>69.2582</v>
      </c>
      <c r="H3660" s="163">
        <v>13.85054</v>
      </c>
      <c r="I3660" s="173">
        <v>8.2</v>
      </c>
      <c r="J3660" s="173">
        <v>6754</v>
      </c>
      <c r="K3660" s="173">
        <f t="shared" si="269"/>
        <v>33883</v>
      </c>
      <c r="L3660" s="174"/>
      <c r="M3660" s="49"/>
      <c r="N3660" s="161" t="s">
        <v>1299</v>
      </c>
      <c r="O3660" s="161" t="s">
        <v>25</v>
      </c>
      <c r="P3660" s="49" t="s">
        <v>25</v>
      </c>
      <c r="Q3660" s="166"/>
      <c r="R3660" s="151"/>
    </row>
    <row r="3661" spans="1:18">
      <c r="A3661" s="49" t="s">
        <v>89</v>
      </c>
      <c r="B3661" s="49" t="s">
        <v>1029</v>
      </c>
      <c r="C3661" s="88" t="s">
        <v>1031</v>
      </c>
      <c r="D3661" s="161" t="s">
        <v>1031</v>
      </c>
      <c r="E3661" s="161" t="s">
        <v>7839</v>
      </c>
      <c r="F3661" s="161" t="s">
        <v>7845</v>
      </c>
      <c r="G3661" s="171">
        <v>80.6518</v>
      </c>
      <c r="H3661" s="163">
        <v>11.39356</v>
      </c>
      <c r="I3661" s="173">
        <v>6.8</v>
      </c>
      <c r="J3661" s="173">
        <v>5555</v>
      </c>
      <c r="K3661" s="173">
        <f t="shared" si="269"/>
        <v>39438</v>
      </c>
      <c r="L3661" s="174"/>
      <c r="M3661" s="49"/>
      <c r="N3661" s="161"/>
      <c r="O3661" s="161" t="s">
        <v>14</v>
      </c>
      <c r="P3661" s="49" t="s">
        <v>14</v>
      </c>
      <c r="Q3661" s="166"/>
      <c r="R3661" s="151"/>
    </row>
    <row r="3662" spans="1:18">
      <c r="A3662" s="49" t="s">
        <v>89</v>
      </c>
      <c r="B3662" s="49" t="s">
        <v>1032</v>
      </c>
      <c r="C3662" s="135" t="s">
        <v>1031</v>
      </c>
      <c r="D3662" s="161" t="s">
        <v>1031</v>
      </c>
      <c r="E3662" s="161" t="s">
        <v>7839</v>
      </c>
      <c r="F3662" s="161" t="s">
        <v>7845</v>
      </c>
      <c r="G3662" s="163">
        <v>0</v>
      </c>
      <c r="H3662" s="163">
        <v>0</v>
      </c>
      <c r="I3662" s="173">
        <v>6.8</v>
      </c>
      <c r="J3662" s="173">
        <v>0</v>
      </c>
      <c r="K3662" s="173">
        <v>0</v>
      </c>
      <c r="L3662" s="174"/>
      <c r="M3662" s="49"/>
      <c r="N3662" s="161"/>
      <c r="O3662" s="161"/>
      <c r="P3662" s="49"/>
      <c r="Q3662" s="166"/>
      <c r="R3662" s="151"/>
    </row>
    <row r="3663" spans="1:18">
      <c r="A3663" s="49" t="s">
        <v>89</v>
      </c>
      <c r="B3663" s="49" t="s">
        <v>1032</v>
      </c>
      <c r="C3663" s="135" t="s">
        <v>7846</v>
      </c>
      <c r="D3663" s="161" t="s">
        <v>7846</v>
      </c>
      <c r="E3663" s="161" t="s">
        <v>7839</v>
      </c>
      <c r="F3663" s="161" t="s">
        <v>7845</v>
      </c>
      <c r="G3663" s="163">
        <v>3.567</v>
      </c>
      <c r="H3663" s="163">
        <v>3.567</v>
      </c>
      <c r="I3663" s="173" t="s">
        <v>147</v>
      </c>
      <c r="J3663" s="173">
        <v>1707</v>
      </c>
      <c r="K3663" s="173">
        <v>1707</v>
      </c>
      <c r="L3663" s="174"/>
      <c r="M3663" s="49"/>
      <c r="N3663" s="161"/>
      <c r="O3663" s="161"/>
      <c r="P3663" s="49"/>
      <c r="Q3663" s="166"/>
      <c r="R3663" s="151"/>
    </row>
    <row r="3664" spans="1:18">
      <c r="A3664" s="49" t="s">
        <v>89</v>
      </c>
      <c r="B3664" s="49" t="s">
        <v>1034</v>
      </c>
      <c r="C3664" s="135" t="s">
        <v>1035</v>
      </c>
      <c r="D3664" s="161" t="s">
        <v>7842</v>
      </c>
      <c r="E3664" s="161" t="s">
        <v>7839</v>
      </c>
      <c r="F3664" s="161" t="s">
        <v>7837</v>
      </c>
      <c r="G3664" s="171">
        <v>0</v>
      </c>
      <c r="H3664" s="163">
        <v>0</v>
      </c>
      <c r="I3664" s="173">
        <v>32.4</v>
      </c>
      <c r="J3664" s="173">
        <v>0</v>
      </c>
      <c r="K3664" s="173">
        <v>0</v>
      </c>
      <c r="L3664" s="174"/>
      <c r="M3664" s="49"/>
      <c r="N3664" s="161"/>
      <c r="O3664" s="161"/>
      <c r="P3664" s="49"/>
      <c r="Q3664" s="166"/>
      <c r="R3664" s="151"/>
    </row>
    <row r="3665" spans="1:18">
      <c r="A3665" s="49" t="s">
        <v>89</v>
      </c>
      <c r="B3665" s="49" t="s">
        <v>1034</v>
      </c>
      <c r="C3665" s="88" t="s">
        <v>7847</v>
      </c>
      <c r="D3665" s="161" t="s">
        <v>7847</v>
      </c>
      <c r="E3665" s="161" t="s">
        <v>7839</v>
      </c>
      <c r="F3665" s="161" t="s">
        <v>7837</v>
      </c>
      <c r="G3665" s="171">
        <v>10.66</v>
      </c>
      <c r="H3665" s="163">
        <f>G3665-G3664</f>
        <v>10.66</v>
      </c>
      <c r="I3665" s="173">
        <v>8.2</v>
      </c>
      <c r="J3665" s="173">
        <v>532</v>
      </c>
      <c r="K3665" s="173">
        <v>531.677351093616</v>
      </c>
      <c r="L3665" s="174"/>
      <c r="M3665" s="49"/>
      <c r="N3665" s="161"/>
      <c r="O3665" s="161" t="s">
        <v>14</v>
      </c>
      <c r="P3665" s="49" t="s">
        <v>14</v>
      </c>
      <c r="Q3665" s="166"/>
      <c r="R3665" s="151"/>
    </row>
    <row r="3666" spans="1:18">
      <c r="A3666" s="49" t="s">
        <v>89</v>
      </c>
      <c r="B3666" s="49" t="s">
        <v>1034</v>
      </c>
      <c r="C3666" s="88" t="s">
        <v>1036</v>
      </c>
      <c r="D3666" s="161" t="s">
        <v>1036</v>
      </c>
      <c r="E3666" s="161" t="s">
        <v>7839</v>
      </c>
      <c r="F3666" s="161" t="s">
        <v>7837</v>
      </c>
      <c r="G3666" s="171">
        <v>11.46</v>
      </c>
      <c r="H3666" s="163">
        <f>G3666-G3665</f>
        <v>0.800000000000001</v>
      </c>
      <c r="I3666" s="173">
        <v>7.8</v>
      </c>
      <c r="J3666" s="173">
        <v>40</v>
      </c>
      <c r="K3666" s="173">
        <v>572</v>
      </c>
      <c r="L3666" s="174"/>
      <c r="M3666" s="49"/>
      <c r="N3666" s="161"/>
      <c r="O3666" s="161" t="s">
        <v>14</v>
      </c>
      <c r="P3666" s="49" t="s">
        <v>14</v>
      </c>
      <c r="Q3666" s="166"/>
      <c r="R3666" s="151"/>
    </row>
    <row r="3667" spans="1:18">
      <c r="A3667" s="49" t="s">
        <v>89</v>
      </c>
      <c r="B3667" s="49" t="s">
        <v>1037</v>
      </c>
      <c r="C3667" s="135" t="s">
        <v>1036</v>
      </c>
      <c r="D3667" s="161" t="s">
        <v>1036</v>
      </c>
      <c r="E3667" s="161" t="s">
        <v>7839</v>
      </c>
      <c r="F3667" s="161" t="s">
        <v>7837</v>
      </c>
      <c r="G3667" s="163">
        <v>0</v>
      </c>
      <c r="H3667" s="163">
        <v>0</v>
      </c>
      <c r="I3667" s="173">
        <v>7.8</v>
      </c>
      <c r="J3667" s="173">
        <v>0</v>
      </c>
      <c r="K3667" s="173">
        <v>0</v>
      </c>
      <c r="L3667" s="174"/>
      <c r="M3667" s="49"/>
      <c r="N3667" s="161"/>
      <c r="O3667" s="161"/>
      <c r="P3667" s="49"/>
      <c r="Q3667" s="166"/>
      <c r="R3667" s="151"/>
    </row>
    <row r="3668" spans="1:18">
      <c r="A3668" s="49" t="s">
        <v>89</v>
      </c>
      <c r="B3668" s="49" t="s">
        <v>1037</v>
      </c>
      <c r="C3668" s="135" t="s">
        <v>1038</v>
      </c>
      <c r="D3668" s="161" t="s">
        <v>1038</v>
      </c>
      <c r="E3668" s="161" t="s">
        <v>7839</v>
      </c>
      <c r="F3668" s="161" t="s">
        <v>7837</v>
      </c>
      <c r="G3668" s="163">
        <v>1</v>
      </c>
      <c r="H3668" s="163">
        <v>1</v>
      </c>
      <c r="I3668" s="173">
        <v>9.1</v>
      </c>
      <c r="J3668" s="173">
        <v>16</v>
      </c>
      <c r="K3668" s="173">
        <v>16.4625185646495</v>
      </c>
      <c r="L3668" s="174"/>
      <c r="M3668" s="49"/>
      <c r="N3668" s="161"/>
      <c r="O3668" s="161"/>
      <c r="P3668" s="49"/>
      <c r="Q3668" s="166"/>
      <c r="R3668" s="151"/>
    </row>
    <row r="3669" spans="1:18">
      <c r="A3669" s="49" t="s">
        <v>89</v>
      </c>
      <c r="B3669" s="49" t="s">
        <v>1039</v>
      </c>
      <c r="C3669" s="135" t="s">
        <v>1035</v>
      </c>
      <c r="D3669" s="49" t="s">
        <v>7842</v>
      </c>
      <c r="E3669" s="161" t="s">
        <v>7839</v>
      </c>
      <c r="F3669" s="161" t="s">
        <v>7837</v>
      </c>
      <c r="G3669" s="163">
        <v>0</v>
      </c>
      <c r="H3669" s="163">
        <v>0</v>
      </c>
      <c r="I3669" s="173"/>
      <c r="J3669" s="173"/>
      <c r="K3669" s="173"/>
      <c r="L3669" s="174"/>
      <c r="M3669" s="49"/>
      <c r="N3669" s="161"/>
      <c r="O3669" s="161"/>
      <c r="P3669" s="49"/>
      <c r="Q3669" s="166"/>
      <c r="R3669" s="151"/>
    </row>
    <row r="3670" spans="1:18">
      <c r="A3670" s="49" t="s">
        <v>89</v>
      </c>
      <c r="B3670" s="49" t="s">
        <v>1039</v>
      </c>
      <c r="C3670" s="88" t="s">
        <v>1040</v>
      </c>
      <c r="D3670" s="49" t="s">
        <v>1040</v>
      </c>
      <c r="E3670" s="161" t="s">
        <v>7839</v>
      </c>
      <c r="F3670" s="161" t="s">
        <v>7837</v>
      </c>
      <c r="G3670" s="163">
        <v>0.08</v>
      </c>
      <c r="H3670" s="163">
        <v>0.08</v>
      </c>
      <c r="I3670" s="173"/>
      <c r="J3670" s="173"/>
      <c r="K3670" s="173"/>
      <c r="L3670" s="174"/>
      <c r="M3670" s="49"/>
      <c r="N3670" s="161"/>
      <c r="O3670" s="161" t="s">
        <v>14</v>
      </c>
      <c r="P3670" s="49" t="s">
        <v>14</v>
      </c>
      <c r="Q3670" s="166"/>
      <c r="R3670" s="151"/>
    </row>
    <row r="3671" spans="1:18">
      <c r="A3671" s="49" t="s">
        <v>89</v>
      </c>
      <c r="B3671" s="49" t="s">
        <v>1041</v>
      </c>
      <c r="C3671" s="135" t="s">
        <v>7836</v>
      </c>
      <c r="D3671" s="161" t="s">
        <v>1030</v>
      </c>
      <c r="E3671" s="161" t="s">
        <v>7839</v>
      </c>
      <c r="F3671" s="161" t="s">
        <v>7837</v>
      </c>
      <c r="G3671" s="163">
        <v>0</v>
      </c>
      <c r="H3671" s="163">
        <v>0</v>
      </c>
      <c r="I3671" s="173">
        <v>0</v>
      </c>
      <c r="J3671" s="173">
        <v>0</v>
      </c>
      <c r="K3671" s="173">
        <v>0</v>
      </c>
      <c r="L3671" s="174"/>
      <c r="M3671" s="49"/>
      <c r="N3671" s="161"/>
      <c r="O3671" s="161"/>
      <c r="P3671" s="49"/>
      <c r="Q3671" s="166"/>
      <c r="R3671" s="151"/>
    </row>
    <row r="3672" spans="1:18">
      <c r="A3672" s="49" t="s">
        <v>89</v>
      </c>
      <c r="B3672" s="49" t="s">
        <v>1041</v>
      </c>
      <c r="C3672" s="135" t="s">
        <v>1042</v>
      </c>
      <c r="D3672" s="161" t="s">
        <v>1042</v>
      </c>
      <c r="E3672" s="161" t="s">
        <v>7839</v>
      </c>
      <c r="F3672" s="161" t="s">
        <v>7837</v>
      </c>
      <c r="G3672" s="163">
        <v>2.94</v>
      </c>
      <c r="H3672" s="163">
        <v>2.94</v>
      </c>
      <c r="I3672" s="173" t="s">
        <v>1258</v>
      </c>
      <c r="J3672" s="173">
        <v>935</v>
      </c>
      <c r="K3672" s="173">
        <v>934.597325555797</v>
      </c>
      <c r="L3672" s="174"/>
      <c r="M3672" s="49"/>
      <c r="N3672" s="161"/>
      <c r="O3672" s="161"/>
      <c r="P3672" s="49"/>
      <c r="Q3672" s="166"/>
      <c r="R3672" s="151"/>
    </row>
    <row r="3673" spans="1:18">
      <c r="A3673" s="49" t="s">
        <v>89</v>
      </c>
      <c r="B3673" s="49" t="s">
        <v>1043</v>
      </c>
      <c r="C3673" s="88" t="s">
        <v>120</v>
      </c>
      <c r="D3673" s="161" t="s">
        <v>120</v>
      </c>
      <c r="E3673" s="161" t="s">
        <v>7839</v>
      </c>
      <c r="F3673" s="161" t="s">
        <v>7837</v>
      </c>
      <c r="G3673" s="163">
        <v>0</v>
      </c>
      <c r="H3673" s="163">
        <v>0</v>
      </c>
      <c r="I3673" s="173">
        <v>0</v>
      </c>
      <c r="J3673" s="173">
        <v>0</v>
      </c>
      <c r="K3673" s="173">
        <v>0</v>
      </c>
      <c r="L3673" s="174"/>
      <c r="M3673" s="49"/>
      <c r="N3673" s="161" t="s">
        <v>1331</v>
      </c>
      <c r="O3673" s="161" t="s">
        <v>14</v>
      </c>
      <c r="P3673" s="49" t="s">
        <v>14</v>
      </c>
      <c r="Q3673" s="166" t="s">
        <v>1868</v>
      </c>
      <c r="R3673" s="151"/>
    </row>
    <row r="3674" spans="1:18">
      <c r="A3674" s="49" t="s">
        <v>89</v>
      </c>
      <c r="B3674" s="49" t="s">
        <v>1043</v>
      </c>
      <c r="C3674" s="135" t="s">
        <v>7836</v>
      </c>
      <c r="D3674" s="161" t="s">
        <v>1030</v>
      </c>
      <c r="E3674" s="161" t="s">
        <v>7839</v>
      </c>
      <c r="F3674" s="161" t="s">
        <v>7837</v>
      </c>
      <c r="G3674" s="163">
        <v>0.5</v>
      </c>
      <c r="H3674" s="163">
        <v>0.5</v>
      </c>
      <c r="I3674" s="173">
        <v>0</v>
      </c>
      <c r="J3674" s="173">
        <v>244</v>
      </c>
      <c r="K3674" s="173">
        <v>243.8441344268</v>
      </c>
      <c r="L3674" s="174"/>
      <c r="M3674" s="49"/>
      <c r="N3674" s="161"/>
      <c r="O3674" s="161"/>
      <c r="P3674" s="49"/>
      <c r="Q3674" s="166"/>
      <c r="R3674" s="151"/>
    </row>
    <row r="3675" spans="1:18">
      <c r="A3675" s="49" t="s">
        <v>89</v>
      </c>
      <c r="B3675" s="49" t="s">
        <v>1045</v>
      </c>
      <c r="C3675" s="135" t="s">
        <v>7838</v>
      </c>
      <c r="D3675" s="161" t="s">
        <v>7838</v>
      </c>
      <c r="E3675" s="161" t="s">
        <v>7839</v>
      </c>
      <c r="F3675" s="161" t="s">
        <v>7837</v>
      </c>
      <c r="G3675" s="163">
        <v>0</v>
      </c>
      <c r="H3675" s="163">
        <v>0</v>
      </c>
      <c r="I3675" s="173">
        <v>0</v>
      </c>
      <c r="J3675" s="173">
        <v>0</v>
      </c>
      <c r="K3675" s="173">
        <v>0</v>
      </c>
      <c r="L3675" s="174"/>
      <c r="M3675" s="49"/>
      <c r="N3675" s="161"/>
      <c r="O3675" s="161"/>
      <c r="P3675" s="49"/>
      <c r="Q3675" s="166"/>
      <c r="R3675" s="151"/>
    </row>
    <row r="3676" spans="1:18">
      <c r="A3676" s="49" t="s">
        <v>89</v>
      </c>
      <c r="B3676" s="49" t="s">
        <v>1045</v>
      </c>
      <c r="C3676" s="88" t="s">
        <v>1047</v>
      </c>
      <c r="D3676" s="161" t="s">
        <v>1047</v>
      </c>
      <c r="E3676" s="161" t="s">
        <v>7839</v>
      </c>
      <c r="F3676" s="161" t="s">
        <v>7837</v>
      </c>
      <c r="G3676" s="163">
        <v>0.2</v>
      </c>
      <c r="H3676" s="163">
        <v>0.2</v>
      </c>
      <c r="I3676" s="173">
        <v>15.3</v>
      </c>
      <c r="J3676" s="173">
        <v>63</v>
      </c>
      <c r="K3676" s="173">
        <v>63.33843380675</v>
      </c>
      <c r="L3676" s="174"/>
      <c r="M3676" s="49"/>
      <c r="N3676" s="161"/>
      <c r="O3676" s="161" t="s">
        <v>15</v>
      </c>
      <c r="P3676" s="49" t="s">
        <v>15</v>
      </c>
      <c r="Q3676" s="166"/>
      <c r="R3676" s="151"/>
    </row>
    <row r="3677" spans="1:18">
      <c r="A3677" s="49" t="s">
        <v>89</v>
      </c>
      <c r="B3677" s="49" t="s">
        <v>1048</v>
      </c>
      <c r="C3677" s="135" t="s">
        <v>1047</v>
      </c>
      <c r="D3677" s="161" t="s">
        <v>1047</v>
      </c>
      <c r="E3677" s="161" t="s">
        <v>7839</v>
      </c>
      <c r="F3677" s="161" t="s">
        <v>7837</v>
      </c>
      <c r="G3677" s="171">
        <v>0</v>
      </c>
      <c r="H3677" s="163">
        <v>0</v>
      </c>
      <c r="I3677" s="173">
        <v>15.3</v>
      </c>
      <c r="J3677" s="173">
        <v>0</v>
      </c>
      <c r="K3677" s="173">
        <v>0</v>
      </c>
      <c r="L3677" s="174"/>
      <c r="M3677" s="49"/>
      <c r="N3677" s="161"/>
      <c r="O3677" s="161"/>
      <c r="P3677" s="49"/>
      <c r="Q3677" s="166"/>
      <c r="R3677" s="151"/>
    </row>
    <row r="3678" spans="1:18">
      <c r="A3678" s="49" t="s">
        <v>89</v>
      </c>
      <c r="B3678" s="49" t="s">
        <v>1048</v>
      </c>
      <c r="C3678" s="88" t="s">
        <v>7848</v>
      </c>
      <c r="D3678" s="161" t="s">
        <v>7849</v>
      </c>
      <c r="E3678" s="161" t="s">
        <v>7839</v>
      </c>
      <c r="F3678" s="161" t="s">
        <v>7837</v>
      </c>
      <c r="G3678" s="171">
        <v>11.0298</v>
      </c>
      <c r="H3678" s="163">
        <f>G3678-G3677</f>
        <v>11.0298</v>
      </c>
      <c r="I3678" s="173"/>
      <c r="J3678" s="173">
        <v>587</v>
      </c>
      <c r="K3678" s="173">
        <f>J3678+K3677</f>
        <v>587</v>
      </c>
      <c r="L3678" s="174"/>
      <c r="M3678" s="49"/>
      <c r="N3678" s="161" t="s">
        <v>1299</v>
      </c>
      <c r="O3678" s="161" t="s">
        <v>25</v>
      </c>
      <c r="P3678" s="49" t="s">
        <v>25</v>
      </c>
      <c r="Q3678" s="166"/>
      <c r="R3678" s="151"/>
    </row>
    <row r="3679" spans="1:18">
      <c r="A3679" s="49" t="s">
        <v>89</v>
      </c>
      <c r="B3679" s="49" t="s">
        <v>1048</v>
      </c>
      <c r="C3679" s="88" t="s">
        <v>1051</v>
      </c>
      <c r="D3679" s="161" t="s">
        <v>7850</v>
      </c>
      <c r="E3679" s="161" t="s">
        <v>7839</v>
      </c>
      <c r="F3679" s="161" t="s">
        <v>7837</v>
      </c>
      <c r="G3679" s="171">
        <v>24.2901</v>
      </c>
      <c r="H3679" s="163">
        <f>G3679-G3678</f>
        <v>13.2603</v>
      </c>
      <c r="I3679" s="173"/>
      <c r="J3679" s="173">
        <v>706</v>
      </c>
      <c r="K3679" s="173">
        <f>J3679+K3678</f>
        <v>1293</v>
      </c>
      <c r="L3679" s="174"/>
      <c r="M3679" s="49"/>
      <c r="N3679" s="161" t="s">
        <v>1299</v>
      </c>
      <c r="O3679" s="161" t="s">
        <v>25</v>
      </c>
      <c r="P3679" s="49" t="s">
        <v>25</v>
      </c>
      <c r="Q3679" s="166"/>
      <c r="R3679" s="151"/>
    </row>
    <row r="3680" spans="1:18">
      <c r="A3680" s="49" t="s">
        <v>89</v>
      </c>
      <c r="B3680" s="49" t="s">
        <v>1048</v>
      </c>
      <c r="C3680" s="88" t="s">
        <v>7851</v>
      </c>
      <c r="D3680" s="161" t="s">
        <v>7851</v>
      </c>
      <c r="E3680" s="161" t="s">
        <v>7839</v>
      </c>
      <c r="F3680" s="161" t="s">
        <v>7837</v>
      </c>
      <c r="G3680" s="171">
        <v>40.9371</v>
      </c>
      <c r="H3680" s="163">
        <f>G3680-G3679</f>
        <v>16.647</v>
      </c>
      <c r="I3680" s="173"/>
      <c r="J3680" s="173">
        <v>887</v>
      </c>
      <c r="K3680" s="173">
        <f>J3680+K3679</f>
        <v>2180</v>
      </c>
      <c r="L3680" s="174"/>
      <c r="M3680" s="49"/>
      <c r="N3680" s="161"/>
      <c r="O3680" s="161" t="s">
        <v>14</v>
      </c>
      <c r="P3680" s="49" t="s">
        <v>14</v>
      </c>
      <c r="Q3680" s="166"/>
      <c r="R3680" s="151"/>
    </row>
    <row r="3681" spans="1:18">
      <c r="A3681" s="49" t="s">
        <v>89</v>
      </c>
      <c r="B3681" s="49" t="s">
        <v>1048</v>
      </c>
      <c r="C3681" s="88" t="s">
        <v>1052</v>
      </c>
      <c r="D3681" s="161" t="s">
        <v>1052</v>
      </c>
      <c r="E3681" s="161" t="s">
        <v>7839</v>
      </c>
      <c r="F3681" s="161" t="s">
        <v>7837</v>
      </c>
      <c r="G3681" s="171">
        <v>52.0309</v>
      </c>
      <c r="H3681" s="163">
        <f>G3681-G3680</f>
        <v>11.0938</v>
      </c>
      <c r="I3681" s="173"/>
      <c r="J3681" s="173">
        <v>591</v>
      </c>
      <c r="K3681" s="173">
        <f>J3681+K3680</f>
        <v>2771</v>
      </c>
      <c r="L3681" s="174"/>
      <c r="M3681" s="49"/>
      <c r="N3681" s="161"/>
      <c r="O3681" s="161" t="s">
        <v>14</v>
      </c>
      <c r="P3681" s="49" t="s">
        <v>14</v>
      </c>
      <c r="Q3681" s="166"/>
      <c r="R3681" s="151"/>
    </row>
    <row r="3682" spans="1:18">
      <c r="A3682" s="49" t="s">
        <v>89</v>
      </c>
      <c r="B3682" s="49" t="s">
        <v>1050</v>
      </c>
      <c r="C3682" s="135" t="s">
        <v>1051</v>
      </c>
      <c r="D3682" s="161" t="s">
        <v>7850</v>
      </c>
      <c r="E3682" s="161" t="s">
        <v>7839</v>
      </c>
      <c r="F3682" s="161" t="s">
        <v>7837</v>
      </c>
      <c r="G3682" s="163">
        <v>0</v>
      </c>
      <c r="H3682" s="163">
        <v>0</v>
      </c>
      <c r="I3682" s="173"/>
      <c r="J3682" s="173">
        <v>0</v>
      </c>
      <c r="K3682" s="173">
        <v>0</v>
      </c>
      <c r="L3682" s="174"/>
      <c r="M3682" s="49"/>
      <c r="N3682" s="161"/>
      <c r="O3682" s="161"/>
      <c r="P3682" s="49"/>
      <c r="Q3682" s="166"/>
      <c r="R3682" s="151"/>
    </row>
    <row r="3683" spans="1:18">
      <c r="A3683" s="49" t="s">
        <v>89</v>
      </c>
      <c r="B3683" s="49" t="s">
        <v>1050</v>
      </c>
      <c r="C3683" s="88" t="s">
        <v>1049</v>
      </c>
      <c r="D3683" s="161" t="s">
        <v>1049</v>
      </c>
      <c r="E3683" s="161" t="s">
        <v>7839</v>
      </c>
      <c r="F3683" s="161" t="s">
        <v>7837</v>
      </c>
      <c r="G3683" s="163">
        <v>0.2</v>
      </c>
      <c r="H3683" s="163">
        <v>0.2</v>
      </c>
      <c r="I3683" s="173"/>
      <c r="J3683" s="173">
        <v>11</v>
      </c>
      <c r="K3683" s="173">
        <v>11</v>
      </c>
      <c r="L3683" s="174"/>
      <c r="M3683" s="49"/>
      <c r="N3683" s="161"/>
      <c r="O3683" s="161" t="s">
        <v>15</v>
      </c>
      <c r="P3683" s="49" t="s">
        <v>15</v>
      </c>
      <c r="Q3683" s="166"/>
      <c r="R3683" s="151"/>
    </row>
    <row r="3684" spans="1:18">
      <c r="A3684" s="49" t="s">
        <v>89</v>
      </c>
      <c r="B3684" s="49" t="s">
        <v>1053</v>
      </c>
      <c r="C3684" s="135" t="s">
        <v>1052</v>
      </c>
      <c r="D3684" s="161" t="s">
        <v>1052</v>
      </c>
      <c r="E3684" s="161" t="s">
        <v>7839</v>
      </c>
      <c r="F3684" s="161" t="s">
        <v>7837</v>
      </c>
      <c r="G3684" s="163">
        <v>0</v>
      </c>
      <c r="H3684" s="163">
        <v>0</v>
      </c>
      <c r="I3684" s="173"/>
      <c r="J3684" s="173">
        <v>0</v>
      </c>
      <c r="K3684" s="173">
        <v>0</v>
      </c>
      <c r="L3684" s="174"/>
      <c r="M3684" s="49"/>
      <c r="N3684" s="161"/>
      <c r="O3684" s="161"/>
      <c r="P3684" s="49"/>
      <c r="Q3684" s="166"/>
      <c r="R3684" s="151"/>
    </row>
    <row r="3685" spans="1:18">
      <c r="A3685" s="49" t="s">
        <v>89</v>
      </c>
      <c r="B3685" s="49" t="s">
        <v>1053</v>
      </c>
      <c r="C3685" s="135" t="s">
        <v>1054</v>
      </c>
      <c r="D3685" s="161" t="s">
        <v>1054</v>
      </c>
      <c r="E3685" s="161" t="s">
        <v>7839</v>
      </c>
      <c r="F3685" s="161" t="s">
        <v>7837</v>
      </c>
      <c r="G3685" s="163">
        <v>4.91</v>
      </c>
      <c r="H3685" s="163">
        <v>4.91</v>
      </c>
      <c r="I3685" s="173"/>
      <c r="J3685" s="173">
        <v>264</v>
      </c>
      <c r="K3685" s="173">
        <v>264</v>
      </c>
      <c r="L3685" s="174"/>
      <c r="M3685" s="49"/>
      <c r="N3685" s="161"/>
      <c r="O3685" s="161"/>
      <c r="P3685" s="49"/>
      <c r="Q3685" s="166"/>
      <c r="R3685" s="151"/>
    </row>
    <row r="3686" spans="1:18">
      <c r="A3686" s="49" t="s">
        <v>89</v>
      </c>
      <c r="B3686" s="49" t="s">
        <v>1055</v>
      </c>
      <c r="C3686" s="135" t="s">
        <v>1047</v>
      </c>
      <c r="D3686" s="161" t="s">
        <v>1047</v>
      </c>
      <c r="E3686" s="161" t="s">
        <v>7839</v>
      </c>
      <c r="F3686" s="161" t="s">
        <v>7837</v>
      </c>
      <c r="G3686" s="163">
        <v>0</v>
      </c>
      <c r="H3686" s="163">
        <v>0</v>
      </c>
      <c r="I3686" s="173">
        <v>15.3</v>
      </c>
      <c r="J3686" s="173">
        <v>0</v>
      </c>
      <c r="K3686" s="173">
        <v>0</v>
      </c>
      <c r="L3686" s="174"/>
      <c r="M3686" s="49"/>
      <c r="N3686" s="161"/>
      <c r="O3686" s="161"/>
      <c r="P3686" s="49"/>
      <c r="Q3686" s="166"/>
      <c r="R3686" s="151"/>
    </row>
    <row r="3687" spans="1:18">
      <c r="A3687" s="49" t="s">
        <v>89</v>
      </c>
      <c r="B3687" s="49" t="s">
        <v>1055</v>
      </c>
      <c r="C3687" s="88" t="s">
        <v>7852</v>
      </c>
      <c r="D3687" s="161" t="s">
        <v>7853</v>
      </c>
      <c r="E3687" s="161" t="s">
        <v>7839</v>
      </c>
      <c r="F3687" s="161" t="s">
        <v>7837</v>
      </c>
      <c r="G3687" s="163">
        <v>9.7</v>
      </c>
      <c r="H3687" s="163">
        <f>G3687-G3686</f>
        <v>9.7</v>
      </c>
      <c r="I3687" s="173">
        <v>9.5</v>
      </c>
      <c r="J3687" s="173">
        <v>522</v>
      </c>
      <c r="K3687" s="173">
        <v>522</v>
      </c>
      <c r="L3687" s="174"/>
      <c r="M3687" s="49"/>
      <c r="N3687" s="161" t="s">
        <v>1299</v>
      </c>
      <c r="O3687" s="161" t="s">
        <v>25</v>
      </c>
      <c r="P3687" s="49" t="s">
        <v>25</v>
      </c>
      <c r="Q3687" s="166"/>
      <c r="R3687" s="151"/>
    </row>
    <row r="3688" spans="1:18">
      <c r="A3688" s="49" t="s">
        <v>89</v>
      </c>
      <c r="B3688" s="49" t="s">
        <v>1055</v>
      </c>
      <c r="C3688" s="88" t="s">
        <v>1056</v>
      </c>
      <c r="D3688" s="161" t="s">
        <v>1056</v>
      </c>
      <c r="E3688" s="161" t="s">
        <v>7839</v>
      </c>
      <c r="F3688" s="161" t="s">
        <v>7837</v>
      </c>
      <c r="G3688" s="163">
        <v>19.34</v>
      </c>
      <c r="H3688" s="163">
        <f>G3688-G3687</f>
        <v>9.64</v>
      </c>
      <c r="I3688" s="173">
        <v>10.2</v>
      </c>
      <c r="J3688" s="173">
        <v>519</v>
      </c>
      <c r="K3688" s="173">
        <v>1041</v>
      </c>
      <c r="L3688" s="174"/>
      <c r="M3688" s="49"/>
      <c r="N3688" s="161"/>
      <c r="O3688" s="161" t="s">
        <v>14</v>
      </c>
      <c r="P3688" s="49" t="s">
        <v>14</v>
      </c>
      <c r="Q3688" s="166"/>
      <c r="R3688" s="151"/>
    </row>
    <row r="3689" spans="1:18">
      <c r="A3689" s="49" t="s">
        <v>89</v>
      </c>
      <c r="B3689" s="49" t="s">
        <v>1057</v>
      </c>
      <c r="C3689" s="135" t="s">
        <v>1058</v>
      </c>
      <c r="D3689" s="161" t="s">
        <v>1058</v>
      </c>
      <c r="E3689" s="161" t="s">
        <v>7839</v>
      </c>
      <c r="F3689" s="161" t="s">
        <v>7837</v>
      </c>
      <c r="G3689" s="163">
        <v>0</v>
      </c>
      <c r="H3689" s="163">
        <v>0</v>
      </c>
      <c r="I3689" s="173">
        <v>0</v>
      </c>
      <c r="J3689" s="173">
        <v>0</v>
      </c>
      <c r="K3689" s="173">
        <v>0</v>
      </c>
      <c r="L3689" s="174"/>
      <c r="M3689" s="49"/>
      <c r="N3689" s="161"/>
      <c r="O3689" s="161"/>
      <c r="P3689" s="49"/>
      <c r="Q3689" s="166"/>
      <c r="R3689" s="151"/>
    </row>
    <row r="3690" spans="1:18">
      <c r="A3690" s="49" t="s">
        <v>89</v>
      </c>
      <c r="B3690" s="49" t="s">
        <v>1057</v>
      </c>
      <c r="C3690" s="135" t="s">
        <v>1056</v>
      </c>
      <c r="D3690" s="161" t="s">
        <v>1056</v>
      </c>
      <c r="E3690" s="161" t="s">
        <v>7839</v>
      </c>
      <c r="F3690" s="161" t="s">
        <v>7837</v>
      </c>
      <c r="G3690" s="163">
        <v>0.05</v>
      </c>
      <c r="H3690" s="163">
        <v>0.05</v>
      </c>
      <c r="I3690" s="173">
        <v>10.2</v>
      </c>
      <c r="J3690" s="173">
        <v>3</v>
      </c>
      <c r="K3690" s="173">
        <v>3</v>
      </c>
      <c r="L3690" s="174"/>
      <c r="M3690" s="49"/>
      <c r="N3690" s="161"/>
      <c r="O3690" s="161"/>
      <c r="P3690" s="49"/>
      <c r="Q3690" s="166"/>
      <c r="R3690" s="151"/>
    </row>
    <row r="3691" spans="1:18">
      <c r="A3691" s="49" t="s">
        <v>89</v>
      </c>
      <c r="B3691" s="49" t="s">
        <v>1059</v>
      </c>
      <c r="C3691" s="135" t="s">
        <v>1056</v>
      </c>
      <c r="D3691" s="161" t="s">
        <v>1056</v>
      </c>
      <c r="E3691" s="161" t="s">
        <v>7839</v>
      </c>
      <c r="F3691" s="161" t="s">
        <v>7837</v>
      </c>
      <c r="G3691" s="171">
        <v>0</v>
      </c>
      <c r="H3691" s="163">
        <v>0</v>
      </c>
      <c r="I3691" s="173">
        <v>10.2</v>
      </c>
      <c r="J3691" s="173">
        <v>0</v>
      </c>
      <c r="K3691" s="173">
        <v>0</v>
      </c>
      <c r="L3691" s="174"/>
      <c r="M3691" s="49"/>
      <c r="N3691" s="161"/>
      <c r="O3691" s="161"/>
      <c r="P3691" s="49"/>
      <c r="Q3691" s="166"/>
      <c r="R3691" s="151"/>
    </row>
    <row r="3692" spans="1:18">
      <c r="A3692" s="49" t="s">
        <v>89</v>
      </c>
      <c r="B3692" s="49" t="s">
        <v>1059</v>
      </c>
      <c r="C3692" s="88" t="s">
        <v>7854</v>
      </c>
      <c r="D3692" s="161" t="s">
        <v>7855</v>
      </c>
      <c r="E3692" s="161" t="s">
        <v>7839</v>
      </c>
      <c r="F3692" s="161" t="s">
        <v>7837</v>
      </c>
      <c r="G3692" s="171">
        <v>6.37</v>
      </c>
      <c r="H3692" s="163">
        <f>G3692-G3691</f>
        <v>6.37</v>
      </c>
      <c r="I3692" s="173">
        <v>10.2</v>
      </c>
      <c r="J3692" s="173">
        <v>756</v>
      </c>
      <c r="K3692" s="173">
        <v>756.278612579992</v>
      </c>
      <c r="L3692" s="174"/>
      <c r="M3692" s="49"/>
      <c r="N3692" s="161" t="s">
        <v>1299</v>
      </c>
      <c r="O3692" s="161" t="s">
        <v>25</v>
      </c>
      <c r="P3692" s="49" t="s">
        <v>25</v>
      </c>
      <c r="Q3692" s="166"/>
      <c r="R3692" s="151"/>
    </row>
    <row r="3693" spans="1:18">
      <c r="A3693" s="49" t="s">
        <v>89</v>
      </c>
      <c r="B3693" s="49" t="s">
        <v>1059</v>
      </c>
      <c r="C3693" s="88" t="s">
        <v>7856</v>
      </c>
      <c r="D3693" s="161" t="s">
        <v>7857</v>
      </c>
      <c r="E3693" s="161" t="s">
        <v>7839</v>
      </c>
      <c r="F3693" s="161" t="s">
        <v>7837</v>
      </c>
      <c r="G3693" s="171">
        <v>13.27</v>
      </c>
      <c r="H3693" s="163">
        <f>G3693-G3692</f>
        <v>6.9</v>
      </c>
      <c r="I3693" s="173">
        <v>11.5</v>
      </c>
      <c r="J3693" s="173">
        <v>819</v>
      </c>
      <c r="K3693" s="173">
        <f t="shared" ref="K3693:K3702" si="270">J3693+K3692</f>
        <v>1575.27861257999</v>
      </c>
      <c r="L3693" s="174"/>
      <c r="M3693" s="49"/>
      <c r="N3693" s="161" t="s">
        <v>1299</v>
      </c>
      <c r="O3693" s="161" t="s">
        <v>25</v>
      </c>
      <c r="P3693" s="49" t="s">
        <v>25</v>
      </c>
      <c r="Q3693" s="166"/>
      <c r="R3693" s="151"/>
    </row>
    <row r="3694" spans="1:18">
      <c r="A3694" s="49" t="s">
        <v>89</v>
      </c>
      <c r="B3694" s="49" t="s">
        <v>1059</v>
      </c>
      <c r="C3694" s="88" t="s">
        <v>1060</v>
      </c>
      <c r="D3694" s="161" t="s">
        <v>1060</v>
      </c>
      <c r="E3694" s="161" t="s">
        <v>7839</v>
      </c>
      <c r="F3694" s="161" t="s">
        <v>7837</v>
      </c>
      <c r="G3694" s="171">
        <v>20.67</v>
      </c>
      <c r="H3694" s="163">
        <f>G3694-G3693</f>
        <v>7.4</v>
      </c>
      <c r="I3694" s="173">
        <v>10.7</v>
      </c>
      <c r="J3694" s="173">
        <v>879</v>
      </c>
      <c r="K3694" s="173">
        <f t="shared" si="270"/>
        <v>2454.27861257999</v>
      </c>
      <c r="L3694" s="174"/>
      <c r="M3694" s="49"/>
      <c r="N3694" s="161"/>
      <c r="O3694" s="161" t="s">
        <v>14</v>
      </c>
      <c r="P3694" s="49" t="s">
        <v>14</v>
      </c>
      <c r="Q3694" s="166"/>
      <c r="R3694" s="151"/>
    </row>
    <row r="3695" spans="1:18">
      <c r="A3695" s="49" t="s">
        <v>89</v>
      </c>
      <c r="B3695" s="49" t="s">
        <v>1061</v>
      </c>
      <c r="C3695" s="88" t="s">
        <v>1062</v>
      </c>
      <c r="D3695" s="161" t="s">
        <v>1062</v>
      </c>
      <c r="E3695" s="161" t="s">
        <v>7839</v>
      </c>
      <c r="F3695" s="161" t="s">
        <v>7837</v>
      </c>
      <c r="G3695" s="171">
        <v>0</v>
      </c>
      <c r="H3695" s="163">
        <v>0</v>
      </c>
      <c r="I3695" s="173">
        <v>0</v>
      </c>
      <c r="J3695" s="173">
        <v>0</v>
      </c>
      <c r="K3695" s="173">
        <v>0</v>
      </c>
      <c r="L3695" s="174"/>
      <c r="M3695" s="49"/>
      <c r="N3695" s="161"/>
      <c r="O3695" s="161" t="s">
        <v>15</v>
      </c>
      <c r="P3695" s="49" t="s">
        <v>15</v>
      </c>
      <c r="Q3695" s="166"/>
      <c r="R3695" s="151"/>
    </row>
    <row r="3696" spans="1:18">
      <c r="A3696" s="49" t="s">
        <v>89</v>
      </c>
      <c r="B3696" s="49" t="s">
        <v>1061</v>
      </c>
      <c r="C3696" s="88" t="s">
        <v>7858</v>
      </c>
      <c r="D3696" s="161" t="s">
        <v>7859</v>
      </c>
      <c r="E3696" s="161" t="s">
        <v>7839</v>
      </c>
      <c r="F3696" s="161" t="s">
        <v>7837</v>
      </c>
      <c r="G3696" s="171">
        <v>8.4618</v>
      </c>
      <c r="H3696" s="163">
        <f>G3696-G3695</f>
        <v>8.4618</v>
      </c>
      <c r="I3696" s="173">
        <v>8.2</v>
      </c>
      <c r="J3696" s="173">
        <v>4138</v>
      </c>
      <c r="K3696" s="173">
        <f t="shared" si="270"/>
        <v>4138</v>
      </c>
      <c r="L3696" s="174"/>
      <c r="M3696" s="49"/>
      <c r="N3696" s="161" t="s">
        <v>1299</v>
      </c>
      <c r="O3696" s="161" t="s">
        <v>25</v>
      </c>
      <c r="P3696" s="49" t="s">
        <v>25</v>
      </c>
      <c r="Q3696" s="166"/>
      <c r="R3696" s="151"/>
    </row>
    <row r="3697" spans="1:18">
      <c r="A3697" s="49" t="s">
        <v>89</v>
      </c>
      <c r="B3697" s="49" t="s">
        <v>1061</v>
      </c>
      <c r="C3697" s="88" t="s">
        <v>7860</v>
      </c>
      <c r="D3697" s="161" t="s">
        <v>1065</v>
      </c>
      <c r="E3697" s="161" t="s">
        <v>7839</v>
      </c>
      <c r="F3697" s="161" t="s">
        <v>7837</v>
      </c>
      <c r="G3697" s="171">
        <v>21.8415</v>
      </c>
      <c r="H3697" s="163">
        <f t="shared" ref="H3697:H3703" si="271">G3697-G3696</f>
        <v>13.3797</v>
      </c>
      <c r="I3697" s="173">
        <v>9.5</v>
      </c>
      <c r="J3697" s="173">
        <v>6545</v>
      </c>
      <c r="K3697" s="173">
        <f t="shared" si="270"/>
        <v>10683</v>
      </c>
      <c r="L3697" s="174"/>
      <c r="M3697" s="49"/>
      <c r="N3697" s="161"/>
      <c r="O3697" s="161" t="s">
        <v>14</v>
      </c>
      <c r="P3697" s="49" t="s">
        <v>14</v>
      </c>
      <c r="Q3697" s="166"/>
      <c r="R3697" s="151"/>
    </row>
    <row r="3698" spans="1:18">
      <c r="A3698" s="49" t="s">
        <v>89</v>
      </c>
      <c r="B3698" s="49" t="s">
        <v>1061</v>
      </c>
      <c r="C3698" s="88" t="s">
        <v>7861</v>
      </c>
      <c r="D3698" s="161" t="s">
        <v>7862</v>
      </c>
      <c r="E3698" s="161" t="s">
        <v>7839</v>
      </c>
      <c r="F3698" s="161" t="s">
        <v>7837</v>
      </c>
      <c r="G3698" s="171">
        <v>33.4958</v>
      </c>
      <c r="H3698" s="163">
        <f t="shared" si="271"/>
        <v>11.6543</v>
      </c>
      <c r="I3698" s="173">
        <v>11.5</v>
      </c>
      <c r="J3698" s="173">
        <v>5699</v>
      </c>
      <c r="K3698" s="173">
        <f t="shared" si="270"/>
        <v>16382</v>
      </c>
      <c r="L3698" s="174"/>
      <c r="M3698" s="49"/>
      <c r="N3698" s="161" t="s">
        <v>1299</v>
      </c>
      <c r="O3698" s="161" t="s">
        <v>25</v>
      </c>
      <c r="P3698" s="49" t="s">
        <v>25</v>
      </c>
      <c r="Q3698" s="166"/>
      <c r="R3698" s="151"/>
    </row>
    <row r="3699" spans="1:18">
      <c r="A3699" s="49" t="s">
        <v>89</v>
      </c>
      <c r="B3699" s="49" t="s">
        <v>1061</v>
      </c>
      <c r="C3699" s="88" t="s">
        <v>1067</v>
      </c>
      <c r="D3699" s="161" t="s">
        <v>1067</v>
      </c>
      <c r="E3699" s="161" t="s">
        <v>7839</v>
      </c>
      <c r="F3699" s="161" t="s">
        <v>7837</v>
      </c>
      <c r="G3699" s="171">
        <v>40.261</v>
      </c>
      <c r="H3699" s="163">
        <f t="shared" si="271"/>
        <v>6.7652</v>
      </c>
      <c r="I3699" s="173">
        <v>12.8</v>
      </c>
      <c r="J3699" s="173">
        <v>3312</v>
      </c>
      <c r="K3699" s="173">
        <f t="shared" si="270"/>
        <v>19694</v>
      </c>
      <c r="L3699" s="174"/>
      <c r="M3699" s="49"/>
      <c r="N3699" s="161"/>
      <c r="O3699" s="161" t="s">
        <v>14</v>
      </c>
      <c r="P3699" s="49" t="s">
        <v>14</v>
      </c>
      <c r="Q3699" s="166"/>
      <c r="R3699" s="151"/>
    </row>
    <row r="3700" spans="1:18">
      <c r="A3700" s="49" t="s">
        <v>89</v>
      </c>
      <c r="B3700" s="49" t="s">
        <v>1061</v>
      </c>
      <c r="C3700" s="88" t="s">
        <v>7863</v>
      </c>
      <c r="D3700" s="161" t="s">
        <v>7864</v>
      </c>
      <c r="E3700" s="161" t="s">
        <v>7839</v>
      </c>
      <c r="F3700" s="161" t="s">
        <v>7837</v>
      </c>
      <c r="G3700" s="171">
        <v>49.3919</v>
      </c>
      <c r="H3700" s="163">
        <f t="shared" si="271"/>
        <v>9.1309</v>
      </c>
      <c r="I3700" s="173">
        <v>10.9</v>
      </c>
      <c r="J3700" s="173">
        <v>4466</v>
      </c>
      <c r="K3700" s="173">
        <f t="shared" si="270"/>
        <v>24160</v>
      </c>
      <c r="L3700" s="174"/>
      <c r="M3700" s="49"/>
      <c r="N3700" s="161" t="s">
        <v>1299</v>
      </c>
      <c r="O3700" s="161" t="s">
        <v>25</v>
      </c>
      <c r="P3700" s="49" t="s">
        <v>25</v>
      </c>
      <c r="Q3700" s="166"/>
      <c r="R3700" s="151"/>
    </row>
    <row r="3701" spans="1:18">
      <c r="A3701" s="49" t="s">
        <v>89</v>
      </c>
      <c r="B3701" s="49" t="s">
        <v>1061</v>
      </c>
      <c r="C3701" s="88" t="s">
        <v>7865</v>
      </c>
      <c r="D3701" s="161" t="s">
        <v>7866</v>
      </c>
      <c r="E3701" s="161" t="s">
        <v>7839</v>
      </c>
      <c r="F3701" s="161" t="s">
        <v>7837</v>
      </c>
      <c r="G3701" s="171">
        <v>56.7394</v>
      </c>
      <c r="H3701" s="163">
        <f t="shared" si="271"/>
        <v>7.3475</v>
      </c>
      <c r="I3701" s="173">
        <v>12.3</v>
      </c>
      <c r="J3701" s="173">
        <v>3595</v>
      </c>
      <c r="K3701" s="173">
        <f t="shared" si="270"/>
        <v>27755</v>
      </c>
      <c r="L3701" s="174"/>
      <c r="M3701" s="49"/>
      <c r="N3701" s="161" t="s">
        <v>1299</v>
      </c>
      <c r="O3701" s="161" t="s">
        <v>25</v>
      </c>
      <c r="P3701" s="49" t="s">
        <v>25</v>
      </c>
      <c r="Q3701" s="166"/>
      <c r="R3701" s="151"/>
    </row>
    <row r="3702" spans="1:18">
      <c r="A3702" s="49" t="s">
        <v>89</v>
      </c>
      <c r="B3702" s="49" t="s">
        <v>1061</v>
      </c>
      <c r="C3702" s="88" t="s">
        <v>7867</v>
      </c>
      <c r="D3702" s="161" t="s">
        <v>7868</v>
      </c>
      <c r="E3702" s="161" t="s">
        <v>7839</v>
      </c>
      <c r="F3702" s="161" t="s">
        <v>7837</v>
      </c>
      <c r="G3702" s="171">
        <v>72.2054</v>
      </c>
      <c r="H3702" s="163">
        <f t="shared" si="271"/>
        <v>15.466</v>
      </c>
      <c r="I3702" s="173">
        <v>14.5</v>
      </c>
      <c r="J3702" s="173">
        <v>7568</v>
      </c>
      <c r="K3702" s="173">
        <f t="shared" si="270"/>
        <v>35323</v>
      </c>
      <c r="L3702" s="174"/>
      <c r="M3702" s="49"/>
      <c r="N3702" s="161"/>
      <c r="O3702" s="161" t="s">
        <v>25</v>
      </c>
      <c r="P3702" s="49" t="s">
        <v>25</v>
      </c>
      <c r="Q3702" s="166"/>
      <c r="R3702" s="151"/>
    </row>
    <row r="3703" spans="1:18">
      <c r="A3703" s="49" t="s">
        <v>89</v>
      </c>
      <c r="B3703" s="49" t="s">
        <v>1061</v>
      </c>
      <c r="C3703" s="88" t="s">
        <v>7869</v>
      </c>
      <c r="D3703" s="161" t="s">
        <v>7869</v>
      </c>
      <c r="E3703" s="161" t="s">
        <v>7839</v>
      </c>
      <c r="F3703" s="161" t="s">
        <v>7837</v>
      </c>
      <c r="G3703" s="171">
        <v>72.2054</v>
      </c>
      <c r="H3703" s="163">
        <f t="shared" si="271"/>
        <v>0</v>
      </c>
      <c r="I3703" s="173"/>
      <c r="J3703" s="173"/>
      <c r="K3703" s="173"/>
      <c r="L3703" s="174"/>
      <c r="M3703" s="49"/>
      <c r="N3703" s="161"/>
      <c r="O3703" s="161" t="s">
        <v>14</v>
      </c>
      <c r="P3703" s="49" t="s">
        <v>14</v>
      </c>
      <c r="Q3703" s="166"/>
      <c r="R3703" s="151"/>
    </row>
    <row r="3704" spans="1:18">
      <c r="A3704" s="49" t="s">
        <v>89</v>
      </c>
      <c r="B3704" s="49" t="s">
        <v>1061</v>
      </c>
      <c r="C3704" s="135" t="s">
        <v>1063</v>
      </c>
      <c r="D3704" s="161" t="s">
        <v>1063</v>
      </c>
      <c r="E3704" s="161" t="s">
        <v>7839</v>
      </c>
      <c r="F3704" s="161" t="s">
        <v>7845</v>
      </c>
      <c r="G3704" s="171">
        <v>85.2288</v>
      </c>
      <c r="H3704" s="163">
        <f>G3704-G3702</f>
        <v>13.0234</v>
      </c>
      <c r="I3704" s="173">
        <v>10.1</v>
      </c>
      <c r="J3704" s="173">
        <v>6369</v>
      </c>
      <c r="K3704" s="173">
        <f>J3704+K3702</f>
        <v>41692</v>
      </c>
      <c r="L3704" s="174"/>
      <c r="M3704" s="49"/>
      <c r="N3704" s="161"/>
      <c r="O3704" s="161"/>
      <c r="P3704" s="49"/>
      <c r="Q3704" s="166"/>
      <c r="R3704" s="151"/>
    </row>
    <row r="3705" spans="1:18">
      <c r="A3705" s="49" t="s">
        <v>89</v>
      </c>
      <c r="B3705" s="49" t="s">
        <v>1064</v>
      </c>
      <c r="C3705" s="135" t="s">
        <v>1065</v>
      </c>
      <c r="D3705" s="161" t="s">
        <v>1065</v>
      </c>
      <c r="E3705" s="161" t="s">
        <v>7839</v>
      </c>
      <c r="F3705" s="161" t="s">
        <v>7837</v>
      </c>
      <c r="G3705" s="163">
        <v>0</v>
      </c>
      <c r="H3705" s="163">
        <v>0</v>
      </c>
      <c r="I3705" s="173"/>
      <c r="J3705" s="173">
        <v>0</v>
      </c>
      <c r="K3705" s="173">
        <v>0</v>
      </c>
      <c r="L3705" s="174"/>
      <c r="M3705" s="49"/>
      <c r="N3705" s="161"/>
      <c r="O3705" s="161"/>
      <c r="P3705" s="49"/>
      <c r="Q3705" s="166"/>
      <c r="R3705" s="151"/>
    </row>
    <row r="3706" spans="1:18">
      <c r="A3706" s="49" t="s">
        <v>89</v>
      </c>
      <c r="B3706" s="49" t="s">
        <v>1064</v>
      </c>
      <c r="C3706" s="135" t="s">
        <v>1062</v>
      </c>
      <c r="D3706" s="161" t="s">
        <v>1062</v>
      </c>
      <c r="E3706" s="161" t="s">
        <v>7839</v>
      </c>
      <c r="F3706" s="161" t="s">
        <v>7837</v>
      </c>
      <c r="G3706" s="163">
        <v>0.6</v>
      </c>
      <c r="H3706" s="163">
        <v>0.6</v>
      </c>
      <c r="I3706" s="173">
        <v>0</v>
      </c>
      <c r="J3706" s="173">
        <v>191</v>
      </c>
      <c r="K3706" s="173">
        <v>191</v>
      </c>
      <c r="L3706" s="174"/>
      <c r="M3706" s="49"/>
      <c r="N3706" s="161"/>
      <c r="O3706" s="161"/>
      <c r="P3706" s="49"/>
      <c r="Q3706" s="166"/>
      <c r="R3706" s="151"/>
    </row>
    <row r="3707" spans="1:18">
      <c r="A3707" s="49" t="s">
        <v>89</v>
      </c>
      <c r="B3707" s="49" t="s">
        <v>1066</v>
      </c>
      <c r="C3707" s="135" t="s">
        <v>1067</v>
      </c>
      <c r="D3707" s="161" t="s">
        <v>1067</v>
      </c>
      <c r="E3707" s="161" t="s">
        <v>7839</v>
      </c>
      <c r="F3707" s="161" t="s">
        <v>7837</v>
      </c>
      <c r="G3707" s="163">
        <v>0</v>
      </c>
      <c r="H3707" s="163">
        <v>0</v>
      </c>
      <c r="I3707" s="173">
        <v>12.8</v>
      </c>
      <c r="J3707" s="173">
        <v>0</v>
      </c>
      <c r="K3707" s="173">
        <v>0</v>
      </c>
      <c r="L3707" s="174"/>
      <c r="M3707" s="49"/>
      <c r="N3707" s="161"/>
      <c r="O3707" s="161"/>
      <c r="P3707" s="49"/>
      <c r="Q3707" s="166"/>
      <c r="R3707" s="151"/>
    </row>
    <row r="3708" spans="1:18">
      <c r="A3708" s="49" t="s">
        <v>89</v>
      </c>
      <c r="B3708" s="49" t="s">
        <v>1066</v>
      </c>
      <c r="C3708" s="88" t="s">
        <v>7870</v>
      </c>
      <c r="D3708" s="161" t="s">
        <v>7871</v>
      </c>
      <c r="E3708" s="161" t="s">
        <v>7839</v>
      </c>
      <c r="F3708" s="161" t="s">
        <v>7837</v>
      </c>
      <c r="G3708" s="163">
        <v>5.82</v>
      </c>
      <c r="H3708" s="163">
        <f>G3708-G3707</f>
        <v>5.82</v>
      </c>
      <c r="I3708" s="173"/>
      <c r="J3708" s="173">
        <v>1849</v>
      </c>
      <c r="K3708" s="173">
        <f t="shared" ref="K3708:K3712" si="272">J3708+K3707</f>
        <v>1849</v>
      </c>
      <c r="L3708" s="174"/>
      <c r="M3708" s="49"/>
      <c r="N3708" s="161" t="s">
        <v>1299</v>
      </c>
      <c r="O3708" s="161" t="s">
        <v>25</v>
      </c>
      <c r="P3708" s="49" t="s">
        <v>25</v>
      </c>
      <c r="Q3708" s="166"/>
      <c r="R3708" s="151"/>
    </row>
    <row r="3709" spans="1:18">
      <c r="A3709" s="49" t="s">
        <v>89</v>
      </c>
      <c r="B3709" s="49" t="s">
        <v>1066</v>
      </c>
      <c r="C3709" s="88" t="s">
        <v>7872</v>
      </c>
      <c r="D3709" s="161" t="s">
        <v>7873</v>
      </c>
      <c r="E3709" s="161" t="s">
        <v>7839</v>
      </c>
      <c r="F3709" s="161" t="s">
        <v>7837</v>
      </c>
      <c r="G3709" s="163">
        <v>13.86</v>
      </c>
      <c r="H3709" s="163">
        <f>G3709-G3708</f>
        <v>8.04</v>
      </c>
      <c r="I3709" s="173">
        <v>6</v>
      </c>
      <c r="J3709" s="173">
        <v>2554</v>
      </c>
      <c r="K3709" s="173">
        <f t="shared" si="272"/>
        <v>4403</v>
      </c>
      <c r="L3709" s="174"/>
      <c r="M3709" s="49"/>
      <c r="N3709" s="161" t="s">
        <v>1299</v>
      </c>
      <c r="O3709" s="161" t="s">
        <v>25</v>
      </c>
      <c r="P3709" s="49" t="s">
        <v>25</v>
      </c>
      <c r="Q3709" s="166"/>
      <c r="R3709" s="151"/>
    </row>
    <row r="3710" spans="1:18">
      <c r="A3710" s="49" t="s">
        <v>89</v>
      </c>
      <c r="B3710" s="49" t="s">
        <v>1066</v>
      </c>
      <c r="C3710" s="88" t="s">
        <v>7874</v>
      </c>
      <c r="D3710" s="161" t="s">
        <v>7875</v>
      </c>
      <c r="E3710" s="161" t="s">
        <v>7839</v>
      </c>
      <c r="F3710" s="161" t="s">
        <v>7837</v>
      </c>
      <c r="G3710" s="163">
        <v>19.88</v>
      </c>
      <c r="H3710" s="163">
        <f>G3710-G3709</f>
        <v>6.02</v>
      </c>
      <c r="I3710" s="173">
        <v>8</v>
      </c>
      <c r="J3710" s="173">
        <v>1912</v>
      </c>
      <c r="K3710" s="173">
        <f t="shared" si="272"/>
        <v>6315</v>
      </c>
      <c r="L3710" s="174"/>
      <c r="M3710" s="49"/>
      <c r="N3710" s="161" t="s">
        <v>1299</v>
      </c>
      <c r="O3710" s="161" t="s">
        <v>25</v>
      </c>
      <c r="P3710" s="49" t="s">
        <v>25</v>
      </c>
      <c r="Q3710" s="166"/>
      <c r="R3710" s="151"/>
    </row>
    <row r="3711" spans="1:18">
      <c r="A3711" s="49" t="s">
        <v>89</v>
      </c>
      <c r="B3711" s="49" t="s">
        <v>1066</v>
      </c>
      <c r="C3711" s="88" t="s">
        <v>7876</v>
      </c>
      <c r="D3711" s="161" t="s">
        <v>7877</v>
      </c>
      <c r="E3711" s="161" t="s">
        <v>7839</v>
      </c>
      <c r="F3711" s="161" t="s">
        <v>7837</v>
      </c>
      <c r="G3711" s="163">
        <v>26.9</v>
      </c>
      <c r="H3711" s="163">
        <f>G3711-G3710</f>
        <v>7.02</v>
      </c>
      <c r="I3711" s="173">
        <v>6</v>
      </c>
      <c r="J3711" s="173">
        <v>2230</v>
      </c>
      <c r="K3711" s="173">
        <f t="shared" si="272"/>
        <v>8545</v>
      </c>
      <c r="L3711" s="174"/>
      <c r="M3711" s="49"/>
      <c r="N3711" s="161" t="s">
        <v>1299</v>
      </c>
      <c r="O3711" s="161" t="s">
        <v>25</v>
      </c>
      <c r="P3711" s="49" t="s">
        <v>25</v>
      </c>
      <c r="Q3711" s="166"/>
      <c r="R3711" s="151"/>
    </row>
    <row r="3712" spans="1:18">
      <c r="A3712" s="49" t="s">
        <v>89</v>
      </c>
      <c r="B3712" s="49" t="s">
        <v>1066</v>
      </c>
      <c r="C3712" s="88" t="s">
        <v>7878</v>
      </c>
      <c r="D3712" s="161" t="s">
        <v>7878</v>
      </c>
      <c r="E3712" s="161" t="s">
        <v>7839</v>
      </c>
      <c r="F3712" s="161" t="s">
        <v>7837</v>
      </c>
      <c r="G3712" s="163">
        <v>34</v>
      </c>
      <c r="H3712" s="163">
        <f>G3712-G3711</f>
        <v>7.1</v>
      </c>
      <c r="I3712" s="173">
        <v>5</v>
      </c>
      <c r="J3712" s="173">
        <v>2256</v>
      </c>
      <c r="K3712" s="173">
        <f t="shared" si="272"/>
        <v>10801</v>
      </c>
      <c r="L3712" s="174"/>
      <c r="M3712" s="49"/>
      <c r="N3712" s="161"/>
      <c r="O3712" s="161" t="s">
        <v>14</v>
      </c>
      <c r="P3712" s="49" t="s">
        <v>14</v>
      </c>
      <c r="Q3712" s="166"/>
      <c r="R3712" s="151"/>
    </row>
    <row r="3713" spans="1:18">
      <c r="A3713" s="49" t="s">
        <v>89</v>
      </c>
      <c r="B3713" s="49" t="s">
        <v>1069</v>
      </c>
      <c r="C3713" s="135" t="s">
        <v>1067</v>
      </c>
      <c r="D3713" s="161" t="s">
        <v>1067</v>
      </c>
      <c r="E3713" s="161" t="s">
        <v>7839</v>
      </c>
      <c r="F3713" s="161" t="s">
        <v>7837</v>
      </c>
      <c r="G3713" s="163">
        <v>0</v>
      </c>
      <c r="H3713" s="163">
        <v>0</v>
      </c>
      <c r="I3713" s="173">
        <v>12.8</v>
      </c>
      <c r="J3713" s="173">
        <v>0</v>
      </c>
      <c r="K3713" s="173">
        <v>0</v>
      </c>
      <c r="L3713" s="174"/>
      <c r="M3713" s="49"/>
      <c r="N3713" s="161"/>
      <c r="O3713" s="161"/>
      <c r="P3713" s="49"/>
      <c r="Q3713" s="166"/>
      <c r="R3713" s="151"/>
    </row>
    <row r="3714" spans="1:18">
      <c r="A3714" s="49" t="s">
        <v>89</v>
      </c>
      <c r="B3714" s="49" t="s">
        <v>1069</v>
      </c>
      <c r="C3714" s="88" t="s">
        <v>7879</v>
      </c>
      <c r="D3714" s="161" t="s">
        <v>7880</v>
      </c>
      <c r="E3714" s="161" t="s">
        <v>7839</v>
      </c>
      <c r="F3714" s="161" t="s">
        <v>7837</v>
      </c>
      <c r="G3714" s="163">
        <v>5.3</v>
      </c>
      <c r="H3714" s="163">
        <f>G3714-G3713</f>
        <v>5.3</v>
      </c>
      <c r="I3714" s="173">
        <v>3.65</v>
      </c>
      <c r="J3714" s="173">
        <v>2561</v>
      </c>
      <c r="K3714" s="173">
        <f t="shared" ref="K3714:K3717" si="273">J3714+K3713</f>
        <v>2561</v>
      </c>
      <c r="L3714" s="174"/>
      <c r="M3714" s="49"/>
      <c r="N3714" s="161" t="s">
        <v>1299</v>
      </c>
      <c r="O3714" s="161" t="s">
        <v>25</v>
      </c>
      <c r="P3714" s="49" t="s">
        <v>25</v>
      </c>
      <c r="Q3714" s="166"/>
      <c r="R3714" s="151"/>
    </row>
    <row r="3715" spans="1:18">
      <c r="A3715" s="49" t="s">
        <v>89</v>
      </c>
      <c r="B3715" s="49" t="s">
        <v>1069</v>
      </c>
      <c r="C3715" s="88" t="s">
        <v>7881</v>
      </c>
      <c r="D3715" s="161" t="s">
        <v>7881</v>
      </c>
      <c r="E3715" s="161" t="s">
        <v>7839</v>
      </c>
      <c r="F3715" s="161" t="s">
        <v>7837</v>
      </c>
      <c r="G3715" s="163">
        <v>15.3</v>
      </c>
      <c r="H3715" s="163">
        <f>G3715-G3714</f>
        <v>10</v>
      </c>
      <c r="I3715" s="173">
        <v>3.53</v>
      </c>
      <c r="J3715" s="173">
        <v>4832</v>
      </c>
      <c r="K3715" s="173">
        <f t="shared" si="273"/>
        <v>7393</v>
      </c>
      <c r="L3715" s="174"/>
      <c r="M3715" s="49"/>
      <c r="N3715" s="161"/>
      <c r="O3715" s="161" t="s">
        <v>15</v>
      </c>
      <c r="P3715" s="49" t="s">
        <v>15</v>
      </c>
      <c r="Q3715" s="166"/>
      <c r="R3715" s="151"/>
    </row>
    <row r="3716" spans="1:18">
      <c r="A3716" s="49" t="s">
        <v>89</v>
      </c>
      <c r="B3716" s="49" t="s">
        <v>1069</v>
      </c>
      <c r="C3716" s="88" t="s">
        <v>7882</v>
      </c>
      <c r="D3716" s="161" t="s">
        <v>7883</v>
      </c>
      <c r="E3716" s="161" t="s">
        <v>7839</v>
      </c>
      <c r="F3716" s="161" t="s">
        <v>7837</v>
      </c>
      <c r="G3716" s="163">
        <v>24.1</v>
      </c>
      <c r="H3716" s="163">
        <f>G3716-G3715</f>
        <v>8.8</v>
      </c>
      <c r="I3716" s="173">
        <v>3.8</v>
      </c>
      <c r="J3716" s="173">
        <v>4253</v>
      </c>
      <c r="K3716" s="173">
        <f t="shared" si="273"/>
        <v>11646</v>
      </c>
      <c r="L3716" s="174"/>
      <c r="M3716" s="49"/>
      <c r="N3716" s="161" t="s">
        <v>1299</v>
      </c>
      <c r="O3716" s="161" t="s">
        <v>25</v>
      </c>
      <c r="P3716" s="49" t="s">
        <v>25</v>
      </c>
      <c r="Q3716" s="166"/>
      <c r="R3716" s="151"/>
    </row>
    <row r="3717" spans="1:18">
      <c r="A3717" s="49" t="s">
        <v>89</v>
      </c>
      <c r="B3717" s="49" t="s">
        <v>1069</v>
      </c>
      <c r="C3717" s="88" t="s">
        <v>7884</v>
      </c>
      <c r="D3717" s="161" t="s">
        <v>7884</v>
      </c>
      <c r="E3717" s="161" t="s">
        <v>7839</v>
      </c>
      <c r="F3717" s="161" t="s">
        <v>7837</v>
      </c>
      <c r="G3717" s="163">
        <v>34.6</v>
      </c>
      <c r="H3717" s="163">
        <f>G3717-G3716</f>
        <v>10.5</v>
      </c>
      <c r="I3717" s="173">
        <v>3.55</v>
      </c>
      <c r="J3717" s="173">
        <v>5074</v>
      </c>
      <c r="K3717" s="173">
        <f t="shared" si="273"/>
        <v>16720</v>
      </c>
      <c r="L3717" s="174"/>
      <c r="M3717" s="49"/>
      <c r="N3717" s="161"/>
      <c r="O3717" s="161" t="s">
        <v>14</v>
      </c>
      <c r="P3717" s="49" t="s">
        <v>14</v>
      </c>
      <c r="Q3717" s="166"/>
      <c r="R3717" s="151"/>
    </row>
    <row r="3718" spans="1:18">
      <c r="A3718" s="49" t="s">
        <v>89</v>
      </c>
      <c r="B3718" s="49" t="s">
        <v>1069</v>
      </c>
      <c r="C3718" s="88" t="s">
        <v>7885</v>
      </c>
      <c r="D3718" s="161" t="s">
        <v>7886</v>
      </c>
      <c r="E3718" s="161" t="s">
        <v>7839</v>
      </c>
      <c r="F3718" s="161" t="s">
        <v>7837</v>
      </c>
      <c r="G3718" s="163">
        <v>42.15</v>
      </c>
      <c r="H3718" s="163">
        <v>7.55</v>
      </c>
      <c r="I3718" s="173">
        <v>2.3</v>
      </c>
      <c r="J3718" s="173">
        <v>3682</v>
      </c>
      <c r="K3718" s="173">
        <v>20556</v>
      </c>
      <c r="L3718" s="174"/>
      <c r="M3718" s="49"/>
      <c r="N3718" s="161" t="s">
        <v>1299</v>
      </c>
      <c r="O3718" s="161" t="s">
        <v>25</v>
      </c>
      <c r="P3718" s="49" t="s">
        <v>25</v>
      </c>
      <c r="Q3718" s="166"/>
      <c r="R3718" s="151"/>
    </row>
    <row r="3719" spans="1:18">
      <c r="A3719" s="49" t="s">
        <v>89</v>
      </c>
      <c r="B3719" s="49" t="s">
        <v>1069</v>
      </c>
      <c r="C3719" s="88" t="s">
        <v>7887</v>
      </c>
      <c r="D3719" s="161" t="s">
        <v>7887</v>
      </c>
      <c r="E3719" s="161" t="s">
        <v>7839</v>
      </c>
      <c r="F3719" s="161" t="s">
        <v>7837</v>
      </c>
      <c r="G3719" s="163">
        <v>49.18</v>
      </c>
      <c r="H3719" s="163">
        <v>7.03</v>
      </c>
      <c r="I3719" s="173">
        <v>2.5</v>
      </c>
      <c r="J3719" s="173">
        <v>3428</v>
      </c>
      <c r="K3719" s="173">
        <v>23985</v>
      </c>
      <c r="L3719" s="174"/>
      <c r="M3719" s="49"/>
      <c r="N3719" s="161"/>
      <c r="O3719" s="161"/>
      <c r="P3719" s="49" t="s">
        <v>14</v>
      </c>
      <c r="Q3719" s="166"/>
      <c r="R3719" s="151"/>
    </row>
    <row r="3720" spans="1:18">
      <c r="A3720" s="49" t="s">
        <v>89</v>
      </c>
      <c r="B3720" s="49" t="s">
        <v>1069</v>
      </c>
      <c r="C3720" s="88" t="s">
        <v>7888</v>
      </c>
      <c r="D3720" s="161" t="s">
        <v>7889</v>
      </c>
      <c r="E3720" s="161" t="s">
        <v>7839</v>
      </c>
      <c r="F3720" s="161" t="s">
        <v>7837</v>
      </c>
      <c r="G3720" s="163">
        <v>57.89</v>
      </c>
      <c r="H3720" s="163">
        <v>8.71</v>
      </c>
      <c r="I3720" s="173">
        <v>2.4</v>
      </c>
      <c r="J3720" s="173">
        <v>4248</v>
      </c>
      <c r="K3720" s="173">
        <v>28232</v>
      </c>
      <c r="L3720" s="174"/>
      <c r="M3720" s="49"/>
      <c r="N3720" s="161" t="s">
        <v>1299</v>
      </c>
      <c r="O3720" s="161" t="s">
        <v>25</v>
      </c>
      <c r="P3720" s="49" t="s">
        <v>25</v>
      </c>
      <c r="Q3720" s="166"/>
      <c r="R3720" s="151"/>
    </row>
    <row r="3721" spans="1:18">
      <c r="A3721" s="49" t="s">
        <v>89</v>
      </c>
      <c r="B3721" s="49" t="s">
        <v>1069</v>
      </c>
      <c r="C3721" s="88" t="s">
        <v>7890</v>
      </c>
      <c r="D3721" s="161" t="s">
        <v>7891</v>
      </c>
      <c r="E3721" s="161" t="s">
        <v>7839</v>
      </c>
      <c r="F3721" s="161" t="s">
        <v>7837</v>
      </c>
      <c r="G3721" s="163">
        <v>67.13</v>
      </c>
      <c r="H3721" s="163">
        <v>9.24</v>
      </c>
      <c r="I3721" s="173">
        <v>2</v>
      </c>
      <c r="J3721" s="173">
        <v>4506</v>
      </c>
      <c r="K3721" s="173">
        <v>32739</v>
      </c>
      <c r="L3721" s="174"/>
      <c r="M3721" s="49"/>
      <c r="N3721" s="161" t="s">
        <v>1299</v>
      </c>
      <c r="O3721" s="161" t="s">
        <v>25</v>
      </c>
      <c r="P3721" s="49" t="s">
        <v>25</v>
      </c>
      <c r="Q3721" s="166"/>
      <c r="R3721" s="151"/>
    </row>
    <row r="3722" spans="1:18">
      <c r="A3722" s="49" t="s">
        <v>89</v>
      </c>
      <c r="B3722" s="49" t="s">
        <v>1069</v>
      </c>
      <c r="C3722" s="88" t="s">
        <v>7892</v>
      </c>
      <c r="D3722" s="161" t="s">
        <v>7893</v>
      </c>
      <c r="E3722" s="161" t="s">
        <v>7839</v>
      </c>
      <c r="F3722" s="161" t="s">
        <v>7837</v>
      </c>
      <c r="G3722" s="163">
        <v>74.13</v>
      </c>
      <c r="H3722" s="163">
        <v>7</v>
      </c>
      <c r="I3722" s="173">
        <v>2.8</v>
      </c>
      <c r="J3722" s="173">
        <v>3414</v>
      </c>
      <c r="K3722" s="173">
        <v>36152</v>
      </c>
      <c r="L3722" s="174"/>
      <c r="M3722" s="49"/>
      <c r="N3722" s="161" t="s">
        <v>1299</v>
      </c>
      <c r="O3722" s="161" t="s">
        <v>25</v>
      </c>
      <c r="P3722" s="49" t="s">
        <v>25</v>
      </c>
      <c r="Q3722" s="166"/>
      <c r="R3722" s="151"/>
    </row>
    <row r="3723" spans="1:18">
      <c r="A3723" s="49" t="s">
        <v>89</v>
      </c>
      <c r="B3723" s="49" t="s">
        <v>1069</v>
      </c>
      <c r="C3723" s="88" t="s">
        <v>1070</v>
      </c>
      <c r="D3723" s="161" t="s">
        <v>1070</v>
      </c>
      <c r="E3723" s="161" t="s">
        <v>7839</v>
      </c>
      <c r="F3723" s="161" t="s">
        <v>7837</v>
      </c>
      <c r="G3723" s="163">
        <v>78.19</v>
      </c>
      <c r="H3723" s="163">
        <v>4.06</v>
      </c>
      <c r="I3723" s="173">
        <v>2.9</v>
      </c>
      <c r="J3723" s="173">
        <v>1980</v>
      </c>
      <c r="K3723" s="173">
        <v>38132</v>
      </c>
      <c r="L3723" s="174"/>
      <c r="M3723" s="49"/>
      <c r="N3723" s="161"/>
      <c r="O3723" s="161"/>
      <c r="P3723" s="49" t="s">
        <v>14</v>
      </c>
      <c r="Q3723" s="166"/>
      <c r="R3723" s="151"/>
    </row>
    <row r="3724" spans="1:18">
      <c r="A3724" s="49" t="s">
        <v>89</v>
      </c>
      <c r="B3724" s="49" t="s">
        <v>1072</v>
      </c>
      <c r="C3724" s="135" t="s">
        <v>1031</v>
      </c>
      <c r="D3724" s="161" t="s">
        <v>1031</v>
      </c>
      <c r="E3724" s="161" t="s">
        <v>7839</v>
      </c>
      <c r="F3724" s="161" t="s">
        <v>7845</v>
      </c>
      <c r="G3724" s="171">
        <v>0</v>
      </c>
      <c r="H3724" s="163">
        <v>0</v>
      </c>
      <c r="I3724" s="173">
        <v>6.8</v>
      </c>
      <c r="J3724" s="163">
        <v>0</v>
      </c>
      <c r="K3724" s="173">
        <v>0</v>
      </c>
      <c r="L3724" s="174"/>
      <c r="M3724" s="49"/>
      <c r="N3724" s="161"/>
      <c r="O3724" s="161"/>
      <c r="P3724" s="49"/>
      <c r="Q3724" s="166"/>
      <c r="R3724" s="151"/>
    </row>
    <row r="3725" spans="1:18">
      <c r="A3725" s="49" t="s">
        <v>89</v>
      </c>
      <c r="B3725" s="49" t="s">
        <v>1072</v>
      </c>
      <c r="C3725" s="135" t="s">
        <v>7894</v>
      </c>
      <c r="D3725" s="161" t="s">
        <v>7895</v>
      </c>
      <c r="E3725" s="161" t="s">
        <v>7839</v>
      </c>
      <c r="F3725" s="161" t="s">
        <v>7845</v>
      </c>
      <c r="G3725" s="171">
        <v>4.9872</v>
      </c>
      <c r="H3725" s="163">
        <f>G3725-G3724</f>
        <v>4.9872</v>
      </c>
      <c r="I3725" s="173">
        <v>11.9</v>
      </c>
      <c r="J3725" s="163">
        <v>2450</v>
      </c>
      <c r="K3725" s="173">
        <f t="shared" ref="K3725:K3738" si="274">J3725+K3724</f>
        <v>2450</v>
      </c>
      <c r="L3725" s="174"/>
      <c r="M3725" s="49"/>
      <c r="N3725" s="161"/>
      <c r="O3725" s="161"/>
      <c r="P3725" s="49"/>
      <c r="Q3725" s="166"/>
      <c r="R3725" s="151"/>
    </row>
    <row r="3726" ht="30" spans="1:18">
      <c r="A3726" s="49" t="s">
        <v>89</v>
      </c>
      <c r="B3726" s="49" t="s">
        <v>1072</v>
      </c>
      <c r="C3726" s="88" t="s">
        <v>7896</v>
      </c>
      <c r="D3726" s="161" t="s">
        <v>7896</v>
      </c>
      <c r="E3726" s="161" t="s">
        <v>7839</v>
      </c>
      <c r="F3726" s="161" t="s">
        <v>7845</v>
      </c>
      <c r="G3726" s="171">
        <v>4.9872</v>
      </c>
      <c r="H3726" s="163">
        <f t="shared" ref="H3726:H3751" si="275">G3726-G3725</f>
        <v>0</v>
      </c>
      <c r="I3726" s="173"/>
      <c r="J3726" s="163"/>
      <c r="K3726" s="173"/>
      <c r="L3726" s="174" t="s">
        <v>7897</v>
      </c>
      <c r="M3726" s="49"/>
      <c r="N3726" s="161"/>
      <c r="O3726" s="161" t="s">
        <v>14</v>
      </c>
      <c r="P3726" s="49" t="s">
        <v>14</v>
      </c>
      <c r="Q3726" s="166"/>
      <c r="R3726" s="151"/>
    </row>
    <row r="3727" spans="1:18">
      <c r="A3727" s="49" t="s">
        <v>89</v>
      </c>
      <c r="B3727" s="49" t="s">
        <v>1072</v>
      </c>
      <c r="C3727" s="88" t="s">
        <v>7898</v>
      </c>
      <c r="D3727" s="161" t="s">
        <v>7899</v>
      </c>
      <c r="E3727" s="161" t="s">
        <v>7839</v>
      </c>
      <c r="F3727" s="161" t="s">
        <v>7845</v>
      </c>
      <c r="G3727" s="171">
        <v>11.5353</v>
      </c>
      <c r="H3727" s="163">
        <f t="shared" si="275"/>
        <v>6.5481</v>
      </c>
      <c r="I3727" s="173">
        <v>11.9</v>
      </c>
      <c r="J3727" s="163">
        <v>3215</v>
      </c>
      <c r="K3727" s="173">
        <f>J3727+K3725</f>
        <v>5665</v>
      </c>
      <c r="L3727" s="174"/>
      <c r="M3727" s="49"/>
      <c r="N3727" s="161" t="s">
        <v>1299</v>
      </c>
      <c r="O3727" s="161" t="s">
        <v>25</v>
      </c>
      <c r="P3727" s="49" t="s">
        <v>25</v>
      </c>
      <c r="Q3727" s="166"/>
      <c r="R3727" s="151"/>
    </row>
    <row r="3728" spans="1:18">
      <c r="A3728" s="49" t="s">
        <v>89</v>
      </c>
      <c r="B3728" s="49" t="s">
        <v>1072</v>
      </c>
      <c r="C3728" s="88" t="s">
        <v>7900</v>
      </c>
      <c r="D3728" s="161" t="s">
        <v>7901</v>
      </c>
      <c r="E3728" s="161" t="s">
        <v>7839</v>
      </c>
      <c r="F3728" s="161" t="s">
        <v>7845</v>
      </c>
      <c r="G3728" s="171">
        <v>20.65</v>
      </c>
      <c r="H3728" s="163">
        <f t="shared" si="275"/>
        <v>9.1147</v>
      </c>
      <c r="I3728" s="173">
        <v>9.5</v>
      </c>
      <c r="J3728" s="163">
        <v>4472</v>
      </c>
      <c r="K3728" s="173">
        <f t="shared" si="274"/>
        <v>10137</v>
      </c>
      <c r="L3728" s="174"/>
      <c r="M3728" s="49"/>
      <c r="N3728" s="161" t="s">
        <v>1299</v>
      </c>
      <c r="O3728" s="161" t="s">
        <v>25</v>
      </c>
      <c r="P3728" s="49" t="s">
        <v>25</v>
      </c>
      <c r="Q3728" s="166"/>
      <c r="R3728" s="151"/>
    </row>
    <row r="3729" spans="1:18">
      <c r="A3729" s="49" t="s">
        <v>89</v>
      </c>
      <c r="B3729" s="49" t="s">
        <v>1072</v>
      </c>
      <c r="C3729" s="88" t="s">
        <v>1063</v>
      </c>
      <c r="D3729" s="161" t="s">
        <v>1063</v>
      </c>
      <c r="E3729" s="161" t="s">
        <v>7839</v>
      </c>
      <c r="F3729" s="161" t="s">
        <v>7845</v>
      </c>
      <c r="G3729" s="171">
        <v>26.6621</v>
      </c>
      <c r="H3729" s="163">
        <f t="shared" si="275"/>
        <v>6.0121</v>
      </c>
      <c r="I3729" s="173">
        <v>10.1</v>
      </c>
      <c r="J3729" s="163">
        <v>2950</v>
      </c>
      <c r="K3729" s="173">
        <f t="shared" si="274"/>
        <v>13087</v>
      </c>
      <c r="L3729" s="174"/>
      <c r="M3729" s="49"/>
      <c r="N3729" s="161"/>
      <c r="O3729" s="161" t="s">
        <v>14</v>
      </c>
      <c r="P3729" s="49" t="s">
        <v>14</v>
      </c>
      <c r="Q3729" s="166"/>
      <c r="R3729" s="151"/>
    </row>
    <row r="3730" spans="1:18">
      <c r="A3730" s="49" t="s">
        <v>89</v>
      </c>
      <c r="B3730" s="49" t="s">
        <v>1072</v>
      </c>
      <c r="C3730" s="88" t="s">
        <v>7902</v>
      </c>
      <c r="D3730" s="161" t="s">
        <v>7902</v>
      </c>
      <c r="E3730" s="161" t="s">
        <v>7839</v>
      </c>
      <c r="F3730" s="161" t="s">
        <v>7845</v>
      </c>
      <c r="G3730" s="171">
        <v>36.4174</v>
      </c>
      <c r="H3730" s="163">
        <f t="shared" si="275"/>
        <v>9.7553</v>
      </c>
      <c r="I3730" s="173">
        <v>14.2</v>
      </c>
      <c r="J3730" s="163">
        <v>4791</v>
      </c>
      <c r="K3730" s="173">
        <f t="shared" si="274"/>
        <v>17878</v>
      </c>
      <c r="L3730" s="174"/>
      <c r="M3730" s="49"/>
      <c r="N3730" s="161"/>
      <c r="O3730" s="161" t="s">
        <v>14</v>
      </c>
      <c r="P3730" s="49" t="s">
        <v>14</v>
      </c>
      <c r="Q3730" s="166"/>
      <c r="R3730" s="151"/>
    </row>
    <row r="3731" spans="1:18">
      <c r="A3731" s="49" t="s">
        <v>89</v>
      </c>
      <c r="B3731" s="49" t="s">
        <v>1072</v>
      </c>
      <c r="C3731" s="88" t="s">
        <v>1089</v>
      </c>
      <c r="D3731" s="161" t="s">
        <v>7903</v>
      </c>
      <c r="E3731" s="161" t="s">
        <v>7839</v>
      </c>
      <c r="F3731" s="161" t="s">
        <v>7845</v>
      </c>
      <c r="G3731" s="171">
        <v>45.7027</v>
      </c>
      <c r="H3731" s="163">
        <f t="shared" si="275"/>
        <v>9.2853</v>
      </c>
      <c r="I3731" s="173">
        <v>9.5</v>
      </c>
      <c r="J3731" s="163">
        <v>4561</v>
      </c>
      <c r="K3731" s="173">
        <f t="shared" si="274"/>
        <v>22439</v>
      </c>
      <c r="L3731" s="174"/>
      <c r="M3731" s="49"/>
      <c r="N3731" s="161" t="s">
        <v>1299</v>
      </c>
      <c r="O3731" s="161" t="s">
        <v>25</v>
      </c>
      <c r="P3731" s="49" t="s">
        <v>25</v>
      </c>
      <c r="Q3731" s="166"/>
      <c r="R3731" s="151"/>
    </row>
    <row r="3732" spans="1:18">
      <c r="A3732" s="49" t="s">
        <v>89</v>
      </c>
      <c r="B3732" s="49" t="s">
        <v>1072</v>
      </c>
      <c r="C3732" s="88" t="s">
        <v>1094</v>
      </c>
      <c r="D3732" s="161" t="s">
        <v>7904</v>
      </c>
      <c r="E3732" s="161" t="s">
        <v>7839</v>
      </c>
      <c r="F3732" s="161" t="s">
        <v>7845</v>
      </c>
      <c r="G3732" s="171">
        <v>61.5023</v>
      </c>
      <c r="H3732" s="163">
        <f t="shared" si="275"/>
        <v>15.7996</v>
      </c>
      <c r="I3732" s="173">
        <v>9.5</v>
      </c>
      <c r="J3732" s="163">
        <v>7756</v>
      </c>
      <c r="K3732" s="173">
        <f t="shared" si="274"/>
        <v>30195</v>
      </c>
      <c r="L3732" s="174"/>
      <c r="M3732" s="49"/>
      <c r="N3732" s="161"/>
      <c r="O3732" s="161" t="s">
        <v>14</v>
      </c>
      <c r="P3732" s="49" t="s">
        <v>14</v>
      </c>
      <c r="Q3732" s="166"/>
      <c r="R3732" s="151"/>
    </row>
    <row r="3733" spans="1:18">
      <c r="A3733" s="49" t="s">
        <v>89</v>
      </c>
      <c r="B3733" s="49" t="s">
        <v>1072</v>
      </c>
      <c r="C3733" s="88" t="s">
        <v>7905</v>
      </c>
      <c r="D3733" s="161" t="s">
        <v>7906</v>
      </c>
      <c r="E3733" s="161" t="s">
        <v>7839</v>
      </c>
      <c r="F3733" s="161" t="s">
        <v>7845</v>
      </c>
      <c r="G3733" s="171">
        <v>70.1711</v>
      </c>
      <c r="H3733" s="163">
        <f t="shared" si="275"/>
        <v>8.6688</v>
      </c>
      <c r="I3733" s="173">
        <v>3.21</v>
      </c>
      <c r="J3733" s="163">
        <v>4256</v>
      </c>
      <c r="K3733" s="173">
        <f t="shared" si="274"/>
        <v>34451</v>
      </c>
      <c r="L3733" s="174"/>
      <c r="M3733" s="49"/>
      <c r="N3733" s="161" t="s">
        <v>1299</v>
      </c>
      <c r="O3733" s="161" t="s">
        <v>25</v>
      </c>
      <c r="P3733" s="49" t="s">
        <v>25</v>
      </c>
      <c r="Q3733" s="166"/>
      <c r="R3733" s="151"/>
    </row>
    <row r="3734" spans="1:18">
      <c r="A3734" s="49" t="s">
        <v>89</v>
      </c>
      <c r="B3734" s="49" t="s">
        <v>1072</v>
      </c>
      <c r="C3734" s="88" t="s">
        <v>7907</v>
      </c>
      <c r="D3734" s="161" t="s">
        <v>7907</v>
      </c>
      <c r="E3734" s="161" t="s">
        <v>7839</v>
      </c>
      <c r="F3734" s="161" t="s">
        <v>7845</v>
      </c>
      <c r="G3734" s="171">
        <v>78.5136</v>
      </c>
      <c r="H3734" s="163">
        <f t="shared" si="275"/>
        <v>8.3425</v>
      </c>
      <c r="I3734" s="173">
        <v>2.81</v>
      </c>
      <c r="J3734" s="163">
        <v>4094</v>
      </c>
      <c r="K3734" s="173">
        <f t="shared" si="274"/>
        <v>38545</v>
      </c>
      <c r="L3734" s="174"/>
      <c r="M3734" s="49"/>
      <c r="N3734" s="161"/>
      <c r="O3734" s="161" t="s">
        <v>14</v>
      </c>
      <c r="P3734" s="49" t="s">
        <v>14</v>
      </c>
      <c r="Q3734" s="166"/>
      <c r="R3734" s="151"/>
    </row>
    <row r="3735" spans="1:18">
      <c r="A3735" s="49" t="s">
        <v>89</v>
      </c>
      <c r="B3735" s="49" t="s">
        <v>1072</v>
      </c>
      <c r="C3735" s="88" t="s">
        <v>1105</v>
      </c>
      <c r="D3735" s="161" t="s">
        <v>7908</v>
      </c>
      <c r="E3735" s="161" t="s">
        <v>7839</v>
      </c>
      <c r="F3735" s="161" t="s">
        <v>7845</v>
      </c>
      <c r="G3735" s="171">
        <v>88.7758</v>
      </c>
      <c r="H3735" s="163">
        <f t="shared" si="275"/>
        <v>10.2622</v>
      </c>
      <c r="I3735" s="173">
        <v>1.33</v>
      </c>
      <c r="J3735" s="163">
        <v>5037</v>
      </c>
      <c r="K3735" s="173">
        <f t="shared" si="274"/>
        <v>43582</v>
      </c>
      <c r="L3735" s="174"/>
      <c r="M3735" s="49"/>
      <c r="N3735" s="161" t="s">
        <v>1299</v>
      </c>
      <c r="O3735" s="161" t="s">
        <v>25</v>
      </c>
      <c r="P3735" s="49" t="s">
        <v>25</v>
      </c>
      <c r="Q3735" s="166"/>
      <c r="R3735" s="151"/>
    </row>
    <row r="3736" spans="1:18">
      <c r="A3736" s="49" t="s">
        <v>89</v>
      </c>
      <c r="B3736" s="49" t="s">
        <v>1072</v>
      </c>
      <c r="C3736" s="88" t="s">
        <v>7909</v>
      </c>
      <c r="D3736" s="161" t="s">
        <v>7910</v>
      </c>
      <c r="E3736" s="161" t="s">
        <v>7839</v>
      </c>
      <c r="F3736" s="161" t="s">
        <v>7845</v>
      </c>
      <c r="G3736" s="171">
        <v>96.7736</v>
      </c>
      <c r="H3736" s="163">
        <f t="shared" si="275"/>
        <v>7.9978</v>
      </c>
      <c r="I3736" s="173">
        <v>2.66</v>
      </c>
      <c r="J3736" s="163">
        <v>3927</v>
      </c>
      <c r="K3736" s="173">
        <f t="shared" si="274"/>
        <v>47509</v>
      </c>
      <c r="L3736" s="174"/>
      <c r="M3736" s="49"/>
      <c r="N3736" s="161" t="s">
        <v>1299</v>
      </c>
      <c r="O3736" s="161" t="s">
        <v>25</v>
      </c>
      <c r="P3736" s="49" t="s">
        <v>25</v>
      </c>
      <c r="Q3736" s="166"/>
      <c r="R3736" s="151"/>
    </row>
    <row r="3737" spans="1:18">
      <c r="A3737" s="49" t="s">
        <v>89</v>
      </c>
      <c r="B3737" s="49" t="s">
        <v>1072</v>
      </c>
      <c r="C3737" s="88" t="s">
        <v>1108</v>
      </c>
      <c r="D3737" s="161" t="s">
        <v>1108</v>
      </c>
      <c r="E3737" s="161" t="s">
        <v>7839</v>
      </c>
      <c r="F3737" s="161" t="s">
        <v>7845</v>
      </c>
      <c r="G3737" s="171">
        <v>102.059</v>
      </c>
      <c r="H3737" s="163">
        <f t="shared" si="275"/>
        <v>5.2854</v>
      </c>
      <c r="I3737" s="173">
        <v>2.67</v>
      </c>
      <c r="J3737" s="163">
        <v>2597</v>
      </c>
      <c r="K3737" s="173">
        <f t="shared" si="274"/>
        <v>50106</v>
      </c>
      <c r="L3737" s="174"/>
      <c r="M3737" s="49"/>
      <c r="N3737" s="161"/>
      <c r="O3737" s="161" t="s">
        <v>14</v>
      </c>
      <c r="P3737" s="49" t="s">
        <v>14</v>
      </c>
      <c r="Q3737" s="166"/>
      <c r="R3737" s="151"/>
    </row>
    <row r="3738" spans="1:18">
      <c r="A3738" s="49" t="s">
        <v>89</v>
      </c>
      <c r="B3738" s="49" t="s">
        <v>1072</v>
      </c>
      <c r="C3738" s="88" t="s">
        <v>7911</v>
      </c>
      <c r="D3738" s="161" t="s">
        <v>7912</v>
      </c>
      <c r="E3738" s="161" t="s">
        <v>7839</v>
      </c>
      <c r="F3738" s="161" t="s">
        <v>7845</v>
      </c>
      <c r="G3738" s="171">
        <v>110.9195</v>
      </c>
      <c r="H3738" s="163">
        <f t="shared" si="275"/>
        <v>8.8605</v>
      </c>
      <c r="I3738" s="173">
        <v>3.51</v>
      </c>
      <c r="J3738" s="163">
        <v>4349</v>
      </c>
      <c r="K3738" s="173">
        <f t="shared" si="274"/>
        <v>54455</v>
      </c>
      <c r="L3738" s="174"/>
      <c r="M3738" s="49"/>
      <c r="N3738" s="161" t="s">
        <v>1299</v>
      </c>
      <c r="O3738" s="161" t="s">
        <v>25</v>
      </c>
      <c r="P3738" s="49" t="s">
        <v>25</v>
      </c>
      <c r="Q3738" s="166"/>
      <c r="R3738" s="151"/>
    </row>
    <row r="3739" ht="30" spans="1:18">
      <c r="A3739" s="49" t="s">
        <v>89</v>
      </c>
      <c r="B3739" s="49" t="s">
        <v>1072</v>
      </c>
      <c r="C3739" s="88" t="s">
        <v>7913</v>
      </c>
      <c r="D3739" s="161" t="s">
        <v>7913</v>
      </c>
      <c r="E3739" s="161" t="s">
        <v>7839</v>
      </c>
      <c r="F3739" s="161" t="s">
        <v>7845</v>
      </c>
      <c r="G3739" s="171">
        <v>110.9195</v>
      </c>
      <c r="H3739" s="163">
        <f t="shared" si="275"/>
        <v>0</v>
      </c>
      <c r="I3739" s="173"/>
      <c r="J3739" s="163"/>
      <c r="K3739" s="173"/>
      <c r="L3739" s="174" t="s">
        <v>7914</v>
      </c>
      <c r="M3739" s="49"/>
      <c r="N3739" s="161"/>
      <c r="O3739" s="161" t="s">
        <v>15</v>
      </c>
      <c r="P3739" s="49" t="s">
        <v>15</v>
      </c>
      <c r="Q3739" s="166"/>
      <c r="R3739" s="151"/>
    </row>
    <row r="3740" spans="1:18">
      <c r="A3740" s="49" t="s">
        <v>89</v>
      </c>
      <c r="B3740" s="49" t="s">
        <v>1072</v>
      </c>
      <c r="C3740" s="88" t="s">
        <v>1086</v>
      </c>
      <c r="D3740" s="161" t="s">
        <v>7915</v>
      </c>
      <c r="E3740" s="161" t="s">
        <v>7839</v>
      </c>
      <c r="F3740" s="161" t="s">
        <v>7916</v>
      </c>
      <c r="G3740" s="171">
        <v>131.8493</v>
      </c>
      <c r="H3740" s="163">
        <f t="shared" si="275"/>
        <v>20.9298</v>
      </c>
      <c r="I3740" s="173">
        <v>1.5</v>
      </c>
      <c r="J3740" s="163">
        <v>10275</v>
      </c>
      <c r="K3740" s="173">
        <f>J3740+K3738</f>
        <v>64730</v>
      </c>
      <c r="L3740" s="174"/>
      <c r="M3740" s="49"/>
      <c r="N3740" s="161" t="s">
        <v>1299</v>
      </c>
      <c r="O3740" s="161" t="s">
        <v>25</v>
      </c>
      <c r="P3740" s="49" t="s">
        <v>25</v>
      </c>
      <c r="Q3740" s="166"/>
      <c r="R3740" s="151"/>
    </row>
    <row r="3741" spans="1:18">
      <c r="A3741" s="49" t="s">
        <v>89</v>
      </c>
      <c r="B3741" s="49" t="s">
        <v>1072</v>
      </c>
      <c r="C3741" s="88" t="s">
        <v>7917</v>
      </c>
      <c r="D3741" s="161" t="s">
        <v>7918</v>
      </c>
      <c r="E3741" s="161" t="s">
        <v>7839</v>
      </c>
      <c r="F3741" s="161" t="s">
        <v>7916</v>
      </c>
      <c r="G3741" s="171">
        <v>138.3779</v>
      </c>
      <c r="H3741" s="163">
        <f t="shared" si="275"/>
        <v>6.52860000000001</v>
      </c>
      <c r="I3741" s="173">
        <v>10.95</v>
      </c>
      <c r="J3741" s="163">
        <v>3206</v>
      </c>
      <c r="K3741" s="173">
        <f t="shared" ref="K3741:K3751" si="276">J3741+K3740</f>
        <v>67936</v>
      </c>
      <c r="L3741" s="174"/>
      <c r="M3741" s="49"/>
      <c r="N3741" s="161" t="s">
        <v>1299</v>
      </c>
      <c r="O3741" s="161" t="s">
        <v>25</v>
      </c>
      <c r="P3741" s="49" t="s">
        <v>25</v>
      </c>
      <c r="Q3741" s="166"/>
      <c r="R3741" s="151"/>
    </row>
    <row r="3742" spans="1:18">
      <c r="A3742" s="49" t="s">
        <v>89</v>
      </c>
      <c r="B3742" s="49" t="s">
        <v>1072</v>
      </c>
      <c r="C3742" s="88" t="s">
        <v>1083</v>
      </c>
      <c r="D3742" s="161" t="s">
        <v>1083</v>
      </c>
      <c r="E3742" s="161" t="s">
        <v>7839</v>
      </c>
      <c r="F3742" s="161" t="s">
        <v>7916</v>
      </c>
      <c r="G3742" s="171">
        <v>147.4417</v>
      </c>
      <c r="H3742" s="163">
        <f t="shared" si="275"/>
        <v>9.06379999999999</v>
      </c>
      <c r="I3742" s="173">
        <v>7.27</v>
      </c>
      <c r="J3742" s="163">
        <v>4448</v>
      </c>
      <c r="K3742" s="173">
        <f t="shared" si="276"/>
        <v>72384</v>
      </c>
      <c r="L3742" s="174"/>
      <c r="M3742" s="49"/>
      <c r="N3742" s="161"/>
      <c r="O3742" s="161" t="s">
        <v>15</v>
      </c>
      <c r="P3742" s="49" t="s">
        <v>15</v>
      </c>
      <c r="Q3742" s="166"/>
      <c r="R3742" s="151"/>
    </row>
    <row r="3743" spans="1:18">
      <c r="A3743" s="49" t="s">
        <v>89</v>
      </c>
      <c r="B3743" s="49" t="s">
        <v>1072</v>
      </c>
      <c r="C3743" s="88" t="s">
        <v>7919</v>
      </c>
      <c r="D3743" s="161" t="s">
        <v>7920</v>
      </c>
      <c r="E3743" s="161" t="s">
        <v>7839</v>
      </c>
      <c r="F3743" s="161" t="s">
        <v>7916</v>
      </c>
      <c r="G3743" s="171">
        <v>154.1787</v>
      </c>
      <c r="H3743" s="163">
        <f t="shared" si="275"/>
        <v>6.73699999999999</v>
      </c>
      <c r="I3743" s="173">
        <v>1.15</v>
      </c>
      <c r="J3743" s="163">
        <v>3309</v>
      </c>
      <c r="K3743" s="173">
        <f t="shared" si="276"/>
        <v>75693</v>
      </c>
      <c r="L3743" s="174"/>
      <c r="M3743" s="49"/>
      <c r="N3743" s="161" t="s">
        <v>1299</v>
      </c>
      <c r="O3743" s="161" t="s">
        <v>25</v>
      </c>
      <c r="P3743" s="49" t="s">
        <v>25</v>
      </c>
      <c r="Q3743" s="166"/>
      <c r="R3743" s="151"/>
    </row>
    <row r="3744" spans="1:18">
      <c r="A3744" s="49" t="s">
        <v>89</v>
      </c>
      <c r="B3744" s="49" t="s">
        <v>1072</v>
      </c>
      <c r="C3744" s="88" t="s">
        <v>7921</v>
      </c>
      <c r="D3744" s="161" t="s">
        <v>7922</v>
      </c>
      <c r="E3744" s="161" t="s">
        <v>7839</v>
      </c>
      <c r="F3744" s="161" t="s">
        <v>7916</v>
      </c>
      <c r="G3744" s="171">
        <v>169.6279</v>
      </c>
      <c r="H3744" s="163">
        <f t="shared" si="275"/>
        <v>15.4492</v>
      </c>
      <c r="I3744" s="173">
        <v>0.26</v>
      </c>
      <c r="J3744" s="163">
        <v>7585</v>
      </c>
      <c r="K3744" s="173">
        <f t="shared" si="276"/>
        <v>83278</v>
      </c>
      <c r="L3744" s="174"/>
      <c r="M3744" s="49"/>
      <c r="N3744" s="161" t="s">
        <v>1299</v>
      </c>
      <c r="O3744" s="161" t="s">
        <v>25</v>
      </c>
      <c r="P3744" s="49" t="s">
        <v>25</v>
      </c>
      <c r="Q3744" s="166"/>
      <c r="R3744" s="151"/>
    </row>
    <row r="3745" spans="1:18">
      <c r="A3745" s="49" t="s">
        <v>89</v>
      </c>
      <c r="B3745" s="49" t="s">
        <v>1072</v>
      </c>
      <c r="C3745" s="88" t="s">
        <v>7923</v>
      </c>
      <c r="D3745" s="161" t="s">
        <v>7924</v>
      </c>
      <c r="E3745" s="161" t="s">
        <v>7839</v>
      </c>
      <c r="F3745" s="161" t="s">
        <v>7916</v>
      </c>
      <c r="G3745" s="171">
        <v>177.2746</v>
      </c>
      <c r="H3745" s="163">
        <f t="shared" si="275"/>
        <v>7.64669999999998</v>
      </c>
      <c r="I3745" s="173">
        <v>1.28</v>
      </c>
      <c r="J3745" s="163">
        <v>3755</v>
      </c>
      <c r="K3745" s="173">
        <f t="shared" si="276"/>
        <v>87033</v>
      </c>
      <c r="L3745" s="174"/>
      <c r="M3745" s="49"/>
      <c r="N3745" s="161" t="s">
        <v>1299</v>
      </c>
      <c r="O3745" s="161" t="s">
        <v>25</v>
      </c>
      <c r="P3745" s="49" t="s">
        <v>25</v>
      </c>
      <c r="Q3745" s="166"/>
      <c r="R3745" s="151"/>
    </row>
    <row r="3746" spans="1:18">
      <c r="A3746" s="49" t="s">
        <v>89</v>
      </c>
      <c r="B3746" s="49" t="s">
        <v>1072</v>
      </c>
      <c r="C3746" s="88" t="s">
        <v>7925</v>
      </c>
      <c r="D3746" s="161" t="s">
        <v>7926</v>
      </c>
      <c r="E3746" s="161" t="s">
        <v>7839</v>
      </c>
      <c r="F3746" s="161" t="s">
        <v>7916</v>
      </c>
      <c r="G3746" s="171">
        <v>185.1169</v>
      </c>
      <c r="H3746" s="163">
        <f t="shared" si="275"/>
        <v>7.84229999999999</v>
      </c>
      <c r="I3746" s="173">
        <v>1.42</v>
      </c>
      <c r="J3746" s="163">
        <v>3849</v>
      </c>
      <c r="K3746" s="173">
        <f t="shared" si="276"/>
        <v>90882</v>
      </c>
      <c r="L3746" s="174"/>
      <c r="M3746" s="49"/>
      <c r="N3746" s="161" t="s">
        <v>1299</v>
      </c>
      <c r="O3746" s="161" t="s">
        <v>25</v>
      </c>
      <c r="P3746" s="49" t="s">
        <v>25</v>
      </c>
      <c r="Q3746" s="166"/>
      <c r="R3746" s="151"/>
    </row>
    <row r="3747" spans="1:18">
      <c r="A3747" s="49" t="s">
        <v>89</v>
      </c>
      <c r="B3747" s="49" t="s">
        <v>1072</v>
      </c>
      <c r="C3747" s="88" t="s">
        <v>1078</v>
      </c>
      <c r="D3747" s="161" t="s">
        <v>1078</v>
      </c>
      <c r="E3747" s="161" t="s">
        <v>7839</v>
      </c>
      <c r="F3747" s="161" t="s">
        <v>7916</v>
      </c>
      <c r="G3747" s="171">
        <v>200.1169</v>
      </c>
      <c r="H3747" s="163">
        <f t="shared" si="275"/>
        <v>15</v>
      </c>
      <c r="I3747" s="173">
        <v>2.72</v>
      </c>
      <c r="J3747" s="163">
        <v>7364</v>
      </c>
      <c r="K3747" s="173">
        <f t="shared" si="276"/>
        <v>98246</v>
      </c>
      <c r="L3747" s="174"/>
      <c r="M3747" s="49"/>
      <c r="N3747" s="161"/>
      <c r="O3747" s="161" t="s">
        <v>15</v>
      </c>
      <c r="P3747" s="49" t="s">
        <v>15</v>
      </c>
      <c r="Q3747" s="166"/>
      <c r="R3747" s="151"/>
    </row>
    <row r="3748" spans="1:18">
      <c r="A3748" s="49" t="s">
        <v>89</v>
      </c>
      <c r="B3748" s="49" t="s">
        <v>1072</v>
      </c>
      <c r="C3748" s="88" t="s">
        <v>7927</v>
      </c>
      <c r="D3748" s="161" t="s">
        <v>7928</v>
      </c>
      <c r="E3748" s="161" t="s">
        <v>7839</v>
      </c>
      <c r="F3748" s="161" t="s">
        <v>7916</v>
      </c>
      <c r="G3748" s="171">
        <v>210.6682</v>
      </c>
      <c r="H3748" s="163">
        <f t="shared" si="275"/>
        <v>10.5513</v>
      </c>
      <c r="I3748" s="173">
        <v>3</v>
      </c>
      <c r="J3748" s="163">
        <v>5179</v>
      </c>
      <c r="K3748" s="173">
        <f t="shared" si="276"/>
        <v>103425</v>
      </c>
      <c r="L3748" s="174"/>
      <c r="M3748" s="49"/>
      <c r="N3748" s="161" t="s">
        <v>1299</v>
      </c>
      <c r="O3748" s="161" t="s">
        <v>25</v>
      </c>
      <c r="P3748" s="49" t="s">
        <v>25</v>
      </c>
      <c r="Q3748" s="166"/>
      <c r="R3748" s="151"/>
    </row>
    <row r="3749" spans="1:18">
      <c r="A3749" s="49" t="s">
        <v>89</v>
      </c>
      <c r="B3749" s="49" t="s">
        <v>1072</v>
      </c>
      <c r="C3749" s="88" t="s">
        <v>7929</v>
      </c>
      <c r="D3749" s="161" t="s">
        <v>7930</v>
      </c>
      <c r="E3749" s="161" t="s">
        <v>7839</v>
      </c>
      <c r="F3749" s="161" t="s">
        <v>7916</v>
      </c>
      <c r="G3749" s="171">
        <v>220.0561</v>
      </c>
      <c r="H3749" s="163">
        <f t="shared" si="275"/>
        <v>9.38789999999997</v>
      </c>
      <c r="I3749" s="173">
        <v>3.88</v>
      </c>
      <c r="J3749" s="163">
        <v>4610</v>
      </c>
      <c r="K3749" s="173">
        <f t="shared" si="276"/>
        <v>108035</v>
      </c>
      <c r="L3749" s="174"/>
      <c r="M3749" s="49"/>
      <c r="N3749" s="161" t="s">
        <v>1299</v>
      </c>
      <c r="O3749" s="161" t="s">
        <v>25</v>
      </c>
      <c r="P3749" s="49" t="s">
        <v>25</v>
      </c>
      <c r="Q3749" s="166"/>
      <c r="R3749" s="151"/>
    </row>
    <row r="3750" spans="1:18">
      <c r="A3750" s="49" t="s">
        <v>89</v>
      </c>
      <c r="B3750" s="49" t="s">
        <v>1072</v>
      </c>
      <c r="C3750" s="88" t="s">
        <v>1075</v>
      </c>
      <c r="D3750" s="161" t="s">
        <v>7931</v>
      </c>
      <c r="E3750" s="161" t="s">
        <v>7839</v>
      </c>
      <c r="F3750" s="161" t="s">
        <v>7916</v>
      </c>
      <c r="G3750" s="171">
        <v>228.6182</v>
      </c>
      <c r="H3750" s="163">
        <f t="shared" si="275"/>
        <v>8.56210000000002</v>
      </c>
      <c r="I3750" s="173">
        <v>-2</v>
      </c>
      <c r="J3750" s="163">
        <v>4202</v>
      </c>
      <c r="K3750" s="173">
        <f t="shared" si="276"/>
        <v>112237</v>
      </c>
      <c r="L3750" s="174"/>
      <c r="M3750" s="49"/>
      <c r="N3750" s="161" t="s">
        <v>1299</v>
      </c>
      <c r="O3750" s="161" t="s">
        <v>25</v>
      </c>
      <c r="P3750" s="49" t="s">
        <v>25</v>
      </c>
      <c r="Q3750" s="166"/>
      <c r="R3750" s="151"/>
    </row>
    <row r="3751" spans="1:18">
      <c r="A3751" s="49" t="s">
        <v>89</v>
      </c>
      <c r="B3751" s="49" t="s">
        <v>1072</v>
      </c>
      <c r="C3751" s="88" t="s">
        <v>1073</v>
      </c>
      <c r="D3751" s="161" t="s">
        <v>1073</v>
      </c>
      <c r="E3751" s="161" t="s">
        <v>7839</v>
      </c>
      <c r="F3751" s="161" t="s">
        <v>7916</v>
      </c>
      <c r="G3751" s="171">
        <v>247.4389</v>
      </c>
      <c r="H3751" s="163">
        <f t="shared" si="275"/>
        <v>18.8207</v>
      </c>
      <c r="I3751" s="173">
        <v>14.6</v>
      </c>
      <c r="J3751" s="163">
        <v>9239</v>
      </c>
      <c r="K3751" s="173">
        <f t="shared" si="276"/>
        <v>121476</v>
      </c>
      <c r="L3751" s="174"/>
      <c r="M3751" s="49"/>
      <c r="N3751" s="161"/>
      <c r="O3751" s="161" t="s">
        <v>14</v>
      </c>
      <c r="P3751" s="49" t="s">
        <v>14</v>
      </c>
      <c r="Q3751" s="166"/>
      <c r="R3751" s="151"/>
    </row>
    <row r="3752" spans="1:18">
      <c r="A3752" s="49" t="s">
        <v>89</v>
      </c>
      <c r="B3752" s="49" t="s">
        <v>1074</v>
      </c>
      <c r="C3752" s="135" t="s">
        <v>1075</v>
      </c>
      <c r="D3752" s="161" t="s">
        <v>7931</v>
      </c>
      <c r="E3752" s="161" t="s">
        <v>7839</v>
      </c>
      <c r="F3752" s="161" t="s">
        <v>7916</v>
      </c>
      <c r="G3752" s="163">
        <v>0</v>
      </c>
      <c r="H3752" s="163">
        <v>0</v>
      </c>
      <c r="I3752" s="173">
        <v>-2</v>
      </c>
      <c r="J3752" s="173">
        <v>0</v>
      </c>
      <c r="K3752" s="173">
        <v>0</v>
      </c>
      <c r="L3752" s="174"/>
      <c r="M3752" s="49"/>
      <c r="N3752" s="161"/>
      <c r="O3752" s="161"/>
      <c r="P3752" s="49"/>
      <c r="Q3752" s="166"/>
      <c r="R3752" s="151"/>
    </row>
    <row r="3753" spans="1:18">
      <c r="A3753" s="49" t="s">
        <v>89</v>
      </c>
      <c r="B3753" s="49" t="s">
        <v>1074</v>
      </c>
      <c r="C3753" s="88" t="s">
        <v>1076</v>
      </c>
      <c r="D3753" s="161" t="s">
        <v>1076</v>
      </c>
      <c r="E3753" s="161" t="s">
        <v>7839</v>
      </c>
      <c r="F3753" s="161" t="s">
        <v>7916</v>
      </c>
      <c r="G3753" s="163">
        <v>2.44</v>
      </c>
      <c r="H3753" s="163">
        <v>2.44</v>
      </c>
      <c r="I3753" s="173"/>
      <c r="J3753" s="173">
        <v>288</v>
      </c>
      <c r="K3753" s="173">
        <v>288</v>
      </c>
      <c r="L3753" s="174"/>
      <c r="M3753" s="49"/>
      <c r="N3753" s="161"/>
      <c r="O3753" s="161" t="s">
        <v>14</v>
      </c>
      <c r="P3753" s="49" t="s">
        <v>14</v>
      </c>
      <c r="Q3753" s="166"/>
      <c r="R3753" s="151"/>
    </row>
    <row r="3754" spans="1:18">
      <c r="A3754" s="49" t="s">
        <v>89</v>
      </c>
      <c r="B3754" s="49" t="s">
        <v>1077</v>
      </c>
      <c r="C3754" s="135" t="s">
        <v>1078</v>
      </c>
      <c r="D3754" s="161" t="s">
        <v>1078</v>
      </c>
      <c r="E3754" s="161" t="s">
        <v>7839</v>
      </c>
      <c r="F3754" s="161" t="s">
        <v>7916</v>
      </c>
      <c r="G3754" s="163">
        <v>0</v>
      </c>
      <c r="H3754" s="163">
        <v>0</v>
      </c>
      <c r="I3754" s="173">
        <v>2.72</v>
      </c>
      <c r="J3754" s="173">
        <v>0</v>
      </c>
      <c r="K3754" s="173">
        <v>0</v>
      </c>
      <c r="L3754" s="174"/>
      <c r="M3754" s="49"/>
      <c r="N3754" s="161"/>
      <c r="O3754" s="161"/>
      <c r="P3754" s="49"/>
      <c r="Q3754" s="166"/>
      <c r="R3754" s="151"/>
    </row>
    <row r="3755" spans="1:18">
      <c r="A3755" s="49" t="s">
        <v>89</v>
      </c>
      <c r="B3755" s="49" t="s">
        <v>1077</v>
      </c>
      <c r="C3755" s="88" t="s">
        <v>1079</v>
      </c>
      <c r="D3755" s="161" t="s">
        <v>7932</v>
      </c>
      <c r="E3755" s="161" t="s">
        <v>7839</v>
      </c>
      <c r="F3755" s="161" t="s">
        <v>7916</v>
      </c>
      <c r="G3755" s="163">
        <v>6.4</v>
      </c>
      <c r="H3755" s="163">
        <v>6.4</v>
      </c>
      <c r="I3755" s="173"/>
      <c r="J3755" s="173">
        <v>1984</v>
      </c>
      <c r="K3755" s="173">
        <v>1984</v>
      </c>
      <c r="L3755" s="174"/>
      <c r="M3755" s="49"/>
      <c r="N3755" s="161"/>
      <c r="O3755" s="161" t="s">
        <v>14</v>
      </c>
      <c r="P3755" s="49" t="s">
        <v>14</v>
      </c>
      <c r="Q3755" s="166"/>
      <c r="R3755" s="151"/>
    </row>
    <row r="3756" spans="1:18">
      <c r="A3756" s="49" t="s">
        <v>89</v>
      </c>
      <c r="B3756" s="49" t="s">
        <v>1080</v>
      </c>
      <c r="C3756" s="135" t="s">
        <v>1078</v>
      </c>
      <c r="D3756" s="161" t="s">
        <v>1078</v>
      </c>
      <c r="E3756" s="161" t="s">
        <v>7839</v>
      </c>
      <c r="F3756" s="161" t="s">
        <v>7916</v>
      </c>
      <c r="G3756" s="163">
        <v>0</v>
      </c>
      <c r="H3756" s="163">
        <v>0</v>
      </c>
      <c r="I3756" s="173">
        <v>2.72</v>
      </c>
      <c r="J3756" s="173">
        <v>0</v>
      </c>
      <c r="K3756" s="173">
        <v>0</v>
      </c>
      <c r="L3756" s="174"/>
      <c r="M3756" s="49"/>
      <c r="N3756" s="161"/>
      <c r="O3756" s="161"/>
      <c r="P3756" s="49"/>
      <c r="Q3756" s="166"/>
      <c r="R3756" s="151"/>
    </row>
    <row r="3757" spans="1:18">
      <c r="A3757" s="49" t="s">
        <v>89</v>
      </c>
      <c r="B3757" s="49" t="s">
        <v>1080</v>
      </c>
      <c r="C3757" s="135" t="s">
        <v>1081</v>
      </c>
      <c r="D3757" s="161" t="s">
        <v>7933</v>
      </c>
      <c r="E3757" s="161" t="s">
        <v>7839</v>
      </c>
      <c r="F3757" s="161" t="s">
        <v>7916</v>
      </c>
      <c r="G3757" s="163">
        <v>4.9</v>
      </c>
      <c r="H3757" s="163">
        <v>4.9</v>
      </c>
      <c r="I3757" s="173"/>
      <c r="J3757" s="173">
        <v>367</v>
      </c>
      <c r="K3757" s="173">
        <v>367</v>
      </c>
      <c r="L3757" s="174"/>
      <c r="M3757" s="49"/>
      <c r="N3757" s="161"/>
      <c r="O3757" s="161"/>
      <c r="P3757" s="49"/>
      <c r="Q3757" s="166"/>
      <c r="R3757" s="151"/>
    </row>
    <row r="3758" spans="1:18">
      <c r="A3758" s="49" t="s">
        <v>89</v>
      </c>
      <c r="B3758" s="49" t="s">
        <v>1082</v>
      </c>
      <c r="C3758" s="135" t="s">
        <v>1083</v>
      </c>
      <c r="D3758" s="161" t="s">
        <v>1083</v>
      </c>
      <c r="E3758" s="161" t="s">
        <v>7839</v>
      </c>
      <c r="F3758" s="161" t="s">
        <v>7916</v>
      </c>
      <c r="G3758" s="163">
        <v>0</v>
      </c>
      <c r="H3758" s="163">
        <v>0</v>
      </c>
      <c r="I3758" s="173">
        <v>7.27</v>
      </c>
      <c r="J3758" s="173">
        <v>0</v>
      </c>
      <c r="K3758" s="173">
        <v>0</v>
      </c>
      <c r="L3758" s="174"/>
      <c r="M3758" s="49"/>
      <c r="N3758" s="161"/>
      <c r="O3758" s="161"/>
      <c r="P3758" s="49"/>
      <c r="Q3758" s="166"/>
      <c r="R3758" s="151"/>
    </row>
    <row r="3759" spans="1:18">
      <c r="A3759" s="49" t="s">
        <v>89</v>
      </c>
      <c r="B3759" s="49" t="s">
        <v>1082</v>
      </c>
      <c r="C3759" s="88" t="s">
        <v>1084</v>
      </c>
      <c r="D3759" s="161" t="s">
        <v>1084</v>
      </c>
      <c r="E3759" s="161" t="s">
        <v>7839</v>
      </c>
      <c r="F3759" s="161" t="s">
        <v>7916</v>
      </c>
      <c r="G3759" s="163">
        <v>6.89</v>
      </c>
      <c r="H3759" s="163">
        <v>6.89</v>
      </c>
      <c r="I3759" s="173"/>
      <c r="J3759" s="173">
        <v>503</v>
      </c>
      <c r="K3759" s="173">
        <v>503</v>
      </c>
      <c r="L3759" s="174"/>
      <c r="M3759" s="49"/>
      <c r="N3759" s="161"/>
      <c r="O3759" s="161" t="s">
        <v>14</v>
      </c>
      <c r="P3759" s="49" t="s">
        <v>14</v>
      </c>
      <c r="Q3759" s="166"/>
      <c r="R3759" s="151"/>
    </row>
    <row r="3760" spans="1:18">
      <c r="A3760" s="49" t="s">
        <v>89</v>
      </c>
      <c r="B3760" s="49" t="s">
        <v>1085</v>
      </c>
      <c r="C3760" s="135" t="s">
        <v>1086</v>
      </c>
      <c r="D3760" s="161" t="s">
        <v>7915</v>
      </c>
      <c r="E3760" s="161" t="s">
        <v>7839</v>
      </c>
      <c r="F3760" s="161" t="s">
        <v>7916</v>
      </c>
      <c r="G3760" s="163">
        <v>0</v>
      </c>
      <c r="H3760" s="163">
        <v>0</v>
      </c>
      <c r="I3760" s="173">
        <v>1.5</v>
      </c>
      <c r="J3760" s="173">
        <v>0</v>
      </c>
      <c r="K3760" s="173">
        <v>0</v>
      </c>
      <c r="L3760" s="174"/>
      <c r="M3760" s="49"/>
      <c r="N3760" s="161"/>
      <c r="O3760" s="161"/>
      <c r="P3760" s="49"/>
      <c r="Q3760" s="166"/>
      <c r="R3760" s="151"/>
    </row>
    <row r="3761" spans="1:18">
      <c r="A3761" s="49" t="s">
        <v>89</v>
      </c>
      <c r="B3761" s="49" t="s">
        <v>1085</v>
      </c>
      <c r="C3761" s="88" t="s">
        <v>7934</v>
      </c>
      <c r="D3761" s="161" t="s">
        <v>7935</v>
      </c>
      <c r="E3761" s="161" t="s">
        <v>7839</v>
      </c>
      <c r="F3761" s="161" t="s">
        <v>7916</v>
      </c>
      <c r="G3761" s="163">
        <v>6.527</v>
      </c>
      <c r="H3761" s="163">
        <v>6.527</v>
      </c>
      <c r="I3761" s="173"/>
      <c r="J3761" s="173">
        <v>762</v>
      </c>
      <c r="K3761" s="173">
        <v>762</v>
      </c>
      <c r="L3761" s="174"/>
      <c r="M3761" s="49"/>
      <c r="N3761" s="161"/>
      <c r="O3761" s="161" t="s">
        <v>14</v>
      </c>
      <c r="P3761" s="49" t="s">
        <v>14</v>
      </c>
      <c r="Q3761" s="166"/>
      <c r="R3761" s="151"/>
    </row>
    <row r="3762" spans="1:18">
      <c r="A3762" s="49" t="s">
        <v>89</v>
      </c>
      <c r="B3762" s="49" t="s">
        <v>1088</v>
      </c>
      <c r="C3762" s="135" t="s">
        <v>1089</v>
      </c>
      <c r="D3762" s="161" t="s">
        <v>7903</v>
      </c>
      <c r="E3762" s="161" t="s">
        <v>7839</v>
      </c>
      <c r="F3762" s="161" t="s">
        <v>7845</v>
      </c>
      <c r="G3762" s="163">
        <v>0</v>
      </c>
      <c r="H3762" s="163">
        <v>0</v>
      </c>
      <c r="I3762" s="173"/>
      <c r="J3762" s="173">
        <v>0</v>
      </c>
      <c r="K3762" s="173">
        <v>0</v>
      </c>
      <c r="L3762" s="174"/>
      <c r="M3762" s="49"/>
      <c r="N3762" s="161"/>
      <c r="O3762" s="161"/>
      <c r="P3762" s="49"/>
      <c r="Q3762" s="166"/>
      <c r="R3762" s="151"/>
    </row>
    <row r="3763" spans="1:18">
      <c r="A3763" s="49" t="s">
        <v>89</v>
      </c>
      <c r="B3763" s="49" t="s">
        <v>1088</v>
      </c>
      <c r="C3763" s="88" t="s">
        <v>7936</v>
      </c>
      <c r="D3763" s="161" t="s">
        <v>7937</v>
      </c>
      <c r="E3763" s="161" t="s">
        <v>7839</v>
      </c>
      <c r="F3763" s="161" t="s">
        <v>7845</v>
      </c>
      <c r="G3763" s="163">
        <f>G3762+H3763</f>
        <v>10.13</v>
      </c>
      <c r="H3763" s="163">
        <v>10.13</v>
      </c>
      <c r="I3763" s="173"/>
      <c r="J3763" s="173">
        <v>3140</v>
      </c>
      <c r="K3763" s="173">
        <f t="shared" ref="K3763:K3766" si="277">J3763+K3762</f>
        <v>3140</v>
      </c>
      <c r="L3763" s="174"/>
      <c r="M3763" s="49"/>
      <c r="N3763" s="161" t="s">
        <v>1299</v>
      </c>
      <c r="O3763" s="161" t="s">
        <v>25</v>
      </c>
      <c r="P3763" s="49" t="s">
        <v>25</v>
      </c>
      <c r="Q3763" s="166"/>
      <c r="R3763" s="151"/>
    </row>
    <row r="3764" spans="1:18">
      <c r="A3764" s="49" t="s">
        <v>89</v>
      </c>
      <c r="B3764" s="49" t="s">
        <v>1088</v>
      </c>
      <c r="C3764" s="88" t="s">
        <v>7938</v>
      </c>
      <c r="D3764" s="161" t="s">
        <v>7939</v>
      </c>
      <c r="E3764" s="161" t="s">
        <v>7839</v>
      </c>
      <c r="F3764" s="161" t="s">
        <v>7845</v>
      </c>
      <c r="G3764" s="163">
        <f>G3763+H3764</f>
        <v>14.93</v>
      </c>
      <c r="H3764" s="163">
        <v>4.8</v>
      </c>
      <c r="I3764" s="173"/>
      <c r="J3764" s="173">
        <v>1526</v>
      </c>
      <c r="K3764" s="173">
        <f t="shared" si="277"/>
        <v>4666</v>
      </c>
      <c r="L3764" s="174"/>
      <c r="M3764" s="49"/>
      <c r="N3764" s="161" t="s">
        <v>1299</v>
      </c>
      <c r="O3764" s="161" t="s">
        <v>25</v>
      </c>
      <c r="P3764" s="49" t="s">
        <v>25</v>
      </c>
      <c r="Q3764" s="166"/>
      <c r="R3764" s="151"/>
    </row>
    <row r="3765" spans="1:18">
      <c r="A3765" s="49" t="s">
        <v>89</v>
      </c>
      <c r="B3765" s="49" t="s">
        <v>1088</v>
      </c>
      <c r="C3765" s="135" t="s">
        <v>1111</v>
      </c>
      <c r="D3765" s="161" t="s">
        <v>1111</v>
      </c>
      <c r="E3765" s="161" t="s">
        <v>7839</v>
      </c>
      <c r="F3765" s="161" t="s">
        <v>7845</v>
      </c>
      <c r="G3765" s="163">
        <f>G3764+H3765</f>
        <v>27.53</v>
      </c>
      <c r="H3765" s="163">
        <v>12.6</v>
      </c>
      <c r="I3765" s="173"/>
      <c r="J3765" s="173">
        <v>3906</v>
      </c>
      <c r="K3765" s="173">
        <f t="shared" si="277"/>
        <v>8572</v>
      </c>
      <c r="L3765" s="174"/>
      <c r="M3765" s="49"/>
      <c r="N3765" s="161"/>
      <c r="O3765" s="161"/>
      <c r="P3765" s="49"/>
      <c r="Q3765" s="166"/>
      <c r="R3765" s="151"/>
    </row>
    <row r="3766" spans="1:18">
      <c r="A3766" s="49" t="s">
        <v>89</v>
      </c>
      <c r="B3766" s="49" t="s">
        <v>1088</v>
      </c>
      <c r="C3766" s="135" t="s">
        <v>1090</v>
      </c>
      <c r="D3766" s="161" t="s">
        <v>1090</v>
      </c>
      <c r="E3766" s="161" t="s">
        <v>7839</v>
      </c>
      <c r="F3766" s="161" t="s">
        <v>7845</v>
      </c>
      <c r="G3766" s="163">
        <f>G3765+H3766</f>
        <v>32.13</v>
      </c>
      <c r="H3766" s="163">
        <v>4.6</v>
      </c>
      <c r="I3766" s="173"/>
      <c r="J3766" s="173">
        <v>536</v>
      </c>
      <c r="K3766" s="173">
        <f t="shared" si="277"/>
        <v>9108</v>
      </c>
      <c r="L3766" s="174"/>
      <c r="M3766" s="49"/>
      <c r="N3766" s="161"/>
      <c r="O3766" s="161"/>
      <c r="P3766" s="49"/>
      <c r="Q3766" s="166"/>
      <c r="R3766" s="151"/>
    </row>
    <row r="3767" spans="1:18">
      <c r="A3767" s="49" t="s">
        <v>89</v>
      </c>
      <c r="B3767" s="49" t="s">
        <v>1092</v>
      </c>
      <c r="C3767" s="135" t="s">
        <v>3034</v>
      </c>
      <c r="D3767" s="161" t="s">
        <v>3034</v>
      </c>
      <c r="E3767" s="161" t="s">
        <v>7839</v>
      </c>
      <c r="F3767" s="161" t="s">
        <v>7845</v>
      </c>
      <c r="G3767" s="163">
        <v>0</v>
      </c>
      <c r="H3767" s="163">
        <v>0</v>
      </c>
      <c r="I3767" s="173"/>
      <c r="J3767" s="173">
        <v>0</v>
      </c>
      <c r="K3767" s="173">
        <v>0</v>
      </c>
      <c r="L3767" s="174"/>
      <c r="M3767" s="49"/>
      <c r="N3767" s="161"/>
      <c r="O3767" s="161"/>
      <c r="P3767" s="49"/>
      <c r="Q3767" s="166" t="s">
        <v>3045</v>
      </c>
      <c r="R3767" s="151"/>
    </row>
    <row r="3768" spans="1:18">
      <c r="A3768" s="49" t="s">
        <v>89</v>
      </c>
      <c r="B3768" s="49" t="s">
        <v>1092</v>
      </c>
      <c r="C3768" s="135" t="s">
        <v>1094</v>
      </c>
      <c r="D3768" s="161" t="s">
        <v>1094</v>
      </c>
      <c r="E3768" s="161" t="s">
        <v>7839</v>
      </c>
      <c r="F3768" s="161" t="s">
        <v>7845</v>
      </c>
      <c r="G3768" s="163">
        <v>0.3</v>
      </c>
      <c r="H3768" s="163">
        <v>0.3</v>
      </c>
      <c r="I3768" s="173">
        <v>9.5</v>
      </c>
      <c r="J3768" s="173">
        <v>81</v>
      </c>
      <c r="K3768" s="173">
        <v>81</v>
      </c>
      <c r="L3768" s="174"/>
      <c r="M3768" s="49"/>
      <c r="N3768" s="161"/>
      <c r="O3768" s="161"/>
      <c r="P3768" s="49"/>
      <c r="Q3768" s="166"/>
      <c r="R3768" s="151"/>
    </row>
    <row r="3769" spans="1:18">
      <c r="A3769" s="49" t="s">
        <v>89</v>
      </c>
      <c r="B3769" s="49" t="s">
        <v>1095</v>
      </c>
      <c r="C3769" s="135" t="s">
        <v>1096</v>
      </c>
      <c r="D3769" s="161" t="s">
        <v>1096</v>
      </c>
      <c r="E3769" s="161" t="s">
        <v>7839</v>
      </c>
      <c r="F3769" s="161" t="s">
        <v>7916</v>
      </c>
      <c r="G3769" s="163">
        <v>0</v>
      </c>
      <c r="H3769" s="163">
        <v>0</v>
      </c>
      <c r="I3769" s="173"/>
      <c r="J3769" s="173">
        <v>0</v>
      </c>
      <c r="K3769" s="173">
        <v>0</v>
      </c>
      <c r="L3769" s="174"/>
      <c r="M3769" s="49"/>
      <c r="N3769" s="161"/>
      <c r="O3769" s="161"/>
      <c r="P3769" s="49"/>
      <c r="Q3769" s="166"/>
      <c r="R3769" s="151"/>
    </row>
    <row r="3770" spans="1:18">
      <c r="A3770" s="49" t="s">
        <v>89</v>
      </c>
      <c r="B3770" s="49" t="s">
        <v>1095</v>
      </c>
      <c r="C3770" s="135" t="s">
        <v>1073</v>
      </c>
      <c r="D3770" s="161" t="s">
        <v>1073</v>
      </c>
      <c r="E3770" s="161" t="s">
        <v>7839</v>
      </c>
      <c r="F3770" s="161" t="s">
        <v>7916</v>
      </c>
      <c r="G3770" s="163">
        <v>7.15</v>
      </c>
      <c r="H3770" s="163">
        <v>7.15</v>
      </c>
      <c r="I3770" s="173">
        <v>14.6</v>
      </c>
      <c r="J3770" s="173">
        <v>3510</v>
      </c>
      <c r="K3770" s="173">
        <v>3510</v>
      </c>
      <c r="L3770" s="174"/>
      <c r="M3770" s="49"/>
      <c r="N3770" s="161"/>
      <c r="O3770" s="161"/>
      <c r="P3770" s="49"/>
      <c r="Q3770" s="166"/>
      <c r="R3770" s="151"/>
    </row>
    <row r="3771" spans="1:18">
      <c r="A3771" s="49" t="s">
        <v>89</v>
      </c>
      <c r="B3771" s="49" t="s">
        <v>1097</v>
      </c>
      <c r="C3771" s="135" t="s">
        <v>7080</v>
      </c>
      <c r="D3771" s="161" t="s">
        <v>7080</v>
      </c>
      <c r="E3771" s="161" t="s">
        <v>7839</v>
      </c>
      <c r="F3771" s="161" t="s">
        <v>7916</v>
      </c>
      <c r="G3771" s="163">
        <v>0</v>
      </c>
      <c r="H3771" s="163">
        <v>0</v>
      </c>
      <c r="I3771" s="173"/>
      <c r="J3771" s="173">
        <v>0</v>
      </c>
      <c r="K3771" s="173">
        <v>0</v>
      </c>
      <c r="L3771" s="174"/>
      <c r="M3771" s="49"/>
      <c r="N3771" s="161"/>
      <c r="O3771" s="161"/>
      <c r="P3771" s="49"/>
      <c r="Q3771" s="166"/>
      <c r="R3771" s="151"/>
    </row>
    <row r="3772" spans="1:18">
      <c r="A3772" s="49" t="s">
        <v>89</v>
      </c>
      <c r="B3772" s="49" t="s">
        <v>1097</v>
      </c>
      <c r="C3772" s="88" t="s">
        <v>7940</v>
      </c>
      <c r="D3772" s="161" t="s">
        <v>7940</v>
      </c>
      <c r="E3772" s="161" t="s">
        <v>7839</v>
      </c>
      <c r="F3772" s="161" t="s">
        <v>7916</v>
      </c>
      <c r="G3772" s="163">
        <f>G3771+H3772</f>
        <v>1</v>
      </c>
      <c r="H3772" s="163">
        <v>1</v>
      </c>
      <c r="I3772" s="173"/>
      <c r="J3772" s="173">
        <v>760</v>
      </c>
      <c r="K3772" s="173">
        <f t="shared" ref="K3772:K3775" si="278">K3771+J3772</f>
        <v>760</v>
      </c>
      <c r="L3772" s="174"/>
      <c r="M3772" s="49"/>
      <c r="N3772" s="161"/>
      <c r="O3772" s="161" t="s">
        <v>15</v>
      </c>
      <c r="P3772" s="49" t="s">
        <v>15</v>
      </c>
      <c r="Q3772" s="166"/>
      <c r="R3772" s="151"/>
    </row>
    <row r="3773" spans="1:18">
      <c r="A3773" s="49" t="s">
        <v>89</v>
      </c>
      <c r="B3773" s="49" t="s">
        <v>1097</v>
      </c>
      <c r="C3773" s="88" t="s">
        <v>7941</v>
      </c>
      <c r="D3773" s="161" t="s">
        <v>7942</v>
      </c>
      <c r="E3773" s="161" t="s">
        <v>7839</v>
      </c>
      <c r="F3773" s="161" t="s">
        <v>7916</v>
      </c>
      <c r="G3773" s="163">
        <f>G3772+H3773</f>
        <v>15.7</v>
      </c>
      <c r="H3773" s="163">
        <v>14.7</v>
      </c>
      <c r="I3773" s="173"/>
      <c r="J3773" s="173">
        <v>11179</v>
      </c>
      <c r="K3773" s="173">
        <f t="shared" si="278"/>
        <v>11939</v>
      </c>
      <c r="L3773" s="174"/>
      <c r="M3773" s="49"/>
      <c r="N3773" s="161" t="s">
        <v>1299</v>
      </c>
      <c r="O3773" s="161" t="s">
        <v>25</v>
      </c>
      <c r="P3773" s="49" t="s">
        <v>25</v>
      </c>
      <c r="Q3773" s="166"/>
      <c r="R3773" s="151"/>
    </row>
    <row r="3774" spans="1:18">
      <c r="A3774" s="49" t="s">
        <v>89</v>
      </c>
      <c r="B3774" s="49" t="s">
        <v>1097</v>
      </c>
      <c r="C3774" s="88" t="s">
        <v>7943</v>
      </c>
      <c r="D3774" s="161" t="s">
        <v>7944</v>
      </c>
      <c r="E3774" s="161" t="s">
        <v>7839</v>
      </c>
      <c r="F3774" s="161" t="s">
        <v>7916</v>
      </c>
      <c r="G3774" s="163">
        <f>G3773+H3774</f>
        <v>24.7</v>
      </c>
      <c r="H3774" s="163">
        <v>9</v>
      </c>
      <c r="I3774" s="173"/>
      <c r="J3774" s="173">
        <v>6844</v>
      </c>
      <c r="K3774" s="173">
        <f t="shared" si="278"/>
        <v>18783</v>
      </c>
      <c r="L3774" s="174"/>
      <c r="M3774" s="49"/>
      <c r="N3774" s="161" t="s">
        <v>1299</v>
      </c>
      <c r="O3774" s="161" t="s">
        <v>25</v>
      </c>
      <c r="P3774" s="49" t="s">
        <v>25</v>
      </c>
      <c r="Q3774" s="166"/>
      <c r="R3774" s="151"/>
    </row>
    <row r="3775" spans="1:18">
      <c r="A3775" s="49" t="s">
        <v>89</v>
      </c>
      <c r="B3775" s="49" t="s">
        <v>1097</v>
      </c>
      <c r="C3775" s="135" t="s">
        <v>1073</v>
      </c>
      <c r="D3775" s="161" t="s">
        <v>1073</v>
      </c>
      <c r="E3775" s="161" t="s">
        <v>7839</v>
      </c>
      <c r="F3775" s="161" t="s">
        <v>7916</v>
      </c>
      <c r="G3775" s="163">
        <f>G3774+H3775</f>
        <v>34.2</v>
      </c>
      <c r="H3775" s="163">
        <v>9.5</v>
      </c>
      <c r="I3775" s="173">
        <v>14.6</v>
      </c>
      <c r="J3775" s="173">
        <v>7224</v>
      </c>
      <c r="K3775" s="173">
        <f t="shared" si="278"/>
        <v>26007</v>
      </c>
      <c r="L3775" s="174"/>
      <c r="M3775" s="49"/>
      <c r="N3775" s="161"/>
      <c r="O3775" s="161"/>
      <c r="P3775" s="49"/>
      <c r="Q3775" s="166"/>
      <c r="R3775" s="151"/>
    </row>
    <row r="3776" spans="1:18">
      <c r="A3776" s="49" t="s">
        <v>89</v>
      </c>
      <c r="B3776" s="49" t="s">
        <v>1099</v>
      </c>
      <c r="C3776" s="135" t="s">
        <v>1073</v>
      </c>
      <c r="D3776" s="161" t="s">
        <v>1073</v>
      </c>
      <c r="E3776" s="161" t="s">
        <v>7839</v>
      </c>
      <c r="F3776" s="161" t="s">
        <v>7916</v>
      </c>
      <c r="G3776" s="163">
        <v>0</v>
      </c>
      <c r="H3776" s="163">
        <v>0</v>
      </c>
      <c r="I3776" s="173">
        <v>14.6</v>
      </c>
      <c r="J3776" s="173">
        <v>0</v>
      </c>
      <c r="K3776" s="173">
        <v>0</v>
      </c>
      <c r="L3776" s="174"/>
      <c r="M3776" s="49"/>
      <c r="N3776" s="161"/>
      <c r="O3776" s="161"/>
      <c r="P3776" s="49"/>
      <c r="Q3776" s="166"/>
      <c r="R3776" s="151"/>
    </row>
    <row r="3777" spans="1:18">
      <c r="A3777" s="49" t="s">
        <v>89</v>
      </c>
      <c r="B3777" s="49" t="s">
        <v>1099</v>
      </c>
      <c r="C3777" s="135" t="s">
        <v>1100</v>
      </c>
      <c r="D3777" s="161" t="s">
        <v>1100</v>
      </c>
      <c r="E3777" s="161" t="s">
        <v>7839</v>
      </c>
      <c r="F3777" s="161" t="s">
        <v>7916</v>
      </c>
      <c r="G3777" s="163">
        <v>2.88</v>
      </c>
      <c r="H3777" s="163">
        <v>2.88</v>
      </c>
      <c r="I3777" s="173"/>
      <c r="J3777" s="173">
        <v>266</v>
      </c>
      <c r="K3777" s="173">
        <v>266</v>
      </c>
      <c r="L3777" s="174"/>
      <c r="M3777" s="49"/>
      <c r="N3777" s="161"/>
      <c r="O3777" s="161"/>
      <c r="P3777" s="49"/>
      <c r="Q3777" s="166"/>
      <c r="R3777" s="151"/>
    </row>
    <row r="3778" spans="1:18">
      <c r="A3778" s="49" t="s">
        <v>89</v>
      </c>
      <c r="B3778" s="49" t="s">
        <v>1101</v>
      </c>
      <c r="C3778" s="135" t="s">
        <v>1102</v>
      </c>
      <c r="D3778" s="161" t="s">
        <v>7945</v>
      </c>
      <c r="E3778" s="161" t="s">
        <v>7839</v>
      </c>
      <c r="F3778" s="161" t="s">
        <v>7845</v>
      </c>
      <c r="G3778" s="163">
        <v>0</v>
      </c>
      <c r="H3778" s="163">
        <v>0</v>
      </c>
      <c r="I3778" s="173"/>
      <c r="J3778" s="173">
        <v>0</v>
      </c>
      <c r="K3778" s="173">
        <v>0</v>
      </c>
      <c r="L3778" s="174"/>
      <c r="M3778" s="49"/>
      <c r="N3778" s="161"/>
      <c r="O3778" s="161"/>
      <c r="P3778" s="49"/>
      <c r="Q3778" s="166"/>
      <c r="R3778" s="151"/>
    </row>
    <row r="3779" spans="1:18">
      <c r="A3779" s="49" t="s">
        <v>89</v>
      </c>
      <c r="B3779" s="49" t="s">
        <v>1101</v>
      </c>
      <c r="C3779" s="88" t="s">
        <v>7946</v>
      </c>
      <c r="D3779" s="161" t="s">
        <v>7946</v>
      </c>
      <c r="E3779" s="161" t="s">
        <v>7839</v>
      </c>
      <c r="F3779" s="161" t="s">
        <v>7916</v>
      </c>
      <c r="G3779" s="163">
        <v>7.9</v>
      </c>
      <c r="H3779" s="163">
        <v>7.9</v>
      </c>
      <c r="I3779" s="173"/>
      <c r="J3779" s="173">
        <v>3878</v>
      </c>
      <c r="K3779" s="173">
        <v>3878</v>
      </c>
      <c r="L3779" s="174"/>
      <c r="M3779" s="49"/>
      <c r="N3779" s="161"/>
      <c r="O3779" s="161" t="s">
        <v>14</v>
      </c>
      <c r="P3779" s="49" t="s">
        <v>14</v>
      </c>
      <c r="Q3779" s="166"/>
      <c r="R3779" s="151"/>
    </row>
    <row r="3780" spans="1:18">
      <c r="A3780" s="49" t="s">
        <v>89</v>
      </c>
      <c r="B3780" s="49" t="s">
        <v>1104</v>
      </c>
      <c r="C3780" s="135" t="s">
        <v>1105</v>
      </c>
      <c r="D3780" s="161" t="s">
        <v>1105</v>
      </c>
      <c r="E3780" s="161" t="s">
        <v>7839</v>
      </c>
      <c r="F3780" s="161" t="s">
        <v>7845</v>
      </c>
      <c r="G3780" s="163">
        <v>0</v>
      </c>
      <c r="H3780" s="163">
        <v>0</v>
      </c>
      <c r="I3780" s="173">
        <v>1.33</v>
      </c>
      <c r="J3780" s="173">
        <v>0</v>
      </c>
      <c r="K3780" s="173">
        <v>0</v>
      </c>
      <c r="L3780" s="174"/>
      <c r="M3780" s="49"/>
      <c r="N3780" s="161"/>
      <c r="O3780" s="161"/>
      <c r="P3780" s="49"/>
      <c r="Q3780" s="166"/>
      <c r="R3780" s="151"/>
    </row>
    <row r="3781" spans="1:18">
      <c r="A3781" s="49" t="s">
        <v>89</v>
      </c>
      <c r="B3781" s="49" t="s">
        <v>1104</v>
      </c>
      <c r="C3781" s="88" t="s">
        <v>7947</v>
      </c>
      <c r="D3781" s="161" t="s">
        <v>7947</v>
      </c>
      <c r="E3781" s="161" t="s">
        <v>7839</v>
      </c>
      <c r="F3781" s="161" t="s">
        <v>7845</v>
      </c>
      <c r="G3781" s="163">
        <v>7.2</v>
      </c>
      <c r="H3781" s="163">
        <v>7.2</v>
      </c>
      <c r="I3781" s="173"/>
      <c r="J3781" s="173">
        <v>2302</v>
      </c>
      <c r="K3781" s="173">
        <v>2302</v>
      </c>
      <c r="L3781" s="174"/>
      <c r="M3781" s="49"/>
      <c r="N3781" s="161"/>
      <c r="O3781" s="161" t="s">
        <v>14</v>
      </c>
      <c r="P3781" s="49" t="s">
        <v>14</v>
      </c>
      <c r="Q3781" s="166"/>
      <c r="R3781" s="151"/>
    </row>
    <row r="3782" spans="1:18">
      <c r="A3782" s="49" t="s">
        <v>89</v>
      </c>
      <c r="B3782" s="49" t="s">
        <v>1107</v>
      </c>
      <c r="C3782" s="135" t="s">
        <v>1108</v>
      </c>
      <c r="D3782" s="161" t="s">
        <v>1108</v>
      </c>
      <c r="E3782" s="161" t="s">
        <v>7839</v>
      </c>
      <c r="F3782" s="161" t="s">
        <v>7845</v>
      </c>
      <c r="G3782" s="163">
        <v>0</v>
      </c>
      <c r="H3782" s="163">
        <v>0</v>
      </c>
      <c r="I3782" s="173">
        <v>2.67</v>
      </c>
      <c r="J3782" s="173">
        <v>0</v>
      </c>
      <c r="K3782" s="173">
        <v>0</v>
      </c>
      <c r="L3782" s="174"/>
      <c r="M3782" s="49"/>
      <c r="N3782" s="161"/>
      <c r="O3782" s="161"/>
      <c r="P3782" s="49"/>
      <c r="Q3782" s="166"/>
      <c r="R3782" s="151"/>
    </row>
    <row r="3783" spans="1:18">
      <c r="A3783" s="49" t="s">
        <v>89</v>
      </c>
      <c r="B3783" s="49" t="s">
        <v>1107</v>
      </c>
      <c r="C3783" s="88" t="s">
        <v>7948</v>
      </c>
      <c r="D3783" s="161" t="s">
        <v>7949</v>
      </c>
      <c r="E3783" s="161" t="s">
        <v>7839</v>
      </c>
      <c r="F3783" s="161" t="s">
        <v>7845</v>
      </c>
      <c r="G3783" s="163">
        <f>G3782+H3783</f>
        <v>7.69</v>
      </c>
      <c r="H3783" s="163">
        <v>7.69</v>
      </c>
      <c r="I3783" s="173">
        <v>3.51</v>
      </c>
      <c r="J3783" s="173">
        <v>3753</v>
      </c>
      <c r="K3783" s="173">
        <f t="shared" ref="K3783:K3796" si="279">J3783+K3782</f>
        <v>3753</v>
      </c>
      <c r="L3783" s="174"/>
      <c r="M3783" s="49"/>
      <c r="N3783" s="161" t="s">
        <v>1299</v>
      </c>
      <c r="O3783" s="161" t="s">
        <v>25</v>
      </c>
      <c r="P3783" s="49" t="s">
        <v>25</v>
      </c>
      <c r="Q3783" s="166"/>
      <c r="R3783" s="151"/>
    </row>
    <row r="3784" spans="1:18">
      <c r="A3784" s="49" t="s">
        <v>89</v>
      </c>
      <c r="B3784" s="49" t="s">
        <v>1107</v>
      </c>
      <c r="C3784" s="88" t="s">
        <v>7950</v>
      </c>
      <c r="D3784" s="161" t="s">
        <v>7951</v>
      </c>
      <c r="E3784" s="161" t="s">
        <v>7839</v>
      </c>
      <c r="F3784" s="161" t="s">
        <v>7845</v>
      </c>
      <c r="G3784" s="163">
        <f t="shared" ref="G3784:G3796" si="280">G3783+H3784</f>
        <v>16.13</v>
      </c>
      <c r="H3784" s="163">
        <v>8.44</v>
      </c>
      <c r="I3784" s="173">
        <v>5.8</v>
      </c>
      <c r="J3784" s="173">
        <v>4114</v>
      </c>
      <c r="K3784" s="173">
        <f t="shared" si="279"/>
        <v>7867</v>
      </c>
      <c r="L3784" s="174"/>
      <c r="M3784" s="49"/>
      <c r="N3784" s="161" t="s">
        <v>1299</v>
      </c>
      <c r="O3784" s="161" t="s">
        <v>25</v>
      </c>
      <c r="P3784" s="49" t="s">
        <v>25</v>
      </c>
      <c r="Q3784" s="166"/>
      <c r="R3784" s="151"/>
    </row>
    <row r="3785" spans="1:18">
      <c r="A3785" s="49" t="s">
        <v>89</v>
      </c>
      <c r="B3785" s="49" t="s">
        <v>1107</v>
      </c>
      <c r="C3785" s="88" t="s">
        <v>7952</v>
      </c>
      <c r="D3785" s="161" t="s">
        <v>7953</v>
      </c>
      <c r="E3785" s="161" t="s">
        <v>7839</v>
      </c>
      <c r="F3785" s="161" t="s">
        <v>7845</v>
      </c>
      <c r="G3785" s="163">
        <f t="shared" si="280"/>
        <v>28.51</v>
      </c>
      <c r="H3785" s="163">
        <v>12.38</v>
      </c>
      <c r="I3785" s="173">
        <v>5.4</v>
      </c>
      <c r="J3785" s="173">
        <v>6038</v>
      </c>
      <c r="K3785" s="173">
        <f t="shared" si="279"/>
        <v>13905</v>
      </c>
      <c r="L3785" s="174"/>
      <c r="M3785" s="49"/>
      <c r="N3785" s="161" t="s">
        <v>1299</v>
      </c>
      <c r="O3785" s="161" t="s">
        <v>25</v>
      </c>
      <c r="P3785" s="49" t="s">
        <v>25</v>
      </c>
      <c r="Q3785" s="166"/>
      <c r="R3785" s="151"/>
    </row>
    <row r="3786" spans="1:18">
      <c r="A3786" s="49" t="s">
        <v>89</v>
      </c>
      <c r="B3786" s="49" t="s">
        <v>1107</v>
      </c>
      <c r="C3786" s="88" t="s">
        <v>7954</v>
      </c>
      <c r="D3786" s="161" t="s">
        <v>7954</v>
      </c>
      <c r="E3786" s="161" t="s">
        <v>7839</v>
      </c>
      <c r="F3786" s="161" t="s">
        <v>7845</v>
      </c>
      <c r="G3786" s="163">
        <f t="shared" si="280"/>
        <v>44.849</v>
      </c>
      <c r="H3786" s="163">
        <v>16.339</v>
      </c>
      <c r="I3786" s="173">
        <v>14.7</v>
      </c>
      <c r="J3786" s="173">
        <v>7968</v>
      </c>
      <c r="K3786" s="173">
        <f t="shared" si="279"/>
        <v>21873</v>
      </c>
      <c r="L3786" s="174"/>
      <c r="M3786" s="49"/>
      <c r="N3786" s="161"/>
      <c r="O3786" s="161" t="s">
        <v>14</v>
      </c>
      <c r="P3786" s="49" t="s">
        <v>14</v>
      </c>
      <c r="Q3786" s="166"/>
      <c r="R3786" s="151"/>
    </row>
    <row r="3787" spans="1:18">
      <c r="A3787" s="49" t="s">
        <v>89</v>
      </c>
      <c r="B3787" s="49" t="s">
        <v>1107</v>
      </c>
      <c r="C3787" s="88" t="s">
        <v>7955</v>
      </c>
      <c r="D3787" s="161" t="s">
        <v>7956</v>
      </c>
      <c r="E3787" s="161" t="s">
        <v>7839</v>
      </c>
      <c r="F3787" s="161" t="s">
        <v>7845</v>
      </c>
      <c r="G3787" s="163">
        <f t="shared" si="280"/>
        <v>66.509</v>
      </c>
      <c r="H3787" s="163">
        <v>21.66</v>
      </c>
      <c r="I3787" s="173">
        <v>9.06</v>
      </c>
      <c r="J3787" s="173">
        <v>10564</v>
      </c>
      <c r="K3787" s="173">
        <f t="shared" si="279"/>
        <v>32437</v>
      </c>
      <c r="L3787" s="174"/>
      <c r="M3787" s="49"/>
      <c r="N3787" s="161" t="s">
        <v>1299</v>
      </c>
      <c r="O3787" s="161" t="s">
        <v>25</v>
      </c>
      <c r="P3787" s="49" t="s">
        <v>25</v>
      </c>
      <c r="Q3787" s="166"/>
      <c r="R3787" s="151"/>
    </row>
    <row r="3788" spans="1:18">
      <c r="A3788" s="49" t="s">
        <v>89</v>
      </c>
      <c r="B3788" s="49" t="s">
        <v>1107</v>
      </c>
      <c r="C3788" s="88" t="s">
        <v>7957</v>
      </c>
      <c r="D3788" s="161" t="s">
        <v>7957</v>
      </c>
      <c r="E3788" s="161" t="s">
        <v>7839</v>
      </c>
      <c r="F3788" s="161" t="s">
        <v>7845</v>
      </c>
      <c r="G3788" s="163">
        <f t="shared" si="280"/>
        <v>80.709</v>
      </c>
      <c r="H3788" s="163">
        <v>14.2</v>
      </c>
      <c r="I3788" s="173">
        <v>57.32</v>
      </c>
      <c r="J3788" s="173">
        <v>6925</v>
      </c>
      <c r="K3788" s="173">
        <f t="shared" si="279"/>
        <v>39362</v>
      </c>
      <c r="L3788" s="174"/>
      <c r="M3788" s="49"/>
      <c r="N3788" s="161"/>
      <c r="O3788" s="161" t="s">
        <v>14</v>
      </c>
      <c r="P3788" s="49" t="s">
        <v>14</v>
      </c>
      <c r="Q3788" s="166"/>
      <c r="R3788" s="151"/>
    </row>
    <row r="3789" spans="1:18">
      <c r="A3789" s="49" t="s">
        <v>89</v>
      </c>
      <c r="B3789" s="49" t="s">
        <v>1107</v>
      </c>
      <c r="C3789" s="88" t="s">
        <v>7958</v>
      </c>
      <c r="D3789" s="161" t="s">
        <v>7959</v>
      </c>
      <c r="E3789" s="161" t="s">
        <v>7839</v>
      </c>
      <c r="F3789" s="161" t="s">
        <v>7845</v>
      </c>
      <c r="G3789" s="163">
        <f t="shared" si="280"/>
        <v>98.109</v>
      </c>
      <c r="H3789" s="163">
        <v>17.4</v>
      </c>
      <c r="I3789" s="173">
        <v>88.81</v>
      </c>
      <c r="J3789" s="173">
        <v>8071</v>
      </c>
      <c r="K3789" s="173">
        <f t="shared" si="279"/>
        <v>47433</v>
      </c>
      <c r="L3789" s="174"/>
      <c r="M3789" s="49"/>
      <c r="N3789" s="161" t="s">
        <v>1299</v>
      </c>
      <c r="O3789" s="161" t="s">
        <v>25</v>
      </c>
      <c r="P3789" s="49" t="s">
        <v>25</v>
      </c>
      <c r="Q3789" s="166"/>
      <c r="R3789" s="151"/>
    </row>
    <row r="3790" spans="1:18">
      <c r="A3790" s="49" t="s">
        <v>89</v>
      </c>
      <c r="B3790" s="49" t="s">
        <v>1107</v>
      </c>
      <c r="C3790" s="88" t="s">
        <v>7960</v>
      </c>
      <c r="D3790" s="161" t="s">
        <v>7961</v>
      </c>
      <c r="E3790" s="161" t="s">
        <v>7839</v>
      </c>
      <c r="F3790" s="161" t="s">
        <v>7845</v>
      </c>
      <c r="G3790" s="163">
        <f t="shared" si="280"/>
        <v>116.509</v>
      </c>
      <c r="H3790" s="163">
        <v>18.4</v>
      </c>
      <c r="I3790" s="173">
        <v>96.42</v>
      </c>
      <c r="J3790" s="173">
        <v>8267</v>
      </c>
      <c r="K3790" s="173">
        <f t="shared" si="279"/>
        <v>55700</v>
      </c>
      <c r="L3790" s="174"/>
      <c r="M3790" s="49"/>
      <c r="N3790" s="161" t="s">
        <v>1299</v>
      </c>
      <c r="O3790" s="161" t="s">
        <v>25</v>
      </c>
      <c r="P3790" s="49" t="s">
        <v>25</v>
      </c>
      <c r="Q3790" s="166"/>
      <c r="R3790" s="151"/>
    </row>
    <row r="3791" spans="1:18">
      <c r="A3791" s="49" t="s">
        <v>89</v>
      </c>
      <c r="B3791" s="49" t="s">
        <v>1107</v>
      </c>
      <c r="C3791" s="88" t="s">
        <v>7962</v>
      </c>
      <c r="D3791" s="161" t="s">
        <v>7963</v>
      </c>
      <c r="E3791" s="161" t="s">
        <v>7839</v>
      </c>
      <c r="F3791" s="161" t="s">
        <v>7845</v>
      </c>
      <c r="G3791" s="163">
        <f t="shared" si="280"/>
        <v>131.809</v>
      </c>
      <c r="H3791" s="163">
        <v>15.3</v>
      </c>
      <c r="I3791" s="173">
        <v>382.5</v>
      </c>
      <c r="J3791" s="173">
        <v>6995</v>
      </c>
      <c r="K3791" s="173">
        <f t="shared" si="279"/>
        <v>62695</v>
      </c>
      <c r="L3791" s="174"/>
      <c r="M3791" s="49"/>
      <c r="N3791" s="161" t="s">
        <v>1299</v>
      </c>
      <c r="O3791" s="161" t="s">
        <v>25</v>
      </c>
      <c r="P3791" s="49" t="s">
        <v>25</v>
      </c>
      <c r="Q3791" s="166"/>
      <c r="R3791" s="151"/>
    </row>
    <row r="3792" spans="1:18">
      <c r="A3792" s="49" t="s">
        <v>89</v>
      </c>
      <c r="B3792" s="49" t="s">
        <v>1107</v>
      </c>
      <c r="C3792" s="88" t="s">
        <v>7964</v>
      </c>
      <c r="D3792" s="161" t="s">
        <v>7964</v>
      </c>
      <c r="E3792" s="161" t="s">
        <v>7839</v>
      </c>
      <c r="F3792" s="161" t="s">
        <v>7845</v>
      </c>
      <c r="G3792" s="163">
        <f t="shared" si="280"/>
        <v>141.409</v>
      </c>
      <c r="H3792" s="163">
        <v>9.6</v>
      </c>
      <c r="I3792" s="173">
        <v>145.3</v>
      </c>
      <c r="J3792" s="173">
        <v>4696</v>
      </c>
      <c r="K3792" s="173">
        <f t="shared" si="279"/>
        <v>67391</v>
      </c>
      <c r="L3792" s="174"/>
      <c r="M3792" s="49"/>
      <c r="N3792" s="161"/>
      <c r="O3792" s="161" t="s">
        <v>14</v>
      </c>
      <c r="P3792" s="49" t="s">
        <v>14</v>
      </c>
      <c r="Q3792" s="166"/>
      <c r="R3792" s="151"/>
    </row>
    <row r="3793" spans="1:18">
      <c r="A3793" s="49" t="s">
        <v>89</v>
      </c>
      <c r="B3793" s="49" t="s">
        <v>1107</v>
      </c>
      <c r="C3793" s="88" t="s">
        <v>7965</v>
      </c>
      <c r="D3793" s="161" t="s">
        <v>7966</v>
      </c>
      <c r="E3793" s="161" t="s">
        <v>7839</v>
      </c>
      <c r="F3793" s="161" t="s">
        <v>7845</v>
      </c>
      <c r="G3793" s="163">
        <f t="shared" si="280"/>
        <v>154.509</v>
      </c>
      <c r="H3793" s="163">
        <v>13.1</v>
      </c>
      <c r="I3793" s="173">
        <v>89.62</v>
      </c>
      <c r="J3793" s="173">
        <v>4696</v>
      </c>
      <c r="K3793" s="173">
        <f t="shared" si="279"/>
        <v>72087</v>
      </c>
      <c r="L3793" s="174"/>
      <c r="M3793" s="49"/>
      <c r="N3793" s="161" t="s">
        <v>1299</v>
      </c>
      <c r="O3793" s="161" t="s">
        <v>25</v>
      </c>
      <c r="P3793" s="49" t="s">
        <v>25</v>
      </c>
      <c r="Q3793" s="166"/>
      <c r="R3793" s="151"/>
    </row>
    <row r="3794" spans="1:18">
      <c r="A3794" s="49" t="s">
        <v>89</v>
      </c>
      <c r="B3794" s="49" t="s">
        <v>1107</v>
      </c>
      <c r="C3794" s="88" t="s">
        <v>7967</v>
      </c>
      <c r="D3794" s="161" t="s">
        <v>7968</v>
      </c>
      <c r="E3794" s="161" t="s">
        <v>7839</v>
      </c>
      <c r="F3794" s="161" t="s">
        <v>7845</v>
      </c>
      <c r="G3794" s="163">
        <f t="shared" si="280"/>
        <v>170.309</v>
      </c>
      <c r="H3794" s="163">
        <v>15.8</v>
      </c>
      <c r="I3794" s="173">
        <v>87.15</v>
      </c>
      <c r="J3794" s="173">
        <v>7778</v>
      </c>
      <c r="K3794" s="173">
        <f t="shared" si="279"/>
        <v>79865</v>
      </c>
      <c r="L3794" s="174"/>
      <c r="M3794" s="49"/>
      <c r="N3794" s="161" t="s">
        <v>1299</v>
      </c>
      <c r="O3794" s="161" t="s">
        <v>25</v>
      </c>
      <c r="P3794" s="49" t="s">
        <v>25</v>
      </c>
      <c r="Q3794" s="166"/>
      <c r="R3794" s="151"/>
    </row>
    <row r="3795" spans="1:18">
      <c r="A3795" s="49" t="s">
        <v>89</v>
      </c>
      <c r="B3795" s="49" t="s">
        <v>1107</v>
      </c>
      <c r="C3795" s="88" t="s">
        <v>7969</v>
      </c>
      <c r="D3795" s="161" t="s">
        <v>7970</v>
      </c>
      <c r="E3795" s="161" t="s">
        <v>7839</v>
      </c>
      <c r="F3795" s="161" t="s">
        <v>7845</v>
      </c>
      <c r="G3795" s="163">
        <f t="shared" si="280"/>
        <v>182.509</v>
      </c>
      <c r="H3795" s="163">
        <v>12.2</v>
      </c>
      <c r="I3795" s="173">
        <v>57.04</v>
      </c>
      <c r="J3795" s="173">
        <v>6066</v>
      </c>
      <c r="K3795" s="173">
        <f t="shared" si="279"/>
        <v>85931</v>
      </c>
      <c r="L3795" s="174"/>
      <c r="M3795" s="49"/>
      <c r="N3795" s="161" t="s">
        <v>1299</v>
      </c>
      <c r="O3795" s="161" t="s">
        <v>25</v>
      </c>
      <c r="P3795" s="49" t="s">
        <v>25</v>
      </c>
      <c r="Q3795" s="166"/>
      <c r="R3795" s="151"/>
    </row>
    <row r="3796" spans="1:18">
      <c r="A3796" s="49" t="s">
        <v>89</v>
      </c>
      <c r="B3796" s="49" t="s">
        <v>1107</v>
      </c>
      <c r="C3796" s="135" t="s">
        <v>1109</v>
      </c>
      <c r="D3796" s="161" t="s">
        <v>1109</v>
      </c>
      <c r="E3796" s="161" t="s">
        <v>7839</v>
      </c>
      <c r="F3796" s="161" t="s">
        <v>7845</v>
      </c>
      <c r="G3796" s="163">
        <f t="shared" si="280"/>
        <v>195.809</v>
      </c>
      <c r="H3796" s="163">
        <v>13.3</v>
      </c>
      <c r="I3796" s="173">
        <v>97.55</v>
      </c>
      <c r="J3796" s="173">
        <v>6555</v>
      </c>
      <c r="K3796" s="173">
        <f t="shared" si="279"/>
        <v>92486</v>
      </c>
      <c r="L3796" s="174"/>
      <c r="M3796" s="49"/>
      <c r="N3796" s="161"/>
      <c r="O3796" s="161"/>
      <c r="P3796" s="49"/>
      <c r="Q3796" s="166"/>
      <c r="R3796" s="151"/>
    </row>
    <row r="3797" spans="1:18">
      <c r="A3797" s="49" t="s">
        <v>89</v>
      </c>
      <c r="B3797" s="49" t="s">
        <v>1110</v>
      </c>
      <c r="C3797" s="88" t="s">
        <v>1111</v>
      </c>
      <c r="D3797" s="161" t="s">
        <v>1111</v>
      </c>
      <c r="E3797" s="161" t="s">
        <v>7839</v>
      </c>
      <c r="F3797" s="161" t="s">
        <v>7845</v>
      </c>
      <c r="G3797" s="163">
        <v>0</v>
      </c>
      <c r="H3797" s="163">
        <v>0</v>
      </c>
      <c r="I3797" s="173"/>
      <c r="J3797" s="173">
        <v>0</v>
      </c>
      <c r="K3797" s="173">
        <v>0</v>
      </c>
      <c r="L3797" s="174"/>
      <c r="M3797" s="49"/>
      <c r="N3797" s="161"/>
      <c r="O3797" s="161" t="s">
        <v>14</v>
      </c>
      <c r="P3797" s="49" t="s">
        <v>14</v>
      </c>
      <c r="Q3797" s="166"/>
      <c r="R3797" s="151"/>
    </row>
    <row r="3798" spans="1:18">
      <c r="A3798" s="49" t="s">
        <v>89</v>
      </c>
      <c r="B3798" s="49" t="s">
        <v>1110</v>
      </c>
      <c r="C3798" s="88" t="s">
        <v>7971</v>
      </c>
      <c r="D3798" s="161" t="s">
        <v>7971</v>
      </c>
      <c r="E3798" s="161" t="s">
        <v>7839</v>
      </c>
      <c r="F3798" s="161" t="s">
        <v>7845</v>
      </c>
      <c r="G3798" s="163">
        <f>G3797+H3798</f>
        <v>0.75</v>
      </c>
      <c r="H3798" s="163">
        <v>0.75</v>
      </c>
      <c r="I3798" s="173"/>
      <c r="J3798" s="173">
        <v>362</v>
      </c>
      <c r="K3798" s="173">
        <f t="shared" ref="K3798:K3807" si="281">J3798+K3797</f>
        <v>362</v>
      </c>
      <c r="L3798" s="174"/>
      <c r="M3798" s="49"/>
      <c r="N3798" s="161"/>
      <c r="O3798" s="161" t="s">
        <v>15</v>
      </c>
      <c r="P3798" s="49" t="s">
        <v>15</v>
      </c>
      <c r="Q3798" s="166"/>
      <c r="R3798" s="151"/>
    </row>
    <row r="3799" spans="1:18">
      <c r="A3799" s="49" t="s">
        <v>89</v>
      </c>
      <c r="B3799" s="49" t="s">
        <v>1110</v>
      </c>
      <c r="C3799" s="88" t="s">
        <v>7972</v>
      </c>
      <c r="D3799" s="161" t="s">
        <v>7973</v>
      </c>
      <c r="E3799" s="161" t="s">
        <v>7839</v>
      </c>
      <c r="F3799" s="161" t="s">
        <v>7845</v>
      </c>
      <c r="G3799" s="163">
        <f t="shared" ref="G3799:G3807" si="282">G3798+H3799</f>
        <v>12.35</v>
      </c>
      <c r="H3799" s="163">
        <v>11.6</v>
      </c>
      <c r="I3799" s="173">
        <v>16.2</v>
      </c>
      <c r="J3799" s="173">
        <v>5949</v>
      </c>
      <c r="K3799" s="173">
        <f t="shared" si="281"/>
        <v>6311</v>
      </c>
      <c r="L3799" s="174"/>
      <c r="M3799" s="49"/>
      <c r="N3799" s="161" t="s">
        <v>1299</v>
      </c>
      <c r="O3799" s="161" t="s">
        <v>25</v>
      </c>
      <c r="P3799" s="49" t="s">
        <v>25</v>
      </c>
      <c r="Q3799" s="166"/>
      <c r="R3799" s="151"/>
    </row>
    <row r="3800" spans="1:18">
      <c r="A3800" s="49" t="s">
        <v>89</v>
      </c>
      <c r="B3800" s="49" t="s">
        <v>1110</v>
      </c>
      <c r="C3800" s="88" t="s">
        <v>7974</v>
      </c>
      <c r="D3800" s="161" t="s">
        <v>7975</v>
      </c>
      <c r="E3800" s="161" t="s">
        <v>7839</v>
      </c>
      <c r="F3800" s="161" t="s">
        <v>7845</v>
      </c>
      <c r="G3800" s="163">
        <f t="shared" si="282"/>
        <v>20.35</v>
      </c>
      <c r="H3800" s="163">
        <v>8</v>
      </c>
      <c r="I3800" s="173">
        <v>12.3</v>
      </c>
      <c r="J3800" s="173">
        <v>4021</v>
      </c>
      <c r="K3800" s="173">
        <f t="shared" si="281"/>
        <v>10332</v>
      </c>
      <c r="L3800" s="174"/>
      <c r="M3800" s="49"/>
      <c r="N3800" s="161" t="s">
        <v>1299</v>
      </c>
      <c r="O3800" s="161" t="s">
        <v>25</v>
      </c>
      <c r="P3800" s="49" t="s">
        <v>25</v>
      </c>
      <c r="Q3800" s="166"/>
      <c r="R3800" s="151"/>
    </row>
    <row r="3801" spans="1:18">
      <c r="A3801" s="49" t="s">
        <v>89</v>
      </c>
      <c r="B3801" s="49" t="s">
        <v>1110</v>
      </c>
      <c r="C3801" s="88" t="s">
        <v>7976</v>
      </c>
      <c r="D3801" s="161" t="s">
        <v>7977</v>
      </c>
      <c r="E3801" s="161" t="s">
        <v>7839</v>
      </c>
      <c r="F3801" s="161" t="s">
        <v>7845</v>
      </c>
      <c r="G3801" s="163">
        <f t="shared" si="282"/>
        <v>26.35</v>
      </c>
      <c r="H3801" s="163">
        <v>6</v>
      </c>
      <c r="I3801" s="173">
        <v>17.3</v>
      </c>
      <c r="J3801" s="173">
        <v>2759</v>
      </c>
      <c r="K3801" s="173">
        <f t="shared" si="281"/>
        <v>13091</v>
      </c>
      <c r="L3801" s="174"/>
      <c r="M3801" s="49"/>
      <c r="N3801" s="161" t="s">
        <v>1299</v>
      </c>
      <c r="O3801" s="161" t="s">
        <v>25</v>
      </c>
      <c r="P3801" s="49" t="s">
        <v>25</v>
      </c>
      <c r="Q3801" s="166"/>
      <c r="R3801" s="151"/>
    </row>
    <row r="3802" spans="1:18">
      <c r="A3802" s="49" t="s">
        <v>89</v>
      </c>
      <c r="B3802" s="49" t="s">
        <v>1110</v>
      </c>
      <c r="C3802" s="88" t="s">
        <v>7978</v>
      </c>
      <c r="D3802" s="161" t="s">
        <v>7979</v>
      </c>
      <c r="E3802" s="161" t="s">
        <v>7839</v>
      </c>
      <c r="F3802" s="161" t="s">
        <v>7845</v>
      </c>
      <c r="G3802" s="163">
        <f t="shared" si="282"/>
        <v>43.35</v>
      </c>
      <c r="H3802" s="163">
        <v>17</v>
      </c>
      <c r="I3802" s="173">
        <v>72.3</v>
      </c>
      <c r="J3802" s="173">
        <v>7853</v>
      </c>
      <c r="K3802" s="173">
        <f t="shared" si="281"/>
        <v>20944</v>
      </c>
      <c r="L3802" s="174"/>
      <c r="M3802" s="49"/>
      <c r="N3802" s="161" t="s">
        <v>1299</v>
      </c>
      <c r="O3802" s="161" t="s">
        <v>25</v>
      </c>
      <c r="P3802" s="49" t="s">
        <v>25</v>
      </c>
      <c r="Q3802" s="166"/>
      <c r="R3802" s="151"/>
    </row>
    <row r="3803" spans="1:18">
      <c r="A3803" s="49" t="s">
        <v>89</v>
      </c>
      <c r="B3803" s="49" t="s">
        <v>1110</v>
      </c>
      <c r="C3803" s="88" t="s">
        <v>1115</v>
      </c>
      <c r="D3803" s="161" t="s">
        <v>7980</v>
      </c>
      <c r="E3803" s="161" t="s">
        <v>7839</v>
      </c>
      <c r="F3803" s="161" t="s">
        <v>7845</v>
      </c>
      <c r="G3803" s="163">
        <f t="shared" si="282"/>
        <v>59.35</v>
      </c>
      <c r="H3803" s="163">
        <v>16</v>
      </c>
      <c r="I3803" s="173">
        <v>58.4</v>
      </c>
      <c r="J3803" s="173">
        <v>7577</v>
      </c>
      <c r="K3803" s="173">
        <f t="shared" si="281"/>
        <v>28521</v>
      </c>
      <c r="L3803" s="174"/>
      <c r="M3803" s="49"/>
      <c r="N3803" s="161"/>
      <c r="O3803" s="161" t="s">
        <v>14</v>
      </c>
      <c r="P3803" s="49" t="s">
        <v>14</v>
      </c>
      <c r="Q3803" s="166"/>
      <c r="R3803" s="151"/>
    </row>
    <row r="3804" spans="1:18">
      <c r="A3804" s="49" t="s">
        <v>89</v>
      </c>
      <c r="B3804" s="49" t="s">
        <v>1110</v>
      </c>
      <c r="C3804" s="88" t="s">
        <v>7981</v>
      </c>
      <c r="D3804" s="161" t="s">
        <v>7982</v>
      </c>
      <c r="E3804" s="161" t="s">
        <v>7839</v>
      </c>
      <c r="F3804" s="161" t="s">
        <v>7845</v>
      </c>
      <c r="G3804" s="163">
        <f t="shared" si="282"/>
        <v>77.05</v>
      </c>
      <c r="H3804" s="163">
        <v>17.7</v>
      </c>
      <c r="I3804" s="173">
        <v>57</v>
      </c>
      <c r="J3804" s="173">
        <v>8568</v>
      </c>
      <c r="K3804" s="173">
        <f t="shared" si="281"/>
        <v>37089</v>
      </c>
      <c r="L3804" s="174"/>
      <c r="M3804" s="49"/>
      <c r="N3804" s="161" t="s">
        <v>1299</v>
      </c>
      <c r="O3804" s="161" t="s">
        <v>25</v>
      </c>
      <c r="P3804" s="49" t="s">
        <v>25</v>
      </c>
      <c r="Q3804" s="166"/>
      <c r="R3804" s="151"/>
    </row>
    <row r="3805" spans="1:18">
      <c r="A3805" s="49" t="s">
        <v>89</v>
      </c>
      <c r="B3805" s="49" t="s">
        <v>1110</v>
      </c>
      <c r="C3805" s="88" t="s">
        <v>7983</v>
      </c>
      <c r="D3805" s="161" t="s">
        <v>7984</v>
      </c>
      <c r="E3805" s="161" t="s">
        <v>7839</v>
      </c>
      <c r="F3805" s="161" t="s">
        <v>7985</v>
      </c>
      <c r="G3805" s="163">
        <f t="shared" si="282"/>
        <v>91.95</v>
      </c>
      <c r="H3805" s="163">
        <v>14.9</v>
      </c>
      <c r="I3805" s="173">
        <v>171.5</v>
      </c>
      <c r="J3805" s="173">
        <v>7432</v>
      </c>
      <c r="K3805" s="173">
        <f t="shared" si="281"/>
        <v>44521</v>
      </c>
      <c r="L3805" s="174"/>
      <c r="M3805" s="49"/>
      <c r="N3805" s="161" t="s">
        <v>1299</v>
      </c>
      <c r="O3805" s="161" t="s">
        <v>25</v>
      </c>
      <c r="P3805" s="49" t="s">
        <v>25</v>
      </c>
      <c r="Q3805" s="166"/>
      <c r="R3805" s="151"/>
    </row>
    <row r="3806" spans="1:18">
      <c r="A3806" s="49" t="s">
        <v>89</v>
      </c>
      <c r="B3806" s="49" t="s">
        <v>1110</v>
      </c>
      <c r="C3806" s="88" t="s">
        <v>7986</v>
      </c>
      <c r="D3806" s="161" t="s">
        <v>7987</v>
      </c>
      <c r="E3806" s="161" t="s">
        <v>7839</v>
      </c>
      <c r="F3806" s="161" t="s">
        <v>7985</v>
      </c>
      <c r="G3806" s="163">
        <f t="shared" si="282"/>
        <v>105.25</v>
      </c>
      <c r="H3806" s="163">
        <v>13.3</v>
      </c>
      <c r="I3806" s="173">
        <v>65.3</v>
      </c>
      <c r="J3806" s="173">
        <v>6553</v>
      </c>
      <c r="K3806" s="173">
        <f t="shared" si="281"/>
        <v>51074</v>
      </c>
      <c r="L3806" s="174"/>
      <c r="M3806" s="49"/>
      <c r="N3806" s="161" t="s">
        <v>1299</v>
      </c>
      <c r="O3806" s="161" t="s">
        <v>25</v>
      </c>
      <c r="P3806" s="49" t="s">
        <v>25</v>
      </c>
      <c r="Q3806" s="166"/>
      <c r="R3806" s="151"/>
    </row>
    <row r="3807" spans="1:18">
      <c r="A3807" s="49" t="s">
        <v>89</v>
      </c>
      <c r="B3807" s="49" t="s">
        <v>1110</v>
      </c>
      <c r="C3807" s="88" t="s">
        <v>1112</v>
      </c>
      <c r="D3807" s="161" t="s">
        <v>1112</v>
      </c>
      <c r="E3807" s="161" t="s">
        <v>7839</v>
      </c>
      <c r="F3807" s="161" t="s">
        <v>7985</v>
      </c>
      <c r="G3807" s="163">
        <f t="shared" si="282"/>
        <v>121.15</v>
      </c>
      <c r="H3807" s="163">
        <v>15.9</v>
      </c>
      <c r="I3807" s="173">
        <v>76.3</v>
      </c>
      <c r="J3807" s="173">
        <v>7560</v>
      </c>
      <c r="K3807" s="173">
        <f t="shared" si="281"/>
        <v>58634</v>
      </c>
      <c r="L3807" s="174"/>
      <c r="M3807" s="49"/>
      <c r="N3807" s="161"/>
      <c r="O3807" s="161" t="s">
        <v>14</v>
      </c>
      <c r="P3807" s="49" t="s">
        <v>14</v>
      </c>
      <c r="Q3807" s="166"/>
      <c r="R3807" s="151"/>
    </row>
    <row r="3808" spans="1:18">
      <c r="A3808" s="49" t="s">
        <v>89</v>
      </c>
      <c r="B3808" s="49" t="s">
        <v>1113</v>
      </c>
      <c r="C3808" s="135" t="s">
        <v>3024</v>
      </c>
      <c r="D3808" s="161" t="s">
        <v>3024</v>
      </c>
      <c r="E3808" s="161" t="s">
        <v>7839</v>
      </c>
      <c r="F3808" s="161" t="s">
        <v>7845</v>
      </c>
      <c r="G3808" s="163">
        <v>0</v>
      </c>
      <c r="H3808" s="163">
        <v>0</v>
      </c>
      <c r="I3808" s="173"/>
      <c r="J3808" s="173">
        <v>0</v>
      </c>
      <c r="K3808" s="173">
        <v>0</v>
      </c>
      <c r="L3808" s="174"/>
      <c r="M3808" s="49"/>
      <c r="N3808" s="161"/>
      <c r="O3808" s="161"/>
      <c r="P3808" s="49"/>
      <c r="Q3808" s="166" t="s">
        <v>3028</v>
      </c>
      <c r="R3808" s="151"/>
    </row>
    <row r="3809" spans="1:18">
      <c r="A3809" s="49" t="s">
        <v>89</v>
      </c>
      <c r="B3809" s="49" t="s">
        <v>1113</v>
      </c>
      <c r="C3809" s="135" t="s">
        <v>1115</v>
      </c>
      <c r="D3809" s="161" t="s">
        <v>7980</v>
      </c>
      <c r="E3809" s="161" t="s">
        <v>7839</v>
      </c>
      <c r="F3809" s="161" t="s">
        <v>7845</v>
      </c>
      <c r="G3809" s="163">
        <v>5.7</v>
      </c>
      <c r="H3809" s="163">
        <v>5.7</v>
      </c>
      <c r="I3809" s="173">
        <v>57</v>
      </c>
      <c r="J3809" s="173">
        <v>1812</v>
      </c>
      <c r="K3809" s="173">
        <v>1812</v>
      </c>
      <c r="L3809" s="174"/>
      <c r="M3809" s="49"/>
      <c r="N3809" s="161"/>
      <c r="O3809" s="161"/>
      <c r="P3809" s="49"/>
      <c r="Q3809" s="166"/>
      <c r="R3809" s="151"/>
    </row>
    <row r="3810" spans="1:18">
      <c r="A3810" s="49" t="s">
        <v>89</v>
      </c>
      <c r="B3810" s="49" t="s">
        <v>1116</v>
      </c>
      <c r="C3810" s="135" t="s">
        <v>1073</v>
      </c>
      <c r="D3810" s="161" t="s">
        <v>1073</v>
      </c>
      <c r="E3810" s="161" t="s">
        <v>7839</v>
      </c>
      <c r="F3810" s="161" t="s">
        <v>7916</v>
      </c>
      <c r="G3810" s="163">
        <v>0</v>
      </c>
      <c r="H3810" s="163">
        <v>0</v>
      </c>
      <c r="I3810" s="163">
        <v>14.6</v>
      </c>
      <c r="J3810" s="163">
        <v>0</v>
      </c>
      <c r="K3810" s="173">
        <v>0</v>
      </c>
      <c r="L3810" s="174"/>
      <c r="M3810" s="49"/>
      <c r="N3810" s="161"/>
      <c r="O3810" s="161"/>
      <c r="P3810" s="49"/>
      <c r="Q3810" s="166"/>
      <c r="R3810" s="151"/>
    </row>
    <row r="3811" spans="1:18">
      <c r="A3811" s="49" t="s">
        <v>89</v>
      </c>
      <c r="B3811" s="49" t="s">
        <v>1116</v>
      </c>
      <c r="C3811" s="88" t="s">
        <v>7988</v>
      </c>
      <c r="D3811" s="161" t="s">
        <v>7989</v>
      </c>
      <c r="E3811" s="161" t="s">
        <v>7839</v>
      </c>
      <c r="F3811" s="161" t="s">
        <v>7916</v>
      </c>
      <c r="G3811" s="163">
        <v>15.364017</v>
      </c>
      <c r="H3811" s="163">
        <f>G3811-G3810</f>
        <v>15.364017</v>
      </c>
      <c r="I3811" s="163">
        <v>8.5</v>
      </c>
      <c r="J3811" s="163">
        <v>7514</v>
      </c>
      <c r="K3811" s="173">
        <f t="shared" ref="K3811:K3825" si="283">J3811+K3810</f>
        <v>7514</v>
      </c>
      <c r="L3811" s="174"/>
      <c r="M3811" s="49"/>
      <c r="N3811" s="161" t="s">
        <v>1299</v>
      </c>
      <c r="O3811" s="161" t="s">
        <v>25</v>
      </c>
      <c r="P3811" s="49" t="s">
        <v>25</v>
      </c>
      <c r="Q3811" s="166"/>
      <c r="R3811" s="151"/>
    </row>
    <row r="3812" spans="1:18">
      <c r="A3812" s="49" t="s">
        <v>89</v>
      </c>
      <c r="B3812" s="49" t="s">
        <v>1116</v>
      </c>
      <c r="C3812" s="88" t="s">
        <v>7990</v>
      </c>
      <c r="D3812" s="161" t="s">
        <v>7991</v>
      </c>
      <c r="E3812" s="161" t="s">
        <v>7839</v>
      </c>
      <c r="F3812" s="161" t="s">
        <v>7916</v>
      </c>
      <c r="G3812" s="163">
        <v>31.088077</v>
      </c>
      <c r="H3812" s="163">
        <f t="shared" ref="H3812:H3825" si="284">G3812-G3811</f>
        <v>15.72406</v>
      </c>
      <c r="I3812" s="163">
        <v>13.83</v>
      </c>
      <c r="J3812" s="163">
        <v>7690</v>
      </c>
      <c r="K3812" s="173">
        <f t="shared" si="283"/>
        <v>15204</v>
      </c>
      <c r="L3812" s="174"/>
      <c r="M3812" s="49"/>
      <c r="N3812" s="161" t="s">
        <v>1299</v>
      </c>
      <c r="O3812" s="161" t="s">
        <v>25</v>
      </c>
      <c r="P3812" s="49" t="s">
        <v>25</v>
      </c>
      <c r="Q3812" s="166"/>
      <c r="R3812" s="151"/>
    </row>
    <row r="3813" spans="1:18">
      <c r="A3813" s="49" t="s">
        <v>89</v>
      </c>
      <c r="B3813" s="49" t="s">
        <v>1116</v>
      </c>
      <c r="C3813" s="88" t="s">
        <v>7992</v>
      </c>
      <c r="D3813" s="161" t="s">
        <v>7992</v>
      </c>
      <c r="E3813" s="161" t="s">
        <v>7839</v>
      </c>
      <c r="F3813" s="161" t="s">
        <v>7916</v>
      </c>
      <c r="G3813" s="163">
        <v>47.1296</v>
      </c>
      <c r="H3813" s="163">
        <f t="shared" si="284"/>
        <v>16.041523</v>
      </c>
      <c r="I3813" s="163">
        <v>23.05</v>
      </c>
      <c r="J3813" s="163">
        <v>7846</v>
      </c>
      <c r="K3813" s="173">
        <f t="shared" si="283"/>
        <v>23050</v>
      </c>
      <c r="L3813" s="174"/>
      <c r="M3813" s="49"/>
      <c r="N3813" s="161"/>
      <c r="O3813" s="161" t="s">
        <v>14</v>
      </c>
      <c r="P3813" s="49" t="s">
        <v>14</v>
      </c>
      <c r="Q3813" s="166"/>
      <c r="R3813" s="151"/>
    </row>
    <row r="3814" spans="1:18">
      <c r="A3814" s="49" t="s">
        <v>89</v>
      </c>
      <c r="B3814" s="49" t="s">
        <v>1116</v>
      </c>
      <c r="C3814" s="88" t="s">
        <v>7993</v>
      </c>
      <c r="D3814" s="161" t="s">
        <v>7994</v>
      </c>
      <c r="E3814" s="161" t="s">
        <v>7839</v>
      </c>
      <c r="F3814" s="161" t="s">
        <v>7916</v>
      </c>
      <c r="G3814" s="163">
        <v>60.465681</v>
      </c>
      <c r="H3814" s="163">
        <f t="shared" si="284"/>
        <v>13.336081</v>
      </c>
      <c r="I3814" s="163">
        <v>34.32</v>
      </c>
      <c r="J3814" s="163">
        <v>6526</v>
      </c>
      <c r="K3814" s="173">
        <f t="shared" si="283"/>
        <v>29576</v>
      </c>
      <c r="L3814" s="174"/>
      <c r="M3814" s="49"/>
      <c r="N3814" s="161" t="s">
        <v>1299</v>
      </c>
      <c r="O3814" s="161" t="s">
        <v>25</v>
      </c>
      <c r="P3814" s="49" t="s">
        <v>25</v>
      </c>
      <c r="Q3814" s="166"/>
      <c r="R3814" s="151"/>
    </row>
    <row r="3815" spans="1:18">
      <c r="A3815" s="49" t="s">
        <v>89</v>
      </c>
      <c r="B3815" s="49" t="s">
        <v>1116</v>
      </c>
      <c r="C3815" s="88" t="s">
        <v>1129</v>
      </c>
      <c r="D3815" s="161" t="s">
        <v>7995</v>
      </c>
      <c r="E3815" s="161" t="s">
        <v>7839</v>
      </c>
      <c r="F3815" s="161" t="s">
        <v>7916</v>
      </c>
      <c r="G3815" s="163">
        <v>78.48365</v>
      </c>
      <c r="H3815" s="163">
        <f t="shared" si="284"/>
        <v>18.017969</v>
      </c>
      <c r="I3815" s="163">
        <v>13.03</v>
      </c>
      <c r="J3815" s="163">
        <v>8815</v>
      </c>
      <c r="K3815" s="173">
        <f t="shared" si="283"/>
        <v>38391</v>
      </c>
      <c r="L3815" s="174"/>
      <c r="M3815" s="49"/>
      <c r="N3815" s="161" t="s">
        <v>1299</v>
      </c>
      <c r="O3815" s="161" t="s">
        <v>25</v>
      </c>
      <c r="P3815" s="49" t="s">
        <v>25</v>
      </c>
      <c r="Q3815" s="166"/>
      <c r="R3815" s="151"/>
    </row>
    <row r="3816" spans="1:18">
      <c r="A3816" s="49" t="s">
        <v>89</v>
      </c>
      <c r="B3816" s="49" t="s">
        <v>1116</v>
      </c>
      <c r="C3816" s="88" t="s">
        <v>7996</v>
      </c>
      <c r="D3816" s="161" t="s">
        <v>7996</v>
      </c>
      <c r="E3816" s="161" t="s">
        <v>7839</v>
      </c>
      <c r="F3816" s="161" t="s">
        <v>7916</v>
      </c>
      <c r="G3816" s="163">
        <v>90.045617</v>
      </c>
      <c r="H3816" s="163">
        <f t="shared" si="284"/>
        <v>11.561967</v>
      </c>
      <c r="I3816" s="163">
        <v>79.16</v>
      </c>
      <c r="J3816" s="163">
        <v>5655</v>
      </c>
      <c r="K3816" s="173">
        <f t="shared" si="283"/>
        <v>44046</v>
      </c>
      <c r="L3816" s="174"/>
      <c r="M3816" s="49"/>
      <c r="N3816" s="161"/>
      <c r="O3816" s="161" t="s">
        <v>14</v>
      </c>
      <c r="P3816" s="49" t="s">
        <v>14</v>
      </c>
      <c r="Q3816" s="166"/>
      <c r="R3816" s="151"/>
    </row>
    <row r="3817" spans="1:18">
      <c r="A3817" s="49" t="s">
        <v>89</v>
      </c>
      <c r="B3817" s="49" t="s">
        <v>1116</v>
      </c>
      <c r="C3817" s="88" t="s">
        <v>7997</v>
      </c>
      <c r="D3817" s="161" t="s">
        <v>7998</v>
      </c>
      <c r="E3817" s="161" t="s">
        <v>7839</v>
      </c>
      <c r="F3817" s="161" t="s">
        <v>7916</v>
      </c>
      <c r="G3817" s="163">
        <v>104.905617</v>
      </c>
      <c r="H3817" s="163">
        <f t="shared" si="284"/>
        <v>14.86</v>
      </c>
      <c r="I3817" s="163">
        <v>71.11</v>
      </c>
      <c r="J3817" s="163">
        <v>7269</v>
      </c>
      <c r="K3817" s="173">
        <f t="shared" si="283"/>
        <v>51315</v>
      </c>
      <c r="L3817" s="174"/>
      <c r="M3817" s="49"/>
      <c r="N3817" s="161" t="s">
        <v>1299</v>
      </c>
      <c r="O3817" s="161" t="s">
        <v>25</v>
      </c>
      <c r="P3817" s="49" t="s">
        <v>25</v>
      </c>
      <c r="Q3817" s="166"/>
      <c r="R3817" s="151"/>
    </row>
    <row r="3818" spans="1:18">
      <c r="A3818" s="49" t="s">
        <v>89</v>
      </c>
      <c r="B3818" s="49" t="s">
        <v>1116</v>
      </c>
      <c r="C3818" s="88" t="s">
        <v>7999</v>
      </c>
      <c r="D3818" s="161" t="s">
        <v>8000</v>
      </c>
      <c r="E3818" s="161" t="s">
        <v>7839</v>
      </c>
      <c r="F3818" s="161" t="s">
        <v>7916</v>
      </c>
      <c r="G3818" s="163">
        <v>118.795617</v>
      </c>
      <c r="H3818" s="163">
        <f t="shared" si="284"/>
        <v>13.89</v>
      </c>
      <c r="I3818" s="163" t="s">
        <v>1258</v>
      </c>
      <c r="J3818" s="163">
        <v>6795</v>
      </c>
      <c r="K3818" s="173">
        <f t="shared" si="283"/>
        <v>58110</v>
      </c>
      <c r="L3818" s="174"/>
      <c r="M3818" s="49"/>
      <c r="N3818" s="161" t="s">
        <v>1299</v>
      </c>
      <c r="O3818" s="161" t="s">
        <v>25</v>
      </c>
      <c r="P3818" s="49" t="s">
        <v>25</v>
      </c>
      <c r="Q3818" s="166"/>
      <c r="R3818" s="151"/>
    </row>
    <row r="3819" spans="1:18">
      <c r="A3819" s="49" t="s">
        <v>89</v>
      </c>
      <c r="B3819" s="49" t="s">
        <v>1116</v>
      </c>
      <c r="C3819" s="88" t="s">
        <v>1109</v>
      </c>
      <c r="D3819" s="161" t="s">
        <v>1109</v>
      </c>
      <c r="E3819" s="161" t="s">
        <v>7839</v>
      </c>
      <c r="F3819" s="161" t="s">
        <v>7916</v>
      </c>
      <c r="G3819" s="163">
        <v>132.415617</v>
      </c>
      <c r="H3819" s="163">
        <f t="shared" si="284"/>
        <v>13.62</v>
      </c>
      <c r="I3819" s="163">
        <v>97.55</v>
      </c>
      <c r="J3819" s="163">
        <v>6663</v>
      </c>
      <c r="K3819" s="173">
        <f t="shared" si="283"/>
        <v>64773</v>
      </c>
      <c r="L3819" s="174"/>
      <c r="M3819" s="49"/>
      <c r="N3819" s="161"/>
      <c r="O3819" s="161" t="s">
        <v>14</v>
      </c>
      <c r="P3819" s="49" t="s">
        <v>14</v>
      </c>
      <c r="Q3819" s="166"/>
      <c r="R3819" s="151"/>
    </row>
    <row r="3820" spans="1:18">
      <c r="A3820" s="49" t="s">
        <v>89</v>
      </c>
      <c r="B3820" s="49" t="s">
        <v>1116</v>
      </c>
      <c r="C3820" s="88" t="s">
        <v>1126</v>
      </c>
      <c r="D3820" s="161" t="s">
        <v>8001</v>
      </c>
      <c r="E3820" s="161" t="s">
        <v>7839</v>
      </c>
      <c r="F3820" s="161" t="s">
        <v>7916</v>
      </c>
      <c r="G3820" s="163">
        <v>151.325617</v>
      </c>
      <c r="H3820" s="163">
        <f t="shared" si="284"/>
        <v>18.91</v>
      </c>
      <c r="I3820" s="163"/>
      <c r="J3820" s="163">
        <v>9250</v>
      </c>
      <c r="K3820" s="173">
        <f t="shared" si="283"/>
        <v>74023</v>
      </c>
      <c r="L3820" s="174"/>
      <c r="M3820" s="49"/>
      <c r="N3820" s="161" t="s">
        <v>1299</v>
      </c>
      <c r="O3820" s="161" t="s">
        <v>25</v>
      </c>
      <c r="P3820" s="49" t="s">
        <v>25</v>
      </c>
      <c r="Q3820" s="166"/>
      <c r="R3820" s="151"/>
    </row>
    <row r="3821" spans="1:18">
      <c r="A3821" s="49" t="s">
        <v>89</v>
      </c>
      <c r="B3821" s="49" t="s">
        <v>1116</v>
      </c>
      <c r="C3821" s="88" t="s">
        <v>8002</v>
      </c>
      <c r="D3821" s="161" t="s">
        <v>8002</v>
      </c>
      <c r="E3821" s="161" t="s">
        <v>7839</v>
      </c>
      <c r="F3821" s="161" t="s">
        <v>7916</v>
      </c>
      <c r="G3821" s="163">
        <v>167.275617</v>
      </c>
      <c r="H3821" s="163">
        <f t="shared" si="284"/>
        <v>15.95</v>
      </c>
      <c r="I3821" s="163"/>
      <c r="J3821" s="163">
        <v>7802</v>
      </c>
      <c r="K3821" s="173">
        <f t="shared" si="283"/>
        <v>81825</v>
      </c>
      <c r="L3821" s="174"/>
      <c r="M3821" s="49"/>
      <c r="N3821" s="161"/>
      <c r="O3821" s="161" t="s">
        <v>14</v>
      </c>
      <c r="P3821" s="49" t="s">
        <v>14</v>
      </c>
      <c r="Q3821" s="166"/>
      <c r="R3821" s="151"/>
    </row>
    <row r="3822" spans="1:18">
      <c r="A3822" s="49" t="s">
        <v>89</v>
      </c>
      <c r="B3822" s="49" t="s">
        <v>1116</v>
      </c>
      <c r="C3822" s="88" t="s">
        <v>8003</v>
      </c>
      <c r="D3822" s="161" t="s">
        <v>8004</v>
      </c>
      <c r="E3822" s="161" t="s">
        <v>7839</v>
      </c>
      <c r="F3822" s="161" t="s">
        <v>7916</v>
      </c>
      <c r="G3822" s="163">
        <v>180.465617</v>
      </c>
      <c r="H3822" s="163">
        <f t="shared" si="284"/>
        <v>13.19</v>
      </c>
      <c r="I3822" s="163"/>
      <c r="J3822" s="163">
        <v>6452</v>
      </c>
      <c r="K3822" s="173">
        <f t="shared" si="283"/>
        <v>88277</v>
      </c>
      <c r="L3822" s="174"/>
      <c r="M3822" s="49"/>
      <c r="N3822" s="161" t="s">
        <v>1299</v>
      </c>
      <c r="O3822" s="161" t="s">
        <v>25</v>
      </c>
      <c r="P3822" s="49" t="s">
        <v>25</v>
      </c>
      <c r="Q3822" s="166"/>
      <c r="R3822" s="151"/>
    </row>
    <row r="3823" spans="1:18">
      <c r="A3823" s="49" t="s">
        <v>89</v>
      </c>
      <c r="B3823" s="49" t="s">
        <v>1116</v>
      </c>
      <c r="C3823" s="88" t="s">
        <v>8005</v>
      </c>
      <c r="D3823" s="161" t="s">
        <v>8005</v>
      </c>
      <c r="E3823" s="161" t="s">
        <v>7839</v>
      </c>
      <c r="F3823" s="161" t="s">
        <v>7916</v>
      </c>
      <c r="G3823" s="163">
        <v>192.205617</v>
      </c>
      <c r="H3823" s="163">
        <f t="shared" si="284"/>
        <v>11.74</v>
      </c>
      <c r="I3823" s="163"/>
      <c r="J3823" s="163">
        <v>5743</v>
      </c>
      <c r="K3823" s="173">
        <f t="shared" si="283"/>
        <v>94020</v>
      </c>
      <c r="L3823" s="174"/>
      <c r="M3823" s="49"/>
      <c r="N3823" s="161"/>
      <c r="O3823" s="161" t="s">
        <v>14</v>
      </c>
      <c r="P3823" s="49" t="s">
        <v>14</v>
      </c>
      <c r="Q3823" s="166"/>
      <c r="R3823" s="151"/>
    </row>
    <row r="3824" spans="1:18">
      <c r="A3824" s="49" t="s">
        <v>89</v>
      </c>
      <c r="B3824" s="49" t="s">
        <v>1116</v>
      </c>
      <c r="C3824" s="88" t="s">
        <v>8006</v>
      </c>
      <c r="D3824" s="161" t="s">
        <v>8007</v>
      </c>
      <c r="E3824" s="161" t="s">
        <v>7839</v>
      </c>
      <c r="F3824" s="161" t="s">
        <v>7916</v>
      </c>
      <c r="G3824" s="163">
        <v>204.569208</v>
      </c>
      <c r="H3824" s="163">
        <f t="shared" si="284"/>
        <v>12.363591</v>
      </c>
      <c r="I3824" s="163"/>
      <c r="J3824" s="163">
        <v>7323</v>
      </c>
      <c r="K3824" s="173">
        <f t="shared" si="283"/>
        <v>101343</v>
      </c>
      <c r="L3824" s="174"/>
      <c r="M3824" s="49"/>
      <c r="N3824" s="161" t="s">
        <v>1299</v>
      </c>
      <c r="O3824" s="161" t="s">
        <v>25</v>
      </c>
      <c r="P3824" s="49" t="s">
        <v>25</v>
      </c>
      <c r="Q3824" s="166"/>
      <c r="R3824" s="151"/>
    </row>
    <row r="3825" spans="1:18">
      <c r="A3825" s="49" t="s">
        <v>89</v>
      </c>
      <c r="B3825" s="49" t="s">
        <v>1116</v>
      </c>
      <c r="C3825" s="88" t="s">
        <v>8008</v>
      </c>
      <c r="D3825" s="161" t="s">
        <v>8009</v>
      </c>
      <c r="E3825" s="161" t="s">
        <v>7839</v>
      </c>
      <c r="F3825" s="161" t="s">
        <v>7916</v>
      </c>
      <c r="G3825" s="163">
        <v>216.971267</v>
      </c>
      <c r="H3825" s="163">
        <f t="shared" si="284"/>
        <v>12.402059</v>
      </c>
      <c r="I3825" s="163">
        <v>-2.02</v>
      </c>
      <c r="J3825" s="163">
        <v>6374</v>
      </c>
      <c r="K3825" s="173">
        <f t="shared" si="283"/>
        <v>107717</v>
      </c>
      <c r="L3825" s="174"/>
      <c r="M3825" s="49"/>
      <c r="N3825" s="161" t="s">
        <v>1299</v>
      </c>
      <c r="O3825" s="161" t="s">
        <v>25</v>
      </c>
      <c r="P3825" s="49" t="s">
        <v>25</v>
      </c>
      <c r="Q3825" s="166"/>
      <c r="R3825" s="151"/>
    </row>
    <row r="3826" ht="30" spans="1:18">
      <c r="A3826" s="49" t="s">
        <v>89</v>
      </c>
      <c r="B3826" s="49" t="s">
        <v>1116</v>
      </c>
      <c r="C3826" s="88" t="s">
        <v>8010</v>
      </c>
      <c r="D3826" s="161" t="s">
        <v>8010</v>
      </c>
      <c r="E3826" s="161" t="s">
        <v>7839</v>
      </c>
      <c r="F3826" s="161" t="s">
        <v>7916</v>
      </c>
      <c r="G3826" s="163">
        <v>216.971267</v>
      </c>
      <c r="H3826" s="163">
        <f t="shared" ref="H3826:H3838" si="285">G3826-G3825</f>
        <v>0</v>
      </c>
      <c r="I3826" s="163"/>
      <c r="J3826" s="163"/>
      <c r="K3826" s="173" t="s">
        <v>147</v>
      </c>
      <c r="L3826" s="174" t="s">
        <v>8011</v>
      </c>
      <c r="M3826" s="49"/>
      <c r="N3826" s="161"/>
      <c r="O3826" s="161" t="s">
        <v>14</v>
      </c>
      <c r="P3826" s="49" t="s">
        <v>14</v>
      </c>
      <c r="Q3826" s="166"/>
      <c r="R3826" s="151"/>
    </row>
    <row r="3827" spans="1:18">
      <c r="A3827" s="49" t="s">
        <v>89</v>
      </c>
      <c r="B3827" s="49" t="s">
        <v>1116</v>
      </c>
      <c r="C3827" s="88" t="s">
        <v>8012</v>
      </c>
      <c r="D3827" s="161" t="s">
        <v>8012</v>
      </c>
      <c r="E3827" s="161" t="s">
        <v>7839</v>
      </c>
      <c r="F3827" s="161" t="s">
        <v>7916</v>
      </c>
      <c r="G3827" s="163">
        <v>228.837291</v>
      </c>
      <c r="H3827" s="163">
        <f t="shared" si="285"/>
        <v>11.866024</v>
      </c>
      <c r="I3827" s="163">
        <v>71.26</v>
      </c>
      <c r="J3827" s="163">
        <v>6579</v>
      </c>
      <c r="K3827" s="173">
        <f>J3827+K3825</f>
        <v>114296</v>
      </c>
      <c r="L3827" s="174"/>
      <c r="M3827" s="49"/>
      <c r="N3827" s="161"/>
      <c r="O3827" s="161" t="s">
        <v>14</v>
      </c>
      <c r="P3827" s="49" t="s">
        <v>14</v>
      </c>
      <c r="Q3827" s="166"/>
      <c r="R3827" s="151"/>
    </row>
    <row r="3828" spans="1:18">
      <c r="A3828" s="49" t="s">
        <v>89</v>
      </c>
      <c r="B3828" s="49" t="s">
        <v>1116</v>
      </c>
      <c r="C3828" s="88" t="s">
        <v>8013</v>
      </c>
      <c r="D3828" s="161" t="s">
        <v>8014</v>
      </c>
      <c r="E3828" s="161" t="s">
        <v>7839</v>
      </c>
      <c r="F3828" s="161" t="s">
        <v>7916</v>
      </c>
      <c r="G3828" s="163">
        <v>239.935041</v>
      </c>
      <c r="H3828" s="163">
        <f t="shared" si="285"/>
        <v>11.09775</v>
      </c>
      <c r="I3828" s="163">
        <v>380.09</v>
      </c>
      <c r="J3828" s="163">
        <v>4065</v>
      </c>
      <c r="K3828" s="173">
        <f t="shared" ref="K3828:K3838" si="286">J3828+K3827</f>
        <v>118361</v>
      </c>
      <c r="L3828" s="174"/>
      <c r="M3828" s="49"/>
      <c r="N3828" s="161" t="s">
        <v>1299</v>
      </c>
      <c r="O3828" s="161" t="s">
        <v>25</v>
      </c>
      <c r="P3828" s="49" t="s">
        <v>25</v>
      </c>
      <c r="Q3828" s="166"/>
      <c r="R3828" s="151"/>
    </row>
    <row r="3829" spans="1:18">
      <c r="A3829" s="49" t="s">
        <v>89</v>
      </c>
      <c r="B3829" s="49" t="s">
        <v>1116</v>
      </c>
      <c r="C3829" s="88" t="s">
        <v>8015</v>
      </c>
      <c r="D3829" s="161" t="s">
        <v>8016</v>
      </c>
      <c r="E3829" s="161" t="s">
        <v>7839</v>
      </c>
      <c r="F3829" s="161" t="s">
        <v>7916</v>
      </c>
      <c r="G3829" s="163">
        <v>254.989758</v>
      </c>
      <c r="H3829" s="163">
        <f t="shared" si="285"/>
        <v>15.054717</v>
      </c>
      <c r="I3829" s="163">
        <v>2.73</v>
      </c>
      <c r="J3829" s="163">
        <v>8883</v>
      </c>
      <c r="K3829" s="173">
        <f t="shared" si="286"/>
        <v>127244</v>
      </c>
      <c r="L3829" s="174"/>
      <c r="M3829" s="49"/>
      <c r="N3829" s="161" t="s">
        <v>1299</v>
      </c>
      <c r="O3829" s="161" t="s">
        <v>25</v>
      </c>
      <c r="P3829" s="49" t="s">
        <v>25</v>
      </c>
      <c r="Q3829" s="166"/>
      <c r="R3829" s="151"/>
    </row>
    <row r="3830" spans="1:18">
      <c r="A3830" s="49" t="s">
        <v>89</v>
      </c>
      <c r="B3830" s="49" t="s">
        <v>1116</v>
      </c>
      <c r="C3830" s="88" t="s">
        <v>8017</v>
      </c>
      <c r="D3830" s="161" t="s">
        <v>8018</v>
      </c>
      <c r="E3830" s="161" t="s">
        <v>7839</v>
      </c>
      <c r="F3830" s="161" t="s">
        <v>7916</v>
      </c>
      <c r="G3830" s="163">
        <v>267.743059</v>
      </c>
      <c r="H3830" s="163">
        <f t="shared" si="285"/>
        <v>12.753301</v>
      </c>
      <c r="I3830" s="163">
        <v>11.38</v>
      </c>
      <c r="J3830" s="163">
        <v>8027</v>
      </c>
      <c r="K3830" s="173">
        <f t="shared" si="286"/>
        <v>135271</v>
      </c>
      <c r="L3830" s="174"/>
      <c r="M3830" s="49"/>
      <c r="N3830" s="161" t="s">
        <v>1299</v>
      </c>
      <c r="O3830" s="161" t="s">
        <v>25</v>
      </c>
      <c r="P3830" s="49" t="s">
        <v>25</v>
      </c>
      <c r="Q3830" s="166"/>
      <c r="R3830" s="151"/>
    </row>
    <row r="3831" spans="1:18">
      <c r="A3831" s="49" t="s">
        <v>89</v>
      </c>
      <c r="B3831" s="49" t="s">
        <v>1116</v>
      </c>
      <c r="C3831" s="88" t="s">
        <v>8019</v>
      </c>
      <c r="D3831" s="161" t="s">
        <v>8020</v>
      </c>
      <c r="E3831" s="161" t="s">
        <v>7839</v>
      </c>
      <c r="F3831" s="161" t="s">
        <v>7916</v>
      </c>
      <c r="G3831" s="163">
        <v>282.454245</v>
      </c>
      <c r="H3831" s="163">
        <f t="shared" si="285"/>
        <v>14.711186</v>
      </c>
      <c r="I3831" s="163">
        <v>59.2</v>
      </c>
      <c r="J3831" s="163">
        <v>6349</v>
      </c>
      <c r="K3831" s="173">
        <f t="shared" si="286"/>
        <v>141620</v>
      </c>
      <c r="L3831" s="174"/>
      <c r="M3831" s="49"/>
      <c r="N3831" s="161" t="s">
        <v>1299</v>
      </c>
      <c r="O3831" s="161" t="s">
        <v>25</v>
      </c>
      <c r="P3831" s="49" t="s">
        <v>25</v>
      </c>
      <c r="Q3831" s="166"/>
      <c r="R3831" s="151"/>
    </row>
    <row r="3832" spans="1:18">
      <c r="A3832" s="49" t="s">
        <v>89</v>
      </c>
      <c r="B3832" s="49" t="s">
        <v>1116</v>
      </c>
      <c r="C3832" s="88" t="s">
        <v>8021</v>
      </c>
      <c r="D3832" s="161" t="s">
        <v>8021</v>
      </c>
      <c r="E3832" s="161" t="s">
        <v>7839</v>
      </c>
      <c r="F3832" s="161" t="s">
        <v>7916</v>
      </c>
      <c r="G3832" s="163">
        <v>289.932064</v>
      </c>
      <c r="H3832" s="163">
        <f t="shared" si="285"/>
        <v>7.47781900000001</v>
      </c>
      <c r="I3832" s="163">
        <v>21.51</v>
      </c>
      <c r="J3832" s="163">
        <v>3356</v>
      </c>
      <c r="K3832" s="173">
        <f t="shared" si="286"/>
        <v>144976</v>
      </c>
      <c r="L3832" s="174"/>
      <c r="M3832" s="49"/>
      <c r="N3832" s="161"/>
      <c r="O3832" s="161" t="s">
        <v>14</v>
      </c>
      <c r="P3832" s="49" t="s">
        <v>14</v>
      </c>
      <c r="Q3832" s="166"/>
      <c r="R3832" s="151"/>
    </row>
    <row r="3833" spans="1:18">
      <c r="A3833" s="49" t="s">
        <v>89</v>
      </c>
      <c r="B3833" s="49" t="s">
        <v>1116</v>
      </c>
      <c r="C3833" s="88" t="s">
        <v>8022</v>
      </c>
      <c r="D3833" s="161" t="s">
        <v>8023</v>
      </c>
      <c r="E3833" s="161" t="s">
        <v>7839</v>
      </c>
      <c r="F3833" s="161" t="s">
        <v>8024</v>
      </c>
      <c r="G3833" s="163">
        <v>297.728609</v>
      </c>
      <c r="H3833" s="163">
        <f t="shared" si="285"/>
        <v>7.79654499999998</v>
      </c>
      <c r="I3833" s="163">
        <v>12.66</v>
      </c>
      <c r="J3833" s="163">
        <v>3801</v>
      </c>
      <c r="K3833" s="173">
        <f t="shared" si="286"/>
        <v>148777</v>
      </c>
      <c r="L3833" s="174"/>
      <c r="M3833" s="49"/>
      <c r="N3833" s="161" t="s">
        <v>1299</v>
      </c>
      <c r="O3833" s="161" t="s">
        <v>25</v>
      </c>
      <c r="P3833" s="49" t="s">
        <v>25</v>
      </c>
      <c r="Q3833" s="166"/>
      <c r="R3833" s="151"/>
    </row>
    <row r="3834" spans="1:18">
      <c r="A3834" s="49" t="s">
        <v>89</v>
      </c>
      <c r="B3834" s="49" t="s">
        <v>1116</v>
      </c>
      <c r="C3834" s="88" t="s">
        <v>8025</v>
      </c>
      <c r="D3834" s="161" t="s">
        <v>8025</v>
      </c>
      <c r="E3834" s="161" t="s">
        <v>7839</v>
      </c>
      <c r="F3834" s="161" t="s">
        <v>8024</v>
      </c>
      <c r="G3834" s="163">
        <v>308.930728</v>
      </c>
      <c r="H3834" s="163">
        <f t="shared" si="285"/>
        <v>11.202119</v>
      </c>
      <c r="I3834" s="163">
        <v>18.41</v>
      </c>
      <c r="J3834" s="163">
        <v>5508</v>
      </c>
      <c r="K3834" s="173">
        <f t="shared" si="286"/>
        <v>154285</v>
      </c>
      <c r="L3834" s="174"/>
      <c r="M3834" s="49"/>
      <c r="N3834" s="161"/>
      <c r="O3834" s="161" t="s">
        <v>14</v>
      </c>
      <c r="P3834" s="49" t="s">
        <v>14</v>
      </c>
      <c r="Q3834" s="166"/>
      <c r="R3834" s="151"/>
    </row>
    <row r="3835" spans="1:18">
      <c r="A3835" s="49" t="s">
        <v>89</v>
      </c>
      <c r="B3835" s="49" t="s">
        <v>1116</v>
      </c>
      <c r="C3835" s="88" t="s">
        <v>8026</v>
      </c>
      <c r="D3835" s="161" t="s">
        <v>8027</v>
      </c>
      <c r="E3835" s="161" t="s">
        <v>7839</v>
      </c>
      <c r="F3835" s="161" t="s">
        <v>8024</v>
      </c>
      <c r="G3835" s="163">
        <v>320.005622</v>
      </c>
      <c r="H3835" s="163">
        <f t="shared" si="285"/>
        <v>11.074894</v>
      </c>
      <c r="I3835" s="163">
        <v>28.5</v>
      </c>
      <c r="J3835" s="163">
        <v>5425</v>
      </c>
      <c r="K3835" s="173">
        <f t="shared" si="286"/>
        <v>159710</v>
      </c>
      <c r="L3835" s="174"/>
      <c r="M3835" s="49"/>
      <c r="N3835" s="161" t="s">
        <v>1299</v>
      </c>
      <c r="O3835" s="161" t="s">
        <v>25</v>
      </c>
      <c r="P3835" s="49" t="s">
        <v>25</v>
      </c>
      <c r="Q3835" s="166"/>
      <c r="R3835" s="151"/>
    </row>
    <row r="3836" spans="1:18">
      <c r="A3836" s="49" t="s">
        <v>89</v>
      </c>
      <c r="B3836" s="49" t="s">
        <v>1116</v>
      </c>
      <c r="C3836" s="88" t="s">
        <v>8028</v>
      </c>
      <c r="D3836" s="161" t="s">
        <v>8028</v>
      </c>
      <c r="E3836" s="161" t="s">
        <v>7839</v>
      </c>
      <c r="F3836" s="161" t="s">
        <v>8024</v>
      </c>
      <c r="G3836" s="163">
        <v>332.472393</v>
      </c>
      <c r="H3836" s="163">
        <f t="shared" si="285"/>
        <v>12.466771</v>
      </c>
      <c r="I3836" s="163">
        <v>207.06</v>
      </c>
      <c r="J3836" s="163">
        <v>6129</v>
      </c>
      <c r="K3836" s="173">
        <f t="shared" si="286"/>
        <v>165839</v>
      </c>
      <c r="L3836" s="174"/>
      <c r="M3836" s="49"/>
      <c r="N3836" s="161"/>
      <c r="O3836" s="161" t="s">
        <v>14</v>
      </c>
      <c r="P3836" s="49" t="s">
        <v>14</v>
      </c>
      <c r="Q3836" s="166"/>
      <c r="R3836" s="151"/>
    </row>
    <row r="3837" spans="1:18">
      <c r="A3837" s="49" t="s">
        <v>89</v>
      </c>
      <c r="B3837" s="49" t="s">
        <v>1116</v>
      </c>
      <c r="C3837" s="88" t="s">
        <v>8029</v>
      </c>
      <c r="D3837" s="161" t="s">
        <v>8030</v>
      </c>
      <c r="E3837" s="161" t="s">
        <v>7839</v>
      </c>
      <c r="F3837" s="161" t="s">
        <v>8024</v>
      </c>
      <c r="G3837" s="163">
        <v>346.047691</v>
      </c>
      <c r="H3837" s="163">
        <f t="shared" si="285"/>
        <v>13.575298</v>
      </c>
      <c r="I3837" s="163">
        <v>23.88</v>
      </c>
      <c r="J3837" s="163">
        <v>6731</v>
      </c>
      <c r="K3837" s="173">
        <f t="shared" si="286"/>
        <v>172570</v>
      </c>
      <c r="L3837" s="174"/>
      <c r="M3837" s="49"/>
      <c r="N3837" s="161" t="s">
        <v>1299</v>
      </c>
      <c r="O3837" s="161" t="s">
        <v>25</v>
      </c>
      <c r="P3837" s="49" t="s">
        <v>25</v>
      </c>
      <c r="Q3837" s="166"/>
      <c r="R3837" s="151"/>
    </row>
    <row r="3838" spans="1:18">
      <c r="A3838" s="49" t="s">
        <v>89</v>
      </c>
      <c r="B3838" s="49" t="s">
        <v>1116</v>
      </c>
      <c r="C3838" s="88" t="s">
        <v>8031</v>
      </c>
      <c r="D3838" s="161" t="s">
        <v>8031</v>
      </c>
      <c r="E3838" s="161" t="s">
        <v>7839</v>
      </c>
      <c r="F3838" s="161" t="s">
        <v>8024</v>
      </c>
      <c r="G3838" s="163">
        <v>355.464289</v>
      </c>
      <c r="H3838" s="163">
        <f t="shared" si="285"/>
        <v>9.41659800000002</v>
      </c>
      <c r="I3838" s="163">
        <v>26.43</v>
      </c>
      <c r="J3838" s="163">
        <v>4192</v>
      </c>
      <c r="K3838" s="173">
        <f t="shared" si="286"/>
        <v>176762</v>
      </c>
      <c r="L3838" s="174"/>
      <c r="M3838" s="49"/>
      <c r="N3838" s="161"/>
      <c r="O3838" s="161" t="s">
        <v>14</v>
      </c>
      <c r="P3838" s="49" t="s">
        <v>14</v>
      </c>
      <c r="Q3838" s="166"/>
      <c r="R3838" s="151"/>
    </row>
    <row r="3839" spans="1:18">
      <c r="A3839" s="49" t="s">
        <v>89</v>
      </c>
      <c r="B3839" s="49" t="s">
        <v>1118</v>
      </c>
      <c r="C3839" s="135" t="s">
        <v>8021</v>
      </c>
      <c r="D3839" s="161" t="s">
        <v>8021</v>
      </c>
      <c r="E3839" s="161" t="s">
        <v>7839</v>
      </c>
      <c r="F3839" s="161" t="s">
        <v>8024</v>
      </c>
      <c r="G3839" s="171">
        <v>0</v>
      </c>
      <c r="H3839" s="163">
        <v>0</v>
      </c>
      <c r="I3839" s="163">
        <v>21.51</v>
      </c>
      <c r="J3839" s="163">
        <v>0</v>
      </c>
      <c r="K3839" s="173">
        <v>0</v>
      </c>
      <c r="L3839" s="174"/>
      <c r="M3839" s="49"/>
      <c r="N3839" s="161"/>
      <c r="O3839" s="161"/>
      <c r="P3839" s="49"/>
      <c r="Q3839" s="166"/>
      <c r="R3839" s="151"/>
    </row>
    <row r="3840" spans="1:18">
      <c r="A3840" s="49" t="s">
        <v>89</v>
      </c>
      <c r="B3840" s="49" t="s">
        <v>1118</v>
      </c>
      <c r="C3840" s="88" t="s">
        <v>8032</v>
      </c>
      <c r="D3840" s="161" t="s">
        <v>8033</v>
      </c>
      <c r="E3840" s="161" t="s">
        <v>7839</v>
      </c>
      <c r="F3840" s="161" t="s">
        <v>8024</v>
      </c>
      <c r="G3840" s="171">
        <v>12.57</v>
      </c>
      <c r="H3840" s="163">
        <f>G3840-G3839</f>
        <v>12.57</v>
      </c>
      <c r="I3840" s="163">
        <v>12.66</v>
      </c>
      <c r="J3840" s="163">
        <v>6074</v>
      </c>
      <c r="K3840" s="173">
        <f>K3839+J3840</f>
        <v>6074</v>
      </c>
      <c r="L3840" s="174"/>
      <c r="M3840" s="49"/>
      <c r="N3840" s="161" t="s">
        <v>1299</v>
      </c>
      <c r="O3840" s="161" t="s">
        <v>25</v>
      </c>
      <c r="P3840" s="49" t="s">
        <v>25</v>
      </c>
      <c r="Q3840" s="166"/>
      <c r="R3840" s="151"/>
    </row>
    <row r="3841" spans="1:18">
      <c r="A3841" s="49" t="s">
        <v>89</v>
      </c>
      <c r="B3841" s="49" t="s">
        <v>1118</v>
      </c>
      <c r="C3841" s="88" t="s">
        <v>8034</v>
      </c>
      <c r="D3841" s="161" t="s">
        <v>8035</v>
      </c>
      <c r="E3841" s="161" t="s">
        <v>7839</v>
      </c>
      <c r="F3841" s="161" t="s">
        <v>8024</v>
      </c>
      <c r="G3841" s="171">
        <v>20.13</v>
      </c>
      <c r="H3841" s="163">
        <f t="shared" ref="H3841:H3844" si="287">G3841-G3840</f>
        <v>7.56</v>
      </c>
      <c r="I3841" s="163">
        <v>8.9</v>
      </c>
      <c r="J3841" s="163">
        <v>3653</v>
      </c>
      <c r="K3841" s="173">
        <f>K3840+J3841</f>
        <v>9727</v>
      </c>
      <c r="L3841" s="174"/>
      <c r="M3841" s="49"/>
      <c r="N3841" s="161" t="s">
        <v>1299</v>
      </c>
      <c r="O3841" s="161" t="s">
        <v>25</v>
      </c>
      <c r="P3841" s="49" t="s">
        <v>25</v>
      </c>
      <c r="Q3841" s="166"/>
      <c r="R3841" s="151"/>
    </row>
    <row r="3842" spans="1:18">
      <c r="A3842" s="49" t="s">
        <v>89</v>
      </c>
      <c r="B3842" s="49" t="s">
        <v>1118</v>
      </c>
      <c r="C3842" s="88" t="s">
        <v>1120</v>
      </c>
      <c r="D3842" s="161" t="s">
        <v>1120</v>
      </c>
      <c r="E3842" s="161" t="s">
        <v>7839</v>
      </c>
      <c r="F3842" s="161" t="s">
        <v>8024</v>
      </c>
      <c r="G3842" s="171">
        <v>29.73</v>
      </c>
      <c r="H3842" s="163">
        <f t="shared" si="287"/>
        <v>9.6</v>
      </c>
      <c r="I3842" s="163">
        <v>7.66</v>
      </c>
      <c r="J3842" s="163">
        <v>4639</v>
      </c>
      <c r="K3842" s="173">
        <f>K3841+J3842</f>
        <v>14366</v>
      </c>
      <c r="L3842" s="174"/>
      <c r="M3842" s="49"/>
      <c r="N3842" s="161"/>
      <c r="O3842" s="161" t="s">
        <v>14</v>
      </c>
      <c r="P3842" s="49" t="s">
        <v>14</v>
      </c>
      <c r="Q3842" s="166"/>
      <c r="R3842" s="151"/>
    </row>
    <row r="3843" spans="1:18">
      <c r="A3843" s="49" t="s">
        <v>89</v>
      </c>
      <c r="B3843" s="49" t="s">
        <v>1118</v>
      </c>
      <c r="C3843" s="88" t="s">
        <v>8036</v>
      </c>
      <c r="D3843" s="161" t="s">
        <v>8037</v>
      </c>
      <c r="E3843" s="161" t="s">
        <v>7839</v>
      </c>
      <c r="F3843" s="161" t="s">
        <v>8024</v>
      </c>
      <c r="G3843" s="171">
        <v>46.03</v>
      </c>
      <c r="H3843" s="163">
        <f t="shared" si="287"/>
        <v>16.3</v>
      </c>
      <c r="I3843" s="163"/>
      <c r="J3843" s="173">
        <v>7877</v>
      </c>
      <c r="K3843" s="173">
        <f>K3842+J3843</f>
        <v>22243</v>
      </c>
      <c r="L3843" s="174"/>
      <c r="M3843" s="49"/>
      <c r="N3843" s="161" t="s">
        <v>1299</v>
      </c>
      <c r="O3843" s="161" t="s">
        <v>25</v>
      </c>
      <c r="P3843" s="49" t="s">
        <v>25</v>
      </c>
      <c r="Q3843" s="166"/>
      <c r="R3843" s="151"/>
    </row>
    <row r="3844" spans="1:18">
      <c r="A3844" s="49" t="s">
        <v>89</v>
      </c>
      <c r="B3844" s="49" t="s">
        <v>1118</v>
      </c>
      <c r="C3844" s="88" t="s">
        <v>8038</v>
      </c>
      <c r="D3844" s="161" t="s">
        <v>8038</v>
      </c>
      <c r="E3844" s="161" t="s">
        <v>7839</v>
      </c>
      <c r="F3844" s="161" t="s">
        <v>8024</v>
      </c>
      <c r="G3844" s="171">
        <v>60.03</v>
      </c>
      <c r="H3844" s="163">
        <f t="shared" si="287"/>
        <v>14</v>
      </c>
      <c r="I3844" s="163"/>
      <c r="J3844" s="173"/>
      <c r="K3844" s="173"/>
      <c r="L3844" s="174"/>
      <c r="M3844" s="49"/>
      <c r="N3844" s="161"/>
      <c r="O3844" s="161" t="s">
        <v>14</v>
      </c>
      <c r="P3844" s="49" t="s">
        <v>14</v>
      </c>
      <c r="Q3844" s="166"/>
      <c r="R3844" s="151"/>
    </row>
    <row r="3845" spans="1:18">
      <c r="A3845" s="49" t="s">
        <v>89</v>
      </c>
      <c r="B3845" s="49" t="s">
        <v>1121</v>
      </c>
      <c r="C3845" s="135" t="s">
        <v>1120</v>
      </c>
      <c r="D3845" s="161" t="s">
        <v>1120</v>
      </c>
      <c r="E3845" s="161" t="s">
        <v>7839</v>
      </c>
      <c r="F3845" s="161" t="s">
        <v>8024</v>
      </c>
      <c r="G3845" s="171">
        <v>0</v>
      </c>
      <c r="H3845" s="163">
        <v>0</v>
      </c>
      <c r="I3845" s="163">
        <v>7.66</v>
      </c>
      <c r="J3845" s="173">
        <v>0</v>
      </c>
      <c r="K3845" s="173">
        <v>0</v>
      </c>
      <c r="L3845" s="174"/>
      <c r="M3845" s="49"/>
      <c r="N3845" s="161"/>
      <c r="O3845" s="161"/>
      <c r="P3845" s="49"/>
      <c r="Q3845" s="166"/>
      <c r="R3845" s="151"/>
    </row>
    <row r="3846" spans="1:18">
      <c r="A3846" s="49" t="s">
        <v>89</v>
      </c>
      <c r="B3846" s="49" t="s">
        <v>1121</v>
      </c>
      <c r="C3846" s="135" t="s">
        <v>1122</v>
      </c>
      <c r="D3846" s="161" t="s">
        <v>1122</v>
      </c>
      <c r="E3846" s="161" t="s">
        <v>7839</v>
      </c>
      <c r="F3846" s="161" t="s">
        <v>8024</v>
      </c>
      <c r="G3846" s="171">
        <v>4.9</v>
      </c>
      <c r="H3846" s="163">
        <v>4.9</v>
      </c>
      <c r="I3846" s="163">
        <v>5.21</v>
      </c>
      <c r="J3846" s="173">
        <v>706</v>
      </c>
      <c r="K3846" s="173">
        <v>706</v>
      </c>
      <c r="L3846" s="174"/>
      <c r="M3846" s="49"/>
      <c r="N3846" s="161"/>
      <c r="O3846" s="161"/>
      <c r="P3846" s="49"/>
      <c r="Q3846" s="166"/>
      <c r="R3846" s="151"/>
    </row>
    <row r="3847" spans="1:18">
      <c r="A3847" s="49" t="s">
        <v>89</v>
      </c>
      <c r="B3847" s="49" t="s">
        <v>1123</v>
      </c>
      <c r="C3847" s="135" t="s">
        <v>8038</v>
      </c>
      <c r="D3847" s="161" t="s">
        <v>8038</v>
      </c>
      <c r="E3847" s="161" t="s">
        <v>7839</v>
      </c>
      <c r="F3847" s="161" t="s">
        <v>8024</v>
      </c>
      <c r="G3847" s="171">
        <v>0</v>
      </c>
      <c r="H3847" s="163">
        <v>0</v>
      </c>
      <c r="I3847" s="163"/>
      <c r="J3847" s="173">
        <v>0</v>
      </c>
      <c r="K3847" s="173">
        <v>0</v>
      </c>
      <c r="L3847" s="174"/>
      <c r="M3847" s="49"/>
      <c r="N3847" s="161"/>
      <c r="O3847" s="161"/>
      <c r="P3847" s="49"/>
      <c r="Q3847" s="166"/>
      <c r="R3847" s="151"/>
    </row>
    <row r="3848" spans="1:18">
      <c r="A3848" s="49" t="s">
        <v>89</v>
      </c>
      <c r="B3848" s="49" t="s">
        <v>1123</v>
      </c>
      <c r="C3848" s="88" t="s">
        <v>8039</v>
      </c>
      <c r="D3848" s="161" t="s">
        <v>8040</v>
      </c>
      <c r="E3848" s="161" t="s">
        <v>7839</v>
      </c>
      <c r="F3848" s="161" t="s">
        <v>8024</v>
      </c>
      <c r="G3848" s="163">
        <v>7</v>
      </c>
      <c r="H3848" s="163">
        <f>G3848-G3847</f>
        <v>7</v>
      </c>
      <c r="I3848" s="163">
        <v>3.94</v>
      </c>
      <c r="J3848" s="173">
        <v>6765</v>
      </c>
      <c r="K3848" s="173">
        <f>K3847+J3848</f>
        <v>6765</v>
      </c>
      <c r="L3848" s="174"/>
      <c r="M3848" s="49"/>
      <c r="N3848" s="161" t="s">
        <v>1299</v>
      </c>
      <c r="O3848" s="161" t="s">
        <v>25</v>
      </c>
      <c r="P3848" s="49" t="s">
        <v>25</v>
      </c>
      <c r="Q3848" s="166"/>
      <c r="R3848" s="151"/>
    </row>
    <row r="3849" spans="1:18">
      <c r="A3849" s="49" t="s">
        <v>89</v>
      </c>
      <c r="B3849" s="49" t="s">
        <v>1123</v>
      </c>
      <c r="C3849" s="88" t="s">
        <v>8041</v>
      </c>
      <c r="D3849" s="161" t="s">
        <v>8041</v>
      </c>
      <c r="E3849" s="161" t="s">
        <v>7839</v>
      </c>
      <c r="F3849" s="161" t="s">
        <v>8024</v>
      </c>
      <c r="G3849" s="163">
        <v>13.9</v>
      </c>
      <c r="H3849" s="163">
        <f>G3849-G3848</f>
        <v>6.9</v>
      </c>
      <c r="I3849" s="163">
        <v>4.01</v>
      </c>
      <c r="J3849" s="173">
        <v>6717</v>
      </c>
      <c r="K3849" s="173">
        <f>K3848+J3849</f>
        <v>13482</v>
      </c>
      <c r="L3849" s="174"/>
      <c r="M3849" s="49"/>
      <c r="N3849" s="161"/>
      <c r="O3849" s="161" t="s">
        <v>14</v>
      </c>
      <c r="P3849" s="49" t="s">
        <v>14</v>
      </c>
      <c r="Q3849" s="166"/>
      <c r="R3849" s="151"/>
    </row>
    <row r="3850" spans="1:18">
      <c r="A3850" s="49" t="s">
        <v>89</v>
      </c>
      <c r="B3850" s="49" t="s">
        <v>1123</v>
      </c>
      <c r="C3850" s="88" t="s">
        <v>7794</v>
      </c>
      <c r="D3850" s="161" t="s">
        <v>7795</v>
      </c>
      <c r="E3850" s="161" t="s">
        <v>7839</v>
      </c>
      <c r="F3850" s="161" t="s">
        <v>8024</v>
      </c>
      <c r="G3850" s="163">
        <v>26.9</v>
      </c>
      <c r="H3850" s="163">
        <f>G3850-G3849</f>
        <v>13</v>
      </c>
      <c r="I3850" s="163">
        <v>3.1</v>
      </c>
      <c r="J3850" s="173">
        <v>6282</v>
      </c>
      <c r="K3850" s="173">
        <f>K3849+J3850</f>
        <v>19764</v>
      </c>
      <c r="L3850" s="174"/>
      <c r="M3850" s="49"/>
      <c r="N3850" s="161" t="s">
        <v>1299</v>
      </c>
      <c r="O3850" s="161" t="s">
        <v>25</v>
      </c>
      <c r="P3850" s="49" t="s">
        <v>25</v>
      </c>
      <c r="Q3850" s="166" t="s">
        <v>7796</v>
      </c>
      <c r="R3850" s="151"/>
    </row>
    <row r="3851" spans="1:18">
      <c r="A3851" s="49" t="s">
        <v>89</v>
      </c>
      <c r="B3851" s="49" t="s">
        <v>1123</v>
      </c>
      <c r="C3851" s="88" t="s">
        <v>8042</v>
      </c>
      <c r="D3851" s="161" t="s">
        <v>8042</v>
      </c>
      <c r="E3851" s="161"/>
      <c r="F3851" s="161"/>
      <c r="G3851" s="163">
        <v>26.9</v>
      </c>
      <c r="H3851" s="163">
        <v>0</v>
      </c>
      <c r="I3851" s="163">
        <v>3</v>
      </c>
      <c r="J3851" s="173">
        <v>0</v>
      </c>
      <c r="K3851" s="173">
        <f>K3850+J3851</f>
        <v>19764</v>
      </c>
      <c r="L3851" s="174"/>
      <c r="M3851" s="49"/>
      <c r="N3851" s="161"/>
      <c r="O3851" s="161"/>
      <c r="P3851" s="49" t="s">
        <v>14</v>
      </c>
      <c r="Q3851" s="166"/>
      <c r="R3851" s="151"/>
    </row>
    <row r="3852" spans="1:18">
      <c r="A3852" s="49" t="s">
        <v>89</v>
      </c>
      <c r="B3852" s="49" t="s">
        <v>1123</v>
      </c>
      <c r="C3852" s="88" t="s">
        <v>1124</v>
      </c>
      <c r="D3852" s="161" t="s">
        <v>1124</v>
      </c>
      <c r="E3852" s="161" t="s">
        <v>7839</v>
      </c>
      <c r="F3852" s="161" t="s">
        <v>8024</v>
      </c>
      <c r="G3852" s="163">
        <v>34.6</v>
      </c>
      <c r="H3852" s="163">
        <f>G3852-G3850</f>
        <v>7.7</v>
      </c>
      <c r="I3852" s="163"/>
      <c r="J3852" s="173">
        <v>3769</v>
      </c>
      <c r="K3852" s="173">
        <f>K3850+J3852</f>
        <v>23533</v>
      </c>
      <c r="L3852" s="174"/>
      <c r="M3852" s="49"/>
      <c r="N3852" s="161"/>
      <c r="O3852" s="161" t="s">
        <v>14</v>
      </c>
      <c r="P3852" s="49" t="s">
        <v>14</v>
      </c>
      <c r="Q3852" s="166"/>
      <c r="R3852" s="151"/>
    </row>
    <row r="3853" spans="1:18">
      <c r="A3853" s="49" t="s">
        <v>89</v>
      </c>
      <c r="B3853" s="49" t="s">
        <v>1125</v>
      </c>
      <c r="C3853" s="135" t="s">
        <v>1126</v>
      </c>
      <c r="D3853" s="161" t="s">
        <v>8001</v>
      </c>
      <c r="E3853" s="161" t="s">
        <v>7839</v>
      </c>
      <c r="F3853" s="161" t="s">
        <v>7916</v>
      </c>
      <c r="G3853" s="163">
        <v>0</v>
      </c>
      <c r="H3853" s="163">
        <v>0</v>
      </c>
      <c r="I3853" s="163"/>
      <c r="J3853" s="173">
        <v>0</v>
      </c>
      <c r="K3853" s="173">
        <v>0</v>
      </c>
      <c r="L3853" s="174"/>
      <c r="M3853" s="49"/>
      <c r="N3853" s="161"/>
      <c r="O3853" s="161"/>
      <c r="P3853" s="49"/>
      <c r="Q3853" s="166"/>
      <c r="R3853" s="151"/>
    </row>
    <row r="3854" spans="1:18">
      <c r="A3854" s="49" t="s">
        <v>89</v>
      </c>
      <c r="B3854" s="49" t="s">
        <v>1125</v>
      </c>
      <c r="C3854" s="88" t="s">
        <v>8043</v>
      </c>
      <c r="D3854" s="161" t="s">
        <v>8044</v>
      </c>
      <c r="E3854" s="161" t="s">
        <v>7839</v>
      </c>
      <c r="F3854" s="161" t="s">
        <v>7916</v>
      </c>
      <c r="G3854" s="163">
        <f>G3853+H3854</f>
        <v>13.13</v>
      </c>
      <c r="H3854" s="163">
        <v>13.13</v>
      </c>
      <c r="I3854" s="163">
        <v>46.1</v>
      </c>
      <c r="J3854" s="173">
        <v>1599</v>
      </c>
      <c r="K3854" s="173">
        <f t="shared" ref="K3854:K3857" si="288">J3854+K3853</f>
        <v>1599</v>
      </c>
      <c r="L3854" s="174"/>
      <c r="M3854" s="49"/>
      <c r="N3854" s="161" t="s">
        <v>1299</v>
      </c>
      <c r="O3854" s="161" t="s">
        <v>25</v>
      </c>
      <c r="P3854" s="49" t="s">
        <v>25</v>
      </c>
      <c r="Q3854" s="166"/>
      <c r="R3854" s="151"/>
    </row>
    <row r="3855" spans="1:18">
      <c r="A3855" s="49" t="s">
        <v>89</v>
      </c>
      <c r="B3855" s="49" t="s">
        <v>1125</v>
      </c>
      <c r="C3855" s="88" t="s">
        <v>8045</v>
      </c>
      <c r="D3855" s="161" t="s">
        <v>8046</v>
      </c>
      <c r="E3855" s="161" t="s">
        <v>7839</v>
      </c>
      <c r="F3855" s="161" t="s">
        <v>7916</v>
      </c>
      <c r="G3855" s="163">
        <f>G3854+H3855</f>
        <v>23.32</v>
      </c>
      <c r="H3855" s="163">
        <v>10.19</v>
      </c>
      <c r="I3855" s="163">
        <v>93</v>
      </c>
      <c r="J3855" s="173">
        <v>1149</v>
      </c>
      <c r="K3855" s="173">
        <f t="shared" si="288"/>
        <v>2748</v>
      </c>
      <c r="L3855" s="174"/>
      <c r="M3855" s="49"/>
      <c r="N3855" s="161" t="s">
        <v>1299</v>
      </c>
      <c r="O3855" s="161" t="s">
        <v>25</v>
      </c>
      <c r="P3855" s="49" t="s">
        <v>25</v>
      </c>
      <c r="Q3855" s="166"/>
      <c r="R3855" s="151"/>
    </row>
    <row r="3856" spans="1:18">
      <c r="A3856" s="49" t="s">
        <v>89</v>
      </c>
      <c r="B3856" s="49" t="s">
        <v>1125</v>
      </c>
      <c r="C3856" s="88" t="s">
        <v>8047</v>
      </c>
      <c r="D3856" s="161" t="s">
        <v>8048</v>
      </c>
      <c r="E3856" s="161" t="s">
        <v>7839</v>
      </c>
      <c r="F3856" s="161" t="s">
        <v>7916</v>
      </c>
      <c r="G3856" s="163">
        <f>G3855+H3856</f>
        <v>40.31</v>
      </c>
      <c r="H3856" s="163">
        <v>16.99</v>
      </c>
      <c r="I3856" s="163">
        <v>35.6</v>
      </c>
      <c r="J3856" s="173">
        <v>2109</v>
      </c>
      <c r="K3856" s="173">
        <f t="shared" si="288"/>
        <v>4857</v>
      </c>
      <c r="L3856" s="174"/>
      <c r="M3856" s="49"/>
      <c r="N3856" s="161" t="s">
        <v>1299</v>
      </c>
      <c r="O3856" s="161" t="s">
        <v>25</v>
      </c>
      <c r="P3856" s="49" t="s">
        <v>25</v>
      </c>
      <c r="Q3856" s="166"/>
      <c r="R3856" s="151"/>
    </row>
    <row r="3857" spans="1:18">
      <c r="A3857" s="49" t="s">
        <v>89</v>
      </c>
      <c r="B3857" s="49" t="s">
        <v>1125</v>
      </c>
      <c r="C3857" s="88" t="s">
        <v>1127</v>
      </c>
      <c r="D3857" s="161" t="s">
        <v>1127</v>
      </c>
      <c r="E3857" s="161" t="s">
        <v>7839</v>
      </c>
      <c r="F3857" s="161" t="s">
        <v>7916</v>
      </c>
      <c r="G3857" s="163">
        <f>G3856+H3857</f>
        <v>48.86</v>
      </c>
      <c r="H3857" s="163">
        <v>8.55</v>
      </c>
      <c r="I3857" s="163">
        <v>23.6</v>
      </c>
      <c r="J3857" s="173">
        <v>995</v>
      </c>
      <c r="K3857" s="173">
        <f t="shared" si="288"/>
        <v>5852</v>
      </c>
      <c r="L3857" s="174"/>
      <c r="M3857" s="49"/>
      <c r="N3857" s="161"/>
      <c r="O3857" s="161" t="s">
        <v>14</v>
      </c>
      <c r="P3857" s="49" t="s">
        <v>14</v>
      </c>
      <c r="Q3857" s="166"/>
      <c r="R3857" s="151"/>
    </row>
    <row r="3858" spans="1:18">
      <c r="A3858" s="49" t="s">
        <v>89</v>
      </c>
      <c r="B3858" s="49" t="s">
        <v>1128</v>
      </c>
      <c r="C3858" s="135" t="s">
        <v>1129</v>
      </c>
      <c r="D3858" s="161" t="s">
        <v>7995</v>
      </c>
      <c r="E3858" s="161" t="s">
        <v>7839</v>
      </c>
      <c r="F3858" s="161" t="s">
        <v>7916</v>
      </c>
      <c r="G3858" s="163">
        <v>0</v>
      </c>
      <c r="H3858" s="163">
        <v>0</v>
      </c>
      <c r="I3858" s="163"/>
      <c r="J3858" s="173">
        <v>0</v>
      </c>
      <c r="K3858" s="173">
        <v>0</v>
      </c>
      <c r="L3858" s="174"/>
      <c r="M3858" s="49"/>
      <c r="N3858" s="161"/>
      <c r="O3858" s="161"/>
      <c r="P3858" s="49"/>
      <c r="Q3858" s="166"/>
      <c r="R3858" s="151"/>
    </row>
    <row r="3859" spans="1:18">
      <c r="A3859" s="49" t="s">
        <v>89</v>
      </c>
      <c r="B3859" s="49" t="s">
        <v>1128</v>
      </c>
      <c r="C3859" s="135" t="s">
        <v>8049</v>
      </c>
      <c r="D3859" s="161" t="s">
        <v>8050</v>
      </c>
      <c r="E3859" s="161" t="s">
        <v>7839</v>
      </c>
      <c r="F3859" s="161" t="s">
        <v>7916</v>
      </c>
      <c r="G3859" s="163">
        <v>6.93</v>
      </c>
      <c r="H3859" s="163">
        <v>6.93</v>
      </c>
      <c r="I3859" s="163"/>
      <c r="J3859" s="173">
        <v>821</v>
      </c>
      <c r="K3859" s="173">
        <v>821</v>
      </c>
      <c r="L3859" s="174"/>
      <c r="M3859" s="49"/>
      <c r="N3859" s="161"/>
      <c r="O3859" s="161"/>
      <c r="P3859" s="49"/>
      <c r="Q3859" s="166" t="s">
        <v>8051</v>
      </c>
      <c r="R3859" s="151"/>
    </row>
    <row r="3860" spans="1:18">
      <c r="A3860" s="49" t="s">
        <v>89</v>
      </c>
      <c r="B3860" s="49" t="s">
        <v>1128</v>
      </c>
      <c r="C3860" s="88" t="s">
        <v>8052</v>
      </c>
      <c r="D3860" s="161" t="s">
        <v>8053</v>
      </c>
      <c r="E3860" s="161" t="s">
        <v>7839</v>
      </c>
      <c r="F3860" s="161" t="s">
        <v>7916</v>
      </c>
      <c r="G3860" s="163">
        <v>15.36</v>
      </c>
      <c r="H3860" s="163">
        <v>8.43</v>
      </c>
      <c r="I3860" s="163"/>
      <c r="J3860" s="173">
        <v>999</v>
      </c>
      <c r="K3860" s="173">
        <v>1820</v>
      </c>
      <c r="L3860" s="174"/>
      <c r="M3860" s="49"/>
      <c r="N3860" s="161"/>
      <c r="O3860" s="161" t="s">
        <v>25</v>
      </c>
      <c r="P3860" s="49" t="s">
        <v>25</v>
      </c>
      <c r="Q3860" s="166" t="s">
        <v>8054</v>
      </c>
      <c r="R3860" s="151"/>
    </row>
    <row r="3861" spans="1:18">
      <c r="A3861" s="49" t="s">
        <v>89</v>
      </c>
      <c r="B3861" s="49" t="s">
        <v>1128</v>
      </c>
      <c r="C3861" s="88" t="s">
        <v>1130</v>
      </c>
      <c r="D3861" s="161" t="s">
        <v>1130</v>
      </c>
      <c r="E3861" s="161" t="s">
        <v>7839</v>
      </c>
      <c r="F3861" s="161" t="s">
        <v>7916</v>
      </c>
      <c r="G3861" s="163">
        <v>30.5</v>
      </c>
      <c r="H3861" s="163">
        <v>15.14</v>
      </c>
      <c r="I3861" s="163"/>
      <c r="J3861" s="173">
        <v>1794</v>
      </c>
      <c r="K3861" s="173">
        <v>3614</v>
      </c>
      <c r="L3861" s="174"/>
      <c r="M3861" s="49"/>
      <c r="N3861" s="161"/>
      <c r="O3861" s="161" t="s">
        <v>14</v>
      </c>
      <c r="P3861" s="49" t="s">
        <v>14</v>
      </c>
      <c r="Q3861" s="166" t="s">
        <v>8055</v>
      </c>
      <c r="R3861" s="151"/>
    </row>
    <row r="3862" spans="1:18">
      <c r="A3862" s="49" t="s">
        <v>89</v>
      </c>
      <c r="B3862" s="49" t="s">
        <v>1131</v>
      </c>
      <c r="C3862" s="88" t="s">
        <v>1132</v>
      </c>
      <c r="D3862" s="161" t="s">
        <v>1153</v>
      </c>
      <c r="E3862" s="161" t="s">
        <v>7839</v>
      </c>
      <c r="F3862" s="161" t="s">
        <v>7985</v>
      </c>
      <c r="G3862" s="163">
        <v>0</v>
      </c>
      <c r="H3862" s="163">
        <v>0</v>
      </c>
      <c r="I3862" s="163">
        <v>70</v>
      </c>
      <c r="J3862" s="173">
        <v>0</v>
      </c>
      <c r="K3862" s="173">
        <v>0</v>
      </c>
      <c r="L3862" s="174"/>
      <c r="M3862" s="49"/>
      <c r="N3862" s="161"/>
      <c r="O3862" s="161" t="s">
        <v>15</v>
      </c>
      <c r="P3862" s="49" t="s">
        <v>15</v>
      </c>
      <c r="Q3862" s="166"/>
      <c r="R3862" s="151"/>
    </row>
    <row r="3863" spans="1:18">
      <c r="A3863" s="49" t="s">
        <v>89</v>
      </c>
      <c r="B3863" s="49" t="s">
        <v>1131</v>
      </c>
      <c r="C3863" s="88" t="s">
        <v>8056</v>
      </c>
      <c r="D3863" s="161" t="s">
        <v>8057</v>
      </c>
      <c r="E3863" s="161" t="s">
        <v>7839</v>
      </c>
      <c r="F3863" s="161" t="s">
        <v>7985</v>
      </c>
      <c r="G3863" s="163">
        <v>7.8</v>
      </c>
      <c r="H3863" s="163">
        <f t="shared" ref="H3863:H3869" si="289">G3863-G3862</f>
        <v>7.8</v>
      </c>
      <c r="I3863" s="163">
        <v>40.1</v>
      </c>
      <c r="J3863" s="173">
        <v>3816</v>
      </c>
      <c r="K3863" s="173">
        <f>J3863+K3862</f>
        <v>3816</v>
      </c>
      <c r="L3863" s="174"/>
      <c r="M3863" s="49"/>
      <c r="N3863" s="161" t="s">
        <v>1299</v>
      </c>
      <c r="O3863" s="161" t="s">
        <v>25</v>
      </c>
      <c r="P3863" s="49" t="s">
        <v>25</v>
      </c>
      <c r="Q3863" s="166"/>
      <c r="R3863" s="151"/>
    </row>
    <row r="3864" spans="1:18">
      <c r="A3864" s="49" t="s">
        <v>89</v>
      </c>
      <c r="B3864" s="49" t="s">
        <v>1131</v>
      </c>
      <c r="C3864" s="88" t="s">
        <v>8058</v>
      </c>
      <c r="D3864" s="161" t="s">
        <v>8059</v>
      </c>
      <c r="E3864" s="161" t="s">
        <v>7839</v>
      </c>
      <c r="F3864" s="161" t="s">
        <v>7985</v>
      </c>
      <c r="G3864" s="163">
        <v>12.8</v>
      </c>
      <c r="H3864" s="163">
        <f t="shared" si="289"/>
        <v>5</v>
      </c>
      <c r="I3864" s="163">
        <v>55.8</v>
      </c>
      <c r="J3864" s="173">
        <v>2446</v>
      </c>
      <c r="K3864" s="173">
        <f>J3864+K3863</f>
        <v>6262</v>
      </c>
      <c r="L3864" s="174"/>
      <c r="M3864" s="49"/>
      <c r="N3864" s="161" t="s">
        <v>1299</v>
      </c>
      <c r="O3864" s="161" t="s">
        <v>25</v>
      </c>
      <c r="P3864" s="49" t="s">
        <v>25</v>
      </c>
      <c r="Q3864" s="166"/>
      <c r="R3864" s="151"/>
    </row>
    <row r="3865" spans="1:18">
      <c r="A3865" s="49" t="s">
        <v>89</v>
      </c>
      <c r="B3865" s="49" t="s">
        <v>1131</v>
      </c>
      <c r="C3865" s="88" t="s">
        <v>8060</v>
      </c>
      <c r="D3865" s="161" t="s">
        <v>8061</v>
      </c>
      <c r="E3865" s="161" t="s">
        <v>7839</v>
      </c>
      <c r="F3865" s="161" t="s">
        <v>7985</v>
      </c>
      <c r="G3865" s="163">
        <v>29.5</v>
      </c>
      <c r="H3865" s="163">
        <f t="shared" si="289"/>
        <v>16.7</v>
      </c>
      <c r="I3865" s="163">
        <v>78.1</v>
      </c>
      <c r="J3865" s="173">
        <v>8169</v>
      </c>
      <c r="K3865" s="173">
        <f>J3865+K3864</f>
        <v>14431</v>
      </c>
      <c r="L3865" s="174"/>
      <c r="M3865" s="49"/>
      <c r="N3865" s="161" t="s">
        <v>1299</v>
      </c>
      <c r="O3865" s="161" t="s">
        <v>25</v>
      </c>
      <c r="P3865" s="49" t="s">
        <v>25</v>
      </c>
      <c r="Q3865" s="166"/>
      <c r="R3865" s="151"/>
    </row>
    <row r="3866" s="152" customFormat="1" ht="45" spans="1:18">
      <c r="A3866" s="49" t="s">
        <v>89</v>
      </c>
      <c r="B3866" s="49" t="s">
        <v>1131</v>
      </c>
      <c r="C3866" s="88" t="s">
        <v>8062</v>
      </c>
      <c r="D3866" s="161" t="s">
        <v>8062</v>
      </c>
      <c r="E3866" s="161" t="s">
        <v>7839</v>
      </c>
      <c r="F3866" s="161" t="s">
        <v>7985</v>
      </c>
      <c r="G3866" s="163">
        <v>29.5</v>
      </c>
      <c r="H3866" s="163">
        <f t="shared" si="289"/>
        <v>0</v>
      </c>
      <c r="I3866" s="163">
        <v>78.1</v>
      </c>
      <c r="J3866" s="173"/>
      <c r="K3866" s="173"/>
      <c r="L3866" s="174" t="s">
        <v>8063</v>
      </c>
      <c r="M3866" s="49"/>
      <c r="N3866" s="161"/>
      <c r="O3866" s="161"/>
      <c r="P3866" s="49" t="s">
        <v>14</v>
      </c>
      <c r="Q3866" s="166"/>
      <c r="R3866" s="151"/>
    </row>
    <row r="3867" spans="1:18">
      <c r="A3867" s="49" t="s">
        <v>89</v>
      </c>
      <c r="B3867" s="49" t="s">
        <v>1131</v>
      </c>
      <c r="C3867" s="88" t="s">
        <v>8064</v>
      </c>
      <c r="D3867" s="161" t="s">
        <v>8064</v>
      </c>
      <c r="E3867" s="161" t="s">
        <v>7839</v>
      </c>
      <c r="F3867" s="161" t="s">
        <v>7985</v>
      </c>
      <c r="G3867" s="163">
        <v>40.9</v>
      </c>
      <c r="H3867" s="163">
        <f t="shared" si="289"/>
        <v>11.4</v>
      </c>
      <c r="I3867" s="163">
        <v>81.5</v>
      </c>
      <c r="J3867" s="173">
        <v>5577</v>
      </c>
      <c r="K3867" s="173">
        <f>J3867+K3865</f>
        <v>20008</v>
      </c>
      <c r="L3867" s="174"/>
      <c r="M3867" s="49"/>
      <c r="N3867" s="161"/>
      <c r="O3867" s="161" t="s">
        <v>14</v>
      </c>
      <c r="P3867" s="49" t="s">
        <v>14</v>
      </c>
      <c r="Q3867" s="166"/>
      <c r="R3867" s="151"/>
    </row>
    <row r="3868" spans="1:18">
      <c r="A3868" s="49" t="s">
        <v>89</v>
      </c>
      <c r="B3868" s="49" t="s">
        <v>1131</v>
      </c>
      <c r="C3868" s="88" t="s">
        <v>8065</v>
      </c>
      <c r="D3868" s="161" t="s">
        <v>8065</v>
      </c>
      <c r="E3868" s="161" t="s">
        <v>7839</v>
      </c>
      <c r="F3868" s="161" t="s">
        <v>7985</v>
      </c>
      <c r="G3868" s="163">
        <v>59</v>
      </c>
      <c r="H3868" s="163">
        <f t="shared" si="289"/>
        <v>18.1</v>
      </c>
      <c r="I3868" s="163">
        <v>98.15</v>
      </c>
      <c r="J3868" s="173">
        <v>8854</v>
      </c>
      <c r="K3868" s="173">
        <f t="shared" ref="K3867:K3877" si="290">J3868+K3867</f>
        <v>28862</v>
      </c>
      <c r="L3868" s="174"/>
      <c r="M3868" s="49"/>
      <c r="N3868" s="161"/>
      <c r="O3868" s="161" t="s">
        <v>14</v>
      </c>
      <c r="P3868" s="49" t="s">
        <v>14</v>
      </c>
      <c r="Q3868" s="166"/>
      <c r="R3868" s="151"/>
    </row>
    <row r="3869" spans="1:18">
      <c r="A3869" s="49" t="s">
        <v>89</v>
      </c>
      <c r="B3869" s="49" t="s">
        <v>1131</v>
      </c>
      <c r="C3869" s="88" t="s">
        <v>8066</v>
      </c>
      <c r="D3869" s="161" t="s">
        <v>8066</v>
      </c>
      <c r="E3869" s="161" t="s">
        <v>7839</v>
      </c>
      <c r="F3869" s="161" t="s">
        <v>8024</v>
      </c>
      <c r="G3869" s="163">
        <v>78.3</v>
      </c>
      <c r="H3869" s="163">
        <f t="shared" si="289"/>
        <v>19.3</v>
      </c>
      <c r="I3869" s="163">
        <v>91.63</v>
      </c>
      <c r="J3869" s="173">
        <v>9441</v>
      </c>
      <c r="K3869" s="173">
        <f t="shared" si="290"/>
        <v>38303</v>
      </c>
      <c r="L3869" s="174"/>
      <c r="M3869" s="49"/>
      <c r="N3869" s="161"/>
      <c r="O3869" s="161" t="s">
        <v>14</v>
      </c>
      <c r="P3869" s="49" t="s">
        <v>14</v>
      </c>
      <c r="Q3869" s="166"/>
      <c r="R3869" s="151"/>
    </row>
    <row r="3870" spans="1:18">
      <c r="A3870" s="49" t="s">
        <v>89</v>
      </c>
      <c r="B3870" s="49" t="s">
        <v>1131</v>
      </c>
      <c r="C3870" s="88" t="s">
        <v>8067</v>
      </c>
      <c r="D3870" s="161" t="s">
        <v>8068</v>
      </c>
      <c r="E3870" s="161" t="s">
        <v>7839</v>
      </c>
      <c r="F3870" s="161" t="s">
        <v>8024</v>
      </c>
      <c r="G3870" s="163">
        <v>94.8</v>
      </c>
      <c r="H3870" s="163">
        <f t="shared" ref="H3867:H3877" si="291">G3870-G3869</f>
        <v>16.5</v>
      </c>
      <c r="I3870" s="163">
        <v>157.95</v>
      </c>
      <c r="J3870" s="173">
        <v>8071</v>
      </c>
      <c r="K3870" s="173">
        <f t="shared" si="290"/>
        <v>46374</v>
      </c>
      <c r="L3870" s="174"/>
      <c r="M3870" s="49"/>
      <c r="N3870" s="161" t="s">
        <v>1299</v>
      </c>
      <c r="O3870" s="161" t="s">
        <v>25</v>
      </c>
      <c r="P3870" s="49" t="s">
        <v>25</v>
      </c>
      <c r="Q3870" s="166"/>
      <c r="R3870" s="151"/>
    </row>
    <row r="3871" spans="1:18">
      <c r="A3871" s="49" t="s">
        <v>89</v>
      </c>
      <c r="B3871" s="49" t="s">
        <v>1131</v>
      </c>
      <c r="C3871" s="88" t="s">
        <v>8069</v>
      </c>
      <c r="D3871" s="161" t="s">
        <v>8070</v>
      </c>
      <c r="E3871" s="161" t="s">
        <v>7839</v>
      </c>
      <c r="F3871" s="161" t="s">
        <v>8024</v>
      </c>
      <c r="G3871" s="163">
        <v>113.9</v>
      </c>
      <c r="H3871" s="163">
        <f t="shared" si="291"/>
        <v>19.1</v>
      </c>
      <c r="I3871" s="163">
        <v>231.15</v>
      </c>
      <c r="J3871" s="173">
        <v>9343</v>
      </c>
      <c r="K3871" s="173">
        <f t="shared" si="290"/>
        <v>55717</v>
      </c>
      <c r="L3871" s="174"/>
      <c r="M3871" s="49"/>
      <c r="N3871" s="161" t="s">
        <v>1299</v>
      </c>
      <c r="O3871" s="161" t="s">
        <v>25</v>
      </c>
      <c r="P3871" s="49" t="s">
        <v>25</v>
      </c>
      <c r="Q3871" s="166"/>
      <c r="R3871" s="151"/>
    </row>
    <row r="3872" spans="1:18">
      <c r="A3872" s="49" t="s">
        <v>89</v>
      </c>
      <c r="B3872" s="49" t="s">
        <v>1131</v>
      </c>
      <c r="C3872" s="88" t="s">
        <v>8071</v>
      </c>
      <c r="D3872" s="161" t="s">
        <v>8072</v>
      </c>
      <c r="E3872" s="161" t="s">
        <v>7839</v>
      </c>
      <c r="F3872" s="161" t="s">
        <v>8024</v>
      </c>
      <c r="G3872" s="163">
        <v>131.9</v>
      </c>
      <c r="H3872" s="163">
        <f t="shared" si="291"/>
        <v>18</v>
      </c>
      <c r="I3872" s="163">
        <v>293.15</v>
      </c>
      <c r="J3872" s="173">
        <v>8805</v>
      </c>
      <c r="K3872" s="173">
        <f t="shared" si="290"/>
        <v>64522</v>
      </c>
      <c r="L3872" s="174"/>
      <c r="M3872" s="49"/>
      <c r="N3872" s="161" t="s">
        <v>1299</v>
      </c>
      <c r="O3872" s="161" t="s">
        <v>25</v>
      </c>
      <c r="P3872" s="49" t="s">
        <v>25</v>
      </c>
      <c r="Q3872" s="166"/>
      <c r="R3872" s="151"/>
    </row>
    <row r="3873" spans="1:18">
      <c r="A3873" s="49" t="s">
        <v>89</v>
      </c>
      <c r="B3873" s="49" t="s">
        <v>1131</v>
      </c>
      <c r="C3873" s="88" t="s">
        <v>8073</v>
      </c>
      <c r="D3873" s="161" t="s">
        <v>8074</v>
      </c>
      <c r="E3873" s="161" t="s">
        <v>7839</v>
      </c>
      <c r="F3873" s="161" t="s">
        <v>8024</v>
      </c>
      <c r="G3873" s="163">
        <v>147.3</v>
      </c>
      <c r="H3873" s="163">
        <f t="shared" si="291"/>
        <v>15.4</v>
      </c>
      <c r="I3873" s="183">
        <v>84.26</v>
      </c>
      <c r="J3873" s="183">
        <v>7533</v>
      </c>
      <c r="K3873" s="173">
        <f t="shared" si="290"/>
        <v>72055</v>
      </c>
      <c r="L3873" s="174"/>
      <c r="M3873" s="49"/>
      <c r="N3873" s="161" t="s">
        <v>1299</v>
      </c>
      <c r="O3873" s="161" t="s">
        <v>25</v>
      </c>
      <c r="P3873" s="49" t="s">
        <v>25</v>
      </c>
      <c r="Q3873" s="166"/>
      <c r="R3873" s="151"/>
    </row>
    <row r="3874" spans="1:18">
      <c r="A3874" s="49" t="s">
        <v>89</v>
      </c>
      <c r="B3874" s="49" t="s">
        <v>1131</v>
      </c>
      <c r="C3874" s="88" t="s">
        <v>8075</v>
      </c>
      <c r="D3874" s="161" t="s">
        <v>8076</v>
      </c>
      <c r="E3874" s="161" t="s">
        <v>7839</v>
      </c>
      <c r="F3874" s="161" t="s">
        <v>8024</v>
      </c>
      <c r="G3874" s="163">
        <v>167.49</v>
      </c>
      <c r="H3874" s="163">
        <f t="shared" si="291"/>
        <v>20.19</v>
      </c>
      <c r="I3874" s="183">
        <v>77.65</v>
      </c>
      <c r="J3874" s="183">
        <v>9876</v>
      </c>
      <c r="K3874" s="173">
        <f t="shared" si="290"/>
        <v>81931</v>
      </c>
      <c r="L3874" s="174"/>
      <c r="M3874" s="49"/>
      <c r="N3874" s="161" t="s">
        <v>1299</v>
      </c>
      <c r="O3874" s="161" t="s">
        <v>25</v>
      </c>
      <c r="P3874" s="49" t="s">
        <v>25</v>
      </c>
      <c r="Q3874" s="166"/>
      <c r="R3874" s="151"/>
    </row>
    <row r="3875" spans="1:18">
      <c r="A3875" s="49" t="s">
        <v>89</v>
      </c>
      <c r="B3875" s="49" t="s">
        <v>1131</v>
      </c>
      <c r="C3875" s="88" t="s">
        <v>8077</v>
      </c>
      <c r="D3875" s="161" t="s">
        <v>8077</v>
      </c>
      <c r="E3875" s="161" t="s">
        <v>7839</v>
      </c>
      <c r="F3875" s="161" t="s">
        <v>8024</v>
      </c>
      <c r="G3875" s="163">
        <v>186.13</v>
      </c>
      <c r="H3875" s="163">
        <f t="shared" si="291"/>
        <v>18.64</v>
      </c>
      <c r="I3875" s="183">
        <v>223.65</v>
      </c>
      <c r="J3875" s="183">
        <v>9118</v>
      </c>
      <c r="K3875" s="173">
        <f t="shared" si="290"/>
        <v>91049</v>
      </c>
      <c r="L3875" s="174"/>
      <c r="M3875" s="49"/>
      <c r="N3875" s="161"/>
      <c r="O3875" s="161" t="s">
        <v>15</v>
      </c>
      <c r="P3875" s="49" t="s">
        <v>15</v>
      </c>
      <c r="Q3875" s="166"/>
      <c r="R3875" s="151"/>
    </row>
    <row r="3876" spans="1:18">
      <c r="A3876" s="49" t="s">
        <v>89</v>
      </c>
      <c r="B3876" s="49" t="s">
        <v>1131</v>
      </c>
      <c r="C3876" s="88" t="s">
        <v>1139</v>
      </c>
      <c r="D3876" s="161" t="s">
        <v>8078</v>
      </c>
      <c r="E3876" s="161" t="s">
        <v>7839</v>
      </c>
      <c r="F3876" s="161" t="s">
        <v>8024</v>
      </c>
      <c r="G3876" s="163">
        <v>198.47</v>
      </c>
      <c r="H3876" s="163">
        <f t="shared" si="291"/>
        <v>12.34</v>
      </c>
      <c r="I3876" s="183">
        <v>374.65</v>
      </c>
      <c r="J3876" s="183">
        <v>6036</v>
      </c>
      <c r="K3876" s="173">
        <f t="shared" si="290"/>
        <v>97085</v>
      </c>
      <c r="L3876" s="174"/>
      <c r="M3876" s="49"/>
      <c r="N3876" s="161" t="s">
        <v>1299</v>
      </c>
      <c r="O3876" s="161" t="s">
        <v>25</v>
      </c>
      <c r="P3876" s="49" t="s">
        <v>25</v>
      </c>
      <c r="Q3876" s="166"/>
      <c r="R3876" s="151"/>
    </row>
    <row r="3877" spans="1:18">
      <c r="A3877" s="49" t="s">
        <v>89</v>
      </c>
      <c r="B3877" s="49" t="s">
        <v>1131</v>
      </c>
      <c r="C3877" s="88" t="s">
        <v>8031</v>
      </c>
      <c r="D3877" s="161" t="s">
        <v>8031</v>
      </c>
      <c r="E3877" s="161" t="s">
        <v>7839</v>
      </c>
      <c r="F3877" s="161" t="s">
        <v>8024</v>
      </c>
      <c r="G3877" s="163">
        <v>221.14</v>
      </c>
      <c r="H3877" s="163">
        <f t="shared" si="291"/>
        <v>22.67</v>
      </c>
      <c r="I3877" s="183">
        <v>26.43</v>
      </c>
      <c r="J3877" s="183">
        <v>11090</v>
      </c>
      <c r="K3877" s="173">
        <f t="shared" si="290"/>
        <v>108175</v>
      </c>
      <c r="L3877" s="174"/>
      <c r="M3877" s="49"/>
      <c r="N3877" s="161"/>
      <c r="O3877" s="161" t="s">
        <v>14</v>
      </c>
      <c r="P3877" s="49" t="s">
        <v>14</v>
      </c>
      <c r="Q3877" s="166"/>
      <c r="R3877" s="151"/>
    </row>
    <row r="3878" spans="1:18">
      <c r="A3878" s="49" t="s">
        <v>89</v>
      </c>
      <c r="B3878" s="49" t="s">
        <v>1133</v>
      </c>
      <c r="C3878" s="135" t="s">
        <v>1132</v>
      </c>
      <c r="D3878" s="161" t="s">
        <v>1153</v>
      </c>
      <c r="E3878" s="161" t="s">
        <v>7839</v>
      </c>
      <c r="F3878" s="161" t="s">
        <v>7985</v>
      </c>
      <c r="G3878" s="163">
        <v>0</v>
      </c>
      <c r="H3878" s="163">
        <v>0</v>
      </c>
      <c r="I3878" s="173">
        <v>0</v>
      </c>
      <c r="J3878" s="173">
        <v>0</v>
      </c>
      <c r="K3878" s="173">
        <v>0</v>
      </c>
      <c r="L3878" s="174"/>
      <c r="M3878" s="49"/>
      <c r="N3878" s="161"/>
      <c r="O3878" s="161"/>
      <c r="P3878" s="49"/>
      <c r="Q3878" s="166"/>
      <c r="R3878" s="151"/>
    </row>
    <row r="3879" spans="1:18">
      <c r="A3879" s="49" t="s">
        <v>89</v>
      </c>
      <c r="B3879" s="49" t="s">
        <v>1133</v>
      </c>
      <c r="C3879" s="135" t="s">
        <v>1134</v>
      </c>
      <c r="D3879" s="161" t="s">
        <v>1134</v>
      </c>
      <c r="E3879" s="161" t="s">
        <v>7839</v>
      </c>
      <c r="F3879" s="161" t="s">
        <v>7985</v>
      </c>
      <c r="G3879" s="163">
        <v>6.1</v>
      </c>
      <c r="H3879" s="163">
        <v>6.1</v>
      </c>
      <c r="I3879" s="173">
        <v>40.1</v>
      </c>
      <c r="J3879" s="173">
        <v>564</v>
      </c>
      <c r="K3879" s="173">
        <f t="shared" ref="K3879:K3883" si="292">J3879+K3878</f>
        <v>564</v>
      </c>
      <c r="L3879" s="174"/>
      <c r="M3879" s="49"/>
      <c r="N3879" s="161"/>
      <c r="O3879" s="161"/>
      <c r="P3879" s="49"/>
      <c r="Q3879" s="166"/>
      <c r="R3879" s="151"/>
    </row>
    <row r="3880" spans="1:18">
      <c r="A3880" s="49" t="s">
        <v>89</v>
      </c>
      <c r="B3880" s="49" t="s">
        <v>1136</v>
      </c>
      <c r="C3880" s="135" t="s">
        <v>3006</v>
      </c>
      <c r="D3880" s="161" t="s">
        <v>3006</v>
      </c>
      <c r="E3880" s="161" t="s">
        <v>7839</v>
      </c>
      <c r="F3880" s="161" t="s">
        <v>7985</v>
      </c>
      <c r="G3880" s="163">
        <v>0</v>
      </c>
      <c r="H3880" s="163">
        <v>0</v>
      </c>
      <c r="I3880" s="173">
        <v>0</v>
      </c>
      <c r="J3880" s="173">
        <v>0</v>
      </c>
      <c r="K3880" s="173">
        <v>0</v>
      </c>
      <c r="L3880" s="174"/>
      <c r="M3880" s="49"/>
      <c r="N3880" s="161"/>
      <c r="O3880" s="161"/>
      <c r="P3880" s="49"/>
      <c r="Q3880" s="166" t="s">
        <v>3013</v>
      </c>
      <c r="R3880" s="151"/>
    </row>
    <row r="3881" spans="1:18">
      <c r="A3881" s="49" t="s">
        <v>89</v>
      </c>
      <c r="B3881" s="49" t="s">
        <v>1136</v>
      </c>
      <c r="C3881" s="135" t="s">
        <v>8079</v>
      </c>
      <c r="D3881" s="161" t="s">
        <v>3006</v>
      </c>
      <c r="E3881" s="161" t="s">
        <v>7839</v>
      </c>
      <c r="F3881" s="161" t="s">
        <v>7985</v>
      </c>
      <c r="G3881" s="163">
        <v>0.08</v>
      </c>
      <c r="H3881" s="163">
        <v>0.08</v>
      </c>
      <c r="I3881" s="173">
        <v>9.5</v>
      </c>
      <c r="J3881" s="173">
        <v>81</v>
      </c>
      <c r="K3881" s="173">
        <f t="shared" si="292"/>
        <v>81</v>
      </c>
      <c r="L3881" s="174"/>
      <c r="M3881" s="49"/>
      <c r="N3881" s="161"/>
      <c r="O3881" s="161"/>
      <c r="P3881" s="49"/>
      <c r="Q3881" s="166"/>
      <c r="R3881" s="151"/>
    </row>
    <row r="3882" spans="1:18">
      <c r="A3882" s="49" t="s">
        <v>89</v>
      </c>
      <c r="B3882" s="49" t="s">
        <v>1138</v>
      </c>
      <c r="C3882" s="135" t="s">
        <v>1139</v>
      </c>
      <c r="D3882" s="161" t="s">
        <v>8078</v>
      </c>
      <c r="E3882" s="161" t="s">
        <v>7839</v>
      </c>
      <c r="F3882" s="161" t="s">
        <v>8024</v>
      </c>
      <c r="G3882" s="163">
        <v>0</v>
      </c>
      <c r="H3882" s="163">
        <v>0</v>
      </c>
      <c r="I3882" s="173">
        <v>0</v>
      </c>
      <c r="J3882" s="173">
        <v>0</v>
      </c>
      <c r="K3882" s="173">
        <v>0</v>
      </c>
      <c r="L3882" s="174"/>
      <c r="M3882" s="49"/>
      <c r="N3882" s="161"/>
      <c r="O3882" s="161"/>
      <c r="P3882" s="49"/>
      <c r="Q3882" s="166"/>
      <c r="R3882" s="151"/>
    </row>
    <row r="3883" spans="1:18">
      <c r="A3883" s="49" t="s">
        <v>89</v>
      </c>
      <c r="B3883" s="49" t="s">
        <v>1138</v>
      </c>
      <c r="C3883" s="88" t="s">
        <v>1140</v>
      </c>
      <c r="D3883" s="161" t="s">
        <v>1140</v>
      </c>
      <c r="E3883" s="161" t="s">
        <v>7839</v>
      </c>
      <c r="F3883" s="161" t="s">
        <v>8024</v>
      </c>
      <c r="G3883" s="163">
        <v>0.2</v>
      </c>
      <c r="H3883" s="163">
        <v>0.2</v>
      </c>
      <c r="I3883" s="173">
        <v>83.15</v>
      </c>
      <c r="J3883" s="173">
        <v>98</v>
      </c>
      <c r="K3883" s="173">
        <f t="shared" si="292"/>
        <v>98</v>
      </c>
      <c r="L3883" s="174"/>
      <c r="M3883" s="49"/>
      <c r="N3883" s="161"/>
      <c r="O3883" s="161" t="s">
        <v>14</v>
      </c>
      <c r="P3883" s="49" t="s">
        <v>14</v>
      </c>
      <c r="Q3883" s="166"/>
      <c r="R3883" s="151"/>
    </row>
    <row r="3884" spans="1:18">
      <c r="A3884" s="49" t="s">
        <v>89</v>
      </c>
      <c r="B3884" s="49" t="s">
        <v>1141</v>
      </c>
      <c r="C3884" s="135" t="s">
        <v>8071</v>
      </c>
      <c r="D3884" s="161" t="s">
        <v>8072</v>
      </c>
      <c r="E3884" s="161" t="s">
        <v>7839</v>
      </c>
      <c r="F3884" s="161" t="s">
        <v>8024</v>
      </c>
      <c r="G3884" s="171">
        <v>0</v>
      </c>
      <c r="H3884" s="163">
        <v>0</v>
      </c>
      <c r="I3884" s="163">
        <v>293.15</v>
      </c>
      <c r="J3884" s="173">
        <v>0</v>
      </c>
      <c r="K3884" s="173">
        <v>0</v>
      </c>
      <c r="L3884" s="174"/>
      <c r="M3884" s="49"/>
      <c r="N3884" s="161" t="s">
        <v>1299</v>
      </c>
      <c r="O3884" s="161"/>
      <c r="P3884" s="49"/>
      <c r="Q3884" s="166"/>
      <c r="R3884" s="151"/>
    </row>
    <row r="3885" spans="1:18">
      <c r="A3885" s="49" t="s">
        <v>89</v>
      </c>
      <c r="B3885" s="49" t="s">
        <v>1141</v>
      </c>
      <c r="C3885" s="88" t="s">
        <v>1142</v>
      </c>
      <c r="D3885" s="161" t="s">
        <v>1142</v>
      </c>
      <c r="E3885" s="161" t="s">
        <v>7839</v>
      </c>
      <c r="F3885" s="161" t="s">
        <v>8024</v>
      </c>
      <c r="G3885" s="171">
        <v>6.71</v>
      </c>
      <c r="H3885" s="163">
        <f>G3885-G3884</f>
        <v>6.71</v>
      </c>
      <c r="I3885" s="173">
        <v>84</v>
      </c>
      <c r="J3885" s="172">
        <v>3277</v>
      </c>
      <c r="K3885" s="173">
        <f>K3884+J3885</f>
        <v>3277</v>
      </c>
      <c r="L3885" s="174"/>
      <c r="M3885" s="49"/>
      <c r="N3885" s="161"/>
      <c r="O3885" s="161" t="s">
        <v>14</v>
      </c>
      <c r="P3885" s="49" t="s">
        <v>14</v>
      </c>
      <c r="Q3885" s="166"/>
      <c r="R3885" s="151"/>
    </row>
    <row r="3886" spans="1:18">
      <c r="A3886" s="49" t="s">
        <v>89</v>
      </c>
      <c r="B3886" s="49" t="s">
        <v>1141</v>
      </c>
      <c r="C3886" s="88" t="s">
        <v>8080</v>
      </c>
      <c r="D3886" s="161" t="s">
        <v>8081</v>
      </c>
      <c r="E3886" s="161" t="s">
        <v>7839</v>
      </c>
      <c r="F3886" s="161" t="s">
        <v>8024</v>
      </c>
      <c r="G3886" s="171">
        <v>20.21</v>
      </c>
      <c r="H3886" s="163">
        <f t="shared" ref="H3886:H3892" si="293">G3886-G3885</f>
        <v>13.5</v>
      </c>
      <c r="I3886" s="183">
        <v>101.75</v>
      </c>
      <c r="J3886" s="183">
        <v>6584</v>
      </c>
      <c r="K3886" s="173">
        <f t="shared" ref="K3886:K3892" si="294">K3885+J3886</f>
        <v>9861</v>
      </c>
      <c r="L3886" s="174"/>
      <c r="M3886" s="49"/>
      <c r="N3886" s="161" t="s">
        <v>1299</v>
      </c>
      <c r="O3886" s="161" t="s">
        <v>25</v>
      </c>
      <c r="P3886" s="49" t="s">
        <v>25</v>
      </c>
      <c r="Q3886" s="166"/>
      <c r="R3886" s="151"/>
    </row>
    <row r="3887" spans="1:18">
      <c r="A3887" s="49" t="s">
        <v>89</v>
      </c>
      <c r="B3887" s="49" t="s">
        <v>1141</v>
      </c>
      <c r="C3887" s="88" t="s">
        <v>8082</v>
      </c>
      <c r="D3887" s="161" t="s">
        <v>8083</v>
      </c>
      <c r="E3887" s="161" t="s">
        <v>7839</v>
      </c>
      <c r="F3887" s="161" t="s">
        <v>8024</v>
      </c>
      <c r="G3887" s="171">
        <v>35.61</v>
      </c>
      <c r="H3887" s="163">
        <f t="shared" si="293"/>
        <v>15.4</v>
      </c>
      <c r="I3887" s="183">
        <v>160.5</v>
      </c>
      <c r="J3887" s="183">
        <v>7510</v>
      </c>
      <c r="K3887" s="173">
        <f t="shared" si="294"/>
        <v>17371</v>
      </c>
      <c r="L3887" s="174"/>
      <c r="M3887" s="49"/>
      <c r="N3887" s="161" t="s">
        <v>1299</v>
      </c>
      <c r="O3887" s="161" t="s">
        <v>25</v>
      </c>
      <c r="P3887" s="49" t="s">
        <v>25</v>
      </c>
      <c r="Q3887" s="166"/>
      <c r="R3887" s="151"/>
    </row>
    <row r="3888" spans="1:18">
      <c r="A3888" s="49" t="s">
        <v>89</v>
      </c>
      <c r="B3888" s="49" t="s">
        <v>1141</v>
      </c>
      <c r="C3888" s="88" t="s">
        <v>8084</v>
      </c>
      <c r="D3888" s="161" t="s">
        <v>8084</v>
      </c>
      <c r="E3888" s="161" t="s">
        <v>7839</v>
      </c>
      <c r="F3888" s="161" t="s">
        <v>8024</v>
      </c>
      <c r="G3888" s="171">
        <v>50.91</v>
      </c>
      <c r="H3888" s="163">
        <f t="shared" si="293"/>
        <v>15.3</v>
      </c>
      <c r="I3888" s="183">
        <v>90.38</v>
      </c>
      <c r="J3888" s="183">
        <v>7462</v>
      </c>
      <c r="K3888" s="173">
        <f t="shared" si="294"/>
        <v>24833</v>
      </c>
      <c r="L3888" s="174"/>
      <c r="M3888" s="49"/>
      <c r="N3888" s="161"/>
      <c r="O3888" s="161" t="s">
        <v>15</v>
      </c>
      <c r="P3888" s="49" t="s">
        <v>15</v>
      </c>
      <c r="Q3888" s="166"/>
      <c r="R3888" s="151"/>
    </row>
    <row r="3889" spans="1:18">
      <c r="A3889" s="49" t="s">
        <v>89</v>
      </c>
      <c r="B3889" s="49" t="s">
        <v>1141</v>
      </c>
      <c r="C3889" s="135" t="s">
        <v>8085</v>
      </c>
      <c r="D3889" s="161" t="s">
        <v>8086</v>
      </c>
      <c r="E3889" s="161" t="s">
        <v>7839</v>
      </c>
      <c r="F3889" s="161" t="s">
        <v>8024</v>
      </c>
      <c r="G3889" s="171">
        <v>73.42</v>
      </c>
      <c r="H3889" s="163">
        <f t="shared" si="293"/>
        <v>22.51</v>
      </c>
      <c r="I3889" s="183">
        <v>139.81</v>
      </c>
      <c r="J3889" s="183">
        <v>2695</v>
      </c>
      <c r="K3889" s="173">
        <f t="shared" si="294"/>
        <v>27528</v>
      </c>
      <c r="L3889" s="174"/>
      <c r="M3889" s="49"/>
      <c r="N3889" s="161"/>
      <c r="O3889" s="161"/>
      <c r="P3889" s="49"/>
      <c r="Q3889" s="166"/>
      <c r="R3889" s="151"/>
    </row>
    <row r="3890" spans="1:18">
      <c r="A3890" s="49" t="s">
        <v>89</v>
      </c>
      <c r="B3890" s="49" t="s">
        <v>1141</v>
      </c>
      <c r="C3890" s="88" t="s">
        <v>8087</v>
      </c>
      <c r="D3890" s="161" t="s">
        <v>8087</v>
      </c>
      <c r="E3890" s="161" t="s">
        <v>7839</v>
      </c>
      <c r="F3890" s="161" t="s">
        <v>8024</v>
      </c>
      <c r="G3890" s="171">
        <v>86.69</v>
      </c>
      <c r="H3890" s="163">
        <f t="shared" si="293"/>
        <v>13.27</v>
      </c>
      <c r="I3890" s="183">
        <v>185.35</v>
      </c>
      <c r="J3890" s="183">
        <v>1588</v>
      </c>
      <c r="K3890" s="173">
        <f t="shared" si="294"/>
        <v>29116</v>
      </c>
      <c r="L3890" s="174"/>
      <c r="M3890" s="49"/>
      <c r="N3890" s="161"/>
      <c r="O3890" s="161" t="s">
        <v>14</v>
      </c>
      <c r="P3890" s="49" t="s">
        <v>14</v>
      </c>
      <c r="Q3890" s="166"/>
      <c r="R3890" s="151"/>
    </row>
    <row r="3891" spans="1:18">
      <c r="A3891" s="49" t="s">
        <v>89</v>
      </c>
      <c r="B3891" s="49" t="s">
        <v>1141</v>
      </c>
      <c r="C3891" s="88" t="s">
        <v>8088</v>
      </c>
      <c r="D3891" s="161" t="s">
        <v>8089</v>
      </c>
      <c r="E3891" s="161" t="s">
        <v>7839</v>
      </c>
      <c r="F3891" s="161" t="s">
        <v>8024</v>
      </c>
      <c r="G3891" s="171">
        <v>99.23</v>
      </c>
      <c r="H3891" s="163">
        <f t="shared" si="293"/>
        <v>12.54</v>
      </c>
      <c r="I3891" s="183">
        <v>206.14</v>
      </c>
      <c r="J3891" s="183">
        <v>1501</v>
      </c>
      <c r="K3891" s="173">
        <f t="shared" si="294"/>
        <v>30617</v>
      </c>
      <c r="L3891" s="174"/>
      <c r="M3891" s="49"/>
      <c r="N3891" s="161" t="s">
        <v>1299</v>
      </c>
      <c r="O3891" s="161" t="s">
        <v>25</v>
      </c>
      <c r="P3891" s="49" t="s">
        <v>25</v>
      </c>
      <c r="Q3891" s="166"/>
      <c r="R3891" s="151"/>
    </row>
    <row r="3892" spans="1:18">
      <c r="A3892" s="49" t="s">
        <v>89</v>
      </c>
      <c r="B3892" s="49" t="s">
        <v>1141</v>
      </c>
      <c r="C3892" s="88" t="s">
        <v>1143</v>
      </c>
      <c r="D3892" s="161" t="s">
        <v>1143</v>
      </c>
      <c r="E3892" s="161" t="s">
        <v>7839</v>
      </c>
      <c r="F3892" s="161" t="s">
        <v>8024</v>
      </c>
      <c r="G3892" s="171">
        <v>113.23</v>
      </c>
      <c r="H3892" s="163">
        <f t="shared" si="293"/>
        <v>14</v>
      </c>
      <c r="I3892" s="183">
        <v>188.44</v>
      </c>
      <c r="J3892" s="183">
        <v>1676</v>
      </c>
      <c r="K3892" s="173">
        <f t="shared" si="294"/>
        <v>32293</v>
      </c>
      <c r="L3892" s="174"/>
      <c r="M3892" s="49"/>
      <c r="N3892" s="161"/>
      <c r="O3892" s="161" t="s">
        <v>14</v>
      </c>
      <c r="P3892" s="49" t="s">
        <v>14</v>
      </c>
      <c r="Q3892" s="166"/>
      <c r="R3892" s="151"/>
    </row>
    <row r="3893" spans="1:18">
      <c r="A3893" s="49" t="s">
        <v>89</v>
      </c>
      <c r="B3893" s="49" t="s">
        <v>1145</v>
      </c>
      <c r="C3893" s="135" t="s">
        <v>8084</v>
      </c>
      <c r="D3893" s="161" t="s">
        <v>8084</v>
      </c>
      <c r="E3893" s="161" t="s">
        <v>7839</v>
      </c>
      <c r="F3893" s="161" t="s">
        <v>8024</v>
      </c>
      <c r="G3893" s="163">
        <v>0</v>
      </c>
      <c r="H3893" s="163">
        <v>0</v>
      </c>
      <c r="I3893" s="173">
        <v>0</v>
      </c>
      <c r="J3893" s="173">
        <v>0</v>
      </c>
      <c r="K3893" s="173">
        <v>0</v>
      </c>
      <c r="L3893" s="174"/>
      <c r="M3893" s="49"/>
      <c r="N3893" s="161"/>
      <c r="O3893" s="161"/>
      <c r="P3893" s="49"/>
      <c r="Q3893" s="166"/>
      <c r="R3893" s="151"/>
    </row>
    <row r="3894" spans="1:18">
      <c r="A3894" s="49" t="s">
        <v>89</v>
      </c>
      <c r="B3894" s="49" t="s">
        <v>1145</v>
      </c>
      <c r="C3894" s="88" t="s">
        <v>8090</v>
      </c>
      <c r="D3894" s="161" t="s">
        <v>8091</v>
      </c>
      <c r="E3894" s="161" t="s">
        <v>7839</v>
      </c>
      <c r="F3894" s="161" t="s">
        <v>8024</v>
      </c>
      <c r="G3894" s="163">
        <f>G3893+H3894</f>
        <v>13.6</v>
      </c>
      <c r="H3894" s="163">
        <v>13.6</v>
      </c>
      <c r="I3894" s="183">
        <v>139.81</v>
      </c>
      <c r="J3894" s="183">
        <v>6653</v>
      </c>
      <c r="K3894" s="173">
        <f>K3893+J3894</f>
        <v>6653</v>
      </c>
      <c r="L3894" s="174"/>
      <c r="M3894" s="49"/>
      <c r="N3894" s="161" t="s">
        <v>1299</v>
      </c>
      <c r="O3894" s="161" t="s">
        <v>25</v>
      </c>
      <c r="P3894" s="49" t="s">
        <v>25</v>
      </c>
      <c r="Q3894" s="166"/>
      <c r="R3894" s="151"/>
    </row>
    <row r="3895" spans="1:18">
      <c r="A3895" s="49" t="s">
        <v>89</v>
      </c>
      <c r="B3895" s="49" t="s">
        <v>1145</v>
      </c>
      <c r="C3895" s="88" t="s">
        <v>8092</v>
      </c>
      <c r="D3895" s="161" t="s">
        <v>8092</v>
      </c>
      <c r="E3895" s="161" t="s">
        <v>7839</v>
      </c>
      <c r="F3895" s="161" t="s">
        <v>8024</v>
      </c>
      <c r="G3895" s="163">
        <f>G3894+H3895</f>
        <v>31.3</v>
      </c>
      <c r="H3895" s="163">
        <v>17.7</v>
      </c>
      <c r="I3895" s="183">
        <v>189.27</v>
      </c>
      <c r="J3895" s="183">
        <v>8658</v>
      </c>
      <c r="K3895" s="173">
        <f>K3894+J3895</f>
        <v>15311</v>
      </c>
      <c r="L3895" s="174"/>
      <c r="M3895" s="49"/>
      <c r="N3895" s="161"/>
      <c r="O3895" s="161" t="s">
        <v>15</v>
      </c>
      <c r="P3895" s="49" t="s">
        <v>15</v>
      </c>
      <c r="Q3895" s="166"/>
      <c r="R3895" s="151"/>
    </row>
    <row r="3896" spans="1:18">
      <c r="A3896" s="49" t="s">
        <v>89</v>
      </c>
      <c r="B3896" s="49" t="s">
        <v>1145</v>
      </c>
      <c r="C3896" s="88" t="s">
        <v>8093</v>
      </c>
      <c r="D3896" s="161" t="s">
        <v>8094</v>
      </c>
      <c r="E3896" s="161" t="s">
        <v>7839</v>
      </c>
      <c r="F3896" s="161" t="s">
        <v>8024</v>
      </c>
      <c r="G3896" s="163">
        <f>G3895+H3896</f>
        <v>48.65</v>
      </c>
      <c r="H3896" s="163">
        <v>17.35</v>
      </c>
      <c r="I3896" s="183">
        <v>189.27</v>
      </c>
      <c r="J3896" s="183">
        <v>2077</v>
      </c>
      <c r="K3896" s="173">
        <f>K3895+J3896</f>
        <v>17388</v>
      </c>
      <c r="L3896" s="174"/>
      <c r="M3896" s="49"/>
      <c r="N3896" s="161" t="s">
        <v>1299</v>
      </c>
      <c r="O3896" s="161" t="s">
        <v>25</v>
      </c>
      <c r="P3896" s="49" t="s">
        <v>25</v>
      </c>
      <c r="Q3896" s="166"/>
      <c r="R3896" s="151"/>
    </row>
    <row r="3897" spans="1:18">
      <c r="A3897" s="49" t="s">
        <v>89</v>
      </c>
      <c r="B3897" s="49" t="s">
        <v>1145</v>
      </c>
      <c r="C3897" s="88" t="s">
        <v>1147</v>
      </c>
      <c r="D3897" s="161" t="s">
        <v>1147</v>
      </c>
      <c r="E3897" s="161" t="s">
        <v>7839</v>
      </c>
      <c r="F3897" s="161" t="s">
        <v>8024</v>
      </c>
      <c r="G3897" s="163">
        <f>G3896+H3897</f>
        <v>69.24</v>
      </c>
      <c r="H3897" s="163">
        <v>20.59</v>
      </c>
      <c r="I3897" s="183">
        <v>227.35</v>
      </c>
      <c r="J3897" s="183">
        <v>2465</v>
      </c>
      <c r="K3897" s="173">
        <f>K3896+J3897</f>
        <v>19853</v>
      </c>
      <c r="L3897" s="174"/>
      <c r="M3897" s="49"/>
      <c r="N3897" s="161"/>
      <c r="O3897" s="161" t="s">
        <v>14</v>
      </c>
      <c r="P3897" s="49" t="s">
        <v>14</v>
      </c>
      <c r="Q3897" s="166"/>
      <c r="R3897" s="151"/>
    </row>
    <row r="3898" spans="1:18">
      <c r="A3898" s="49" t="s">
        <v>89</v>
      </c>
      <c r="B3898" s="49" t="s">
        <v>1149</v>
      </c>
      <c r="C3898" s="135" t="s">
        <v>8092</v>
      </c>
      <c r="D3898" s="161" t="s">
        <v>8092</v>
      </c>
      <c r="E3898" s="161" t="s">
        <v>7839</v>
      </c>
      <c r="F3898" s="161" t="s">
        <v>8024</v>
      </c>
      <c r="G3898" s="163">
        <v>0</v>
      </c>
      <c r="H3898" s="163">
        <v>0</v>
      </c>
      <c r="I3898" s="173">
        <v>0</v>
      </c>
      <c r="J3898" s="173">
        <v>0</v>
      </c>
      <c r="K3898" s="173">
        <v>0</v>
      </c>
      <c r="L3898" s="174"/>
      <c r="M3898" s="49"/>
      <c r="N3898" s="161"/>
      <c r="O3898" s="161"/>
      <c r="P3898" s="49"/>
      <c r="Q3898" s="166"/>
      <c r="R3898" s="151"/>
    </row>
    <row r="3899" spans="1:18">
      <c r="A3899" s="49" t="s">
        <v>89</v>
      </c>
      <c r="B3899" s="49" t="s">
        <v>1149</v>
      </c>
      <c r="C3899" s="88" t="s">
        <v>1151</v>
      </c>
      <c r="D3899" s="161" t="s">
        <v>1151</v>
      </c>
      <c r="E3899" s="161" t="s">
        <v>7839</v>
      </c>
      <c r="F3899" s="161" t="s">
        <v>8024</v>
      </c>
      <c r="G3899" s="163">
        <v>5.1</v>
      </c>
      <c r="H3899" s="163">
        <v>5.1</v>
      </c>
      <c r="I3899" s="183">
        <v>189.27</v>
      </c>
      <c r="J3899" s="183">
        <v>610</v>
      </c>
      <c r="K3899" s="183">
        <v>610</v>
      </c>
      <c r="L3899" s="174"/>
      <c r="M3899" s="49"/>
      <c r="N3899" s="161"/>
      <c r="O3899" s="161" t="s">
        <v>14</v>
      </c>
      <c r="P3899" s="49" t="s">
        <v>14</v>
      </c>
      <c r="Q3899" s="166"/>
      <c r="R3899" s="151"/>
    </row>
    <row r="3900" spans="1:18">
      <c r="A3900" s="49" t="s">
        <v>89</v>
      </c>
      <c r="B3900" s="49" t="s">
        <v>1152</v>
      </c>
      <c r="C3900" s="135" t="s">
        <v>1132</v>
      </c>
      <c r="D3900" s="161" t="s">
        <v>1153</v>
      </c>
      <c r="E3900" s="161" t="s">
        <v>7839</v>
      </c>
      <c r="F3900" s="161" t="s">
        <v>7985</v>
      </c>
      <c r="G3900" s="163">
        <v>0</v>
      </c>
      <c r="H3900" s="163">
        <v>0</v>
      </c>
      <c r="I3900" s="173">
        <v>0</v>
      </c>
      <c r="J3900" s="173">
        <v>0</v>
      </c>
      <c r="K3900" s="173">
        <v>0</v>
      </c>
      <c r="L3900" s="174"/>
      <c r="M3900" s="49"/>
      <c r="N3900" s="161"/>
      <c r="O3900" s="161"/>
      <c r="P3900" s="49"/>
      <c r="Q3900" s="166"/>
      <c r="R3900" s="151"/>
    </row>
    <row r="3901" spans="1:18">
      <c r="A3901" s="49" t="s">
        <v>89</v>
      </c>
      <c r="B3901" s="49" t="s">
        <v>1152</v>
      </c>
      <c r="C3901" s="88" t="s">
        <v>1155</v>
      </c>
      <c r="D3901" s="161" t="s">
        <v>8095</v>
      </c>
      <c r="E3901" s="161" t="s">
        <v>7839</v>
      </c>
      <c r="F3901" s="161" t="s">
        <v>7985</v>
      </c>
      <c r="G3901" s="163">
        <v>14.6</v>
      </c>
      <c r="H3901" s="163">
        <f>G3901-G3900</f>
        <v>14.6</v>
      </c>
      <c r="I3901" s="183"/>
      <c r="J3901" s="183">
        <v>4618</v>
      </c>
      <c r="K3901" s="173">
        <f>J3901+K3900</f>
        <v>4618</v>
      </c>
      <c r="L3901" s="174"/>
      <c r="M3901" s="49"/>
      <c r="N3901" s="161" t="s">
        <v>1299</v>
      </c>
      <c r="O3901" s="161" t="s">
        <v>25</v>
      </c>
      <c r="P3901" s="49" t="s">
        <v>25</v>
      </c>
      <c r="Q3901" s="166"/>
      <c r="R3901" s="151"/>
    </row>
    <row r="3902" spans="1:18">
      <c r="A3902" s="49" t="s">
        <v>89</v>
      </c>
      <c r="B3902" s="49" t="s">
        <v>1152</v>
      </c>
      <c r="C3902" s="135" t="s">
        <v>1112</v>
      </c>
      <c r="D3902" s="161" t="s">
        <v>1112</v>
      </c>
      <c r="E3902" s="161" t="s">
        <v>7839</v>
      </c>
      <c r="F3902" s="161" t="s">
        <v>7985</v>
      </c>
      <c r="G3902" s="163">
        <v>33.2</v>
      </c>
      <c r="H3902" s="163">
        <f>G3902-G3901</f>
        <v>18.6</v>
      </c>
      <c r="I3902" s="183">
        <v>76.3</v>
      </c>
      <c r="J3902" s="183">
        <v>5882</v>
      </c>
      <c r="K3902" s="173">
        <f>J3902+K3901</f>
        <v>10500</v>
      </c>
      <c r="L3902" s="174"/>
      <c r="M3902" s="49"/>
      <c r="N3902" s="161"/>
      <c r="O3902" s="161"/>
      <c r="P3902" s="49"/>
      <c r="Q3902" s="166"/>
      <c r="R3902" s="151"/>
    </row>
    <row r="3903" spans="1:18">
      <c r="A3903" s="49" t="s">
        <v>89</v>
      </c>
      <c r="B3903" s="49" t="s">
        <v>1154</v>
      </c>
      <c r="C3903" s="135" t="s">
        <v>1155</v>
      </c>
      <c r="D3903" s="161" t="s">
        <v>8095</v>
      </c>
      <c r="E3903" s="161" t="s">
        <v>7839</v>
      </c>
      <c r="F3903" s="161" t="s">
        <v>7985</v>
      </c>
      <c r="G3903" s="163">
        <v>0</v>
      </c>
      <c r="H3903" s="163">
        <v>0</v>
      </c>
      <c r="I3903" s="173">
        <v>0</v>
      </c>
      <c r="J3903" s="173">
        <v>0</v>
      </c>
      <c r="K3903" s="173">
        <v>0</v>
      </c>
      <c r="L3903" s="174"/>
      <c r="M3903" s="49"/>
      <c r="N3903" s="161"/>
      <c r="O3903" s="161"/>
      <c r="P3903" s="49"/>
      <c r="Q3903" s="166"/>
      <c r="R3903" s="151"/>
    </row>
    <row r="3904" spans="1:18">
      <c r="A3904" s="49" t="s">
        <v>89</v>
      </c>
      <c r="B3904" s="49" t="s">
        <v>1154</v>
      </c>
      <c r="C3904" s="135" t="s">
        <v>1156</v>
      </c>
      <c r="D3904" s="161" t="s">
        <v>1156</v>
      </c>
      <c r="E3904" s="161" t="s">
        <v>7839</v>
      </c>
      <c r="F3904" s="161" t="s">
        <v>7985</v>
      </c>
      <c r="G3904" s="163">
        <v>2.67</v>
      </c>
      <c r="H3904" s="163">
        <v>2.67</v>
      </c>
      <c r="I3904" s="173"/>
      <c r="J3904" s="173">
        <v>317</v>
      </c>
      <c r="K3904" s="173">
        <f t="shared" ref="K3904:K3913" si="295">J3904+K3903</f>
        <v>317</v>
      </c>
      <c r="L3904" s="174"/>
      <c r="M3904" s="49"/>
      <c r="N3904" s="161"/>
      <c r="O3904" s="161"/>
      <c r="P3904" s="49"/>
      <c r="Q3904" s="166"/>
      <c r="R3904" s="151"/>
    </row>
    <row r="3905" spans="1:18">
      <c r="A3905" s="49" t="s">
        <v>89</v>
      </c>
      <c r="B3905" s="49" t="s">
        <v>1157</v>
      </c>
      <c r="C3905" s="135" t="s">
        <v>1112</v>
      </c>
      <c r="D3905" s="161" t="s">
        <v>1112</v>
      </c>
      <c r="E3905" s="161" t="s">
        <v>7839</v>
      </c>
      <c r="F3905" s="161" t="s">
        <v>7985</v>
      </c>
      <c r="G3905" s="163">
        <v>0</v>
      </c>
      <c r="H3905" s="163">
        <v>0</v>
      </c>
      <c r="I3905" s="173">
        <v>0</v>
      </c>
      <c r="J3905" s="173">
        <v>0</v>
      </c>
      <c r="K3905" s="173">
        <v>0</v>
      </c>
      <c r="L3905" s="174"/>
      <c r="M3905" s="49"/>
      <c r="N3905" s="161"/>
      <c r="O3905" s="161"/>
      <c r="P3905" s="49"/>
      <c r="Q3905" s="166"/>
      <c r="R3905" s="151"/>
    </row>
    <row r="3906" spans="1:18">
      <c r="A3906" s="49" t="s">
        <v>89</v>
      </c>
      <c r="B3906" s="49" t="s">
        <v>1157</v>
      </c>
      <c r="C3906" s="88" t="s">
        <v>8096</v>
      </c>
      <c r="D3906" s="161" t="s">
        <v>8097</v>
      </c>
      <c r="E3906" s="161" t="s">
        <v>7839</v>
      </c>
      <c r="F3906" s="161" t="s">
        <v>7985</v>
      </c>
      <c r="G3906" s="163">
        <v>10.3</v>
      </c>
      <c r="H3906" s="163">
        <f>G3906-G3905</f>
        <v>10.3</v>
      </c>
      <c r="I3906" s="183">
        <v>150.3</v>
      </c>
      <c r="J3906" s="183">
        <v>1233</v>
      </c>
      <c r="K3906" s="173">
        <f t="shared" si="295"/>
        <v>1233</v>
      </c>
      <c r="L3906" s="174"/>
      <c r="M3906" s="49"/>
      <c r="N3906" s="161" t="s">
        <v>1299</v>
      </c>
      <c r="O3906" s="161" t="s">
        <v>25</v>
      </c>
      <c r="P3906" s="49" t="s">
        <v>25</v>
      </c>
      <c r="Q3906" s="166"/>
      <c r="R3906" s="151"/>
    </row>
    <row r="3907" spans="1:18">
      <c r="A3907" s="49" t="s">
        <v>89</v>
      </c>
      <c r="B3907" s="49" t="s">
        <v>1157</v>
      </c>
      <c r="C3907" s="88" t="s">
        <v>8098</v>
      </c>
      <c r="D3907" s="161" t="s">
        <v>8099</v>
      </c>
      <c r="E3907" s="161" t="s">
        <v>7839</v>
      </c>
      <c r="F3907" s="161" t="s">
        <v>7985</v>
      </c>
      <c r="G3907" s="163">
        <v>18.3</v>
      </c>
      <c r="H3907" s="163">
        <f t="shared" ref="H3907:H3913" si="296">G3907-G3906</f>
        <v>8</v>
      </c>
      <c r="I3907" s="183">
        <v>162.1</v>
      </c>
      <c r="J3907" s="183">
        <v>958</v>
      </c>
      <c r="K3907" s="173">
        <f t="shared" si="295"/>
        <v>2191</v>
      </c>
      <c r="L3907" s="174"/>
      <c r="M3907" s="49"/>
      <c r="N3907" s="161" t="s">
        <v>1299</v>
      </c>
      <c r="O3907" s="161" t="s">
        <v>25</v>
      </c>
      <c r="P3907" s="49" t="s">
        <v>25</v>
      </c>
      <c r="Q3907" s="166"/>
      <c r="R3907" s="151"/>
    </row>
    <row r="3908" spans="1:18">
      <c r="A3908" s="49" t="s">
        <v>89</v>
      </c>
      <c r="B3908" s="49" t="s">
        <v>1157</v>
      </c>
      <c r="C3908" s="88" t="s">
        <v>8100</v>
      </c>
      <c r="D3908" s="161" t="s">
        <v>8101</v>
      </c>
      <c r="E3908" s="161" t="s">
        <v>7839</v>
      </c>
      <c r="F3908" s="161" t="s">
        <v>7985</v>
      </c>
      <c r="G3908" s="163">
        <v>34.4</v>
      </c>
      <c r="H3908" s="163">
        <f t="shared" si="296"/>
        <v>16.1</v>
      </c>
      <c r="I3908" s="183">
        <v>114.3</v>
      </c>
      <c r="J3908" s="183">
        <v>1927</v>
      </c>
      <c r="K3908" s="173">
        <f t="shared" si="295"/>
        <v>4118</v>
      </c>
      <c r="L3908" s="174"/>
      <c r="M3908" s="49"/>
      <c r="N3908" s="161" t="s">
        <v>1299</v>
      </c>
      <c r="O3908" s="161" t="s">
        <v>25</v>
      </c>
      <c r="P3908" s="49" t="s">
        <v>25</v>
      </c>
      <c r="Q3908" s="166"/>
      <c r="R3908" s="151"/>
    </row>
    <row r="3909" spans="1:18">
      <c r="A3909" s="49" t="s">
        <v>89</v>
      </c>
      <c r="B3909" s="49" t="s">
        <v>1157</v>
      </c>
      <c r="C3909" s="88" t="s">
        <v>8102</v>
      </c>
      <c r="D3909" s="161" t="s">
        <v>8102</v>
      </c>
      <c r="E3909" s="161" t="s">
        <v>7839</v>
      </c>
      <c r="F3909" s="161" t="s">
        <v>7985</v>
      </c>
      <c r="G3909" s="163">
        <v>51.2</v>
      </c>
      <c r="H3909" s="163">
        <f t="shared" si="296"/>
        <v>16.8</v>
      </c>
      <c r="I3909" s="183">
        <v>135.8</v>
      </c>
      <c r="J3909" s="183">
        <v>2010</v>
      </c>
      <c r="K3909" s="173">
        <f t="shared" si="295"/>
        <v>6128</v>
      </c>
      <c r="L3909" s="174"/>
      <c r="M3909" s="49"/>
      <c r="N3909" s="161"/>
      <c r="O3909" s="161" t="s">
        <v>14</v>
      </c>
      <c r="P3909" s="49" t="s">
        <v>14</v>
      </c>
      <c r="Q3909" s="166"/>
      <c r="R3909" s="151"/>
    </row>
    <row r="3910" spans="1:18">
      <c r="A3910" s="49" t="s">
        <v>89</v>
      </c>
      <c r="B3910" s="49" t="s">
        <v>1157</v>
      </c>
      <c r="C3910" s="88" t="s">
        <v>8103</v>
      </c>
      <c r="D3910" s="161" t="s">
        <v>8103</v>
      </c>
      <c r="E3910" s="161" t="s">
        <v>7839</v>
      </c>
      <c r="F3910" s="161" t="s">
        <v>7985</v>
      </c>
      <c r="G3910" s="163">
        <v>62.25</v>
      </c>
      <c r="H3910" s="163">
        <f t="shared" si="296"/>
        <v>11.05</v>
      </c>
      <c r="I3910" s="183">
        <v>168.1</v>
      </c>
      <c r="J3910" s="183">
        <v>1505</v>
      </c>
      <c r="K3910" s="173">
        <f t="shared" si="295"/>
        <v>7633</v>
      </c>
      <c r="L3910" s="174"/>
      <c r="M3910" s="49"/>
      <c r="N3910" s="161"/>
      <c r="O3910" s="161" t="s">
        <v>15</v>
      </c>
      <c r="P3910" s="49" t="s">
        <v>15</v>
      </c>
      <c r="Q3910" s="166"/>
      <c r="R3910" s="151"/>
    </row>
    <row r="3911" spans="1:18">
      <c r="A3911" s="49" t="s">
        <v>89</v>
      </c>
      <c r="B3911" s="49" t="s">
        <v>1157</v>
      </c>
      <c r="C3911" s="88" t="s">
        <v>8104</v>
      </c>
      <c r="D3911" s="161" t="s">
        <v>8105</v>
      </c>
      <c r="E3911" s="161" t="s">
        <v>7839</v>
      </c>
      <c r="F3911" s="161" t="s">
        <v>7985</v>
      </c>
      <c r="G3911" s="163">
        <v>70.69</v>
      </c>
      <c r="H3911" s="163">
        <f t="shared" si="296"/>
        <v>8.44</v>
      </c>
      <c r="I3911" s="183">
        <v>172.2</v>
      </c>
      <c r="J3911" s="183">
        <v>1055</v>
      </c>
      <c r="K3911" s="173">
        <f t="shared" si="295"/>
        <v>8688</v>
      </c>
      <c r="L3911" s="174"/>
      <c r="M3911" s="49"/>
      <c r="N3911" s="161" t="s">
        <v>1299</v>
      </c>
      <c r="O3911" s="161" t="s">
        <v>25</v>
      </c>
      <c r="P3911" s="49" t="s">
        <v>25</v>
      </c>
      <c r="Q3911" s="166"/>
      <c r="R3911" s="151"/>
    </row>
    <row r="3912" spans="1:18">
      <c r="A3912" s="49" t="s">
        <v>89</v>
      </c>
      <c r="B3912" s="49" t="s">
        <v>1157</v>
      </c>
      <c r="C3912" s="88" t="s">
        <v>8106</v>
      </c>
      <c r="D3912" s="161" t="s">
        <v>8107</v>
      </c>
      <c r="E3912" s="161" t="s">
        <v>7839</v>
      </c>
      <c r="F3912" s="161" t="s">
        <v>7985</v>
      </c>
      <c r="G3912" s="163">
        <v>78.45</v>
      </c>
      <c r="H3912" s="163">
        <f t="shared" si="296"/>
        <v>7.76000000000001</v>
      </c>
      <c r="I3912" s="183">
        <v>205.1</v>
      </c>
      <c r="J3912" s="183">
        <v>1007</v>
      </c>
      <c r="K3912" s="173">
        <f t="shared" si="295"/>
        <v>9695</v>
      </c>
      <c r="L3912" s="174"/>
      <c r="M3912" s="49"/>
      <c r="N3912" s="161" t="s">
        <v>1299</v>
      </c>
      <c r="O3912" s="161" t="s">
        <v>25</v>
      </c>
      <c r="P3912" s="49" t="s">
        <v>25</v>
      </c>
      <c r="Q3912" s="166"/>
      <c r="R3912" s="151"/>
    </row>
    <row r="3913" spans="1:18">
      <c r="A3913" s="49" t="s">
        <v>89</v>
      </c>
      <c r="B3913" s="49" t="s">
        <v>1157</v>
      </c>
      <c r="C3913" s="88" t="s">
        <v>1158</v>
      </c>
      <c r="D3913" s="161" t="s">
        <v>1158</v>
      </c>
      <c r="E3913" s="161" t="s">
        <v>7839</v>
      </c>
      <c r="F3913" s="161" t="s">
        <v>7985</v>
      </c>
      <c r="G3913" s="163">
        <v>89.14</v>
      </c>
      <c r="H3913" s="163">
        <f t="shared" si="296"/>
        <v>10.69</v>
      </c>
      <c r="I3913" s="183">
        <v>218.1</v>
      </c>
      <c r="J3913" s="183">
        <v>1422</v>
      </c>
      <c r="K3913" s="173">
        <f t="shared" si="295"/>
        <v>11117</v>
      </c>
      <c r="L3913" s="174"/>
      <c r="M3913" s="49"/>
      <c r="N3913" s="161"/>
      <c r="O3913" s="161" t="s">
        <v>14</v>
      </c>
      <c r="P3913" s="49" t="s">
        <v>14</v>
      </c>
      <c r="Q3913" s="166"/>
      <c r="R3913" s="151"/>
    </row>
    <row r="3914" spans="1:18">
      <c r="A3914" s="49" t="s">
        <v>89</v>
      </c>
      <c r="B3914" s="49" t="s">
        <v>1160</v>
      </c>
      <c r="C3914" s="135" t="s">
        <v>1112</v>
      </c>
      <c r="D3914" s="161" t="s">
        <v>1112</v>
      </c>
      <c r="E3914" s="161" t="s">
        <v>7839</v>
      </c>
      <c r="F3914" s="161" t="s">
        <v>7985</v>
      </c>
      <c r="G3914" s="163">
        <v>0</v>
      </c>
      <c r="H3914" s="163">
        <v>0</v>
      </c>
      <c r="I3914" s="173">
        <v>0</v>
      </c>
      <c r="J3914" s="173">
        <v>0</v>
      </c>
      <c r="K3914" s="173">
        <v>0</v>
      </c>
      <c r="L3914" s="174"/>
      <c r="M3914" s="49"/>
      <c r="N3914" s="161"/>
      <c r="O3914" s="161"/>
      <c r="P3914" s="49"/>
      <c r="Q3914" s="166"/>
      <c r="R3914" s="151"/>
    </row>
    <row r="3915" spans="1:18">
      <c r="A3915" s="49" t="s">
        <v>89</v>
      </c>
      <c r="B3915" s="49" t="s">
        <v>1160</v>
      </c>
      <c r="C3915" s="88" t="s">
        <v>8108</v>
      </c>
      <c r="D3915" s="161" t="s">
        <v>8109</v>
      </c>
      <c r="E3915" s="161" t="s">
        <v>7839</v>
      </c>
      <c r="F3915" s="161" t="s">
        <v>7985</v>
      </c>
      <c r="G3915" s="163">
        <v>13.8</v>
      </c>
      <c r="H3915" s="163">
        <f>G3915-G3914</f>
        <v>13.8</v>
      </c>
      <c r="I3915" s="183"/>
      <c r="J3915" s="183">
        <v>1275</v>
      </c>
      <c r="K3915" s="173">
        <f>J3915+K3914</f>
        <v>1275</v>
      </c>
      <c r="L3915" s="174"/>
      <c r="M3915" s="49"/>
      <c r="N3915" s="161" t="s">
        <v>1299</v>
      </c>
      <c r="O3915" s="161" t="s">
        <v>25</v>
      </c>
      <c r="P3915" s="49" t="s">
        <v>25</v>
      </c>
      <c r="Q3915" s="166"/>
      <c r="R3915" s="151"/>
    </row>
    <row r="3916" spans="1:18">
      <c r="A3916" s="49" t="s">
        <v>89</v>
      </c>
      <c r="B3916" s="49" t="s">
        <v>1160</v>
      </c>
      <c r="C3916" s="88" t="s">
        <v>1161</v>
      </c>
      <c r="D3916" s="161" t="s">
        <v>1161</v>
      </c>
      <c r="E3916" s="161" t="s">
        <v>7839</v>
      </c>
      <c r="F3916" s="161" t="s">
        <v>7985</v>
      </c>
      <c r="G3916" s="163">
        <v>22.1</v>
      </c>
      <c r="H3916" s="163">
        <f>G3916-G3915</f>
        <v>8.3</v>
      </c>
      <c r="I3916" s="183"/>
      <c r="J3916" s="183">
        <v>767</v>
      </c>
      <c r="K3916" s="173">
        <f>J3916+K3915</f>
        <v>2042</v>
      </c>
      <c r="L3916" s="174"/>
      <c r="M3916" s="49"/>
      <c r="N3916" s="161"/>
      <c r="O3916" s="161" t="s">
        <v>14</v>
      </c>
      <c r="P3916" s="49" t="s">
        <v>14</v>
      </c>
      <c r="Q3916" s="166"/>
      <c r="R3916" s="151"/>
    </row>
    <row r="3917" spans="1:18">
      <c r="A3917" s="49" t="s">
        <v>89</v>
      </c>
      <c r="B3917" s="49" t="s">
        <v>1162</v>
      </c>
      <c r="C3917" s="135" t="s">
        <v>1132</v>
      </c>
      <c r="D3917" s="161" t="s">
        <v>1153</v>
      </c>
      <c r="E3917" s="161" t="s">
        <v>7839</v>
      </c>
      <c r="F3917" s="161" t="s">
        <v>7985</v>
      </c>
      <c r="G3917" s="163">
        <v>0</v>
      </c>
      <c r="H3917" s="163">
        <v>0</v>
      </c>
      <c r="I3917" s="173">
        <v>0</v>
      </c>
      <c r="J3917" s="173">
        <v>0</v>
      </c>
      <c r="K3917" s="173">
        <v>0</v>
      </c>
      <c r="L3917" s="174"/>
      <c r="M3917" s="49"/>
      <c r="N3917" s="161"/>
      <c r="O3917" s="161"/>
      <c r="P3917" s="49"/>
      <c r="Q3917" s="166"/>
      <c r="R3917" s="151"/>
    </row>
    <row r="3918" spans="1:18">
      <c r="A3918" s="49" t="s">
        <v>89</v>
      </c>
      <c r="B3918" s="49" t="s">
        <v>1162</v>
      </c>
      <c r="C3918" s="88" t="s">
        <v>6817</v>
      </c>
      <c r="D3918" s="161" t="s">
        <v>6818</v>
      </c>
      <c r="E3918" s="161" t="s">
        <v>7839</v>
      </c>
      <c r="F3918" s="161" t="s">
        <v>7985</v>
      </c>
      <c r="G3918" s="163">
        <v>13.7</v>
      </c>
      <c r="H3918" s="163">
        <f t="shared" ref="H3918:H3922" si="297">G3918-G3917</f>
        <v>13.7</v>
      </c>
      <c r="I3918" s="183"/>
      <c r="J3918" s="183">
        <v>6893</v>
      </c>
      <c r="K3918" s="173">
        <f t="shared" ref="K3918:K3922" si="298">J3918+K3917</f>
        <v>6893</v>
      </c>
      <c r="L3918" s="174"/>
      <c r="M3918" s="49"/>
      <c r="N3918" s="161" t="s">
        <v>1299</v>
      </c>
      <c r="O3918" s="161" t="s">
        <v>25</v>
      </c>
      <c r="P3918" s="49" t="s">
        <v>25</v>
      </c>
      <c r="Q3918" s="166"/>
      <c r="R3918" s="151"/>
    </row>
    <row r="3919" spans="1:18">
      <c r="A3919" s="49" t="s">
        <v>89</v>
      </c>
      <c r="B3919" s="49" t="s">
        <v>1162</v>
      </c>
      <c r="C3919" s="88" t="s">
        <v>1165</v>
      </c>
      <c r="D3919" s="161" t="s">
        <v>1165</v>
      </c>
      <c r="E3919" s="161" t="s">
        <v>7839</v>
      </c>
      <c r="F3919" s="161" t="s">
        <v>7985</v>
      </c>
      <c r="G3919" s="163">
        <v>23.1</v>
      </c>
      <c r="H3919" s="163">
        <f t="shared" si="297"/>
        <v>9.4</v>
      </c>
      <c r="I3919" s="183"/>
      <c r="J3919" s="183">
        <v>4729</v>
      </c>
      <c r="K3919" s="173">
        <f t="shared" si="298"/>
        <v>11622</v>
      </c>
      <c r="L3919" s="174"/>
      <c r="M3919" s="49"/>
      <c r="N3919" s="161"/>
      <c r="O3919" s="161" t="s">
        <v>14</v>
      </c>
      <c r="P3919" s="49" t="s">
        <v>14</v>
      </c>
      <c r="Q3919" s="166"/>
      <c r="R3919" s="151"/>
    </row>
    <row r="3920" spans="1:18">
      <c r="A3920" s="49" t="s">
        <v>89</v>
      </c>
      <c r="B3920" s="49" t="s">
        <v>1162</v>
      </c>
      <c r="C3920" s="88" t="s">
        <v>8110</v>
      </c>
      <c r="D3920" s="161" t="s">
        <v>8111</v>
      </c>
      <c r="E3920" s="161" t="s">
        <v>7839</v>
      </c>
      <c r="F3920" s="161" t="s">
        <v>7985</v>
      </c>
      <c r="G3920" s="163">
        <v>34</v>
      </c>
      <c r="H3920" s="163">
        <f t="shared" si="297"/>
        <v>10.9</v>
      </c>
      <c r="I3920" s="183">
        <v>32.5</v>
      </c>
      <c r="J3920" s="183">
        <v>5267</v>
      </c>
      <c r="K3920" s="173">
        <f t="shared" si="298"/>
        <v>16889</v>
      </c>
      <c r="L3920" s="174"/>
      <c r="M3920" s="49"/>
      <c r="N3920" s="161" t="s">
        <v>1299</v>
      </c>
      <c r="O3920" s="161" t="s">
        <v>25</v>
      </c>
      <c r="P3920" s="49" t="s">
        <v>25</v>
      </c>
      <c r="Q3920" s="166"/>
      <c r="R3920" s="151"/>
    </row>
    <row r="3921" spans="1:18">
      <c r="A3921" s="49" t="s">
        <v>89</v>
      </c>
      <c r="B3921" s="49" t="s">
        <v>1162</v>
      </c>
      <c r="C3921" s="88" t="s">
        <v>8112</v>
      </c>
      <c r="D3921" s="161" t="s">
        <v>8113</v>
      </c>
      <c r="E3921" s="161" t="s">
        <v>7839</v>
      </c>
      <c r="F3921" s="161" t="s">
        <v>7985</v>
      </c>
      <c r="G3921" s="163">
        <v>48.1</v>
      </c>
      <c r="H3921" s="163">
        <f t="shared" si="297"/>
        <v>14.1</v>
      </c>
      <c r="I3921" s="183">
        <v>33.4</v>
      </c>
      <c r="J3921" s="183">
        <v>6814</v>
      </c>
      <c r="K3921" s="173">
        <f t="shared" si="298"/>
        <v>23703</v>
      </c>
      <c r="L3921" s="174"/>
      <c r="M3921" s="49"/>
      <c r="N3921" s="161" t="s">
        <v>1299</v>
      </c>
      <c r="O3921" s="161" t="s">
        <v>25</v>
      </c>
      <c r="P3921" s="49" t="s">
        <v>25</v>
      </c>
      <c r="Q3921" s="166"/>
      <c r="R3921" s="151"/>
    </row>
    <row r="3922" spans="1:18">
      <c r="A3922" s="49" t="s">
        <v>89</v>
      </c>
      <c r="B3922" s="49" t="s">
        <v>1162</v>
      </c>
      <c r="C3922" s="88" t="s">
        <v>1163</v>
      </c>
      <c r="D3922" s="161" t="s">
        <v>1163</v>
      </c>
      <c r="E3922" s="161" t="s">
        <v>7839</v>
      </c>
      <c r="F3922" s="161" t="s">
        <v>7985</v>
      </c>
      <c r="G3922" s="163">
        <v>63.4</v>
      </c>
      <c r="H3922" s="163">
        <f t="shared" si="297"/>
        <v>15.3</v>
      </c>
      <c r="I3922" s="183">
        <v>95</v>
      </c>
      <c r="J3922" s="183">
        <v>7393</v>
      </c>
      <c r="K3922" s="173">
        <f t="shared" si="298"/>
        <v>31096</v>
      </c>
      <c r="L3922" s="174"/>
      <c r="M3922" s="49"/>
      <c r="N3922" s="161"/>
      <c r="O3922" s="161" t="s">
        <v>14</v>
      </c>
      <c r="P3922" s="49" t="s">
        <v>14</v>
      </c>
      <c r="Q3922" s="166"/>
      <c r="R3922" s="151"/>
    </row>
    <row r="3923" spans="1:18">
      <c r="A3923" s="49" t="s">
        <v>89</v>
      </c>
      <c r="B3923" s="49" t="s">
        <v>1167</v>
      </c>
      <c r="C3923" s="135" t="s">
        <v>1165</v>
      </c>
      <c r="D3923" s="161" t="s">
        <v>1165</v>
      </c>
      <c r="E3923" s="161" t="s">
        <v>7839</v>
      </c>
      <c r="F3923" s="161" t="s">
        <v>7985</v>
      </c>
      <c r="G3923" s="171">
        <v>0</v>
      </c>
      <c r="H3923" s="163">
        <v>0</v>
      </c>
      <c r="I3923" s="183"/>
      <c r="J3923" s="183">
        <v>4729</v>
      </c>
      <c r="K3923" s="173">
        <v>0</v>
      </c>
      <c r="L3923" s="174"/>
      <c r="M3923" s="49"/>
      <c r="N3923" s="161"/>
      <c r="O3923" s="161"/>
      <c r="P3923" s="49"/>
      <c r="Q3923" s="166"/>
      <c r="R3923" s="151"/>
    </row>
    <row r="3924" spans="1:18">
      <c r="A3924" s="49" t="s">
        <v>89</v>
      </c>
      <c r="B3924" s="49" t="s">
        <v>1167</v>
      </c>
      <c r="C3924" s="88" t="s">
        <v>8114</v>
      </c>
      <c r="D3924" s="161" t="s">
        <v>8115</v>
      </c>
      <c r="E3924" s="161" t="s">
        <v>7839</v>
      </c>
      <c r="F3924" s="161" t="s">
        <v>7985</v>
      </c>
      <c r="G3924" s="171">
        <v>9.4</v>
      </c>
      <c r="H3924" s="163">
        <f>G3924-G3923</f>
        <v>9.4</v>
      </c>
      <c r="I3924" s="183"/>
      <c r="J3924" s="183">
        <v>921</v>
      </c>
      <c r="K3924" s="173">
        <f>K3923+J3924</f>
        <v>921</v>
      </c>
      <c r="L3924" s="174"/>
      <c r="M3924" s="49"/>
      <c r="N3924" s="161" t="s">
        <v>1299</v>
      </c>
      <c r="O3924" s="161" t="s">
        <v>25</v>
      </c>
      <c r="P3924" s="49" t="s">
        <v>25</v>
      </c>
      <c r="Q3924" s="166"/>
      <c r="R3924" s="151"/>
    </row>
    <row r="3925" spans="1:18">
      <c r="A3925" s="49" t="s">
        <v>89</v>
      </c>
      <c r="B3925" s="49" t="s">
        <v>1167</v>
      </c>
      <c r="C3925" s="135" t="s">
        <v>8116</v>
      </c>
      <c r="D3925" s="161" t="s">
        <v>8116</v>
      </c>
      <c r="E3925" s="161" t="s">
        <v>7839</v>
      </c>
      <c r="F3925" s="161" t="s">
        <v>7985</v>
      </c>
      <c r="G3925" s="171">
        <v>21.5</v>
      </c>
      <c r="H3925" s="163">
        <f>G3925-G3924</f>
        <v>12.1</v>
      </c>
      <c r="I3925" s="183"/>
      <c r="J3925" s="183">
        <v>640</v>
      </c>
      <c r="K3925" s="173">
        <f>K3924+J3925</f>
        <v>1561</v>
      </c>
      <c r="L3925" s="174"/>
      <c r="M3925" s="49"/>
      <c r="N3925" s="161"/>
      <c r="O3925" s="161"/>
      <c r="P3925" s="49"/>
      <c r="Q3925" s="166"/>
      <c r="R3925" s="151"/>
    </row>
    <row r="3926" spans="1:18">
      <c r="A3926" s="49" t="s">
        <v>89</v>
      </c>
      <c r="B3926" s="49" t="s">
        <v>1164</v>
      </c>
      <c r="C3926" s="135" t="s">
        <v>1165</v>
      </c>
      <c r="D3926" s="161" t="s">
        <v>1165</v>
      </c>
      <c r="E3926" s="161" t="s">
        <v>7839</v>
      </c>
      <c r="F3926" s="161" t="s">
        <v>7985</v>
      </c>
      <c r="G3926" s="163">
        <v>0</v>
      </c>
      <c r="H3926" s="163">
        <v>0</v>
      </c>
      <c r="I3926" s="173">
        <v>0</v>
      </c>
      <c r="J3926" s="173">
        <v>0</v>
      </c>
      <c r="K3926" s="173">
        <v>0</v>
      </c>
      <c r="L3926" s="174"/>
      <c r="M3926" s="49"/>
      <c r="N3926" s="161"/>
      <c r="O3926" s="161"/>
      <c r="P3926" s="49"/>
      <c r="Q3926" s="166"/>
      <c r="R3926" s="151"/>
    </row>
    <row r="3927" spans="1:18">
      <c r="A3927" s="49" t="s">
        <v>89</v>
      </c>
      <c r="B3927" s="49" t="s">
        <v>1164</v>
      </c>
      <c r="C3927" s="135" t="s">
        <v>1166</v>
      </c>
      <c r="D3927" s="161" t="s">
        <v>1166</v>
      </c>
      <c r="E3927" s="161" t="s">
        <v>7839</v>
      </c>
      <c r="F3927" s="161" t="s">
        <v>7985</v>
      </c>
      <c r="G3927" s="163">
        <v>4.86</v>
      </c>
      <c r="H3927" s="163">
        <v>4.86</v>
      </c>
      <c r="I3927" s="183"/>
      <c r="J3927" s="183">
        <v>370</v>
      </c>
      <c r="K3927" s="173">
        <f t="shared" ref="K3927:K3930" si="299">J3927+K3926</f>
        <v>370</v>
      </c>
      <c r="L3927" s="174"/>
      <c r="M3927" s="49"/>
      <c r="N3927" s="161"/>
      <c r="O3927" s="161"/>
      <c r="P3927" s="49"/>
      <c r="Q3927" s="166"/>
      <c r="R3927" s="151"/>
    </row>
    <row r="3928" spans="1:18">
      <c r="A3928" s="49" t="s">
        <v>89</v>
      </c>
      <c r="B3928" s="49" t="s">
        <v>1169</v>
      </c>
      <c r="C3928" s="88" t="s">
        <v>1170</v>
      </c>
      <c r="D3928" s="161" t="s">
        <v>8117</v>
      </c>
      <c r="E3928" s="161" t="s">
        <v>7839</v>
      </c>
      <c r="F3928" s="161" t="s">
        <v>7985</v>
      </c>
      <c r="G3928" s="163">
        <v>0</v>
      </c>
      <c r="H3928" s="163">
        <v>0</v>
      </c>
      <c r="I3928" s="173">
        <v>0</v>
      </c>
      <c r="J3928" s="173">
        <v>0</v>
      </c>
      <c r="K3928" s="173">
        <v>0</v>
      </c>
      <c r="L3928" s="174"/>
      <c r="M3928" s="49"/>
      <c r="N3928" s="161"/>
      <c r="O3928" s="161" t="s">
        <v>14</v>
      </c>
      <c r="P3928" s="49" t="s">
        <v>14</v>
      </c>
      <c r="Q3928" s="166"/>
      <c r="R3928" s="151"/>
    </row>
    <row r="3929" spans="1:18">
      <c r="A3929" s="49" t="s">
        <v>89</v>
      </c>
      <c r="B3929" s="49" t="s">
        <v>1169</v>
      </c>
      <c r="C3929" s="88" t="s">
        <v>8118</v>
      </c>
      <c r="D3929" s="161" t="s">
        <v>8119</v>
      </c>
      <c r="E3929" s="161" t="s">
        <v>7839</v>
      </c>
      <c r="F3929" s="161" t="s">
        <v>7985</v>
      </c>
      <c r="G3929" s="163">
        <f t="shared" ref="G3929:G3930" si="300">G3928+H3929</f>
        <v>16.2</v>
      </c>
      <c r="H3929" s="163">
        <v>16.2</v>
      </c>
      <c r="I3929" s="183">
        <v>94.1</v>
      </c>
      <c r="J3929" s="183">
        <v>5333</v>
      </c>
      <c r="K3929" s="173">
        <f t="shared" si="299"/>
        <v>5333</v>
      </c>
      <c r="L3929" s="174"/>
      <c r="M3929" s="49"/>
      <c r="N3929" s="161" t="s">
        <v>1299</v>
      </c>
      <c r="O3929" s="161" t="s">
        <v>25</v>
      </c>
      <c r="P3929" s="49" t="s">
        <v>25</v>
      </c>
      <c r="Q3929" s="166"/>
      <c r="R3929" s="151"/>
    </row>
    <row r="3930" spans="1:18">
      <c r="A3930" s="49" t="s">
        <v>89</v>
      </c>
      <c r="B3930" s="49" t="s">
        <v>1169</v>
      </c>
      <c r="C3930" s="135" t="s">
        <v>1163</v>
      </c>
      <c r="D3930" s="161" t="s">
        <v>1163</v>
      </c>
      <c r="E3930" s="161" t="s">
        <v>7839</v>
      </c>
      <c r="F3930" s="161" t="s">
        <v>7985</v>
      </c>
      <c r="G3930" s="163">
        <f t="shared" si="300"/>
        <v>32.2</v>
      </c>
      <c r="H3930" s="163">
        <v>16</v>
      </c>
      <c r="I3930" s="183">
        <v>95</v>
      </c>
      <c r="J3930" s="183">
        <v>5267</v>
      </c>
      <c r="K3930" s="173">
        <f t="shared" si="299"/>
        <v>10600</v>
      </c>
      <c r="L3930" s="174"/>
      <c r="M3930" s="161"/>
      <c r="N3930" s="161"/>
      <c r="O3930" s="161"/>
      <c r="P3930" s="49"/>
      <c r="Q3930" s="166"/>
      <c r="R3930" s="151"/>
    </row>
    <row r="3931" spans="1:18">
      <c r="A3931" s="49" t="s">
        <v>89</v>
      </c>
      <c r="B3931" s="49" t="s">
        <v>1171</v>
      </c>
      <c r="C3931" s="135" t="s">
        <v>1163</v>
      </c>
      <c r="D3931" s="161" t="s">
        <v>1163</v>
      </c>
      <c r="E3931" s="161" t="s">
        <v>7839</v>
      </c>
      <c r="F3931" s="161" t="s">
        <v>7985</v>
      </c>
      <c r="G3931" s="171">
        <v>0</v>
      </c>
      <c r="H3931" s="163">
        <v>0</v>
      </c>
      <c r="I3931" s="183">
        <v>95</v>
      </c>
      <c r="J3931" s="183">
        <v>0</v>
      </c>
      <c r="K3931" s="173">
        <v>0</v>
      </c>
      <c r="L3931" s="174"/>
      <c r="M3931" s="161"/>
      <c r="N3931" s="161"/>
      <c r="O3931" s="161"/>
      <c r="P3931" s="49"/>
      <c r="Q3931" s="166"/>
      <c r="R3931" s="151"/>
    </row>
    <row r="3932" spans="1:18">
      <c r="A3932" s="49" t="s">
        <v>89</v>
      </c>
      <c r="B3932" s="49" t="s">
        <v>1171</v>
      </c>
      <c r="C3932" s="88" t="s">
        <v>8120</v>
      </c>
      <c r="D3932" s="161" t="s">
        <v>8121</v>
      </c>
      <c r="E3932" s="161" t="s">
        <v>7839</v>
      </c>
      <c r="F3932" s="161" t="s">
        <v>7985</v>
      </c>
      <c r="G3932" s="171">
        <v>11.4</v>
      </c>
      <c r="H3932" s="163">
        <f>G3932-G3931</f>
        <v>11.4</v>
      </c>
      <c r="I3932" s="183">
        <v>85</v>
      </c>
      <c r="J3932" s="183">
        <v>1389</v>
      </c>
      <c r="K3932" s="173">
        <f>K3931+J3932</f>
        <v>1389</v>
      </c>
      <c r="L3932" s="174"/>
      <c r="M3932" s="161"/>
      <c r="N3932" s="161" t="s">
        <v>1299</v>
      </c>
      <c r="O3932" s="161" t="s">
        <v>25</v>
      </c>
      <c r="P3932" s="49" t="s">
        <v>25</v>
      </c>
      <c r="Q3932" s="166"/>
      <c r="R3932" s="151"/>
    </row>
    <row r="3933" spans="1:18">
      <c r="A3933" s="49" t="s">
        <v>89</v>
      </c>
      <c r="B3933" s="49" t="s">
        <v>1171</v>
      </c>
      <c r="C3933" s="135" t="s">
        <v>1172</v>
      </c>
      <c r="D3933" s="161" t="s">
        <v>1172</v>
      </c>
      <c r="E3933" s="161" t="s">
        <v>7839</v>
      </c>
      <c r="F3933" s="161" t="s">
        <v>7985</v>
      </c>
      <c r="G3933" s="171">
        <v>23.2</v>
      </c>
      <c r="H3933" s="163">
        <f>G3933-G3932</f>
        <v>11.8</v>
      </c>
      <c r="I3933" s="183">
        <v>52</v>
      </c>
      <c r="J3933" s="183">
        <v>1437</v>
      </c>
      <c r="K3933" s="173">
        <f>K3932+J3933</f>
        <v>2826</v>
      </c>
      <c r="L3933" s="174"/>
      <c r="M3933" s="161"/>
      <c r="N3933" s="161"/>
      <c r="O3933" s="161"/>
      <c r="P3933" s="49"/>
      <c r="Q3933" s="166"/>
      <c r="R3933" s="151"/>
    </row>
    <row r="3934" spans="1:18">
      <c r="A3934" s="49" t="s">
        <v>89</v>
      </c>
      <c r="B3934" s="49" t="s">
        <v>1173</v>
      </c>
      <c r="C3934" s="135" t="s">
        <v>1170</v>
      </c>
      <c r="D3934" s="161" t="s">
        <v>8117</v>
      </c>
      <c r="E3934" s="161" t="s">
        <v>7839</v>
      </c>
      <c r="F3934" s="161" t="s">
        <v>7985</v>
      </c>
      <c r="G3934" s="163">
        <v>0</v>
      </c>
      <c r="H3934" s="163">
        <v>0</v>
      </c>
      <c r="I3934" s="173">
        <v>0</v>
      </c>
      <c r="J3934" s="173">
        <v>0</v>
      </c>
      <c r="K3934" s="173">
        <v>0</v>
      </c>
      <c r="L3934" s="174"/>
      <c r="M3934" s="161"/>
      <c r="N3934" s="161"/>
      <c r="O3934" s="161"/>
      <c r="P3934" s="49"/>
      <c r="Q3934" s="166"/>
      <c r="R3934" s="151"/>
    </row>
    <row r="3935" spans="1:18">
      <c r="A3935" s="49" t="s">
        <v>89</v>
      </c>
      <c r="B3935" s="49" t="s">
        <v>1173</v>
      </c>
      <c r="C3935" s="88" t="s">
        <v>1176</v>
      </c>
      <c r="D3935" s="161" t="s">
        <v>1176</v>
      </c>
      <c r="E3935" s="161" t="s">
        <v>7839</v>
      </c>
      <c r="F3935" s="161" t="s">
        <v>7985</v>
      </c>
      <c r="G3935" s="163">
        <v>16.6</v>
      </c>
      <c r="H3935" s="163">
        <f t="shared" ref="H3935:H3939" si="301">G3935-G3934</f>
        <v>16.6</v>
      </c>
      <c r="I3935" s="173">
        <v>94.1</v>
      </c>
      <c r="J3935" s="183">
        <v>1534</v>
      </c>
      <c r="K3935" s="173">
        <f t="shared" ref="K3935:K3939" si="302">J3935+K3934</f>
        <v>1534</v>
      </c>
      <c r="L3935" s="174"/>
      <c r="M3935" s="161"/>
      <c r="N3935" s="161" t="s">
        <v>1299</v>
      </c>
      <c r="O3935" s="161" t="s">
        <v>25</v>
      </c>
      <c r="P3935" s="49" t="s">
        <v>25</v>
      </c>
      <c r="Q3935" s="166"/>
      <c r="R3935" s="151"/>
    </row>
    <row r="3936" spans="1:18">
      <c r="A3936" s="49" t="s">
        <v>89</v>
      </c>
      <c r="B3936" s="49" t="s">
        <v>1173</v>
      </c>
      <c r="C3936" s="88" t="s">
        <v>8122</v>
      </c>
      <c r="D3936" s="161" t="s">
        <v>8123</v>
      </c>
      <c r="E3936" s="161" t="s">
        <v>7839</v>
      </c>
      <c r="F3936" s="161" t="s">
        <v>7985</v>
      </c>
      <c r="G3936" s="163">
        <v>36.9</v>
      </c>
      <c r="H3936" s="163">
        <f t="shared" si="301"/>
        <v>20.3</v>
      </c>
      <c r="I3936" s="183">
        <v>70.9</v>
      </c>
      <c r="J3936" s="183">
        <v>1876</v>
      </c>
      <c r="K3936" s="173">
        <f t="shared" si="302"/>
        <v>3410</v>
      </c>
      <c r="L3936" s="174"/>
      <c r="M3936" s="161"/>
      <c r="N3936" s="161" t="s">
        <v>1299</v>
      </c>
      <c r="O3936" s="161" t="s">
        <v>25</v>
      </c>
      <c r="P3936" s="49" t="s">
        <v>25</v>
      </c>
      <c r="Q3936" s="166"/>
      <c r="R3936" s="151"/>
    </row>
    <row r="3937" spans="1:18">
      <c r="A3937" s="49" t="s">
        <v>89</v>
      </c>
      <c r="B3937" s="49" t="s">
        <v>1173</v>
      </c>
      <c r="C3937" s="88" t="s">
        <v>1174</v>
      </c>
      <c r="D3937" s="161" t="s">
        <v>1174</v>
      </c>
      <c r="E3937" s="161" t="s">
        <v>7839</v>
      </c>
      <c r="F3937" s="161" t="s">
        <v>7985</v>
      </c>
      <c r="G3937" s="163">
        <v>55</v>
      </c>
      <c r="H3937" s="163">
        <f t="shared" si="301"/>
        <v>18.1</v>
      </c>
      <c r="I3937" s="183">
        <v>130.5</v>
      </c>
      <c r="J3937" s="183">
        <v>1672</v>
      </c>
      <c r="K3937" s="173">
        <f t="shared" si="302"/>
        <v>5082</v>
      </c>
      <c r="L3937" s="174"/>
      <c r="M3937" s="161"/>
      <c r="N3937" s="161"/>
      <c r="O3937" s="161" t="s">
        <v>14</v>
      </c>
      <c r="P3937" s="49" t="s">
        <v>14</v>
      </c>
      <c r="Q3937" s="166"/>
      <c r="R3937" s="151"/>
    </row>
    <row r="3938" spans="1:18">
      <c r="A3938" s="49" t="s">
        <v>89</v>
      </c>
      <c r="B3938" s="49" t="s">
        <v>1173</v>
      </c>
      <c r="C3938" s="88" t="s">
        <v>8124</v>
      </c>
      <c r="D3938" s="161" t="s">
        <v>8125</v>
      </c>
      <c r="E3938" s="161" t="s">
        <v>7839</v>
      </c>
      <c r="F3938" s="161" t="s">
        <v>7985</v>
      </c>
      <c r="G3938" s="163">
        <v>62.9</v>
      </c>
      <c r="H3938" s="163">
        <f t="shared" si="301"/>
        <v>7.9</v>
      </c>
      <c r="I3938" s="183">
        <v>113.5</v>
      </c>
      <c r="J3938" s="183">
        <v>730</v>
      </c>
      <c r="K3938" s="173">
        <f t="shared" si="302"/>
        <v>5812</v>
      </c>
      <c r="L3938" s="174"/>
      <c r="M3938" s="161"/>
      <c r="N3938" s="161" t="s">
        <v>1299</v>
      </c>
      <c r="O3938" s="161" t="s">
        <v>25</v>
      </c>
      <c r="P3938" s="49" t="s">
        <v>25</v>
      </c>
      <c r="Q3938" s="166"/>
      <c r="R3938" s="151"/>
    </row>
    <row r="3939" spans="1:18">
      <c r="A3939" s="49" t="s">
        <v>89</v>
      </c>
      <c r="B3939" s="49" t="s">
        <v>1173</v>
      </c>
      <c r="C3939" s="135" t="s">
        <v>8126</v>
      </c>
      <c r="D3939" s="161" t="s">
        <v>8126</v>
      </c>
      <c r="E3939" s="161" t="s">
        <v>7839</v>
      </c>
      <c r="F3939" s="161" t="s">
        <v>7985</v>
      </c>
      <c r="G3939" s="163">
        <v>75.9</v>
      </c>
      <c r="H3939" s="163">
        <f t="shared" si="301"/>
        <v>13</v>
      </c>
      <c r="I3939" s="183"/>
      <c r="J3939" s="183">
        <v>1201</v>
      </c>
      <c r="K3939" s="173">
        <f t="shared" si="302"/>
        <v>7013</v>
      </c>
      <c r="L3939" s="174"/>
      <c r="M3939" s="161"/>
      <c r="N3939" s="161"/>
      <c r="O3939" s="161"/>
      <c r="P3939" s="49"/>
      <c r="Q3939" s="166"/>
      <c r="R3939" s="151"/>
    </row>
    <row r="3940" spans="1:18">
      <c r="A3940" s="49" t="s">
        <v>89</v>
      </c>
      <c r="B3940" s="49" t="s">
        <v>1175</v>
      </c>
      <c r="C3940" s="135" t="s">
        <v>1176</v>
      </c>
      <c r="D3940" s="161" t="s">
        <v>1176</v>
      </c>
      <c r="E3940" s="161" t="s">
        <v>7839</v>
      </c>
      <c r="F3940" s="161" t="s">
        <v>7985</v>
      </c>
      <c r="G3940" s="163">
        <v>0</v>
      </c>
      <c r="H3940" s="163">
        <v>0</v>
      </c>
      <c r="I3940" s="173">
        <v>94.1</v>
      </c>
      <c r="J3940" s="183">
        <v>0</v>
      </c>
      <c r="K3940" s="173">
        <v>0</v>
      </c>
      <c r="L3940" s="174"/>
      <c r="M3940" s="161"/>
      <c r="N3940" s="161" t="s">
        <v>1299</v>
      </c>
      <c r="O3940" s="161"/>
      <c r="P3940" s="49"/>
      <c r="Q3940" s="166"/>
      <c r="R3940" s="151"/>
    </row>
    <row r="3941" spans="1:18">
      <c r="A3941" s="49" t="s">
        <v>89</v>
      </c>
      <c r="B3941" s="49" t="s">
        <v>1175</v>
      </c>
      <c r="C3941" s="88" t="s">
        <v>1177</v>
      </c>
      <c r="D3941" s="161" t="s">
        <v>1177</v>
      </c>
      <c r="E3941" s="161" t="s">
        <v>7839</v>
      </c>
      <c r="F3941" s="161" t="s">
        <v>7985</v>
      </c>
      <c r="G3941" s="163">
        <v>0.5</v>
      </c>
      <c r="H3941" s="163">
        <v>0.5</v>
      </c>
      <c r="I3941" s="173">
        <v>70.9</v>
      </c>
      <c r="J3941" s="183">
        <v>46</v>
      </c>
      <c r="K3941" s="183">
        <v>46</v>
      </c>
      <c r="L3941" s="174"/>
      <c r="M3941" s="161"/>
      <c r="N3941" s="161"/>
      <c r="O3941" s="161" t="s">
        <v>15</v>
      </c>
      <c r="P3941" s="49" t="s">
        <v>15</v>
      </c>
      <c r="Q3941" s="166"/>
      <c r="R3941" s="151"/>
    </row>
    <row r="3942" spans="1:18">
      <c r="A3942" s="49" t="s">
        <v>89</v>
      </c>
      <c r="B3942" s="49" t="s">
        <v>1178</v>
      </c>
      <c r="C3942" s="135" t="s">
        <v>2996</v>
      </c>
      <c r="D3942" s="161" t="s">
        <v>2996</v>
      </c>
      <c r="E3942" s="161" t="s">
        <v>7839</v>
      </c>
      <c r="F3942" s="161" t="s">
        <v>7985</v>
      </c>
      <c r="G3942" s="163">
        <v>0</v>
      </c>
      <c r="H3942" s="163">
        <v>0</v>
      </c>
      <c r="I3942" s="173">
        <v>0</v>
      </c>
      <c r="J3942" s="173">
        <v>0</v>
      </c>
      <c r="K3942" s="173">
        <v>0</v>
      </c>
      <c r="L3942" s="174"/>
      <c r="M3942" s="161"/>
      <c r="N3942" s="161" t="s">
        <v>1331</v>
      </c>
      <c r="O3942" s="161"/>
      <c r="P3942" s="49"/>
      <c r="Q3942" s="166" t="s">
        <v>2997</v>
      </c>
      <c r="R3942" s="151"/>
    </row>
    <row r="3943" spans="1:18">
      <c r="A3943" s="49" t="s">
        <v>89</v>
      </c>
      <c r="B3943" s="49" t="s">
        <v>1178</v>
      </c>
      <c r="C3943" s="135" t="s">
        <v>1170</v>
      </c>
      <c r="D3943" s="161" t="s">
        <v>8117</v>
      </c>
      <c r="E3943" s="161" t="s">
        <v>7839</v>
      </c>
      <c r="F3943" s="161" t="s">
        <v>7985</v>
      </c>
      <c r="G3943" s="163">
        <f>G3942+H3943</f>
        <v>0.03</v>
      </c>
      <c r="H3943" s="163">
        <v>0.03</v>
      </c>
      <c r="I3943" s="173"/>
      <c r="J3943" s="173">
        <v>6</v>
      </c>
      <c r="K3943" s="173">
        <f t="shared" ref="K3943:K3947" si="303">J3943+K3942</f>
        <v>6</v>
      </c>
      <c r="L3943" s="174"/>
      <c r="M3943" s="161"/>
      <c r="N3943" s="161"/>
      <c r="O3943" s="161"/>
      <c r="P3943" s="49"/>
      <c r="Q3943" s="166"/>
      <c r="R3943" s="151"/>
    </row>
    <row r="3944" spans="1:18">
      <c r="A3944" s="49" t="s">
        <v>89</v>
      </c>
      <c r="B3944" s="49" t="s">
        <v>1180</v>
      </c>
      <c r="C3944" s="135" t="s">
        <v>1170</v>
      </c>
      <c r="D3944" s="161" t="s">
        <v>8117</v>
      </c>
      <c r="E3944" s="161" t="s">
        <v>7839</v>
      </c>
      <c r="F3944" s="161" t="s">
        <v>7985</v>
      </c>
      <c r="G3944" s="163">
        <v>0</v>
      </c>
      <c r="H3944" s="163">
        <v>0</v>
      </c>
      <c r="I3944" s="173">
        <v>0</v>
      </c>
      <c r="J3944" s="173">
        <v>0</v>
      </c>
      <c r="K3944" s="173">
        <v>0</v>
      </c>
      <c r="L3944" s="174"/>
      <c r="M3944" s="161"/>
      <c r="N3944" s="161"/>
      <c r="O3944" s="161"/>
      <c r="P3944" s="49"/>
      <c r="Q3944" s="166"/>
      <c r="R3944" s="151"/>
    </row>
    <row r="3945" spans="1:18">
      <c r="A3945" s="49" t="s">
        <v>89</v>
      </c>
      <c r="B3945" s="49" t="s">
        <v>1180</v>
      </c>
      <c r="C3945" s="88" t="s">
        <v>1187</v>
      </c>
      <c r="D3945" s="161" t="s">
        <v>8127</v>
      </c>
      <c r="E3945" s="161" t="s">
        <v>7839</v>
      </c>
      <c r="F3945" s="161" t="s">
        <v>7985</v>
      </c>
      <c r="G3945" s="163">
        <v>14.1</v>
      </c>
      <c r="H3945" s="163">
        <f>G3945-G3944</f>
        <v>14.1</v>
      </c>
      <c r="I3945" s="183">
        <v>94.1</v>
      </c>
      <c r="J3945" s="183">
        <v>4482</v>
      </c>
      <c r="K3945" s="173">
        <f t="shared" si="303"/>
        <v>4482</v>
      </c>
      <c r="L3945" s="174"/>
      <c r="M3945" s="161"/>
      <c r="N3945" s="161" t="s">
        <v>1299</v>
      </c>
      <c r="O3945" s="161" t="s">
        <v>25</v>
      </c>
      <c r="P3945" s="49" t="s">
        <v>25</v>
      </c>
      <c r="Q3945" s="166"/>
      <c r="R3945" s="151"/>
    </row>
    <row r="3946" spans="1:18">
      <c r="A3946" s="49" t="s">
        <v>89</v>
      </c>
      <c r="B3946" s="49" t="s">
        <v>1180</v>
      </c>
      <c r="C3946" s="88" t="s">
        <v>8128</v>
      </c>
      <c r="D3946" s="161" t="s">
        <v>8129</v>
      </c>
      <c r="E3946" s="161" t="s">
        <v>7839</v>
      </c>
      <c r="F3946" s="161" t="s">
        <v>7985</v>
      </c>
      <c r="G3946" s="163">
        <v>28.4</v>
      </c>
      <c r="H3946" s="163">
        <f>G3946-G3945</f>
        <v>14.3</v>
      </c>
      <c r="I3946" s="183">
        <v>79</v>
      </c>
      <c r="J3946" s="183">
        <v>4546</v>
      </c>
      <c r="K3946" s="173">
        <f t="shared" si="303"/>
        <v>9028</v>
      </c>
      <c r="L3946" s="174"/>
      <c r="M3946" s="161"/>
      <c r="N3946" s="161" t="s">
        <v>1299</v>
      </c>
      <c r="O3946" s="161" t="s">
        <v>25</v>
      </c>
      <c r="P3946" s="49" t="s">
        <v>25</v>
      </c>
      <c r="Q3946" s="166"/>
      <c r="R3946" s="151"/>
    </row>
    <row r="3947" spans="1:18">
      <c r="A3947" s="49" t="s">
        <v>89</v>
      </c>
      <c r="B3947" s="49" t="s">
        <v>1180</v>
      </c>
      <c r="C3947" s="88" t="s">
        <v>1181</v>
      </c>
      <c r="D3947" s="161" t="s">
        <v>1181</v>
      </c>
      <c r="E3947" s="161" t="s">
        <v>7839</v>
      </c>
      <c r="F3947" s="161" t="s">
        <v>7985</v>
      </c>
      <c r="G3947" s="163">
        <v>41.1</v>
      </c>
      <c r="H3947" s="163">
        <f>G3947-G3946</f>
        <v>12.7</v>
      </c>
      <c r="I3947" s="183">
        <v>85</v>
      </c>
      <c r="J3947" s="183">
        <v>4037</v>
      </c>
      <c r="K3947" s="173">
        <f t="shared" si="303"/>
        <v>13065</v>
      </c>
      <c r="L3947" s="174"/>
      <c r="M3947" s="161"/>
      <c r="N3947" s="161"/>
      <c r="O3947" s="161" t="s">
        <v>14</v>
      </c>
      <c r="P3947" s="49" t="s">
        <v>14</v>
      </c>
      <c r="Q3947" s="166"/>
      <c r="R3947" s="151"/>
    </row>
    <row r="3948" spans="1:18">
      <c r="A3948" s="49" t="s">
        <v>89</v>
      </c>
      <c r="B3948" s="49" t="s">
        <v>1182</v>
      </c>
      <c r="C3948" s="135" t="s">
        <v>1181</v>
      </c>
      <c r="D3948" s="161" t="s">
        <v>1181</v>
      </c>
      <c r="E3948" s="161" t="s">
        <v>7839</v>
      </c>
      <c r="F3948" s="161" t="s">
        <v>7985</v>
      </c>
      <c r="G3948" s="163">
        <v>0</v>
      </c>
      <c r="H3948" s="163">
        <v>0</v>
      </c>
      <c r="I3948" s="173">
        <v>0</v>
      </c>
      <c r="J3948" s="173">
        <v>0</v>
      </c>
      <c r="K3948" s="173">
        <v>0</v>
      </c>
      <c r="L3948" s="174"/>
      <c r="M3948" s="161"/>
      <c r="N3948" s="161"/>
      <c r="O3948" s="161"/>
      <c r="P3948" s="49"/>
      <c r="Q3948" s="166"/>
      <c r="R3948" s="151"/>
    </row>
    <row r="3949" spans="1:18">
      <c r="A3949" s="49" t="s">
        <v>89</v>
      </c>
      <c r="B3949" s="49" t="s">
        <v>1182</v>
      </c>
      <c r="C3949" s="88" t="s">
        <v>8130</v>
      </c>
      <c r="D3949" s="161" t="s">
        <v>8131</v>
      </c>
      <c r="E3949" s="161" t="s">
        <v>7839</v>
      </c>
      <c r="F3949" s="161" t="s">
        <v>7985</v>
      </c>
      <c r="G3949" s="163">
        <v>18.49</v>
      </c>
      <c r="H3949" s="163">
        <v>18.49</v>
      </c>
      <c r="I3949" s="183">
        <v>112.8</v>
      </c>
      <c r="J3949" s="183">
        <v>2303</v>
      </c>
      <c r="K3949" s="173">
        <f t="shared" ref="K3949:K3952" si="304">J3949+K3948</f>
        <v>2303</v>
      </c>
      <c r="L3949" s="174"/>
      <c r="M3949" s="161"/>
      <c r="N3949" s="161" t="s">
        <v>1299</v>
      </c>
      <c r="O3949" s="161" t="s">
        <v>25</v>
      </c>
      <c r="P3949" s="49" t="s">
        <v>25</v>
      </c>
      <c r="Q3949" s="166"/>
      <c r="R3949" s="151"/>
    </row>
    <row r="3950" spans="1:18">
      <c r="A3950" s="49" t="s">
        <v>89</v>
      </c>
      <c r="B3950" s="49" t="s">
        <v>1182</v>
      </c>
      <c r="C3950" s="88" t="s">
        <v>1183</v>
      </c>
      <c r="D3950" s="161" t="s">
        <v>1183</v>
      </c>
      <c r="E3950" s="161" t="s">
        <v>7839</v>
      </c>
      <c r="F3950" s="161" t="s">
        <v>7985</v>
      </c>
      <c r="G3950" s="163">
        <v>33.51</v>
      </c>
      <c r="H3950" s="163">
        <v>15.02</v>
      </c>
      <c r="I3950" s="183">
        <v>193.02</v>
      </c>
      <c r="J3950" s="183">
        <v>1745</v>
      </c>
      <c r="K3950" s="173">
        <f t="shared" si="304"/>
        <v>4048</v>
      </c>
      <c r="L3950" s="174"/>
      <c r="M3950" s="161"/>
      <c r="N3950" s="161"/>
      <c r="O3950" s="161" t="s">
        <v>14</v>
      </c>
      <c r="P3950" s="49" t="s">
        <v>14</v>
      </c>
      <c r="Q3950" s="166"/>
      <c r="R3950" s="151"/>
    </row>
    <row r="3951" spans="1:18">
      <c r="A3951" s="49" t="s">
        <v>89</v>
      </c>
      <c r="B3951" s="49" t="s">
        <v>1184</v>
      </c>
      <c r="C3951" s="135" t="s">
        <v>1181</v>
      </c>
      <c r="D3951" s="161" t="s">
        <v>1181</v>
      </c>
      <c r="E3951" s="161" t="s">
        <v>7839</v>
      </c>
      <c r="F3951" s="161" t="s">
        <v>7985</v>
      </c>
      <c r="G3951" s="163">
        <v>0</v>
      </c>
      <c r="H3951" s="163">
        <v>0</v>
      </c>
      <c r="I3951" s="173">
        <v>0</v>
      </c>
      <c r="J3951" s="173">
        <v>0</v>
      </c>
      <c r="K3951" s="173">
        <v>0</v>
      </c>
      <c r="L3951" s="174"/>
      <c r="M3951" s="161"/>
      <c r="N3951" s="161"/>
      <c r="O3951" s="161"/>
      <c r="P3951" s="49"/>
      <c r="Q3951" s="166"/>
      <c r="R3951" s="151"/>
    </row>
    <row r="3952" spans="1:18">
      <c r="A3952" s="49" t="s">
        <v>89</v>
      </c>
      <c r="B3952" s="49" t="s">
        <v>1184</v>
      </c>
      <c r="C3952" s="135" t="s">
        <v>1185</v>
      </c>
      <c r="D3952" s="161" t="s">
        <v>1185</v>
      </c>
      <c r="E3952" s="161" t="s">
        <v>7839</v>
      </c>
      <c r="F3952" s="161" t="s">
        <v>7985</v>
      </c>
      <c r="G3952" s="163">
        <v>7.2</v>
      </c>
      <c r="H3952" s="163">
        <v>7.2</v>
      </c>
      <c r="I3952" s="173"/>
      <c r="J3952" s="183">
        <v>898</v>
      </c>
      <c r="K3952" s="173">
        <f t="shared" si="304"/>
        <v>898</v>
      </c>
      <c r="L3952" s="174"/>
      <c r="M3952" s="161"/>
      <c r="N3952" s="161"/>
      <c r="O3952" s="161"/>
      <c r="P3952" s="49"/>
      <c r="Q3952" s="166"/>
      <c r="R3952" s="151"/>
    </row>
    <row r="3953" spans="1:18">
      <c r="A3953" s="49" t="s">
        <v>89</v>
      </c>
      <c r="B3953" s="49" t="s">
        <v>1186</v>
      </c>
      <c r="C3953" s="135" t="s">
        <v>1187</v>
      </c>
      <c r="D3953" s="161" t="s">
        <v>8127</v>
      </c>
      <c r="E3953" s="161" t="s">
        <v>7839</v>
      </c>
      <c r="F3953" s="161" t="s">
        <v>7985</v>
      </c>
      <c r="G3953" s="163">
        <v>0</v>
      </c>
      <c r="H3953" s="163">
        <v>0</v>
      </c>
      <c r="I3953" s="173">
        <v>0</v>
      </c>
      <c r="J3953" s="173">
        <v>0</v>
      </c>
      <c r="K3953" s="173">
        <v>0</v>
      </c>
      <c r="L3953" s="174"/>
      <c r="M3953" s="161"/>
      <c r="N3953" s="161"/>
      <c r="O3953" s="161"/>
      <c r="P3953" s="49"/>
      <c r="Q3953" s="166"/>
      <c r="R3953" s="151"/>
    </row>
    <row r="3954" spans="1:18">
      <c r="A3954" s="49" t="s">
        <v>89</v>
      </c>
      <c r="B3954" s="49" t="s">
        <v>1186</v>
      </c>
      <c r="C3954" s="135" t="s">
        <v>1188</v>
      </c>
      <c r="D3954" s="161" t="s">
        <v>1188</v>
      </c>
      <c r="E3954" s="161" t="s">
        <v>7839</v>
      </c>
      <c r="F3954" s="161" t="s">
        <v>7985</v>
      </c>
      <c r="G3954" s="163">
        <v>9.3</v>
      </c>
      <c r="H3954" s="163">
        <v>9.3</v>
      </c>
      <c r="I3954" s="173"/>
      <c r="J3954" s="173">
        <v>859</v>
      </c>
      <c r="K3954" s="173">
        <f>J3954+K3953</f>
        <v>859</v>
      </c>
      <c r="L3954" s="174"/>
      <c r="M3954" s="161"/>
      <c r="N3954" s="161"/>
      <c r="O3954" s="161"/>
      <c r="P3954" s="49"/>
      <c r="Q3954" s="166"/>
      <c r="R3954" s="151"/>
    </row>
    <row r="3955" s="152" customFormat="1" ht="30" spans="1:18">
      <c r="A3955" s="49" t="s">
        <v>90</v>
      </c>
      <c r="B3955" s="49" t="s">
        <v>1189</v>
      </c>
      <c r="C3955" s="197" t="s">
        <v>8132</v>
      </c>
      <c r="D3955" s="198" t="s">
        <v>8132</v>
      </c>
      <c r="E3955" s="49"/>
      <c r="F3955" s="49"/>
      <c r="G3955" s="163"/>
      <c r="H3955" s="199"/>
      <c r="I3955" s="199"/>
      <c r="J3955" s="173"/>
      <c r="K3955" s="173"/>
      <c r="L3955" s="174"/>
      <c r="M3955" s="101"/>
      <c r="N3955" s="101"/>
      <c r="O3955" s="101"/>
      <c r="P3955" s="49"/>
      <c r="Q3955" s="49"/>
      <c r="R3955" s="151"/>
    </row>
    <row r="3956" s="152" customFormat="1" ht="30" spans="1:18">
      <c r="A3956" s="49" t="s">
        <v>90</v>
      </c>
      <c r="B3956" s="49" t="s">
        <v>1189</v>
      </c>
      <c r="C3956" s="197" t="s">
        <v>8133</v>
      </c>
      <c r="D3956" s="198" t="s">
        <v>8133</v>
      </c>
      <c r="E3956" s="161" t="s">
        <v>2939</v>
      </c>
      <c r="F3956" s="49"/>
      <c r="G3956" s="163">
        <v>0</v>
      </c>
      <c r="H3956" s="200">
        <v>0</v>
      </c>
      <c r="I3956" s="203">
        <v>34.78</v>
      </c>
      <c r="J3956" s="173"/>
      <c r="K3956" s="173"/>
      <c r="L3956" s="174" t="s">
        <v>8134</v>
      </c>
      <c r="M3956" s="101"/>
      <c r="N3956" s="101"/>
      <c r="O3956" s="101"/>
      <c r="P3956" s="49"/>
      <c r="Q3956" s="49"/>
      <c r="R3956" s="151"/>
    </row>
    <row r="3957" s="152" customFormat="1" spans="1:18">
      <c r="A3957" s="49" t="s">
        <v>90</v>
      </c>
      <c r="B3957" s="49" t="s">
        <v>1189</v>
      </c>
      <c r="C3957" s="197" t="s">
        <v>1811</v>
      </c>
      <c r="D3957" s="198" t="s">
        <v>1298</v>
      </c>
      <c r="E3957" s="161" t="s">
        <v>2939</v>
      </c>
      <c r="F3957" s="49"/>
      <c r="G3957" s="163">
        <f t="shared" ref="G3957:G3962" si="305">G3956+H3957</f>
        <v>8.1</v>
      </c>
      <c r="H3957" s="200">
        <v>8.1</v>
      </c>
      <c r="I3957" s="203">
        <v>26.26</v>
      </c>
      <c r="J3957" s="173"/>
      <c r="K3957" s="173"/>
      <c r="L3957" s="174"/>
      <c r="M3957" s="101"/>
      <c r="N3957" s="101"/>
      <c r="O3957" s="101"/>
      <c r="P3957" s="49" t="s">
        <v>27</v>
      </c>
      <c r="Q3957" s="204" t="s">
        <v>8135</v>
      </c>
      <c r="R3957" s="151"/>
    </row>
    <row r="3958" s="152" customFormat="1" spans="1:18">
      <c r="A3958" s="49" t="s">
        <v>90</v>
      </c>
      <c r="B3958" s="49" t="s">
        <v>1189</v>
      </c>
      <c r="C3958" s="201" t="s">
        <v>8136</v>
      </c>
      <c r="D3958" s="198" t="s">
        <v>8136</v>
      </c>
      <c r="E3958" s="161" t="s">
        <v>2939</v>
      </c>
      <c r="F3958" s="49"/>
      <c r="G3958" s="163">
        <f t="shared" si="305"/>
        <v>17.1</v>
      </c>
      <c r="H3958" s="200">
        <v>9</v>
      </c>
      <c r="I3958" s="203">
        <v>28.41</v>
      </c>
      <c r="J3958" s="173"/>
      <c r="K3958" s="173"/>
      <c r="L3958" s="174"/>
      <c r="M3958" s="101"/>
      <c r="N3958" s="101"/>
      <c r="O3958" s="101"/>
      <c r="P3958" s="49" t="s">
        <v>14</v>
      </c>
      <c r="Q3958" s="49"/>
      <c r="R3958" s="151"/>
    </row>
    <row r="3959" s="152" customFormat="1" spans="1:18">
      <c r="A3959" s="49" t="s">
        <v>90</v>
      </c>
      <c r="B3959" s="49" t="s">
        <v>1189</v>
      </c>
      <c r="C3959" s="197" t="s">
        <v>1815</v>
      </c>
      <c r="D3959" s="198" t="s">
        <v>1302</v>
      </c>
      <c r="E3959" s="161" t="s">
        <v>2939</v>
      </c>
      <c r="F3959" s="49"/>
      <c r="G3959" s="163">
        <f t="shared" si="305"/>
        <v>25.6</v>
      </c>
      <c r="H3959" s="200">
        <v>8.5</v>
      </c>
      <c r="I3959" s="203">
        <v>29.56</v>
      </c>
      <c r="J3959" s="173"/>
      <c r="K3959" s="173"/>
      <c r="L3959" s="174"/>
      <c r="M3959" s="101"/>
      <c r="N3959" s="101"/>
      <c r="O3959" s="101"/>
      <c r="P3959" s="49" t="s">
        <v>25</v>
      </c>
      <c r="Q3959" s="49"/>
      <c r="R3959" s="151"/>
    </row>
    <row r="3960" s="152" customFormat="1" spans="1:18">
      <c r="A3960" s="49" t="s">
        <v>90</v>
      </c>
      <c r="B3960" s="49" t="s">
        <v>1189</v>
      </c>
      <c r="C3960" s="201" t="s">
        <v>8137</v>
      </c>
      <c r="D3960" s="198" t="s">
        <v>8137</v>
      </c>
      <c r="E3960" s="161" t="s">
        <v>2939</v>
      </c>
      <c r="F3960" s="49"/>
      <c r="G3960" s="163">
        <f t="shared" si="305"/>
        <v>39.2</v>
      </c>
      <c r="H3960" s="200">
        <v>13.6</v>
      </c>
      <c r="I3960" s="203">
        <v>29.5</v>
      </c>
      <c r="J3960" s="173"/>
      <c r="K3960" s="173"/>
      <c r="L3960" s="174"/>
      <c r="M3960" s="101"/>
      <c r="N3960" s="101"/>
      <c r="O3960" s="101"/>
      <c r="P3960" s="49" t="s">
        <v>14</v>
      </c>
      <c r="Q3960" s="49"/>
      <c r="R3960" s="151"/>
    </row>
    <row r="3961" s="152" customFormat="1" spans="1:18">
      <c r="A3961" s="49" t="s">
        <v>90</v>
      </c>
      <c r="B3961" s="49" t="s">
        <v>1189</v>
      </c>
      <c r="C3961" s="197" t="s">
        <v>1210</v>
      </c>
      <c r="D3961" s="198" t="s">
        <v>1305</v>
      </c>
      <c r="E3961" s="161" t="s">
        <v>2939</v>
      </c>
      <c r="F3961" s="49"/>
      <c r="G3961" s="163">
        <f t="shared" si="305"/>
        <v>53.7</v>
      </c>
      <c r="H3961" s="200">
        <v>14.5</v>
      </c>
      <c r="I3961" s="203">
        <v>29.24</v>
      </c>
      <c r="J3961" s="173"/>
      <c r="K3961" s="173"/>
      <c r="L3961" s="174"/>
      <c r="M3961" s="101"/>
      <c r="N3961" s="101"/>
      <c r="O3961" s="101"/>
      <c r="P3961" s="49" t="s">
        <v>25</v>
      </c>
      <c r="Q3961" s="49"/>
      <c r="R3961" s="151"/>
    </row>
    <row r="3962" s="152" customFormat="1" spans="1:18">
      <c r="A3962" s="49" t="s">
        <v>90</v>
      </c>
      <c r="B3962" s="49" t="s">
        <v>1189</v>
      </c>
      <c r="C3962" s="201" t="s">
        <v>1191</v>
      </c>
      <c r="D3962" s="198" t="s">
        <v>1191</v>
      </c>
      <c r="E3962" s="161" t="s">
        <v>2939</v>
      </c>
      <c r="F3962" s="49"/>
      <c r="G3962" s="163">
        <f t="shared" si="305"/>
        <v>62.793</v>
      </c>
      <c r="H3962" s="200">
        <v>9.093</v>
      </c>
      <c r="I3962" s="203">
        <v>29.61</v>
      </c>
      <c r="J3962" s="173"/>
      <c r="K3962" s="173"/>
      <c r="L3962" s="174"/>
      <c r="M3962" s="101"/>
      <c r="N3962" s="101"/>
      <c r="O3962" s="101"/>
      <c r="P3962" s="49" t="s">
        <v>14</v>
      </c>
      <c r="Q3962" s="204" t="s">
        <v>8138</v>
      </c>
      <c r="R3962" s="151"/>
    </row>
    <row r="3963" s="152" customFormat="1" spans="1:18">
      <c r="A3963" s="49" t="s">
        <v>90</v>
      </c>
      <c r="B3963" s="202" t="s">
        <v>1193</v>
      </c>
      <c r="C3963" s="197" t="s">
        <v>1194</v>
      </c>
      <c r="D3963" s="198" t="s">
        <v>1194</v>
      </c>
      <c r="E3963" s="161" t="s">
        <v>2939</v>
      </c>
      <c r="F3963" s="49"/>
      <c r="G3963" s="163">
        <v>0</v>
      </c>
      <c r="H3963" s="200">
        <v>0</v>
      </c>
      <c r="I3963" s="200">
        <v>244</v>
      </c>
      <c r="J3963" s="173"/>
      <c r="K3963" s="173"/>
      <c r="L3963" s="174"/>
      <c r="M3963" s="101"/>
      <c r="N3963" s="101"/>
      <c r="O3963" s="101"/>
      <c r="P3963" s="49"/>
      <c r="Q3963" s="204" t="s">
        <v>8139</v>
      </c>
      <c r="R3963" s="151"/>
    </row>
    <row r="3964" s="152" customFormat="1" spans="1:18">
      <c r="A3964" s="49" t="s">
        <v>90</v>
      </c>
      <c r="B3964" s="202" t="s">
        <v>1193</v>
      </c>
      <c r="C3964" s="201" t="s">
        <v>8140</v>
      </c>
      <c r="D3964" s="198" t="s">
        <v>8140</v>
      </c>
      <c r="E3964" s="161" t="s">
        <v>2939</v>
      </c>
      <c r="F3964" s="49"/>
      <c r="G3964" s="163">
        <f t="shared" ref="G3964:G3969" si="306">G3963+H3964</f>
        <v>6.155</v>
      </c>
      <c r="H3964" s="200">
        <v>6.155</v>
      </c>
      <c r="I3964" s="200">
        <v>249</v>
      </c>
      <c r="J3964" s="173"/>
      <c r="K3964" s="173"/>
      <c r="L3964" s="174"/>
      <c r="M3964" s="101"/>
      <c r="N3964" s="101"/>
      <c r="O3964" s="101"/>
      <c r="P3964" s="49" t="s">
        <v>15</v>
      </c>
      <c r="Q3964" s="204" t="s">
        <v>8141</v>
      </c>
      <c r="R3964" s="151"/>
    </row>
    <row r="3965" s="152" customFormat="1" spans="1:18">
      <c r="A3965" s="49" t="s">
        <v>90</v>
      </c>
      <c r="B3965" s="202" t="s">
        <v>1193</v>
      </c>
      <c r="C3965" s="197" t="s">
        <v>1811</v>
      </c>
      <c r="D3965" s="198" t="s">
        <v>1811</v>
      </c>
      <c r="E3965" s="161" t="s">
        <v>2939</v>
      </c>
      <c r="F3965" s="49"/>
      <c r="G3965" s="163">
        <f t="shared" si="306"/>
        <v>18.445</v>
      </c>
      <c r="H3965" s="200">
        <v>12.29</v>
      </c>
      <c r="I3965" s="200">
        <v>256.5</v>
      </c>
      <c r="J3965" s="173"/>
      <c r="K3965" s="173"/>
      <c r="L3965" s="174"/>
      <c r="M3965" s="101"/>
      <c r="N3965" s="101"/>
      <c r="O3965" s="101"/>
      <c r="P3965" s="49" t="s">
        <v>27</v>
      </c>
      <c r="Q3965" s="49"/>
      <c r="R3965" s="151"/>
    </row>
    <row r="3966" s="152" customFormat="1" spans="1:18">
      <c r="A3966" s="49" t="s">
        <v>90</v>
      </c>
      <c r="B3966" s="202" t="s">
        <v>1193</v>
      </c>
      <c r="C3966" s="197" t="s">
        <v>1815</v>
      </c>
      <c r="D3966" s="198" t="s">
        <v>1302</v>
      </c>
      <c r="E3966" s="161" t="s">
        <v>2939</v>
      </c>
      <c r="F3966" s="49"/>
      <c r="G3966" s="163">
        <f t="shared" si="306"/>
        <v>35.545</v>
      </c>
      <c r="H3966" s="200">
        <v>17.1</v>
      </c>
      <c r="I3966" s="200">
        <v>256.1</v>
      </c>
      <c r="J3966" s="173"/>
      <c r="K3966" s="173"/>
      <c r="L3966" s="174"/>
      <c r="M3966" s="101"/>
      <c r="N3966" s="101"/>
      <c r="O3966" s="101"/>
      <c r="P3966" s="49" t="s">
        <v>25</v>
      </c>
      <c r="Q3966" s="49"/>
      <c r="R3966" s="151"/>
    </row>
    <row r="3967" s="152" customFormat="1" spans="1:18">
      <c r="A3967" s="49" t="s">
        <v>90</v>
      </c>
      <c r="B3967" s="202" t="s">
        <v>1193</v>
      </c>
      <c r="C3967" s="197" t="s">
        <v>1210</v>
      </c>
      <c r="D3967" s="198" t="s">
        <v>1210</v>
      </c>
      <c r="E3967" s="161" t="s">
        <v>2939</v>
      </c>
      <c r="F3967" s="49"/>
      <c r="G3967" s="163">
        <f t="shared" si="306"/>
        <v>46.265</v>
      </c>
      <c r="H3967" s="200">
        <v>10.72</v>
      </c>
      <c r="I3967" s="200">
        <v>271.1</v>
      </c>
      <c r="J3967" s="173"/>
      <c r="K3967" s="173"/>
      <c r="L3967" s="174"/>
      <c r="M3967" s="101"/>
      <c r="N3967" s="101"/>
      <c r="O3967" s="101"/>
      <c r="P3967" s="49" t="s">
        <v>27</v>
      </c>
      <c r="Q3967" s="49"/>
      <c r="R3967" s="151"/>
    </row>
    <row r="3968" s="152" customFormat="1" spans="1:18">
      <c r="A3968" s="49" t="s">
        <v>90</v>
      </c>
      <c r="B3968" s="202" t="s">
        <v>1193</v>
      </c>
      <c r="C3968" s="201" t="s">
        <v>1203</v>
      </c>
      <c r="D3968" s="198" t="s">
        <v>1203</v>
      </c>
      <c r="E3968" s="161" t="s">
        <v>2939</v>
      </c>
      <c r="F3968" s="49"/>
      <c r="G3968" s="163">
        <f t="shared" si="306"/>
        <v>57.235</v>
      </c>
      <c r="H3968" s="200">
        <v>10.97</v>
      </c>
      <c r="I3968" s="200">
        <v>304.1</v>
      </c>
      <c r="J3968" s="173"/>
      <c r="K3968" s="173"/>
      <c r="L3968" s="174"/>
      <c r="M3968" s="101"/>
      <c r="N3968" s="101"/>
      <c r="O3968" s="101"/>
      <c r="P3968" s="49" t="s">
        <v>14</v>
      </c>
      <c r="Q3968" s="204" t="s">
        <v>8142</v>
      </c>
      <c r="R3968" s="151"/>
    </row>
    <row r="3969" s="152" customFormat="1" spans="1:18">
      <c r="A3969" s="49" t="s">
        <v>90</v>
      </c>
      <c r="B3969" s="202" t="s">
        <v>1193</v>
      </c>
      <c r="C3969" s="201" t="s">
        <v>1195</v>
      </c>
      <c r="D3969" s="198" t="s">
        <v>1195</v>
      </c>
      <c r="E3969" s="161" t="s">
        <v>2939</v>
      </c>
      <c r="F3969" s="49"/>
      <c r="G3969" s="163">
        <f t="shared" si="306"/>
        <v>73.905</v>
      </c>
      <c r="H3969" s="200">
        <v>16.67</v>
      </c>
      <c r="I3969" s="200">
        <v>243</v>
      </c>
      <c r="J3969" s="173"/>
      <c r="K3969" s="173"/>
      <c r="L3969" s="174"/>
      <c r="M3969" s="101"/>
      <c r="N3969" s="101"/>
      <c r="O3969" s="101"/>
      <c r="P3969" s="49" t="s">
        <v>14</v>
      </c>
      <c r="Q3969" s="204" t="s">
        <v>8143</v>
      </c>
      <c r="R3969" s="151"/>
    </row>
    <row r="3970" s="152" customFormat="1" spans="1:18">
      <c r="A3970" s="49" t="s">
        <v>90</v>
      </c>
      <c r="B3970" s="202" t="s">
        <v>1198</v>
      </c>
      <c r="C3970" s="197" t="s">
        <v>1195</v>
      </c>
      <c r="D3970" s="198" t="s">
        <v>1195</v>
      </c>
      <c r="E3970" s="161" t="s">
        <v>2939</v>
      </c>
      <c r="F3970" s="49"/>
      <c r="G3970" s="173">
        <v>0</v>
      </c>
      <c r="H3970" s="203">
        <v>0</v>
      </c>
      <c r="I3970" s="203">
        <v>243</v>
      </c>
      <c r="J3970" s="173"/>
      <c r="K3970" s="173"/>
      <c r="L3970" s="174"/>
      <c r="M3970" s="101"/>
      <c r="N3970" s="101"/>
      <c r="O3970" s="101"/>
      <c r="P3970" s="49"/>
      <c r="Q3970" s="204" t="s">
        <v>8143</v>
      </c>
      <c r="R3970" s="151"/>
    </row>
    <row r="3971" s="152" customFormat="1" spans="1:18">
      <c r="A3971" s="49" t="s">
        <v>90</v>
      </c>
      <c r="B3971" s="202" t="s">
        <v>1198</v>
      </c>
      <c r="C3971" s="202" t="s">
        <v>1811</v>
      </c>
      <c r="D3971" s="205" t="s">
        <v>1298</v>
      </c>
      <c r="E3971" s="161" t="s">
        <v>2939</v>
      </c>
      <c r="F3971" s="49"/>
      <c r="G3971" s="173">
        <f>G3970+H3971</f>
        <v>17.4</v>
      </c>
      <c r="H3971" s="200">
        <v>17.4</v>
      </c>
      <c r="I3971" s="200">
        <v>339</v>
      </c>
      <c r="J3971" s="173"/>
      <c r="K3971" s="173"/>
      <c r="L3971" s="174"/>
      <c r="M3971" s="101"/>
      <c r="N3971" s="101"/>
      <c r="O3971" s="101"/>
      <c r="P3971" s="49" t="s">
        <v>25</v>
      </c>
      <c r="Q3971" s="49"/>
      <c r="R3971" s="151"/>
    </row>
    <row r="3972" s="152" customFormat="1" spans="1:18">
      <c r="A3972" s="49" t="s">
        <v>90</v>
      </c>
      <c r="B3972" s="202" t="s">
        <v>1198</v>
      </c>
      <c r="C3972" s="202" t="s">
        <v>1815</v>
      </c>
      <c r="D3972" s="205" t="s">
        <v>1302</v>
      </c>
      <c r="E3972" s="161" t="s">
        <v>2939</v>
      </c>
      <c r="F3972" s="49"/>
      <c r="G3972" s="173">
        <f>G3971+H3972</f>
        <v>31.8</v>
      </c>
      <c r="H3972" s="200">
        <v>14.4</v>
      </c>
      <c r="I3972" s="200">
        <v>239</v>
      </c>
      <c r="J3972" s="173"/>
      <c r="K3972" s="173"/>
      <c r="L3972" s="174"/>
      <c r="M3972" s="101"/>
      <c r="N3972" s="101"/>
      <c r="O3972" s="101"/>
      <c r="P3972" s="49" t="s">
        <v>25</v>
      </c>
      <c r="Q3972" s="49"/>
      <c r="R3972" s="151"/>
    </row>
    <row r="3973" s="152" customFormat="1" spans="1:18">
      <c r="A3973" s="49" t="s">
        <v>90</v>
      </c>
      <c r="B3973" s="202" t="s">
        <v>1198</v>
      </c>
      <c r="C3973" s="202" t="s">
        <v>1210</v>
      </c>
      <c r="D3973" s="205" t="s">
        <v>1305</v>
      </c>
      <c r="E3973" s="161" t="s">
        <v>2939</v>
      </c>
      <c r="F3973" s="49"/>
      <c r="G3973" s="173">
        <f>G3972+H3973</f>
        <v>46.25</v>
      </c>
      <c r="H3973" s="200">
        <v>14.45</v>
      </c>
      <c r="I3973" s="200">
        <v>110</v>
      </c>
      <c r="J3973" s="173"/>
      <c r="K3973" s="173"/>
      <c r="L3973" s="174"/>
      <c r="M3973" s="101"/>
      <c r="N3973" s="101"/>
      <c r="O3973" s="101"/>
      <c r="P3973" s="49" t="s">
        <v>25</v>
      </c>
      <c r="Q3973" s="49"/>
      <c r="R3973" s="151"/>
    </row>
    <row r="3974" s="152" customFormat="1" spans="1:18">
      <c r="A3974" s="49" t="s">
        <v>90</v>
      </c>
      <c r="B3974" s="202" t="s">
        <v>1198</v>
      </c>
      <c r="C3974" s="206" t="s">
        <v>1199</v>
      </c>
      <c r="D3974" s="205" t="s">
        <v>1199</v>
      </c>
      <c r="E3974" s="161" t="s">
        <v>2939</v>
      </c>
      <c r="F3974" s="49"/>
      <c r="G3974" s="173">
        <f>G3973+H3974</f>
        <v>62.445</v>
      </c>
      <c r="H3974" s="203">
        <v>16.195</v>
      </c>
      <c r="I3974" s="203">
        <v>99</v>
      </c>
      <c r="J3974" s="173"/>
      <c r="K3974" s="173"/>
      <c r="L3974" s="174"/>
      <c r="M3974" s="101"/>
      <c r="N3974" s="101"/>
      <c r="O3974" s="101"/>
      <c r="P3974" s="49" t="s">
        <v>14</v>
      </c>
      <c r="Q3974" s="204" t="s">
        <v>8144</v>
      </c>
      <c r="R3974" s="151"/>
    </row>
    <row r="3975" s="152" customFormat="1" spans="1:18">
      <c r="A3975" s="49" t="s">
        <v>90</v>
      </c>
      <c r="B3975" s="202" t="s">
        <v>1201</v>
      </c>
      <c r="C3975" s="197" t="s">
        <v>1202</v>
      </c>
      <c r="D3975" s="198" t="s">
        <v>1202</v>
      </c>
      <c r="E3975" s="161" t="s">
        <v>2939</v>
      </c>
      <c r="F3975" s="49"/>
      <c r="G3975" s="173">
        <v>0</v>
      </c>
      <c r="H3975" s="200">
        <v>0</v>
      </c>
      <c r="I3975" s="200">
        <v>156.19</v>
      </c>
      <c r="J3975" s="173"/>
      <c r="K3975" s="173"/>
      <c r="L3975" s="174"/>
      <c r="M3975" s="101"/>
      <c r="N3975" s="101"/>
      <c r="O3975" s="101"/>
      <c r="P3975" s="49"/>
      <c r="Q3975" s="49"/>
      <c r="R3975" s="151"/>
    </row>
    <row r="3976" spans="1:18">
      <c r="A3976" s="49" t="s">
        <v>90</v>
      </c>
      <c r="B3976" s="202" t="s">
        <v>1201</v>
      </c>
      <c r="C3976" s="206" t="s">
        <v>8145</v>
      </c>
      <c r="D3976" s="205" t="s">
        <v>8145</v>
      </c>
      <c r="E3976" s="161" t="s">
        <v>2939</v>
      </c>
      <c r="F3976" s="49"/>
      <c r="G3976" s="173">
        <f>G3975+H3976</f>
        <v>0.66</v>
      </c>
      <c r="H3976" s="203">
        <v>0.66</v>
      </c>
      <c r="I3976" s="203">
        <v>154.02</v>
      </c>
      <c r="J3976" s="173"/>
      <c r="K3976" s="173"/>
      <c r="L3976" s="174"/>
      <c r="M3976" s="101"/>
      <c r="N3976" s="101"/>
      <c r="O3976" s="101"/>
      <c r="P3976" s="49" t="s">
        <v>15</v>
      </c>
      <c r="Q3976" s="204" t="s">
        <v>8146</v>
      </c>
      <c r="R3976" s="151"/>
    </row>
    <row r="3977" spans="1:18">
      <c r="A3977" s="49" t="s">
        <v>90</v>
      </c>
      <c r="B3977" s="202" t="s">
        <v>1201</v>
      </c>
      <c r="C3977" s="202" t="s">
        <v>1811</v>
      </c>
      <c r="D3977" s="205" t="s">
        <v>1298</v>
      </c>
      <c r="E3977" s="161" t="s">
        <v>2939</v>
      </c>
      <c r="F3977" s="49"/>
      <c r="G3977" s="173">
        <f t="shared" ref="G3977:G3983" si="307">G3976+H3977</f>
        <v>17.86</v>
      </c>
      <c r="H3977" s="200">
        <v>17.2</v>
      </c>
      <c r="I3977" s="200">
        <v>134.15</v>
      </c>
      <c r="J3977" s="173"/>
      <c r="K3977" s="173"/>
      <c r="L3977" s="174"/>
      <c r="M3977" s="101"/>
      <c r="N3977" s="101"/>
      <c r="O3977" s="101"/>
      <c r="P3977" s="49" t="s">
        <v>25</v>
      </c>
      <c r="Q3977" s="49"/>
      <c r="R3977" s="151"/>
    </row>
    <row r="3978" spans="1:18">
      <c r="A3978" s="49" t="s">
        <v>90</v>
      </c>
      <c r="B3978" s="202" t="s">
        <v>1201</v>
      </c>
      <c r="C3978" s="202" t="s">
        <v>1815</v>
      </c>
      <c r="D3978" s="205" t="s">
        <v>1302</v>
      </c>
      <c r="E3978" s="161" t="s">
        <v>2939</v>
      </c>
      <c r="F3978" s="49"/>
      <c r="G3978" s="173">
        <f t="shared" si="307"/>
        <v>38.38</v>
      </c>
      <c r="H3978" s="200">
        <v>20.52</v>
      </c>
      <c r="I3978" s="200">
        <v>135.37</v>
      </c>
      <c r="J3978" s="173"/>
      <c r="K3978" s="173"/>
      <c r="L3978" s="174"/>
      <c r="M3978" s="101"/>
      <c r="N3978" s="101"/>
      <c r="O3978" s="101"/>
      <c r="P3978" s="49" t="s">
        <v>25</v>
      </c>
      <c r="Q3978" s="49"/>
      <c r="R3978" s="151"/>
    </row>
    <row r="3979" spans="1:18">
      <c r="A3979" s="49" t="s">
        <v>90</v>
      </c>
      <c r="B3979" s="202" t="s">
        <v>1201</v>
      </c>
      <c r="C3979" s="202" t="s">
        <v>1210</v>
      </c>
      <c r="D3979" s="205" t="s">
        <v>1305</v>
      </c>
      <c r="E3979" s="161" t="s">
        <v>2939</v>
      </c>
      <c r="F3979" s="49"/>
      <c r="G3979" s="173">
        <f t="shared" si="307"/>
        <v>50.8</v>
      </c>
      <c r="H3979" s="200">
        <v>12.42</v>
      </c>
      <c r="I3979" s="200">
        <v>152.91</v>
      </c>
      <c r="J3979" s="173"/>
      <c r="K3979" s="173"/>
      <c r="L3979" s="174"/>
      <c r="M3979" s="101"/>
      <c r="N3979" s="101"/>
      <c r="O3979" s="101"/>
      <c r="P3979" s="49" t="s">
        <v>25</v>
      </c>
      <c r="Q3979" s="49"/>
      <c r="R3979" s="151"/>
    </row>
    <row r="3980" spans="1:18">
      <c r="A3980" s="49" t="s">
        <v>90</v>
      </c>
      <c r="B3980" s="202" t="s">
        <v>1201</v>
      </c>
      <c r="C3980" s="202" t="s">
        <v>1820</v>
      </c>
      <c r="D3980" s="205" t="s">
        <v>1307</v>
      </c>
      <c r="E3980" s="161" t="s">
        <v>2939</v>
      </c>
      <c r="F3980" s="49"/>
      <c r="G3980" s="173">
        <f t="shared" si="307"/>
        <v>69.71</v>
      </c>
      <c r="H3980" s="200">
        <v>18.91</v>
      </c>
      <c r="I3980" s="200">
        <v>217.55</v>
      </c>
      <c r="J3980" s="173"/>
      <c r="K3980" s="173"/>
      <c r="L3980" s="174"/>
      <c r="M3980" s="101"/>
      <c r="N3980" s="101"/>
      <c r="O3980" s="101"/>
      <c r="P3980" s="49" t="s">
        <v>25</v>
      </c>
      <c r="Q3980" s="49"/>
      <c r="R3980" s="151"/>
    </row>
    <row r="3981" spans="1:18">
      <c r="A3981" s="49" t="s">
        <v>90</v>
      </c>
      <c r="B3981" s="202" t="s">
        <v>1201</v>
      </c>
      <c r="C3981" s="202" t="s">
        <v>741</v>
      </c>
      <c r="D3981" s="205" t="s">
        <v>1311</v>
      </c>
      <c r="E3981" s="161" t="s">
        <v>2939</v>
      </c>
      <c r="F3981" s="49"/>
      <c r="G3981" s="173">
        <f t="shared" si="307"/>
        <v>81.22</v>
      </c>
      <c r="H3981" s="200">
        <v>11.51</v>
      </c>
      <c r="I3981" s="200">
        <v>402.4</v>
      </c>
      <c r="J3981" s="173"/>
      <c r="K3981" s="173"/>
      <c r="L3981" s="174"/>
      <c r="M3981" s="101"/>
      <c r="N3981" s="101"/>
      <c r="O3981" s="101"/>
      <c r="P3981" s="49" t="s">
        <v>25</v>
      </c>
      <c r="Q3981" s="49"/>
      <c r="R3981" s="151"/>
    </row>
    <row r="3982" spans="1:18">
      <c r="A3982" s="49" t="s">
        <v>90</v>
      </c>
      <c r="B3982" s="202" t="s">
        <v>1201</v>
      </c>
      <c r="C3982" s="202" t="s">
        <v>1848</v>
      </c>
      <c r="D3982" s="205" t="s">
        <v>1318</v>
      </c>
      <c r="E3982" s="161" t="s">
        <v>2939</v>
      </c>
      <c r="F3982" s="49"/>
      <c r="G3982" s="173">
        <f t="shared" si="307"/>
        <v>97.52</v>
      </c>
      <c r="H3982" s="200">
        <v>16.3</v>
      </c>
      <c r="I3982" s="200">
        <v>352.45</v>
      </c>
      <c r="J3982" s="173"/>
      <c r="K3982" s="173"/>
      <c r="L3982" s="174"/>
      <c r="M3982" s="101"/>
      <c r="N3982" s="101"/>
      <c r="O3982" s="101"/>
      <c r="P3982" s="49" t="s">
        <v>25</v>
      </c>
      <c r="Q3982" s="49"/>
      <c r="R3982" s="151"/>
    </row>
    <row r="3983" spans="1:18">
      <c r="A3983" s="49" t="s">
        <v>90</v>
      </c>
      <c r="B3983" s="202" t="s">
        <v>1201</v>
      </c>
      <c r="C3983" s="202" t="s">
        <v>1203</v>
      </c>
      <c r="D3983" s="205" t="s">
        <v>1203</v>
      </c>
      <c r="E3983" s="161" t="s">
        <v>2939</v>
      </c>
      <c r="F3983" s="49"/>
      <c r="G3983" s="173">
        <f t="shared" si="307"/>
        <v>112.454</v>
      </c>
      <c r="H3983" s="203">
        <v>14.934</v>
      </c>
      <c r="I3983" s="203">
        <v>304.1</v>
      </c>
      <c r="J3983" s="173"/>
      <c r="K3983" s="173"/>
      <c r="L3983" s="174"/>
      <c r="M3983" s="101"/>
      <c r="N3983" s="101"/>
      <c r="O3983" s="101"/>
      <c r="P3983" s="49"/>
      <c r="Q3983" s="204" t="s">
        <v>8147</v>
      </c>
      <c r="R3983" s="151"/>
    </row>
    <row r="3984" spans="1:18">
      <c r="A3984" s="49" t="s">
        <v>90</v>
      </c>
      <c r="B3984" s="202" t="s">
        <v>1204</v>
      </c>
      <c r="C3984" s="202" t="s">
        <v>8148</v>
      </c>
      <c r="D3984" s="205" t="s">
        <v>8148</v>
      </c>
      <c r="E3984" s="161" t="s">
        <v>2939</v>
      </c>
      <c r="F3984" s="49"/>
      <c r="G3984" s="173">
        <v>0</v>
      </c>
      <c r="H3984" s="203">
        <v>0</v>
      </c>
      <c r="I3984" s="203">
        <v>271.1</v>
      </c>
      <c r="J3984" s="173"/>
      <c r="K3984" s="173"/>
      <c r="L3984" s="174"/>
      <c r="M3984" s="101"/>
      <c r="N3984" s="101"/>
      <c r="O3984" s="101"/>
      <c r="P3984" s="49"/>
      <c r="Q3984" s="204" t="s">
        <v>8149</v>
      </c>
      <c r="R3984" s="151"/>
    </row>
    <row r="3985" spans="1:18">
      <c r="A3985" s="49" t="s">
        <v>90</v>
      </c>
      <c r="B3985" s="202" t="s">
        <v>1204</v>
      </c>
      <c r="C3985" s="202" t="s">
        <v>1811</v>
      </c>
      <c r="D3985" s="205" t="s">
        <v>1298</v>
      </c>
      <c r="E3985" s="161" t="s">
        <v>2939</v>
      </c>
      <c r="F3985" s="49"/>
      <c r="G3985" s="173">
        <v>14.2</v>
      </c>
      <c r="H3985" s="203">
        <v>14.2</v>
      </c>
      <c r="I3985" s="203">
        <v>266.3</v>
      </c>
      <c r="J3985" s="173"/>
      <c r="K3985" s="173"/>
      <c r="L3985" s="174"/>
      <c r="M3985" s="101"/>
      <c r="N3985" s="101"/>
      <c r="O3985" s="101"/>
      <c r="P3985" s="49" t="s">
        <v>25</v>
      </c>
      <c r="Q3985" s="49"/>
      <c r="R3985" s="151"/>
    </row>
    <row r="3986" spans="1:18">
      <c r="A3986" s="49" t="s">
        <v>90</v>
      </c>
      <c r="B3986" s="202" t="s">
        <v>1204</v>
      </c>
      <c r="C3986" s="202" t="s">
        <v>1815</v>
      </c>
      <c r="D3986" s="205" t="s">
        <v>1815</v>
      </c>
      <c r="E3986" s="161" t="s">
        <v>2939</v>
      </c>
      <c r="F3986" s="49"/>
      <c r="G3986" s="173">
        <v>29.14</v>
      </c>
      <c r="H3986" s="203">
        <v>14.94</v>
      </c>
      <c r="I3986" s="203">
        <v>290.2</v>
      </c>
      <c r="J3986" s="173"/>
      <c r="K3986" s="173"/>
      <c r="L3986" s="174" t="s">
        <v>4883</v>
      </c>
      <c r="M3986" s="101"/>
      <c r="N3986" s="101"/>
      <c r="O3986" s="101"/>
      <c r="P3986" s="49" t="s">
        <v>27</v>
      </c>
      <c r="Q3986" s="49"/>
      <c r="R3986" s="151"/>
    </row>
    <row r="3987" spans="1:18">
      <c r="A3987" s="49" t="s">
        <v>90</v>
      </c>
      <c r="B3987" s="202" t="s">
        <v>1204</v>
      </c>
      <c r="C3987" s="197" t="s">
        <v>1210</v>
      </c>
      <c r="D3987" s="198" t="s">
        <v>1305</v>
      </c>
      <c r="E3987" s="161" t="s">
        <v>2939</v>
      </c>
      <c r="F3987" s="49"/>
      <c r="G3987" s="173"/>
      <c r="H3987" s="203"/>
      <c r="I3987" s="203">
        <v>263.5</v>
      </c>
      <c r="J3987" s="173"/>
      <c r="K3987" s="173"/>
      <c r="L3987" s="174"/>
      <c r="M3987" s="101"/>
      <c r="N3987" s="101"/>
      <c r="O3987" s="101"/>
      <c r="P3987" s="49" t="s">
        <v>25</v>
      </c>
      <c r="Q3987" s="49"/>
      <c r="R3987" s="151"/>
    </row>
    <row r="3988" spans="1:18">
      <c r="A3988" s="49" t="s">
        <v>90</v>
      </c>
      <c r="B3988" s="202" t="s">
        <v>1204</v>
      </c>
      <c r="C3988" s="197" t="s">
        <v>1820</v>
      </c>
      <c r="D3988" s="198" t="s">
        <v>1307</v>
      </c>
      <c r="E3988" s="161" t="s">
        <v>2939</v>
      </c>
      <c r="F3988" s="49"/>
      <c r="G3988" s="173"/>
      <c r="H3988" s="203"/>
      <c r="I3988" s="203">
        <v>319.5</v>
      </c>
      <c r="J3988" s="173"/>
      <c r="K3988" s="173"/>
      <c r="L3988" s="174"/>
      <c r="M3988" s="101"/>
      <c r="N3988" s="101"/>
      <c r="O3988" s="101"/>
      <c r="P3988" s="49" t="s">
        <v>25</v>
      </c>
      <c r="Q3988" s="49"/>
      <c r="R3988" s="151"/>
    </row>
    <row r="3989" spans="1:18">
      <c r="A3989" s="49" t="s">
        <v>90</v>
      </c>
      <c r="B3989" s="202" t="s">
        <v>1204</v>
      </c>
      <c r="C3989" s="197" t="s">
        <v>741</v>
      </c>
      <c r="D3989" s="198" t="s">
        <v>2252</v>
      </c>
      <c r="E3989" s="161" t="s">
        <v>2939</v>
      </c>
      <c r="F3989" s="49"/>
      <c r="G3989" s="173"/>
      <c r="H3989" s="203"/>
      <c r="I3989" s="203">
        <v>353.8</v>
      </c>
      <c r="J3989" s="173"/>
      <c r="K3989" s="173"/>
      <c r="L3989" s="174"/>
      <c r="M3989" s="101"/>
      <c r="N3989" s="101"/>
      <c r="O3989" s="101"/>
      <c r="P3989" s="49" t="s">
        <v>26</v>
      </c>
      <c r="Q3989" s="204" t="s">
        <v>8150</v>
      </c>
      <c r="R3989" s="151"/>
    </row>
    <row r="3990" spans="1:18">
      <c r="A3990" s="49" t="s">
        <v>90</v>
      </c>
      <c r="B3990" s="202" t="s">
        <v>1209</v>
      </c>
      <c r="C3990" s="197" t="s">
        <v>1210</v>
      </c>
      <c r="D3990" s="198" t="s">
        <v>1305</v>
      </c>
      <c r="E3990" s="161" t="s">
        <v>2939</v>
      </c>
      <c r="F3990" s="49"/>
      <c r="G3990" s="173"/>
      <c r="H3990" s="203"/>
      <c r="I3990" s="203">
        <v>263.5</v>
      </c>
      <c r="J3990" s="173"/>
      <c r="K3990" s="173"/>
      <c r="L3990" s="174"/>
      <c r="M3990" s="101"/>
      <c r="N3990" s="101"/>
      <c r="O3990" s="101"/>
      <c r="P3990" s="49" t="s">
        <v>25</v>
      </c>
      <c r="Q3990" s="49"/>
      <c r="R3990" s="151"/>
    </row>
    <row r="3991" spans="1:18">
      <c r="A3991" s="49" t="s">
        <v>90</v>
      </c>
      <c r="B3991" s="202" t="s">
        <v>1209</v>
      </c>
      <c r="C3991" s="197" t="s">
        <v>1211</v>
      </c>
      <c r="D3991" s="198" t="s">
        <v>1211</v>
      </c>
      <c r="E3991" s="161" t="s">
        <v>2939</v>
      </c>
      <c r="F3991" s="49"/>
      <c r="G3991" s="173"/>
      <c r="H3991" s="200"/>
      <c r="I3991" s="200">
        <v>282.26</v>
      </c>
      <c r="J3991" s="173"/>
      <c r="K3991" s="173"/>
      <c r="L3991" s="174"/>
      <c r="M3991" s="101"/>
      <c r="N3991" s="101"/>
      <c r="O3991" s="101"/>
      <c r="P3991" s="49"/>
      <c r="Q3991" s="204" t="s">
        <v>8151</v>
      </c>
      <c r="R3991" s="151"/>
    </row>
    <row r="3992" spans="1:18">
      <c r="A3992" s="49" t="s">
        <v>90</v>
      </c>
      <c r="B3992" s="202" t="s">
        <v>1212</v>
      </c>
      <c r="C3992" s="197" t="s">
        <v>741</v>
      </c>
      <c r="D3992" s="198" t="s">
        <v>2252</v>
      </c>
      <c r="E3992" s="161" t="s">
        <v>2939</v>
      </c>
      <c r="F3992" s="49"/>
      <c r="G3992" s="173"/>
      <c r="H3992" s="203"/>
      <c r="I3992" s="203">
        <v>353.8</v>
      </c>
      <c r="J3992" s="173"/>
      <c r="K3992" s="173"/>
      <c r="L3992" s="174"/>
      <c r="M3992" s="101"/>
      <c r="N3992" s="101"/>
      <c r="O3992" s="101"/>
      <c r="P3992" s="49" t="s">
        <v>26</v>
      </c>
      <c r="Q3992" s="204" t="s">
        <v>8150</v>
      </c>
      <c r="R3992" s="151"/>
    </row>
    <row r="3993" spans="1:18">
      <c r="A3993" s="49" t="s">
        <v>90</v>
      </c>
      <c r="B3993" s="202" t="s">
        <v>1212</v>
      </c>
      <c r="C3993" s="197" t="s">
        <v>1933</v>
      </c>
      <c r="D3993" s="198" t="s">
        <v>2827</v>
      </c>
      <c r="E3993" s="161" t="s">
        <v>2939</v>
      </c>
      <c r="F3993" s="49"/>
      <c r="G3993" s="173"/>
      <c r="H3993" s="203"/>
      <c r="I3993" s="203">
        <v>331.6</v>
      </c>
      <c r="J3993" s="173"/>
      <c r="K3993" s="173"/>
      <c r="L3993" s="174"/>
      <c r="M3993" s="101"/>
      <c r="N3993" s="101"/>
      <c r="O3993" s="101"/>
      <c r="P3993" s="49" t="s">
        <v>26</v>
      </c>
      <c r="Q3993" s="49"/>
      <c r="R3993" s="151"/>
    </row>
    <row r="3994" spans="1:18">
      <c r="A3994" s="49" t="s">
        <v>90</v>
      </c>
      <c r="B3994" s="202" t="s">
        <v>1212</v>
      </c>
      <c r="C3994" s="197" t="s">
        <v>1936</v>
      </c>
      <c r="D3994" s="198" t="s">
        <v>1936</v>
      </c>
      <c r="E3994" s="161" t="s">
        <v>2939</v>
      </c>
      <c r="F3994" s="49"/>
      <c r="G3994" s="173"/>
      <c r="H3994" s="200"/>
      <c r="I3994" s="200">
        <v>323.7</v>
      </c>
      <c r="J3994" s="173"/>
      <c r="K3994" s="173"/>
      <c r="L3994" s="174"/>
      <c r="M3994" s="101"/>
      <c r="N3994" s="101"/>
      <c r="O3994" s="101"/>
      <c r="P3994" s="49" t="s">
        <v>27</v>
      </c>
      <c r="Q3994" s="49"/>
      <c r="R3994" s="151"/>
    </row>
    <row r="3995" spans="1:18">
      <c r="A3995" s="49" t="s">
        <v>90</v>
      </c>
      <c r="B3995" s="202" t="s">
        <v>1212</v>
      </c>
      <c r="C3995" s="202" t="s">
        <v>1213</v>
      </c>
      <c r="D3995" s="205" t="s">
        <v>1213</v>
      </c>
      <c r="E3995" s="161" t="s">
        <v>2939</v>
      </c>
      <c r="F3995" s="49"/>
      <c r="G3995" s="173"/>
      <c r="H3995" s="200"/>
      <c r="I3995" s="200">
        <v>349.5</v>
      </c>
      <c r="J3995" s="173"/>
      <c r="K3995" s="173"/>
      <c r="L3995" s="174"/>
      <c r="M3995" s="101"/>
      <c r="N3995" s="101"/>
      <c r="O3995" s="101"/>
      <c r="P3995" s="49"/>
      <c r="Q3995" s="204" t="s">
        <v>8152</v>
      </c>
      <c r="R3995" s="151"/>
    </row>
    <row r="3996" spans="1:18">
      <c r="A3996" s="49" t="s">
        <v>90</v>
      </c>
      <c r="B3996" s="202" t="s">
        <v>1214</v>
      </c>
      <c r="C3996" s="202" t="s">
        <v>8153</v>
      </c>
      <c r="D3996" s="205" t="s">
        <v>8153</v>
      </c>
      <c r="E3996" s="161" t="s">
        <v>2939</v>
      </c>
      <c r="F3996" s="49"/>
      <c r="G3996" s="173">
        <v>0</v>
      </c>
      <c r="H3996" s="200">
        <v>0</v>
      </c>
      <c r="I3996" s="200">
        <v>248</v>
      </c>
      <c r="J3996" s="173"/>
      <c r="K3996" s="173"/>
      <c r="L3996" s="174"/>
      <c r="M3996" s="101"/>
      <c r="N3996" s="101"/>
      <c r="O3996" s="101"/>
      <c r="P3996" s="49"/>
      <c r="Q3996" s="49"/>
      <c r="R3996" s="151"/>
    </row>
    <row r="3997" spans="1:18">
      <c r="A3997" s="49" t="s">
        <v>90</v>
      </c>
      <c r="B3997" s="202" t="s">
        <v>1214</v>
      </c>
      <c r="C3997" s="206" t="s">
        <v>8154</v>
      </c>
      <c r="D3997" s="205" t="s">
        <v>8154</v>
      </c>
      <c r="E3997" s="161" t="s">
        <v>2939</v>
      </c>
      <c r="F3997" s="49"/>
      <c r="G3997" s="173">
        <f>G3996+H3997</f>
        <v>0.19</v>
      </c>
      <c r="H3997" s="203">
        <v>0.19</v>
      </c>
      <c r="I3997" s="200">
        <v>275</v>
      </c>
      <c r="J3997" s="173"/>
      <c r="K3997" s="173"/>
      <c r="L3997" s="174"/>
      <c r="M3997" s="101"/>
      <c r="N3997" s="101"/>
      <c r="O3997" s="101"/>
      <c r="P3997" s="49" t="s">
        <v>15</v>
      </c>
      <c r="Q3997" s="204" t="s">
        <v>8155</v>
      </c>
      <c r="R3997" s="151"/>
    </row>
    <row r="3998" spans="1:18">
      <c r="A3998" s="49" t="s">
        <v>90</v>
      </c>
      <c r="B3998" s="202" t="s">
        <v>1214</v>
      </c>
      <c r="C3998" s="206" t="s">
        <v>1218</v>
      </c>
      <c r="D3998" s="205" t="s">
        <v>1218</v>
      </c>
      <c r="E3998" s="161" t="s">
        <v>2939</v>
      </c>
      <c r="F3998" s="49"/>
      <c r="G3998" s="173">
        <f t="shared" ref="G3998:G4004" si="308">G3997+H3998</f>
        <v>18.09</v>
      </c>
      <c r="H3998" s="203">
        <v>17.9</v>
      </c>
      <c r="I3998" s="200">
        <v>266.8</v>
      </c>
      <c r="J3998" s="173"/>
      <c r="K3998" s="173"/>
      <c r="L3998" s="174"/>
      <c r="M3998" s="101"/>
      <c r="N3998" s="101"/>
      <c r="O3998" s="101"/>
      <c r="P3998" s="49" t="s">
        <v>15</v>
      </c>
      <c r="Q3998" s="204" t="s">
        <v>8156</v>
      </c>
      <c r="R3998" s="151"/>
    </row>
    <row r="3999" spans="1:18">
      <c r="A3999" s="49" t="s">
        <v>90</v>
      </c>
      <c r="B3999" s="202" t="s">
        <v>1214</v>
      </c>
      <c r="C3999" s="202" t="s">
        <v>1811</v>
      </c>
      <c r="D3999" s="205" t="s">
        <v>1811</v>
      </c>
      <c r="E3999" s="161" t="s">
        <v>2939</v>
      </c>
      <c r="F3999" s="49"/>
      <c r="G3999" s="173">
        <f t="shared" si="308"/>
        <v>30.46</v>
      </c>
      <c r="H3999" s="203">
        <v>12.37</v>
      </c>
      <c r="I3999" s="200">
        <v>240</v>
      </c>
      <c r="J3999" s="173"/>
      <c r="K3999" s="173"/>
      <c r="L3999" s="174"/>
      <c r="M3999" s="101"/>
      <c r="N3999" s="101"/>
      <c r="O3999" s="101"/>
      <c r="P3999" s="49" t="s">
        <v>27</v>
      </c>
      <c r="Q3999" s="49"/>
      <c r="R3999" s="151"/>
    </row>
    <row r="4000" spans="1:18">
      <c r="A4000" s="49" t="s">
        <v>90</v>
      </c>
      <c r="B4000" s="202" t="s">
        <v>1214</v>
      </c>
      <c r="C4000" s="202" t="s">
        <v>1815</v>
      </c>
      <c r="D4000" s="205" t="s">
        <v>1815</v>
      </c>
      <c r="E4000" s="161" t="s">
        <v>2939</v>
      </c>
      <c r="F4000" s="49"/>
      <c r="G4000" s="173">
        <f t="shared" si="308"/>
        <v>45.04</v>
      </c>
      <c r="H4000" s="203">
        <v>14.58</v>
      </c>
      <c r="I4000" s="200">
        <v>147.3</v>
      </c>
      <c r="J4000" s="173"/>
      <c r="K4000" s="173"/>
      <c r="L4000" s="174"/>
      <c r="M4000" s="101"/>
      <c r="N4000" s="101"/>
      <c r="O4000" s="101"/>
      <c r="P4000" s="49" t="s">
        <v>27</v>
      </c>
      <c r="Q4000" s="49"/>
      <c r="R4000" s="151"/>
    </row>
    <row r="4001" spans="1:18">
      <c r="A4001" s="49" t="s">
        <v>90</v>
      </c>
      <c r="B4001" s="202" t="s">
        <v>1214</v>
      </c>
      <c r="C4001" s="206" t="s">
        <v>8157</v>
      </c>
      <c r="D4001" s="205" t="s">
        <v>8157</v>
      </c>
      <c r="E4001" s="161" t="s">
        <v>2939</v>
      </c>
      <c r="F4001" s="49"/>
      <c r="G4001" s="173">
        <f t="shared" si="308"/>
        <v>62.45</v>
      </c>
      <c r="H4001" s="203">
        <v>17.41</v>
      </c>
      <c r="I4001" s="200">
        <v>141.2</v>
      </c>
      <c r="J4001" s="173"/>
      <c r="K4001" s="173"/>
      <c r="L4001" s="174"/>
      <c r="M4001" s="101"/>
      <c r="N4001" s="101"/>
      <c r="O4001" s="101"/>
      <c r="P4001" s="49" t="s">
        <v>14</v>
      </c>
      <c r="Q4001" s="49"/>
      <c r="R4001" s="151"/>
    </row>
    <row r="4002" spans="1:18">
      <c r="A4002" s="49" t="s">
        <v>90</v>
      </c>
      <c r="B4002" s="202" t="s">
        <v>1214</v>
      </c>
      <c r="C4002" s="202" t="s">
        <v>1210</v>
      </c>
      <c r="D4002" s="205" t="s">
        <v>1210</v>
      </c>
      <c r="E4002" s="161" t="s">
        <v>2939</v>
      </c>
      <c r="F4002" s="49"/>
      <c r="G4002" s="173">
        <f t="shared" si="308"/>
        <v>69.57</v>
      </c>
      <c r="H4002" s="203">
        <v>7.12</v>
      </c>
      <c r="I4002" s="200">
        <v>143</v>
      </c>
      <c r="J4002" s="173"/>
      <c r="K4002" s="173"/>
      <c r="L4002" s="174"/>
      <c r="M4002" s="101"/>
      <c r="N4002" s="101"/>
      <c r="O4002" s="101"/>
      <c r="P4002" s="49" t="s">
        <v>27</v>
      </c>
      <c r="Q4002" s="49"/>
      <c r="R4002" s="151"/>
    </row>
    <row r="4003" spans="1:18">
      <c r="A4003" s="49" t="s">
        <v>90</v>
      </c>
      <c r="B4003" s="202" t="s">
        <v>1214</v>
      </c>
      <c r="C4003" s="202" t="s">
        <v>1820</v>
      </c>
      <c r="D4003" s="205" t="s">
        <v>1820</v>
      </c>
      <c r="E4003" s="161" t="s">
        <v>2939</v>
      </c>
      <c r="F4003" s="161"/>
      <c r="G4003" s="173">
        <f t="shared" si="308"/>
        <v>75.61</v>
      </c>
      <c r="H4003" s="203">
        <v>6.04</v>
      </c>
      <c r="I4003" s="200">
        <v>153</v>
      </c>
      <c r="J4003" s="173"/>
      <c r="K4003" s="173"/>
      <c r="L4003" s="174"/>
      <c r="M4003" s="101"/>
      <c r="N4003" s="101"/>
      <c r="O4003" s="101"/>
      <c r="P4003" s="49" t="s">
        <v>27</v>
      </c>
      <c r="Q4003" s="49"/>
      <c r="R4003" s="151"/>
    </row>
    <row r="4004" spans="1:18">
      <c r="A4004" s="49" t="s">
        <v>90</v>
      </c>
      <c r="B4004" s="202" t="s">
        <v>1214</v>
      </c>
      <c r="C4004" s="206" t="s">
        <v>1216</v>
      </c>
      <c r="D4004" s="205" t="s">
        <v>1216</v>
      </c>
      <c r="E4004" s="161" t="s">
        <v>2939</v>
      </c>
      <c r="F4004" s="161"/>
      <c r="G4004" s="173">
        <f t="shared" si="308"/>
        <v>79.5449</v>
      </c>
      <c r="H4004" s="203">
        <v>3.9349</v>
      </c>
      <c r="I4004" s="200">
        <v>229.4</v>
      </c>
      <c r="J4004" s="173"/>
      <c r="K4004" s="173"/>
      <c r="L4004" s="174"/>
      <c r="M4004" s="101"/>
      <c r="N4004" s="101"/>
      <c r="O4004" s="101"/>
      <c r="P4004" s="49" t="s">
        <v>14</v>
      </c>
      <c r="Q4004" s="204" t="s">
        <v>8158</v>
      </c>
      <c r="R4004" s="151"/>
    </row>
    <row r="4005" spans="1:18">
      <c r="A4005" s="49" t="s">
        <v>90</v>
      </c>
      <c r="B4005" s="202" t="s">
        <v>1217</v>
      </c>
      <c r="C4005" s="197" t="s">
        <v>1218</v>
      </c>
      <c r="D4005" s="198" t="s">
        <v>1218</v>
      </c>
      <c r="E4005" s="161" t="s">
        <v>2939</v>
      </c>
      <c r="F4005" s="161"/>
      <c r="G4005" s="163">
        <v>0</v>
      </c>
      <c r="H4005" s="200">
        <v>0</v>
      </c>
      <c r="I4005" s="200">
        <v>226</v>
      </c>
      <c r="J4005" s="173"/>
      <c r="K4005" s="173"/>
      <c r="L4005" s="174"/>
      <c r="M4005" s="101"/>
      <c r="N4005" s="101"/>
      <c r="O4005" s="101"/>
      <c r="P4005" s="49"/>
      <c r="Q4005" s="204" t="s">
        <v>8156</v>
      </c>
      <c r="R4005" s="151"/>
    </row>
    <row r="4006" spans="1:18">
      <c r="A4006" s="49" t="s">
        <v>90</v>
      </c>
      <c r="B4006" s="202" t="s">
        <v>1217</v>
      </c>
      <c r="C4006" s="202" t="s">
        <v>1811</v>
      </c>
      <c r="D4006" s="205" t="s">
        <v>1298</v>
      </c>
      <c r="E4006" s="161" t="s">
        <v>2939</v>
      </c>
      <c r="F4006" s="161"/>
      <c r="G4006" s="163">
        <f>G4005+H4006</f>
        <v>16.45</v>
      </c>
      <c r="H4006" s="203">
        <v>16.45</v>
      </c>
      <c r="I4006" s="203">
        <v>300</v>
      </c>
      <c r="J4006" s="173"/>
      <c r="K4006" s="173"/>
      <c r="L4006" s="174"/>
      <c r="M4006" s="101"/>
      <c r="N4006" s="101"/>
      <c r="O4006" s="101"/>
      <c r="P4006" s="49" t="s">
        <v>25</v>
      </c>
      <c r="Q4006" s="49"/>
      <c r="R4006" s="151"/>
    </row>
    <row r="4007" spans="1:18">
      <c r="A4007" s="49" t="s">
        <v>90</v>
      </c>
      <c r="B4007" s="202" t="s">
        <v>1217</v>
      </c>
      <c r="C4007" s="206" t="s">
        <v>8159</v>
      </c>
      <c r="D4007" s="205" t="s">
        <v>8159</v>
      </c>
      <c r="E4007" s="161" t="s">
        <v>2939</v>
      </c>
      <c r="F4007" s="161"/>
      <c r="G4007" s="163">
        <f>G4006+H4007</f>
        <v>32.53</v>
      </c>
      <c r="H4007" s="203">
        <v>16.08</v>
      </c>
      <c r="I4007" s="203">
        <v>440</v>
      </c>
      <c r="J4007" s="173"/>
      <c r="K4007" s="173"/>
      <c r="L4007" s="174"/>
      <c r="M4007" s="101"/>
      <c r="N4007" s="101"/>
      <c r="O4007" s="101"/>
      <c r="P4007" s="49" t="s">
        <v>15</v>
      </c>
      <c r="Q4007" s="49"/>
      <c r="R4007" s="151"/>
    </row>
    <row r="4008" spans="1:18">
      <c r="A4008" s="49" t="s">
        <v>90</v>
      </c>
      <c r="B4008" s="202" t="s">
        <v>1217</v>
      </c>
      <c r="C4008" s="202" t="s">
        <v>1815</v>
      </c>
      <c r="D4008" s="205" t="s">
        <v>1302</v>
      </c>
      <c r="E4008" s="161" t="s">
        <v>2939</v>
      </c>
      <c r="F4008" s="161"/>
      <c r="G4008" s="163">
        <f>G4007+H4008</f>
        <v>45.54</v>
      </c>
      <c r="H4008" s="203">
        <v>13.01</v>
      </c>
      <c r="I4008" s="203">
        <v>375</v>
      </c>
      <c r="J4008" s="173"/>
      <c r="K4008" s="173"/>
      <c r="L4008" s="174"/>
      <c r="M4008" s="101"/>
      <c r="N4008" s="101"/>
      <c r="O4008" s="101"/>
      <c r="P4008" s="49" t="s">
        <v>25</v>
      </c>
      <c r="Q4008" s="49"/>
      <c r="R4008" s="151"/>
    </row>
    <row r="4009" spans="1:18">
      <c r="A4009" s="49" t="s">
        <v>90</v>
      </c>
      <c r="B4009" s="202" t="s">
        <v>1217</v>
      </c>
      <c r="C4009" s="206" t="s">
        <v>1219</v>
      </c>
      <c r="D4009" s="205" t="s">
        <v>1219</v>
      </c>
      <c r="E4009" s="161" t="s">
        <v>2939</v>
      </c>
      <c r="F4009" s="161"/>
      <c r="G4009" s="163">
        <f>G4008+H4009</f>
        <v>61.718</v>
      </c>
      <c r="H4009" s="203">
        <v>16.178</v>
      </c>
      <c r="I4009" s="203">
        <v>254</v>
      </c>
      <c r="J4009" s="173"/>
      <c r="K4009" s="173"/>
      <c r="L4009" s="174"/>
      <c r="M4009" s="101"/>
      <c r="N4009" s="101"/>
      <c r="O4009" s="101"/>
      <c r="P4009" s="49" t="s">
        <v>14</v>
      </c>
      <c r="Q4009" s="204" t="s">
        <v>8160</v>
      </c>
      <c r="R4009" s="151"/>
    </row>
    <row r="4010" ht="30" spans="1:18">
      <c r="A4010" s="49" t="s">
        <v>90</v>
      </c>
      <c r="B4010" s="202" t="s">
        <v>1222</v>
      </c>
      <c r="C4010" s="197" t="s">
        <v>8161</v>
      </c>
      <c r="D4010" s="198" t="s">
        <v>8161</v>
      </c>
      <c r="E4010" s="161" t="s">
        <v>2939</v>
      </c>
      <c r="F4010" s="161"/>
      <c r="G4010" s="163"/>
      <c r="H4010" s="200"/>
      <c r="I4010" s="200">
        <v>550</v>
      </c>
      <c r="J4010" s="173"/>
      <c r="K4010" s="173"/>
      <c r="L4010" s="174"/>
      <c r="M4010" s="101"/>
      <c r="N4010" s="101"/>
      <c r="O4010" s="101"/>
      <c r="P4010" s="49"/>
      <c r="Q4010" s="49"/>
      <c r="R4010" s="151"/>
    </row>
    <row r="4011" ht="90" spans="1:18">
      <c r="A4011" s="49" t="s">
        <v>90</v>
      </c>
      <c r="B4011" s="202" t="s">
        <v>1222</v>
      </c>
      <c r="C4011" s="206" t="s">
        <v>8162</v>
      </c>
      <c r="D4011" s="205" t="s">
        <v>8162</v>
      </c>
      <c r="E4011" s="161" t="s">
        <v>2939</v>
      </c>
      <c r="F4011" s="161"/>
      <c r="G4011" s="163"/>
      <c r="H4011" s="200"/>
      <c r="I4011" s="200">
        <v>550</v>
      </c>
      <c r="J4011" s="173"/>
      <c r="K4011" s="173"/>
      <c r="L4011" s="174" t="s">
        <v>8163</v>
      </c>
      <c r="M4011" s="101"/>
      <c r="N4011" s="101"/>
      <c r="O4011" s="101"/>
      <c r="P4011" s="49" t="s">
        <v>15</v>
      </c>
      <c r="Q4011" s="49"/>
      <c r="R4011" s="151"/>
    </row>
    <row r="4012" ht="30" spans="1:18">
      <c r="A4012" s="49" t="s">
        <v>90</v>
      </c>
      <c r="B4012" s="202" t="s">
        <v>1222</v>
      </c>
      <c r="C4012" s="197" t="s">
        <v>8164</v>
      </c>
      <c r="D4012" s="198" t="s">
        <v>8164</v>
      </c>
      <c r="E4012" s="161" t="s">
        <v>2939</v>
      </c>
      <c r="F4012" s="161"/>
      <c r="G4012" s="163">
        <v>0</v>
      </c>
      <c r="H4012" s="200">
        <v>0</v>
      </c>
      <c r="I4012" s="200">
        <v>377.6</v>
      </c>
      <c r="J4012" s="173"/>
      <c r="K4012" s="173"/>
      <c r="L4012" s="174"/>
      <c r="M4012" s="101"/>
      <c r="N4012" s="101"/>
      <c r="O4012" s="101"/>
      <c r="P4012" s="49"/>
      <c r="Q4012" s="49"/>
      <c r="R4012" s="151"/>
    </row>
    <row r="4013" spans="1:18">
      <c r="A4013" s="49" t="s">
        <v>90</v>
      </c>
      <c r="B4013" s="202" t="s">
        <v>1222</v>
      </c>
      <c r="C4013" s="197" t="s">
        <v>1811</v>
      </c>
      <c r="D4013" s="198" t="s">
        <v>1298</v>
      </c>
      <c r="E4013" s="161" t="s">
        <v>2939</v>
      </c>
      <c r="F4013" s="161"/>
      <c r="G4013" s="163">
        <f>G4012+H4013</f>
        <v>8.04</v>
      </c>
      <c r="H4013" s="200">
        <v>8.04</v>
      </c>
      <c r="I4013" s="200">
        <v>453.3</v>
      </c>
      <c r="J4013" s="173"/>
      <c r="K4013" s="173"/>
      <c r="L4013" s="174"/>
      <c r="M4013" s="101"/>
      <c r="N4013" s="101"/>
      <c r="O4013" s="101"/>
      <c r="P4013" s="49" t="s">
        <v>25</v>
      </c>
      <c r="Q4013" s="204" t="s">
        <v>8165</v>
      </c>
      <c r="R4013" s="151"/>
    </row>
    <row r="4014" spans="1:18">
      <c r="A4014" s="49" t="s">
        <v>90</v>
      </c>
      <c r="B4014" s="202" t="s">
        <v>1222</v>
      </c>
      <c r="C4014" s="197" t="s">
        <v>1815</v>
      </c>
      <c r="D4014" s="198" t="s">
        <v>1302</v>
      </c>
      <c r="E4014" s="161" t="s">
        <v>2939</v>
      </c>
      <c r="F4014" s="161"/>
      <c r="G4014" s="163">
        <f t="shared" ref="G4014:G4020" si="309">G4013+H4014</f>
        <v>24.55</v>
      </c>
      <c r="H4014" s="200">
        <v>16.51</v>
      </c>
      <c r="I4014" s="200">
        <v>335.3</v>
      </c>
      <c r="J4014" s="173"/>
      <c r="K4014" s="173"/>
      <c r="L4014" s="174"/>
      <c r="M4014" s="101"/>
      <c r="N4014" s="101"/>
      <c r="O4014" s="101"/>
      <c r="P4014" s="49" t="s">
        <v>25</v>
      </c>
      <c r="Q4014" s="49"/>
      <c r="R4014" s="151"/>
    </row>
    <row r="4015" spans="1:18">
      <c r="A4015" s="49" t="s">
        <v>90</v>
      </c>
      <c r="B4015" s="202" t="s">
        <v>1222</v>
      </c>
      <c r="C4015" s="197" t="s">
        <v>1210</v>
      </c>
      <c r="D4015" s="198" t="s">
        <v>1305</v>
      </c>
      <c r="E4015" s="161" t="s">
        <v>2939</v>
      </c>
      <c r="F4015" s="161"/>
      <c r="G4015" s="163">
        <f t="shared" si="309"/>
        <v>40.53</v>
      </c>
      <c r="H4015" s="200">
        <v>15.98</v>
      </c>
      <c r="I4015" s="200">
        <v>391.8</v>
      </c>
      <c r="J4015" s="173"/>
      <c r="K4015" s="173"/>
      <c r="L4015" s="174"/>
      <c r="M4015" s="101"/>
      <c r="N4015" s="101"/>
      <c r="O4015" s="101"/>
      <c r="P4015" s="49" t="s">
        <v>25</v>
      </c>
      <c r="Q4015" s="49"/>
      <c r="R4015" s="151"/>
    </row>
    <row r="4016" spans="1:18">
      <c r="A4016" s="49" t="s">
        <v>90</v>
      </c>
      <c r="B4016" s="202" t="s">
        <v>1222</v>
      </c>
      <c r="C4016" s="197" t="s">
        <v>1820</v>
      </c>
      <c r="D4016" s="198" t="s">
        <v>1307</v>
      </c>
      <c r="E4016" s="161" t="s">
        <v>2939</v>
      </c>
      <c r="F4016" s="161"/>
      <c r="G4016" s="163">
        <f t="shared" si="309"/>
        <v>57.19</v>
      </c>
      <c r="H4016" s="200">
        <v>16.66</v>
      </c>
      <c r="I4016" s="200">
        <v>303.8</v>
      </c>
      <c r="J4016" s="173"/>
      <c r="K4016" s="173"/>
      <c r="L4016" s="174"/>
      <c r="M4016" s="101"/>
      <c r="N4016" s="101"/>
      <c r="O4016" s="101"/>
      <c r="P4016" s="49" t="s">
        <v>25</v>
      </c>
      <c r="Q4016" s="49"/>
      <c r="R4016" s="151"/>
    </row>
    <row r="4017" spans="1:18">
      <c r="A4017" s="49" t="s">
        <v>90</v>
      </c>
      <c r="B4017" s="202" t="s">
        <v>1222</v>
      </c>
      <c r="C4017" s="197" t="s">
        <v>741</v>
      </c>
      <c r="D4017" s="198" t="s">
        <v>1311</v>
      </c>
      <c r="E4017" s="161" t="s">
        <v>2939</v>
      </c>
      <c r="F4017" s="161"/>
      <c r="G4017" s="163">
        <f t="shared" si="309"/>
        <v>72.71</v>
      </c>
      <c r="H4017" s="200">
        <v>15.52</v>
      </c>
      <c r="I4017" s="200">
        <v>682.5</v>
      </c>
      <c r="J4017" s="173"/>
      <c r="K4017" s="173"/>
      <c r="L4017" s="174"/>
      <c r="M4017" s="101"/>
      <c r="N4017" s="101"/>
      <c r="O4017" s="101"/>
      <c r="P4017" s="49" t="s">
        <v>25</v>
      </c>
      <c r="Q4017" s="49"/>
      <c r="R4017" s="151"/>
    </row>
    <row r="4018" spans="1:18">
      <c r="A4018" s="49" t="s">
        <v>90</v>
      </c>
      <c r="B4018" s="202" t="s">
        <v>1222</v>
      </c>
      <c r="C4018" s="197" t="s">
        <v>8166</v>
      </c>
      <c r="D4018" s="198" t="s">
        <v>8166</v>
      </c>
      <c r="E4018" s="161" t="s">
        <v>2939</v>
      </c>
      <c r="F4018" s="161"/>
      <c r="G4018" s="163">
        <f t="shared" si="309"/>
        <v>95.21</v>
      </c>
      <c r="H4018" s="203">
        <v>22.5</v>
      </c>
      <c r="I4018" s="203"/>
      <c r="J4018" s="173"/>
      <c r="K4018" s="173"/>
      <c r="L4018" s="174"/>
      <c r="M4018" s="101"/>
      <c r="N4018" s="101"/>
      <c r="O4018" s="101"/>
      <c r="P4018" s="49"/>
      <c r="Q4018" s="49"/>
      <c r="R4018" s="151"/>
    </row>
    <row r="4019" spans="1:18">
      <c r="A4019" s="49" t="s">
        <v>90</v>
      </c>
      <c r="B4019" s="202" t="s">
        <v>1222</v>
      </c>
      <c r="C4019" s="197" t="s">
        <v>1848</v>
      </c>
      <c r="D4019" s="198" t="s">
        <v>1318</v>
      </c>
      <c r="E4019" s="161" t="s">
        <v>2939</v>
      </c>
      <c r="F4019" s="161"/>
      <c r="G4019" s="163">
        <f t="shared" si="309"/>
        <v>111.34</v>
      </c>
      <c r="H4019" s="200">
        <v>16.13</v>
      </c>
      <c r="I4019" s="200">
        <v>459.3</v>
      </c>
      <c r="J4019" s="173"/>
      <c r="K4019" s="173"/>
      <c r="L4019" s="174"/>
      <c r="M4019" s="101"/>
      <c r="N4019" s="101"/>
      <c r="O4019" s="101"/>
      <c r="P4019" s="49" t="s">
        <v>25</v>
      </c>
      <c r="Q4019" s="49"/>
      <c r="R4019" s="151"/>
    </row>
    <row r="4020" spans="1:18">
      <c r="A4020" s="49" t="s">
        <v>90</v>
      </c>
      <c r="B4020" s="202" t="s">
        <v>1222</v>
      </c>
      <c r="C4020" s="201" t="s">
        <v>1224</v>
      </c>
      <c r="D4020" s="198" t="s">
        <v>1224</v>
      </c>
      <c r="E4020" s="161" t="s">
        <v>2939</v>
      </c>
      <c r="F4020" s="161"/>
      <c r="G4020" s="163">
        <f t="shared" si="309"/>
        <v>119.38</v>
      </c>
      <c r="H4020" s="200">
        <v>8.04</v>
      </c>
      <c r="I4020" s="200">
        <v>457.2</v>
      </c>
      <c r="J4020" s="173"/>
      <c r="K4020" s="173"/>
      <c r="L4020" s="174"/>
      <c r="M4020" s="101"/>
      <c r="N4020" s="101"/>
      <c r="O4020" s="101"/>
      <c r="P4020" s="49" t="s">
        <v>14</v>
      </c>
      <c r="Q4020" s="204" t="s">
        <v>8167</v>
      </c>
      <c r="R4020" s="151"/>
    </row>
    <row r="4021" spans="1:18">
      <c r="A4021" s="49" t="s">
        <v>90</v>
      </c>
      <c r="B4021" s="202" t="s">
        <v>1226</v>
      </c>
      <c r="C4021" s="197" t="s">
        <v>1224</v>
      </c>
      <c r="D4021" s="198" t="s">
        <v>1224</v>
      </c>
      <c r="E4021" s="161" t="s">
        <v>2939</v>
      </c>
      <c r="F4021" s="161"/>
      <c r="G4021" s="163">
        <v>0</v>
      </c>
      <c r="H4021" s="200">
        <v>0</v>
      </c>
      <c r="I4021" s="200">
        <v>457.2</v>
      </c>
      <c r="J4021" s="173"/>
      <c r="K4021" s="173"/>
      <c r="L4021" s="174"/>
      <c r="M4021" s="101"/>
      <c r="N4021" s="101"/>
      <c r="O4021" s="101"/>
      <c r="P4021" s="49"/>
      <c r="Q4021" s="204" t="s">
        <v>8167</v>
      </c>
      <c r="R4021" s="151"/>
    </row>
    <row r="4022" spans="1:18">
      <c r="A4022" s="49" t="s">
        <v>90</v>
      </c>
      <c r="B4022" s="202" t="s">
        <v>1226</v>
      </c>
      <c r="C4022" s="201" t="s">
        <v>8168</v>
      </c>
      <c r="D4022" s="198" t="s">
        <v>8168</v>
      </c>
      <c r="E4022" s="161" t="s">
        <v>2939</v>
      </c>
      <c r="F4022" s="161"/>
      <c r="G4022" s="163">
        <f>G4021+H4022</f>
        <v>19.91</v>
      </c>
      <c r="H4022" s="200">
        <v>19.91</v>
      </c>
      <c r="I4022" s="200">
        <v>439</v>
      </c>
      <c r="J4022" s="173"/>
      <c r="K4022" s="173"/>
      <c r="L4022" s="174"/>
      <c r="M4022" s="101"/>
      <c r="N4022" s="101"/>
      <c r="O4022" s="101"/>
      <c r="P4022" s="49" t="s">
        <v>14</v>
      </c>
      <c r="Q4022" s="49"/>
      <c r="R4022" s="151"/>
    </row>
    <row r="4023" spans="1:18">
      <c r="A4023" s="49" t="s">
        <v>90</v>
      </c>
      <c r="B4023" s="202" t="s">
        <v>1226</v>
      </c>
      <c r="C4023" s="197" t="s">
        <v>1811</v>
      </c>
      <c r="D4023" s="198" t="s">
        <v>1298</v>
      </c>
      <c r="E4023" s="161" t="s">
        <v>2939</v>
      </c>
      <c r="F4023" s="161"/>
      <c r="G4023" s="163">
        <f t="shared" ref="G4023:G4030" si="310">G4022+H4023</f>
        <v>36.74</v>
      </c>
      <c r="H4023" s="200">
        <v>16.83</v>
      </c>
      <c r="I4023" s="200">
        <v>370.6</v>
      </c>
      <c r="J4023" s="173"/>
      <c r="K4023" s="173"/>
      <c r="L4023" s="174"/>
      <c r="M4023" s="101"/>
      <c r="N4023" s="101"/>
      <c r="O4023" s="101"/>
      <c r="P4023" s="49" t="s">
        <v>25</v>
      </c>
      <c r="Q4023" s="49"/>
      <c r="R4023" s="151"/>
    </row>
    <row r="4024" spans="1:18">
      <c r="A4024" s="49" t="s">
        <v>90</v>
      </c>
      <c r="B4024" s="202" t="s">
        <v>1226</v>
      </c>
      <c r="C4024" s="197" t="s">
        <v>1815</v>
      </c>
      <c r="D4024" s="198" t="s">
        <v>1302</v>
      </c>
      <c r="E4024" s="161" t="s">
        <v>2939</v>
      </c>
      <c r="F4024" s="161"/>
      <c r="G4024" s="163">
        <f t="shared" si="310"/>
        <v>51.64</v>
      </c>
      <c r="H4024" s="200">
        <v>14.9</v>
      </c>
      <c r="I4024" s="200">
        <v>360.4</v>
      </c>
      <c r="J4024" s="173"/>
      <c r="K4024" s="173"/>
      <c r="L4024" s="174" t="s">
        <v>4883</v>
      </c>
      <c r="M4024" s="101"/>
      <c r="N4024" s="101"/>
      <c r="O4024" s="101"/>
      <c r="P4024" s="49" t="s">
        <v>25</v>
      </c>
      <c r="Q4024" s="49"/>
      <c r="R4024" s="151"/>
    </row>
    <row r="4025" spans="1:18">
      <c r="A4025" s="49" t="s">
        <v>90</v>
      </c>
      <c r="B4025" s="202" t="s">
        <v>1226</v>
      </c>
      <c r="C4025" s="201" t="s">
        <v>8169</v>
      </c>
      <c r="D4025" s="198" t="s">
        <v>8169</v>
      </c>
      <c r="E4025" s="161" t="s">
        <v>2939</v>
      </c>
      <c r="F4025" s="161"/>
      <c r="G4025" s="163">
        <f t="shared" si="310"/>
        <v>66.1</v>
      </c>
      <c r="H4025" s="200">
        <v>14.46</v>
      </c>
      <c r="I4025" s="200">
        <v>469.5</v>
      </c>
      <c r="J4025" s="173"/>
      <c r="K4025" s="173"/>
      <c r="L4025" s="174"/>
      <c r="M4025" s="101"/>
      <c r="N4025" s="101"/>
      <c r="O4025" s="101"/>
      <c r="P4025" s="49" t="s">
        <v>14</v>
      </c>
      <c r="Q4025" s="49"/>
      <c r="R4025" s="151"/>
    </row>
    <row r="4026" spans="1:18">
      <c r="A4026" s="49" t="s">
        <v>90</v>
      </c>
      <c r="B4026" s="202" t="s">
        <v>1226</v>
      </c>
      <c r="C4026" s="197" t="s">
        <v>1210</v>
      </c>
      <c r="D4026" s="198" t="s">
        <v>1305</v>
      </c>
      <c r="E4026" s="161" t="s">
        <v>2939</v>
      </c>
      <c r="F4026" s="161"/>
      <c r="G4026" s="163">
        <f t="shared" si="310"/>
        <v>82.4</v>
      </c>
      <c r="H4026" s="200">
        <v>16.3</v>
      </c>
      <c r="I4026" s="200">
        <v>683.65</v>
      </c>
      <c r="J4026" s="173"/>
      <c r="K4026" s="173"/>
      <c r="L4026" s="174"/>
      <c r="M4026" s="101"/>
      <c r="N4026" s="101"/>
      <c r="O4026" s="101"/>
      <c r="P4026" s="49" t="s">
        <v>25</v>
      </c>
      <c r="Q4026" s="49"/>
      <c r="R4026" s="151"/>
    </row>
    <row r="4027" spans="1:18">
      <c r="A4027" s="49" t="s">
        <v>90</v>
      </c>
      <c r="B4027" s="202" t="s">
        <v>1226</v>
      </c>
      <c r="C4027" s="197" t="s">
        <v>1820</v>
      </c>
      <c r="D4027" s="198" t="s">
        <v>1307</v>
      </c>
      <c r="E4027" s="161" t="s">
        <v>2939</v>
      </c>
      <c r="F4027" s="161"/>
      <c r="G4027" s="163">
        <f t="shared" si="310"/>
        <v>98.23</v>
      </c>
      <c r="H4027" s="200">
        <v>15.83</v>
      </c>
      <c r="I4027" s="200">
        <v>603.5</v>
      </c>
      <c r="J4027" s="173"/>
      <c r="K4027" s="173"/>
      <c r="L4027" s="174"/>
      <c r="M4027" s="101"/>
      <c r="N4027" s="101"/>
      <c r="O4027" s="101"/>
      <c r="P4027" s="49" t="s">
        <v>25</v>
      </c>
      <c r="Q4027" s="49"/>
      <c r="R4027" s="151"/>
    </row>
    <row r="4028" spans="1:18">
      <c r="A4028" s="49" t="s">
        <v>90</v>
      </c>
      <c r="B4028" s="202" t="s">
        <v>1226</v>
      </c>
      <c r="C4028" s="197" t="s">
        <v>741</v>
      </c>
      <c r="D4028" s="198" t="s">
        <v>1311</v>
      </c>
      <c r="E4028" s="161" t="s">
        <v>2939</v>
      </c>
      <c r="F4028" s="161"/>
      <c r="G4028" s="163">
        <f t="shared" si="310"/>
        <v>112.23</v>
      </c>
      <c r="H4028" s="200">
        <v>14</v>
      </c>
      <c r="I4028" s="200">
        <v>461</v>
      </c>
      <c r="J4028" s="173"/>
      <c r="K4028" s="173"/>
      <c r="L4028" s="174"/>
      <c r="M4028" s="101"/>
      <c r="N4028" s="101"/>
      <c r="O4028" s="101"/>
      <c r="P4028" s="49" t="s">
        <v>25</v>
      </c>
      <c r="Q4028" s="49"/>
      <c r="R4028" s="151"/>
    </row>
    <row r="4029" spans="1:18">
      <c r="A4029" s="49" t="s">
        <v>90</v>
      </c>
      <c r="B4029" s="202" t="s">
        <v>1226</v>
      </c>
      <c r="C4029" s="197" t="s">
        <v>1848</v>
      </c>
      <c r="D4029" s="198" t="s">
        <v>1318</v>
      </c>
      <c r="E4029" s="161" t="s">
        <v>2939</v>
      </c>
      <c r="F4029" s="161"/>
      <c r="G4029" s="163">
        <f t="shared" si="310"/>
        <v>119.54</v>
      </c>
      <c r="H4029" s="200">
        <v>7.31</v>
      </c>
      <c r="I4029" s="200">
        <v>279.8</v>
      </c>
      <c r="J4029" s="173"/>
      <c r="K4029" s="173"/>
      <c r="L4029" s="174"/>
      <c r="M4029" s="101"/>
      <c r="N4029" s="101"/>
      <c r="O4029" s="101"/>
      <c r="P4029" s="49" t="s">
        <v>25</v>
      </c>
      <c r="Q4029" s="49"/>
      <c r="R4029" s="151"/>
    </row>
    <row r="4030" spans="1:18">
      <c r="A4030" s="49" t="s">
        <v>90</v>
      </c>
      <c r="B4030" s="202" t="s">
        <v>1226</v>
      </c>
      <c r="C4030" s="201" t="s">
        <v>1227</v>
      </c>
      <c r="D4030" s="198" t="s">
        <v>1227</v>
      </c>
      <c r="E4030" s="161" t="s">
        <v>2939</v>
      </c>
      <c r="F4030" s="161"/>
      <c r="G4030" s="163">
        <f t="shared" si="310"/>
        <v>132.44</v>
      </c>
      <c r="H4030" s="200">
        <v>12.9</v>
      </c>
      <c r="I4030" s="200">
        <v>254.3</v>
      </c>
      <c r="J4030" s="173"/>
      <c r="K4030" s="173"/>
      <c r="L4030" s="174"/>
      <c r="M4030" s="101"/>
      <c r="N4030" s="101"/>
      <c r="O4030" s="101"/>
      <c r="P4030" s="49" t="s">
        <v>14</v>
      </c>
      <c r="Q4030" s="69" t="s">
        <v>8170</v>
      </c>
      <c r="R4030" s="151"/>
    </row>
    <row r="4031" spans="1:18">
      <c r="A4031" s="49" t="s">
        <v>90</v>
      </c>
      <c r="B4031" s="202" t="s">
        <v>1228</v>
      </c>
      <c r="C4031" s="197" t="s">
        <v>1224</v>
      </c>
      <c r="D4031" s="198" t="s">
        <v>1224</v>
      </c>
      <c r="E4031" s="161" t="s">
        <v>2939</v>
      </c>
      <c r="F4031" s="161"/>
      <c r="G4031" s="163">
        <v>0</v>
      </c>
      <c r="H4031" s="203">
        <v>0</v>
      </c>
      <c r="I4031" s="203">
        <v>457.2</v>
      </c>
      <c r="J4031" s="173"/>
      <c r="K4031" s="173"/>
      <c r="L4031" s="174"/>
      <c r="M4031" s="101"/>
      <c r="N4031" s="101"/>
      <c r="O4031" s="101"/>
      <c r="P4031" s="49"/>
      <c r="Q4031" s="49"/>
      <c r="R4031" s="151"/>
    </row>
    <row r="4032" spans="1:18">
      <c r="A4032" s="49" t="s">
        <v>90</v>
      </c>
      <c r="B4032" s="202" t="s">
        <v>1228</v>
      </c>
      <c r="C4032" s="197" t="s">
        <v>1811</v>
      </c>
      <c r="D4032" s="198" t="s">
        <v>1811</v>
      </c>
      <c r="E4032" s="161" t="s">
        <v>2939</v>
      </c>
      <c r="F4032" s="161"/>
      <c r="G4032" s="163">
        <f>G4031+H4032</f>
        <v>7.35</v>
      </c>
      <c r="H4032" s="203">
        <v>7.35</v>
      </c>
      <c r="I4032" s="203">
        <v>613.6</v>
      </c>
      <c r="J4032" s="173"/>
      <c r="K4032" s="173"/>
      <c r="L4032" s="174"/>
      <c r="M4032" s="101"/>
      <c r="N4032" s="101"/>
      <c r="O4032" s="101"/>
      <c r="P4032" s="49" t="s">
        <v>27</v>
      </c>
      <c r="Q4032" s="49"/>
      <c r="R4032" s="151"/>
    </row>
    <row r="4033" spans="1:18">
      <c r="A4033" s="49" t="s">
        <v>90</v>
      </c>
      <c r="B4033" s="202" t="s">
        <v>1228</v>
      </c>
      <c r="C4033" s="197" t="s">
        <v>1815</v>
      </c>
      <c r="D4033" s="198" t="s">
        <v>1302</v>
      </c>
      <c r="E4033" s="161" t="s">
        <v>2939</v>
      </c>
      <c r="F4033" s="161"/>
      <c r="G4033" s="163">
        <f t="shared" ref="G4033:G4041" si="311">G4032+H4033</f>
        <v>24.77</v>
      </c>
      <c r="H4033" s="203">
        <v>17.42</v>
      </c>
      <c r="I4033" s="203">
        <v>595.2</v>
      </c>
      <c r="J4033" s="173"/>
      <c r="K4033" s="173"/>
      <c r="L4033" s="174"/>
      <c r="M4033" s="101"/>
      <c r="N4033" s="101"/>
      <c r="O4033" s="101"/>
      <c r="P4033" s="49" t="s">
        <v>25</v>
      </c>
      <c r="Q4033" s="49"/>
      <c r="R4033" s="151"/>
    </row>
    <row r="4034" spans="1:18">
      <c r="A4034" s="49" t="s">
        <v>90</v>
      </c>
      <c r="B4034" s="202" t="s">
        <v>1228</v>
      </c>
      <c r="C4034" s="197" t="s">
        <v>1210</v>
      </c>
      <c r="D4034" s="198" t="s">
        <v>1305</v>
      </c>
      <c r="E4034" s="161" t="s">
        <v>2939</v>
      </c>
      <c r="F4034" s="161"/>
      <c r="G4034" s="163">
        <f t="shared" si="311"/>
        <v>48.09</v>
      </c>
      <c r="H4034" s="203">
        <v>23.32</v>
      </c>
      <c r="I4034" s="203">
        <v>795.33</v>
      </c>
      <c r="J4034" s="173"/>
      <c r="K4034" s="173"/>
      <c r="L4034" s="174"/>
      <c r="M4034" s="101"/>
      <c r="N4034" s="101"/>
      <c r="O4034" s="101"/>
      <c r="P4034" s="49" t="s">
        <v>25</v>
      </c>
      <c r="Q4034" s="49"/>
      <c r="R4034" s="151"/>
    </row>
    <row r="4035" spans="1:18">
      <c r="A4035" s="49" t="s">
        <v>90</v>
      </c>
      <c r="B4035" s="202" t="s">
        <v>1228</v>
      </c>
      <c r="C4035" s="197" t="s">
        <v>1820</v>
      </c>
      <c r="D4035" s="198" t="s">
        <v>1307</v>
      </c>
      <c r="E4035" s="161" t="s">
        <v>2939</v>
      </c>
      <c r="F4035" s="161"/>
      <c r="G4035" s="163">
        <f t="shared" si="311"/>
        <v>67.28</v>
      </c>
      <c r="H4035" s="203">
        <v>19.19</v>
      </c>
      <c r="I4035" s="203">
        <v>893.65</v>
      </c>
      <c r="J4035" s="173"/>
      <c r="K4035" s="173"/>
      <c r="L4035" s="174"/>
      <c r="M4035" s="101"/>
      <c r="N4035" s="101"/>
      <c r="O4035" s="101"/>
      <c r="P4035" s="49" t="s">
        <v>25</v>
      </c>
      <c r="Q4035" s="49"/>
      <c r="R4035" s="151"/>
    </row>
    <row r="4036" spans="1:18">
      <c r="A4036" s="49" t="s">
        <v>90</v>
      </c>
      <c r="B4036" s="202" t="s">
        <v>1228</v>
      </c>
      <c r="C4036" s="201" t="s">
        <v>8171</v>
      </c>
      <c r="D4036" s="198" t="s">
        <v>8171</v>
      </c>
      <c r="E4036" s="161" t="s">
        <v>2939</v>
      </c>
      <c r="F4036" s="161"/>
      <c r="G4036" s="163">
        <f t="shared" si="311"/>
        <v>89.56</v>
      </c>
      <c r="H4036" s="203">
        <v>22.28</v>
      </c>
      <c r="I4036" s="203">
        <v>352.4</v>
      </c>
      <c r="J4036" s="173"/>
      <c r="K4036" s="173"/>
      <c r="L4036" s="174"/>
      <c r="M4036" s="101"/>
      <c r="N4036" s="101"/>
      <c r="O4036" s="101"/>
      <c r="P4036" s="49" t="s">
        <v>14</v>
      </c>
      <c r="Q4036" s="49"/>
      <c r="R4036" s="151"/>
    </row>
    <row r="4037" spans="1:18">
      <c r="A4037" s="49" t="s">
        <v>90</v>
      </c>
      <c r="B4037" s="202" t="s">
        <v>1228</v>
      </c>
      <c r="C4037" s="201" t="s">
        <v>8172</v>
      </c>
      <c r="D4037" s="198" t="s">
        <v>8172</v>
      </c>
      <c r="E4037" s="161" t="s">
        <v>2939</v>
      </c>
      <c r="F4037" s="161"/>
      <c r="G4037" s="163">
        <f t="shared" si="311"/>
        <v>102.68</v>
      </c>
      <c r="H4037" s="203">
        <v>13.12</v>
      </c>
      <c r="I4037" s="203">
        <v>415.7</v>
      </c>
      <c r="J4037" s="173"/>
      <c r="K4037" s="173"/>
      <c r="L4037" s="174"/>
      <c r="M4037" s="101"/>
      <c r="N4037" s="101"/>
      <c r="O4037" s="101"/>
      <c r="P4037" s="49" t="s">
        <v>14</v>
      </c>
      <c r="Q4037" s="49"/>
      <c r="R4037" s="151"/>
    </row>
    <row r="4038" spans="1:18">
      <c r="A4038" s="49" t="s">
        <v>90</v>
      </c>
      <c r="B4038" s="202" t="s">
        <v>1228</v>
      </c>
      <c r="C4038" s="197" t="s">
        <v>741</v>
      </c>
      <c r="D4038" s="198" t="s">
        <v>741</v>
      </c>
      <c r="E4038" s="161" t="s">
        <v>2939</v>
      </c>
      <c r="F4038" s="161"/>
      <c r="G4038" s="163">
        <f t="shared" si="311"/>
        <v>124.02</v>
      </c>
      <c r="H4038" s="203">
        <v>21.34</v>
      </c>
      <c r="I4038" s="203">
        <v>254.65</v>
      </c>
      <c r="J4038" s="173"/>
      <c r="K4038" s="173"/>
      <c r="L4038" s="174"/>
      <c r="M4038" s="101"/>
      <c r="N4038" s="101"/>
      <c r="O4038" s="101"/>
      <c r="P4038" s="49" t="s">
        <v>27</v>
      </c>
      <c r="Q4038" s="49"/>
      <c r="R4038" s="151"/>
    </row>
    <row r="4039" spans="1:18">
      <c r="A4039" s="49" t="s">
        <v>90</v>
      </c>
      <c r="B4039" s="202" t="s">
        <v>1228</v>
      </c>
      <c r="C4039" s="201" t="s">
        <v>8173</v>
      </c>
      <c r="D4039" s="198" t="s">
        <v>8173</v>
      </c>
      <c r="E4039" s="161" t="s">
        <v>2939</v>
      </c>
      <c r="F4039" s="161"/>
      <c r="G4039" s="163">
        <f t="shared" si="311"/>
        <v>135.59</v>
      </c>
      <c r="H4039" s="203">
        <v>11.57</v>
      </c>
      <c r="I4039" s="203">
        <v>174.1</v>
      </c>
      <c r="J4039" s="173"/>
      <c r="K4039" s="173"/>
      <c r="L4039" s="174"/>
      <c r="M4039" s="101"/>
      <c r="N4039" s="101"/>
      <c r="O4039" s="101"/>
      <c r="P4039" s="49" t="s">
        <v>14</v>
      </c>
      <c r="Q4039" s="49"/>
      <c r="R4039" s="151"/>
    </row>
    <row r="4040" spans="1:18">
      <c r="A4040" s="49" t="s">
        <v>90</v>
      </c>
      <c r="B4040" s="202" t="s">
        <v>1228</v>
      </c>
      <c r="C4040" s="197" t="s">
        <v>1848</v>
      </c>
      <c r="D4040" s="198" t="s">
        <v>1848</v>
      </c>
      <c r="E4040" s="161" t="s">
        <v>2939</v>
      </c>
      <c r="F4040" s="161"/>
      <c r="G4040" s="163">
        <f t="shared" si="311"/>
        <v>160.63</v>
      </c>
      <c r="H4040" s="203">
        <v>25.04</v>
      </c>
      <c r="I4040" s="203">
        <v>245.69</v>
      </c>
      <c r="J4040" s="173"/>
      <c r="K4040" s="173"/>
      <c r="L4040" s="174"/>
      <c r="M4040" s="101"/>
      <c r="N4040" s="101"/>
      <c r="O4040" s="101"/>
      <c r="P4040" s="49" t="s">
        <v>27</v>
      </c>
      <c r="Q4040" s="69" t="s">
        <v>8174</v>
      </c>
      <c r="R4040" s="151"/>
    </row>
    <row r="4041" spans="1:18">
      <c r="A4041" s="49" t="s">
        <v>90</v>
      </c>
      <c r="B4041" s="202" t="s">
        <v>1228</v>
      </c>
      <c r="C4041" s="201" t="s">
        <v>1229</v>
      </c>
      <c r="D4041" s="198" t="s">
        <v>1229</v>
      </c>
      <c r="E4041" s="161" t="s">
        <v>2939</v>
      </c>
      <c r="F4041" s="161"/>
      <c r="G4041" s="163">
        <f t="shared" si="311"/>
        <v>174</v>
      </c>
      <c r="H4041" s="203">
        <v>13.37</v>
      </c>
      <c r="I4041" s="203">
        <v>260.96</v>
      </c>
      <c r="J4041" s="173"/>
      <c r="K4041" s="173"/>
      <c r="L4041" s="174"/>
      <c r="M4041" s="101"/>
      <c r="N4041" s="101"/>
      <c r="O4041" s="101"/>
      <c r="P4041" s="49" t="s">
        <v>14</v>
      </c>
      <c r="Q4041" s="69" t="s">
        <v>8175</v>
      </c>
      <c r="R4041" s="151"/>
    </row>
    <row r="4042" spans="1:18">
      <c r="A4042" s="49" t="s">
        <v>90</v>
      </c>
      <c r="B4042" s="202" t="s">
        <v>1231</v>
      </c>
      <c r="C4042" s="197" t="s">
        <v>1232</v>
      </c>
      <c r="D4042" s="198" t="s">
        <v>1232</v>
      </c>
      <c r="E4042" s="161" t="s">
        <v>2939</v>
      </c>
      <c r="F4042" s="161"/>
      <c r="G4042" s="163">
        <v>0</v>
      </c>
      <c r="H4042" s="200">
        <v>0</v>
      </c>
      <c r="I4042" s="200">
        <v>245.69</v>
      </c>
      <c r="J4042" s="173"/>
      <c r="K4042" s="173"/>
      <c r="L4042" s="174"/>
      <c r="M4042" s="101"/>
      <c r="N4042" s="101"/>
      <c r="O4042" s="101"/>
      <c r="P4042" s="49"/>
      <c r="Q4042" s="69" t="s">
        <v>8174</v>
      </c>
      <c r="R4042" s="151"/>
    </row>
    <row r="4043" spans="1:18">
      <c r="A4043" s="49" t="s">
        <v>90</v>
      </c>
      <c r="B4043" s="202" t="s">
        <v>1231</v>
      </c>
      <c r="C4043" s="197" t="s">
        <v>1811</v>
      </c>
      <c r="D4043" s="198" t="s">
        <v>1298</v>
      </c>
      <c r="E4043" s="161" t="s">
        <v>2939</v>
      </c>
      <c r="F4043" s="161"/>
      <c r="G4043" s="163">
        <f>G4042+H4043</f>
        <v>20.1</v>
      </c>
      <c r="H4043" s="203">
        <v>20.1</v>
      </c>
      <c r="I4043" s="203">
        <v>168.68</v>
      </c>
      <c r="J4043" s="173"/>
      <c r="K4043" s="173"/>
      <c r="L4043" s="174"/>
      <c r="M4043" s="101"/>
      <c r="N4043" s="101"/>
      <c r="O4043" s="101"/>
      <c r="P4043" s="49" t="s">
        <v>25</v>
      </c>
      <c r="Q4043" s="49"/>
      <c r="R4043" s="151"/>
    </row>
    <row r="4044" spans="1:18">
      <c r="A4044" s="49" t="s">
        <v>90</v>
      </c>
      <c r="B4044" s="202" t="s">
        <v>1231</v>
      </c>
      <c r="C4044" s="202" t="s">
        <v>1815</v>
      </c>
      <c r="D4044" s="205" t="s">
        <v>1302</v>
      </c>
      <c r="E4044" s="161" t="s">
        <v>2939</v>
      </c>
      <c r="F4044" s="161"/>
      <c r="G4044" s="163">
        <f>G4043+H4044</f>
        <v>31.37</v>
      </c>
      <c r="H4044" s="200">
        <v>11.27</v>
      </c>
      <c r="I4044" s="200">
        <v>160.68</v>
      </c>
      <c r="J4044" s="173"/>
      <c r="K4044" s="173"/>
      <c r="L4044" s="174"/>
      <c r="M4044" s="101"/>
      <c r="N4044" s="101"/>
      <c r="O4044" s="101"/>
      <c r="P4044" s="49" t="s">
        <v>25</v>
      </c>
      <c r="Q4044" s="49"/>
      <c r="R4044" s="151"/>
    </row>
    <row r="4045" spans="1:18">
      <c r="A4045" s="49" t="s">
        <v>90</v>
      </c>
      <c r="B4045" s="202" t="s">
        <v>1231</v>
      </c>
      <c r="C4045" s="206" t="s">
        <v>1233</v>
      </c>
      <c r="D4045" s="205" t="s">
        <v>1233</v>
      </c>
      <c r="E4045" s="161" t="s">
        <v>2939</v>
      </c>
      <c r="F4045" s="161"/>
      <c r="G4045" s="163">
        <f>G4044+H4045</f>
        <v>49.66</v>
      </c>
      <c r="H4045" s="203">
        <v>18.29</v>
      </c>
      <c r="I4045" s="203">
        <v>152.45</v>
      </c>
      <c r="J4045" s="173"/>
      <c r="K4045" s="173"/>
      <c r="L4045" s="174"/>
      <c r="M4045" s="101"/>
      <c r="N4045" s="101"/>
      <c r="O4045" s="101"/>
      <c r="P4045" s="49" t="s">
        <v>14</v>
      </c>
      <c r="Q4045" s="69" t="s">
        <v>8176</v>
      </c>
      <c r="R4045" s="151"/>
    </row>
    <row r="4046" spans="1:17">
      <c r="A4046" s="119" t="s">
        <v>91</v>
      </c>
      <c r="B4046" s="119" t="s">
        <v>1235</v>
      </c>
      <c r="C4046" s="119" t="s">
        <v>607</v>
      </c>
      <c r="D4046" s="119" t="s">
        <v>607</v>
      </c>
      <c r="E4046" s="119" t="s">
        <v>4952</v>
      </c>
      <c r="F4046" s="119"/>
      <c r="G4046" s="207">
        <v>0</v>
      </c>
      <c r="H4046" s="207">
        <v>0</v>
      </c>
      <c r="I4046" s="207"/>
      <c r="J4046" s="207">
        <v>0</v>
      </c>
      <c r="K4046" s="207">
        <v>0</v>
      </c>
      <c r="L4046" s="207"/>
      <c r="M4046" s="119"/>
      <c r="N4046" s="119"/>
      <c r="O4046" s="49"/>
      <c r="P4046" s="49"/>
      <c r="Q4046" s="119" t="s">
        <v>8177</v>
      </c>
    </row>
    <row r="4047" spans="1:17">
      <c r="A4047" s="119" t="s">
        <v>91</v>
      </c>
      <c r="B4047" s="119" t="s">
        <v>1235</v>
      </c>
      <c r="C4047" s="119" t="s">
        <v>8178</v>
      </c>
      <c r="D4047" s="119" t="s">
        <v>8178</v>
      </c>
      <c r="E4047" s="119" t="s">
        <v>4952</v>
      </c>
      <c r="F4047" s="119"/>
      <c r="G4047" s="207">
        <v>13.3</v>
      </c>
      <c r="H4047" s="207">
        <v>13.3</v>
      </c>
      <c r="I4047" s="207">
        <v>1070</v>
      </c>
      <c r="J4047" s="207">
        <v>652.53</v>
      </c>
      <c r="K4047" s="207">
        <v>652.53</v>
      </c>
      <c r="L4047" s="207"/>
      <c r="M4047" s="119"/>
      <c r="N4047" s="119"/>
      <c r="O4047" s="49"/>
      <c r="P4047" s="49"/>
      <c r="Q4047" s="119"/>
    </row>
    <row r="4048" spans="1:17">
      <c r="A4048" s="119" t="s">
        <v>91</v>
      </c>
      <c r="B4048" s="119" t="s">
        <v>1235</v>
      </c>
      <c r="C4048" s="119" t="s">
        <v>8179</v>
      </c>
      <c r="D4048" s="119" t="s">
        <v>8179</v>
      </c>
      <c r="E4048" s="119" t="s">
        <v>4952</v>
      </c>
      <c r="F4048" s="119"/>
      <c r="G4048" s="207">
        <v>26.5</v>
      </c>
      <c r="H4048" s="207">
        <v>13.2</v>
      </c>
      <c r="I4048" s="207">
        <v>1356</v>
      </c>
      <c r="J4048" s="207">
        <v>647.62</v>
      </c>
      <c r="K4048" s="207">
        <v>1300.15</v>
      </c>
      <c r="L4048" s="207"/>
      <c r="M4048" s="119"/>
      <c r="N4048" s="119"/>
      <c r="O4048" s="49"/>
      <c r="P4048" s="49"/>
      <c r="Q4048" s="119" t="s">
        <v>8180</v>
      </c>
    </row>
    <row r="4049" spans="1:17">
      <c r="A4049" s="119" t="s">
        <v>91</v>
      </c>
      <c r="B4049" s="119" t="s">
        <v>1237</v>
      </c>
      <c r="C4049" s="119" t="s">
        <v>1238</v>
      </c>
      <c r="D4049" s="119" t="s">
        <v>1238</v>
      </c>
      <c r="E4049" s="119" t="s">
        <v>4952</v>
      </c>
      <c r="F4049" s="119"/>
      <c r="G4049" s="207">
        <v>0</v>
      </c>
      <c r="H4049" s="207">
        <v>0</v>
      </c>
      <c r="I4049" s="207"/>
      <c r="J4049" s="207">
        <v>0</v>
      </c>
      <c r="K4049" s="207">
        <v>0</v>
      </c>
      <c r="L4049" s="207"/>
      <c r="M4049" s="119"/>
      <c r="N4049" s="119"/>
      <c r="O4049" s="49"/>
      <c r="P4049" s="49"/>
      <c r="Q4049" s="119" t="s">
        <v>8181</v>
      </c>
    </row>
    <row r="4050" spans="1:17">
      <c r="A4050" s="119" t="s">
        <v>91</v>
      </c>
      <c r="B4050" s="119" t="s">
        <v>1237</v>
      </c>
      <c r="C4050" s="119" t="s">
        <v>1239</v>
      </c>
      <c r="D4050" s="119" t="s">
        <v>1239</v>
      </c>
      <c r="E4050" s="119" t="s">
        <v>4952</v>
      </c>
      <c r="F4050" s="119"/>
      <c r="G4050" s="207">
        <v>1.93</v>
      </c>
      <c r="H4050" s="207">
        <v>1.93</v>
      </c>
      <c r="I4050" s="207">
        <v>1090</v>
      </c>
      <c r="J4050" s="207">
        <v>94.69</v>
      </c>
      <c r="K4050" s="207">
        <v>94.69</v>
      </c>
      <c r="L4050" s="207"/>
      <c r="M4050" s="119"/>
      <c r="N4050" s="119"/>
      <c r="O4050" s="49"/>
      <c r="P4050" s="49"/>
      <c r="Q4050" s="119" t="s">
        <v>8182</v>
      </c>
    </row>
    <row r="4051" spans="1:17">
      <c r="A4051" s="119" t="s">
        <v>91</v>
      </c>
      <c r="B4051" s="119" t="s">
        <v>1240</v>
      </c>
      <c r="C4051" s="119" t="s">
        <v>1241</v>
      </c>
      <c r="D4051" s="119" t="s">
        <v>1241</v>
      </c>
      <c r="E4051" s="119" t="s">
        <v>4952</v>
      </c>
      <c r="F4051" s="119"/>
      <c r="G4051" s="207">
        <v>0</v>
      </c>
      <c r="H4051" s="207">
        <v>0</v>
      </c>
      <c r="I4051" s="207"/>
      <c r="J4051" s="207">
        <v>0</v>
      </c>
      <c r="K4051" s="207">
        <v>0</v>
      </c>
      <c r="L4051" s="207"/>
      <c r="M4051" s="119"/>
      <c r="N4051" s="119"/>
      <c r="O4051" s="49"/>
      <c r="P4051" s="49"/>
      <c r="Q4051" s="119" t="s">
        <v>8183</v>
      </c>
    </row>
    <row r="4052" spans="1:17">
      <c r="A4052" s="119" t="s">
        <v>91</v>
      </c>
      <c r="B4052" s="119" t="s">
        <v>1240</v>
      </c>
      <c r="C4052" s="208" t="s">
        <v>8184</v>
      </c>
      <c r="D4052" s="119" t="s">
        <v>8184</v>
      </c>
      <c r="E4052" s="119" t="s">
        <v>4952</v>
      </c>
      <c r="F4052" s="119"/>
      <c r="G4052" s="207"/>
      <c r="H4052" s="207">
        <v>0</v>
      </c>
      <c r="I4052" s="207">
        <v>981</v>
      </c>
      <c r="J4052" s="207">
        <v>0</v>
      </c>
      <c r="K4052" s="207">
        <v>0</v>
      </c>
      <c r="L4052" s="207"/>
      <c r="M4052" s="119"/>
      <c r="N4052" s="119"/>
      <c r="O4052" s="49"/>
      <c r="P4052" s="49" t="s">
        <v>14</v>
      </c>
      <c r="Q4052" s="119" t="s">
        <v>8183</v>
      </c>
    </row>
    <row r="4053" spans="1:17">
      <c r="A4053" s="119" t="s">
        <v>91</v>
      </c>
      <c r="B4053" s="119" t="s">
        <v>1240</v>
      </c>
      <c r="C4053" s="208" t="s">
        <v>1242</v>
      </c>
      <c r="D4053" s="119" t="s">
        <v>1242</v>
      </c>
      <c r="E4053" s="119" t="s">
        <v>4952</v>
      </c>
      <c r="F4053" s="119"/>
      <c r="G4053" s="207">
        <v>19.4</v>
      </c>
      <c r="H4053" s="207">
        <v>19.4</v>
      </c>
      <c r="I4053" s="207">
        <v>978</v>
      </c>
      <c r="J4053" s="207">
        <v>1476.55573666741</v>
      </c>
      <c r="K4053" s="207">
        <v>1476.55573666741</v>
      </c>
      <c r="L4053" s="207"/>
      <c r="M4053" s="119"/>
      <c r="N4053" s="119"/>
      <c r="O4053" s="49"/>
      <c r="P4053" s="49" t="s">
        <v>14</v>
      </c>
      <c r="Q4053" s="119" t="s">
        <v>8185</v>
      </c>
    </row>
    <row r="4054" spans="1:17">
      <c r="A4054" s="119" t="s">
        <v>91</v>
      </c>
      <c r="B4054" s="119" t="s">
        <v>1243</v>
      </c>
      <c r="C4054" s="119" t="s">
        <v>1244</v>
      </c>
      <c r="D4054" s="119" t="s">
        <v>1244</v>
      </c>
      <c r="E4054" s="119" t="s">
        <v>4952</v>
      </c>
      <c r="F4054" s="119"/>
      <c r="G4054" s="207">
        <v>0</v>
      </c>
      <c r="H4054" s="207">
        <v>0</v>
      </c>
      <c r="I4054" s="207">
        <v>896</v>
      </c>
      <c r="J4054" s="207">
        <v>0</v>
      </c>
      <c r="K4054" s="207">
        <v>0</v>
      </c>
      <c r="L4054" s="207"/>
      <c r="M4054" s="119"/>
      <c r="N4054" s="119"/>
      <c r="O4054" s="49"/>
      <c r="P4054" s="49"/>
      <c r="Q4054" s="119" t="s">
        <v>8186</v>
      </c>
    </row>
    <row r="4055" spans="1:17">
      <c r="A4055" s="119" t="s">
        <v>91</v>
      </c>
      <c r="B4055" s="119" t="s">
        <v>1243</v>
      </c>
      <c r="C4055" s="208" t="s">
        <v>8187</v>
      </c>
      <c r="D4055" s="119" t="s">
        <v>8187</v>
      </c>
      <c r="E4055" s="119" t="s">
        <v>4952</v>
      </c>
      <c r="F4055" s="119"/>
      <c r="G4055" s="207">
        <v>0</v>
      </c>
      <c r="H4055" s="207">
        <v>0</v>
      </c>
      <c r="I4055" s="207">
        <v>896</v>
      </c>
      <c r="J4055" s="207">
        <v>0</v>
      </c>
      <c r="K4055" s="207">
        <v>0</v>
      </c>
      <c r="L4055" s="207"/>
      <c r="M4055" s="119"/>
      <c r="N4055" s="119"/>
      <c r="O4055" s="49"/>
      <c r="P4055" s="49" t="s">
        <v>15</v>
      </c>
      <c r="Q4055" s="119" t="s">
        <v>8186</v>
      </c>
    </row>
    <row r="4056" spans="1:17">
      <c r="A4056" s="119" t="s">
        <v>91</v>
      </c>
      <c r="B4056" s="119" t="s">
        <v>1243</v>
      </c>
      <c r="C4056" s="119" t="s">
        <v>1811</v>
      </c>
      <c r="D4056" s="119" t="s">
        <v>1811</v>
      </c>
      <c r="E4056" s="119" t="s">
        <v>4952</v>
      </c>
      <c r="F4056" s="119"/>
      <c r="G4056" s="207">
        <v>13.7</v>
      </c>
      <c r="H4056" s="207">
        <v>13.7</v>
      </c>
      <c r="I4056" s="207">
        <v>972</v>
      </c>
      <c r="J4056" s="207">
        <v>458.828676387174</v>
      </c>
      <c r="K4056" s="207">
        <v>458.828676387174</v>
      </c>
      <c r="L4056" s="207"/>
      <c r="M4056" s="119"/>
      <c r="N4056" s="119"/>
      <c r="O4056" s="49"/>
      <c r="P4056" s="49" t="s">
        <v>27</v>
      </c>
      <c r="Q4056" s="119"/>
    </row>
    <row r="4057" spans="1:17">
      <c r="A4057" s="119" t="s">
        <v>91</v>
      </c>
      <c r="B4057" s="119" t="s">
        <v>1243</v>
      </c>
      <c r="C4057" s="208" t="s">
        <v>1245</v>
      </c>
      <c r="D4057" s="119" t="s">
        <v>1245</v>
      </c>
      <c r="E4057" s="119" t="s">
        <v>4952</v>
      </c>
      <c r="F4057" s="119"/>
      <c r="G4057" s="207">
        <v>23.605</v>
      </c>
      <c r="H4057" s="207">
        <v>9.905</v>
      </c>
      <c r="I4057" s="207">
        <v>969</v>
      </c>
      <c r="J4057" s="207">
        <v>331.7297839135</v>
      </c>
      <c r="K4057" s="207">
        <v>790.558460300674</v>
      </c>
      <c r="L4057" s="207"/>
      <c r="M4057" s="119"/>
      <c r="N4057" s="119"/>
      <c r="O4057" s="49"/>
      <c r="P4057" s="49" t="s">
        <v>14</v>
      </c>
      <c r="Q4057" s="119" t="s">
        <v>8188</v>
      </c>
    </row>
    <row r="4058" spans="1:17">
      <c r="A4058" s="119" t="s">
        <v>91</v>
      </c>
      <c r="B4058" s="119" t="s">
        <v>1246</v>
      </c>
      <c r="C4058" s="119" t="s">
        <v>1247</v>
      </c>
      <c r="D4058" s="119" t="s">
        <v>1247</v>
      </c>
      <c r="E4058" s="119" t="s">
        <v>4952</v>
      </c>
      <c r="F4058" s="119"/>
      <c r="G4058" s="207">
        <v>0</v>
      </c>
      <c r="H4058" s="207">
        <v>0</v>
      </c>
      <c r="I4058" s="207"/>
      <c r="J4058" s="207"/>
      <c r="K4058" s="207"/>
      <c r="L4058" s="207"/>
      <c r="M4058" s="119"/>
      <c r="N4058" s="119"/>
      <c r="O4058" s="49"/>
      <c r="P4058" s="49"/>
      <c r="Q4058" s="119" t="s">
        <v>8189</v>
      </c>
    </row>
    <row r="4059" spans="1:17">
      <c r="A4059" s="119" t="s">
        <v>91</v>
      </c>
      <c r="B4059" s="119" t="s">
        <v>1246</v>
      </c>
      <c r="C4059" s="208" t="s">
        <v>1248</v>
      </c>
      <c r="D4059" s="119" t="s">
        <v>1248</v>
      </c>
      <c r="E4059" s="119" t="s">
        <v>4952</v>
      </c>
      <c r="F4059" s="119"/>
      <c r="G4059" s="207">
        <v>3.7</v>
      </c>
      <c r="H4059" s="207">
        <v>3.7</v>
      </c>
      <c r="I4059" s="207">
        <v>1750</v>
      </c>
      <c r="J4059" s="207">
        <v>726.125</v>
      </c>
      <c r="K4059" s="207">
        <v>726.125</v>
      </c>
      <c r="L4059" s="207"/>
      <c r="M4059" s="119"/>
      <c r="N4059" s="119"/>
      <c r="O4059" s="49"/>
      <c r="P4059" s="49" t="s">
        <v>14</v>
      </c>
      <c r="Q4059" s="119" t="s">
        <v>8189</v>
      </c>
    </row>
    <row r="4060" spans="1:17">
      <c r="A4060" s="119" t="s">
        <v>91</v>
      </c>
      <c r="B4060" s="119" t="s">
        <v>1249</v>
      </c>
      <c r="C4060" s="119" t="s">
        <v>1250</v>
      </c>
      <c r="D4060" s="119" t="s">
        <v>1250</v>
      </c>
      <c r="E4060" s="119" t="s">
        <v>4952</v>
      </c>
      <c r="F4060" s="119"/>
      <c r="G4060" s="207">
        <v>0</v>
      </c>
      <c r="H4060" s="207">
        <v>0</v>
      </c>
      <c r="I4060" s="207"/>
      <c r="J4060" s="207">
        <v>0</v>
      </c>
      <c r="K4060" s="207">
        <v>0</v>
      </c>
      <c r="L4060" s="207"/>
      <c r="M4060" s="119"/>
      <c r="N4060" s="119"/>
      <c r="O4060" s="49"/>
      <c r="P4060" s="49"/>
      <c r="Q4060" s="119" t="s">
        <v>8190</v>
      </c>
    </row>
    <row r="4061" spans="1:17">
      <c r="A4061" s="119" t="s">
        <v>91</v>
      </c>
      <c r="B4061" s="119" t="s">
        <v>1249</v>
      </c>
      <c r="C4061" s="208" t="s">
        <v>1251</v>
      </c>
      <c r="D4061" s="119" t="s">
        <v>1251</v>
      </c>
      <c r="E4061" s="119" t="s">
        <v>4952</v>
      </c>
      <c r="F4061" s="119"/>
      <c r="G4061" s="207">
        <v>1.3</v>
      </c>
      <c r="H4061" s="207">
        <v>1.3</v>
      </c>
      <c r="I4061" s="207"/>
      <c r="J4061" s="207">
        <v>91.8303327044759</v>
      </c>
      <c r="K4061" s="207">
        <v>91.8303327044759</v>
      </c>
      <c r="L4061" s="207"/>
      <c r="M4061" s="119"/>
      <c r="N4061" s="119"/>
      <c r="O4061" s="49"/>
      <c r="P4061" s="49" t="s">
        <v>14</v>
      </c>
      <c r="Q4061" s="119" t="s">
        <v>8190</v>
      </c>
    </row>
    <row r="4062" spans="1:17">
      <c r="A4062" s="119" t="s">
        <v>91</v>
      </c>
      <c r="B4062" s="119" t="s">
        <v>1252</v>
      </c>
      <c r="C4062" s="119" t="s">
        <v>1253</v>
      </c>
      <c r="D4062" s="119" t="s">
        <v>1253</v>
      </c>
      <c r="E4062" s="119" t="s">
        <v>4952</v>
      </c>
      <c r="F4062" s="119"/>
      <c r="G4062" s="207">
        <v>0</v>
      </c>
      <c r="H4062" s="207">
        <v>0</v>
      </c>
      <c r="I4062" s="207">
        <v>976</v>
      </c>
      <c r="J4062" s="207">
        <v>0</v>
      </c>
      <c r="K4062" s="207">
        <v>0</v>
      </c>
      <c r="M4062" s="119"/>
      <c r="N4062" s="119"/>
      <c r="O4062" s="49"/>
      <c r="P4062" s="49"/>
      <c r="Q4062" s="119" t="s">
        <v>8191</v>
      </c>
    </row>
    <row r="4063" spans="1:17">
      <c r="A4063" s="119" t="s">
        <v>91</v>
      </c>
      <c r="B4063" s="119" t="s">
        <v>1252</v>
      </c>
      <c r="C4063" s="208" t="s">
        <v>8192</v>
      </c>
      <c r="D4063" s="119" t="s">
        <v>8192</v>
      </c>
      <c r="E4063" s="119" t="s">
        <v>4952</v>
      </c>
      <c r="F4063" s="119"/>
      <c r="G4063" s="207">
        <v>7.752</v>
      </c>
      <c r="H4063" s="207">
        <v>7.752</v>
      </c>
      <c r="I4063" s="207">
        <v>994</v>
      </c>
      <c r="J4063" s="207">
        <v>583.963965045924</v>
      </c>
      <c r="K4063" s="207">
        <v>583.963965045924</v>
      </c>
      <c r="M4063" s="119"/>
      <c r="N4063" s="119"/>
      <c r="O4063" s="49"/>
      <c r="P4063" s="49" t="s">
        <v>14</v>
      </c>
      <c r="Q4063" s="119" t="s">
        <v>8193</v>
      </c>
    </row>
    <row r="4064" spans="1:17">
      <c r="A4064" s="119" t="s">
        <v>91</v>
      </c>
      <c r="B4064" s="119" t="s">
        <v>1252</v>
      </c>
      <c r="C4064" s="208" t="s">
        <v>1254</v>
      </c>
      <c r="D4064" s="119" t="s">
        <v>1254</v>
      </c>
      <c r="E4064" s="119" t="s">
        <v>4952</v>
      </c>
      <c r="F4064" s="119"/>
      <c r="G4064" s="207">
        <v>15.944</v>
      </c>
      <c r="H4064" s="207">
        <v>8.192</v>
      </c>
      <c r="I4064" s="207">
        <v>949</v>
      </c>
      <c r="J4064" s="207">
        <v>617.109494537695</v>
      </c>
      <c r="K4064" s="207">
        <v>1201.07345958362</v>
      </c>
      <c r="M4064" s="119"/>
      <c r="N4064" s="119"/>
      <c r="O4064" s="49"/>
      <c r="P4064" s="49" t="s">
        <v>14</v>
      </c>
      <c r="Q4064" s="119" t="s">
        <v>8194</v>
      </c>
    </row>
    <row r="4065" spans="1:17">
      <c r="A4065" s="119" t="s">
        <v>91</v>
      </c>
      <c r="B4065" s="119" t="s">
        <v>1255</v>
      </c>
      <c r="C4065" s="119" t="s">
        <v>1256</v>
      </c>
      <c r="D4065" s="119" t="s">
        <v>1256</v>
      </c>
      <c r="E4065" s="119" t="s">
        <v>4952</v>
      </c>
      <c r="F4065" s="119"/>
      <c r="G4065" s="207" t="s">
        <v>1258</v>
      </c>
      <c r="H4065" s="207" t="s">
        <v>1258</v>
      </c>
      <c r="I4065" s="207" t="s">
        <v>1258</v>
      </c>
      <c r="J4065" s="207" t="s">
        <v>1258</v>
      </c>
      <c r="K4065" s="207" t="s">
        <v>1258</v>
      </c>
      <c r="L4065" s="207"/>
      <c r="M4065" s="119"/>
      <c r="N4065" s="119"/>
      <c r="O4065" s="49"/>
      <c r="P4065" s="49"/>
      <c r="Q4065" s="119" t="s">
        <v>8195</v>
      </c>
    </row>
    <row r="4066" spans="1:17">
      <c r="A4066" s="119" t="s">
        <v>91</v>
      </c>
      <c r="B4066" s="119" t="s">
        <v>1255</v>
      </c>
      <c r="C4066" s="208" t="s">
        <v>1257</v>
      </c>
      <c r="D4066" s="119" t="s">
        <v>1257</v>
      </c>
      <c r="E4066" s="119" t="s">
        <v>4952</v>
      </c>
      <c r="F4066" s="119"/>
      <c r="G4066" s="207" t="s">
        <v>1258</v>
      </c>
      <c r="H4066" s="207" t="s">
        <v>1258</v>
      </c>
      <c r="I4066" s="207" t="s">
        <v>1258</v>
      </c>
      <c r="J4066" s="207" t="s">
        <v>1258</v>
      </c>
      <c r="K4066" s="207" t="s">
        <v>1258</v>
      </c>
      <c r="L4066" s="207"/>
      <c r="M4066" s="119"/>
      <c r="N4066" s="119"/>
      <c r="O4066" s="49"/>
      <c r="P4066" s="49" t="s">
        <v>14</v>
      </c>
      <c r="Q4066" s="119" t="s">
        <v>8195</v>
      </c>
    </row>
    <row r="4067" spans="1:17">
      <c r="A4067" s="119" t="s">
        <v>91</v>
      </c>
      <c r="B4067" s="119" t="s">
        <v>1259</v>
      </c>
      <c r="C4067" s="119" t="s">
        <v>1250</v>
      </c>
      <c r="D4067" s="119" t="s">
        <v>1250</v>
      </c>
      <c r="E4067" s="119" t="s">
        <v>4952</v>
      </c>
      <c r="F4067" s="119"/>
      <c r="G4067" s="207" t="s">
        <v>1258</v>
      </c>
      <c r="H4067" s="207" t="s">
        <v>1258</v>
      </c>
      <c r="I4067" s="207" t="s">
        <v>1258</v>
      </c>
      <c r="J4067" s="207" t="s">
        <v>1258</v>
      </c>
      <c r="K4067" s="207" t="s">
        <v>1258</v>
      </c>
      <c r="L4067" s="207"/>
      <c r="M4067" s="119"/>
      <c r="N4067" s="119"/>
      <c r="O4067" s="49"/>
      <c r="P4067" s="49"/>
      <c r="Q4067" s="119" t="s">
        <v>8196</v>
      </c>
    </row>
    <row r="4068" spans="1:17">
      <c r="A4068" s="119" t="s">
        <v>91</v>
      </c>
      <c r="B4068" s="119" t="s">
        <v>1259</v>
      </c>
      <c r="C4068" s="208" t="s">
        <v>1260</v>
      </c>
      <c r="D4068" s="119" t="s">
        <v>1260</v>
      </c>
      <c r="E4068" s="119" t="s">
        <v>4952</v>
      </c>
      <c r="F4068" s="119"/>
      <c r="G4068" s="207" t="s">
        <v>1258</v>
      </c>
      <c r="H4068" s="207" t="s">
        <v>1258</v>
      </c>
      <c r="I4068" s="207" t="s">
        <v>1258</v>
      </c>
      <c r="J4068" s="207" t="s">
        <v>1258</v>
      </c>
      <c r="K4068" s="207" t="s">
        <v>1258</v>
      </c>
      <c r="L4068" s="207"/>
      <c r="M4068" s="119"/>
      <c r="N4068" s="119"/>
      <c r="O4068" s="49"/>
      <c r="P4068" s="49" t="s">
        <v>14</v>
      </c>
      <c r="Q4068" s="119" t="s">
        <v>8196</v>
      </c>
    </row>
    <row r="4069" spans="1:17">
      <c r="A4069" s="119" t="s">
        <v>91</v>
      </c>
      <c r="B4069" s="119" t="s">
        <v>1261</v>
      </c>
      <c r="C4069" s="119" t="s">
        <v>1262</v>
      </c>
      <c r="D4069" s="119" t="s">
        <v>1262</v>
      </c>
      <c r="E4069" s="119" t="s">
        <v>4952</v>
      </c>
      <c r="F4069" s="119"/>
      <c r="G4069" s="207" t="s">
        <v>1258</v>
      </c>
      <c r="H4069" s="207" t="s">
        <v>1258</v>
      </c>
      <c r="I4069" s="207" t="s">
        <v>1258</v>
      </c>
      <c r="J4069" s="207" t="s">
        <v>1258</v>
      </c>
      <c r="K4069" s="207" t="s">
        <v>1258</v>
      </c>
      <c r="L4069" s="207"/>
      <c r="M4069" s="119"/>
      <c r="N4069" s="119"/>
      <c r="O4069" s="49"/>
      <c r="P4069" s="49"/>
      <c r="Q4069" s="119" t="s">
        <v>8197</v>
      </c>
    </row>
    <row r="4070" spans="1:17">
      <c r="A4070" s="119" t="s">
        <v>91</v>
      </c>
      <c r="B4070" s="119" t="s">
        <v>1261</v>
      </c>
      <c r="C4070" s="208" t="s">
        <v>1263</v>
      </c>
      <c r="D4070" s="119" t="s">
        <v>1263</v>
      </c>
      <c r="E4070" s="119" t="s">
        <v>4952</v>
      </c>
      <c r="F4070" s="119"/>
      <c r="G4070" s="207" t="s">
        <v>1258</v>
      </c>
      <c r="H4070" s="207" t="s">
        <v>1258</v>
      </c>
      <c r="I4070" s="207" t="s">
        <v>1258</v>
      </c>
      <c r="J4070" s="207" t="s">
        <v>1258</v>
      </c>
      <c r="K4070" s="207" t="s">
        <v>1258</v>
      </c>
      <c r="L4070" s="207"/>
      <c r="M4070" s="119"/>
      <c r="N4070" s="119"/>
      <c r="O4070" s="49"/>
      <c r="P4070" s="49" t="s">
        <v>14</v>
      </c>
      <c r="Q4070" s="119" t="s">
        <v>8197</v>
      </c>
    </row>
    <row r="4071" spans="1:17">
      <c r="A4071" s="119" t="s">
        <v>91</v>
      </c>
      <c r="B4071" s="119" t="s">
        <v>1264</v>
      </c>
      <c r="C4071" s="119" t="s">
        <v>1265</v>
      </c>
      <c r="D4071" s="119" t="s">
        <v>1265</v>
      </c>
      <c r="E4071" s="119" t="s">
        <v>4952</v>
      </c>
      <c r="F4071" s="119"/>
      <c r="G4071" s="207" t="s">
        <v>1258</v>
      </c>
      <c r="H4071" s="207" t="s">
        <v>1258</v>
      </c>
      <c r="I4071" s="207" t="s">
        <v>1258</v>
      </c>
      <c r="J4071" s="207" t="s">
        <v>1258</v>
      </c>
      <c r="K4071" s="207" t="s">
        <v>1258</v>
      </c>
      <c r="L4071" s="207"/>
      <c r="M4071" s="119"/>
      <c r="N4071" s="119"/>
      <c r="O4071" s="49"/>
      <c r="P4071" s="49"/>
      <c r="Q4071" s="119" t="s">
        <v>8198</v>
      </c>
    </row>
    <row r="4072" spans="1:17">
      <c r="A4072" s="119" t="s">
        <v>91</v>
      </c>
      <c r="B4072" s="119" t="s">
        <v>1264</v>
      </c>
      <c r="C4072" s="208" t="s">
        <v>1266</v>
      </c>
      <c r="D4072" s="119" t="s">
        <v>1266</v>
      </c>
      <c r="E4072" s="119" t="s">
        <v>4952</v>
      </c>
      <c r="F4072" s="119"/>
      <c r="G4072" s="207" t="s">
        <v>1258</v>
      </c>
      <c r="H4072" s="207" t="s">
        <v>1258</v>
      </c>
      <c r="I4072" s="207" t="s">
        <v>1258</v>
      </c>
      <c r="J4072" s="207" t="s">
        <v>1258</v>
      </c>
      <c r="K4072" s="207" t="s">
        <v>1258</v>
      </c>
      <c r="L4072" s="207"/>
      <c r="M4072" s="119"/>
      <c r="N4072" s="119"/>
      <c r="O4072" s="49"/>
      <c r="P4072" s="49" t="s">
        <v>14</v>
      </c>
      <c r="Q4072" s="119" t="s">
        <v>8198</v>
      </c>
    </row>
    <row r="4073" spans="1:17">
      <c r="A4073" s="119" t="s">
        <v>91</v>
      </c>
      <c r="B4073" s="119" t="s">
        <v>1267</v>
      </c>
      <c r="C4073" s="119" t="s">
        <v>1268</v>
      </c>
      <c r="D4073" s="119" t="s">
        <v>1268</v>
      </c>
      <c r="E4073" s="119" t="s">
        <v>4952</v>
      </c>
      <c r="F4073" s="119"/>
      <c r="G4073" s="207" t="s">
        <v>1258</v>
      </c>
      <c r="H4073" s="207" t="s">
        <v>1258</v>
      </c>
      <c r="I4073" s="207" t="s">
        <v>1258</v>
      </c>
      <c r="J4073" s="207" t="s">
        <v>1258</v>
      </c>
      <c r="K4073" s="207" t="s">
        <v>1258</v>
      </c>
      <c r="L4073" s="207"/>
      <c r="M4073" s="119"/>
      <c r="N4073" s="119"/>
      <c r="O4073" s="49"/>
      <c r="P4073" s="49"/>
      <c r="Q4073" s="119" t="s">
        <v>8199</v>
      </c>
    </row>
    <row r="4074" spans="1:17">
      <c r="A4074" s="119" t="s">
        <v>91</v>
      </c>
      <c r="B4074" s="119" t="s">
        <v>1267</v>
      </c>
      <c r="C4074" s="208" t="s">
        <v>1269</v>
      </c>
      <c r="D4074" s="119" t="s">
        <v>1269</v>
      </c>
      <c r="E4074" s="119" t="s">
        <v>4952</v>
      </c>
      <c r="F4074" s="119"/>
      <c r="G4074" s="207" t="s">
        <v>1258</v>
      </c>
      <c r="H4074" s="207" t="s">
        <v>1258</v>
      </c>
      <c r="I4074" s="207" t="s">
        <v>1258</v>
      </c>
      <c r="J4074" s="207" t="s">
        <v>1258</v>
      </c>
      <c r="K4074" s="207" t="s">
        <v>1258</v>
      </c>
      <c r="L4074" s="207"/>
      <c r="M4074" s="119"/>
      <c r="N4074" s="119"/>
      <c r="O4074" s="49"/>
      <c r="P4074" s="49" t="s">
        <v>14</v>
      </c>
      <c r="Q4074" s="119" t="s">
        <v>8199</v>
      </c>
    </row>
    <row r="4075" spans="1:17">
      <c r="A4075" s="119" t="s">
        <v>91</v>
      </c>
      <c r="B4075" s="119" t="s">
        <v>1270</v>
      </c>
      <c r="C4075" s="119" t="s">
        <v>1271</v>
      </c>
      <c r="D4075" s="119" t="s">
        <v>1271</v>
      </c>
      <c r="E4075" s="119" t="s">
        <v>4952</v>
      </c>
      <c r="F4075" s="119"/>
      <c r="G4075" s="207" t="s">
        <v>1258</v>
      </c>
      <c r="H4075" s="207" t="s">
        <v>1258</v>
      </c>
      <c r="I4075" s="207" t="s">
        <v>1258</v>
      </c>
      <c r="J4075" s="207" t="s">
        <v>1258</v>
      </c>
      <c r="K4075" s="207" t="s">
        <v>1258</v>
      </c>
      <c r="L4075" s="207"/>
      <c r="M4075" s="119"/>
      <c r="N4075" s="119"/>
      <c r="O4075" s="49"/>
      <c r="P4075" s="49"/>
      <c r="Q4075" s="119" t="s">
        <v>8200</v>
      </c>
    </row>
    <row r="4076" spans="1:17">
      <c r="A4076" s="119" t="s">
        <v>91</v>
      </c>
      <c r="B4076" s="119" t="s">
        <v>1270</v>
      </c>
      <c r="C4076" s="208" t="s">
        <v>1272</v>
      </c>
      <c r="D4076" s="119" t="s">
        <v>1272</v>
      </c>
      <c r="E4076" s="119" t="s">
        <v>4952</v>
      </c>
      <c r="F4076" s="119"/>
      <c r="G4076" s="207" t="s">
        <v>1258</v>
      </c>
      <c r="H4076" s="207" t="s">
        <v>1258</v>
      </c>
      <c r="I4076" s="207" t="s">
        <v>1258</v>
      </c>
      <c r="J4076" s="207" t="s">
        <v>1258</v>
      </c>
      <c r="K4076" s="207" t="s">
        <v>1258</v>
      </c>
      <c r="L4076" s="207"/>
      <c r="M4076" s="119"/>
      <c r="N4076" s="119"/>
      <c r="O4076" s="49"/>
      <c r="P4076" s="49" t="s">
        <v>14</v>
      </c>
      <c r="Q4076" s="119" t="s">
        <v>8200</v>
      </c>
    </row>
    <row r="4077" spans="1:17">
      <c r="A4077" s="119" t="s">
        <v>91</v>
      </c>
      <c r="B4077" s="119" t="s">
        <v>638</v>
      </c>
      <c r="C4077" s="119" t="s">
        <v>640</v>
      </c>
      <c r="D4077" s="119" t="s">
        <v>640</v>
      </c>
      <c r="E4077" s="119" t="s">
        <v>4952</v>
      </c>
      <c r="F4077" s="119"/>
      <c r="G4077" s="207" t="s">
        <v>1258</v>
      </c>
      <c r="H4077" s="207" t="s">
        <v>1258</v>
      </c>
      <c r="I4077" s="207" t="s">
        <v>1258</v>
      </c>
      <c r="J4077" s="207" t="s">
        <v>1258</v>
      </c>
      <c r="K4077" s="207" t="s">
        <v>1258</v>
      </c>
      <c r="L4077" s="207"/>
      <c r="M4077" s="119"/>
      <c r="N4077" s="119"/>
      <c r="O4077" s="49"/>
      <c r="P4077" s="49"/>
      <c r="Q4077" s="119" t="s">
        <v>8201</v>
      </c>
    </row>
    <row r="4078" spans="1:17">
      <c r="A4078" s="119" t="s">
        <v>91</v>
      </c>
      <c r="B4078" s="119" t="s">
        <v>638</v>
      </c>
      <c r="C4078" s="208" t="s">
        <v>1274</v>
      </c>
      <c r="D4078" s="119" t="s">
        <v>1274</v>
      </c>
      <c r="E4078" s="119" t="s">
        <v>4952</v>
      </c>
      <c r="F4078" s="119"/>
      <c r="G4078" s="207" t="s">
        <v>1258</v>
      </c>
      <c r="H4078" s="207" t="s">
        <v>1258</v>
      </c>
      <c r="I4078" s="207" t="s">
        <v>1258</v>
      </c>
      <c r="J4078" s="207" t="s">
        <v>1258</v>
      </c>
      <c r="K4078" s="207" t="s">
        <v>1258</v>
      </c>
      <c r="L4078" s="207"/>
      <c r="M4078" s="119"/>
      <c r="N4078" s="119"/>
      <c r="O4078" s="49"/>
      <c r="P4078" s="49" t="s">
        <v>14</v>
      </c>
      <c r="Q4078" s="119" t="s">
        <v>8201</v>
      </c>
    </row>
  </sheetData>
  <autoFilter ref="A1:R4078">
    <extLst/>
  </autoFilter>
  <mergeCells count="1">
    <mergeCell ref="L2658:L2661"/>
  </mergeCells>
  <conditionalFormatting sqref="P1851">
    <cfRule type="cellIs" dxfId="1" priority="18" stopIfTrue="1" operator="notEqual">
      <formula>O1851</formula>
    </cfRule>
  </conditionalFormatting>
  <conditionalFormatting sqref="P2349">
    <cfRule type="cellIs" dxfId="1" priority="16" stopIfTrue="1" operator="notEqual">
      <formula>O2349</formula>
    </cfRule>
  </conditionalFormatting>
  <conditionalFormatting sqref="P3154">
    <cfRule type="cellIs" dxfId="1" priority="19" stopIfTrue="1" operator="notEqual">
      <formula>O3154</formula>
    </cfRule>
  </conditionalFormatting>
  <conditionalFormatting sqref="B4042">
    <cfRule type="duplicateValues" dxfId="0" priority="8"/>
  </conditionalFormatting>
  <conditionalFormatting sqref="J3335:J3338">
    <cfRule type="cellIs" dxfId="1" priority="66" stopIfTrue="1" operator="notEqual">
      <formula>#REF!</formula>
    </cfRule>
  </conditionalFormatting>
  <conditionalFormatting sqref="J3339:J3341">
    <cfRule type="cellIs" dxfId="1" priority="56" stopIfTrue="1" operator="notEqual">
      <formula>#REF!</formula>
    </cfRule>
  </conditionalFormatting>
  <conditionalFormatting sqref="J3339:J3345">
    <cfRule type="cellIs" dxfId="1" priority="58" stopIfTrue="1" operator="notEqual">
      <formula>#REF!</formula>
    </cfRule>
  </conditionalFormatting>
  <conditionalFormatting sqref="J3343:J3371">
    <cfRule type="cellIs" dxfId="1" priority="60" stopIfTrue="1" operator="notEqual">
      <formula>#REF!</formula>
    </cfRule>
  </conditionalFormatting>
  <conditionalFormatting sqref="J3372:J3388">
    <cfRule type="cellIs" dxfId="1" priority="40" stopIfTrue="1" operator="notEqual">
      <formula>#REF!</formula>
    </cfRule>
  </conditionalFormatting>
  <conditionalFormatting sqref="P2229:P2246">
    <cfRule type="cellIs" dxfId="1" priority="17" stopIfTrue="1" operator="notEqual">
      <formula>O2229</formula>
    </cfRule>
  </conditionalFormatting>
  <conditionalFormatting sqref="P2648:P2649">
    <cfRule type="cellIs" dxfId="1" priority="15" stopIfTrue="1" operator="notEqual">
      <formula>O2648</formula>
    </cfRule>
  </conditionalFormatting>
  <conditionalFormatting sqref="P2849:P2852">
    <cfRule type="cellIs" dxfId="1" priority="2" stopIfTrue="1" operator="notEqual">
      <formula>O2849</formula>
    </cfRule>
  </conditionalFormatting>
  <conditionalFormatting sqref="P3465:P3471">
    <cfRule type="cellIs" dxfId="1" priority="20" stopIfTrue="1" operator="notEqual">
      <formula>O3465</formula>
    </cfRule>
  </conditionalFormatting>
  <conditionalFormatting sqref="P3955:P3975">
    <cfRule type="cellIs" dxfId="1" priority="12" stopIfTrue="1" operator="notEqual">
      <formula>O3955</formula>
    </cfRule>
  </conditionalFormatting>
  <conditionalFormatting sqref="P3977:P3982">
    <cfRule type="cellIs" dxfId="1" priority="11" stopIfTrue="1" operator="notEqual">
      <formula>O3977</formula>
    </cfRule>
  </conditionalFormatting>
  <conditionalFormatting sqref="P3990:P3991">
    <cfRule type="cellIs" dxfId="1" priority="4" stopIfTrue="1" operator="notEqual">
      <formula>O3990</formula>
    </cfRule>
  </conditionalFormatting>
  <conditionalFormatting sqref="P3992:P3995">
    <cfRule type="cellIs" dxfId="1" priority="3" stopIfTrue="1" operator="notEqual">
      <formula>O3992</formula>
    </cfRule>
  </conditionalFormatting>
  <conditionalFormatting sqref="P2:P1850 P1852:P2228 P2247:P2348 P2350:P2647 P2650:P2844 P2857:P3153 P3155:P3463">
    <cfRule type="cellIs" dxfId="1" priority="21" stopIfTrue="1" operator="notEqual">
      <formula>O2</formula>
    </cfRule>
  </conditionalFormatting>
  <conditionalFormatting sqref="P2845:P2848 P2853:P2856">
    <cfRule type="cellIs" dxfId="1" priority="13" stopIfTrue="1" operator="notEqual">
      <formula>O2845</formula>
    </cfRule>
  </conditionalFormatting>
  <conditionalFormatting sqref="P3473:P3492 P3496:P3529 P3531:P3643 P3647:P3954 P3976 P3983:P3989 P3996:P4045 P4079:P1048576">
    <cfRule type="cellIs" dxfId="1" priority="24" stopIfTrue="1" operator="notEqual">
      <formula>O3473</formula>
    </cfRule>
  </conditionalFormatting>
  <conditionalFormatting sqref="P3493:P3495 P3530 P3644:P3646">
    <cfRule type="cellIs" dxfId="1" priority="14" stopIfTrue="1" operator="notEqual">
      <formula>O3493</formula>
    </cfRule>
  </conditionalFormatting>
  <conditionalFormatting sqref="O4046:P4078">
    <cfRule type="cellIs" dxfId="1" priority="1" stopIfTrue="1" operator="notEqual">
      <formula>N4046</formula>
    </cfRule>
  </conditionalFormatting>
  <dataValidations count="12">
    <dataValidation type="list" allowBlank="1" showInputMessage="1" showErrorMessage="1" sqref="B1 B4079:B1048576">
      <formula1>INDIRECT("支线管道!C2:C320")</formula1>
    </dataValidation>
    <dataValidation type="list" allowBlank="1" showInputMessage="1" showErrorMessage="1" sqref="O268:P268 O2:O267 O269:O3606 O3607:O3613 O3614:O3950 P3464:P3472 P3571:P3572">
      <formula1>"压气站,分输站,其他站,监控阀室,监视阀室,普通阀室,干线开口"</formula1>
    </dataValidation>
    <dataValidation type="list" allowBlank="1" showInputMessage="1" showErrorMessage="1" sqref="D617 D607:D609">
      <formula1>INDIRECT("站场阀室!$A$2:$A$2800")</formula1>
    </dataValidation>
    <dataValidation type="list" allowBlank="1" showInputMessage="1" showErrorMessage="1" sqref="D905">
      <formula1>INDIRECT("站场阀室!$A$2:$A$3300")</formula1>
    </dataValidation>
    <dataValidation type="list" allowBlank="1" showInputMessage="1" showErrorMessage="1" sqref="A2:A1151 A1152:A1190 A1191:A3260 A3261:A3334 A3335:A3472 A3473:A3606 A3607:A3613 A3614:A3654 A3655:A3954 A3955:A4084">
      <formula1>INDIRECT("干线管道!B2:B95")</formula1>
    </dataValidation>
    <dataValidation type="list" allowBlank="1" showInputMessage="1" showErrorMessage="1" sqref="B2:B3606 B3607:B3613 B3614:B3954">
      <formula1>INDIRECT("支线管道!C2:C400")</formula1>
    </dataValidation>
    <dataValidation type="list" allowBlank="1" showInputMessage="1" showErrorMessage="1" sqref="B4046:B4048 B4062:B4078">
      <formula1>INDIRECT("支线管道!C2:C410")</formula1>
    </dataValidation>
    <dataValidation type="list" allowBlank="1" showInputMessage="1" showErrorMessage="1" sqref="G3335:G3371 H3370:H3371">
      <formula1>INDIRECT("支线管道!C2:C220")</formula1>
    </dataValidation>
    <dataValidation type="list" allowBlank="1" showInputMessage="1" showErrorMessage="1" sqref="L3335:L3371">
      <formula1>INDIRECT("地区公司!B2:B10")</formula1>
    </dataValidation>
    <dataValidation type="list" allowBlank="1" showInputMessage="1" showErrorMessage="1" sqref="O3951:O3954">
      <formula1>"气站,分输站,其他站,监控阀室,监视阀室,普通阀室,干线开口"</formula1>
    </dataValidation>
    <dataValidation type="list" allowBlank="1" showInputMessage="1" showErrorMessage="1" sqref="P2:P267 P269:P3463 P3473:P3570 P3573:P3606 P3607:P3613 P3614:P3954 O4046:P4078">
      <formula1>"压气站,分输站,其他站,代管站,监控阀室,监视阀室,普通阀室,干线开口"</formula1>
    </dataValidation>
    <dataValidation type="list" allowBlank="1" showInputMessage="1" showErrorMessage="1" sqref="T3335:T3371">
      <formula1>INDIRECT("调度台!B2:B9")</formula1>
    </dataValidation>
  </dataValidations>
  <hyperlinks>
    <hyperlink ref="A621" location="西气东输二线支线!A1" display="西气东输二线"/>
  </hyperlinks>
  <pageMargins left="0.75" right="0.75" top="1" bottom="1" header="0.5" footer="0.5"/>
  <pageSetup paperSize="9" scale="33" fitToHeight="0" orientation="portrait"/>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1646"/>
  <sheetViews>
    <sheetView zoomScale="85" zoomScaleNormal="85" workbookViewId="0">
      <pane ySplit="1" topLeftCell="A2" activePane="bottomLeft" state="frozen"/>
      <selection/>
      <selection pane="bottomLeft" activeCell="E10" sqref="E10"/>
    </sheetView>
  </sheetViews>
  <sheetFormatPr defaultColWidth="21.3333333333333" defaultRowHeight="14"/>
  <cols>
    <col min="1" max="1" width="25.625" style="90" customWidth="1"/>
    <col min="2" max="2" width="25.4416666666667" style="90" customWidth="1"/>
    <col min="3" max="3" width="16.5833333333333" style="90" customWidth="1"/>
    <col min="4" max="4" width="12.75" style="90" customWidth="1"/>
    <col min="5" max="5" width="13.5" style="90" customWidth="1"/>
    <col min="6" max="6" width="22.3416666666667" style="90" customWidth="1"/>
    <col min="7" max="7" width="11.5833333333333" style="90" customWidth="1"/>
    <col min="8" max="8" width="16" style="90" customWidth="1"/>
    <col min="9" max="9" width="12.1666666666667" style="90" customWidth="1"/>
    <col min="10" max="10" width="14.25" style="90" customWidth="1"/>
    <col min="11" max="11" width="8.58333333333333" style="95" customWidth="1"/>
    <col min="12" max="16375" width="21.3333333333333" style="90" customWidth="1"/>
    <col min="16376" max="16384" width="21.3333333333333" style="90"/>
  </cols>
  <sheetData>
    <row r="1" ht="45" spans="1:11">
      <c r="A1" s="96" t="s">
        <v>8202</v>
      </c>
      <c r="B1" s="96" t="s">
        <v>8203</v>
      </c>
      <c r="C1" s="96" t="s">
        <v>8204</v>
      </c>
      <c r="D1" s="96" t="s">
        <v>8205</v>
      </c>
      <c r="E1" s="96" t="s">
        <v>8206</v>
      </c>
      <c r="F1" s="96" t="s">
        <v>8207</v>
      </c>
      <c r="G1" s="96" t="s">
        <v>107</v>
      </c>
      <c r="H1" s="97" t="s">
        <v>8208</v>
      </c>
      <c r="I1" s="97" t="s">
        <v>8209</v>
      </c>
      <c r="J1" s="97" t="s">
        <v>8210</v>
      </c>
      <c r="K1" s="102" t="s">
        <v>8211</v>
      </c>
    </row>
    <row r="2" ht="15" spans="1:11">
      <c r="A2" s="98" t="s">
        <v>33</v>
      </c>
      <c r="B2" s="99" t="s">
        <v>8212</v>
      </c>
      <c r="C2" s="98" t="s">
        <v>8213</v>
      </c>
      <c r="D2" s="98" t="s">
        <v>4</v>
      </c>
      <c r="E2" s="98" t="s">
        <v>8214</v>
      </c>
      <c r="F2" s="98"/>
      <c r="G2" s="98" t="s">
        <v>112</v>
      </c>
      <c r="H2" s="100" t="s">
        <v>8215</v>
      </c>
      <c r="I2" s="100" t="s">
        <v>8215</v>
      </c>
      <c r="J2" s="100" t="s">
        <v>8216</v>
      </c>
      <c r="K2" s="107"/>
    </row>
    <row r="3" ht="15" spans="1:11">
      <c r="A3" s="98" t="s">
        <v>33</v>
      </c>
      <c r="B3" s="99" t="s">
        <v>8217</v>
      </c>
      <c r="C3" s="98" t="s">
        <v>8218</v>
      </c>
      <c r="D3" s="101" t="s">
        <v>4</v>
      </c>
      <c r="E3" s="101" t="s">
        <v>8219</v>
      </c>
      <c r="F3" s="98"/>
      <c r="G3" s="98" t="s">
        <v>112</v>
      </c>
      <c r="H3" s="100" t="s">
        <v>8215</v>
      </c>
      <c r="I3" s="100" t="s">
        <v>8215</v>
      </c>
      <c r="J3" s="100" t="s">
        <v>8220</v>
      </c>
      <c r="K3" s="107"/>
    </row>
    <row r="4" ht="30" spans="1:11">
      <c r="A4" s="98" t="s">
        <v>33</v>
      </c>
      <c r="B4" s="99" t="s">
        <v>8221</v>
      </c>
      <c r="C4" s="98" t="s">
        <v>8218</v>
      </c>
      <c r="D4" s="101" t="s">
        <v>4</v>
      </c>
      <c r="E4" s="101" t="s">
        <v>8219</v>
      </c>
      <c r="F4" s="98"/>
      <c r="G4" s="98" t="s">
        <v>112</v>
      </c>
      <c r="H4" s="100" t="s">
        <v>8215</v>
      </c>
      <c r="I4" s="100" t="s">
        <v>8215</v>
      </c>
      <c r="J4" s="100" t="s">
        <v>8220</v>
      </c>
      <c r="K4" s="107"/>
    </row>
    <row r="5" ht="15" spans="1:11">
      <c r="A5" s="98" t="s">
        <v>33</v>
      </c>
      <c r="B5" s="99" t="s">
        <v>8222</v>
      </c>
      <c r="C5" s="98" t="s">
        <v>8218</v>
      </c>
      <c r="D5" s="101" t="s">
        <v>4</v>
      </c>
      <c r="E5" s="101" t="s">
        <v>8223</v>
      </c>
      <c r="F5" s="98"/>
      <c r="G5" s="98" t="s">
        <v>112</v>
      </c>
      <c r="H5" s="100" t="s">
        <v>8215</v>
      </c>
      <c r="I5" s="100" t="s">
        <v>8215</v>
      </c>
      <c r="J5" s="100" t="s">
        <v>8220</v>
      </c>
      <c r="K5" s="107"/>
    </row>
    <row r="6" ht="15" spans="1:11">
      <c r="A6" s="98" t="s">
        <v>33</v>
      </c>
      <c r="B6" s="99" t="s">
        <v>8224</v>
      </c>
      <c r="C6" s="98" t="s">
        <v>8225</v>
      </c>
      <c r="D6" s="101" t="s">
        <v>5</v>
      </c>
      <c r="E6" s="101" t="s">
        <v>8226</v>
      </c>
      <c r="F6" s="98"/>
      <c r="G6" s="98" t="s">
        <v>112</v>
      </c>
      <c r="H6" s="100"/>
      <c r="I6" s="100"/>
      <c r="J6" s="100" t="s">
        <v>8227</v>
      </c>
      <c r="K6" s="107"/>
    </row>
    <row r="7" ht="15" spans="1:11">
      <c r="A7" s="98" t="s">
        <v>33</v>
      </c>
      <c r="B7" s="99" t="s">
        <v>8228</v>
      </c>
      <c r="C7" s="98" t="s">
        <v>8229</v>
      </c>
      <c r="D7" s="101" t="s">
        <v>4</v>
      </c>
      <c r="E7" s="101" t="s">
        <v>8230</v>
      </c>
      <c r="F7" s="98"/>
      <c r="G7" s="98" t="s">
        <v>112</v>
      </c>
      <c r="H7" s="100" t="s">
        <v>8215</v>
      </c>
      <c r="I7" s="100"/>
      <c r="J7" s="100" t="s">
        <v>8220</v>
      </c>
      <c r="K7" s="107"/>
    </row>
    <row r="8" ht="15" spans="1:11">
      <c r="A8" s="98" t="s">
        <v>33</v>
      </c>
      <c r="B8" s="99" t="s">
        <v>8231</v>
      </c>
      <c r="C8" s="98" t="s">
        <v>8218</v>
      </c>
      <c r="D8" s="101" t="s">
        <v>4</v>
      </c>
      <c r="E8" s="101" t="s">
        <v>8232</v>
      </c>
      <c r="F8" s="98"/>
      <c r="G8" s="98" t="s">
        <v>112</v>
      </c>
      <c r="H8" s="100" t="s">
        <v>8215</v>
      </c>
      <c r="I8" s="100" t="s">
        <v>8215</v>
      </c>
      <c r="J8" s="100" t="s">
        <v>8220</v>
      </c>
      <c r="K8" s="107"/>
    </row>
    <row r="9" ht="30" spans="1:11">
      <c r="A9" s="101" t="s">
        <v>43</v>
      </c>
      <c r="B9" s="99" t="s">
        <v>8233</v>
      </c>
      <c r="C9" s="98" t="s">
        <v>8218</v>
      </c>
      <c r="D9" s="101" t="s">
        <v>4</v>
      </c>
      <c r="E9" s="101" t="s">
        <v>8234</v>
      </c>
      <c r="F9" s="98"/>
      <c r="G9" s="98" t="s">
        <v>112</v>
      </c>
      <c r="H9" s="100" t="s">
        <v>8215</v>
      </c>
      <c r="I9" s="100" t="s">
        <v>8215</v>
      </c>
      <c r="J9" s="100" t="s">
        <v>8220</v>
      </c>
      <c r="K9" s="107"/>
    </row>
    <row r="10" ht="15" spans="1:11">
      <c r="A10" s="101" t="s">
        <v>33</v>
      </c>
      <c r="B10" s="99" t="s">
        <v>8235</v>
      </c>
      <c r="C10" s="98" t="s">
        <v>8218</v>
      </c>
      <c r="D10" s="101" t="s">
        <v>4</v>
      </c>
      <c r="E10" s="101" t="s">
        <v>8236</v>
      </c>
      <c r="F10" s="98"/>
      <c r="G10" s="98" t="s">
        <v>112</v>
      </c>
      <c r="H10" s="100" t="s">
        <v>8215</v>
      </c>
      <c r="I10" s="100" t="s">
        <v>8215</v>
      </c>
      <c r="J10" s="100" t="s">
        <v>8220</v>
      </c>
      <c r="K10" s="107"/>
    </row>
    <row r="11" ht="15" spans="1:11">
      <c r="A11" s="101" t="s">
        <v>33</v>
      </c>
      <c r="B11" s="99" t="s">
        <v>8237</v>
      </c>
      <c r="C11" s="98" t="s">
        <v>8218</v>
      </c>
      <c r="D11" s="101" t="s">
        <v>4</v>
      </c>
      <c r="E11" s="101" t="s">
        <v>8236</v>
      </c>
      <c r="F11" s="98"/>
      <c r="G11" s="98" t="s">
        <v>112</v>
      </c>
      <c r="H11" s="100" t="s">
        <v>8215</v>
      </c>
      <c r="I11" s="100" t="s">
        <v>8215</v>
      </c>
      <c r="J11" s="100" t="s">
        <v>8220</v>
      </c>
      <c r="K11" s="107"/>
    </row>
    <row r="12" ht="15" spans="1:11">
      <c r="A12" s="101" t="s">
        <v>33</v>
      </c>
      <c r="B12" s="99" t="s">
        <v>8238</v>
      </c>
      <c r="C12" s="98" t="s">
        <v>8218</v>
      </c>
      <c r="D12" s="101" t="s">
        <v>4</v>
      </c>
      <c r="E12" s="101" t="s">
        <v>8236</v>
      </c>
      <c r="F12" s="98"/>
      <c r="G12" s="98" t="s">
        <v>112</v>
      </c>
      <c r="H12" s="100" t="s">
        <v>8215</v>
      </c>
      <c r="I12" s="100" t="s">
        <v>8215</v>
      </c>
      <c r="J12" s="100" t="s">
        <v>8220</v>
      </c>
      <c r="K12" s="107"/>
    </row>
    <row r="13" ht="15" spans="1:11">
      <c r="A13" s="101" t="s">
        <v>33</v>
      </c>
      <c r="B13" s="99" t="s">
        <v>8239</v>
      </c>
      <c r="C13" s="101" t="s">
        <v>8240</v>
      </c>
      <c r="D13" s="98" t="s">
        <v>4</v>
      </c>
      <c r="E13" s="98" t="s">
        <v>8236</v>
      </c>
      <c r="F13" s="98"/>
      <c r="G13" s="98" t="s">
        <v>112</v>
      </c>
      <c r="H13" s="100" t="s">
        <v>8215</v>
      </c>
      <c r="I13" s="100" t="s">
        <v>8215</v>
      </c>
      <c r="J13" s="100" t="s">
        <v>8220</v>
      </c>
      <c r="K13" s="107"/>
    </row>
    <row r="14" ht="15" spans="1:11">
      <c r="A14" s="101" t="s">
        <v>33</v>
      </c>
      <c r="B14" s="99" t="s">
        <v>8241</v>
      </c>
      <c r="C14" s="101" t="s">
        <v>8240</v>
      </c>
      <c r="D14" s="101" t="s">
        <v>5</v>
      </c>
      <c r="E14" s="101" t="s">
        <v>8242</v>
      </c>
      <c r="F14" s="98"/>
      <c r="G14" s="98" t="s">
        <v>112</v>
      </c>
      <c r="H14" s="100" t="s">
        <v>8215</v>
      </c>
      <c r="I14" s="100" t="s">
        <v>8215</v>
      </c>
      <c r="J14" s="100" t="s">
        <v>8220</v>
      </c>
      <c r="K14" s="107"/>
    </row>
    <row r="15" ht="30" spans="1:11">
      <c r="A15" s="101" t="s">
        <v>33</v>
      </c>
      <c r="B15" s="99" t="s">
        <v>8243</v>
      </c>
      <c r="C15" s="98" t="s">
        <v>8244</v>
      </c>
      <c r="D15" s="101" t="s">
        <v>4</v>
      </c>
      <c r="E15" s="101" t="s">
        <v>8245</v>
      </c>
      <c r="F15" s="98"/>
      <c r="G15" s="98" t="s">
        <v>112</v>
      </c>
      <c r="H15" s="100" t="s">
        <v>8215</v>
      </c>
      <c r="I15" s="100" t="s">
        <v>8215</v>
      </c>
      <c r="J15" s="100" t="s">
        <v>8220</v>
      </c>
      <c r="K15" s="107"/>
    </row>
    <row r="16" ht="15" spans="1:11">
      <c r="A16" s="101" t="s">
        <v>33</v>
      </c>
      <c r="B16" s="100" t="s">
        <v>8246</v>
      </c>
      <c r="C16" s="98" t="s">
        <v>8244</v>
      </c>
      <c r="D16" s="101" t="s">
        <v>4</v>
      </c>
      <c r="E16" s="101" t="s">
        <v>8245</v>
      </c>
      <c r="F16" s="98"/>
      <c r="G16" s="98" t="s">
        <v>112</v>
      </c>
      <c r="H16" s="100" t="s">
        <v>8247</v>
      </c>
      <c r="I16" s="100" t="s">
        <v>8215</v>
      </c>
      <c r="J16" s="100" t="s">
        <v>8248</v>
      </c>
      <c r="K16" s="107"/>
    </row>
    <row r="17" ht="15" spans="1:11">
      <c r="A17" s="101" t="s">
        <v>33</v>
      </c>
      <c r="B17" s="99" t="s">
        <v>8249</v>
      </c>
      <c r="C17" s="98" t="s">
        <v>8244</v>
      </c>
      <c r="D17" s="101" t="s">
        <v>4</v>
      </c>
      <c r="E17" s="101" t="s">
        <v>8245</v>
      </c>
      <c r="F17" s="98"/>
      <c r="G17" s="98" t="s">
        <v>112</v>
      </c>
      <c r="H17" s="100" t="s">
        <v>8215</v>
      </c>
      <c r="I17" s="100" t="s">
        <v>8215</v>
      </c>
      <c r="J17" s="100" t="s">
        <v>8220</v>
      </c>
      <c r="K17" s="107"/>
    </row>
    <row r="18" ht="15" spans="1:11">
      <c r="A18" s="101" t="s">
        <v>33</v>
      </c>
      <c r="B18" s="99" t="s">
        <v>8250</v>
      </c>
      <c r="C18" s="98" t="s">
        <v>8225</v>
      </c>
      <c r="D18" s="101" t="s">
        <v>5</v>
      </c>
      <c r="E18" s="101" t="s">
        <v>8251</v>
      </c>
      <c r="F18" s="98"/>
      <c r="G18" s="98" t="s">
        <v>112</v>
      </c>
      <c r="H18" s="100" t="s">
        <v>8252</v>
      </c>
      <c r="I18" s="100" t="s">
        <v>8215</v>
      </c>
      <c r="J18" s="100" t="s">
        <v>8253</v>
      </c>
      <c r="K18" s="107"/>
    </row>
    <row r="19" ht="15" spans="1:11">
      <c r="A19" s="101" t="s">
        <v>33</v>
      </c>
      <c r="B19" s="100" t="s">
        <v>8254</v>
      </c>
      <c r="C19" s="98" t="s">
        <v>8218</v>
      </c>
      <c r="D19" s="101" t="s">
        <v>4</v>
      </c>
      <c r="E19" s="101" t="s">
        <v>8255</v>
      </c>
      <c r="F19" s="98"/>
      <c r="G19" s="98" t="s">
        <v>112</v>
      </c>
      <c r="H19" s="102" t="s">
        <v>8215</v>
      </c>
      <c r="I19" s="100" t="s">
        <v>8215</v>
      </c>
      <c r="J19" s="102" t="s">
        <v>8256</v>
      </c>
      <c r="K19" s="107"/>
    </row>
    <row r="20" ht="15" spans="1:11">
      <c r="A20" s="101" t="s">
        <v>33</v>
      </c>
      <c r="B20" s="100" t="s">
        <v>8257</v>
      </c>
      <c r="C20" s="98" t="s">
        <v>8258</v>
      </c>
      <c r="D20" s="101" t="s">
        <v>4</v>
      </c>
      <c r="E20" s="101" t="s">
        <v>8255</v>
      </c>
      <c r="F20" s="98"/>
      <c r="G20" s="98" t="s">
        <v>112</v>
      </c>
      <c r="H20" s="102" t="s">
        <v>8247</v>
      </c>
      <c r="I20" s="100" t="s">
        <v>8247</v>
      </c>
      <c r="J20" s="108" t="s">
        <v>8259</v>
      </c>
      <c r="K20" s="107"/>
    </row>
    <row r="21" ht="30" spans="1:11">
      <c r="A21" s="101" t="s">
        <v>33</v>
      </c>
      <c r="B21" s="99" t="s">
        <v>8260</v>
      </c>
      <c r="C21" s="98" t="s">
        <v>8244</v>
      </c>
      <c r="D21" s="101" t="s">
        <v>4</v>
      </c>
      <c r="E21" s="101" t="s">
        <v>8261</v>
      </c>
      <c r="F21" s="98"/>
      <c r="G21" s="98" t="s">
        <v>112</v>
      </c>
      <c r="H21" s="100" t="s">
        <v>8252</v>
      </c>
      <c r="I21" s="100" t="s">
        <v>8252</v>
      </c>
      <c r="J21" s="100" t="s">
        <v>8220</v>
      </c>
      <c r="K21" s="107"/>
    </row>
    <row r="22" ht="15" spans="1:11">
      <c r="A22" s="101" t="s">
        <v>33</v>
      </c>
      <c r="B22" s="99" t="s">
        <v>8262</v>
      </c>
      <c r="C22" s="98" t="s">
        <v>8244</v>
      </c>
      <c r="D22" s="101" t="s">
        <v>4</v>
      </c>
      <c r="E22" s="101" t="s">
        <v>8261</v>
      </c>
      <c r="F22" s="98"/>
      <c r="G22" s="98" t="s">
        <v>112</v>
      </c>
      <c r="H22" s="100" t="s">
        <v>8215</v>
      </c>
      <c r="I22" s="100" t="s">
        <v>8215</v>
      </c>
      <c r="J22" s="100" t="s">
        <v>8220</v>
      </c>
      <c r="K22" s="107"/>
    </row>
    <row r="23" ht="15" spans="1:11">
      <c r="A23" s="101" t="s">
        <v>33</v>
      </c>
      <c r="B23" s="99" t="s">
        <v>8263</v>
      </c>
      <c r="C23" s="98" t="s">
        <v>8244</v>
      </c>
      <c r="D23" s="101" t="s">
        <v>4</v>
      </c>
      <c r="E23" s="101" t="s">
        <v>8261</v>
      </c>
      <c r="F23" s="98"/>
      <c r="G23" s="98" t="s">
        <v>112</v>
      </c>
      <c r="H23" s="100" t="s">
        <v>8215</v>
      </c>
      <c r="I23" s="100" t="s">
        <v>8215</v>
      </c>
      <c r="J23" s="100" t="s">
        <v>8264</v>
      </c>
      <c r="K23" s="107"/>
    </row>
    <row r="24" ht="30" spans="1:11">
      <c r="A24" s="101" t="s">
        <v>33</v>
      </c>
      <c r="B24" s="99" t="s">
        <v>8265</v>
      </c>
      <c r="C24" s="98" t="s">
        <v>8244</v>
      </c>
      <c r="D24" s="101" t="s">
        <v>4</v>
      </c>
      <c r="E24" s="101" t="s">
        <v>8266</v>
      </c>
      <c r="F24" s="98"/>
      <c r="G24" s="98" t="s">
        <v>112</v>
      </c>
      <c r="H24" s="100" t="s">
        <v>8252</v>
      </c>
      <c r="I24" s="100" t="s">
        <v>8252</v>
      </c>
      <c r="J24" s="100" t="s">
        <v>8220</v>
      </c>
      <c r="K24" s="107"/>
    </row>
    <row r="25" ht="15" spans="1:11">
      <c r="A25" s="101" t="s">
        <v>33</v>
      </c>
      <c r="B25" s="99" t="s">
        <v>8267</v>
      </c>
      <c r="C25" s="98" t="s">
        <v>8244</v>
      </c>
      <c r="D25" s="101" t="s">
        <v>4</v>
      </c>
      <c r="E25" s="101" t="s">
        <v>8266</v>
      </c>
      <c r="F25" s="98"/>
      <c r="G25" s="98" t="s">
        <v>112</v>
      </c>
      <c r="H25" s="100" t="s">
        <v>8215</v>
      </c>
      <c r="I25" s="100" t="s">
        <v>8215</v>
      </c>
      <c r="J25" s="100" t="s">
        <v>8220</v>
      </c>
      <c r="K25" s="107"/>
    </row>
    <row r="26" ht="15" spans="1:11">
      <c r="A26" s="101" t="s">
        <v>33</v>
      </c>
      <c r="B26" s="100" t="s">
        <v>8268</v>
      </c>
      <c r="C26" s="98"/>
      <c r="D26" s="101" t="s">
        <v>4</v>
      </c>
      <c r="E26" s="101" t="s">
        <v>8269</v>
      </c>
      <c r="F26" s="98"/>
      <c r="G26" s="98" t="s">
        <v>112</v>
      </c>
      <c r="H26" s="100" t="s">
        <v>8252</v>
      </c>
      <c r="I26" s="100" t="s">
        <v>8252</v>
      </c>
      <c r="J26" s="100" t="s">
        <v>8270</v>
      </c>
      <c r="K26" s="107">
        <v>2024.3</v>
      </c>
    </row>
    <row r="27" s="89" customFormat="1" ht="30" spans="1:256">
      <c r="A27" s="101" t="s">
        <v>33</v>
      </c>
      <c r="B27" s="99" t="s">
        <v>8271</v>
      </c>
      <c r="C27" s="99" t="s">
        <v>8272</v>
      </c>
      <c r="D27" s="99" t="s">
        <v>4</v>
      </c>
      <c r="E27" s="99" t="s">
        <v>8269</v>
      </c>
      <c r="F27" s="99"/>
      <c r="G27" s="99" t="s">
        <v>112</v>
      </c>
      <c r="H27" s="99" t="s">
        <v>8215</v>
      </c>
      <c r="I27" s="99" t="s">
        <v>8215</v>
      </c>
      <c r="J27" s="99" t="s">
        <v>8273</v>
      </c>
      <c r="K27" s="109">
        <v>45929</v>
      </c>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c r="CD27" s="92"/>
      <c r="CE27" s="92"/>
      <c r="CF27" s="92"/>
      <c r="CG27" s="92"/>
      <c r="CH27" s="92"/>
      <c r="CI27" s="92"/>
      <c r="CJ27" s="92"/>
      <c r="CK27" s="92"/>
      <c r="CL27" s="92"/>
      <c r="CM27" s="92"/>
      <c r="CN27" s="92"/>
      <c r="CO27" s="92"/>
      <c r="CP27" s="92"/>
      <c r="CQ27" s="92"/>
      <c r="CR27" s="92"/>
      <c r="CS27" s="92"/>
      <c r="CT27" s="92"/>
      <c r="CU27" s="92"/>
      <c r="CV27" s="92"/>
      <c r="CW27" s="92"/>
      <c r="CX27" s="92"/>
      <c r="CY27" s="92"/>
      <c r="CZ27" s="92"/>
      <c r="DA27" s="92"/>
      <c r="DB27" s="92"/>
      <c r="DC27" s="92"/>
      <c r="DD27" s="92"/>
      <c r="DE27" s="92"/>
      <c r="DF27" s="92"/>
      <c r="DG27" s="92"/>
      <c r="DH27" s="92"/>
      <c r="DI27" s="92"/>
      <c r="DJ27" s="92"/>
      <c r="DK27" s="92"/>
      <c r="DL27" s="92"/>
      <c r="DM27" s="92"/>
      <c r="DN27" s="92"/>
      <c r="DO27" s="92"/>
      <c r="DP27" s="92"/>
      <c r="DQ27" s="92"/>
      <c r="DR27" s="92"/>
      <c r="DS27" s="92"/>
      <c r="DT27" s="92"/>
      <c r="DU27" s="92"/>
      <c r="DV27" s="92"/>
      <c r="DW27" s="92"/>
      <c r="DX27" s="92"/>
      <c r="DY27" s="92"/>
      <c r="DZ27" s="92"/>
      <c r="EA27" s="92"/>
      <c r="EB27" s="92"/>
      <c r="EC27" s="92"/>
      <c r="ED27" s="92"/>
      <c r="EE27" s="92"/>
      <c r="EF27" s="92"/>
      <c r="EG27" s="92"/>
      <c r="EH27" s="92"/>
      <c r="EI27" s="92"/>
      <c r="EJ27" s="92"/>
      <c r="EK27" s="92"/>
      <c r="EL27" s="92"/>
      <c r="EM27" s="92"/>
      <c r="EN27" s="92"/>
      <c r="EO27" s="92"/>
      <c r="EP27" s="92"/>
      <c r="EQ27" s="92"/>
      <c r="ER27" s="92"/>
      <c r="ES27" s="92"/>
      <c r="ET27" s="92"/>
      <c r="EU27" s="92"/>
      <c r="EV27" s="92"/>
      <c r="EW27" s="92"/>
      <c r="EX27" s="92"/>
      <c r="EY27" s="92"/>
      <c r="EZ27" s="92"/>
      <c r="FA27" s="92"/>
      <c r="FB27" s="92"/>
      <c r="FC27" s="92"/>
      <c r="FD27" s="92"/>
      <c r="FE27" s="92"/>
      <c r="FF27" s="92"/>
      <c r="FG27" s="92"/>
      <c r="FH27" s="92"/>
      <c r="FI27" s="92"/>
      <c r="FJ27" s="92"/>
      <c r="FK27" s="92"/>
      <c r="FL27" s="92"/>
      <c r="FM27" s="92"/>
      <c r="FN27" s="92"/>
      <c r="FO27" s="92"/>
      <c r="FP27" s="92"/>
      <c r="FQ27" s="92"/>
      <c r="FR27" s="92"/>
      <c r="FS27" s="92"/>
      <c r="FT27" s="92"/>
      <c r="FU27" s="92"/>
      <c r="FV27" s="92"/>
      <c r="FW27" s="92"/>
      <c r="FX27" s="92"/>
      <c r="FY27" s="92"/>
      <c r="FZ27" s="92"/>
      <c r="GA27" s="92"/>
      <c r="GB27" s="92"/>
      <c r="GC27" s="92"/>
      <c r="GD27" s="92"/>
      <c r="GE27" s="92"/>
      <c r="GF27" s="92"/>
      <c r="GG27" s="92"/>
      <c r="GH27" s="92"/>
      <c r="GI27" s="92"/>
      <c r="GJ27" s="92"/>
      <c r="GK27" s="92"/>
      <c r="GL27" s="92"/>
      <c r="GM27" s="92"/>
      <c r="GN27" s="92"/>
      <c r="GO27" s="92"/>
      <c r="GP27" s="92"/>
      <c r="GQ27" s="92"/>
      <c r="GR27" s="92"/>
      <c r="GS27" s="92"/>
      <c r="GT27" s="92"/>
      <c r="GU27" s="92"/>
      <c r="GV27" s="92"/>
      <c r="GW27" s="92"/>
      <c r="GX27" s="92"/>
      <c r="GY27" s="92"/>
      <c r="GZ27" s="92"/>
      <c r="HA27" s="92"/>
      <c r="HB27" s="92"/>
      <c r="HC27" s="92"/>
      <c r="HD27" s="92"/>
      <c r="HE27" s="92"/>
      <c r="HF27" s="92"/>
      <c r="HG27" s="92"/>
      <c r="HH27" s="92"/>
      <c r="HI27" s="92"/>
      <c r="HJ27" s="92"/>
      <c r="HK27" s="92"/>
      <c r="HL27" s="92"/>
      <c r="HM27" s="92"/>
      <c r="HN27" s="92"/>
      <c r="HO27" s="92"/>
      <c r="HP27" s="92"/>
      <c r="HQ27" s="92"/>
      <c r="HR27" s="92"/>
      <c r="HS27" s="92"/>
      <c r="HT27" s="92"/>
      <c r="HU27" s="92"/>
      <c r="HV27" s="92"/>
      <c r="HW27" s="92"/>
      <c r="HX27" s="92"/>
      <c r="HY27" s="92"/>
      <c r="HZ27" s="92"/>
      <c r="IA27" s="92"/>
      <c r="IB27" s="92"/>
      <c r="IC27" s="92"/>
      <c r="ID27" s="92"/>
      <c r="IE27" s="92"/>
      <c r="IF27" s="92"/>
      <c r="IG27" s="92"/>
      <c r="IH27" s="92"/>
      <c r="II27" s="92"/>
      <c r="IJ27" s="92"/>
      <c r="IK27" s="92"/>
      <c r="IL27" s="92"/>
      <c r="IM27" s="92"/>
      <c r="IN27" s="92"/>
      <c r="IO27" s="92"/>
      <c r="IP27" s="92"/>
      <c r="IQ27" s="92"/>
      <c r="IR27" s="92"/>
      <c r="IS27" s="92"/>
      <c r="IT27" s="92"/>
      <c r="IU27" s="92"/>
      <c r="IV27" s="92"/>
    </row>
    <row r="28" ht="15" spans="1:11">
      <c r="A28" s="101" t="s">
        <v>33</v>
      </c>
      <c r="B28" s="100" t="s">
        <v>8274</v>
      </c>
      <c r="C28" s="98" t="s">
        <v>8218</v>
      </c>
      <c r="D28" s="101" t="s">
        <v>5</v>
      </c>
      <c r="E28" s="101" t="s">
        <v>8275</v>
      </c>
      <c r="F28" s="98"/>
      <c r="G28" s="98" t="s">
        <v>112</v>
      </c>
      <c r="H28" s="100" t="s">
        <v>8215</v>
      </c>
      <c r="I28" s="100" t="s">
        <v>8215</v>
      </c>
      <c r="J28" s="100" t="s">
        <v>8220</v>
      </c>
      <c r="K28" s="107"/>
    </row>
    <row r="29" ht="15" spans="1:11">
      <c r="A29" s="101" t="s">
        <v>33</v>
      </c>
      <c r="B29" s="100" t="s">
        <v>8276</v>
      </c>
      <c r="C29" s="98"/>
      <c r="D29" s="101" t="s">
        <v>4</v>
      </c>
      <c r="E29" s="101" t="s">
        <v>8277</v>
      </c>
      <c r="F29" s="98"/>
      <c r="G29" s="98" t="s">
        <v>112</v>
      </c>
      <c r="H29" s="103" t="s">
        <v>8215</v>
      </c>
      <c r="I29" s="110" t="s">
        <v>8215</v>
      </c>
      <c r="J29" s="110" t="s">
        <v>8278</v>
      </c>
      <c r="K29" s="107">
        <v>2024.2</v>
      </c>
    </row>
    <row r="30" ht="15.5" spans="1:11">
      <c r="A30" s="101" t="s">
        <v>33</v>
      </c>
      <c r="B30" s="99" t="s">
        <v>8279</v>
      </c>
      <c r="C30" s="98" t="s">
        <v>8218</v>
      </c>
      <c r="D30" s="101" t="s">
        <v>5</v>
      </c>
      <c r="E30" s="101" t="s">
        <v>8280</v>
      </c>
      <c r="F30" s="98"/>
      <c r="G30" s="98" t="s">
        <v>112</v>
      </c>
      <c r="H30" s="104" t="s">
        <v>8215</v>
      </c>
      <c r="I30" s="111" t="s">
        <v>8215</v>
      </c>
      <c r="J30" s="111" t="s">
        <v>8220</v>
      </c>
      <c r="K30" s="107"/>
    </row>
    <row r="31" ht="15.5" spans="1:11">
      <c r="A31" s="101" t="s">
        <v>33</v>
      </c>
      <c r="B31" s="99" t="s">
        <v>8281</v>
      </c>
      <c r="C31" s="98" t="s">
        <v>8218</v>
      </c>
      <c r="D31" s="101" t="s">
        <v>4</v>
      </c>
      <c r="E31" s="101" t="s">
        <v>8282</v>
      </c>
      <c r="F31" s="98"/>
      <c r="G31" s="98" t="s">
        <v>112</v>
      </c>
      <c r="H31" s="104" t="s">
        <v>8215</v>
      </c>
      <c r="I31" s="111" t="s">
        <v>8215</v>
      </c>
      <c r="J31" s="111">
        <v>5.8</v>
      </c>
      <c r="K31" s="107"/>
    </row>
    <row r="32" ht="15.5" spans="1:11">
      <c r="A32" s="101" t="s">
        <v>33</v>
      </c>
      <c r="B32" s="99" t="s">
        <v>8283</v>
      </c>
      <c r="C32" s="98" t="s">
        <v>8225</v>
      </c>
      <c r="D32" s="101" t="s">
        <v>4</v>
      </c>
      <c r="E32" s="101" t="s">
        <v>8282</v>
      </c>
      <c r="F32" s="98"/>
      <c r="G32" s="98" t="s">
        <v>112</v>
      </c>
      <c r="H32" s="104"/>
      <c r="I32" s="111"/>
      <c r="J32" s="100" t="s">
        <v>8284</v>
      </c>
      <c r="K32" s="107"/>
    </row>
    <row r="33" ht="15.5" spans="1:11">
      <c r="A33" s="101" t="s">
        <v>33</v>
      </c>
      <c r="B33" s="99" t="s">
        <v>8285</v>
      </c>
      <c r="C33" s="98" t="s">
        <v>8225</v>
      </c>
      <c r="D33" s="101" t="s">
        <v>4</v>
      </c>
      <c r="E33" s="101" t="s">
        <v>8282</v>
      </c>
      <c r="F33" s="98"/>
      <c r="G33" s="98" t="s">
        <v>112</v>
      </c>
      <c r="H33" s="104"/>
      <c r="I33" s="111"/>
      <c r="J33" s="100" t="s">
        <v>8286</v>
      </c>
      <c r="K33" s="107"/>
    </row>
    <row r="34" ht="15" spans="1:11">
      <c r="A34" s="98" t="s">
        <v>28</v>
      </c>
      <c r="B34" s="99" t="s">
        <v>8287</v>
      </c>
      <c r="C34" s="98" t="s">
        <v>8225</v>
      </c>
      <c r="D34" s="98" t="s">
        <v>4</v>
      </c>
      <c r="E34" s="101" t="s">
        <v>8288</v>
      </c>
      <c r="F34" s="98"/>
      <c r="G34" s="98" t="s">
        <v>112</v>
      </c>
      <c r="H34" s="100"/>
      <c r="I34" s="100"/>
      <c r="J34" s="112" t="s">
        <v>8289</v>
      </c>
      <c r="K34" s="107"/>
    </row>
    <row r="35" ht="15.5" spans="1:11">
      <c r="A35" s="101" t="s">
        <v>33</v>
      </c>
      <c r="B35" s="99" t="s">
        <v>8290</v>
      </c>
      <c r="C35" s="98" t="s">
        <v>8218</v>
      </c>
      <c r="D35" s="101" t="s">
        <v>4</v>
      </c>
      <c r="E35" s="101" t="s">
        <v>2788</v>
      </c>
      <c r="F35" s="98"/>
      <c r="G35" s="98" t="s">
        <v>112</v>
      </c>
      <c r="H35" s="105" t="s">
        <v>8215</v>
      </c>
      <c r="I35" s="113" t="s">
        <v>8215</v>
      </c>
      <c r="J35" s="113" t="s">
        <v>8220</v>
      </c>
      <c r="K35" s="107"/>
    </row>
    <row r="36" ht="15.5" spans="1:11">
      <c r="A36" s="101" t="s">
        <v>33</v>
      </c>
      <c r="B36" s="99" t="s">
        <v>8291</v>
      </c>
      <c r="C36" s="98" t="s">
        <v>8218</v>
      </c>
      <c r="D36" s="101" t="s">
        <v>4</v>
      </c>
      <c r="E36" s="101" t="s">
        <v>2788</v>
      </c>
      <c r="F36" s="98"/>
      <c r="G36" s="98" t="s">
        <v>112</v>
      </c>
      <c r="H36" s="104" t="s">
        <v>8215</v>
      </c>
      <c r="I36" s="111" t="s">
        <v>8215</v>
      </c>
      <c r="J36" s="111" t="s">
        <v>8220</v>
      </c>
      <c r="K36" s="107"/>
    </row>
    <row r="37" s="90" customFormat="1" ht="15.5" spans="1:11">
      <c r="A37" s="101" t="s">
        <v>33</v>
      </c>
      <c r="B37" s="99" t="s">
        <v>8292</v>
      </c>
      <c r="C37" s="98" t="s">
        <v>8293</v>
      </c>
      <c r="D37" s="101" t="s">
        <v>4</v>
      </c>
      <c r="E37" s="101" t="s">
        <v>2788</v>
      </c>
      <c r="F37" s="98"/>
      <c r="G37" s="98" t="s">
        <v>112</v>
      </c>
      <c r="H37" s="104" t="s">
        <v>8294</v>
      </c>
      <c r="I37" s="111" t="s">
        <v>8215</v>
      </c>
      <c r="J37" s="111" t="s">
        <v>8295</v>
      </c>
      <c r="K37" s="107">
        <v>2024.5</v>
      </c>
    </row>
    <row r="38" ht="15.5" spans="1:11">
      <c r="A38" s="101" t="s">
        <v>33</v>
      </c>
      <c r="B38" s="99" t="s">
        <v>8296</v>
      </c>
      <c r="C38" s="101" t="s">
        <v>8240</v>
      </c>
      <c r="D38" s="101" t="s">
        <v>4</v>
      </c>
      <c r="E38" s="101" t="s">
        <v>2792</v>
      </c>
      <c r="F38" s="98"/>
      <c r="G38" s="98" t="s">
        <v>112</v>
      </c>
      <c r="H38" s="105" t="s">
        <v>8215</v>
      </c>
      <c r="I38" s="113" t="s">
        <v>8215</v>
      </c>
      <c r="J38" s="113" t="s">
        <v>8220</v>
      </c>
      <c r="K38" s="107"/>
    </row>
    <row r="39" ht="15.5" spans="1:11">
      <c r="A39" s="101" t="s">
        <v>33</v>
      </c>
      <c r="B39" s="99" t="s">
        <v>8297</v>
      </c>
      <c r="C39" s="98" t="s">
        <v>8218</v>
      </c>
      <c r="D39" s="101" t="s">
        <v>4</v>
      </c>
      <c r="E39" s="101" t="s">
        <v>2792</v>
      </c>
      <c r="F39" s="98"/>
      <c r="G39" s="98" t="s">
        <v>112</v>
      </c>
      <c r="H39" s="104" t="s">
        <v>8215</v>
      </c>
      <c r="I39" s="111" t="s">
        <v>8215</v>
      </c>
      <c r="J39" s="111" t="s">
        <v>8220</v>
      </c>
      <c r="K39" s="107"/>
    </row>
    <row r="40" ht="15" spans="1:11">
      <c r="A40" s="101" t="s">
        <v>33</v>
      </c>
      <c r="B40" s="99" t="s">
        <v>8298</v>
      </c>
      <c r="C40" s="101" t="s">
        <v>8240</v>
      </c>
      <c r="D40" s="101" t="s">
        <v>5</v>
      </c>
      <c r="E40" s="101" t="s">
        <v>8299</v>
      </c>
      <c r="F40" s="98"/>
      <c r="G40" s="98" t="s">
        <v>112</v>
      </c>
      <c r="H40" s="100" t="s">
        <v>8300</v>
      </c>
      <c r="I40" s="100" t="s">
        <v>8215</v>
      </c>
      <c r="J40" s="100" t="s">
        <v>8220</v>
      </c>
      <c r="K40" s="107"/>
    </row>
    <row r="41" ht="15" spans="1:11">
      <c r="A41" s="101" t="s">
        <v>33</v>
      </c>
      <c r="B41" s="99" t="s">
        <v>8301</v>
      </c>
      <c r="C41" s="98" t="s">
        <v>8218</v>
      </c>
      <c r="D41" s="101" t="s">
        <v>4</v>
      </c>
      <c r="E41" s="101" t="s">
        <v>2796</v>
      </c>
      <c r="F41" s="98"/>
      <c r="G41" s="98" t="s">
        <v>112</v>
      </c>
      <c r="H41" s="100" t="s">
        <v>8215</v>
      </c>
      <c r="I41" s="100" t="s">
        <v>8215</v>
      </c>
      <c r="J41" s="100" t="s">
        <v>8220</v>
      </c>
      <c r="K41" s="107"/>
    </row>
    <row r="42" ht="15" spans="1:11">
      <c r="A42" s="101" t="s">
        <v>33</v>
      </c>
      <c r="B42" s="99" t="s">
        <v>8302</v>
      </c>
      <c r="C42" s="98" t="s">
        <v>8218</v>
      </c>
      <c r="D42" s="101" t="s">
        <v>4</v>
      </c>
      <c r="E42" s="101" t="s">
        <v>2796</v>
      </c>
      <c r="F42" s="98"/>
      <c r="G42" s="98" t="s">
        <v>112</v>
      </c>
      <c r="H42" s="100" t="s">
        <v>8215</v>
      </c>
      <c r="I42" s="100" t="s">
        <v>8215</v>
      </c>
      <c r="J42" s="100" t="s">
        <v>8220</v>
      </c>
      <c r="K42" s="107"/>
    </row>
    <row r="43" ht="15" spans="1:11">
      <c r="A43" s="101" t="s">
        <v>33</v>
      </c>
      <c r="B43" s="99" t="s">
        <v>8303</v>
      </c>
      <c r="C43" s="98" t="s">
        <v>8218</v>
      </c>
      <c r="D43" s="101" t="s">
        <v>4</v>
      </c>
      <c r="E43" s="101" t="s">
        <v>2798</v>
      </c>
      <c r="F43" s="98"/>
      <c r="G43" s="98" t="s">
        <v>112</v>
      </c>
      <c r="H43" s="100" t="s">
        <v>8215</v>
      </c>
      <c r="I43" s="100" t="s">
        <v>8215</v>
      </c>
      <c r="J43" s="100" t="s">
        <v>8220</v>
      </c>
      <c r="K43" s="107"/>
    </row>
    <row r="44" s="89" customFormat="1" ht="15" spans="1:11">
      <c r="A44" s="106" t="s">
        <v>33</v>
      </c>
      <c r="B44" s="106" t="s">
        <v>8304</v>
      </c>
      <c r="C44" s="106" t="s">
        <v>8293</v>
      </c>
      <c r="D44" s="106" t="s">
        <v>4</v>
      </c>
      <c r="E44" s="106" t="s">
        <v>8219</v>
      </c>
      <c r="F44" s="106"/>
      <c r="G44" s="106" t="s">
        <v>112</v>
      </c>
      <c r="H44" s="106" t="s">
        <v>8305</v>
      </c>
      <c r="I44" s="106" t="s">
        <v>8306</v>
      </c>
      <c r="J44" s="106" t="s">
        <v>8307</v>
      </c>
      <c r="K44" s="114" t="s">
        <v>8308</v>
      </c>
    </row>
    <row r="45" s="89" customFormat="1" ht="15" spans="1:11">
      <c r="A45" s="106" t="s">
        <v>33</v>
      </c>
      <c r="B45" s="106" t="s">
        <v>8309</v>
      </c>
      <c r="C45" s="106" t="s">
        <v>8293</v>
      </c>
      <c r="D45" s="106" t="s">
        <v>4</v>
      </c>
      <c r="E45" s="106" t="s">
        <v>8310</v>
      </c>
      <c r="F45" s="106"/>
      <c r="G45" s="106" t="s">
        <v>209</v>
      </c>
      <c r="H45" s="106" t="s">
        <v>8215</v>
      </c>
      <c r="I45" s="106" t="s">
        <v>8215</v>
      </c>
      <c r="J45" s="106">
        <v>4</v>
      </c>
      <c r="K45" s="114" t="s">
        <v>8311</v>
      </c>
    </row>
    <row r="46" s="91" customFormat="1" ht="15" spans="1:11">
      <c r="A46" s="106" t="s">
        <v>33</v>
      </c>
      <c r="B46" s="106" t="s">
        <v>8312</v>
      </c>
      <c r="C46" s="106" t="s">
        <v>8293</v>
      </c>
      <c r="D46" s="106" t="s">
        <v>4</v>
      </c>
      <c r="E46" s="106" t="s">
        <v>8313</v>
      </c>
      <c r="F46" s="106"/>
      <c r="G46" s="106" t="s">
        <v>206</v>
      </c>
      <c r="H46" s="106" t="s">
        <v>8215</v>
      </c>
      <c r="I46" s="106" t="s">
        <v>8215</v>
      </c>
      <c r="J46" s="106" t="s">
        <v>8314</v>
      </c>
      <c r="K46" s="114" t="s">
        <v>8308</v>
      </c>
    </row>
    <row r="47" s="89" customFormat="1" ht="15" spans="1:256">
      <c r="A47" s="101" t="s">
        <v>33</v>
      </c>
      <c r="B47" s="99" t="s">
        <v>8315</v>
      </c>
      <c r="C47" s="99" t="s">
        <v>8272</v>
      </c>
      <c r="D47" s="99" t="s">
        <v>4</v>
      </c>
      <c r="E47" s="99" t="s">
        <v>2812</v>
      </c>
      <c r="F47" s="99"/>
      <c r="G47" s="99" t="s">
        <v>206</v>
      </c>
      <c r="H47" s="99" t="s">
        <v>8215</v>
      </c>
      <c r="I47" s="99" t="s">
        <v>8215</v>
      </c>
      <c r="J47" s="99" t="s">
        <v>8316</v>
      </c>
      <c r="K47" s="109">
        <v>45928</v>
      </c>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c r="BZ47" s="115"/>
      <c r="CA47" s="115"/>
      <c r="CB47" s="115"/>
      <c r="CC47" s="115"/>
      <c r="CD47" s="115"/>
      <c r="CE47" s="115"/>
      <c r="CF47" s="115"/>
      <c r="CG47" s="115"/>
      <c r="CH47" s="115"/>
      <c r="CI47" s="115"/>
      <c r="CJ47" s="115"/>
      <c r="CK47" s="115"/>
      <c r="CL47" s="115"/>
      <c r="CM47" s="115"/>
      <c r="CN47" s="115"/>
      <c r="CO47" s="115"/>
      <c r="CP47" s="115"/>
      <c r="CQ47" s="115"/>
      <c r="CR47" s="115"/>
      <c r="CS47" s="115"/>
      <c r="CT47" s="115"/>
      <c r="CU47" s="115"/>
      <c r="CV47" s="115"/>
      <c r="CW47" s="115"/>
      <c r="CX47" s="115"/>
      <c r="CY47" s="115"/>
      <c r="CZ47" s="115"/>
      <c r="DA47" s="115"/>
      <c r="DB47" s="115"/>
      <c r="DC47" s="115"/>
      <c r="DD47" s="115"/>
      <c r="DE47" s="115"/>
      <c r="DF47" s="115"/>
      <c r="DG47" s="115"/>
      <c r="DH47" s="115"/>
      <c r="DI47" s="115"/>
      <c r="DJ47" s="115"/>
      <c r="DK47" s="115"/>
      <c r="DL47" s="115"/>
      <c r="DM47" s="115"/>
      <c r="DN47" s="115"/>
      <c r="DO47" s="115"/>
      <c r="DP47" s="115"/>
      <c r="DQ47" s="115"/>
      <c r="DR47" s="115"/>
      <c r="DS47" s="115"/>
      <c r="DT47" s="115"/>
      <c r="DU47" s="115"/>
      <c r="DV47" s="115"/>
      <c r="DW47" s="115"/>
      <c r="DX47" s="115"/>
      <c r="DY47" s="115"/>
      <c r="DZ47" s="115"/>
      <c r="EA47" s="115"/>
      <c r="EB47" s="115"/>
      <c r="EC47" s="115"/>
      <c r="ED47" s="115"/>
      <c r="EE47" s="115"/>
      <c r="EF47" s="115"/>
      <c r="EG47" s="115"/>
      <c r="EH47" s="115"/>
      <c r="EI47" s="115"/>
      <c r="EJ47" s="115"/>
      <c r="EK47" s="115"/>
      <c r="EL47" s="115"/>
      <c r="EM47" s="115"/>
      <c r="EN47" s="115"/>
      <c r="EO47" s="115"/>
      <c r="EP47" s="115"/>
      <c r="EQ47" s="115"/>
      <c r="ER47" s="115"/>
      <c r="ES47" s="115"/>
      <c r="ET47" s="115"/>
      <c r="EU47" s="115"/>
      <c r="EV47" s="115"/>
      <c r="EW47" s="115"/>
      <c r="EX47" s="115"/>
      <c r="EY47" s="115"/>
      <c r="EZ47" s="115"/>
      <c r="FA47" s="115"/>
      <c r="FB47" s="115"/>
      <c r="FC47" s="115"/>
      <c r="FD47" s="115"/>
      <c r="FE47" s="115"/>
      <c r="FF47" s="115"/>
      <c r="FG47" s="115"/>
      <c r="FH47" s="115"/>
      <c r="FI47" s="115"/>
      <c r="FJ47" s="115"/>
      <c r="FK47" s="115"/>
      <c r="FL47" s="115"/>
      <c r="FM47" s="115"/>
      <c r="FN47" s="115"/>
      <c r="FO47" s="115"/>
      <c r="FP47" s="115"/>
      <c r="FQ47" s="115"/>
      <c r="FR47" s="115"/>
      <c r="FS47" s="115"/>
      <c r="FT47" s="115"/>
      <c r="FU47" s="115"/>
      <c r="FV47" s="115"/>
      <c r="FW47" s="115"/>
      <c r="FX47" s="115"/>
      <c r="FY47" s="115"/>
      <c r="FZ47" s="115"/>
      <c r="GA47" s="115"/>
      <c r="GB47" s="115"/>
      <c r="GC47" s="115"/>
      <c r="GD47" s="115"/>
      <c r="GE47" s="115"/>
      <c r="GF47" s="115"/>
      <c r="GG47" s="115"/>
      <c r="GH47" s="115"/>
      <c r="GI47" s="115"/>
      <c r="GJ47" s="115"/>
      <c r="GK47" s="115"/>
      <c r="GL47" s="115"/>
      <c r="GM47" s="115"/>
      <c r="GN47" s="115"/>
      <c r="GO47" s="115"/>
      <c r="GP47" s="115"/>
      <c r="GQ47" s="115"/>
      <c r="GR47" s="115"/>
      <c r="GS47" s="115"/>
      <c r="GT47" s="115"/>
      <c r="GU47" s="115"/>
      <c r="GV47" s="115"/>
      <c r="GW47" s="115"/>
      <c r="GX47" s="115"/>
      <c r="GY47" s="115"/>
      <c r="GZ47" s="115"/>
      <c r="HA47" s="115"/>
      <c r="HB47" s="115"/>
      <c r="HC47" s="115"/>
      <c r="HD47" s="115"/>
      <c r="HE47" s="115"/>
      <c r="HF47" s="115"/>
      <c r="HG47" s="115"/>
      <c r="HH47" s="115"/>
      <c r="HI47" s="115"/>
      <c r="HJ47" s="115"/>
      <c r="HK47" s="115"/>
      <c r="HL47" s="115"/>
      <c r="HM47" s="115"/>
      <c r="HN47" s="115"/>
      <c r="HO47" s="115"/>
      <c r="HP47" s="115"/>
      <c r="HQ47" s="115"/>
      <c r="HR47" s="115"/>
      <c r="HS47" s="115"/>
      <c r="HT47" s="115"/>
      <c r="HU47" s="115"/>
      <c r="HV47" s="115"/>
      <c r="HW47" s="115"/>
      <c r="HX47" s="115"/>
      <c r="HY47" s="115"/>
      <c r="HZ47" s="115"/>
      <c r="IA47" s="115"/>
      <c r="IB47" s="115"/>
      <c r="IC47" s="115"/>
      <c r="ID47" s="115"/>
      <c r="IE47" s="115"/>
      <c r="IF47" s="115"/>
      <c r="IG47" s="115"/>
      <c r="IH47" s="115"/>
      <c r="II47" s="115"/>
      <c r="IJ47" s="115"/>
      <c r="IK47" s="115"/>
      <c r="IL47" s="115"/>
      <c r="IM47" s="115"/>
      <c r="IN47" s="115"/>
      <c r="IO47" s="115"/>
      <c r="IP47" s="115"/>
      <c r="IQ47" s="115"/>
      <c r="IR47" s="115"/>
      <c r="IS47" s="115"/>
      <c r="IT47" s="115"/>
      <c r="IU47" s="115"/>
      <c r="IV47" s="115"/>
    </row>
    <row r="48" s="89" customFormat="1" ht="15" spans="1:256">
      <c r="A48" s="101" t="s">
        <v>33</v>
      </c>
      <c r="B48" s="99" t="s">
        <v>8317</v>
      </c>
      <c r="C48" s="99" t="s">
        <v>8272</v>
      </c>
      <c r="D48" s="99" t="s">
        <v>4</v>
      </c>
      <c r="E48" s="99" t="s">
        <v>2812</v>
      </c>
      <c r="F48" s="99"/>
      <c r="G48" s="99" t="s">
        <v>206</v>
      </c>
      <c r="H48" s="99" t="s">
        <v>8215</v>
      </c>
      <c r="I48" s="99" t="s">
        <v>8215</v>
      </c>
      <c r="J48" s="99" t="s">
        <v>8316</v>
      </c>
      <c r="K48" s="109">
        <v>45928</v>
      </c>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5"/>
      <c r="BS48" s="115"/>
      <c r="BT48" s="115"/>
      <c r="BU48" s="115"/>
      <c r="BV48" s="115"/>
      <c r="BW48" s="115"/>
      <c r="BX48" s="115"/>
      <c r="BY48" s="115"/>
      <c r="BZ48" s="115"/>
      <c r="CA48" s="115"/>
      <c r="CB48" s="115"/>
      <c r="CC48" s="115"/>
      <c r="CD48" s="115"/>
      <c r="CE48" s="115"/>
      <c r="CF48" s="115"/>
      <c r="CG48" s="115"/>
      <c r="CH48" s="115"/>
      <c r="CI48" s="115"/>
      <c r="CJ48" s="115"/>
      <c r="CK48" s="115"/>
      <c r="CL48" s="115"/>
      <c r="CM48" s="115"/>
      <c r="CN48" s="115"/>
      <c r="CO48" s="115"/>
      <c r="CP48" s="115"/>
      <c r="CQ48" s="115"/>
      <c r="CR48" s="115"/>
      <c r="CS48" s="115"/>
      <c r="CT48" s="115"/>
      <c r="CU48" s="115"/>
      <c r="CV48" s="115"/>
      <c r="CW48" s="115"/>
      <c r="CX48" s="115"/>
      <c r="CY48" s="115"/>
      <c r="CZ48" s="115"/>
      <c r="DA48" s="115"/>
      <c r="DB48" s="115"/>
      <c r="DC48" s="115"/>
      <c r="DD48" s="115"/>
      <c r="DE48" s="115"/>
      <c r="DF48" s="115"/>
      <c r="DG48" s="115"/>
      <c r="DH48" s="115"/>
      <c r="DI48" s="115"/>
      <c r="DJ48" s="115"/>
      <c r="DK48" s="115"/>
      <c r="DL48" s="115"/>
      <c r="DM48" s="115"/>
      <c r="DN48" s="115"/>
      <c r="DO48" s="115"/>
      <c r="DP48" s="115"/>
      <c r="DQ48" s="115"/>
      <c r="DR48" s="115"/>
      <c r="DS48" s="115"/>
      <c r="DT48" s="115"/>
      <c r="DU48" s="115"/>
      <c r="DV48" s="115"/>
      <c r="DW48" s="115"/>
      <c r="DX48" s="115"/>
      <c r="DY48" s="115"/>
      <c r="DZ48" s="115"/>
      <c r="EA48" s="115"/>
      <c r="EB48" s="115"/>
      <c r="EC48" s="115"/>
      <c r="ED48" s="115"/>
      <c r="EE48" s="115"/>
      <c r="EF48" s="115"/>
      <c r="EG48" s="115"/>
      <c r="EH48" s="115"/>
      <c r="EI48" s="115"/>
      <c r="EJ48" s="115"/>
      <c r="EK48" s="115"/>
      <c r="EL48" s="115"/>
      <c r="EM48" s="115"/>
      <c r="EN48" s="115"/>
      <c r="EO48" s="115"/>
      <c r="EP48" s="115"/>
      <c r="EQ48" s="115"/>
      <c r="ER48" s="115"/>
      <c r="ES48" s="115"/>
      <c r="ET48" s="115"/>
      <c r="EU48" s="115"/>
      <c r="EV48" s="115"/>
      <c r="EW48" s="115"/>
      <c r="EX48" s="115"/>
      <c r="EY48" s="115"/>
      <c r="EZ48" s="115"/>
      <c r="FA48" s="115"/>
      <c r="FB48" s="115"/>
      <c r="FC48" s="115"/>
      <c r="FD48" s="115"/>
      <c r="FE48" s="115"/>
      <c r="FF48" s="115"/>
      <c r="FG48" s="115"/>
      <c r="FH48" s="115"/>
      <c r="FI48" s="115"/>
      <c r="FJ48" s="115"/>
      <c r="FK48" s="115"/>
      <c r="FL48" s="115"/>
      <c r="FM48" s="115"/>
      <c r="FN48" s="115"/>
      <c r="FO48" s="115"/>
      <c r="FP48" s="115"/>
      <c r="FQ48" s="115"/>
      <c r="FR48" s="115"/>
      <c r="FS48" s="115"/>
      <c r="FT48" s="115"/>
      <c r="FU48" s="115"/>
      <c r="FV48" s="115"/>
      <c r="FW48" s="115"/>
      <c r="FX48" s="115"/>
      <c r="FY48" s="115"/>
      <c r="FZ48" s="115"/>
      <c r="GA48" s="115"/>
      <c r="GB48" s="115"/>
      <c r="GC48" s="115"/>
      <c r="GD48" s="115"/>
      <c r="GE48" s="115"/>
      <c r="GF48" s="115"/>
      <c r="GG48" s="115"/>
      <c r="GH48" s="115"/>
      <c r="GI48" s="115"/>
      <c r="GJ48" s="115"/>
      <c r="GK48" s="115"/>
      <c r="GL48" s="115"/>
      <c r="GM48" s="115"/>
      <c r="GN48" s="115"/>
      <c r="GO48" s="115"/>
      <c r="GP48" s="115"/>
      <c r="GQ48" s="115"/>
      <c r="GR48" s="115"/>
      <c r="GS48" s="115"/>
      <c r="GT48" s="115"/>
      <c r="GU48" s="115"/>
      <c r="GV48" s="115"/>
      <c r="GW48" s="115"/>
      <c r="GX48" s="115"/>
      <c r="GY48" s="115"/>
      <c r="GZ48" s="115"/>
      <c r="HA48" s="115"/>
      <c r="HB48" s="115"/>
      <c r="HC48" s="115"/>
      <c r="HD48" s="115"/>
      <c r="HE48" s="115"/>
      <c r="HF48" s="115"/>
      <c r="HG48" s="115"/>
      <c r="HH48" s="115"/>
      <c r="HI48" s="115"/>
      <c r="HJ48" s="115"/>
      <c r="HK48" s="115"/>
      <c r="HL48" s="115"/>
      <c r="HM48" s="115"/>
      <c r="HN48" s="115"/>
      <c r="HO48" s="115"/>
      <c r="HP48" s="115"/>
      <c r="HQ48" s="115"/>
      <c r="HR48" s="115"/>
      <c r="HS48" s="115"/>
      <c r="HT48" s="115"/>
      <c r="HU48" s="115"/>
      <c r="HV48" s="115"/>
      <c r="HW48" s="115"/>
      <c r="HX48" s="115"/>
      <c r="HY48" s="115"/>
      <c r="HZ48" s="115"/>
      <c r="IA48" s="115"/>
      <c r="IB48" s="115"/>
      <c r="IC48" s="115"/>
      <c r="ID48" s="115"/>
      <c r="IE48" s="115"/>
      <c r="IF48" s="115"/>
      <c r="IG48" s="115"/>
      <c r="IH48" s="115"/>
      <c r="II48" s="115"/>
      <c r="IJ48" s="115"/>
      <c r="IK48" s="115"/>
      <c r="IL48" s="115"/>
      <c r="IM48" s="115"/>
      <c r="IN48" s="115"/>
      <c r="IO48" s="115"/>
      <c r="IP48" s="115"/>
      <c r="IQ48" s="115"/>
      <c r="IR48" s="115"/>
      <c r="IS48" s="115"/>
      <c r="IT48" s="115"/>
      <c r="IU48" s="115"/>
      <c r="IV48" s="115"/>
    </row>
    <row r="49" ht="15" spans="1:11">
      <c r="A49" s="101" t="s">
        <v>52</v>
      </c>
      <c r="B49" s="99" t="s">
        <v>8318</v>
      </c>
      <c r="C49" s="101" t="s">
        <v>8258</v>
      </c>
      <c r="D49" s="101" t="s">
        <v>4</v>
      </c>
      <c r="E49" s="101" t="s">
        <v>8319</v>
      </c>
      <c r="F49" s="98"/>
      <c r="G49" s="98" t="s">
        <v>112</v>
      </c>
      <c r="H49" s="100" t="s">
        <v>8320</v>
      </c>
      <c r="I49" s="100" t="s">
        <v>8215</v>
      </c>
      <c r="J49" s="100" t="s">
        <v>8220</v>
      </c>
      <c r="K49" s="107"/>
    </row>
    <row r="50" ht="15" spans="1:11">
      <c r="A50" s="101" t="s">
        <v>52</v>
      </c>
      <c r="B50" s="99" t="s">
        <v>8321</v>
      </c>
      <c r="C50" s="101" t="s">
        <v>8258</v>
      </c>
      <c r="D50" s="101" t="s">
        <v>4</v>
      </c>
      <c r="E50" s="101" t="s">
        <v>8319</v>
      </c>
      <c r="F50" s="98"/>
      <c r="G50" s="98" t="s">
        <v>112</v>
      </c>
      <c r="H50" s="100" t="s">
        <v>8215</v>
      </c>
      <c r="I50" s="100" t="s">
        <v>8215</v>
      </c>
      <c r="J50" s="100" t="s">
        <v>8220</v>
      </c>
      <c r="K50" s="107"/>
    </row>
    <row r="51" ht="15" spans="1:11">
      <c r="A51" s="101" t="s">
        <v>52</v>
      </c>
      <c r="B51" s="99" t="s">
        <v>8322</v>
      </c>
      <c r="C51" s="101" t="s">
        <v>8258</v>
      </c>
      <c r="D51" s="101" t="s">
        <v>4</v>
      </c>
      <c r="E51" s="101" t="s">
        <v>8319</v>
      </c>
      <c r="F51" s="98" t="s">
        <v>8323</v>
      </c>
      <c r="G51" s="98" t="s">
        <v>112</v>
      </c>
      <c r="H51" s="100" t="s">
        <v>8215</v>
      </c>
      <c r="I51" s="100" t="s">
        <v>8215</v>
      </c>
      <c r="J51" s="100" t="s">
        <v>8220</v>
      </c>
      <c r="K51" s="107"/>
    </row>
    <row r="52" ht="15" spans="1:11">
      <c r="A52" s="101" t="s">
        <v>52</v>
      </c>
      <c r="B52" s="99" t="s">
        <v>8324</v>
      </c>
      <c r="C52" s="101" t="s">
        <v>8240</v>
      </c>
      <c r="D52" s="101" t="s">
        <v>4</v>
      </c>
      <c r="E52" s="101" t="s">
        <v>8325</v>
      </c>
      <c r="F52" s="98"/>
      <c r="G52" s="98" t="s">
        <v>112</v>
      </c>
      <c r="H52" s="100" t="s">
        <v>8326</v>
      </c>
      <c r="I52" s="100" t="s">
        <v>8327</v>
      </c>
      <c r="J52" s="100" t="s">
        <v>8328</v>
      </c>
      <c r="K52" s="107"/>
    </row>
    <row r="53" ht="15" spans="1:11">
      <c r="A53" s="101" t="s">
        <v>52</v>
      </c>
      <c r="B53" s="99" t="s">
        <v>8329</v>
      </c>
      <c r="C53" s="98" t="s">
        <v>8225</v>
      </c>
      <c r="D53" s="101" t="s">
        <v>4</v>
      </c>
      <c r="E53" s="101" t="s">
        <v>8330</v>
      </c>
      <c r="F53" s="98"/>
      <c r="G53" s="98" t="s">
        <v>112</v>
      </c>
      <c r="H53" s="100"/>
      <c r="I53" s="100"/>
      <c r="J53" s="100" t="s">
        <v>8331</v>
      </c>
      <c r="K53" s="107"/>
    </row>
    <row r="54" ht="15" spans="1:11">
      <c r="A54" s="101" t="s">
        <v>52</v>
      </c>
      <c r="B54" s="99" t="s">
        <v>8332</v>
      </c>
      <c r="C54" s="98" t="s">
        <v>8218</v>
      </c>
      <c r="D54" s="101" t="s">
        <v>4</v>
      </c>
      <c r="E54" s="101" t="s">
        <v>8333</v>
      </c>
      <c r="F54" s="98"/>
      <c r="G54" s="98" t="s">
        <v>112</v>
      </c>
      <c r="H54" s="100" t="s">
        <v>8215</v>
      </c>
      <c r="I54" s="100" t="s">
        <v>8247</v>
      </c>
      <c r="J54" s="100" t="s">
        <v>8220</v>
      </c>
      <c r="K54" s="107"/>
    </row>
    <row r="55" ht="15" spans="1:11">
      <c r="A55" s="101" t="s">
        <v>52</v>
      </c>
      <c r="B55" s="99" t="s">
        <v>8334</v>
      </c>
      <c r="C55" s="98" t="s">
        <v>8218</v>
      </c>
      <c r="D55" s="101" t="s">
        <v>4</v>
      </c>
      <c r="E55" s="101" t="s">
        <v>8333</v>
      </c>
      <c r="F55" s="98"/>
      <c r="G55" s="98" t="s">
        <v>112</v>
      </c>
      <c r="H55" s="100" t="s">
        <v>8215</v>
      </c>
      <c r="I55" s="100" t="s">
        <v>8247</v>
      </c>
      <c r="J55" s="100" t="s">
        <v>8220</v>
      </c>
      <c r="K55" s="107"/>
    </row>
    <row r="56" ht="15" spans="1:11">
      <c r="A56" s="101" t="s">
        <v>52</v>
      </c>
      <c r="B56" s="99" t="s">
        <v>8335</v>
      </c>
      <c r="C56" s="98" t="s">
        <v>8218</v>
      </c>
      <c r="D56" s="101" t="s">
        <v>4</v>
      </c>
      <c r="E56" s="101" t="s">
        <v>8333</v>
      </c>
      <c r="F56" s="98"/>
      <c r="G56" s="98" t="s">
        <v>112</v>
      </c>
      <c r="H56" s="100" t="s">
        <v>8215</v>
      </c>
      <c r="I56" s="100" t="s">
        <v>8247</v>
      </c>
      <c r="J56" s="100" t="s">
        <v>8220</v>
      </c>
      <c r="K56" s="107"/>
    </row>
    <row r="57" s="91" customFormat="1" ht="15" spans="1:11">
      <c r="A57" s="106" t="s">
        <v>52</v>
      </c>
      <c r="B57" s="106" t="s">
        <v>8336</v>
      </c>
      <c r="C57" s="106" t="s">
        <v>8293</v>
      </c>
      <c r="D57" s="106" t="s">
        <v>4</v>
      </c>
      <c r="E57" s="106" t="s">
        <v>8333</v>
      </c>
      <c r="F57" s="106"/>
      <c r="G57" s="106" t="s">
        <v>112</v>
      </c>
      <c r="H57" s="106" t="s">
        <v>8215</v>
      </c>
      <c r="I57" s="106" t="s">
        <v>8247</v>
      </c>
      <c r="J57" s="106" t="s">
        <v>8328</v>
      </c>
      <c r="K57" s="106">
        <v>2024.8</v>
      </c>
    </row>
    <row r="58" ht="30" spans="1:11">
      <c r="A58" s="101" t="s">
        <v>52</v>
      </c>
      <c r="B58" s="99" t="s">
        <v>8337</v>
      </c>
      <c r="C58" s="98" t="s">
        <v>8258</v>
      </c>
      <c r="D58" s="101" t="s">
        <v>2807</v>
      </c>
      <c r="E58" s="101" t="s">
        <v>6411</v>
      </c>
      <c r="F58" s="98"/>
      <c r="G58" s="98" t="s">
        <v>112</v>
      </c>
      <c r="H58" s="100" t="s">
        <v>8300</v>
      </c>
      <c r="I58" s="100" t="s">
        <v>8247</v>
      </c>
      <c r="J58" s="100" t="s">
        <v>8220</v>
      </c>
      <c r="K58" s="107"/>
    </row>
    <row r="59" ht="15" spans="1:11">
      <c r="A59" s="101" t="s">
        <v>52</v>
      </c>
      <c r="B59" s="100" t="s">
        <v>8338</v>
      </c>
      <c r="C59" s="98" t="s">
        <v>8258</v>
      </c>
      <c r="D59" s="101" t="s">
        <v>4</v>
      </c>
      <c r="E59" s="101" t="s">
        <v>8339</v>
      </c>
      <c r="F59" s="98"/>
      <c r="G59" s="98" t="s">
        <v>112</v>
      </c>
      <c r="H59" s="100" t="s">
        <v>8215</v>
      </c>
      <c r="I59" s="100" t="s">
        <v>8247</v>
      </c>
      <c r="J59" s="100" t="s">
        <v>8220</v>
      </c>
      <c r="K59" s="107"/>
    </row>
    <row r="60" ht="15" spans="1:11">
      <c r="A60" s="101" t="s">
        <v>52</v>
      </c>
      <c r="B60" s="99" t="s">
        <v>8340</v>
      </c>
      <c r="C60" s="98" t="s">
        <v>8218</v>
      </c>
      <c r="D60" s="101" t="s">
        <v>5</v>
      </c>
      <c r="E60" s="101" t="s">
        <v>8341</v>
      </c>
      <c r="F60" s="98"/>
      <c r="G60" s="98" t="s">
        <v>112</v>
      </c>
      <c r="H60" s="100" t="s">
        <v>8215</v>
      </c>
      <c r="I60" s="100" t="s">
        <v>8215</v>
      </c>
      <c r="J60" s="100" t="s">
        <v>8220</v>
      </c>
      <c r="K60" s="107"/>
    </row>
    <row r="61" ht="15" spans="1:11">
      <c r="A61" s="101" t="s">
        <v>52</v>
      </c>
      <c r="B61" s="99" t="s">
        <v>8342</v>
      </c>
      <c r="C61" s="98" t="s">
        <v>8218</v>
      </c>
      <c r="D61" s="101" t="s">
        <v>5</v>
      </c>
      <c r="E61" s="101" t="s">
        <v>8343</v>
      </c>
      <c r="F61" s="98"/>
      <c r="G61" s="98" t="s">
        <v>112</v>
      </c>
      <c r="H61" s="100" t="s">
        <v>8215</v>
      </c>
      <c r="I61" s="100" t="s">
        <v>8247</v>
      </c>
      <c r="J61" s="100" t="s">
        <v>8220</v>
      </c>
      <c r="K61" s="107"/>
    </row>
    <row r="62" ht="15" spans="1:11">
      <c r="A62" s="101" t="s">
        <v>52</v>
      </c>
      <c r="B62" s="99" t="s">
        <v>8344</v>
      </c>
      <c r="C62" s="98" t="s">
        <v>8225</v>
      </c>
      <c r="D62" s="101" t="s">
        <v>4</v>
      </c>
      <c r="E62" s="101" t="s">
        <v>8345</v>
      </c>
      <c r="F62" s="98"/>
      <c r="G62" s="98" t="s">
        <v>112</v>
      </c>
      <c r="H62" s="100" t="s">
        <v>8252</v>
      </c>
      <c r="I62" s="100" t="s">
        <v>8215</v>
      </c>
      <c r="J62" s="100" t="s">
        <v>8346</v>
      </c>
      <c r="K62" s="107"/>
    </row>
    <row r="63" ht="15" spans="1:11">
      <c r="A63" s="101" t="s">
        <v>52</v>
      </c>
      <c r="B63" s="99" t="s">
        <v>8347</v>
      </c>
      <c r="C63" s="98" t="s">
        <v>8218</v>
      </c>
      <c r="D63" s="101" t="s">
        <v>4</v>
      </c>
      <c r="E63" s="101" t="s">
        <v>8348</v>
      </c>
      <c r="F63" s="98"/>
      <c r="G63" s="98" t="s">
        <v>112</v>
      </c>
      <c r="H63" s="100" t="s">
        <v>8215</v>
      </c>
      <c r="I63" s="100" t="s">
        <v>8215</v>
      </c>
      <c r="J63" s="100" t="s">
        <v>8220</v>
      </c>
      <c r="K63" s="107"/>
    </row>
    <row r="64" ht="15" spans="1:11">
      <c r="A64" s="101" t="s">
        <v>52</v>
      </c>
      <c r="B64" s="99" t="s">
        <v>8349</v>
      </c>
      <c r="C64" s="98" t="s">
        <v>8218</v>
      </c>
      <c r="D64" s="101" t="s">
        <v>4</v>
      </c>
      <c r="E64" s="101" t="s">
        <v>8348</v>
      </c>
      <c r="F64" s="98"/>
      <c r="G64" s="98" t="s">
        <v>112</v>
      </c>
      <c r="H64" s="100" t="s">
        <v>8215</v>
      </c>
      <c r="I64" s="100" t="s">
        <v>8215</v>
      </c>
      <c r="J64" s="100" t="s">
        <v>8220</v>
      </c>
      <c r="K64" s="107"/>
    </row>
    <row r="65" ht="15" spans="1:11">
      <c r="A65" s="101" t="s">
        <v>52</v>
      </c>
      <c r="B65" s="99" t="s">
        <v>8350</v>
      </c>
      <c r="C65" s="98" t="s">
        <v>8218</v>
      </c>
      <c r="D65" s="101" t="s">
        <v>4</v>
      </c>
      <c r="E65" s="101" t="s">
        <v>8348</v>
      </c>
      <c r="F65" s="98"/>
      <c r="G65" s="98" t="s">
        <v>112</v>
      </c>
      <c r="H65" s="100" t="s">
        <v>8215</v>
      </c>
      <c r="I65" s="100" t="s">
        <v>8215</v>
      </c>
      <c r="J65" s="100" t="s">
        <v>8220</v>
      </c>
      <c r="K65" s="107"/>
    </row>
    <row r="66" ht="15" spans="1:11">
      <c r="A66" s="101" t="s">
        <v>52</v>
      </c>
      <c r="B66" s="99" t="s">
        <v>8351</v>
      </c>
      <c r="C66" s="98" t="s">
        <v>8218</v>
      </c>
      <c r="D66" s="101" t="s">
        <v>4</v>
      </c>
      <c r="E66" s="101" t="s">
        <v>8348</v>
      </c>
      <c r="F66" s="98"/>
      <c r="G66" s="98" t="s">
        <v>112</v>
      </c>
      <c r="H66" s="100" t="s">
        <v>8215</v>
      </c>
      <c r="I66" s="100" t="s">
        <v>8215</v>
      </c>
      <c r="J66" s="100" t="s">
        <v>8220</v>
      </c>
      <c r="K66" s="107"/>
    </row>
    <row r="67" s="92" customFormat="1" ht="15" spans="1:254">
      <c r="A67" s="101" t="s">
        <v>52</v>
      </c>
      <c r="B67" s="99" t="s">
        <v>8352</v>
      </c>
      <c r="C67" s="98" t="s">
        <v>8272</v>
      </c>
      <c r="D67" s="101" t="s">
        <v>4</v>
      </c>
      <c r="E67" s="101" t="s">
        <v>8348</v>
      </c>
      <c r="F67" s="98"/>
      <c r="G67" s="98" t="s">
        <v>112</v>
      </c>
      <c r="H67" s="100">
        <v>2</v>
      </c>
      <c r="I67" s="100">
        <v>2</v>
      </c>
      <c r="J67" s="100" t="s">
        <v>8353</v>
      </c>
      <c r="K67" s="116">
        <v>45855</v>
      </c>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90"/>
      <c r="BG67" s="90"/>
      <c r="BH67" s="90"/>
      <c r="BI67" s="90"/>
      <c r="BJ67" s="90"/>
      <c r="BK67" s="90"/>
      <c r="BL67" s="90"/>
      <c r="BM67" s="90"/>
      <c r="BN67" s="90"/>
      <c r="BO67" s="90"/>
      <c r="BP67" s="90"/>
      <c r="BQ67" s="90"/>
      <c r="BR67" s="90"/>
      <c r="BS67" s="90"/>
      <c r="BT67" s="90"/>
      <c r="BU67" s="90"/>
      <c r="BV67" s="90"/>
      <c r="BW67" s="90"/>
      <c r="BX67" s="90"/>
      <c r="BY67" s="90"/>
      <c r="BZ67" s="90"/>
      <c r="CA67" s="90"/>
      <c r="CB67" s="90"/>
      <c r="CC67" s="90"/>
      <c r="CD67" s="90"/>
      <c r="CE67" s="90"/>
      <c r="CF67" s="90"/>
      <c r="CG67" s="90"/>
      <c r="CH67" s="90"/>
      <c r="CI67" s="90"/>
      <c r="CJ67" s="90"/>
      <c r="CK67" s="90"/>
      <c r="CL67" s="90"/>
      <c r="CM67" s="90"/>
      <c r="CN67" s="90"/>
      <c r="CO67" s="90"/>
      <c r="CP67" s="90"/>
      <c r="CQ67" s="90"/>
      <c r="CR67" s="90"/>
      <c r="CS67" s="90"/>
      <c r="CT67" s="90"/>
      <c r="CU67" s="90"/>
      <c r="CV67" s="90"/>
      <c r="CW67" s="90"/>
      <c r="CX67" s="90"/>
      <c r="CY67" s="90"/>
      <c r="CZ67" s="90"/>
      <c r="DA67" s="90"/>
      <c r="DB67" s="90"/>
      <c r="DC67" s="90"/>
      <c r="DD67" s="90"/>
      <c r="DE67" s="90"/>
      <c r="DF67" s="90"/>
      <c r="DG67" s="90"/>
      <c r="DH67" s="90"/>
      <c r="DI67" s="90"/>
      <c r="DJ67" s="90"/>
      <c r="DK67" s="90"/>
      <c r="DL67" s="90"/>
      <c r="DM67" s="90"/>
      <c r="DN67" s="90"/>
      <c r="DO67" s="90"/>
      <c r="DP67" s="90"/>
      <c r="DQ67" s="90"/>
      <c r="DR67" s="90"/>
      <c r="DS67" s="90"/>
      <c r="DT67" s="90"/>
      <c r="DU67" s="90"/>
      <c r="DV67" s="90"/>
      <c r="DW67" s="90"/>
      <c r="DX67" s="90"/>
      <c r="DY67" s="90"/>
      <c r="DZ67" s="90"/>
      <c r="EA67" s="90"/>
      <c r="EB67" s="90"/>
      <c r="EC67" s="90"/>
      <c r="ED67" s="90"/>
      <c r="EE67" s="90"/>
      <c r="EF67" s="90"/>
      <c r="EG67" s="90"/>
      <c r="EH67" s="90"/>
      <c r="EI67" s="90"/>
      <c r="EJ67" s="90"/>
      <c r="EK67" s="90"/>
      <c r="EL67" s="90"/>
      <c r="EM67" s="90"/>
      <c r="EN67" s="90"/>
      <c r="EO67" s="90"/>
      <c r="EP67" s="90"/>
      <c r="EQ67" s="90"/>
      <c r="ER67" s="90"/>
      <c r="ES67" s="90"/>
      <c r="ET67" s="90"/>
      <c r="EU67" s="90"/>
      <c r="EV67" s="90"/>
      <c r="EW67" s="90"/>
      <c r="EX67" s="90"/>
      <c r="EY67" s="90"/>
      <c r="EZ67" s="90"/>
      <c r="FA67" s="90"/>
      <c r="FB67" s="90"/>
      <c r="FC67" s="90"/>
      <c r="FD67" s="90"/>
      <c r="FE67" s="90"/>
      <c r="FF67" s="90"/>
      <c r="FG67" s="90"/>
      <c r="FH67" s="90"/>
      <c r="FI67" s="90"/>
      <c r="FJ67" s="90"/>
      <c r="FK67" s="90"/>
      <c r="FL67" s="90"/>
      <c r="FM67" s="90"/>
      <c r="FN67" s="90"/>
      <c r="FO67" s="90"/>
      <c r="FP67" s="90"/>
      <c r="FQ67" s="90"/>
      <c r="FR67" s="90"/>
      <c r="FS67" s="90"/>
      <c r="FT67" s="90"/>
      <c r="FU67" s="90"/>
      <c r="FV67" s="90"/>
      <c r="FW67" s="90"/>
      <c r="FX67" s="90"/>
      <c r="FY67" s="90"/>
      <c r="FZ67" s="90"/>
      <c r="GA67" s="90"/>
      <c r="GB67" s="90"/>
      <c r="GC67" s="90"/>
      <c r="GD67" s="90"/>
      <c r="GE67" s="90"/>
      <c r="GF67" s="90"/>
      <c r="GG67" s="90"/>
      <c r="GH67" s="90"/>
      <c r="GI67" s="90"/>
      <c r="GJ67" s="90"/>
      <c r="GK67" s="90"/>
      <c r="GL67" s="90"/>
      <c r="GM67" s="90"/>
      <c r="GN67" s="90"/>
      <c r="GO67" s="90"/>
      <c r="GP67" s="90"/>
      <c r="GQ67" s="90"/>
      <c r="GR67" s="90"/>
      <c r="GS67" s="90"/>
      <c r="GT67" s="90"/>
      <c r="GU67" s="90"/>
      <c r="GV67" s="90"/>
      <c r="GW67" s="90"/>
      <c r="GX67" s="90"/>
      <c r="GY67" s="90"/>
      <c r="GZ67" s="90"/>
      <c r="HA67" s="90"/>
      <c r="HB67" s="90"/>
      <c r="HC67" s="90"/>
      <c r="HD67" s="90"/>
      <c r="HE67" s="90"/>
      <c r="HF67" s="90"/>
      <c r="HG67" s="90"/>
      <c r="HH67" s="90"/>
      <c r="HI67" s="90"/>
      <c r="HJ67" s="90"/>
      <c r="HK67" s="90"/>
      <c r="HL67" s="90"/>
      <c r="HM67" s="90"/>
      <c r="HN67" s="90"/>
      <c r="HO67" s="90"/>
      <c r="HP67" s="90"/>
      <c r="HQ67" s="90"/>
      <c r="HR67" s="90"/>
      <c r="HS67" s="90"/>
      <c r="HT67" s="90"/>
      <c r="HU67" s="90"/>
      <c r="HV67" s="90"/>
      <c r="HW67" s="90"/>
      <c r="HX67" s="90"/>
      <c r="HY67" s="90"/>
      <c r="HZ67" s="90"/>
      <c r="IA67" s="90"/>
      <c r="IB67" s="90"/>
      <c r="IC67" s="90"/>
      <c r="ID67" s="90"/>
      <c r="IE67" s="90"/>
      <c r="IF67" s="90"/>
      <c r="IG67" s="90"/>
      <c r="IH67" s="90"/>
      <c r="II67" s="90"/>
      <c r="IJ67" s="90"/>
      <c r="IK67" s="90"/>
      <c r="IL67" s="90"/>
      <c r="IM67" s="90"/>
      <c r="IN67" s="90"/>
      <c r="IO67" s="90"/>
      <c r="IP67" s="90"/>
      <c r="IQ67" s="90"/>
      <c r="IR67" s="90"/>
      <c r="IS67" s="90"/>
      <c r="IT67" s="90"/>
    </row>
    <row r="68" ht="15" spans="1:11">
      <c r="A68" s="101" t="s">
        <v>52</v>
      </c>
      <c r="B68" s="99" t="s">
        <v>8354</v>
      </c>
      <c r="C68" s="98" t="s">
        <v>8218</v>
      </c>
      <c r="D68" s="101" t="s">
        <v>5</v>
      </c>
      <c r="E68" s="101" t="s">
        <v>8355</v>
      </c>
      <c r="F68" s="98"/>
      <c r="G68" s="98" t="s">
        <v>112</v>
      </c>
      <c r="H68" s="100" t="s">
        <v>8215</v>
      </c>
      <c r="I68" s="100" t="s">
        <v>8247</v>
      </c>
      <c r="J68" s="100" t="s">
        <v>8220</v>
      </c>
      <c r="K68" s="107"/>
    </row>
    <row r="69" ht="15" spans="1:11">
      <c r="A69" s="101" t="s">
        <v>52</v>
      </c>
      <c r="B69" s="99" t="s">
        <v>8356</v>
      </c>
      <c r="C69" s="98" t="s">
        <v>8218</v>
      </c>
      <c r="D69" s="101" t="s">
        <v>4</v>
      </c>
      <c r="E69" s="101" t="s">
        <v>8357</v>
      </c>
      <c r="F69" s="98"/>
      <c r="G69" s="98" t="s">
        <v>112</v>
      </c>
      <c r="H69" s="100" t="s">
        <v>8215</v>
      </c>
      <c r="I69" s="100" t="s">
        <v>8215</v>
      </c>
      <c r="J69" s="100">
        <v>3</v>
      </c>
      <c r="K69" s="107"/>
    </row>
    <row r="70" ht="15" spans="1:11">
      <c r="A70" s="101" t="s">
        <v>52</v>
      </c>
      <c r="B70" s="99" t="s">
        <v>8358</v>
      </c>
      <c r="C70" s="98" t="s">
        <v>8218</v>
      </c>
      <c r="D70" s="101" t="s">
        <v>4</v>
      </c>
      <c r="E70" s="101" t="s">
        <v>8357</v>
      </c>
      <c r="F70" s="98"/>
      <c r="G70" s="98" t="s">
        <v>112</v>
      </c>
      <c r="H70" s="100" t="s">
        <v>8215</v>
      </c>
      <c r="I70" s="100" t="s">
        <v>8247</v>
      </c>
      <c r="J70" s="100" t="s">
        <v>8359</v>
      </c>
      <c r="K70" s="107"/>
    </row>
    <row r="71" ht="15" spans="1:11">
      <c r="A71" s="101" t="s">
        <v>52</v>
      </c>
      <c r="B71" s="99" t="s">
        <v>8360</v>
      </c>
      <c r="C71" s="98" t="s">
        <v>8258</v>
      </c>
      <c r="D71" s="101" t="s">
        <v>4</v>
      </c>
      <c r="E71" s="101" t="s">
        <v>8361</v>
      </c>
      <c r="F71" s="98"/>
      <c r="G71" s="98" t="s">
        <v>112</v>
      </c>
      <c r="H71" s="100" t="s">
        <v>8215</v>
      </c>
      <c r="I71" s="100" t="s">
        <v>8215</v>
      </c>
      <c r="J71" s="100" t="s">
        <v>8220</v>
      </c>
      <c r="K71" s="107"/>
    </row>
    <row r="72" ht="30" spans="1:11">
      <c r="A72" s="101" t="s">
        <v>52</v>
      </c>
      <c r="B72" s="99" t="s">
        <v>8362</v>
      </c>
      <c r="C72" s="98" t="s">
        <v>8218</v>
      </c>
      <c r="D72" s="101" t="s">
        <v>2807</v>
      </c>
      <c r="E72" s="101" t="s">
        <v>6413</v>
      </c>
      <c r="F72" s="101"/>
      <c r="G72" s="98" t="s">
        <v>112</v>
      </c>
      <c r="H72" s="100" t="s">
        <v>8215</v>
      </c>
      <c r="I72" s="100" t="s">
        <v>8215</v>
      </c>
      <c r="J72" s="100" t="s">
        <v>8220</v>
      </c>
      <c r="K72" s="107"/>
    </row>
    <row r="73" ht="15" spans="1:11">
      <c r="A73" s="101" t="s">
        <v>52</v>
      </c>
      <c r="B73" s="99" t="s">
        <v>8363</v>
      </c>
      <c r="C73" s="98" t="s">
        <v>8258</v>
      </c>
      <c r="D73" s="101" t="s">
        <v>5</v>
      </c>
      <c r="E73" s="101" t="s">
        <v>8364</v>
      </c>
      <c r="F73" s="98"/>
      <c r="G73" s="98" t="s">
        <v>112</v>
      </c>
      <c r="H73" s="100" t="s">
        <v>8215</v>
      </c>
      <c r="I73" s="100" t="s">
        <v>8215</v>
      </c>
      <c r="J73" s="100" t="s">
        <v>8220</v>
      </c>
      <c r="K73" s="107"/>
    </row>
    <row r="74" ht="15" spans="1:11">
      <c r="A74" s="101" t="s">
        <v>52</v>
      </c>
      <c r="B74" s="99" t="s">
        <v>8365</v>
      </c>
      <c r="C74" s="98" t="s">
        <v>8258</v>
      </c>
      <c r="D74" s="101" t="s">
        <v>4</v>
      </c>
      <c r="E74" s="101" t="s">
        <v>8366</v>
      </c>
      <c r="F74" s="98"/>
      <c r="G74" s="98" t="s">
        <v>112</v>
      </c>
      <c r="H74" s="100" t="s">
        <v>8215</v>
      </c>
      <c r="I74" s="100" t="s">
        <v>8215</v>
      </c>
      <c r="J74" s="100" t="s">
        <v>8367</v>
      </c>
      <c r="K74" s="107"/>
    </row>
    <row r="75" ht="15" spans="1:11">
      <c r="A75" s="101" t="s">
        <v>52</v>
      </c>
      <c r="B75" s="99" t="s">
        <v>8368</v>
      </c>
      <c r="C75" s="98" t="s">
        <v>8258</v>
      </c>
      <c r="D75" s="101" t="s">
        <v>4</v>
      </c>
      <c r="E75" s="101" t="s">
        <v>8366</v>
      </c>
      <c r="F75" s="98"/>
      <c r="G75" s="98" t="s">
        <v>112</v>
      </c>
      <c r="H75" s="100" t="s">
        <v>8215</v>
      </c>
      <c r="I75" s="100" t="s">
        <v>8215</v>
      </c>
      <c r="J75" s="100">
        <v>0.3</v>
      </c>
      <c r="K75" s="107"/>
    </row>
    <row r="76" ht="15" spans="1:11">
      <c r="A76" s="101" t="s">
        <v>52</v>
      </c>
      <c r="B76" s="99" t="s">
        <v>8369</v>
      </c>
      <c r="C76" s="98" t="s">
        <v>8258</v>
      </c>
      <c r="D76" s="101" t="s">
        <v>4</v>
      </c>
      <c r="E76" s="101" t="s">
        <v>8370</v>
      </c>
      <c r="F76" s="98"/>
      <c r="G76" s="98" t="s">
        <v>112</v>
      </c>
      <c r="H76" s="100" t="s">
        <v>8215</v>
      </c>
      <c r="I76" s="100" t="s">
        <v>8215</v>
      </c>
      <c r="J76" s="100" t="s">
        <v>8220</v>
      </c>
      <c r="K76" s="107"/>
    </row>
    <row r="77" ht="15" spans="1:11">
      <c r="A77" s="101" t="s">
        <v>52</v>
      </c>
      <c r="B77" s="100" t="s">
        <v>8371</v>
      </c>
      <c r="C77" s="98" t="s">
        <v>8258</v>
      </c>
      <c r="D77" s="101" t="s">
        <v>4</v>
      </c>
      <c r="E77" s="101" t="s">
        <v>8372</v>
      </c>
      <c r="F77" s="98"/>
      <c r="G77" s="98" t="s">
        <v>112</v>
      </c>
      <c r="H77" s="100" t="s">
        <v>8215</v>
      </c>
      <c r="I77" s="100" t="s">
        <v>8320</v>
      </c>
      <c r="J77" s="100" t="s">
        <v>8220</v>
      </c>
      <c r="K77" s="107"/>
    </row>
    <row r="78" ht="15" spans="1:11">
      <c r="A78" s="101" t="s">
        <v>52</v>
      </c>
      <c r="B78" s="99" t="s">
        <v>8373</v>
      </c>
      <c r="C78" s="98" t="s">
        <v>8258</v>
      </c>
      <c r="D78" s="101" t="s">
        <v>4</v>
      </c>
      <c r="E78" s="101" t="s">
        <v>8374</v>
      </c>
      <c r="F78" s="98"/>
      <c r="G78" s="98" t="s">
        <v>112</v>
      </c>
      <c r="H78" s="100" t="s">
        <v>8215</v>
      </c>
      <c r="I78" s="100" t="s">
        <v>8215</v>
      </c>
      <c r="J78" s="100" t="s">
        <v>8220</v>
      </c>
      <c r="K78" s="107"/>
    </row>
    <row r="79" ht="60" spans="1:11">
      <c r="A79" s="101" t="s">
        <v>52</v>
      </c>
      <c r="B79" s="99" t="s">
        <v>8375</v>
      </c>
      <c r="C79" s="98" t="s">
        <v>8213</v>
      </c>
      <c r="D79" s="101" t="s">
        <v>4</v>
      </c>
      <c r="E79" s="101" t="s">
        <v>8376</v>
      </c>
      <c r="F79" s="98"/>
      <c r="G79" s="98" t="s">
        <v>112</v>
      </c>
      <c r="H79" s="100" t="s">
        <v>8377</v>
      </c>
      <c r="I79" s="100" t="s">
        <v>8378</v>
      </c>
      <c r="J79" s="100" t="s">
        <v>8220</v>
      </c>
      <c r="K79" s="107"/>
    </row>
    <row r="80" ht="15" spans="1:11">
      <c r="A80" s="101" t="s">
        <v>52</v>
      </c>
      <c r="B80" s="99" t="s">
        <v>8379</v>
      </c>
      <c r="C80" s="98" t="s">
        <v>8258</v>
      </c>
      <c r="D80" s="101" t="s">
        <v>4</v>
      </c>
      <c r="E80" s="101" t="s">
        <v>8380</v>
      </c>
      <c r="F80" s="98"/>
      <c r="G80" s="98" t="s">
        <v>112</v>
      </c>
      <c r="H80" s="100" t="s">
        <v>8215</v>
      </c>
      <c r="I80" s="100" t="s">
        <v>8215</v>
      </c>
      <c r="J80" s="100" t="s">
        <v>8220</v>
      </c>
      <c r="K80" s="107"/>
    </row>
    <row r="81" s="92" customFormat="1" ht="15" spans="1:256">
      <c r="A81" s="99" t="s">
        <v>8381</v>
      </c>
      <c r="B81" s="99" t="s">
        <v>8382</v>
      </c>
      <c r="C81" s="99" t="s">
        <v>8272</v>
      </c>
      <c r="D81" s="99" t="s">
        <v>4</v>
      </c>
      <c r="E81" s="99" t="s">
        <v>8380</v>
      </c>
      <c r="F81" s="99"/>
      <c r="G81" s="99" t="s">
        <v>112</v>
      </c>
      <c r="H81" s="99" t="s">
        <v>8215</v>
      </c>
      <c r="I81" s="99" t="s">
        <v>8215</v>
      </c>
      <c r="J81" s="99" t="s">
        <v>8383</v>
      </c>
      <c r="K81" s="109">
        <v>45930</v>
      </c>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115"/>
      <c r="BG81" s="115"/>
      <c r="BH81" s="115"/>
      <c r="BI81" s="115"/>
      <c r="BJ81" s="115"/>
      <c r="BK81" s="115"/>
      <c r="BL81" s="115"/>
      <c r="BM81" s="115"/>
      <c r="BN81" s="115"/>
      <c r="BO81" s="115"/>
      <c r="BP81" s="115"/>
      <c r="BQ81" s="115"/>
      <c r="BR81" s="115"/>
      <c r="BS81" s="115"/>
      <c r="BT81" s="115"/>
      <c r="BU81" s="115"/>
      <c r="BV81" s="115"/>
      <c r="BW81" s="115"/>
      <c r="BX81" s="115"/>
      <c r="BY81" s="115"/>
      <c r="BZ81" s="115"/>
      <c r="CA81" s="115"/>
      <c r="CB81" s="115"/>
      <c r="CC81" s="115"/>
      <c r="CD81" s="115"/>
      <c r="CE81" s="115"/>
      <c r="CF81" s="115"/>
      <c r="CG81" s="115"/>
      <c r="CH81" s="115"/>
      <c r="CI81" s="115"/>
      <c r="CJ81" s="115"/>
      <c r="CK81" s="115"/>
      <c r="CL81" s="115"/>
      <c r="CM81" s="115"/>
      <c r="CN81" s="115"/>
      <c r="CO81" s="115"/>
      <c r="CP81" s="115"/>
      <c r="CQ81" s="115"/>
      <c r="CR81" s="115"/>
      <c r="CS81" s="115"/>
      <c r="CT81" s="115"/>
      <c r="CU81" s="115"/>
      <c r="CV81" s="115"/>
      <c r="CW81" s="115"/>
      <c r="CX81" s="115"/>
      <c r="CY81" s="115"/>
      <c r="CZ81" s="115"/>
      <c r="DA81" s="115"/>
      <c r="DB81" s="115"/>
      <c r="DC81" s="115"/>
      <c r="DD81" s="115"/>
      <c r="DE81" s="115"/>
      <c r="DF81" s="115"/>
      <c r="DG81" s="115"/>
      <c r="DH81" s="115"/>
      <c r="DI81" s="115"/>
      <c r="DJ81" s="115"/>
      <c r="DK81" s="115"/>
      <c r="DL81" s="115"/>
      <c r="DM81" s="115"/>
      <c r="DN81" s="115"/>
      <c r="DO81" s="115"/>
      <c r="DP81" s="115"/>
      <c r="DQ81" s="115"/>
      <c r="DR81" s="115"/>
      <c r="DS81" s="115"/>
      <c r="DT81" s="115"/>
      <c r="DU81" s="115"/>
      <c r="DV81" s="115"/>
      <c r="DW81" s="115"/>
      <c r="DX81" s="115"/>
      <c r="DY81" s="115"/>
      <c r="DZ81" s="115"/>
      <c r="EA81" s="115"/>
      <c r="EB81" s="115"/>
      <c r="EC81" s="115"/>
      <c r="ED81" s="115"/>
      <c r="EE81" s="115"/>
      <c r="EF81" s="115"/>
      <c r="EG81" s="115"/>
      <c r="EH81" s="115"/>
      <c r="EI81" s="115"/>
      <c r="EJ81" s="115"/>
      <c r="EK81" s="115"/>
      <c r="EL81" s="115"/>
      <c r="EM81" s="115"/>
      <c r="EN81" s="115"/>
      <c r="EO81" s="115"/>
      <c r="EP81" s="115"/>
      <c r="EQ81" s="115"/>
      <c r="ER81" s="115"/>
      <c r="ES81" s="115"/>
      <c r="ET81" s="115"/>
      <c r="EU81" s="115"/>
      <c r="EV81" s="115"/>
      <c r="EW81" s="115"/>
      <c r="EX81" s="115"/>
      <c r="EY81" s="115"/>
      <c r="EZ81" s="115"/>
      <c r="FA81" s="115"/>
      <c r="FB81" s="115"/>
      <c r="FC81" s="115"/>
      <c r="FD81" s="115"/>
      <c r="FE81" s="115"/>
      <c r="FF81" s="115"/>
      <c r="FG81" s="115"/>
      <c r="FH81" s="115"/>
      <c r="FI81" s="115"/>
      <c r="FJ81" s="115"/>
      <c r="FK81" s="115"/>
      <c r="FL81" s="115"/>
      <c r="FM81" s="115"/>
      <c r="FN81" s="115"/>
      <c r="FO81" s="115"/>
      <c r="FP81" s="115"/>
      <c r="FQ81" s="115"/>
      <c r="FR81" s="115"/>
      <c r="FS81" s="115"/>
      <c r="FT81" s="115"/>
      <c r="FU81" s="115"/>
      <c r="FV81" s="115"/>
      <c r="FW81" s="115"/>
      <c r="FX81" s="115"/>
      <c r="FY81" s="115"/>
      <c r="FZ81" s="115"/>
      <c r="GA81" s="115"/>
      <c r="GB81" s="115"/>
      <c r="GC81" s="115"/>
      <c r="GD81" s="115"/>
      <c r="GE81" s="115"/>
      <c r="GF81" s="115"/>
      <c r="GG81" s="115"/>
      <c r="GH81" s="115"/>
      <c r="GI81" s="115"/>
      <c r="GJ81" s="115"/>
      <c r="GK81" s="115"/>
      <c r="GL81" s="115"/>
      <c r="GM81" s="115"/>
      <c r="GN81" s="115"/>
      <c r="GO81" s="115"/>
      <c r="GP81" s="115"/>
      <c r="GQ81" s="115"/>
      <c r="GR81" s="115"/>
      <c r="GS81" s="115"/>
      <c r="GT81" s="115"/>
      <c r="GU81" s="115"/>
      <c r="GV81" s="115"/>
      <c r="GW81" s="115"/>
      <c r="GX81" s="115"/>
      <c r="GY81" s="115"/>
      <c r="GZ81" s="115"/>
      <c r="HA81" s="115"/>
      <c r="HB81" s="115"/>
      <c r="HC81" s="115"/>
      <c r="HD81" s="115"/>
      <c r="HE81" s="115"/>
      <c r="HF81" s="115"/>
      <c r="HG81" s="115"/>
      <c r="HH81" s="115"/>
      <c r="HI81" s="115"/>
      <c r="HJ81" s="115"/>
      <c r="HK81" s="115"/>
      <c r="HL81" s="115"/>
      <c r="HM81" s="115"/>
      <c r="HN81" s="115"/>
      <c r="HO81" s="115"/>
      <c r="HP81" s="115"/>
      <c r="HQ81" s="115"/>
      <c r="HR81" s="115"/>
      <c r="HS81" s="115"/>
      <c r="HT81" s="115"/>
      <c r="HU81" s="115"/>
      <c r="HV81" s="115"/>
      <c r="HW81" s="115"/>
      <c r="HX81" s="115"/>
      <c r="HY81" s="115"/>
      <c r="HZ81" s="115"/>
      <c r="IA81" s="115"/>
      <c r="IB81" s="115"/>
      <c r="IC81" s="115"/>
      <c r="ID81" s="115"/>
      <c r="IE81" s="115"/>
      <c r="IF81" s="115"/>
      <c r="IG81" s="115"/>
      <c r="IH81" s="115"/>
      <c r="II81" s="115"/>
      <c r="IJ81" s="115"/>
      <c r="IK81" s="115"/>
      <c r="IL81" s="115"/>
      <c r="IM81" s="115"/>
      <c r="IN81" s="115"/>
      <c r="IO81" s="115"/>
      <c r="IP81" s="115"/>
      <c r="IQ81" s="115"/>
      <c r="IR81" s="115"/>
      <c r="IS81" s="115"/>
      <c r="IT81" s="115"/>
      <c r="IU81" s="115"/>
      <c r="IV81" s="115"/>
    </row>
    <row r="82" ht="15" spans="1:11">
      <c r="A82" s="101" t="s">
        <v>52</v>
      </c>
      <c r="B82" s="99" t="s">
        <v>8384</v>
      </c>
      <c r="C82" s="98" t="s">
        <v>8258</v>
      </c>
      <c r="D82" s="101" t="s">
        <v>4</v>
      </c>
      <c r="E82" s="101" t="s">
        <v>8385</v>
      </c>
      <c r="F82" s="98"/>
      <c r="G82" s="98" t="s">
        <v>112</v>
      </c>
      <c r="H82" s="100" t="s">
        <v>8215</v>
      </c>
      <c r="I82" s="100" t="s">
        <v>8215</v>
      </c>
      <c r="J82" s="100" t="s">
        <v>8386</v>
      </c>
      <c r="K82" s="107"/>
    </row>
    <row r="83" ht="15" spans="1:11">
      <c r="A83" s="101" t="s">
        <v>52</v>
      </c>
      <c r="B83" s="99" t="s">
        <v>8387</v>
      </c>
      <c r="C83" s="98" t="s">
        <v>8229</v>
      </c>
      <c r="D83" s="101" t="s">
        <v>4</v>
      </c>
      <c r="E83" s="101" t="s">
        <v>8385</v>
      </c>
      <c r="F83" s="98"/>
      <c r="G83" s="98" t="s">
        <v>112</v>
      </c>
      <c r="H83" s="100" t="s">
        <v>8215</v>
      </c>
      <c r="I83" s="100" t="s">
        <v>8247</v>
      </c>
      <c r="J83" s="100" t="s">
        <v>8388</v>
      </c>
      <c r="K83" s="107"/>
    </row>
    <row r="84" ht="15" spans="1:11">
      <c r="A84" s="101" t="s">
        <v>52</v>
      </c>
      <c r="B84" s="99" t="s">
        <v>8389</v>
      </c>
      <c r="C84" s="98" t="s">
        <v>8258</v>
      </c>
      <c r="D84" s="101" t="s">
        <v>5</v>
      </c>
      <c r="E84" s="101" t="s">
        <v>8390</v>
      </c>
      <c r="F84" s="98"/>
      <c r="G84" s="98" t="s">
        <v>112</v>
      </c>
      <c r="H84" s="100" t="s">
        <v>8215</v>
      </c>
      <c r="I84" s="100" t="s">
        <v>8247</v>
      </c>
      <c r="J84" s="100">
        <v>2.5</v>
      </c>
      <c r="K84" s="107"/>
    </row>
    <row r="85" ht="15" spans="1:11">
      <c r="A85" s="101" t="s">
        <v>52</v>
      </c>
      <c r="B85" s="99" t="s">
        <v>8391</v>
      </c>
      <c r="C85" s="98" t="s">
        <v>8258</v>
      </c>
      <c r="D85" s="101" t="s">
        <v>5</v>
      </c>
      <c r="E85" s="101" t="s">
        <v>8392</v>
      </c>
      <c r="F85" s="101"/>
      <c r="G85" s="98" t="s">
        <v>112</v>
      </c>
      <c r="H85" s="100" t="s">
        <v>8215</v>
      </c>
      <c r="I85" s="100" t="s">
        <v>8215</v>
      </c>
      <c r="J85" s="100" t="s">
        <v>8220</v>
      </c>
      <c r="K85" s="107"/>
    </row>
    <row r="86" ht="30" spans="1:11">
      <c r="A86" s="101" t="s">
        <v>52</v>
      </c>
      <c r="B86" s="99" t="s">
        <v>8393</v>
      </c>
      <c r="C86" s="98" t="s">
        <v>8218</v>
      </c>
      <c r="D86" s="101" t="s">
        <v>5</v>
      </c>
      <c r="E86" s="101" t="s">
        <v>8394</v>
      </c>
      <c r="F86" s="101"/>
      <c r="G86" s="98" t="s">
        <v>112</v>
      </c>
      <c r="H86" s="100" t="s">
        <v>8395</v>
      </c>
      <c r="I86" s="100" t="s">
        <v>8320</v>
      </c>
      <c r="J86" s="100" t="s">
        <v>8220</v>
      </c>
      <c r="K86" s="107"/>
    </row>
    <row r="87" ht="30" spans="1:11">
      <c r="A87" s="101" t="s">
        <v>52</v>
      </c>
      <c r="B87" s="99" t="s">
        <v>8396</v>
      </c>
      <c r="C87" s="98" t="s">
        <v>8258</v>
      </c>
      <c r="D87" s="101" t="s">
        <v>4</v>
      </c>
      <c r="E87" s="101" t="s">
        <v>8397</v>
      </c>
      <c r="F87" s="98"/>
      <c r="G87" s="98" t="s">
        <v>112</v>
      </c>
      <c r="H87" s="100" t="s">
        <v>8398</v>
      </c>
      <c r="I87" s="100" t="s">
        <v>8378</v>
      </c>
      <c r="J87" s="100" t="s">
        <v>8220</v>
      </c>
      <c r="K87" s="107"/>
    </row>
    <row r="88" ht="75" spans="1:11">
      <c r="A88" s="101" t="s">
        <v>52</v>
      </c>
      <c r="B88" s="99" t="s">
        <v>8399</v>
      </c>
      <c r="C88" s="98" t="s">
        <v>8258</v>
      </c>
      <c r="D88" s="101" t="s">
        <v>4</v>
      </c>
      <c r="E88" s="101" t="s">
        <v>8397</v>
      </c>
      <c r="F88" s="98"/>
      <c r="G88" s="98" t="s">
        <v>112</v>
      </c>
      <c r="H88" s="100" t="s">
        <v>8400</v>
      </c>
      <c r="I88" s="100" t="s">
        <v>8401</v>
      </c>
      <c r="J88" s="100" t="s">
        <v>8220</v>
      </c>
      <c r="K88" s="107"/>
    </row>
    <row r="89" ht="15" spans="1:11">
      <c r="A89" s="101" t="s">
        <v>52</v>
      </c>
      <c r="B89" s="99" t="s">
        <v>8402</v>
      </c>
      <c r="C89" s="98" t="s">
        <v>8258</v>
      </c>
      <c r="D89" s="101" t="s">
        <v>4</v>
      </c>
      <c r="E89" s="101" t="s">
        <v>8397</v>
      </c>
      <c r="F89" s="98"/>
      <c r="G89" s="98" t="s">
        <v>112</v>
      </c>
      <c r="H89" s="100" t="s">
        <v>8215</v>
      </c>
      <c r="I89" s="100" t="s">
        <v>8215</v>
      </c>
      <c r="J89" s="100" t="s">
        <v>8220</v>
      </c>
      <c r="K89" s="107"/>
    </row>
    <row r="90" ht="15" spans="1:11">
      <c r="A90" s="101" t="s">
        <v>52</v>
      </c>
      <c r="B90" s="100" t="s">
        <v>8403</v>
      </c>
      <c r="C90" s="98" t="s">
        <v>8240</v>
      </c>
      <c r="D90" s="98" t="s">
        <v>4</v>
      </c>
      <c r="E90" s="98" t="s">
        <v>8404</v>
      </c>
      <c r="F90" s="98"/>
      <c r="G90" s="98" t="s">
        <v>112</v>
      </c>
      <c r="H90" s="100" t="s">
        <v>8215</v>
      </c>
      <c r="I90" s="100" t="s">
        <v>8215</v>
      </c>
      <c r="J90" s="49" t="s">
        <v>8405</v>
      </c>
      <c r="K90" s="107"/>
    </row>
    <row r="91" ht="15" spans="1:11">
      <c r="A91" s="101" t="s">
        <v>52</v>
      </c>
      <c r="B91" s="99" t="s">
        <v>8406</v>
      </c>
      <c r="C91" s="98" t="s">
        <v>8240</v>
      </c>
      <c r="D91" s="101" t="s">
        <v>4</v>
      </c>
      <c r="E91" s="101" t="s">
        <v>8407</v>
      </c>
      <c r="F91" s="98"/>
      <c r="G91" s="98" t="s">
        <v>112</v>
      </c>
      <c r="H91" s="100" t="s">
        <v>8215</v>
      </c>
      <c r="I91" s="100"/>
      <c r="J91" s="100" t="s">
        <v>8220</v>
      </c>
      <c r="K91" s="107"/>
    </row>
    <row r="92" ht="15" spans="1:11">
      <c r="A92" s="101" t="s">
        <v>52</v>
      </c>
      <c r="B92" s="99" t="s">
        <v>8408</v>
      </c>
      <c r="C92" s="98" t="s">
        <v>8213</v>
      </c>
      <c r="D92" s="101" t="s">
        <v>4</v>
      </c>
      <c r="E92" s="101" t="s">
        <v>8409</v>
      </c>
      <c r="F92" s="98"/>
      <c r="G92" s="98" t="s">
        <v>112</v>
      </c>
      <c r="H92" s="100" t="s">
        <v>8215</v>
      </c>
      <c r="I92" s="100"/>
      <c r="J92" s="100" t="s">
        <v>8220</v>
      </c>
      <c r="K92" s="107"/>
    </row>
    <row r="93" ht="15" spans="1:11">
      <c r="A93" s="101" t="s">
        <v>52</v>
      </c>
      <c r="B93" s="99" t="s">
        <v>8410</v>
      </c>
      <c r="C93" s="98" t="s">
        <v>8218</v>
      </c>
      <c r="D93" s="101" t="s">
        <v>4</v>
      </c>
      <c r="E93" s="101" t="s">
        <v>8411</v>
      </c>
      <c r="F93" s="98"/>
      <c r="G93" s="98" t="s">
        <v>112</v>
      </c>
      <c r="H93" s="100" t="s">
        <v>8215</v>
      </c>
      <c r="I93" s="100"/>
      <c r="J93" s="100" t="s">
        <v>8220</v>
      </c>
      <c r="K93" s="107"/>
    </row>
    <row r="94" s="89" customFormat="1" ht="15" spans="1:256">
      <c r="A94" s="101" t="s">
        <v>52</v>
      </c>
      <c r="B94" s="99" t="s">
        <v>8412</v>
      </c>
      <c r="C94" s="99" t="s">
        <v>8272</v>
      </c>
      <c r="D94" s="99" t="s">
        <v>4</v>
      </c>
      <c r="E94" s="99" t="s">
        <v>1811</v>
      </c>
      <c r="F94" s="99"/>
      <c r="G94" s="99" t="s">
        <v>112</v>
      </c>
      <c r="H94" s="99" t="s">
        <v>8215</v>
      </c>
      <c r="I94" s="99" t="s">
        <v>8215</v>
      </c>
      <c r="J94" s="99" t="s">
        <v>8413</v>
      </c>
      <c r="K94" s="109">
        <v>45888</v>
      </c>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2"/>
      <c r="BZ94" s="92"/>
      <c r="CA94" s="92"/>
      <c r="CB94" s="92"/>
      <c r="CC94" s="92"/>
      <c r="CD94" s="92"/>
      <c r="CE94" s="92"/>
      <c r="CF94" s="92"/>
      <c r="CG94" s="92"/>
      <c r="CH94" s="92"/>
      <c r="CI94" s="92"/>
      <c r="CJ94" s="92"/>
      <c r="CK94" s="92"/>
      <c r="CL94" s="92"/>
      <c r="CM94" s="92"/>
      <c r="CN94" s="92"/>
      <c r="CO94" s="92"/>
      <c r="CP94" s="92"/>
      <c r="CQ94" s="92"/>
      <c r="CR94" s="92"/>
      <c r="CS94" s="92"/>
      <c r="CT94" s="92"/>
      <c r="CU94" s="92"/>
      <c r="CV94" s="92"/>
      <c r="CW94" s="92"/>
      <c r="CX94" s="92"/>
      <c r="CY94" s="92"/>
      <c r="CZ94" s="92"/>
      <c r="DA94" s="92"/>
      <c r="DB94" s="92"/>
      <c r="DC94" s="92"/>
      <c r="DD94" s="92"/>
      <c r="DE94" s="92"/>
      <c r="DF94" s="92"/>
      <c r="DG94" s="92"/>
      <c r="DH94" s="92"/>
      <c r="DI94" s="92"/>
      <c r="DJ94" s="92"/>
      <c r="DK94" s="92"/>
      <c r="DL94" s="92"/>
      <c r="DM94" s="92"/>
      <c r="DN94" s="92"/>
      <c r="DO94" s="92"/>
      <c r="DP94" s="92"/>
      <c r="DQ94" s="92"/>
      <c r="DR94" s="92"/>
      <c r="DS94" s="92"/>
      <c r="DT94" s="92"/>
      <c r="DU94" s="92"/>
      <c r="DV94" s="92"/>
      <c r="DW94" s="92"/>
      <c r="DX94" s="92"/>
      <c r="DY94" s="92"/>
      <c r="DZ94" s="92"/>
      <c r="EA94" s="92"/>
      <c r="EB94" s="92"/>
      <c r="EC94" s="92"/>
      <c r="ED94" s="92"/>
      <c r="EE94" s="92"/>
      <c r="EF94" s="92"/>
      <c r="EG94" s="92"/>
      <c r="EH94" s="92"/>
      <c r="EI94" s="92"/>
      <c r="EJ94" s="92"/>
      <c r="EK94" s="92"/>
      <c r="EL94" s="92"/>
      <c r="EM94" s="92"/>
      <c r="EN94" s="92"/>
      <c r="EO94" s="92"/>
      <c r="EP94" s="92"/>
      <c r="EQ94" s="92"/>
      <c r="ER94" s="92"/>
      <c r="ES94" s="92"/>
      <c r="ET94" s="92"/>
      <c r="EU94" s="92"/>
      <c r="EV94" s="92"/>
      <c r="EW94" s="92"/>
      <c r="EX94" s="92"/>
      <c r="EY94" s="92"/>
      <c r="EZ94" s="92"/>
      <c r="FA94" s="92"/>
      <c r="FB94" s="92"/>
      <c r="FC94" s="92"/>
      <c r="FD94" s="92"/>
      <c r="FE94" s="92"/>
      <c r="FF94" s="92"/>
      <c r="FG94" s="92"/>
      <c r="FH94" s="92"/>
      <c r="FI94" s="92"/>
      <c r="FJ94" s="92"/>
      <c r="FK94" s="92"/>
      <c r="FL94" s="92"/>
      <c r="FM94" s="92"/>
      <c r="FN94" s="92"/>
      <c r="FO94" s="92"/>
      <c r="FP94" s="92"/>
      <c r="FQ94" s="92"/>
      <c r="FR94" s="92"/>
      <c r="FS94" s="92"/>
      <c r="FT94" s="92"/>
      <c r="FU94" s="92"/>
      <c r="FV94" s="92"/>
      <c r="FW94" s="92"/>
      <c r="FX94" s="92"/>
      <c r="FY94" s="92"/>
      <c r="FZ94" s="92"/>
      <c r="GA94" s="92"/>
      <c r="GB94" s="92"/>
      <c r="GC94" s="92"/>
      <c r="GD94" s="92"/>
      <c r="GE94" s="92"/>
      <c r="GF94" s="92"/>
      <c r="GG94" s="92"/>
      <c r="GH94" s="92"/>
      <c r="GI94" s="92"/>
      <c r="GJ94" s="92"/>
      <c r="GK94" s="92"/>
      <c r="GL94" s="92"/>
      <c r="GM94" s="92"/>
      <c r="GN94" s="92"/>
      <c r="GO94" s="92"/>
      <c r="GP94" s="92"/>
      <c r="GQ94" s="92"/>
      <c r="GR94" s="92"/>
      <c r="GS94" s="92"/>
      <c r="GT94" s="92"/>
      <c r="GU94" s="92"/>
      <c r="GV94" s="92"/>
      <c r="GW94" s="92"/>
      <c r="GX94" s="92"/>
      <c r="GY94" s="92"/>
      <c r="GZ94" s="92"/>
      <c r="HA94" s="92"/>
      <c r="HB94" s="92"/>
      <c r="HC94" s="92"/>
      <c r="HD94" s="92"/>
      <c r="HE94" s="92"/>
      <c r="HF94" s="92"/>
      <c r="HG94" s="92"/>
      <c r="HH94" s="92"/>
      <c r="HI94" s="92"/>
      <c r="HJ94" s="92"/>
      <c r="HK94" s="92"/>
      <c r="HL94" s="92"/>
      <c r="HM94" s="92"/>
      <c r="HN94" s="92"/>
      <c r="HO94" s="92"/>
      <c r="HP94" s="92"/>
      <c r="HQ94" s="92"/>
      <c r="HR94" s="92"/>
      <c r="HS94" s="92"/>
      <c r="HT94" s="92"/>
      <c r="HU94" s="92"/>
      <c r="HV94" s="92"/>
      <c r="HW94" s="92"/>
      <c r="HX94" s="92"/>
      <c r="HY94" s="92"/>
      <c r="HZ94" s="92"/>
      <c r="IA94" s="92"/>
      <c r="IB94" s="92"/>
      <c r="IC94" s="92"/>
      <c r="ID94" s="92"/>
      <c r="IE94" s="92"/>
      <c r="IF94" s="92"/>
      <c r="IG94" s="92"/>
      <c r="IH94" s="92"/>
      <c r="II94" s="92"/>
      <c r="IJ94" s="92"/>
      <c r="IK94" s="92"/>
      <c r="IL94" s="92"/>
      <c r="IM94" s="92"/>
      <c r="IN94" s="92"/>
      <c r="IO94" s="92"/>
      <c r="IP94" s="92"/>
      <c r="IQ94" s="92"/>
      <c r="IR94" s="92"/>
      <c r="IS94" s="92"/>
      <c r="IT94" s="92"/>
      <c r="IU94" s="92"/>
      <c r="IV94" s="92"/>
    </row>
    <row r="95" ht="15" spans="1:11">
      <c r="A95" s="101" t="s">
        <v>55</v>
      </c>
      <c r="B95" s="99" t="s">
        <v>8414</v>
      </c>
      <c r="C95" s="98" t="s">
        <v>8218</v>
      </c>
      <c r="D95" s="101" t="s">
        <v>4</v>
      </c>
      <c r="E95" s="101" t="s">
        <v>8415</v>
      </c>
      <c r="F95" s="98"/>
      <c r="G95" s="98" t="s">
        <v>112</v>
      </c>
      <c r="H95" s="100" t="s">
        <v>8300</v>
      </c>
      <c r="I95" s="100" t="s">
        <v>8300</v>
      </c>
      <c r="J95" s="100" t="s">
        <v>8416</v>
      </c>
      <c r="K95" s="107"/>
    </row>
    <row r="96" ht="15" spans="1:11">
      <c r="A96" s="101" t="s">
        <v>55</v>
      </c>
      <c r="B96" s="99" t="s">
        <v>8417</v>
      </c>
      <c r="C96" s="98" t="s">
        <v>8229</v>
      </c>
      <c r="D96" s="101" t="s">
        <v>4</v>
      </c>
      <c r="E96" s="101" t="s">
        <v>8415</v>
      </c>
      <c r="F96" s="98"/>
      <c r="G96" s="98" t="s">
        <v>112</v>
      </c>
      <c r="H96" s="100" t="s">
        <v>8252</v>
      </c>
      <c r="I96" s="100" t="s">
        <v>8247</v>
      </c>
      <c r="J96" s="100" t="s">
        <v>8416</v>
      </c>
      <c r="K96" s="107"/>
    </row>
    <row r="97" ht="15" spans="1:11">
      <c r="A97" s="101" t="s">
        <v>55</v>
      </c>
      <c r="B97" s="99" t="s">
        <v>8418</v>
      </c>
      <c r="C97" s="98" t="s">
        <v>8229</v>
      </c>
      <c r="D97" s="101" t="s">
        <v>4</v>
      </c>
      <c r="E97" s="101" t="s">
        <v>8415</v>
      </c>
      <c r="F97" s="98" t="s">
        <v>8419</v>
      </c>
      <c r="G97" s="98" t="s">
        <v>112</v>
      </c>
      <c r="H97" s="100" t="s">
        <v>8215</v>
      </c>
      <c r="I97" s="100" t="s">
        <v>8215</v>
      </c>
      <c r="J97" s="100" t="s">
        <v>8416</v>
      </c>
      <c r="K97" s="107"/>
    </row>
    <row r="98" ht="15" spans="1:11">
      <c r="A98" s="101" t="s">
        <v>55</v>
      </c>
      <c r="B98" s="100" t="s">
        <v>8420</v>
      </c>
      <c r="C98" s="98" t="s">
        <v>8218</v>
      </c>
      <c r="D98" s="101" t="s">
        <v>4</v>
      </c>
      <c r="E98" s="101" t="s">
        <v>8415</v>
      </c>
      <c r="F98" s="98"/>
      <c r="G98" s="98" t="s">
        <v>112</v>
      </c>
      <c r="H98" s="100" t="s">
        <v>8215</v>
      </c>
      <c r="I98" s="100" t="s">
        <v>8215</v>
      </c>
      <c r="J98" s="100" t="s">
        <v>8416</v>
      </c>
      <c r="K98" s="107"/>
    </row>
    <row r="99" ht="15" spans="1:11">
      <c r="A99" s="101" t="s">
        <v>55</v>
      </c>
      <c r="B99" s="100" t="s">
        <v>8421</v>
      </c>
      <c r="C99" s="98" t="s">
        <v>8218</v>
      </c>
      <c r="D99" s="101" t="s">
        <v>4</v>
      </c>
      <c r="E99" s="101" t="s">
        <v>8415</v>
      </c>
      <c r="F99" s="98"/>
      <c r="G99" s="98" t="s">
        <v>112</v>
      </c>
      <c r="H99" s="100" t="s">
        <v>8215</v>
      </c>
      <c r="I99" s="100" t="s">
        <v>8215</v>
      </c>
      <c r="J99" s="100" t="s">
        <v>8416</v>
      </c>
      <c r="K99" s="107"/>
    </row>
    <row r="100" ht="15" spans="1:11">
      <c r="A100" s="101" t="s">
        <v>55</v>
      </c>
      <c r="B100" s="99" t="s">
        <v>8422</v>
      </c>
      <c r="C100" s="98" t="s">
        <v>8229</v>
      </c>
      <c r="D100" s="101" t="s">
        <v>4</v>
      </c>
      <c r="E100" s="101" t="s">
        <v>8415</v>
      </c>
      <c r="F100" s="98"/>
      <c r="G100" s="98" t="s">
        <v>112</v>
      </c>
      <c r="H100" s="100" t="s">
        <v>8215</v>
      </c>
      <c r="I100" s="100" t="s">
        <v>8247</v>
      </c>
      <c r="J100" s="100" t="s">
        <v>8416</v>
      </c>
      <c r="K100" s="107"/>
    </row>
    <row r="101" ht="15" spans="1:11">
      <c r="A101" s="101" t="s">
        <v>55</v>
      </c>
      <c r="B101" s="99" t="s">
        <v>8423</v>
      </c>
      <c r="C101" s="98" t="s">
        <v>8229</v>
      </c>
      <c r="D101" s="101" t="s">
        <v>4</v>
      </c>
      <c r="E101" s="101" t="s">
        <v>8415</v>
      </c>
      <c r="F101" s="98"/>
      <c r="G101" s="98" t="s">
        <v>112</v>
      </c>
      <c r="H101" s="100" t="s">
        <v>8252</v>
      </c>
      <c r="I101" s="100" t="s">
        <v>8247</v>
      </c>
      <c r="J101" s="100" t="s">
        <v>8416</v>
      </c>
      <c r="K101" s="107"/>
    </row>
    <row r="102" ht="15" spans="1:11">
      <c r="A102" s="101" t="s">
        <v>55</v>
      </c>
      <c r="B102" s="99" t="s">
        <v>8424</v>
      </c>
      <c r="C102" s="98" t="s">
        <v>8229</v>
      </c>
      <c r="D102" s="101" t="s">
        <v>4</v>
      </c>
      <c r="E102" s="101" t="s">
        <v>8415</v>
      </c>
      <c r="F102" s="98"/>
      <c r="G102" s="98" t="s">
        <v>112</v>
      </c>
      <c r="H102" s="100" t="s">
        <v>8425</v>
      </c>
      <c r="I102" s="100" t="s">
        <v>8247</v>
      </c>
      <c r="J102" s="100" t="s">
        <v>8416</v>
      </c>
      <c r="K102" s="107"/>
    </row>
    <row r="103" ht="30" spans="1:11">
      <c r="A103" s="101" t="s">
        <v>55</v>
      </c>
      <c r="B103" s="99" t="s">
        <v>8426</v>
      </c>
      <c r="C103" s="98" t="s">
        <v>8258</v>
      </c>
      <c r="D103" s="101" t="s">
        <v>2807</v>
      </c>
      <c r="E103" s="101" t="s">
        <v>8427</v>
      </c>
      <c r="F103" s="98"/>
      <c r="G103" s="98" t="s">
        <v>112</v>
      </c>
      <c r="H103" s="100" t="s">
        <v>8215</v>
      </c>
      <c r="I103" s="100" t="s">
        <v>8247</v>
      </c>
      <c r="J103" s="100" t="s">
        <v>8416</v>
      </c>
      <c r="K103" s="107"/>
    </row>
    <row r="104" ht="15" spans="1:11">
      <c r="A104" s="101" t="s">
        <v>55</v>
      </c>
      <c r="B104" s="99" t="s">
        <v>8428</v>
      </c>
      <c r="C104" s="98" t="s">
        <v>8258</v>
      </c>
      <c r="D104" s="98" t="s">
        <v>4</v>
      </c>
      <c r="E104" s="98" t="s">
        <v>8429</v>
      </c>
      <c r="F104" s="98"/>
      <c r="G104" s="98" t="s">
        <v>112</v>
      </c>
      <c r="H104" s="100" t="s">
        <v>8215</v>
      </c>
      <c r="I104" s="100" t="s">
        <v>8247</v>
      </c>
      <c r="J104" s="112" t="s">
        <v>8430</v>
      </c>
      <c r="K104" s="107"/>
    </row>
    <row r="105" ht="15" spans="1:11">
      <c r="A105" s="101" t="s">
        <v>55</v>
      </c>
      <c r="B105" s="99" t="s">
        <v>8431</v>
      </c>
      <c r="C105" s="98" t="s">
        <v>8258</v>
      </c>
      <c r="D105" s="101" t="s">
        <v>4</v>
      </c>
      <c r="E105" s="101" t="s">
        <v>8429</v>
      </c>
      <c r="F105" s="98"/>
      <c r="G105" s="98" t="s">
        <v>112</v>
      </c>
      <c r="H105" s="100" t="s">
        <v>8215</v>
      </c>
      <c r="I105" s="100" t="s">
        <v>8247</v>
      </c>
      <c r="J105" s="112" t="s">
        <v>8430</v>
      </c>
      <c r="K105" s="107"/>
    </row>
    <row r="106" ht="15" spans="1:11">
      <c r="A106" s="101" t="s">
        <v>55</v>
      </c>
      <c r="B106" s="99" t="s">
        <v>8432</v>
      </c>
      <c r="C106" s="98" t="s">
        <v>8258</v>
      </c>
      <c r="D106" s="101" t="s">
        <v>5</v>
      </c>
      <c r="E106" s="101" t="s">
        <v>8433</v>
      </c>
      <c r="F106" s="98"/>
      <c r="G106" s="98" t="s">
        <v>112</v>
      </c>
      <c r="H106" s="100" t="s">
        <v>8215</v>
      </c>
      <c r="I106" s="100" t="s">
        <v>8247</v>
      </c>
      <c r="J106" s="112" t="s">
        <v>8430</v>
      </c>
      <c r="K106" s="107"/>
    </row>
    <row r="107" ht="30" spans="1:11">
      <c r="A107" s="101" t="s">
        <v>55</v>
      </c>
      <c r="B107" s="99" t="s">
        <v>8434</v>
      </c>
      <c r="C107" s="98" t="s">
        <v>8258</v>
      </c>
      <c r="D107" s="101" t="s">
        <v>5</v>
      </c>
      <c r="E107" s="101" t="s">
        <v>8433</v>
      </c>
      <c r="F107" s="98"/>
      <c r="G107" s="98" t="s">
        <v>112</v>
      </c>
      <c r="H107" s="100" t="s">
        <v>8215</v>
      </c>
      <c r="I107" s="100" t="s">
        <v>8247</v>
      </c>
      <c r="J107" s="112"/>
      <c r="K107" s="107"/>
    </row>
    <row r="108" ht="15" spans="1:11">
      <c r="A108" s="101" t="s">
        <v>55</v>
      </c>
      <c r="B108" s="99" t="s">
        <v>8435</v>
      </c>
      <c r="C108" s="98" t="s">
        <v>8258</v>
      </c>
      <c r="D108" s="101" t="s">
        <v>2807</v>
      </c>
      <c r="E108" s="101" t="s">
        <v>8436</v>
      </c>
      <c r="F108" s="98"/>
      <c r="G108" s="98" t="s">
        <v>112</v>
      </c>
      <c r="H108" s="100" t="s">
        <v>8215</v>
      </c>
      <c r="I108" s="100" t="s">
        <v>8215</v>
      </c>
      <c r="J108" s="112" t="s">
        <v>8430</v>
      </c>
      <c r="K108" s="107"/>
    </row>
    <row r="109" ht="15" spans="1:11">
      <c r="A109" s="101" t="s">
        <v>55</v>
      </c>
      <c r="B109" s="99" t="s">
        <v>8437</v>
      </c>
      <c r="C109" s="98" t="s">
        <v>8258</v>
      </c>
      <c r="D109" s="101" t="s">
        <v>2807</v>
      </c>
      <c r="E109" s="101" t="s">
        <v>8436</v>
      </c>
      <c r="F109" s="98"/>
      <c r="G109" s="98" t="s">
        <v>112</v>
      </c>
      <c r="H109" s="100" t="s">
        <v>8215</v>
      </c>
      <c r="I109" s="100" t="s">
        <v>8247</v>
      </c>
      <c r="J109" s="112"/>
      <c r="K109" s="107"/>
    </row>
    <row r="110" ht="30" spans="1:11">
      <c r="A110" s="101" t="s">
        <v>55</v>
      </c>
      <c r="B110" s="99" t="s">
        <v>8438</v>
      </c>
      <c r="C110" s="98" t="s">
        <v>8258</v>
      </c>
      <c r="D110" s="101" t="s">
        <v>2807</v>
      </c>
      <c r="E110" s="101" t="s">
        <v>8439</v>
      </c>
      <c r="F110" s="98"/>
      <c r="G110" s="98" t="s">
        <v>112</v>
      </c>
      <c r="H110" s="100" t="s">
        <v>8215</v>
      </c>
      <c r="I110" s="100" t="s">
        <v>8247</v>
      </c>
      <c r="J110" s="112" t="s">
        <v>8430</v>
      </c>
      <c r="K110" s="107"/>
    </row>
    <row r="111" ht="15" spans="1:11">
      <c r="A111" s="101" t="s">
        <v>55</v>
      </c>
      <c r="B111" s="99" t="s">
        <v>8440</v>
      </c>
      <c r="C111" s="98" t="s">
        <v>8258</v>
      </c>
      <c r="D111" s="101" t="s">
        <v>5</v>
      </c>
      <c r="E111" s="101" t="s">
        <v>8441</v>
      </c>
      <c r="F111" s="98"/>
      <c r="G111" s="98" t="s">
        <v>112</v>
      </c>
      <c r="H111" s="100" t="s">
        <v>8215</v>
      </c>
      <c r="I111" s="100" t="s">
        <v>8215</v>
      </c>
      <c r="J111" s="112" t="s">
        <v>8430</v>
      </c>
      <c r="K111" s="107"/>
    </row>
    <row r="112" ht="30" spans="1:11">
      <c r="A112" s="101" t="s">
        <v>55</v>
      </c>
      <c r="B112" s="99" t="s">
        <v>8442</v>
      </c>
      <c r="C112" s="98" t="s">
        <v>8258</v>
      </c>
      <c r="D112" s="101" t="s">
        <v>2807</v>
      </c>
      <c r="E112" s="101" t="s">
        <v>8443</v>
      </c>
      <c r="F112" s="98"/>
      <c r="G112" s="98" t="s">
        <v>112</v>
      </c>
      <c r="H112" s="100" t="s">
        <v>8215</v>
      </c>
      <c r="I112" s="100" t="s">
        <v>8247</v>
      </c>
      <c r="J112" s="112" t="s">
        <v>8430</v>
      </c>
      <c r="K112" s="107"/>
    </row>
    <row r="113" ht="30" spans="1:11">
      <c r="A113" s="101" t="s">
        <v>55</v>
      </c>
      <c r="B113" s="99" t="s">
        <v>8444</v>
      </c>
      <c r="C113" s="98" t="s">
        <v>8258</v>
      </c>
      <c r="D113" s="101" t="s">
        <v>2807</v>
      </c>
      <c r="E113" s="101" t="s">
        <v>8443</v>
      </c>
      <c r="F113" s="98"/>
      <c r="G113" s="98" t="s">
        <v>112</v>
      </c>
      <c r="H113" s="100" t="s">
        <v>8215</v>
      </c>
      <c r="I113" s="100" t="s">
        <v>8247</v>
      </c>
      <c r="J113" s="112" t="s">
        <v>8430</v>
      </c>
      <c r="K113" s="107"/>
    </row>
    <row r="114" ht="15" spans="1:11">
      <c r="A114" s="101" t="s">
        <v>55</v>
      </c>
      <c r="B114" s="99" t="s">
        <v>8445</v>
      </c>
      <c r="C114" s="98" t="s">
        <v>8258</v>
      </c>
      <c r="D114" s="101" t="s">
        <v>2807</v>
      </c>
      <c r="E114" s="101" t="s">
        <v>8446</v>
      </c>
      <c r="F114" s="98"/>
      <c r="G114" s="98" t="s">
        <v>112</v>
      </c>
      <c r="H114" s="100" t="s">
        <v>8215</v>
      </c>
      <c r="I114" s="100" t="s">
        <v>8215</v>
      </c>
      <c r="J114" s="112" t="s">
        <v>8430</v>
      </c>
      <c r="K114" s="107"/>
    </row>
    <row r="115" ht="15" spans="1:11">
      <c r="A115" s="101" t="s">
        <v>55</v>
      </c>
      <c r="B115" s="99" t="s">
        <v>8447</v>
      </c>
      <c r="C115" s="98" t="s">
        <v>8258</v>
      </c>
      <c r="D115" s="101" t="s">
        <v>4</v>
      </c>
      <c r="E115" s="101" t="s">
        <v>8448</v>
      </c>
      <c r="F115" s="98"/>
      <c r="G115" s="98" t="s">
        <v>112</v>
      </c>
      <c r="H115" s="100" t="s">
        <v>8215</v>
      </c>
      <c r="I115" s="100" t="s">
        <v>8215</v>
      </c>
      <c r="J115" s="112" t="s">
        <v>8430</v>
      </c>
      <c r="K115" s="107"/>
    </row>
    <row r="116" ht="15" spans="1:11">
      <c r="A116" s="101" t="s">
        <v>55</v>
      </c>
      <c r="B116" s="99" t="s">
        <v>8449</v>
      </c>
      <c r="C116" s="98" t="s">
        <v>8258</v>
      </c>
      <c r="D116" s="101" t="s">
        <v>4</v>
      </c>
      <c r="E116" s="101" t="s">
        <v>8448</v>
      </c>
      <c r="F116" s="98"/>
      <c r="G116" s="98" t="s">
        <v>112</v>
      </c>
      <c r="H116" s="100" t="s">
        <v>8215</v>
      </c>
      <c r="I116" s="100" t="s">
        <v>8247</v>
      </c>
      <c r="J116" s="112" t="s">
        <v>8430</v>
      </c>
      <c r="K116" s="107"/>
    </row>
    <row r="117" ht="15" spans="1:11">
      <c r="A117" s="101" t="s">
        <v>55</v>
      </c>
      <c r="B117" s="99" t="s">
        <v>8450</v>
      </c>
      <c r="C117" s="98" t="s">
        <v>8258</v>
      </c>
      <c r="D117" s="101" t="s">
        <v>4</v>
      </c>
      <c r="E117" s="101" t="s">
        <v>8448</v>
      </c>
      <c r="F117" s="98"/>
      <c r="G117" s="98" t="s">
        <v>112</v>
      </c>
      <c r="H117" s="100" t="s">
        <v>8215</v>
      </c>
      <c r="I117" s="100" t="s">
        <v>8215</v>
      </c>
      <c r="J117" s="112" t="s">
        <v>8451</v>
      </c>
      <c r="K117" s="107">
        <v>2024.3</v>
      </c>
    </row>
    <row r="118" ht="15" spans="1:11">
      <c r="A118" s="101" t="s">
        <v>55</v>
      </c>
      <c r="B118" s="99" t="s">
        <v>8452</v>
      </c>
      <c r="C118" s="98" t="s">
        <v>8258</v>
      </c>
      <c r="D118" s="101" t="s">
        <v>4</v>
      </c>
      <c r="E118" s="101" t="s">
        <v>8453</v>
      </c>
      <c r="F118" s="98"/>
      <c r="G118" s="98" t="s">
        <v>112</v>
      </c>
      <c r="H118" s="100" t="s">
        <v>8215</v>
      </c>
      <c r="I118" s="100" t="s">
        <v>8247</v>
      </c>
      <c r="J118" s="112" t="s">
        <v>8430</v>
      </c>
      <c r="K118" s="107"/>
    </row>
    <row r="119" ht="15" spans="1:11">
      <c r="A119" s="101" t="s">
        <v>55</v>
      </c>
      <c r="B119" s="99" t="s">
        <v>8454</v>
      </c>
      <c r="C119" s="98" t="s">
        <v>8258</v>
      </c>
      <c r="D119" s="101" t="s">
        <v>4</v>
      </c>
      <c r="E119" s="101" t="s">
        <v>8453</v>
      </c>
      <c r="F119" s="98" t="s">
        <v>8455</v>
      </c>
      <c r="G119" s="98" t="s">
        <v>112</v>
      </c>
      <c r="H119" s="100" t="s">
        <v>8215</v>
      </c>
      <c r="I119" s="100" t="s">
        <v>8247</v>
      </c>
      <c r="J119" s="112" t="s">
        <v>8430</v>
      </c>
      <c r="K119" s="107"/>
    </row>
    <row r="120" ht="15" spans="1:11">
      <c r="A120" s="101" t="s">
        <v>55</v>
      </c>
      <c r="B120" s="99" t="s">
        <v>8456</v>
      </c>
      <c r="C120" s="98"/>
      <c r="D120" s="101" t="s">
        <v>4</v>
      </c>
      <c r="E120" s="101" t="s">
        <v>8453</v>
      </c>
      <c r="F120" s="98"/>
      <c r="G120" s="98" t="s">
        <v>112</v>
      </c>
      <c r="H120" s="100" t="s">
        <v>8215</v>
      </c>
      <c r="I120" s="100" t="s">
        <v>8215</v>
      </c>
      <c r="J120" s="112" t="s">
        <v>8430</v>
      </c>
      <c r="K120" s="107">
        <v>2024.1</v>
      </c>
    </row>
    <row r="121" ht="15" spans="1:11">
      <c r="A121" s="101" t="s">
        <v>55</v>
      </c>
      <c r="B121" s="99" t="s">
        <v>8457</v>
      </c>
      <c r="C121" s="98"/>
      <c r="D121" s="101" t="s">
        <v>4</v>
      </c>
      <c r="E121" s="101" t="s">
        <v>8458</v>
      </c>
      <c r="F121" s="98"/>
      <c r="G121" s="98" t="s">
        <v>112</v>
      </c>
      <c r="H121" s="100" t="s">
        <v>8215</v>
      </c>
      <c r="I121" s="100" t="s">
        <v>8215</v>
      </c>
      <c r="J121" s="112" t="s">
        <v>8459</v>
      </c>
      <c r="K121" s="107">
        <v>2024.3</v>
      </c>
    </row>
    <row r="122" s="91" customFormat="1" ht="15" spans="1:11">
      <c r="A122" s="106" t="s">
        <v>55</v>
      </c>
      <c r="B122" s="106" t="s">
        <v>8460</v>
      </c>
      <c r="C122" s="106" t="s">
        <v>8293</v>
      </c>
      <c r="D122" s="106" t="s">
        <v>4</v>
      </c>
      <c r="E122" s="106" t="s">
        <v>8429</v>
      </c>
      <c r="F122" s="106"/>
      <c r="G122" s="106" t="s">
        <v>117</v>
      </c>
      <c r="H122" s="106" t="s">
        <v>8461</v>
      </c>
      <c r="I122" s="106" t="s">
        <v>8462</v>
      </c>
      <c r="J122" s="106" t="s">
        <v>8463</v>
      </c>
      <c r="K122" s="114" t="s">
        <v>8311</v>
      </c>
    </row>
    <row r="123" ht="15" spans="1:11">
      <c r="A123" s="98" t="s">
        <v>54</v>
      </c>
      <c r="B123" s="99" t="s">
        <v>8464</v>
      </c>
      <c r="C123" s="98" t="s">
        <v>8258</v>
      </c>
      <c r="D123" s="101" t="s">
        <v>5</v>
      </c>
      <c r="E123" s="101" t="s">
        <v>8465</v>
      </c>
      <c r="F123" s="98"/>
      <c r="G123" s="98" t="s">
        <v>112</v>
      </c>
      <c r="H123" s="100" t="s">
        <v>8320</v>
      </c>
      <c r="I123" s="100" t="s">
        <v>8320</v>
      </c>
      <c r="J123" s="100" t="s">
        <v>8220</v>
      </c>
      <c r="K123" s="107"/>
    </row>
    <row r="124" s="89" customFormat="1" ht="45" spans="1:255">
      <c r="A124" s="98" t="s">
        <v>54</v>
      </c>
      <c r="B124" s="99" t="s">
        <v>8466</v>
      </c>
      <c r="C124" s="98" t="s">
        <v>8258</v>
      </c>
      <c r="D124" s="101" t="s">
        <v>4</v>
      </c>
      <c r="E124" s="101" t="s">
        <v>8467</v>
      </c>
      <c r="F124" s="98" t="s">
        <v>8468</v>
      </c>
      <c r="G124" s="98" t="s">
        <v>112</v>
      </c>
      <c r="H124" s="100" t="s">
        <v>8247</v>
      </c>
      <c r="I124" s="100" t="s">
        <v>8247</v>
      </c>
      <c r="J124" s="100" t="s">
        <v>8463</v>
      </c>
      <c r="K124" s="107" t="s">
        <v>8469</v>
      </c>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c r="AW124" s="90"/>
      <c r="AX124" s="90"/>
      <c r="AY124" s="90"/>
      <c r="AZ124" s="90"/>
      <c r="BA124" s="90"/>
      <c r="BB124" s="90"/>
      <c r="BC124" s="90"/>
      <c r="BD124" s="90"/>
      <c r="BE124" s="90"/>
      <c r="BF124" s="90"/>
      <c r="BG124" s="90"/>
      <c r="BH124" s="90"/>
      <c r="BI124" s="90"/>
      <c r="BJ124" s="90"/>
      <c r="BK124" s="90"/>
      <c r="BL124" s="90"/>
      <c r="BM124" s="90"/>
      <c r="BN124" s="90"/>
      <c r="BO124" s="90"/>
      <c r="BP124" s="90"/>
      <c r="BQ124" s="90"/>
      <c r="BR124" s="90"/>
      <c r="BS124" s="90"/>
      <c r="BT124" s="90"/>
      <c r="BU124" s="90"/>
      <c r="BV124" s="90"/>
      <c r="BW124" s="90"/>
      <c r="BX124" s="90"/>
      <c r="BY124" s="90"/>
      <c r="BZ124" s="90"/>
      <c r="CA124" s="90"/>
      <c r="CB124" s="90"/>
      <c r="CC124" s="90"/>
      <c r="CD124" s="90"/>
      <c r="CE124" s="90"/>
      <c r="CF124" s="90"/>
      <c r="CG124" s="90"/>
      <c r="CH124" s="90"/>
      <c r="CI124" s="90"/>
      <c r="CJ124" s="90"/>
      <c r="CK124" s="90"/>
      <c r="CL124" s="90"/>
      <c r="CM124" s="90"/>
      <c r="CN124" s="90"/>
      <c r="CO124" s="90"/>
      <c r="CP124" s="90"/>
      <c r="CQ124" s="90"/>
      <c r="CR124" s="90"/>
      <c r="CS124" s="90"/>
      <c r="CT124" s="90"/>
      <c r="CU124" s="90"/>
      <c r="CV124" s="90"/>
      <c r="CW124" s="90"/>
      <c r="CX124" s="90"/>
      <c r="CY124" s="90"/>
      <c r="CZ124" s="90"/>
      <c r="DA124" s="90"/>
      <c r="DB124" s="90"/>
      <c r="DC124" s="90"/>
      <c r="DD124" s="90"/>
      <c r="DE124" s="90"/>
      <c r="DF124" s="90"/>
      <c r="DG124" s="90"/>
      <c r="DH124" s="90"/>
      <c r="DI124" s="90"/>
      <c r="DJ124" s="90"/>
      <c r="DK124" s="90"/>
      <c r="DL124" s="90"/>
      <c r="DM124" s="90"/>
      <c r="DN124" s="90"/>
      <c r="DO124" s="90"/>
      <c r="DP124" s="90"/>
      <c r="DQ124" s="90"/>
      <c r="DR124" s="90"/>
      <c r="DS124" s="90"/>
      <c r="DT124" s="90"/>
      <c r="DU124" s="90"/>
      <c r="DV124" s="90"/>
      <c r="DW124" s="90"/>
      <c r="DX124" s="90"/>
      <c r="DY124" s="90"/>
      <c r="DZ124" s="90"/>
      <c r="EA124" s="90"/>
      <c r="EB124" s="90"/>
      <c r="EC124" s="90"/>
      <c r="ED124" s="90"/>
      <c r="EE124" s="90"/>
      <c r="EF124" s="90"/>
      <c r="EG124" s="90"/>
      <c r="EH124" s="90"/>
      <c r="EI124" s="90"/>
      <c r="EJ124" s="90"/>
      <c r="EK124" s="90"/>
      <c r="EL124" s="90"/>
      <c r="EM124" s="90"/>
      <c r="EN124" s="90"/>
      <c r="EO124" s="90"/>
      <c r="EP124" s="90"/>
      <c r="EQ124" s="90"/>
      <c r="ER124" s="90"/>
      <c r="ES124" s="90"/>
      <c r="ET124" s="90"/>
      <c r="EU124" s="90"/>
      <c r="EV124" s="90"/>
      <c r="EW124" s="90"/>
      <c r="EX124" s="90"/>
      <c r="EY124" s="90"/>
      <c r="EZ124" s="90"/>
      <c r="FA124" s="90"/>
      <c r="FB124" s="90"/>
      <c r="FC124" s="90"/>
      <c r="FD124" s="90"/>
      <c r="FE124" s="90"/>
      <c r="FF124" s="90"/>
      <c r="FG124" s="90"/>
      <c r="FH124" s="90"/>
      <c r="FI124" s="90"/>
      <c r="FJ124" s="90"/>
      <c r="FK124" s="90"/>
      <c r="FL124" s="90"/>
      <c r="FM124" s="90"/>
      <c r="FN124" s="90"/>
      <c r="FO124" s="90"/>
      <c r="FP124" s="90"/>
      <c r="FQ124" s="90"/>
      <c r="FR124" s="90"/>
      <c r="FS124" s="90"/>
      <c r="FT124" s="90"/>
      <c r="FU124" s="90"/>
      <c r="FV124" s="90"/>
      <c r="FW124" s="90"/>
      <c r="FX124" s="90"/>
      <c r="FY124" s="90"/>
      <c r="FZ124" s="90"/>
      <c r="GA124" s="90"/>
      <c r="GB124" s="90"/>
      <c r="GC124" s="90"/>
      <c r="GD124" s="90"/>
      <c r="GE124" s="90"/>
      <c r="GF124" s="90"/>
      <c r="GG124" s="90"/>
      <c r="GH124" s="90"/>
      <c r="GI124" s="90"/>
      <c r="GJ124" s="90"/>
      <c r="GK124" s="90"/>
      <c r="GL124" s="90"/>
      <c r="GM124" s="90"/>
      <c r="GN124" s="90"/>
      <c r="GO124" s="90"/>
      <c r="GP124" s="90"/>
      <c r="GQ124" s="90"/>
      <c r="GR124" s="90"/>
      <c r="GS124" s="90"/>
      <c r="GT124" s="90"/>
      <c r="GU124" s="90"/>
      <c r="GV124" s="90"/>
      <c r="GW124" s="90"/>
      <c r="GX124" s="90"/>
      <c r="GY124" s="90"/>
      <c r="GZ124" s="90"/>
      <c r="HA124" s="90"/>
      <c r="HB124" s="90"/>
      <c r="HC124" s="90"/>
      <c r="HD124" s="90"/>
      <c r="HE124" s="90"/>
      <c r="HF124" s="90"/>
      <c r="HG124" s="90"/>
      <c r="HH124" s="90"/>
      <c r="HI124" s="90"/>
      <c r="HJ124" s="90"/>
      <c r="HK124" s="90"/>
      <c r="HL124" s="90"/>
      <c r="HM124" s="90"/>
      <c r="HN124" s="90"/>
      <c r="HO124" s="90"/>
      <c r="HP124" s="90"/>
      <c r="HQ124" s="90"/>
      <c r="HR124" s="90"/>
      <c r="HS124" s="90"/>
      <c r="HT124" s="90"/>
      <c r="HU124" s="90"/>
      <c r="HV124" s="90"/>
      <c r="HW124" s="90"/>
      <c r="HX124" s="90"/>
      <c r="HY124" s="90"/>
      <c r="HZ124" s="90"/>
      <c r="IA124" s="90"/>
      <c r="IB124" s="90"/>
      <c r="IC124" s="90"/>
      <c r="ID124" s="90"/>
      <c r="IE124" s="90"/>
      <c r="IF124" s="90"/>
      <c r="IG124" s="90"/>
      <c r="IH124" s="90"/>
      <c r="II124" s="90"/>
      <c r="IJ124" s="90"/>
      <c r="IK124" s="90"/>
      <c r="IL124" s="90"/>
      <c r="IM124" s="90"/>
      <c r="IN124" s="90"/>
      <c r="IO124" s="90"/>
      <c r="IP124" s="90"/>
      <c r="IQ124" s="90"/>
      <c r="IR124" s="90"/>
      <c r="IS124" s="90"/>
      <c r="IT124" s="90"/>
      <c r="IU124" s="90"/>
    </row>
    <row r="125" ht="15" spans="1:11">
      <c r="A125" s="98" t="s">
        <v>54</v>
      </c>
      <c r="B125" s="99" t="s">
        <v>8470</v>
      </c>
      <c r="C125" s="98" t="s">
        <v>8258</v>
      </c>
      <c r="D125" s="101" t="s">
        <v>2807</v>
      </c>
      <c r="E125" s="101" t="s">
        <v>6427</v>
      </c>
      <c r="F125" s="98"/>
      <c r="G125" s="98" t="s">
        <v>112</v>
      </c>
      <c r="H125" s="100" t="s">
        <v>8320</v>
      </c>
      <c r="I125" s="100" t="s">
        <v>8320</v>
      </c>
      <c r="J125" s="100" t="s">
        <v>8220</v>
      </c>
      <c r="K125" s="107"/>
    </row>
    <row r="126" ht="15" spans="1:11">
      <c r="A126" s="98" t="s">
        <v>54</v>
      </c>
      <c r="B126" s="99" t="s">
        <v>8471</v>
      </c>
      <c r="C126" s="98" t="s">
        <v>8258</v>
      </c>
      <c r="D126" s="101" t="s">
        <v>4</v>
      </c>
      <c r="E126" s="101" t="s">
        <v>8472</v>
      </c>
      <c r="F126" s="98"/>
      <c r="G126" s="98" t="s">
        <v>112</v>
      </c>
      <c r="H126" s="100" t="s">
        <v>8215</v>
      </c>
      <c r="I126" s="100" t="s">
        <v>8215</v>
      </c>
      <c r="J126" s="100" t="s">
        <v>8220</v>
      </c>
      <c r="K126" s="107"/>
    </row>
    <row r="127" ht="15" spans="1:11">
      <c r="A127" s="98" t="s">
        <v>54</v>
      </c>
      <c r="B127" s="99" t="s">
        <v>8473</v>
      </c>
      <c r="C127" s="98" t="s">
        <v>8258</v>
      </c>
      <c r="D127" s="101" t="s">
        <v>4</v>
      </c>
      <c r="E127" s="101" t="s">
        <v>8472</v>
      </c>
      <c r="F127" s="98"/>
      <c r="G127" s="98" t="s">
        <v>112</v>
      </c>
      <c r="H127" s="100" t="s">
        <v>8215</v>
      </c>
      <c r="I127" s="100" t="s">
        <v>8215</v>
      </c>
      <c r="J127" s="100" t="s">
        <v>8220</v>
      </c>
      <c r="K127" s="107"/>
    </row>
    <row r="128" ht="15" spans="1:11">
      <c r="A128" s="98" t="s">
        <v>54</v>
      </c>
      <c r="B128" s="99" t="s">
        <v>8474</v>
      </c>
      <c r="C128" s="98" t="s">
        <v>8258</v>
      </c>
      <c r="D128" s="101" t="s">
        <v>4</v>
      </c>
      <c r="E128" s="101" t="s">
        <v>8472</v>
      </c>
      <c r="F128" s="98"/>
      <c r="G128" s="98" t="s">
        <v>112</v>
      </c>
      <c r="H128" s="100" t="s">
        <v>8215</v>
      </c>
      <c r="I128" s="100" t="s">
        <v>8215</v>
      </c>
      <c r="J128" s="100" t="s">
        <v>8220</v>
      </c>
      <c r="K128" s="107"/>
    </row>
    <row r="129" ht="30" spans="1:11">
      <c r="A129" s="98" t="s">
        <v>54</v>
      </c>
      <c r="B129" s="99" t="s">
        <v>8475</v>
      </c>
      <c r="C129" s="98" t="s">
        <v>8258</v>
      </c>
      <c r="D129" s="101" t="s">
        <v>2807</v>
      </c>
      <c r="E129" s="101" t="s">
        <v>6425</v>
      </c>
      <c r="F129" s="98"/>
      <c r="G129" s="98" t="s">
        <v>112</v>
      </c>
      <c r="H129" s="100" t="s">
        <v>8215</v>
      </c>
      <c r="I129" s="100" t="s">
        <v>8215</v>
      </c>
      <c r="J129" s="100" t="s">
        <v>8220</v>
      </c>
      <c r="K129" s="107"/>
    </row>
    <row r="130" ht="15" spans="1:11">
      <c r="A130" s="98" t="s">
        <v>54</v>
      </c>
      <c r="B130" s="99" t="s">
        <v>8476</v>
      </c>
      <c r="C130" s="98" t="s">
        <v>8218</v>
      </c>
      <c r="D130" s="101" t="s">
        <v>4</v>
      </c>
      <c r="E130" s="101" t="s">
        <v>8477</v>
      </c>
      <c r="F130" s="98"/>
      <c r="G130" s="98" t="s">
        <v>112</v>
      </c>
      <c r="H130" s="100" t="s">
        <v>8320</v>
      </c>
      <c r="I130" s="100" t="s">
        <v>8320</v>
      </c>
      <c r="J130" s="100" t="s">
        <v>8478</v>
      </c>
      <c r="K130" s="107"/>
    </row>
    <row r="131" ht="15" spans="1:11">
      <c r="A131" s="98" t="s">
        <v>54</v>
      </c>
      <c r="B131" s="99" t="s">
        <v>8479</v>
      </c>
      <c r="C131" s="98" t="s">
        <v>8229</v>
      </c>
      <c r="D131" s="101" t="s">
        <v>4</v>
      </c>
      <c r="E131" s="101" t="s">
        <v>8480</v>
      </c>
      <c r="F131" s="98"/>
      <c r="G131" s="98" t="s">
        <v>112</v>
      </c>
      <c r="H131" s="100" t="s">
        <v>8215</v>
      </c>
      <c r="I131" s="100" t="s">
        <v>8215</v>
      </c>
      <c r="J131" s="112" t="s">
        <v>8430</v>
      </c>
      <c r="K131" s="107"/>
    </row>
    <row r="132" ht="15" spans="1:11">
      <c r="A132" s="98" t="s">
        <v>54</v>
      </c>
      <c r="B132" s="100" t="s">
        <v>8481</v>
      </c>
      <c r="C132" s="98" t="s">
        <v>8229</v>
      </c>
      <c r="D132" s="101" t="s">
        <v>4</v>
      </c>
      <c r="E132" s="101" t="s">
        <v>8480</v>
      </c>
      <c r="F132" s="98"/>
      <c r="G132" s="98" t="s">
        <v>112</v>
      </c>
      <c r="H132" s="100" t="s">
        <v>8215</v>
      </c>
      <c r="I132" s="100" t="s">
        <v>8215</v>
      </c>
      <c r="J132" s="112" t="s">
        <v>8430</v>
      </c>
      <c r="K132" s="107"/>
    </row>
    <row r="133" ht="15" spans="1:11">
      <c r="A133" s="98" t="s">
        <v>54</v>
      </c>
      <c r="B133" s="99" t="s">
        <v>8482</v>
      </c>
      <c r="C133" s="98" t="s">
        <v>8258</v>
      </c>
      <c r="D133" s="101" t="s">
        <v>5</v>
      </c>
      <c r="E133" s="101" t="s">
        <v>8483</v>
      </c>
      <c r="F133" s="101"/>
      <c r="G133" s="98" t="s">
        <v>112</v>
      </c>
      <c r="H133" s="100" t="s">
        <v>8215</v>
      </c>
      <c r="I133" s="100" t="s">
        <v>8247</v>
      </c>
      <c r="J133" s="112" t="s">
        <v>8430</v>
      </c>
      <c r="K133" s="107"/>
    </row>
    <row r="134" ht="30" spans="1:11">
      <c r="A134" s="98" t="s">
        <v>54</v>
      </c>
      <c r="B134" s="99" t="s">
        <v>8484</v>
      </c>
      <c r="C134" s="98" t="s">
        <v>8229</v>
      </c>
      <c r="D134" s="101" t="s">
        <v>4</v>
      </c>
      <c r="E134" s="101" t="s">
        <v>8485</v>
      </c>
      <c r="F134" s="98"/>
      <c r="G134" s="98" t="s">
        <v>112</v>
      </c>
      <c r="H134" s="100" t="s">
        <v>8215</v>
      </c>
      <c r="I134" s="100" t="s">
        <v>8215</v>
      </c>
      <c r="J134" s="100"/>
      <c r="K134" s="107"/>
    </row>
    <row r="135" s="89" customFormat="1" ht="15" spans="1:11">
      <c r="A135" s="106" t="s">
        <v>54</v>
      </c>
      <c r="B135" s="106" t="s">
        <v>8486</v>
      </c>
      <c r="C135" s="106" t="s">
        <v>8293</v>
      </c>
      <c r="D135" s="106" t="s">
        <v>5</v>
      </c>
      <c r="E135" s="106" t="s">
        <v>8487</v>
      </c>
      <c r="F135" s="106"/>
      <c r="G135" s="106" t="s">
        <v>112</v>
      </c>
      <c r="H135" s="106" t="s">
        <v>8488</v>
      </c>
      <c r="I135" s="106" t="s">
        <v>8215</v>
      </c>
      <c r="J135" s="106" t="s">
        <v>8489</v>
      </c>
      <c r="K135" s="114" t="s">
        <v>8490</v>
      </c>
    </row>
    <row r="136" ht="30" spans="1:11">
      <c r="A136" s="98" t="s">
        <v>28</v>
      </c>
      <c r="B136" s="99" t="s">
        <v>8491</v>
      </c>
      <c r="C136" s="98" t="s">
        <v>8225</v>
      </c>
      <c r="D136" s="101" t="s">
        <v>4</v>
      </c>
      <c r="E136" s="101" t="s">
        <v>8492</v>
      </c>
      <c r="F136" s="98"/>
      <c r="G136" s="98" t="s">
        <v>112</v>
      </c>
      <c r="H136" s="100"/>
      <c r="I136" s="100"/>
      <c r="J136" s="100"/>
      <c r="K136" s="107"/>
    </row>
    <row r="137" s="91" customFormat="1" ht="15" spans="1:11">
      <c r="A137" s="106" t="s">
        <v>28</v>
      </c>
      <c r="B137" s="106" t="s">
        <v>8493</v>
      </c>
      <c r="C137" s="106" t="s">
        <v>8293</v>
      </c>
      <c r="D137" s="106" t="s">
        <v>4</v>
      </c>
      <c r="E137" s="106" t="s">
        <v>8282</v>
      </c>
      <c r="F137" s="106"/>
      <c r="G137" s="106" t="s">
        <v>112</v>
      </c>
      <c r="H137" s="106" t="s">
        <v>8215</v>
      </c>
      <c r="I137" s="106" t="s">
        <v>8215</v>
      </c>
      <c r="J137" s="106" t="s">
        <v>8494</v>
      </c>
      <c r="K137" s="106">
        <v>2024.7</v>
      </c>
    </row>
    <row r="138" ht="15" spans="1:11">
      <c r="A138" s="98" t="s">
        <v>28</v>
      </c>
      <c r="B138" s="99" t="s">
        <v>8495</v>
      </c>
      <c r="C138" s="98" t="s">
        <v>8240</v>
      </c>
      <c r="D138" s="98" t="s">
        <v>5</v>
      </c>
      <c r="E138" s="101" t="s">
        <v>8496</v>
      </c>
      <c r="F138" s="98"/>
      <c r="G138" s="98" t="s">
        <v>112</v>
      </c>
      <c r="H138" s="100" t="s">
        <v>8215</v>
      </c>
      <c r="I138" s="100" t="s">
        <v>8215</v>
      </c>
      <c r="J138" s="100" t="s">
        <v>8220</v>
      </c>
      <c r="K138" s="107"/>
    </row>
    <row r="139" ht="15" spans="1:11">
      <c r="A139" s="98" t="s">
        <v>28</v>
      </c>
      <c r="B139" s="99" t="s">
        <v>8497</v>
      </c>
      <c r="C139" s="98" t="s">
        <v>8225</v>
      </c>
      <c r="D139" s="98" t="s">
        <v>4</v>
      </c>
      <c r="E139" s="101" t="s">
        <v>8498</v>
      </c>
      <c r="F139" s="98"/>
      <c r="G139" s="98" t="s">
        <v>112</v>
      </c>
      <c r="H139" s="100" t="s">
        <v>8215</v>
      </c>
      <c r="I139" s="100" t="s">
        <v>8215</v>
      </c>
      <c r="J139" s="112" t="s">
        <v>8289</v>
      </c>
      <c r="K139" s="107"/>
    </row>
    <row r="140" ht="15" spans="1:11">
      <c r="A140" s="98" t="s">
        <v>28</v>
      </c>
      <c r="B140" s="99" t="s">
        <v>8499</v>
      </c>
      <c r="C140" s="98" t="s">
        <v>8225</v>
      </c>
      <c r="D140" s="98" t="s">
        <v>4</v>
      </c>
      <c r="E140" s="101" t="s">
        <v>2790</v>
      </c>
      <c r="F140" s="98"/>
      <c r="G140" s="98" t="s">
        <v>112</v>
      </c>
      <c r="H140" s="100" t="s">
        <v>8215</v>
      </c>
      <c r="I140" s="100" t="s">
        <v>8215</v>
      </c>
      <c r="J140" s="112"/>
      <c r="K140" s="107"/>
    </row>
    <row r="141" s="89" customFormat="1" ht="15" spans="1:255">
      <c r="A141" s="98" t="s">
        <v>8500</v>
      </c>
      <c r="B141" s="99" t="s">
        <v>8501</v>
      </c>
      <c r="C141" s="98" t="s">
        <v>8272</v>
      </c>
      <c r="D141" s="101" t="s">
        <v>4</v>
      </c>
      <c r="E141" s="101" t="s">
        <v>8502</v>
      </c>
      <c r="F141" s="98"/>
      <c r="G141" s="98" t="s">
        <v>112</v>
      </c>
      <c r="H141" s="100" t="s">
        <v>8215</v>
      </c>
      <c r="I141" s="100" t="s">
        <v>8215</v>
      </c>
      <c r="J141" s="100" t="s">
        <v>8284</v>
      </c>
      <c r="K141" s="107" t="s">
        <v>8469</v>
      </c>
      <c r="L141" s="90"/>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90"/>
      <c r="AK141" s="90"/>
      <c r="AL141" s="90"/>
      <c r="AM141" s="90"/>
      <c r="AN141" s="90"/>
      <c r="AO141" s="90"/>
      <c r="AP141" s="90"/>
      <c r="AQ141" s="90"/>
      <c r="AR141" s="90"/>
      <c r="AS141" s="90"/>
      <c r="AT141" s="90"/>
      <c r="AU141" s="90"/>
      <c r="AV141" s="90"/>
      <c r="AW141" s="90"/>
      <c r="AX141" s="90"/>
      <c r="AY141" s="90"/>
      <c r="AZ141" s="90"/>
      <c r="BA141" s="90"/>
      <c r="BB141" s="90"/>
      <c r="BC141" s="90"/>
      <c r="BD141" s="90"/>
      <c r="BE141" s="90"/>
      <c r="BF141" s="90"/>
      <c r="BG141" s="90"/>
      <c r="BH141" s="90"/>
      <c r="BI141" s="90"/>
      <c r="BJ141" s="90"/>
      <c r="BK141" s="90"/>
      <c r="BL141" s="90"/>
      <c r="BM141" s="90"/>
      <c r="BN141" s="90"/>
      <c r="BO141" s="90"/>
      <c r="BP141" s="90"/>
      <c r="BQ141" s="90"/>
      <c r="BR141" s="90"/>
      <c r="BS141" s="90"/>
      <c r="BT141" s="90"/>
      <c r="BU141" s="90"/>
      <c r="BV141" s="90"/>
      <c r="BW141" s="90"/>
      <c r="BX141" s="90"/>
      <c r="BY141" s="90"/>
      <c r="BZ141" s="90"/>
      <c r="CA141" s="90"/>
      <c r="CB141" s="90"/>
      <c r="CC141" s="90"/>
      <c r="CD141" s="90"/>
      <c r="CE141" s="90"/>
      <c r="CF141" s="90"/>
      <c r="CG141" s="90"/>
      <c r="CH141" s="90"/>
      <c r="CI141" s="90"/>
      <c r="CJ141" s="90"/>
      <c r="CK141" s="90"/>
      <c r="CL141" s="90"/>
      <c r="CM141" s="90"/>
      <c r="CN141" s="90"/>
      <c r="CO141" s="90"/>
      <c r="CP141" s="90"/>
      <c r="CQ141" s="90"/>
      <c r="CR141" s="90"/>
      <c r="CS141" s="90"/>
      <c r="CT141" s="90"/>
      <c r="CU141" s="90"/>
      <c r="CV141" s="90"/>
      <c r="CW141" s="90"/>
      <c r="CX141" s="90"/>
      <c r="CY141" s="90"/>
      <c r="CZ141" s="90"/>
      <c r="DA141" s="90"/>
      <c r="DB141" s="90"/>
      <c r="DC141" s="90"/>
      <c r="DD141" s="90"/>
      <c r="DE141" s="90"/>
      <c r="DF141" s="90"/>
      <c r="DG141" s="90"/>
      <c r="DH141" s="90"/>
      <c r="DI141" s="90"/>
      <c r="DJ141" s="90"/>
      <c r="DK141" s="90"/>
      <c r="DL141" s="90"/>
      <c r="DM141" s="90"/>
      <c r="DN141" s="90"/>
      <c r="DO141" s="90"/>
      <c r="DP141" s="90"/>
      <c r="DQ141" s="90"/>
      <c r="DR141" s="90"/>
      <c r="DS141" s="90"/>
      <c r="DT141" s="90"/>
      <c r="DU141" s="90"/>
      <c r="DV141" s="90"/>
      <c r="DW141" s="90"/>
      <c r="DX141" s="90"/>
      <c r="DY141" s="90"/>
      <c r="DZ141" s="90"/>
      <c r="EA141" s="90"/>
      <c r="EB141" s="90"/>
      <c r="EC141" s="90"/>
      <c r="ED141" s="90"/>
      <c r="EE141" s="90"/>
      <c r="EF141" s="90"/>
      <c r="EG141" s="90"/>
      <c r="EH141" s="90"/>
      <c r="EI141" s="90"/>
      <c r="EJ141" s="90"/>
      <c r="EK141" s="90"/>
      <c r="EL141" s="90"/>
      <c r="EM141" s="90"/>
      <c r="EN141" s="90"/>
      <c r="EO141" s="90"/>
      <c r="EP141" s="90"/>
      <c r="EQ141" s="90"/>
      <c r="ER141" s="90"/>
      <c r="ES141" s="90"/>
      <c r="ET141" s="90"/>
      <c r="EU141" s="90"/>
      <c r="EV141" s="90"/>
      <c r="EW141" s="90"/>
      <c r="EX141" s="90"/>
      <c r="EY141" s="90"/>
      <c r="EZ141" s="90"/>
      <c r="FA141" s="90"/>
      <c r="FB141" s="90"/>
      <c r="FC141" s="90"/>
      <c r="FD141" s="90"/>
      <c r="FE141" s="90"/>
      <c r="FF141" s="90"/>
      <c r="FG141" s="90"/>
      <c r="FH141" s="90"/>
      <c r="FI141" s="90"/>
      <c r="FJ141" s="90"/>
      <c r="FK141" s="90"/>
      <c r="FL141" s="90"/>
      <c r="FM141" s="90"/>
      <c r="FN141" s="90"/>
      <c r="FO141" s="90"/>
      <c r="FP141" s="90"/>
      <c r="FQ141" s="90"/>
      <c r="FR141" s="90"/>
      <c r="FS141" s="90"/>
      <c r="FT141" s="90"/>
      <c r="FU141" s="90"/>
      <c r="FV141" s="90"/>
      <c r="FW141" s="90"/>
      <c r="FX141" s="90"/>
      <c r="FY141" s="90"/>
      <c r="FZ141" s="90"/>
      <c r="GA141" s="90"/>
      <c r="GB141" s="90"/>
      <c r="GC141" s="90"/>
      <c r="GD141" s="90"/>
      <c r="GE141" s="90"/>
      <c r="GF141" s="90"/>
      <c r="GG141" s="90"/>
      <c r="GH141" s="90"/>
      <c r="GI141" s="90"/>
      <c r="GJ141" s="90"/>
      <c r="GK141" s="90"/>
      <c r="GL141" s="90"/>
      <c r="GM141" s="90"/>
      <c r="GN141" s="90"/>
      <c r="GO141" s="90"/>
      <c r="GP141" s="90"/>
      <c r="GQ141" s="90"/>
      <c r="GR141" s="90"/>
      <c r="GS141" s="90"/>
      <c r="GT141" s="90"/>
      <c r="GU141" s="90"/>
      <c r="GV141" s="90"/>
      <c r="GW141" s="90"/>
      <c r="GX141" s="90"/>
      <c r="GY141" s="90"/>
      <c r="GZ141" s="90"/>
      <c r="HA141" s="90"/>
      <c r="HB141" s="90"/>
      <c r="HC141" s="90"/>
      <c r="HD141" s="90"/>
      <c r="HE141" s="90"/>
      <c r="HF141" s="90"/>
      <c r="HG141" s="90"/>
      <c r="HH141" s="90"/>
      <c r="HI141" s="90"/>
      <c r="HJ141" s="90"/>
      <c r="HK141" s="90"/>
      <c r="HL141" s="90"/>
      <c r="HM141" s="90"/>
      <c r="HN141" s="90"/>
      <c r="HO141" s="90"/>
      <c r="HP141" s="90"/>
      <c r="HQ141" s="90"/>
      <c r="HR141" s="90"/>
      <c r="HS141" s="90"/>
      <c r="HT141" s="90"/>
      <c r="HU141" s="90"/>
      <c r="HV141" s="90"/>
      <c r="HW141" s="90"/>
      <c r="HX141" s="90"/>
      <c r="HY141" s="90"/>
      <c r="HZ141" s="90"/>
      <c r="IA141" s="90"/>
      <c r="IB141" s="90"/>
      <c r="IC141" s="90"/>
      <c r="ID141" s="90"/>
      <c r="IE141" s="90"/>
      <c r="IF141" s="90"/>
      <c r="IG141" s="90"/>
      <c r="IH141" s="90"/>
      <c r="II141" s="90"/>
      <c r="IJ141" s="90"/>
      <c r="IK141" s="90"/>
      <c r="IL141" s="90"/>
      <c r="IM141" s="90"/>
      <c r="IN141" s="90"/>
      <c r="IO141" s="90"/>
      <c r="IP141" s="90"/>
      <c r="IQ141" s="90"/>
      <c r="IR141" s="90"/>
      <c r="IS141" s="90"/>
      <c r="IT141" s="90"/>
      <c r="IU141" s="90"/>
    </row>
    <row r="142" s="91" customFormat="1" ht="15" spans="1:11">
      <c r="A142" s="106" t="s">
        <v>28</v>
      </c>
      <c r="B142" s="106" t="s">
        <v>8503</v>
      </c>
      <c r="C142" s="106" t="s">
        <v>8293</v>
      </c>
      <c r="D142" s="106" t="s">
        <v>4</v>
      </c>
      <c r="E142" s="106" t="s">
        <v>2796</v>
      </c>
      <c r="F142" s="106"/>
      <c r="G142" s="106" t="s">
        <v>112</v>
      </c>
      <c r="H142" s="106" t="s">
        <v>8215</v>
      </c>
      <c r="I142" s="106" t="s">
        <v>8247</v>
      </c>
      <c r="J142" s="106" t="s">
        <v>8504</v>
      </c>
      <c r="K142" s="106">
        <v>2024.7</v>
      </c>
    </row>
    <row r="143" s="91" customFormat="1" ht="60" spans="1:11">
      <c r="A143" s="106" t="s">
        <v>28</v>
      </c>
      <c r="B143" s="106" t="s">
        <v>8505</v>
      </c>
      <c r="C143" s="106" t="s">
        <v>8293</v>
      </c>
      <c r="D143" s="106" t="s">
        <v>5</v>
      </c>
      <c r="E143" s="106" t="s">
        <v>8506</v>
      </c>
      <c r="F143" s="106"/>
      <c r="G143" s="106" t="s">
        <v>112</v>
      </c>
      <c r="H143" s="117" t="s">
        <v>8507</v>
      </c>
      <c r="I143" s="106" t="s">
        <v>8247</v>
      </c>
      <c r="J143" s="106" t="s">
        <v>8504</v>
      </c>
      <c r="K143" s="106">
        <v>2024.8</v>
      </c>
    </row>
    <row r="144" s="91" customFormat="1" ht="15" spans="1:11">
      <c r="A144" s="106" t="s">
        <v>8508</v>
      </c>
      <c r="B144" s="106" t="s">
        <v>8509</v>
      </c>
      <c r="C144" s="98" t="s">
        <v>8258</v>
      </c>
      <c r="D144" s="106" t="s">
        <v>4</v>
      </c>
      <c r="E144" s="106" t="s">
        <v>8506</v>
      </c>
      <c r="F144" s="106" t="s">
        <v>8510</v>
      </c>
      <c r="G144" s="106" t="s">
        <v>112</v>
      </c>
      <c r="H144" s="117" t="s">
        <v>8215</v>
      </c>
      <c r="I144" s="117" t="s">
        <v>8247</v>
      </c>
      <c r="J144" s="106" t="s">
        <v>8511</v>
      </c>
      <c r="K144" s="106" t="s">
        <v>8512</v>
      </c>
    </row>
    <row r="145" ht="15" spans="1:11">
      <c r="A145" s="98" t="s">
        <v>28</v>
      </c>
      <c r="B145" s="100" t="s">
        <v>8513</v>
      </c>
      <c r="C145" s="98" t="s">
        <v>8514</v>
      </c>
      <c r="D145" s="98" t="s">
        <v>4</v>
      </c>
      <c r="E145" s="98" t="s">
        <v>8515</v>
      </c>
      <c r="F145" s="98"/>
      <c r="G145" s="98" t="s">
        <v>117</v>
      </c>
      <c r="H145" s="118" t="s">
        <v>8215</v>
      </c>
      <c r="I145" s="100" t="s">
        <v>8215</v>
      </c>
      <c r="J145" s="100" t="s">
        <v>8516</v>
      </c>
      <c r="K145" s="107"/>
    </row>
    <row r="146" ht="15" spans="1:11">
      <c r="A146" s="98" t="s">
        <v>28</v>
      </c>
      <c r="B146" s="99" t="s">
        <v>8517</v>
      </c>
      <c r="C146" s="98" t="s">
        <v>8240</v>
      </c>
      <c r="D146" s="101" t="s">
        <v>4</v>
      </c>
      <c r="E146" s="101" t="s">
        <v>8518</v>
      </c>
      <c r="F146" s="98"/>
      <c r="G146" s="98" t="s">
        <v>117</v>
      </c>
      <c r="H146" s="100" t="s">
        <v>8215</v>
      </c>
      <c r="I146" s="100" t="s">
        <v>8215</v>
      </c>
      <c r="J146" s="100" t="s">
        <v>1258</v>
      </c>
      <c r="K146" s="107"/>
    </row>
    <row r="147" s="91" customFormat="1" ht="15" spans="1:11">
      <c r="A147" s="106" t="s">
        <v>28</v>
      </c>
      <c r="B147" s="106" t="s">
        <v>8519</v>
      </c>
      <c r="C147" s="106" t="s">
        <v>8293</v>
      </c>
      <c r="D147" s="106" t="s">
        <v>4</v>
      </c>
      <c r="E147" s="106" t="s">
        <v>8520</v>
      </c>
      <c r="F147" s="106"/>
      <c r="G147" s="106" t="s">
        <v>117</v>
      </c>
      <c r="H147" s="106" t="s">
        <v>8215</v>
      </c>
      <c r="I147" s="106" t="s">
        <v>8247</v>
      </c>
      <c r="J147" s="106" t="s">
        <v>8521</v>
      </c>
      <c r="K147" s="106">
        <v>2024.9</v>
      </c>
    </row>
    <row r="148" ht="15" spans="1:11">
      <c r="A148" s="98" t="s">
        <v>28</v>
      </c>
      <c r="B148" s="100" t="s">
        <v>8522</v>
      </c>
      <c r="C148" s="98" t="s">
        <v>8229</v>
      </c>
      <c r="D148" s="101" t="s">
        <v>4</v>
      </c>
      <c r="E148" s="101" t="s">
        <v>8523</v>
      </c>
      <c r="F148" s="98"/>
      <c r="G148" s="98" t="s">
        <v>117</v>
      </c>
      <c r="H148" s="100" t="s">
        <v>8215</v>
      </c>
      <c r="I148" s="100" t="s">
        <v>8247</v>
      </c>
      <c r="J148" s="100" t="s">
        <v>8524</v>
      </c>
      <c r="K148" s="107"/>
    </row>
    <row r="149" ht="15" spans="1:11">
      <c r="A149" s="98" t="s">
        <v>28</v>
      </c>
      <c r="B149" s="99" t="s">
        <v>8525</v>
      </c>
      <c r="C149" s="98" t="s">
        <v>8229</v>
      </c>
      <c r="D149" s="101" t="s">
        <v>4</v>
      </c>
      <c r="E149" s="101" t="s">
        <v>8523</v>
      </c>
      <c r="F149" s="98"/>
      <c r="G149" s="98" t="s">
        <v>117</v>
      </c>
      <c r="H149" s="100" t="s">
        <v>8215</v>
      </c>
      <c r="I149" s="100" t="s">
        <v>8247</v>
      </c>
      <c r="J149" s="100" t="s">
        <v>8524</v>
      </c>
      <c r="K149" s="107"/>
    </row>
    <row r="150" ht="15" spans="1:11">
      <c r="A150" s="98" t="s">
        <v>28</v>
      </c>
      <c r="B150" s="99" t="s">
        <v>8526</v>
      </c>
      <c r="C150" s="98" t="s">
        <v>8258</v>
      </c>
      <c r="D150" s="101" t="s">
        <v>4</v>
      </c>
      <c r="E150" s="101" t="s">
        <v>8527</v>
      </c>
      <c r="F150" s="98" t="s">
        <v>8455</v>
      </c>
      <c r="G150" s="98" t="s">
        <v>117</v>
      </c>
      <c r="H150" s="100" t="s">
        <v>8215</v>
      </c>
      <c r="I150" s="100" t="s">
        <v>8215</v>
      </c>
      <c r="J150" s="100">
        <v>4</v>
      </c>
      <c r="K150" s="107"/>
    </row>
    <row r="151" ht="15" spans="1:11">
      <c r="A151" s="98" t="s">
        <v>28</v>
      </c>
      <c r="B151" s="99" t="s">
        <v>8528</v>
      </c>
      <c r="C151" s="98" t="s">
        <v>8229</v>
      </c>
      <c r="D151" s="101" t="s">
        <v>4</v>
      </c>
      <c r="E151" s="101" t="s">
        <v>8529</v>
      </c>
      <c r="F151" s="98"/>
      <c r="G151" s="98" t="s">
        <v>117</v>
      </c>
      <c r="H151" s="100" t="s">
        <v>8215</v>
      </c>
      <c r="I151" s="100" t="s">
        <v>8247</v>
      </c>
      <c r="J151" s="100" t="s">
        <v>8530</v>
      </c>
      <c r="K151" s="107"/>
    </row>
    <row r="152" ht="15" spans="1:11">
      <c r="A152" s="98" t="s">
        <v>28</v>
      </c>
      <c r="B152" s="99" t="s">
        <v>8531</v>
      </c>
      <c r="C152" s="98" t="s">
        <v>8218</v>
      </c>
      <c r="D152" s="101" t="s">
        <v>4</v>
      </c>
      <c r="E152" s="101" t="s">
        <v>8532</v>
      </c>
      <c r="F152" s="98"/>
      <c r="G152" s="98" t="s">
        <v>117</v>
      </c>
      <c r="H152" s="100" t="s">
        <v>8215</v>
      </c>
      <c r="I152" s="100" t="s">
        <v>8215</v>
      </c>
      <c r="J152" s="100">
        <v>3.5</v>
      </c>
      <c r="K152" s="107"/>
    </row>
    <row r="153" ht="15" spans="1:11">
      <c r="A153" s="98" t="s">
        <v>28</v>
      </c>
      <c r="B153" s="99" t="s">
        <v>8533</v>
      </c>
      <c r="C153" s="98" t="s">
        <v>8218</v>
      </c>
      <c r="D153" s="101" t="s">
        <v>4</v>
      </c>
      <c r="E153" s="101" t="s">
        <v>8532</v>
      </c>
      <c r="F153" s="98"/>
      <c r="G153" s="98" t="s">
        <v>117</v>
      </c>
      <c r="H153" s="100" t="s">
        <v>8215</v>
      </c>
      <c r="I153" s="100" t="s">
        <v>8247</v>
      </c>
      <c r="J153" s="100">
        <v>4</v>
      </c>
      <c r="K153" s="107"/>
    </row>
    <row r="154" ht="15" spans="1:11">
      <c r="A154" s="98" t="s">
        <v>28</v>
      </c>
      <c r="B154" s="99" t="s">
        <v>8534</v>
      </c>
      <c r="C154" s="98" t="s">
        <v>8218</v>
      </c>
      <c r="D154" s="101" t="s">
        <v>4</v>
      </c>
      <c r="E154" s="101" t="s">
        <v>8532</v>
      </c>
      <c r="F154" s="98"/>
      <c r="G154" s="98" t="s">
        <v>117</v>
      </c>
      <c r="H154" s="100" t="s">
        <v>8320</v>
      </c>
      <c r="I154" s="100" t="s">
        <v>8535</v>
      </c>
      <c r="J154" s="100">
        <v>5</v>
      </c>
      <c r="K154" s="107"/>
    </row>
    <row r="155" ht="15" spans="1:11">
      <c r="A155" s="98" t="s">
        <v>28</v>
      </c>
      <c r="B155" s="100" t="s">
        <v>8536</v>
      </c>
      <c r="C155" s="98" t="s">
        <v>8229</v>
      </c>
      <c r="D155" s="101" t="s">
        <v>4</v>
      </c>
      <c r="E155" s="101" t="s">
        <v>8537</v>
      </c>
      <c r="F155" s="98"/>
      <c r="G155" s="98" t="s">
        <v>117</v>
      </c>
      <c r="H155" s="100" t="s">
        <v>8320</v>
      </c>
      <c r="I155" s="100" t="s">
        <v>8320</v>
      </c>
      <c r="J155" s="100"/>
      <c r="K155" s="107"/>
    </row>
    <row r="156" ht="15" spans="1:11">
      <c r="A156" s="98" t="s">
        <v>28</v>
      </c>
      <c r="B156" s="99" t="s">
        <v>8538</v>
      </c>
      <c r="C156" s="98" t="s">
        <v>8218</v>
      </c>
      <c r="D156" s="101" t="s">
        <v>4</v>
      </c>
      <c r="E156" s="101" t="s">
        <v>8537</v>
      </c>
      <c r="F156" s="98"/>
      <c r="G156" s="98" t="s">
        <v>117</v>
      </c>
      <c r="H156" s="100" t="s">
        <v>8215</v>
      </c>
      <c r="I156" s="100" t="s">
        <v>8215</v>
      </c>
      <c r="J156" s="100">
        <v>4</v>
      </c>
      <c r="K156" s="107"/>
    </row>
    <row r="157" ht="15" spans="1:11">
      <c r="A157" s="98" t="s">
        <v>28</v>
      </c>
      <c r="B157" s="99" t="s">
        <v>8539</v>
      </c>
      <c r="C157" s="98" t="s">
        <v>8229</v>
      </c>
      <c r="D157" s="101" t="s">
        <v>4</v>
      </c>
      <c r="E157" s="101" t="s">
        <v>8537</v>
      </c>
      <c r="F157" s="98"/>
      <c r="G157" s="98" t="s">
        <v>117</v>
      </c>
      <c r="H157" s="100" t="s">
        <v>8215</v>
      </c>
      <c r="I157" s="100" t="s">
        <v>8247</v>
      </c>
      <c r="J157" s="100"/>
      <c r="K157" s="107"/>
    </row>
    <row r="158" ht="15" spans="1:11">
      <c r="A158" s="98" t="s">
        <v>28</v>
      </c>
      <c r="B158" s="100" t="s">
        <v>8540</v>
      </c>
      <c r="C158" s="98" t="s">
        <v>8240</v>
      </c>
      <c r="D158" s="98"/>
      <c r="E158" s="98" t="s">
        <v>8537</v>
      </c>
      <c r="F158" s="98" t="s">
        <v>1025</v>
      </c>
      <c r="G158" s="98"/>
      <c r="H158" s="100"/>
      <c r="I158" s="100"/>
      <c r="J158" s="100"/>
      <c r="K158" s="107"/>
    </row>
    <row r="159" ht="15" spans="1:11">
      <c r="A159" s="98" t="s">
        <v>28</v>
      </c>
      <c r="B159" s="99" t="s">
        <v>8541</v>
      </c>
      <c r="C159" s="98" t="s">
        <v>8514</v>
      </c>
      <c r="D159" s="98" t="s">
        <v>4</v>
      </c>
      <c r="E159" s="98" t="s">
        <v>8537</v>
      </c>
      <c r="F159" s="98"/>
      <c r="G159" s="98" t="s">
        <v>117</v>
      </c>
      <c r="H159" s="118" t="s">
        <v>8215</v>
      </c>
      <c r="I159" s="100" t="s">
        <v>8247</v>
      </c>
      <c r="J159" s="100" t="s">
        <v>8542</v>
      </c>
      <c r="K159" s="107"/>
    </row>
    <row r="160" ht="15" spans="1:11">
      <c r="A160" s="98" t="s">
        <v>28</v>
      </c>
      <c r="B160" s="99" t="s">
        <v>8543</v>
      </c>
      <c r="C160" s="98" t="s">
        <v>8258</v>
      </c>
      <c r="D160" s="101" t="s">
        <v>4</v>
      </c>
      <c r="E160" s="101" t="s">
        <v>1808</v>
      </c>
      <c r="F160" s="98"/>
      <c r="G160" s="98" t="s">
        <v>117</v>
      </c>
      <c r="H160" s="100" t="s">
        <v>8252</v>
      </c>
      <c r="I160" s="100" t="s">
        <v>8252</v>
      </c>
      <c r="J160" s="100">
        <v>1.6</v>
      </c>
      <c r="K160" s="107"/>
    </row>
    <row r="161" ht="15" spans="1:11">
      <c r="A161" s="98" t="s">
        <v>28</v>
      </c>
      <c r="B161" s="99" t="s">
        <v>8544</v>
      </c>
      <c r="C161" s="98" t="s">
        <v>8218</v>
      </c>
      <c r="D161" s="101" t="s">
        <v>4</v>
      </c>
      <c r="E161" s="101" t="s">
        <v>1808</v>
      </c>
      <c r="F161" s="98"/>
      <c r="G161" s="98" t="s">
        <v>117</v>
      </c>
      <c r="H161" s="100" t="s">
        <v>8215</v>
      </c>
      <c r="I161" s="100" t="s">
        <v>8247</v>
      </c>
      <c r="J161" s="100" t="s">
        <v>8545</v>
      </c>
      <c r="K161" s="107"/>
    </row>
    <row r="162" ht="15" spans="1:11">
      <c r="A162" s="98" t="s">
        <v>28</v>
      </c>
      <c r="B162" s="99" t="s">
        <v>8546</v>
      </c>
      <c r="C162" s="98" t="s">
        <v>8229</v>
      </c>
      <c r="D162" s="101" t="s">
        <v>4</v>
      </c>
      <c r="E162" s="101" t="s">
        <v>8547</v>
      </c>
      <c r="F162" s="98"/>
      <c r="G162" s="98" t="s">
        <v>117</v>
      </c>
      <c r="H162" s="100" t="s">
        <v>8215</v>
      </c>
      <c r="I162" s="100" t="s">
        <v>8247</v>
      </c>
      <c r="J162" s="100" t="s">
        <v>8220</v>
      </c>
      <c r="K162" s="107"/>
    </row>
    <row r="163" ht="15" spans="1:11">
      <c r="A163" s="98" t="s">
        <v>28</v>
      </c>
      <c r="B163" s="99" t="s">
        <v>8548</v>
      </c>
      <c r="C163" s="98" t="s">
        <v>8240</v>
      </c>
      <c r="D163" s="101" t="s">
        <v>4</v>
      </c>
      <c r="E163" s="101" t="s">
        <v>8547</v>
      </c>
      <c r="F163" s="98"/>
      <c r="G163" s="98" t="s">
        <v>117</v>
      </c>
      <c r="H163" s="100" t="s">
        <v>8215</v>
      </c>
      <c r="I163" s="100" t="s">
        <v>8247</v>
      </c>
      <c r="J163" s="100"/>
      <c r="K163" s="107"/>
    </row>
    <row r="164" ht="15" spans="1:11">
      <c r="A164" s="98" t="s">
        <v>28</v>
      </c>
      <c r="B164" s="99" t="s">
        <v>8549</v>
      </c>
      <c r="C164" s="98" t="s">
        <v>8218</v>
      </c>
      <c r="D164" s="101" t="s">
        <v>4</v>
      </c>
      <c r="E164" s="101" t="s">
        <v>8547</v>
      </c>
      <c r="F164" s="98"/>
      <c r="G164" s="98" t="s">
        <v>117</v>
      </c>
      <c r="H164" s="100" t="s">
        <v>8550</v>
      </c>
      <c r="I164" s="100" t="s">
        <v>8550</v>
      </c>
      <c r="J164" s="100">
        <v>5.5</v>
      </c>
      <c r="K164" s="107"/>
    </row>
    <row r="165" ht="15" spans="1:11">
      <c r="A165" s="98" t="s">
        <v>28</v>
      </c>
      <c r="B165" s="100" t="s">
        <v>8551</v>
      </c>
      <c r="C165" s="98" t="s">
        <v>8229</v>
      </c>
      <c r="D165" s="101" t="s">
        <v>4</v>
      </c>
      <c r="E165" s="101" t="s">
        <v>8547</v>
      </c>
      <c r="F165" s="98"/>
      <c r="G165" s="98" t="s">
        <v>117</v>
      </c>
      <c r="H165" s="100" t="s">
        <v>8215</v>
      </c>
      <c r="I165" s="100" t="s">
        <v>8215</v>
      </c>
      <c r="J165" s="100">
        <v>4</v>
      </c>
      <c r="K165" s="107"/>
    </row>
    <row r="166" ht="15" spans="1:11">
      <c r="A166" s="98" t="s">
        <v>28</v>
      </c>
      <c r="B166" s="99" t="s">
        <v>8552</v>
      </c>
      <c r="C166" s="98" t="s">
        <v>8218</v>
      </c>
      <c r="D166" s="101" t="s">
        <v>4</v>
      </c>
      <c r="E166" s="101" t="s">
        <v>8547</v>
      </c>
      <c r="F166" s="98"/>
      <c r="G166" s="98" t="s">
        <v>117</v>
      </c>
      <c r="H166" s="100" t="s">
        <v>8215</v>
      </c>
      <c r="I166" s="100" t="s">
        <v>8215</v>
      </c>
      <c r="J166" s="100" t="s">
        <v>8220</v>
      </c>
      <c r="K166" s="107"/>
    </row>
    <row r="167" ht="15" spans="1:11">
      <c r="A167" s="98" t="s">
        <v>28</v>
      </c>
      <c r="B167" s="99" t="s">
        <v>8553</v>
      </c>
      <c r="C167" s="101" t="s">
        <v>8240</v>
      </c>
      <c r="D167" s="98" t="s">
        <v>4</v>
      </c>
      <c r="E167" s="98" t="s">
        <v>8547</v>
      </c>
      <c r="F167" s="98"/>
      <c r="G167" s="98" t="s">
        <v>117</v>
      </c>
      <c r="H167" s="100" t="s">
        <v>8215</v>
      </c>
      <c r="I167" s="100" t="s">
        <v>8215</v>
      </c>
      <c r="J167" s="100">
        <v>5</v>
      </c>
      <c r="K167" s="107"/>
    </row>
    <row r="168" ht="15" spans="1:11">
      <c r="A168" s="98" t="s">
        <v>28</v>
      </c>
      <c r="B168" s="119" t="s">
        <v>8554</v>
      </c>
      <c r="C168" s="101" t="s">
        <v>8240</v>
      </c>
      <c r="D168" s="98" t="s">
        <v>4</v>
      </c>
      <c r="E168" s="98" t="s">
        <v>8547</v>
      </c>
      <c r="F168" s="98"/>
      <c r="G168" s="98" t="s">
        <v>117</v>
      </c>
      <c r="H168" s="120" t="s">
        <v>8215</v>
      </c>
      <c r="I168" s="100" t="s">
        <v>8247</v>
      </c>
      <c r="J168" s="98" t="s">
        <v>8220</v>
      </c>
      <c r="K168" s="107"/>
    </row>
    <row r="169" s="90" customFormat="1" ht="15" spans="1:11">
      <c r="A169" s="98" t="s">
        <v>28</v>
      </c>
      <c r="B169" s="119" t="s">
        <v>8555</v>
      </c>
      <c r="C169" s="101" t="s">
        <v>8272</v>
      </c>
      <c r="D169" s="98" t="s">
        <v>4</v>
      </c>
      <c r="E169" s="98" t="s">
        <v>8547</v>
      </c>
      <c r="F169" s="98"/>
      <c r="G169" s="98" t="s">
        <v>117</v>
      </c>
      <c r="H169" s="120" t="s">
        <v>8215</v>
      </c>
      <c r="I169" s="100" t="s">
        <v>8215</v>
      </c>
      <c r="J169" s="98" t="s">
        <v>8556</v>
      </c>
      <c r="K169" s="107">
        <v>2025.4</v>
      </c>
    </row>
    <row r="170" ht="15" spans="1:11">
      <c r="A170" s="98" t="s">
        <v>28</v>
      </c>
      <c r="B170" s="99" t="s">
        <v>8557</v>
      </c>
      <c r="C170" s="98" t="s">
        <v>8218</v>
      </c>
      <c r="D170" s="101" t="s">
        <v>4</v>
      </c>
      <c r="E170" s="101" t="s">
        <v>8558</v>
      </c>
      <c r="F170" s="98"/>
      <c r="G170" s="98" t="s">
        <v>117</v>
      </c>
      <c r="H170" s="100" t="s">
        <v>8215</v>
      </c>
      <c r="I170" s="100" t="s">
        <v>8215</v>
      </c>
      <c r="J170" s="100"/>
      <c r="K170" s="107"/>
    </row>
    <row r="171" ht="15" spans="1:11">
      <c r="A171" s="98" t="s">
        <v>28</v>
      </c>
      <c r="B171" s="99" t="s">
        <v>8559</v>
      </c>
      <c r="C171" s="98" t="s">
        <v>8229</v>
      </c>
      <c r="D171" s="101" t="s">
        <v>4</v>
      </c>
      <c r="E171" s="101" t="s">
        <v>8558</v>
      </c>
      <c r="F171" s="98"/>
      <c r="G171" s="98" t="s">
        <v>117</v>
      </c>
      <c r="H171" s="100" t="s">
        <v>8215</v>
      </c>
      <c r="I171" s="100" t="s">
        <v>8215</v>
      </c>
      <c r="J171" s="100">
        <v>4</v>
      </c>
      <c r="K171" s="107"/>
    </row>
    <row r="172" s="90" customFormat="1" ht="15" spans="1:11">
      <c r="A172" s="98" t="s">
        <v>28</v>
      </c>
      <c r="B172" s="99" t="s">
        <v>8560</v>
      </c>
      <c r="C172" s="98" t="s">
        <v>8293</v>
      </c>
      <c r="D172" s="101" t="s">
        <v>4</v>
      </c>
      <c r="E172" s="101" t="s">
        <v>8558</v>
      </c>
      <c r="F172" s="98"/>
      <c r="G172" s="98" t="s">
        <v>117</v>
      </c>
      <c r="H172" s="100" t="s">
        <v>8215</v>
      </c>
      <c r="I172" s="100" t="s">
        <v>8215</v>
      </c>
      <c r="J172" s="100" t="s">
        <v>8463</v>
      </c>
      <c r="K172" s="107">
        <v>2024.4</v>
      </c>
    </row>
    <row r="173" ht="15" spans="1:11">
      <c r="A173" s="98" t="s">
        <v>28</v>
      </c>
      <c r="B173" s="99" t="s">
        <v>8561</v>
      </c>
      <c r="C173" s="98" t="s">
        <v>8514</v>
      </c>
      <c r="D173" s="101" t="s">
        <v>4</v>
      </c>
      <c r="E173" s="101" t="s">
        <v>8562</v>
      </c>
      <c r="F173" s="98" t="s">
        <v>8563</v>
      </c>
      <c r="G173" s="98" t="s">
        <v>117</v>
      </c>
      <c r="H173" s="98"/>
      <c r="I173" s="100"/>
      <c r="J173" s="98"/>
      <c r="K173" s="107"/>
    </row>
    <row r="174" ht="15" spans="1:11">
      <c r="A174" s="98" t="s">
        <v>28</v>
      </c>
      <c r="B174" s="99" t="s">
        <v>8564</v>
      </c>
      <c r="C174" s="98" t="s">
        <v>8229</v>
      </c>
      <c r="D174" s="101" t="s">
        <v>4</v>
      </c>
      <c r="E174" s="101" t="s">
        <v>8562</v>
      </c>
      <c r="F174" s="98"/>
      <c r="G174" s="98" t="s">
        <v>117</v>
      </c>
      <c r="H174" s="100" t="s">
        <v>8215</v>
      </c>
      <c r="I174" s="100" t="s">
        <v>8215</v>
      </c>
      <c r="J174" s="100">
        <v>5</v>
      </c>
      <c r="K174" s="107"/>
    </row>
    <row r="175" ht="15" spans="1:11">
      <c r="A175" s="98" t="s">
        <v>28</v>
      </c>
      <c r="B175" s="99" t="s">
        <v>8565</v>
      </c>
      <c r="C175" s="98" t="s">
        <v>8229</v>
      </c>
      <c r="D175" s="101" t="s">
        <v>4</v>
      </c>
      <c r="E175" s="101" t="s">
        <v>8562</v>
      </c>
      <c r="F175" s="98"/>
      <c r="G175" s="98" t="s">
        <v>117</v>
      </c>
      <c r="H175" s="100" t="s">
        <v>8215</v>
      </c>
      <c r="I175" s="100" t="s">
        <v>8215</v>
      </c>
      <c r="J175" s="100">
        <v>3.5</v>
      </c>
      <c r="K175" s="107"/>
    </row>
    <row r="176" ht="15" spans="1:11">
      <c r="A176" s="98" t="s">
        <v>28</v>
      </c>
      <c r="B176" s="99" t="s">
        <v>8566</v>
      </c>
      <c r="C176" s="98" t="s">
        <v>8229</v>
      </c>
      <c r="D176" s="101" t="s">
        <v>4</v>
      </c>
      <c r="E176" s="101" t="s">
        <v>8567</v>
      </c>
      <c r="F176" s="98"/>
      <c r="G176" s="98" t="s">
        <v>117</v>
      </c>
      <c r="H176" s="100" t="s">
        <v>8215</v>
      </c>
      <c r="I176" s="100" t="s">
        <v>8215</v>
      </c>
      <c r="J176" s="100">
        <v>4</v>
      </c>
      <c r="K176" s="107"/>
    </row>
    <row r="177" ht="15" spans="1:11">
      <c r="A177" s="98" t="s">
        <v>28</v>
      </c>
      <c r="B177" s="99" t="s">
        <v>8568</v>
      </c>
      <c r="C177" s="101" t="s">
        <v>8240</v>
      </c>
      <c r="D177" s="101" t="s">
        <v>4</v>
      </c>
      <c r="E177" s="101" t="s">
        <v>8567</v>
      </c>
      <c r="F177" s="98"/>
      <c r="G177" s="98" t="s">
        <v>117</v>
      </c>
      <c r="H177" s="100" t="s">
        <v>8215</v>
      </c>
      <c r="I177" s="100" t="s">
        <v>8247</v>
      </c>
      <c r="J177" s="100">
        <v>4</v>
      </c>
      <c r="K177" s="107"/>
    </row>
    <row r="178" ht="15" spans="1:11">
      <c r="A178" s="98" t="s">
        <v>28</v>
      </c>
      <c r="B178" s="99" t="s">
        <v>8569</v>
      </c>
      <c r="C178" s="98" t="s">
        <v>8229</v>
      </c>
      <c r="D178" s="101" t="s">
        <v>4</v>
      </c>
      <c r="E178" s="101" t="s">
        <v>8570</v>
      </c>
      <c r="F178" s="98"/>
      <c r="G178" s="98" t="s">
        <v>117</v>
      </c>
      <c r="H178" s="100" t="s">
        <v>8215</v>
      </c>
      <c r="I178" s="100" t="s">
        <v>8215</v>
      </c>
      <c r="J178" s="100"/>
      <c r="K178" s="107"/>
    </row>
    <row r="179" ht="15" spans="1:11">
      <c r="A179" s="98" t="s">
        <v>28</v>
      </c>
      <c r="B179" s="99" t="s">
        <v>8571</v>
      </c>
      <c r="C179" s="98" t="s">
        <v>8229</v>
      </c>
      <c r="D179" s="101" t="s">
        <v>4</v>
      </c>
      <c r="E179" s="101" t="s">
        <v>8570</v>
      </c>
      <c r="F179" s="98"/>
      <c r="G179" s="98" t="s">
        <v>117</v>
      </c>
      <c r="H179" s="100" t="s">
        <v>8215</v>
      </c>
      <c r="I179" s="100" t="s">
        <v>8215</v>
      </c>
      <c r="J179" s="100"/>
      <c r="K179" s="107"/>
    </row>
    <row r="180" ht="15" spans="1:11">
      <c r="A180" s="98" t="s">
        <v>28</v>
      </c>
      <c r="B180" s="99" t="s">
        <v>8572</v>
      </c>
      <c r="C180" s="98" t="s">
        <v>8229</v>
      </c>
      <c r="D180" s="101" t="s">
        <v>4</v>
      </c>
      <c r="E180" s="101" t="s">
        <v>8570</v>
      </c>
      <c r="F180" s="98"/>
      <c r="G180" s="98" t="s">
        <v>117</v>
      </c>
      <c r="H180" s="100" t="s">
        <v>8215</v>
      </c>
      <c r="I180" s="100" t="s">
        <v>8215</v>
      </c>
      <c r="J180" s="100">
        <v>5.5</v>
      </c>
      <c r="K180" s="107"/>
    </row>
    <row r="181" s="90" customFormat="1" ht="15" spans="1:11">
      <c r="A181" s="98" t="s">
        <v>28</v>
      </c>
      <c r="B181" s="99" t="s">
        <v>8573</v>
      </c>
      <c r="C181" s="98" t="s">
        <v>8293</v>
      </c>
      <c r="D181" s="98" t="s">
        <v>4</v>
      </c>
      <c r="E181" s="98" t="s">
        <v>8570</v>
      </c>
      <c r="F181" s="98"/>
      <c r="G181" s="98" t="s">
        <v>117</v>
      </c>
      <c r="H181" s="100" t="s">
        <v>8294</v>
      </c>
      <c r="I181" s="100" t="s">
        <v>8294</v>
      </c>
      <c r="J181" s="100" t="s">
        <v>8574</v>
      </c>
      <c r="K181" s="107">
        <v>2024.6</v>
      </c>
    </row>
    <row r="182" ht="15" spans="1:11">
      <c r="A182" s="98" t="s">
        <v>28</v>
      </c>
      <c r="B182" s="99" t="s">
        <v>8575</v>
      </c>
      <c r="C182" s="98" t="s">
        <v>8218</v>
      </c>
      <c r="D182" s="101" t="s">
        <v>4</v>
      </c>
      <c r="E182" s="101" t="s">
        <v>8576</v>
      </c>
      <c r="F182" s="98"/>
      <c r="G182" s="98" t="s">
        <v>117</v>
      </c>
      <c r="H182" s="100" t="s">
        <v>8215</v>
      </c>
      <c r="I182" s="100" t="s">
        <v>8215</v>
      </c>
      <c r="J182" s="100" t="s">
        <v>8220</v>
      </c>
      <c r="K182" s="107"/>
    </row>
    <row r="183" ht="15" spans="1:11">
      <c r="A183" s="98" t="s">
        <v>28</v>
      </c>
      <c r="B183" s="99" t="s">
        <v>8577</v>
      </c>
      <c r="C183" s="98" t="s">
        <v>8229</v>
      </c>
      <c r="D183" s="101" t="s">
        <v>4</v>
      </c>
      <c r="E183" s="101" t="s">
        <v>8576</v>
      </c>
      <c r="F183" s="98"/>
      <c r="G183" s="98" t="s">
        <v>117</v>
      </c>
      <c r="H183" s="100" t="s">
        <v>8215</v>
      </c>
      <c r="I183" s="100" t="s">
        <v>8215</v>
      </c>
      <c r="J183" s="100" t="s">
        <v>8220</v>
      </c>
      <c r="K183" s="107"/>
    </row>
    <row r="184" ht="15" spans="1:11">
      <c r="A184" s="98" t="s">
        <v>28</v>
      </c>
      <c r="B184" s="99" t="s">
        <v>8578</v>
      </c>
      <c r="C184" s="98" t="s">
        <v>8229</v>
      </c>
      <c r="D184" s="101" t="s">
        <v>4</v>
      </c>
      <c r="E184" s="101" t="s">
        <v>8576</v>
      </c>
      <c r="F184" s="98"/>
      <c r="G184" s="98" t="s">
        <v>117</v>
      </c>
      <c r="H184" s="100" t="s">
        <v>8215</v>
      </c>
      <c r="I184" s="100" t="s">
        <v>8247</v>
      </c>
      <c r="J184" s="100"/>
      <c r="K184" s="107"/>
    </row>
    <row r="185" ht="15" spans="1:11">
      <c r="A185" s="98" t="s">
        <v>28</v>
      </c>
      <c r="B185" s="99" t="s">
        <v>8579</v>
      </c>
      <c r="C185" s="98" t="s">
        <v>8229</v>
      </c>
      <c r="D185" s="101" t="s">
        <v>4</v>
      </c>
      <c r="E185" s="101" t="s">
        <v>8576</v>
      </c>
      <c r="F185" s="98"/>
      <c r="G185" s="98" t="s">
        <v>117</v>
      </c>
      <c r="H185" s="100" t="s">
        <v>8215</v>
      </c>
      <c r="I185" s="100" t="s">
        <v>8215</v>
      </c>
      <c r="J185" s="100"/>
      <c r="K185" s="107"/>
    </row>
    <row r="186" ht="15" spans="1:11">
      <c r="A186" s="98" t="s">
        <v>28</v>
      </c>
      <c r="B186" s="99" t="s">
        <v>8580</v>
      </c>
      <c r="C186" s="98" t="s">
        <v>8240</v>
      </c>
      <c r="D186" s="101" t="s">
        <v>4</v>
      </c>
      <c r="E186" s="101" t="s">
        <v>8581</v>
      </c>
      <c r="F186" s="98"/>
      <c r="G186" s="98" t="s">
        <v>117</v>
      </c>
      <c r="H186" s="100" t="s">
        <v>8215</v>
      </c>
      <c r="I186" s="100" t="s">
        <v>8247</v>
      </c>
      <c r="J186" s="100" t="s">
        <v>8220</v>
      </c>
      <c r="K186" s="107"/>
    </row>
    <row r="187" ht="15" spans="1:11">
      <c r="A187" s="98" t="s">
        <v>28</v>
      </c>
      <c r="B187" s="99" t="s">
        <v>8582</v>
      </c>
      <c r="C187" s="98" t="s">
        <v>8240</v>
      </c>
      <c r="D187" s="101" t="s">
        <v>4</v>
      </c>
      <c r="E187" s="101" t="s">
        <v>8581</v>
      </c>
      <c r="F187" s="98"/>
      <c r="G187" s="98" t="s">
        <v>117</v>
      </c>
      <c r="H187" s="100" t="s">
        <v>8215</v>
      </c>
      <c r="I187" s="100" t="s">
        <v>8215</v>
      </c>
      <c r="J187" s="100"/>
      <c r="K187" s="107"/>
    </row>
    <row r="188" ht="15" spans="1:11">
      <c r="A188" s="98" t="s">
        <v>28</v>
      </c>
      <c r="B188" s="99" t="s">
        <v>8583</v>
      </c>
      <c r="C188" s="98" t="s">
        <v>8240</v>
      </c>
      <c r="D188" s="101" t="s">
        <v>4</v>
      </c>
      <c r="E188" s="101" t="s">
        <v>8581</v>
      </c>
      <c r="F188" s="98"/>
      <c r="G188" s="98" t="s">
        <v>117</v>
      </c>
      <c r="H188" s="100" t="s">
        <v>8215</v>
      </c>
      <c r="I188" s="100" t="s">
        <v>8215</v>
      </c>
      <c r="J188" s="100">
        <v>4</v>
      </c>
      <c r="K188" s="107"/>
    </row>
    <row r="189" ht="15" spans="1:11">
      <c r="A189" s="98" t="s">
        <v>28</v>
      </c>
      <c r="B189" s="99" t="s">
        <v>8584</v>
      </c>
      <c r="C189" s="98" t="s">
        <v>8240</v>
      </c>
      <c r="D189" s="101" t="s">
        <v>4</v>
      </c>
      <c r="E189" s="101" t="s">
        <v>8581</v>
      </c>
      <c r="F189" s="98"/>
      <c r="G189" s="98" t="s">
        <v>117</v>
      </c>
      <c r="H189" s="100" t="s">
        <v>8215</v>
      </c>
      <c r="I189" s="100" t="s">
        <v>8247</v>
      </c>
      <c r="J189" s="100">
        <v>3</v>
      </c>
      <c r="K189" s="107"/>
    </row>
    <row r="190" ht="15" spans="1:11">
      <c r="A190" s="98" t="s">
        <v>28</v>
      </c>
      <c r="B190" s="99" t="s">
        <v>8585</v>
      </c>
      <c r="C190" s="98" t="s">
        <v>8240</v>
      </c>
      <c r="D190" s="101" t="s">
        <v>4</v>
      </c>
      <c r="E190" s="101" t="s">
        <v>8581</v>
      </c>
      <c r="F190" s="98"/>
      <c r="G190" s="98" t="s">
        <v>117</v>
      </c>
      <c r="H190" s="100" t="s">
        <v>8215</v>
      </c>
      <c r="I190" s="100" t="s">
        <v>8215</v>
      </c>
      <c r="J190" s="100" t="s">
        <v>8220</v>
      </c>
      <c r="K190" s="107"/>
    </row>
    <row r="191" ht="15" spans="1:11">
      <c r="A191" s="98" t="s">
        <v>28</v>
      </c>
      <c r="B191" s="99" t="s">
        <v>8586</v>
      </c>
      <c r="C191" s="98" t="s">
        <v>8240</v>
      </c>
      <c r="D191" s="101" t="s">
        <v>4</v>
      </c>
      <c r="E191" s="101" t="s">
        <v>8581</v>
      </c>
      <c r="F191" s="98"/>
      <c r="G191" s="98" t="s">
        <v>117</v>
      </c>
      <c r="H191" s="100" t="s">
        <v>8215</v>
      </c>
      <c r="I191" s="100" t="s">
        <v>8215</v>
      </c>
      <c r="J191" s="100" t="s">
        <v>8220</v>
      </c>
      <c r="K191" s="107"/>
    </row>
    <row r="192" ht="15" spans="1:11">
      <c r="A192" s="98" t="s">
        <v>28</v>
      </c>
      <c r="B192" s="99" t="s">
        <v>8587</v>
      </c>
      <c r="C192" s="98" t="s">
        <v>8240</v>
      </c>
      <c r="D192" s="101" t="s">
        <v>4</v>
      </c>
      <c r="E192" s="101" t="s">
        <v>8581</v>
      </c>
      <c r="F192" s="98"/>
      <c r="G192" s="98" t="s">
        <v>117</v>
      </c>
      <c r="H192" s="100" t="s">
        <v>8215</v>
      </c>
      <c r="I192" s="100" t="s">
        <v>8247</v>
      </c>
      <c r="J192" s="100">
        <v>4</v>
      </c>
      <c r="K192" s="107"/>
    </row>
    <row r="193" s="91" customFormat="1" ht="15" spans="1:11">
      <c r="A193" s="106" t="s">
        <v>28</v>
      </c>
      <c r="B193" s="106" t="s">
        <v>8585</v>
      </c>
      <c r="C193" s="106" t="s">
        <v>8293</v>
      </c>
      <c r="D193" s="106" t="s">
        <v>4</v>
      </c>
      <c r="E193" s="106" t="s">
        <v>8581</v>
      </c>
      <c r="F193" s="106"/>
      <c r="G193" s="106" t="s">
        <v>117</v>
      </c>
      <c r="H193" s="106" t="s">
        <v>8215</v>
      </c>
      <c r="I193" s="106" t="s">
        <v>8215</v>
      </c>
      <c r="J193" s="106" t="s">
        <v>8388</v>
      </c>
      <c r="K193" s="106">
        <v>2024.9</v>
      </c>
    </row>
    <row r="194" ht="15" spans="1:11">
      <c r="A194" s="98" t="s">
        <v>28</v>
      </c>
      <c r="B194" s="99" t="s">
        <v>8588</v>
      </c>
      <c r="C194" s="98" t="s">
        <v>8240</v>
      </c>
      <c r="D194" s="101" t="s">
        <v>4</v>
      </c>
      <c r="E194" s="101" t="s">
        <v>8589</v>
      </c>
      <c r="F194" s="98"/>
      <c r="G194" s="98" t="s">
        <v>117</v>
      </c>
      <c r="H194" s="100" t="s">
        <v>8215</v>
      </c>
      <c r="I194" s="100" t="s">
        <v>8247</v>
      </c>
      <c r="J194" s="100">
        <v>3.5</v>
      </c>
      <c r="K194" s="107"/>
    </row>
    <row r="195" ht="15" spans="1:11">
      <c r="A195" s="98" t="s">
        <v>28</v>
      </c>
      <c r="B195" s="99" t="s">
        <v>8590</v>
      </c>
      <c r="C195" s="98" t="s">
        <v>8225</v>
      </c>
      <c r="D195" s="101" t="s">
        <v>4</v>
      </c>
      <c r="E195" s="101" t="s">
        <v>8589</v>
      </c>
      <c r="F195" s="98"/>
      <c r="G195" s="98" t="s">
        <v>117</v>
      </c>
      <c r="H195" s="100"/>
      <c r="I195" s="100"/>
      <c r="J195" s="100" t="s">
        <v>8591</v>
      </c>
      <c r="K195" s="107"/>
    </row>
    <row r="196" ht="15" spans="1:11">
      <c r="A196" s="98" t="s">
        <v>28</v>
      </c>
      <c r="B196" s="99" t="s">
        <v>8592</v>
      </c>
      <c r="C196" s="98" t="s">
        <v>8229</v>
      </c>
      <c r="D196" s="101" t="s">
        <v>4</v>
      </c>
      <c r="E196" s="101" t="s">
        <v>8593</v>
      </c>
      <c r="F196" s="98"/>
      <c r="G196" s="98" t="s">
        <v>117</v>
      </c>
      <c r="H196" s="100" t="s">
        <v>8215</v>
      </c>
      <c r="I196" s="100" t="s">
        <v>8215</v>
      </c>
      <c r="J196" s="100">
        <v>1.6</v>
      </c>
      <c r="K196" s="107"/>
    </row>
    <row r="197" ht="15" spans="1:11">
      <c r="A197" s="98" t="s">
        <v>28</v>
      </c>
      <c r="B197" s="99" t="s">
        <v>8594</v>
      </c>
      <c r="C197" s="98" t="s">
        <v>8229</v>
      </c>
      <c r="D197" s="101" t="s">
        <v>4</v>
      </c>
      <c r="E197" s="101" t="s">
        <v>8593</v>
      </c>
      <c r="F197" s="98"/>
      <c r="G197" s="98" t="s">
        <v>117</v>
      </c>
      <c r="H197" s="100" t="s">
        <v>8215</v>
      </c>
      <c r="I197" s="100" t="s">
        <v>8215</v>
      </c>
      <c r="J197" s="100">
        <v>4</v>
      </c>
      <c r="K197" s="107"/>
    </row>
    <row r="198" ht="15" spans="1:11">
      <c r="A198" s="98" t="s">
        <v>28</v>
      </c>
      <c r="B198" s="99" t="s">
        <v>8595</v>
      </c>
      <c r="C198" s="98" t="s">
        <v>8240</v>
      </c>
      <c r="D198" s="101" t="s">
        <v>4</v>
      </c>
      <c r="E198" s="101" t="s">
        <v>8596</v>
      </c>
      <c r="F198" s="98"/>
      <c r="G198" s="98" t="s">
        <v>117</v>
      </c>
      <c r="H198" s="100" t="s">
        <v>8215</v>
      </c>
      <c r="I198" s="100" t="s">
        <v>8247</v>
      </c>
      <c r="J198" s="100" t="s">
        <v>8597</v>
      </c>
      <c r="K198" s="107"/>
    </row>
    <row r="199" ht="15" spans="1:11">
      <c r="A199" s="98" t="s">
        <v>28</v>
      </c>
      <c r="B199" s="99" t="s">
        <v>8598</v>
      </c>
      <c r="C199" s="98" t="s">
        <v>8229</v>
      </c>
      <c r="D199" s="101" t="s">
        <v>4</v>
      </c>
      <c r="E199" s="101" t="s">
        <v>8599</v>
      </c>
      <c r="F199" s="98"/>
      <c r="G199" s="98" t="s">
        <v>117</v>
      </c>
      <c r="H199" s="100" t="s">
        <v>8215</v>
      </c>
      <c r="I199" s="100" t="s">
        <v>8247</v>
      </c>
      <c r="J199" s="100">
        <v>4</v>
      </c>
      <c r="K199" s="107"/>
    </row>
    <row r="200" ht="15" spans="1:11">
      <c r="A200" s="98" t="s">
        <v>28</v>
      </c>
      <c r="B200" s="99" t="s">
        <v>8600</v>
      </c>
      <c r="C200" s="98" t="s">
        <v>8229</v>
      </c>
      <c r="D200" s="101" t="s">
        <v>4</v>
      </c>
      <c r="E200" s="101" t="s">
        <v>8599</v>
      </c>
      <c r="F200" s="98"/>
      <c r="G200" s="98" t="s">
        <v>117</v>
      </c>
      <c r="H200" s="100" t="s">
        <v>8215</v>
      </c>
      <c r="I200" s="100" t="s">
        <v>8247</v>
      </c>
      <c r="J200" s="100"/>
      <c r="K200" s="107"/>
    </row>
    <row r="201" ht="15" spans="1:11">
      <c r="A201" s="98" t="s">
        <v>28</v>
      </c>
      <c r="B201" s="99" t="s">
        <v>8601</v>
      </c>
      <c r="C201" s="98" t="s">
        <v>8229</v>
      </c>
      <c r="D201" s="101" t="s">
        <v>4</v>
      </c>
      <c r="E201" s="101" t="s">
        <v>8599</v>
      </c>
      <c r="F201" s="98"/>
      <c r="G201" s="98" t="s">
        <v>117</v>
      </c>
      <c r="H201" s="100" t="s">
        <v>8215</v>
      </c>
      <c r="I201" s="100" t="s">
        <v>8215</v>
      </c>
      <c r="J201" s="100">
        <v>5</v>
      </c>
      <c r="K201" s="107"/>
    </row>
    <row r="202" ht="15" spans="1:11">
      <c r="A202" s="98" t="s">
        <v>28</v>
      </c>
      <c r="B202" s="99" t="s">
        <v>8602</v>
      </c>
      <c r="C202" s="98" t="s">
        <v>8229</v>
      </c>
      <c r="D202" s="101" t="s">
        <v>4</v>
      </c>
      <c r="E202" s="101" t="s">
        <v>8599</v>
      </c>
      <c r="F202" s="98" t="s">
        <v>8419</v>
      </c>
      <c r="G202" s="98" t="s">
        <v>117</v>
      </c>
      <c r="H202" s="100"/>
      <c r="I202" s="100"/>
      <c r="J202" s="100">
        <v>2.5</v>
      </c>
      <c r="K202" s="107"/>
    </row>
    <row r="203" ht="15" spans="1:11">
      <c r="A203" s="98" t="s">
        <v>28</v>
      </c>
      <c r="B203" s="99" t="s">
        <v>8603</v>
      </c>
      <c r="C203" s="98" t="s">
        <v>8229</v>
      </c>
      <c r="D203" s="101" t="s">
        <v>4</v>
      </c>
      <c r="E203" s="101" t="s">
        <v>8604</v>
      </c>
      <c r="F203" s="98"/>
      <c r="G203" s="98" t="s">
        <v>117</v>
      </c>
      <c r="H203" s="100" t="s">
        <v>8215</v>
      </c>
      <c r="I203" s="100" t="s">
        <v>8215</v>
      </c>
      <c r="J203" s="100">
        <v>4</v>
      </c>
      <c r="K203" s="107"/>
    </row>
    <row r="204" ht="15" spans="1:11">
      <c r="A204" s="98" t="s">
        <v>28</v>
      </c>
      <c r="B204" s="99" t="s">
        <v>8605</v>
      </c>
      <c r="C204" s="98" t="s">
        <v>8229</v>
      </c>
      <c r="D204" s="101" t="s">
        <v>4</v>
      </c>
      <c r="E204" s="101" t="s">
        <v>8604</v>
      </c>
      <c r="F204" s="98"/>
      <c r="G204" s="98" t="s">
        <v>117</v>
      </c>
      <c r="H204" s="100" t="s">
        <v>8215</v>
      </c>
      <c r="I204" s="100" t="s">
        <v>8215</v>
      </c>
      <c r="J204" s="100">
        <v>5</v>
      </c>
      <c r="K204" s="107"/>
    </row>
    <row r="205" ht="15" spans="1:11">
      <c r="A205" s="98" t="s">
        <v>28</v>
      </c>
      <c r="B205" s="99" t="s">
        <v>8606</v>
      </c>
      <c r="C205" s="98" t="s">
        <v>8218</v>
      </c>
      <c r="D205" s="101" t="s">
        <v>4</v>
      </c>
      <c r="E205" s="101" t="s">
        <v>8604</v>
      </c>
      <c r="F205" s="98"/>
      <c r="G205" s="98" t="s">
        <v>117</v>
      </c>
      <c r="H205" s="100" t="s">
        <v>8215</v>
      </c>
      <c r="I205" s="100" t="s">
        <v>8247</v>
      </c>
      <c r="J205" s="100">
        <v>5</v>
      </c>
      <c r="K205" s="107"/>
    </row>
    <row r="206" ht="15" spans="1:11">
      <c r="A206" s="98" t="s">
        <v>28</v>
      </c>
      <c r="B206" s="99" t="s">
        <v>8607</v>
      </c>
      <c r="C206" s="98" t="s">
        <v>8514</v>
      </c>
      <c r="D206" s="101" t="s">
        <v>4</v>
      </c>
      <c r="E206" s="101" t="s">
        <v>8604</v>
      </c>
      <c r="F206" s="98"/>
      <c r="G206" s="98" t="s">
        <v>117</v>
      </c>
      <c r="H206" s="100" t="s">
        <v>8215</v>
      </c>
      <c r="I206" s="100" t="s">
        <v>8247</v>
      </c>
      <c r="J206" s="100">
        <v>5</v>
      </c>
      <c r="K206" s="107"/>
    </row>
    <row r="207" s="90" customFormat="1" ht="15" spans="1:11">
      <c r="A207" s="98" t="s">
        <v>28</v>
      </c>
      <c r="B207" s="99" t="s">
        <v>8608</v>
      </c>
      <c r="C207" s="98" t="s">
        <v>8293</v>
      </c>
      <c r="D207" s="98" t="s">
        <v>4</v>
      </c>
      <c r="E207" s="98" t="s">
        <v>8604</v>
      </c>
      <c r="F207" s="98"/>
      <c r="G207" s="98" t="s">
        <v>117</v>
      </c>
      <c r="H207" s="100" t="s">
        <v>8215</v>
      </c>
      <c r="I207" s="100" t="s">
        <v>8247</v>
      </c>
      <c r="J207" s="100" t="s">
        <v>8609</v>
      </c>
      <c r="K207" s="107">
        <v>2024.4</v>
      </c>
    </row>
    <row r="208" ht="15" spans="1:11">
      <c r="A208" s="98" t="s">
        <v>28</v>
      </c>
      <c r="B208" s="99" t="s">
        <v>8610</v>
      </c>
      <c r="C208" s="98" t="s">
        <v>8218</v>
      </c>
      <c r="D208" s="101" t="s">
        <v>4</v>
      </c>
      <c r="E208" s="101" t="s">
        <v>8611</v>
      </c>
      <c r="F208" s="98"/>
      <c r="G208" s="98" t="s">
        <v>117</v>
      </c>
      <c r="H208" s="100" t="s">
        <v>8215</v>
      </c>
      <c r="I208" s="100" t="s">
        <v>8215</v>
      </c>
      <c r="J208" s="100">
        <v>2.5</v>
      </c>
      <c r="K208" s="107"/>
    </row>
    <row r="209" ht="15" spans="1:11">
      <c r="A209" s="98" t="s">
        <v>28</v>
      </c>
      <c r="B209" s="99" t="s">
        <v>8612</v>
      </c>
      <c r="C209" s="98" t="s">
        <v>8218</v>
      </c>
      <c r="D209" s="101" t="s">
        <v>4</v>
      </c>
      <c r="E209" s="101" t="s">
        <v>8611</v>
      </c>
      <c r="F209" s="98"/>
      <c r="G209" s="98" t="s">
        <v>117</v>
      </c>
      <c r="H209" s="100" t="s">
        <v>8215</v>
      </c>
      <c r="I209" s="100" t="s">
        <v>8215</v>
      </c>
      <c r="J209" s="100" t="s">
        <v>8597</v>
      </c>
      <c r="K209" s="107"/>
    </row>
    <row r="210" ht="15" spans="1:11">
      <c r="A210" s="98" t="s">
        <v>28</v>
      </c>
      <c r="B210" s="99" t="s">
        <v>8613</v>
      </c>
      <c r="C210" s="98" t="s">
        <v>8218</v>
      </c>
      <c r="D210" s="101" t="s">
        <v>4</v>
      </c>
      <c r="E210" s="101" t="s">
        <v>8611</v>
      </c>
      <c r="F210" s="98"/>
      <c r="G210" s="98" t="s">
        <v>117</v>
      </c>
      <c r="H210" s="100" t="s">
        <v>8215</v>
      </c>
      <c r="I210" s="100" t="s">
        <v>8215</v>
      </c>
      <c r="J210" s="100" t="s">
        <v>8459</v>
      </c>
      <c r="K210" s="107"/>
    </row>
    <row r="211" ht="15" spans="1:11">
      <c r="A211" s="98" t="s">
        <v>28</v>
      </c>
      <c r="B211" s="99" t="s">
        <v>8614</v>
      </c>
      <c r="C211" s="119" t="s">
        <v>8258</v>
      </c>
      <c r="D211" s="101" t="s">
        <v>4</v>
      </c>
      <c r="E211" s="101" t="s">
        <v>8615</v>
      </c>
      <c r="F211" s="98"/>
      <c r="G211" s="98" t="s">
        <v>117</v>
      </c>
      <c r="H211" s="100" t="s">
        <v>8215</v>
      </c>
      <c r="I211" s="100" t="s">
        <v>8215</v>
      </c>
      <c r="J211" s="100">
        <v>4.4</v>
      </c>
      <c r="K211" s="107"/>
    </row>
    <row r="212" ht="15" spans="1:11">
      <c r="A212" s="98" t="s">
        <v>28</v>
      </c>
      <c r="B212" s="99" t="s">
        <v>8616</v>
      </c>
      <c r="C212" s="119" t="s">
        <v>8258</v>
      </c>
      <c r="D212" s="101" t="s">
        <v>4</v>
      </c>
      <c r="E212" s="101" t="s">
        <v>8615</v>
      </c>
      <c r="F212" s="98"/>
      <c r="G212" s="98" t="s">
        <v>117</v>
      </c>
      <c r="H212" s="100" t="s">
        <v>8215</v>
      </c>
      <c r="I212" s="100" t="s">
        <v>8215</v>
      </c>
      <c r="J212" s="100">
        <v>4.4</v>
      </c>
      <c r="K212" s="107"/>
    </row>
    <row r="213" ht="15" spans="1:11">
      <c r="A213" s="98" t="s">
        <v>28</v>
      </c>
      <c r="B213" s="99" t="s">
        <v>8617</v>
      </c>
      <c r="C213" s="98" t="s">
        <v>8218</v>
      </c>
      <c r="D213" s="101" t="s">
        <v>4</v>
      </c>
      <c r="E213" s="101" t="s">
        <v>8618</v>
      </c>
      <c r="F213" s="98"/>
      <c r="G213" s="98" t="s">
        <v>117</v>
      </c>
      <c r="H213" s="100" t="s">
        <v>8535</v>
      </c>
      <c r="I213" s="100" t="s">
        <v>8535</v>
      </c>
      <c r="J213" s="100">
        <v>2.5</v>
      </c>
      <c r="K213" s="107"/>
    </row>
    <row r="214" ht="15" spans="1:11">
      <c r="A214" s="98" t="s">
        <v>28</v>
      </c>
      <c r="B214" s="99" t="s">
        <v>8619</v>
      </c>
      <c r="C214" s="98" t="s">
        <v>8218</v>
      </c>
      <c r="D214" s="101" t="s">
        <v>4</v>
      </c>
      <c r="E214" s="101" t="s">
        <v>8618</v>
      </c>
      <c r="F214" s="98"/>
      <c r="G214" s="98" t="s">
        <v>117</v>
      </c>
      <c r="H214" s="100" t="s">
        <v>8215</v>
      </c>
      <c r="I214" s="100" t="s">
        <v>8215</v>
      </c>
      <c r="J214" s="100" t="s">
        <v>8597</v>
      </c>
      <c r="K214" s="107"/>
    </row>
    <row r="215" ht="15" spans="1:11">
      <c r="A215" s="98" t="s">
        <v>28</v>
      </c>
      <c r="B215" s="99" t="s">
        <v>8620</v>
      </c>
      <c r="C215" s="98" t="s">
        <v>8229</v>
      </c>
      <c r="D215" s="101" t="s">
        <v>4</v>
      </c>
      <c r="E215" s="101" t="s">
        <v>8618</v>
      </c>
      <c r="F215" s="98"/>
      <c r="G215" s="98" t="s">
        <v>117</v>
      </c>
      <c r="H215" s="100" t="s">
        <v>8215</v>
      </c>
      <c r="I215" s="100" t="s">
        <v>8215</v>
      </c>
      <c r="J215" s="100">
        <v>4</v>
      </c>
      <c r="K215" s="107"/>
    </row>
    <row r="216" ht="15" spans="1:11">
      <c r="A216" s="98" t="s">
        <v>28</v>
      </c>
      <c r="B216" s="99" t="s">
        <v>8621</v>
      </c>
      <c r="C216" s="98" t="s">
        <v>8218</v>
      </c>
      <c r="D216" s="101" t="s">
        <v>4</v>
      </c>
      <c r="E216" s="101" t="s">
        <v>8618</v>
      </c>
      <c r="F216" s="98"/>
      <c r="G216" s="98" t="s">
        <v>117</v>
      </c>
      <c r="H216" s="100" t="s">
        <v>8215</v>
      </c>
      <c r="I216" s="100" t="s">
        <v>8215</v>
      </c>
      <c r="J216" s="100">
        <v>4</v>
      </c>
      <c r="K216" s="107"/>
    </row>
    <row r="217" ht="15" spans="1:11">
      <c r="A217" s="98" t="s">
        <v>28</v>
      </c>
      <c r="B217" s="99" t="s">
        <v>8622</v>
      </c>
      <c r="C217" s="98" t="s">
        <v>8218</v>
      </c>
      <c r="D217" s="101" t="s">
        <v>4</v>
      </c>
      <c r="E217" s="101" t="s">
        <v>8618</v>
      </c>
      <c r="F217" s="98"/>
      <c r="G217" s="98" t="s">
        <v>117</v>
      </c>
      <c r="H217" s="100" t="s">
        <v>8215</v>
      </c>
      <c r="I217" s="100" t="s">
        <v>8215</v>
      </c>
      <c r="J217" s="100">
        <v>4</v>
      </c>
      <c r="K217" s="107"/>
    </row>
    <row r="218" ht="15" spans="1:11">
      <c r="A218" s="98" t="s">
        <v>28</v>
      </c>
      <c r="B218" s="99" t="s">
        <v>8623</v>
      </c>
      <c r="C218" s="98" t="s">
        <v>8240</v>
      </c>
      <c r="D218" s="101" t="s">
        <v>4</v>
      </c>
      <c r="E218" s="101" t="s">
        <v>8624</v>
      </c>
      <c r="F218" s="98" t="s">
        <v>8563</v>
      </c>
      <c r="G218" s="98" t="s">
        <v>117</v>
      </c>
      <c r="H218" s="100" t="s">
        <v>8215</v>
      </c>
      <c r="I218" s="100" t="s">
        <v>8625</v>
      </c>
      <c r="J218" s="100">
        <v>8</v>
      </c>
      <c r="K218" s="107"/>
    </row>
    <row r="219" ht="15" spans="1:11">
      <c r="A219" s="98" t="s">
        <v>28</v>
      </c>
      <c r="B219" s="99" t="s">
        <v>8626</v>
      </c>
      <c r="C219" s="98" t="s">
        <v>8229</v>
      </c>
      <c r="D219" s="101" t="s">
        <v>4</v>
      </c>
      <c r="E219" s="101" t="s">
        <v>8624</v>
      </c>
      <c r="F219" s="98"/>
      <c r="G219" s="98" t="s">
        <v>117</v>
      </c>
      <c r="H219" s="100" t="s">
        <v>8215</v>
      </c>
      <c r="I219" s="100" t="s">
        <v>8625</v>
      </c>
      <c r="J219" s="112" t="s">
        <v>8627</v>
      </c>
      <c r="K219" s="107"/>
    </row>
    <row r="220" ht="15" spans="1:11">
      <c r="A220" s="98" t="s">
        <v>28</v>
      </c>
      <c r="B220" s="99" t="s">
        <v>8628</v>
      </c>
      <c r="C220" s="119" t="s">
        <v>8258</v>
      </c>
      <c r="D220" s="101" t="s">
        <v>4</v>
      </c>
      <c r="E220" s="101" t="s">
        <v>8629</v>
      </c>
      <c r="F220" s="98"/>
      <c r="G220" s="98" t="s">
        <v>117</v>
      </c>
      <c r="H220" s="100" t="s">
        <v>8215</v>
      </c>
      <c r="I220" s="100" t="s">
        <v>8215</v>
      </c>
      <c r="J220" s="100">
        <v>2.5</v>
      </c>
      <c r="K220" s="107"/>
    </row>
    <row r="221" ht="15" spans="1:11">
      <c r="A221" s="98" t="s">
        <v>28</v>
      </c>
      <c r="B221" s="99" t="s">
        <v>8630</v>
      </c>
      <c r="C221" s="119" t="s">
        <v>8258</v>
      </c>
      <c r="D221" s="101" t="s">
        <v>4</v>
      </c>
      <c r="E221" s="101" t="s">
        <v>8629</v>
      </c>
      <c r="F221" s="98" t="s">
        <v>8419</v>
      </c>
      <c r="G221" s="98" t="s">
        <v>117</v>
      </c>
      <c r="H221" s="100" t="s">
        <v>8215</v>
      </c>
      <c r="I221" s="100" t="s">
        <v>8215</v>
      </c>
      <c r="J221" s="100">
        <v>2.5</v>
      </c>
      <c r="K221" s="107"/>
    </row>
    <row r="222" ht="15" spans="1:11">
      <c r="A222" s="98" t="s">
        <v>28</v>
      </c>
      <c r="B222" s="99" t="s">
        <v>8631</v>
      </c>
      <c r="C222" s="98" t="s">
        <v>8240</v>
      </c>
      <c r="D222" s="101" t="s">
        <v>4</v>
      </c>
      <c r="E222" s="101" t="s">
        <v>8629</v>
      </c>
      <c r="F222" s="98"/>
      <c r="G222" s="98" t="s">
        <v>117</v>
      </c>
      <c r="H222" s="100" t="s">
        <v>8320</v>
      </c>
      <c r="I222" s="100" t="s">
        <v>8320</v>
      </c>
      <c r="J222" s="100">
        <v>4</v>
      </c>
      <c r="K222" s="107"/>
    </row>
    <row r="223" ht="15" spans="1:11">
      <c r="A223" s="98" t="s">
        <v>28</v>
      </c>
      <c r="B223" s="99" t="s">
        <v>8632</v>
      </c>
      <c r="C223" s="98" t="s">
        <v>8229</v>
      </c>
      <c r="D223" s="101" t="s">
        <v>4</v>
      </c>
      <c r="E223" s="101" t="s">
        <v>8633</v>
      </c>
      <c r="F223" s="98"/>
      <c r="G223" s="98" t="s">
        <v>117</v>
      </c>
      <c r="H223" s="100" t="s">
        <v>8215</v>
      </c>
      <c r="I223" s="100" t="s">
        <v>8215</v>
      </c>
      <c r="J223" s="100">
        <v>2.5</v>
      </c>
      <c r="K223" s="107"/>
    </row>
    <row r="224" ht="15" spans="1:11">
      <c r="A224" s="98" t="s">
        <v>28</v>
      </c>
      <c r="B224" s="99" t="s">
        <v>8634</v>
      </c>
      <c r="C224" s="98" t="s">
        <v>8229</v>
      </c>
      <c r="D224" s="101" t="s">
        <v>4</v>
      </c>
      <c r="E224" s="101" t="s">
        <v>8633</v>
      </c>
      <c r="F224" s="98"/>
      <c r="G224" s="98" t="s">
        <v>117</v>
      </c>
      <c r="H224" s="100" t="s">
        <v>8215</v>
      </c>
      <c r="I224" s="100" t="s">
        <v>8215</v>
      </c>
      <c r="J224" s="100">
        <v>2.5</v>
      </c>
      <c r="K224" s="107"/>
    </row>
    <row r="225" ht="15" spans="1:11">
      <c r="A225" s="98" t="s">
        <v>28</v>
      </c>
      <c r="B225" s="99" t="s">
        <v>8635</v>
      </c>
      <c r="C225" s="98" t="s">
        <v>8229</v>
      </c>
      <c r="D225" s="101" t="s">
        <v>4</v>
      </c>
      <c r="E225" s="101" t="s">
        <v>8633</v>
      </c>
      <c r="F225" s="98"/>
      <c r="G225" s="98" t="s">
        <v>117</v>
      </c>
      <c r="H225" s="100" t="s">
        <v>8215</v>
      </c>
      <c r="I225" s="100" t="s">
        <v>8215</v>
      </c>
      <c r="J225" s="100">
        <v>2.5</v>
      </c>
      <c r="K225" s="107"/>
    </row>
    <row r="226" ht="15" spans="1:11">
      <c r="A226" s="98" t="s">
        <v>28</v>
      </c>
      <c r="B226" s="100" t="s">
        <v>8636</v>
      </c>
      <c r="C226" s="98" t="s">
        <v>8229</v>
      </c>
      <c r="D226" s="101" t="s">
        <v>4</v>
      </c>
      <c r="E226" s="101" t="s">
        <v>8633</v>
      </c>
      <c r="F226" s="98" t="s">
        <v>8563</v>
      </c>
      <c r="G226" s="98" t="s">
        <v>117</v>
      </c>
      <c r="H226" s="100" t="s">
        <v>8215</v>
      </c>
      <c r="I226" s="100" t="s">
        <v>8625</v>
      </c>
      <c r="J226" s="100" t="s">
        <v>8597</v>
      </c>
      <c r="K226" s="107"/>
    </row>
    <row r="227" ht="15" spans="1:11">
      <c r="A227" s="98" t="s">
        <v>28</v>
      </c>
      <c r="B227" s="100" t="s">
        <v>8637</v>
      </c>
      <c r="C227" s="101" t="s">
        <v>8240</v>
      </c>
      <c r="D227" s="98" t="s">
        <v>4</v>
      </c>
      <c r="E227" s="98" t="s">
        <v>8633</v>
      </c>
      <c r="F227" s="98"/>
      <c r="G227" s="98" t="s">
        <v>117</v>
      </c>
      <c r="H227" s="100" t="s">
        <v>8215</v>
      </c>
      <c r="I227" s="100" t="s">
        <v>8215</v>
      </c>
      <c r="J227" s="100">
        <v>4.3</v>
      </c>
      <c r="K227" s="107"/>
    </row>
    <row r="228" ht="15" spans="1:11">
      <c r="A228" s="98" t="s">
        <v>28</v>
      </c>
      <c r="B228" s="100" t="s">
        <v>8638</v>
      </c>
      <c r="C228" s="98" t="s">
        <v>8514</v>
      </c>
      <c r="D228" s="98" t="s">
        <v>4</v>
      </c>
      <c r="E228" s="98" t="s">
        <v>8639</v>
      </c>
      <c r="F228" s="98"/>
      <c r="G228" s="98" t="s">
        <v>117</v>
      </c>
      <c r="H228" s="100" t="s">
        <v>8215</v>
      </c>
      <c r="I228" s="100" t="s">
        <v>8215</v>
      </c>
      <c r="J228" s="100" t="s">
        <v>8220</v>
      </c>
      <c r="K228" s="107"/>
    </row>
    <row r="229" ht="15" spans="1:11">
      <c r="A229" s="98" t="s">
        <v>28</v>
      </c>
      <c r="B229" s="99" t="s">
        <v>8640</v>
      </c>
      <c r="C229" s="98" t="s">
        <v>8229</v>
      </c>
      <c r="D229" s="101" t="s">
        <v>4</v>
      </c>
      <c r="E229" s="101" t="s">
        <v>1877</v>
      </c>
      <c r="F229" s="98"/>
      <c r="G229" s="98" t="s">
        <v>117</v>
      </c>
      <c r="H229" s="100" t="s">
        <v>8215</v>
      </c>
      <c r="I229" s="100" t="s">
        <v>8215</v>
      </c>
      <c r="J229" s="100">
        <v>3</v>
      </c>
      <c r="K229" s="107"/>
    </row>
    <row r="230" ht="15" spans="1:11">
      <c r="A230" s="98" t="s">
        <v>28</v>
      </c>
      <c r="B230" s="99" t="s">
        <v>8641</v>
      </c>
      <c r="C230" s="98" t="s">
        <v>8218</v>
      </c>
      <c r="D230" s="101" t="s">
        <v>4</v>
      </c>
      <c r="E230" s="101" t="s">
        <v>1877</v>
      </c>
      <c r="F230" s="98"/>
      <c r="G230" s="98" t="s">
        <v>117</v>
      </c>
      <c r="H230" s="100" t="s">
        <v>8215</v>
      </c>
      <c r="I230" s="100" t="s">
        <v>8625</v>
      </c>
      <c r="J230" s="100" t="s">
        <v>8220</v>
      </c>
      <c r="K230" s="107"/>
    </row>
    <row r="231" ht="15" spans="1:11">
      <c r="A231" s="98" t="s">
        <v>28</v>
      </c>
      <c r="B231" s="99" t="s">
        <v>8642</v>
      </c>
      <c r="C231" s="98" t="s">
        <v>8218</v>
      </c>
      <c r="D231" s="101" t="s">
        <v>4</v>
      </c>
      <c r="E231" s="101" t="s">
        <v>1877</v>
      </c>
      <c r="F231" s="98"/>
      <c r="G231" s="98" t="s">
        <v>117</v>
      </c>
      <c r="H231" s="100" t="s">
        <v>8643</v>
      </c>
      <c r="I231" s="100" t="s">
        <v>8215</v>
      </c>
      <c r="J231" s="100">
        <v>4.8</v>
      </c>
      <c r="K231" s="107"/>
    </row>
    <row r="232" ht="15" spans="1:11">
      <c r="A232" s="98" t="s">
        <v>28</v>
      </c>
      <c r="B232" s="99" t="s">
        <v>8644</v>
      </c>
      <c r="C232" s="98" t="s">
        <v>8218</v>
      </c>
      <c r="D232" s="101" t="s">
        <v>4</v>
      </c>
      <c r="E232" s="101" t="s">
        <v>8645</v>
      </c>
      <c r="F232" s="98"/>
      <c r="G232" s="98" t="s">
        <v>117</v>
      </c>
      <c r="H232" s="100" t="s">
        <v>8215</v>
      </c>
      <c r="I232" s="100" t="s">
        <v>8646</v>
      </c>
      <c r="J232" s="100">
        <v>4.4</v>
      </c>
      <c r="K232" s="107"/>
    </row>
    <row r="233" ht="15" spans="1:11">
      <c r="A233" s="98" t="s">
        <v>28</v>
      </c>
      <c r="B233" s="99" t="s">
        <v>8647</v>
      </c>
      <c r="C233" s="98" t="s">
        <v>8229</v>
      </c>
      <c r="D233" s="101" t="s">
        <v>4</v>
      </c>
      <c r="E233" s="101" t="s">
        <v>8648</v>
      </c>
      <c r="F233" s="98"/>
      <c r="G233" s="98" t="s">
        <v>117</v>
      </c>
      <c r="H233" s="100" t="s">
        <v>8215</v>
      </c>
      <c r="I233" s="100" t="s">
        <v>8535</v>
      </c>
      <c r="J233" s="100">
        <v>3.6</v>
      </c>
      <c r="K233" s="107"/>
    </row>
    <row r="234" ht="15" spans="1:11">
      <c r="A234" s="98" t="s">
        <v>28</v>
      </c>
      <c r="B234" s="99" t="s">
        <v>8649</v>
      </c>
      <c r="C234" s="98" t="s">
        <v>8218</v>
      </c>
      <c r="D234" s="101" t="s">
        <v>4</v>
      </c>
      <c r="E234" s="101" t="s">
        <v>8648</v>
      </c>
      <c r="F234" s="98"/>
      <c r="G234" s="98" t="s">
        <v>117</v>
      </c>
      <c r="H234" s="100" t="s">
        <v>8535</v>
      </c>
      <c r="I234" s="100" t="s">
        <v>8535</v>
      </c>
      <c r="J234" s="100">
        <v>3.75</v>
      </c>
      <c r="K234" s="107"/>
    </row>
    <row r="235" ht="15" spans="1:11">
      <c r="A235" s="98" t="s">
        <v>28</v>
      </c>
      <c r="B235" s="99" t="s">
        <v>8650</v>
      </c>
      <c r="C235" s="98" t="s">
        <v>8218</v>
      </c>
      <c r="D235" s="101" t="s">
        <v>4</v>
      </c>
      <c r="E235" s="101" t="s">
        <v>8648</v>
      </c>
      <c r="F235" s="98"/>
      <c r="G235" s="98" t="s">
        <v>117</v>
      </c>
      <c r="H235" s="100" t="s">
        <v>8300</v>
      </c>
      <c r="I235" s="100" t="s">
        <v>8300</v>
      </c>
      <c r="J235" s="100">
        <v>4.5</v>
      </c>
      <c r="K235" s="107"/>
    </row>
    <row r="236" ht="15" spans="1:11">
      <c r="A236" s="98" t="s">
        <v>28</v>
      </c>
      <c r="B236" s="99" t="s">
        <v>8651</v>
      </c>
      <c r="C236" s="98" t="s">
        <v>8218</v>
      </c>
      <c r="D236" s="101" t="s">
        <v>4</v>
      </c>
      <c r="E236" s="101" t="s">
        <v>8652</v>
      </c>
      <c r="F236" s="98"/>
      <c r="G236" s="98" t="s">
        <v>117</v>
      </c>
      <c r="H236" s="100" t="s">
        <v>8215</v>
      </c>
      <c r="I236" s="100" t="s">
        <v>8215</v>
      </c>
      <c r="J236" s="100">
        <v>3.7</v>
      </c>
      <c r="K236" s="107"/>
    </row>
    <row r="237" ht="15" spans="1:11">
      <c r="A237" s="98" t="s">
        <v>28</v>
      </c>
      <c r="B237" s="99" t="s">
        <v>8653</v>
      </c>
      <c r="C237" s="98" t="s">
        <v>8218</v>
      </c>
      <c r="D237" s="101" t="s">
        <v>4</v>
      </c>
      <c r="E237" s="101" t="s">
        <v>8652</v>
      </c>
      <c r="F237" s="98"/>
      <c r="G237" s="98" t="s">
        <v>117</v>
      </c>
      <c r="H237" s="100" t="s">
        <v>8215</v>
      </c>
      <c r="I237" s="100" t="s">
        <v>8215</v>
      </c>
      <c r="J237" s="100">
        <v>3.6</v>
      </c>
      <c r="K237" s="107"/>
    </row>
    <row r="238" ht="15" spans="1:11">
      <c r="A238" s="98" t="s">
        <v>28</v>
      </c>
      <c r="B238" s="99" t="s">
        <v>8654</v>
      </c>
      <c r="C238" s="98" t="s">
        <v>8218</v>
      </c>
      <c r="D238" s="101" t="s">
        <v>4</v>
      </c>
      <c r="E238" s="101" t="s">
        <v>8655</v>
      </c>
      <c r="F238" s="98"/>
      <c r="G238" s="98" t="s">
        <v>117</v>
      </c>
      <c r="H238" s="100" t="s">
        <v>8215</v>
      </c>
      <c r="I238" s="100" t="s">
        <v>8215</v>
      </c>
      <c r="J238" s="100">
        <v>2.5</v>
      </c>
      <c r="K238" s="107"/>
    </row>
    <row r="239" ht="15" spans="1:11">
      <c r="A239" s="98" t="s">
        <v>28</v>
      </c>
      <c r="B239" s="99" t="s">
        <v>8656</v>
      </c>
      <c r="C239" s="98" t="s">
        <v>8229</v>
      </c>
      <c r="D239" s="101" t="s">
        <v>4</v>
      </c>
      <c r="E239" s="101" t="s">
        <v>8655</v>
      </c>
      <c r="F239" s="98"/>
      <c r="G239" s="98" t="s">
        <v>117</v>
      </c>
      <c r="H239" s="100" t="s">
        <v>8215</v>
      </c>
      <c r="I239" s="100" t="s">
        <v>8625</v>
      </c>
      <c r="J239" s="100">
        <v>4.5</v>
      </c>
      <c r="K239" s="107"/>
    </row>
    <row r="240" ht="15" spans="1:11">
      <c r="A240" s="98" t="s">
        <v>28</v>
      </c>
      <c r="B240" s="99" t="s">
        <v>8657</v>
      </c>
      <c r="C240" s="98" t="s">
        <v>8218</v>
      </c>
      <c r="D240" s="101" t="s">
        <v>4</v>
      </c>
      <c r="E240" s="101" t="s">
        <v>8658</v>
      </c>
      <c r="F240" s="98"/>
      <c r="G240" s="98" t="s">
        <v>117</v>
      </c>
      <c r="H240" s="100" t="s">
        <v>8252</v>
      </c>
      <c r="I240" s="100" t="s">
        <v>8252</v>
      </c>
      <c r="J240" s="100">
        <v>3.8</v>
      </c>
      <c r="K240" s="107"/>
    </row>
    <row r="241" ht="15" spans="1:11">
      <c r="A241" s="98" t="s">
        <v>28</v>
      </c>
      <c r="B241" s="99" t="s">
        <v>8659</v>
      </c>
      <c r="C241" s="98" t="s">
        <v>8229</v>
      </c>
      <c r="D241" s="101" t="s">
        <v>4</v>
      </c>
      <c r="E241" s="101" t="s">
        <v>8658</v>
      </c>
      <c r="F241" s="98"/>
      <c r="G241" s="98" t="s">
        <v>117</v>
      </c>
      <c r="H241" s="100" t="s">
        <v>8215</v>
      </c>
      <c r="I241" s="100" t="s">
        <v>8215</v>
      </c>
      <c r="J241" s="100">
        <v>5.5</v>
      </c>
      <c r="K241" s="107"/>
    </row>
    <row r="242" ht="15" spans="1:11">
      <c r="A242" s="98" t="s">
        <v>28</v>
      </c>
      <c r="B242" s="99" t="s">
        <v>8660</v>
      </c>
      <c r="C242" s="98" t="s">
        <v>8229</v>
      </c>
      <c r="D242" s="101" t="s">
        <v>4</v>
      </c>
      <c r="E242" s="101" t="s">
        <v>8658</v>
      </c>
      <c r="F242" s="98"/>
      <c r="G242" s="98" t="s">
        <v>117</v>
      </c>
      <c r="H242" s="100" t="s">
        <v>8215</v>
      </c>
      <c r="I242" s="100" t="s">
        <v>8215</v>
      </c>
      <c r="J242" s="100">
        <v>4</v>
      </c>
      <c r="K242" s="107"/>
    </row>
    <row r="243" ht="15" spans="1:11">
      <c r="A243" s="98" t="s">
        <v>28</v>
      </c>
      <c r="B243" s="99" t="s">
        <v>8661</v>
      </c>
      <c r="C243" s="98" t="s">
        <v>8218</v>
      </c>
      <c r="D243" s="101" t="s">
        <v>4</v>
      </c>
      <c r="E243" s="101" t="s">
        <v>8658</v>
      </c>
      <c r="F243" s="98"/>
      <c r="G243" s="98" t="s">
        <v>117</v>
      </c>
      <c r="H243" s="100" t="s">
        <v>8215</v>
      </c>
      <c r="I243" s="100" t="s">
        <v>8215</v>
      </c>
      <c r="J243" s="100">
        <v>4.5</v>
      </c>
      <c r="K243" s="107"/>
    </row>
    <row r="244" ht="15" spans="1:11">
      <c r="A244" s="98" t="s">
        <v>28</v>
      </c>
      <c r="B244" s="99" t="s">
        <v>8662</v>
      </c>
      <c r="C244" s="119" t="s">
        <v>8258</v>
      </c>
      <c r="D244" s="101" t="s">
        <v>4</v>
      </c>
      <c r="E244" s="101" t="s">
        <v>8663</v>
      </c>
      <c r="F244" s="98"/>
      <c r="G244" s="98" t="s">
        <v>117</v>
      </c>
      <c r="H244" s="100" t="s">
        <v>8320</v>
      </c>
      <c r="I244" s="100" t="s">
        <v>8320</v>
      </c>
      <c r="J244" s="100">
        <v>4</v>
      </c>
      <c r="K244" s="107"/>
    </row>
    <row r="245" ht="15" spans="1:11">
      <c r="A245" s="98" t="s">
        <v>28</v>
      </c>
      <c r="B245" s="99" t="s">
        <v>8664</v>
      </c>
      <c r="C245" s="98" t="s">
        <v>8218</v>
      </c>
      <c r="D245" s="101" t="s">
        <v>4</v>
      </c>
      <c r="E245" s="101" t="s">
        <v>8665</v>
      </c>
      <c r="F245" s="98"/>
      <c r="G245" s="98" t="s">
        <v>117</v>
      </c>
      <c r="H245" s="100" t="s">
        <v>8215</v>
      </c>
      <c r="I245" s="100" t="s">
        <v>8215</v>
      </c>
      <c r="J245" s="100">
        <v>4</v>
      </c>
      <c r="K245" s="107"/>
    </row>
    <row r="246" ht="15" spans="1:11">
      <c r="A246" s="98" t="s">
        <v>28</v>
      </c>
      <c r="B246" s="99" t="s">
        <v>8666</v>
      </c>
      <c r="C246" s="98" t="s">
        <v>8514</v>
      </c>
      <c r="D246" s="101" t="s">
        <v>4</v>
      </c>
      <c r="E246" s="101" t="s">
        <v>8665</v>
      </c>
      <c r="F246" s="98"/>
      <c r="G246" s="98" t="s">
        <v>117</v>
      </c>
      <c r="H246" s="100" t="s">
        <v>8215</v>
      </c>
      <c r="I246" s="100" t="s">
        <v>8215</v>
      </c>
      <c r="J246" s="100" t="s">
        <v>8667</v>
      </c>
      <c r="K246" s="107"/>
    </row>
    <row r="247" s="90" customFormat="1" ht="15" spans="1:11">
      <c r="A247" s="98" t="s">
        <v>28</v>
      </c>
      <c r="B247" s="99" t="s">
        <v>8668</v>
      </c>
      <c r="C247" s="98" t="s">
        <v>8293</v>
      </c>
      <c r="D247" s="101" t="s">
        <v>4</v>
      </c>
      <c r="E247" s="101" t="s">
        <v>8665</v>
      </c>
      <c r="F247" s="98"/>
      <c r="G247" s="98" t="s">
        <v>117</v>
      </c>
      <c r="H247" s="100" t="s">
        <v>8215</v>
      </c>
      <c r="I247" s="100" t="s">
        <v>8215</v>
      </c>
      <c r="J247" s="100" t="s">
        <v>8669</v>
      </c>
      <c r="K247" s="107">
        <v>2024.6</v>
      </c>
    </row>
    <row r="248" ht="15" spans="1:11">
      <c r="A248" s="98" t="s">
        <v>28</v>
      </c>
      <c r="B248" s="99" t="s">
        <v>8670</v>
      </c>
      <c r="C248" s="98" t="s">
        <v>8229</v>
      </c>
      <c r="D248" s="101" t="s">
        <v>4</v>
      </c>
      <c r="E248" s="101" t="s">
        <v>8671</v>
      </c>
      <c r="F248" s="98"/>
      <c r="G248" s="98" t="s">
        <v>117</v>
      </c>
      <c r="H248" s="100" t="s">
        <v>8215</v>
      </c>
      <c r="I248" s="100" t="s">
        <v>8215</v>
      </c>
      <c r="J248" s="100" t="s">
        <v>8672</v>
      </c>
      <c r="K248" s="107"/>
    </row>
    <row r="249" ht="15" spans="1:11">
      <c r="A249" s="98" t="s">
        <v>28</v>
      </c>
      <c r="B249" s="99" t="s">
        <v>8673</v>
      </c>
      <c r="C249" s="98" t="s">
        <v>8218</v>
      </c>
      <c r="D249" s="101" t="s">
        <v>4</v>
      </c>
      <c r="E249" s="101" t="s">
        <v>8671</v>
      </c>
      <c r="F249" s="98"/>
      <c r="G249" s="98" t="s">
        <v>117</v>
      </c>
      <c r="H249" s="100" t="s">
        <v>8215</v>
      </c>
      <c r="I249" s="100" t="s">
        <v>8674</v>
      </c>
      <c r="J249" s="100" t="s">
        <v>8388</v>
      </c>
      <c r="K249" s="107"/>
    </row>
    <row r="250" ht="15" spans="1:11">
      <c r="A250" s="98" t="s">
        <v>28</v>
      </c>
      <c r="B250" s="99" t="s">
        <v>8675</v>
      </c>
      <c r="C250" s="98" t="s">
        <v>8218</v>
      </c>
      <c r="D250" s="101" t="s">
        <v>4</v>
      </c>
      <c r="E250" s="101" t="s">
        <v>8671</v>
      </c>
      <c r="F250" s="98"/>
      <c r="G250" s="98" t="s">
        <v>117</v>
      </c>
      <c r="H250" s="100" t="s">
        <v>8215</v>
      </c>
      <c r="I250" s="100" t="s">
        <v>8215</v>
      </c>
      <c r="J250" s="100"/>
      <c r="K250" s="107"/>
    </row>
    <row r="251" ht="15" spans="1:11">
      <c r="A251" s="98" t="s">
        <v>28</v>
      </c>
      <c r="B251" s="100" t="s">
        <v>8676</v>
      </c>
      <c r="C251" s="98" t="s">
        <v>8229</v>
      </c>
      <c r="D251" s="101" t="s">
        <v>4</v>
      </c>
      <c r="E251" s="101" t="s">
        <v>8671</v>
      </c>
      <c r="F251" s="98"/>
      <c r="G251" s="98" t="s">
        <v>117</v>
      </c>
      <c r="H251" s="100" t="s">
        <v>8215</v>
      </c>
      <c r="I251" s="100" t="s">
        <v>8674</v>
      </c>
      <c r="J251" s="100" t="s">
        <v>8220</v>
      </c>
      <c r="K251" s="107"/>
    </row>
    <row r="252" ht="15" spans="1:11">
      <c r="A252" s="98" t="s">
        <v>28</v>
      </c>
      <c r="B252" s="99" t="s">
        <v>8677</v>
      </c>
      <c r="C252" s="98" t="s">
        <v>8229</v>
      </c>
      <c r="D252" s="101" t="s">
        <v>4</v>
      </c>
      <c r="E252" s="101" t="s">
        <v>8678</v>
      </c>
      <c r="F252" s="98"/>
      <c r="G252" s="98" t="s">
        <v>117</v>
      </c>
      <c r="H252" s="100" t="s">
        <v>8215</v>
      </c>
      <c r="I252" s="100" t="s">
        <v>8215</v>
      </c>
      <c r="J252" s="100">
        <v>2.5</v>
      </c>
      <c r="K252" s="107"/>
    </row>
    <row r="253" ht="15" spans="1:11">
      <c r="A253" s="98" t="s">
        <v>28</v>
      </c>
      <c r="B253" s="99" t="s">
        <v>8679</v>
      </c>
      <c r="C253" s="98" t="s">
        <v>8218</v>
      </c>
      <c r="D253" s="101" t="s">
        <v>4</v>
      </c>
      <c r="E253" s="101" t="s">
        <v>8678</v>
      </c>
      <c r="F253" s="98"/>
      <c r="G253" s="98" t="s">
        <v>117</v>
      </c>
      <c r="H253" s="100" t="s">
        <v>8215</v>
      </c>
      <c r="I253" s="100" t="s">
        <v>8215</v>
      </c>
      <c r="J253" s="100">
        <v>3.6</v>
      </c>
      <c r="K253" s="107"/>
    </row>
    <row r="254" ht="15" spans="1:11">
      <c r="A254" s="98" t="s">
        <v>28</v>
      </c>
      <c r="B254" s="99" t="s">
        <v>8680</v>
      </c>
      <c r="C254" s="98" t="s">
        <v>8229</v>
      </c>
      <c r="D254" s="101" t="s">
        <v>4</v>
      </c>
      <c r="E254" s="101" t="s">
        <v>8678</v>
      </c>
      <c r="F254" s="98"/>
      <c r="G254" s="98" t="s">
        <v>117</v>
      </c>
      <c r="H254" s="100" t="s">
        <v>8215</v>
      </c>
      <c r="I254" s="100" t="s">
        <v>8674</v>
      </c>
      <c r="J254" s="100" t="s">
        <v>8597</v>
      </c>
      <c r="K254" s="107"/>
    </row>
    <row r="255" ht="15" spans="1:11">
      <c r="A255" s="98" t="s">
        <v>28</v>
      </c>
      <c r="B255" s="99" t="s">
        <v>8681</v>
      </c>
      <c r="C255" s="98" t="s">
        <v>8218</v>
      </c>
      <c r="D255" s="101" t="s">
        <v>4</v>
      </c>
      <c r="E255" s="101" t="s">
        <v>8678</v>
      </c>
      <c r="F255" s="98"/>
      <c r="G255" s="98" t="s">
        <v>117</v>
      </c>
      <c r="H255" s="100" t="s">
        <v>8215</v>
      </c>
      <c r="I255" s="100" t="s">
        <v>8550</v>
      </c>
      <c r="J255" s="100">
        <v>3.5</v>
      </c>
      <c r="K255" s="107"/>
    </row>
    <row r="256" ht="15" spans="1:11">
      <c r="A256" s="98" t="s">
        <v>28</v>
      </c>
      <c r="B256" s="99" t="s">
        <v>8682</v>
      </c>
      <c r="C256" s="98" t="s">
        <v>8218</v>
      </c>
      <c r="D256" s="101" t="s">
        <v>4</v>
      </c>
      <c r="E256" s="101" t="s">
        <v>8683</v>
      </c>
      <c r="F256" s="98"/>
      <c r="G256" s="98" t="s">
        <v>117</v>
      </c>
      <c r="H256" s="100" t="s">
        <v>8252</v>
      </c>
      <c r="I256" s="100" t="s">
        <v>8215</v>
      </c>
      <c r="J256" s="100">
        <v>3.9</v>
      </c>
      <c r="K256" s="107"/>
    </row>
    <row r="257" ht="15" spans="1:11">
      <c r="A257" s="98" t="s">
        <v>28</v>
      </c>
      <c r="B257" s="99" t="s">
        <v>8684</v>
      </c>
      <c r="C257" s="98" t="s">
        <v>8225</v>
      </c>
      <c r="D257" s="101" t="s">
        <v>4</v>
      </c>
      <c r="E257" s="101" t="s">
        <v>8683</v>
      </c>
      <c r="F257" s="98"/>
      <c r="G257" s="98" t="s">
        <v>117</v>
      </c>
      <c r="H257" s="100" t="s">
        <v>8215</v>
      </c>
      <c r="I257" s="100" t="s">
        <v>8685</v>
      </c>
      <c r="J257" s="100" t="s">
        <v>8686</v>
      </c>
      <c r="K257" s="107"/>
    </row>
    <row r="258" ht="15" spans="1:11">
      <c r="A258" s="98" t="s">
        <v>28</v>
      </c>
      <c r="B258" s="99" t="s">
        <v>8687</v>
      </c>
      <c r="C258" s="98" t="s">
        <v>8218</v>
      </c>
      <c r="D258" s="101" t="s">
        <v>4</v>
      </c>
      <c r="E258" s="101" t="s">
        <v>8688</v>
      </c>
      <c r="F258" s="98"/>
      <c r="G258" s="98" t="s">
        <v>117</v>
      </c>
      <c r="H258" s="100" t="s">
        <v>8215</v>
      </c>
      <c r="I258" s="100" t="s">
        <v>8674</v>
      </c>
      <c r="J258" s="100">
        <v>2.6</v>
      </c>
      <c r="K258" s="107"/>
    </row>
    <row r="259" ht="15" spans="1:11">
      <c r="A259" s="98" t="s">
        <v>28</v>
      </c>
      <c r="B259" s="99" t="s">
        <v>8689</v>
      </c>
      <c r="C259" s="98" t="s">
        <v>8218</v>
      </c>
      <c r="D259" s="101" t="s">
        <v>4</v>
      </c>
      <c r="E259" s="101" t="s">
        <v>8688</v>
      </c>
      <c r="F259" s="98"/>
      <c r="G259" s="98" t="s">
        <v>117</v>
      </c>
      <c r="H259" s="100" t="s">
        <v>8215</v>
      </c>
      <c r="I259" s="100" t="s">
        <v>8674</v>
      </c>
      <c r="J259" s="100">
        <v>3.5</v>
      </c>
      <c r="K259" s="107"/>
    </row>
    <row r="260" ht="15" spans="1:11">
      <c r="A260" s="98" t="s">
        <v>28</v>
      </c>
      <c r="B260" s="99" t="s">
        <v>8690</v>
      </c>
      <c r="C260" s="98" t="s">
        <v>8229</v>
      </c>
      <c r="D260" s="101" t="s">
        <v>4</v>
      </c>
      <c r="E260" s="101" t="s">
        <v>8691</v>
      </c>
      <c r="F260" s="98"/>
      <c r="G260" s="98" t="s">
        <v>117</v>
      </c>
      <c r="H260" s="100" t="s">
        <v>8215</v>
      </c>
      <c r="I260" s="100" t="s">
        <v>8674</v>
      </c>
      <c r="J260" s="100">
        <v>2.5</v>
      </c>
      <c r="K260" s="107"/>
    </row>
    <row r="261" ht="15" spans="1:11">
      <c r="A261" s="98" t="s">
        <v>28</v>
      </c>
      <c r="B261" s="99" t="s">
        <v>8692</v>
      </c>
      <c r="C261" s="98" t="s">
        <v>8229</v>
      </c>
      <c r="D261" s="101" t="s">
        <v>4</v>
      </c>
      <c r="E261" s="101" t="s">
        <v>8691</v>
      </c>
      <c r="F261" s="98"/>
      <c r="G261" s="98" t="s">
        <v>117</v>
      </c>
      <c r="H261" s="100" t="s">
        <v>8215</v>
      </c>
      <c r="I261" s="100" t="s">
        <v>8674</v>
      </c>
      <c r="J261" s="100">
        <v>2.5</v>
      </c>
      <c r="K261" s="107"/>
    </row>
    <row r="262" ht="15" spans="1:11">
      <c r="A262" s="98" t="s">
        <v>28</v>
      </c>
      <c r="B262" s="99" t="s">
        <v>8693</v>
      </c>
      <c r="C262" s="98" t="s">
        <v>8213</v>
      </c>
      <c r="D262" s="101" t="s">
        <v>4</v>
      </c>
      <c r="E262" s="101" t="s">
        <v>8691</v>
      </c>
      <c r="F262" s="98"/>
      <c r="G262" s="98" t="s">
        <v>117</v>
      </c>
      <c r="H262" s="100" t="s">
        <v>8215</v>
      </c>
      <c r="I262" s="100" t="s">
        <v>8674</v>
      </c>
      <c r="J262" s="100" t="s">
        <v>8220</v>
      </c>
      <c r="K262" s="107"/>
    </row>
    <row r="263" ht="15" spans="1:11">
      <c r="A263" s="98" t="s">
        <v>28</v>
      </c>
      <c r="B263" s="99" t="s">
        <v>8694</v>
      </c>
      <c r="C263" s="98" t="s">
        <v>8229</v>
      </c>
      <c r="D263" s="101" t="s">
        <v>4</v>
      </c>
      <c r="E263" s="101" t="s">
        <v>8695</v>
      </c>
      <c r="F263" s="98"/>
      <c r="G263" s="98" t="s">
        <v>117</v>
      </c>
      <c r="H263" s="100" t="s">
        <v>8215</v>
      </c>
      <c r="I263" s="100" t="s">
        <v>8215</v>
      </c>
      <c r="J263" s="100">
        <v>2.5</v>
      </c>
      <c r="K263" s="107"/>
    </row>
    <row r="264" ht="15" spans="1:11">
      <c r="A264" s="98" t="s">
        <v>28</v>
      </c>
      <c r="B264" s="99" t="s">
        <v>8696</v>
      </c>
      <c r="C264" s="98" t="s">
        <v>8218</v>
      </c>
      <c r="D264" s="101" t="s">
        <v>4</v>
      </c>
      <c r="E264" s="101" t="s">
        <v>8695</v>
      </c>
      <c r="F264" s="98"/>
      <c r="G264" s="98" t="s">
        <v>117</v>
      </c>
      <c r="H264" s="100" t="s">
        <v>8215</v>
      </c>
      <c r="I264" s="100" t="s">
        <v>8215</v>
      </c>
      <c r="J264" s="100">
        <v>2.5</v>
      </c>
      <c r="K264" s="107"/>
    </row>
    <row r="265" ht="15" spans="1:11">
      <c r="A265" s="98" t="s">
        <v>28</v>
      </c>
      <c r="B265" s="99" t="s">
        <v>8697</v>
      </c>
      <c r="C265" s="98" t="s">
        <v>8218</v>
      </c>
      <c r="D265" s="101" t="s">
        <v>4</v>
      </c>
      <c r="E265" s="101" t="s">
        <v>8695</v>
      </c>
      <c r="F265" s="98"/>
      <c r="G265" s="98" t="s">
        <v>117</v>
      </c>
      <c r="H265" s="100" t="s">
        <v>8215</v>
      </c>
      <c r="I265" s="100" t="s">
        <v>8320</v>
      </c>
      <c r="J265" s="100">
        <v>2.5</v>
      </c>
      <c r="K265" s="107"/>
    </row>
    <row r="266" ht="15" spans="1:11">
      <c r="A266" s="98" t="s">
        <v>28</v>
      </c>
      <c r="B266" s="99" t="s">
        <v>8698</v>
      </c>
      <c r="C266" s="98" t="s">
        <v>8240</v>
      </c>
      <c r="D266" s="101" t="s">
        <v>4</v>
      </c>
      <c r="E266" s="101" t="s">
        <v>8695</v>
      </c>
      <c r="F266" s="98"/>
      <c r="G266" s="98" t="s">
        <v>117</v>
      </c>
      <c r="H266" s="100" t="s">
        <v>8215</v>
      </c>
      <c r="I266" s="100" t="s">
        <v>8320</v>
      </c>
      <c r="J266" s="100">
        <v>2.5</v>
      </c>
      <c r="K266" s="107"/>
    </row>
    <row r="267" ht="15" spans="1:11">
      <c r="A267" s="98" t="s">
        <v>28</v>
      </c>
      <c r="B267" s="99" t="s">
        <v>8699</v>
      </c>
      <c r="C267" s="98" t="s">
        <v>8240</v>
      </c>
      <c r="D267" s="101" t="s">
        <v>4</v>
      </c>
      <c r="E267" s="101" t="s">
        <v>8695</v>
      </c>
      <c r="F267" s="98"/>
      <c r="G267" s="98" t="s">
        <v>117</v>
      </c>
      <c r="H267" s="100" t="s">
        <v>8215</v>
      </c>
      <c r="I267" s="100" t="s">
        <v>8247</v>
      </c>
      <c r="J267" s="100">
        <v>2.5</v>
      </c>
      <c r="K267" s="107"/>
    </row>
    <row r="268" ht="15" spans="1:11">
      <c r="A268" s="98" t="s">
        <v>28</v>
      </c>
      <c r="B268" s="99" t="s">
        <v>8700</v>
      </c>
      <c r="C268" s="98" t="s">
        <v>8229</v>
      </c>
      <c r="D268" s="101" t="s">
        <v>4</v>
      </c>
      <c r="E268" s="101" t="s">
        <v>8701</v>
      </c>
      <c r="F268" s="98"/>
      <c r="G268" s="98" t="s">
        <v>117</v>
      </c>
      <c r="H268" s="100" t="s">
        <v>8215</v>
      </c>
      <c r="I268" s="100" t="s">
        <v>8625</v>
      </c>
      <c r="J268" s="100">
        <v>2</v>
      </c>
      <c r="K268" s="107"/>
    </row>
    <row r="269" ht="15" spans="1:11">
      <c r="A269" s="98" t="s">
        <v>28</v>
      </c>
      <c r="B269" s="99" t="s">
        <v>8702</v>
      </c>
      <c r="C269" s="101" t="s">
        <v>8240</v>
      </c>
      <c r="D269" s="101" t="s">
        <v>4</v>
      </c>
      <c r="E269" s="101" t="s">
        <v>8701</v>
      </c>
      <c r="F269" s="98"/>
      <c r="G269" s="98" t="s">
        <v>117</v>
      </c>
      <c r="H269" s="100" t="s">
        <v>8215</v>
      </c>
      <c r="I269" s="100" t="s">
        <v>8625</v>
      </c>
      <c r="J269" s="100">
        <v>2.5</v>
      </c>
      <c r="K269" s="107"/>
    </row>
    <row r="270" ht="15" spans="1:11">
      <c r="A270" s="98" t="s">
        <v>28</v>
      </c>
      <c r="B270" s="99" t="s">
        <v>8703</v>
      </c>
      <c r="C270" s="98" t="s">
        <v>8218</v>
      </c>
      <c r="D270" s="101" t="s">
        <v>4</v>
      </c>
      <c r="E270" s="101" t="s">
        <v>8704</v>
      </c>
      <c r="F270" s="101"/>
      <c r="G270" s="98" t="s">
        <v>117</v>
      </c>
      <c r="H270" s="100" t="s">
        <v>8252</v>
      </c>
      <c r="I270" s="100" t="s">
        <v>8300</v>
      </c>
      <c r="J270" s="100" t="s">
        <v>8247</v>
      </c>
      <c r="K270" s="107"/>
    </row>
    <row r="271" ht="15" spans="1:11">
      <c r="A271" s="98" t="s">
        <v>28</v>
      </c>
      <c r="B271" s="99" t="s">
        <v>8705</v>
      </c>
      <c r="C271" s="98" t="s">
        <v>8229</v>
      </c>
      <c r="D271" s="101" t="s">
        <v>4</v>
      </c>
      <c r="E271" s="101" t="s">
        <v>8704</v>
      </c>
      <c r="F271" s="101"/>
      <c r="G271" s="98" t="s">
        <v>117</v>
      </c>
      <c r="H271" s="100" t="s">
        <v>8215</v>
      </c>
      <c r="I271" s="100" t="s">
        <v>8625</v>
      </c>
      <c r="J271" s="100" t="s">
        <v>8597</v>
      </c>
      <c r="K271" s="107"/>
    </row>
    <row r="272" ht="15" spans="1:11">
      <c r="A272" s="98" t="s">
        <v>28</v>
      </c>
      <c r="B272" s="99" t="s">
        <v>8706</v>
      </c>
      <c r="C272" s="101" t="s">
        <v>8240</v>
      </c>
      <c r="D272" s="101" t="s">
        <v>4</v>
      </c>
      <c r="E272" s="101" t="s">
        <v>8707</v>
      </c>
      <c r="F272" s="98"/>
      <c r="G272" s="98" t="s">
        <v>117</v>
      </c>
      <c r="H272" s="100" t="s">
        <v>8215</v>
      </c>
      <c r="I272" s="100" t="s">
        <v>8215</v>
      </c>
      <c r="J272" s="100" t="s">
        <v>8708</v>
      </c>
      <c r="K272" s="107"/>
    </row>
    <row r="273" s="89" customFormat="1" ht="15" spans="1:11">
      <c r="A273" s="106" t="s">
        <v>28</v>
      </c>
      <c r="B273" s="106" t="s">
        <v>8709</v>
      </c>
      <c r="C273" s="106" t="s">
        <v>8293</v>
      </c>
      <c r="D273" s="106" t="s">
        <v>4</v>
      </c>
      <c r="E273" s="106" t="s">
        <v>8506</v>
      </c>
      <c r="F273" s="106"/>
      <c r="G273" s="106" t="s">
        <v>112</v>
      </c>
      <c r="H273" s="106" t="s">
        <v>8710</v>
      </c>
      <c r="I273" s="106" t="s">
        <v>8320</v>
      </c>
      <c r="J273" s="106" t="s">
        <v>8711</v>
      </c>
      <c r="K273" s="114" t="s">
        <v>8311</v>
      </c>
    </row>
    <row r="274" s="89" customFormat="1" ht="15" spans="1:11">
      <c r="A274" s="106" t="s">
        <v>28</v>
      </c>
      <c r="B274" s="106" t="s">
        <v>8712</v>
      </c>
      <c r="C274" s="106" t="s">
        <v>8293</v>
      </c>
      <c r="D274" s="106" t="s">
        <v>5</v>
      </c>
      <c r="E274" s="106" t="s">
        <v>1487</v>
      </c>
      <c r="F274" s="106"/>
      <c r="G274" s="106" t="s">
        <v>112</v>
      </c>
      <c r="H274" s="106" t="s">
        <v>8713</v>
      </c>
      <c r="I274" s="106" t="s">
        <v>8215</v>
      </c>
      <c r="J274" s="106" t="s">
        <v>8504</v>
      </c>
      <c r="K274" s="114" t="s">
        <v>8311</v>
      </c>
    </row>
    <row r="275" s="91" customFormat="1" ht="15" spans="1:11">
      <c r="A275" s="106" t="s">
        <v>28</v>
      </c>
      <c r="B275" s="106" t="s">
        <v>8714</v>
      </c>
      <c r="C275" s="106" t="s">
        <v>8293</v>
      </c>
      <c r="D275" s="106" t="s">
        <v>4</v>
      </c>
      <c r="E275" s="106" t="s">
        <v>8527</v>
      </c>
      <c r="F275" s="106"/>
      <c r="G275" s="106" t="s">
        <v>117</v>
      </c>
      <c r="H275" s="106" t="s">
        <v>8461</v>
      </c>
      <c r="I275" s="106" t="s">
        <v>8462</v>
      </c>
      <c r="J275" s="106" t="s">
        <v>8463</v>
      </c>
      <c r="K275" s="114" t="s">
        <v>8311</v>
      </c>
    </row>
    <row r="276" s="89" customFormat="1" ht="15" spans="1:256">
      <c r="A276" s="106" t="s">
        <v>28</v>
      </c>
      <c r="B276" s="99" t="s">
        <v>8715</v>
      </c>
      <c r="C276" s="99" t="s">
        <v>8272</v>
      </c>
      <c r="D276" s="99" t="s">
        <v>4</v>
      </c>
      <c r="E276" s="99" t="s">
        <v>8716</v>
      </c>
      <c r="F276" s="99"/>
      <c r="G276" s="99" t="s">
        <v>117</v>
      </c>
      <c r="H276" s="99" t="s">
        <v>8215</v>
      </c>
      <c r="I276" s="99" t="s">
        <v>8215</v>
      </c>
      <c r="J276" s="99" t="s">
        <v>8717</v>
      </c>
      <c r="K276" s="109">
        <v>45929</v>
      </c>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2"/>
      <c r="AR276" s="92"/>
      <c r="AS276" s="92"/>
      <c r="AT276" s="92"/>
      <c r="AU276" s="92"/>
      <c r="AV276" s="92"/>
      <c r="AW276" s="92"/>
      <c r="AX276" s="92"/>
      <c r="AY276" s="92"/>
      <c r="AZ276" s="92"/>
      <c r="BA276" s="92"/>
      <c r="BB276" s="92"/>
      <c r="BC276" s="92"/>
      <c r="BD276" s="92"/>
      <c r="BE276" s="92"/>
      <c r="BF276" s="92"/>
      <c r="BG276" s="92"/>
      <c r="BH276" s="92"/>
      <c r="BI276" s="92"/>
      <c r="BJ276" s="92"/>
      <c r="BK276" s="92"/>
      <c r="BL276" s="92"/>
      <c r="BM276" s="92"/>
      <c r="BN276" s="92"/>
      <c r="BO276" s="92"/>
      <c r="BP276" s="92"/>
      <c r="BQ276" s="92"/>
      <c r="BR276" s="92"/>
      <c r="BS276" s="92"/>
      <c r="BT276" s="92"/>
      <c r="BU276" s="92"/>
      <c r="BV276" s="92"/>
      <c r="BW276" s="92"/>
      <c r="BX276" s="92"/>
      <c r="BY276" s="92"/>
      <c r="BZ276" s="92"/>
      <c r="CA276" s="92"/>
      <c r="CB276" s="92"/>
      <c r="CC276" s="92"/>
      <c r="CD276" s="92"/>
      <c r="CE276" s="92"/>
      <c r="CF276" s="92"/>
      <c r="CG276" s="92"/>
      <c r="CH276" s="92"/>
      <c r="CI276" s="92"/>
      <c r="CJ276" s="92"/>
      <c r="CK276" s="92"/>
      <c r="CL276" s="92"/>
      <c r="CM276" s="92"/>
      <c r="CN276" s="92"/>
      <c r="CO276" s="92"/>
      <c r="CP276" s="92"/>
      <c r="CQ276" s="92"/>
      <c r="CR276" s="92"/>
      <c r="CS276" s="92"/>
      <c r="CT276" s="92"/>
      <c r="CU276" s="92"/>
      <c r="CV276" s="92"/>
      <c r="CW276" s="92"/>
      <c r="CX276" s="92"/>
      <c r="CY276" s="92"/>
      <c r="CZ276" s="92"/>
      <c r="DA276" s="92"/>
      <c r="DB276" s="92"/>
      <c r="DC276" s="92"/>
      <c r="DD276" s="92"/>
      <c r="DE276" s="92"/>
      <c r="DF276" s="92"/>
      <c r="DG276" s="92"/>
      <c r="DH276" s="92"/>
      <c r="DI276" s="92"/>
      <c r="DJ276" s="92"/>
      <c r="DK276" s="92"/>
      <c r="DL276" s="92"/>
      <c r="DM276" s="92"/>
      <c r="DN276" s="92"/>
      <c r="DO276" s="92"/>
      <c r="DP276" s="92"/>
      <c r="DQ276" s="92"/>
      <c r="DR276" s="92"/>
      <c r="DS276" s="92"/>
      <c r="DT276" s="92"/>
      <c r="DU276" s="92"/>
      <c r="DV276" s="92"/>
      <c r="DW276" s="92"/>
      <c r="DX276" s="92"/>
      <c r="DY276" s="92"/>
      <c r="DZ276" s="92"/>
      <c r="EA276" s="92"/>
      <c r="EB276" s="92"/>
      <c r="EC276" s="92"/>
      <c r="ED276" s="92"/>
      <c r="EE276" s="92"/>
      <c r="EF276" s="92"/>
      <c r="EG276" s="92"/>
      <c r="EH276" s="92"/>
      <c r="EI276" s="92"/>
      <c r="EJ276" s="92"/>
      <c r="EK276" s="92"/>
      <c r="EL276" s="92"/>
      <c r="EM276" s="92"/>
      <c r="EN276" s="92"/>
      <c r="EO276" s="92"/>
      <c r="EP276" s="92"/>
      <c r="EQ276" s="92"/>
      <c r="ER276" s="92"/>
      <c r="ES276" s="92"/>
      <c r="ET276" s="92"/>
      <c r="EU276" s="92"/>
      <c r="EV276" s="92"/>
      <c r="EW276" s="92"/>
      <c r="EX276" s="92"/>
      <c r="EY276" s="92"/>
      <c r="EZ276" s="92"/>
      <c r="FA276" s="92"/>
      <c r="FB276" s="92"/>
      <c r="FC276" s="92"/>
      <c r="FD276" s="92"/>
      <c r="FE276" s="92"/>
      <c r="FF276" s="92"/>
      <c r="FG276" s="92"/>
      <c r="FH276" s="92"/>
      <c r="FI276" s="92"/>
      <c r="FJ276" s="92"/>
      <c r="FK276" s="92"/>
      <c r="FL276" s="92"/>
      <c r="FM276" s="92"/>
      <c r="FN276" s="92"/>
      <c r="FO276" s="92"/>
      <c r="FP276" s="92"/>
      <c r="FQ276" s="92"/>
      <c r="FR276" s="92"/>
      <c r="FS276" s="92"/>
      <c r="FT276" s="92"/>
      <c r="FU276" s="92"/>
      <c r="FV276" s="92"/>
      <c r="FW276" s="92"/>
      <c r="FX276" s="92"/>
      <c r="FY276" s="92"/>
      <c r="FZ276" s="92"/>
      <c r="GA276" s="92"/>
      <c r="GB276" s="92"/>
      <c r="GC276" s="92"/>
      <c r="GD276" s="92"/>
      <c r="GE276" s="92"/>
      <c r="GF276" s="92"/>
      <c r="GG276" s="92"/>
      <c r="GH276" s="92"/>
      <c r="GI276" s="92"/>
      <c r="GJ276" s="92"/>
      <c r="GK276" s="92"/>
      <c r="GL276" s="92"/>
      <c r="GM276" s="92"/>
      <c r="GN276" s="92"/>
      <c r="GO276" s="92"/>
      <c r="GP276" s="92"/>
      <c r="GQ276" s="92"/>
      <c r="GR276" s="92"/>
      <c r="GS276" s="92"/>
      <c r="GT276" s="92"/>
      <c r="GU276" s="92"/>
      <c r="GV276" s="92"/>
      <c r="GW276" s="92"/>
      <c r="GX276" s="92"/>
      <c r="GY276" s="92"/>
      <c r="GZ276" s="92"/>
      <c r="HA276" s="92"/>
      <c r="HB276" s="92"/>
      <c r="HC276" s="92"/>
      <c r="HD276" s="92"/>
      <c r="HE276" s="92"/>
      <c r="HF276" s="92"/>
      <c r="HG276" s="92"/>
      <c r="HH276" s="92"/>
      <c r="HI276" s="92"/>
      <c r="HJ276" s="92"/>
      <c r="HK276" s="92"/>
      <c r="HL276" s="92"/>
      <c r="HM276" s="92"/>
      <c r="HN276" s="92"/>
      <c r="HO276" s="92"/>
      <c r="HP276" s="92"/>
      <c r="HQ276" s="92"/>
      <c r="HR276" s="92"/>
      <c r="HS276" s="92"/>
      <c r="HT276" s="92"/>
      <c r="HU276" s="92"/>
      <c r="HV276" s="92"/>
      <c r="HW276" s="92"/>
      <c r="HX276" s="92"/>
      <c r="HY276" s="92"/>
      <c r="HZ276" s="92"/>
      <c r="IA276" s="92"/>
      <c r="IB276" s="92"/>
      <c r="IC276" s="92"/>
      <c r="ID276" s="92"/>
      <c r="IE276" s="92"/>
      <c r="IF276" s="92"/>
      <c r="IG276" s="92"/>
      <c r="IH276" s="92"/>
      <c r="II276" s="92"/>
      <c r="IJ276" s="92"/>
      <c r="IK276" s="92"/>
      <c r="IL276" s="92"/>
      <c r="IM276" s="92"/>
      <c r="IN276" s="92"/>
      <c r="IO276" s="92"/>
      <c r="IP276" s="92"/>
      <c r="IQ276" s="92"/>
      <c r="IR276" s="92"/>
      <c r="IS276" s="92"/>
      <c r="IT276" s="92"/>
      <c r="IU276" s="92"/>
      <c r="IV276" s="92"/>
    </row>
    <row r="277" ht="15" spans="1:11">
      <c r="A277" s="98" t="s">
        <v>30</v>
      </c>
      <c r="B277" s="99" t="s">
        <v>8718</v>
      </c>
      <c r="C277" s="98" t="s">
        <v>8213</v>
      </c>
      <c r="D277" s="101" t="s">
        <v>5</v>
      </c>
      <c r="E277" s="101" t="s">
        <v>8719</v>
      </c>
      <c r="F277" s="98"/>
      <c r="G277" s="98" t="s">
        <v>117</v>
      </c>
      <c r="H277" s="100" t="s">
        <v>8247</v>
      </c>
      <c r="I277" s="100" t="s">
        <v>8247</v>
      </c>
      <c r="J277" s="100" t="s">
        <v>8220</v>
      </c>
      <c r="K277" s="107"/>
    </row>
    <row r="278" ht="15" spans="1:11">
      <c r="A278" s="98" t="s">
        <v>30</v>
      </c>
      <c r="B278" s="99" t="s">
        <v>8720</v>
      </c>
      <c r="C278" s="98" t="s">
        <v>8218</v>
      </c>
      <c r="D278" s="101" t="s">
        <v>4</v>
      </c>
      <c r="E278" s="101" t="s">
        <v>8721</v>
      </c>
      <c r="F278" s="98"/>
      <c r="G278" s="98" t="s">
        <v>117</v>
      </c>
      <c r="H278" s="100" t="s">
        <v>8215</v>
      </c>
      <c r="I278" s="100" t="s">
        <v>8215</v>
      </c>
      <c r="J278" s="100" t="s">
        <v>8722</v>
      </c>
      <c r="K278" s="107"/>
    </row>
    <row r="279" ht="15" spans="1:11">
      <c r="A279" s="98" t="s">
        <v>30</v>
      </c>
      <c r="B279" s="99" t="s">
        <v>8723</v>
      </c>
      <c r="C279" s="98" t="s">
        <v>8218</v>
      </c>
      <c r="D279" s="101" t="s">
        <v>4</v>
      </c>
      <c r="E279" s="101" t="s">
        <v>8721</v>
      </c>
      <c r="F279" s="98"/>
      <c r="G279" s="98" t="s">
        <v>117</v>
      </c>
      <c r="H279" s="100" t="s">
        <v>8215</v>
      </c>
      <c r="I279" s="100" t="s">
        <v>8247</v>
      </c>
      <c r="J279" s="100">
        <v>4</v>
      </c>
      <c r="K279" s="107"/>
    </row>
    <row r="280" ht="15" spans="1:11">
      <c r="A280" s="98" t="s">
        <v>30</v>
      </c>
      <c r="B280" s="99" t="s">
        <v>8724</v>
      </c>
      <c r="C280" s="98" t="s">
        <v>8218</v>
      </c>
      <c r="D280" s="101" t="s">
        <v>4</v>
      </c>
      <c r="E280" s="101" t="s">
        <v>8721</v>
      </c>
      <c r="F280" s="98"/>
      <c r="G280" s="98" t="s">
        <v>117</v>
      </c>
      <c r="H280" s="100" t="s">
        <v>8215</v>
      </c>
      <c r="I280" s="100" t="s">
        <v>8215</v>
      </c>
      <c r="J280" s="100" t="s">
        <v>8725</v>
      </c>
      <c r="K280" s="107"/>
    </row>
    <row r="281" ht="15" spans="1:11">
      <c r="A281" s="98" t="s">
        <v>30</v>
      </c>
      <c r="B281" s="99" t="s">
        <v>8726</v>
      </c>
      <c r="C281" s="98" t="s">
        <v>8218</v>
      </c>
      <c r="D281" s="101" t="s">
        <v>4</v>
      </c>
      <c r="E281" s="101" t="s">
        <v>8721</v>
      </c>
      <c r="F281" s="98"/>
      <c r="G281" s="98" t="s">
        <v>117</v>
      </c>
      <c r="H281" s="100" t="s">
        <v>8215</v>
      </c>
      <c r="I281" s="100" t="s">
        <v>8247</v>
      </c>
      <c r="J281" s="101" t="s">
        <v>8727</v>
      </c>
      <c r="K281" s="107"/>
    </row>
    <row r="282" ht="15" spans="1:11">
      <c r="A282" s="98" t="s">
        <v>30</v>
      </c>
      <c r="B282" s="100" t="s">
        <v>8728</v>
      </c>
      <c r="C282" s="98" t="s">
        <v>8229</v>
      </c>
      <c r="D282" s="101" t="s">
        <v>4</v>
      </c>
      <c r="E282" s="101" t="s">
        <v>8729</v>
      </c>
      <c r="F282" s="98"/>
      <c r="G282" s="98" t="s">
        <v>117</v>
      </c>
      <c r="H282" s="100" t="s">
        <v>8215</v>
      </c>
      <c r="I282" s="100" t="s">
        <v>8215</v>
      </c>
      <c r="J282" s="101" t="s">
        <v>8730</v>
      </c>
      <c r="K282" s="107"/>
    </row>
    <row r="283" ht="15" spans="1:11">
      <c r="A283" s="98" t="s">
        <v>30</v>
      </c>
      <c r="B283" s="100" t="s">
        <v>8731</v>
      </c>
      <c r="C283" s="98" t="s">
        <v>8229</v>
      </c>
      <c r="D283" s="101" t="s">
        <v>4</v>
      </c>
      <c r="E283" s="101" t="s">
        <v>8729</v>
      </c>
      <c r="F283" s="98"/>
      <c r="G283" s="98" t="s">
        <v>117</v>
      </c>
      <c r="H283" s="100" t="s">
        <v>8215</v>
      </c>
      <c r="I283" s="100" t="s">
        <v>8247</v>
      </c>
      <c r="J283" s="122" t="s">
        <v>8289</v>
      </c>
      <c r="K283" s="107"/>
    </row>
    <row r="284" ht="15" spans="1:11">
      <c r="A284" s="98" t="s">
        <v>30</v>
      </c>
      <c r="B284" s="100" t="s">
        <v>8732</v>
      </c>
      <c r="C284" s="98" t="s">
        <v>8229</v>
      </c>
      <c r="D284" s="101" t="s">
        <v>5</v>
      </c>
      <c r="E284" s="101" t="s">
        <v>8733</v>
      </c>
      <c r="F284" s="98"/>
      <c r="G284" s="98" t="s">
        <v>117</v>
      </c>
      <c r="H284" s="100" t="s">
        <v>8320</v>
      </c>
      <c r="I284" s="100" t="s">
        <v>8734</v>
      </c>
      <c r="J284" s="100">
        <v>4</v>
      </c>
      <c r="K284" s="107"/>
    </row>
    <row r="285" ht="15" spans="1:11">
      <c r="A285" s="98" t="s">
        <v>30</v>
      </c>
      <c r="B285" s="100" t="s">
        <v>8735</v>
      </c>
      <c r="C285" s="98" t="s">
        <v>8218</v>
      </c>
      <c r="D285" s="101" t="s">
        <v>4</v>
      </c>
      <c r="E285" s="101" t="s">
        <v>8736</v>
      </c>
      <c r="F285" s="101"/>
      <c r="G285" s="98" t="s">
        <v>117</v>
      </c>
      <c r="H285" s="100" t="s">
        <v>8215</v>
      </c>
      <c r="I285" s="100" t="s">
        <v>8215</v>
      </c>
      <c r="J285" s="100" t="s">
        <v>8459</v>
      </c>
      <c r="K285" s="107"/>
    </row>
    <row r="286" ht="15" spans="1:11">
      <c r="A286" s="98" t="s">
        <v>30</v>
      </c>
      <c r="B286" s="100" t="s">
        <v>8737</v>
      </c>
      <c r="C286" s="98" t="s">
        <v>8218</v>
      </c>
      <c r="D286" s="101" t="s">
        <v>4</v>
      </c>
      <c r="E286" s="101" t="s">
        <v>8736</v>
      </c>
      <c r="F286" s="101"/>
      <c r="G286" s="98" t="s">
        <v>117</v>
      </c>
      <c r="H286" s="100" t="s">
        <v>8215</v>
      </c>
      <c r="I286" s="100" t="s">
        <v>8734</v>
      </c>
      <c r="J286" s="101" t="s">
        <v>8738</v>
      </c>
      <c r="K286" s="107"/>
    </row>
    <row r="287" ht="15" spans="1:11">
      <c r="A287" s="98" t="s">
        <v>30</v>
      </c>
      <c r="B287" s="100" t="s">
        <v>8739</v>
      </c>
      <c r="C287" s="98" t="s">
        <v>8218</v>
      </c>
      <c r="D287" s="101" t="s">
        <v>4</v>
      </c>
      <c r="E287" s="101" t="s">
        <v>8740</v>
      </c>
      <c r="F287" s="98"/>
      <c r="G287" s="98" t="s">
        <v>117</v>
      </c>
      <c r="H287" s="100" t="s">
        <v>8215</v>
      </c>
      <c r="I287" s="100" t="s">
        <v>8215</v>
      </c>
      <c r="J287" s="101" t="s">
        <v>8741</v>
      </c>
      <c r="K287" s="107"/>
    </row>
    <row r="288" ht="15" spans="1:11">
      <c r="A288" s="98" t="s">
        <v>30</v>
      </c>
      <c r="B288" s="99" t="s">
        <v>8742</v>
      </c>
      <c r="C288" s="98" t="s">
        <v>8218</v>
      </c>
      <c r="D288" s="101" t="s">
        <v>4</v>
      </c>
      <c r="E288" s="101" t="s">
        <v>8740</v>
      </c>
      <c r="F288" s="98"/>
      <c r="G288" s="98" t="s">
        <v>117</v>
      </c>
      <c r="H288" s="100" t="s">
        <v>8215</v>
      </c>
      <c r="I288" s="100" t="s">
        <v>8215</v>
      </c>
      <c r="J288" s="101" t="s">
        <v>8743</v>
      </c>
      <c r="K288" s="107"/>
    </row>
    <row r="289" ht="15" spans="1:11">
      <c r="A289" s="98" t="s">
        <v>30</v>
      </c>
      <c r="B289" s="99" t="s">
        <v>8744</v>
      </c>
      <c r="C289" s="98" t="s">
        <v>8218</v>
      </c>
      <c r="D289" s="101" t="s">
        <v>4</v>
      </c>
      <c r="E289" s="101" t="s">
        <v>8745</v>
      </c>
      <c r="F289" s="101"/>
      <c r="G289" s="98" t="s">
        <v>117</v>
      </c>
      <c r="H289" s="100" t="s">
        <v>8215</v>
      </c>
      <c r="I289" s="100" t="s">
        <v>8734</v>
      </c>
      <c r="J289" s="101" t="s">
        <v>8463</v>
      </c>
      <c r="K289" s="107"/>
    </row>
    <row r="290" ht="15" spans="1:11">
      <c r="A290" s="98" t="s">
        <v>30</v>
      </c>
      <c r="B290" s="99" t="s">
        <v>8746</v>
      </c>
      <c r="C290" s="98" t="s">
        <v>8229</v>
      </c>
      <c r="D290" s="101" t="s">
        <v>4</v>
      </c>
      <c r="E290" s="101" t="s">
        <v>8745</v>
      </c>
      <c r="F290" s="101"/>
      <c r="G290" s="98" t="s">
        <v>117</v>
      </c>
      <c r="H290" s="100" t="s">
        <v>8215</v>
      </c>
      <c r="I290" s="100" t="s">
        <v>8215</v>
      </c>
      <c r="J290" s="101" t="s">
        <v>8747</v>
      </c>
      <c r="K290" s="107"/>
    </row>
    <row r="291" ht="15" spans="1:11">
      <c r="A291" s="98" t="s">
        <v>30</v>
      </c>
      <c r="B291" s="100" t="s">
        <v>8748</v>
      </c>
      <c r="C291" s="98" t="s">
        <v>8218</v>
      </c>
      <c r="D291" s="101" t="s">
        <v>4</v>
      </c>
      <c r="E291" s="101" t="s">
        <v>8745</v>
      </c>
      <c r="F291" s="101"/>
      <c r="G291" s="98" t="s">
        <v>117</v>
      </c>
      <c r="H291" s="100" t="s">
        <v>8215</v>
      </c>
      <c r="I291" s="100" t="s">
        <v>8215</v>
      </c>
      <c r="J291" s="101" t="s">
        <v>8749</v>
      </c>
      <c r="K291" s="107"/>
    </row>
    <row r="292" ht="15" spans="1:11">
      <c r="A292" s="98" t="s">
        <v>30</v>
      </c>
      <c r="B292" s="99" t="s">
        <v>8750</v>
      </c>
      <c r="C292" s="98" t="s">
        <v>8229</v>
      </c>
      <c r="D292" s="101" t="s">
        <v>4</v>
      </c>
      <c r="E292" s="101" t="s">
        <v>8745</v>
      </c>
      <c r="F292" s="101"/>
      <c r="G292" s="98" t="s">
        <v>117</v>
      </c>
      <c r="H292" s="100" t="s">
        <v>8215</v>
      </c>
      <c r="I292" s="100" t="s">
        <v>8734</v>
      </c>
      <c r="J292" s="101" t="s">
        <v>8751</v>
      </c>
      <c r="K292" s="107"/>
    </row>
    <row r="293" s="91" customFormat="1" ht="15" spans="1:11">
      <c r="A293" s="106" t="s">
        <v>30</v>
      </c>
      <c r="B293" s="106" t="s">
        <v>8752</v>
      </c>
      <c r="C293" s="106" t="s">
        <v>8293</v>
      </c>
      <c r="D293" s="106" t="s">
        <v>4</v>
      </c>
      <c r="E293" s="106" t="s">
        <v>8745</v>
      </c>
      <c r="F293" s="106"/>
      <c r="G293" s="106" t="s">
        <v>117</v>
      </c>
      <c r="H293" s="106" t="s">
        <v>8215</v>
      </c>
      <c r="I293" s="106" t="s">
        <v>8215</v>
      </c>
      <c r="J293" s="106" t="s">
        <v>8353</v>
      </c>
      <c r="K293" s="106">
        <v>2024.7</v>
      </c>
    </row>
    <row r="294" ht="15" spans="1:11">
      <c r="A294" s="98" t="s">
        <v>30</v>
      </c>
      <c r="B294" s="99" t="s">
        <v>8753</v>
      </c>
      <c r="C294" s="98" t="s">
        <v>8218</v>
      </c>
      <c r="D294" s="101" t="s">
        <v>4</v>
      </c>
      <c r="E294" s="101" t="s">
        <v>8754</v>
      </c>
      <c r="F294" s="98"/>
      <c r="G294" s="98" t="s">
        <v>117</v>
      </c>
      <c r="H294" s="100" t="s">
        <v>8215</v>
      </c>
      <c r="I294" s="100" t="s">
        <v>8215</v>
      </c>
      <c r="J294" s="101">
        <v>4</v>
      </c>
      <c r="K294" s="107"/>
    </row>
    <row r="295" ht="15" spans="1:11">
      <c r="A295" s="98" t="s">
        <v>30</v>
      </c>
      <c r="B295" s="99" t="s">
        <v>8755</v>
      </c>
      <c r="C295" s="98" t="s">
        <v>8218</v>
      </c>
      <c r="D295" s="101" t="s">
        <v>4</v>
      </c>
      <c r="E295" s="101" t="s">
        <v>8754</v>
      </c>
      <c r="F295" s="98"/>
      <c r="G295" s="98" t="s">
        <v>117</v>
      </c>
      <c r="H295" s="100" t="s">
        <v>8215</v>
      </c>
      <c r="I295" s="100" t="s">
        <v>8215</v>
      </c>
      <c r="J295" s="101" t="s">
        <v>8756</v>
      </c>
      <c r="K295" s="107"/>
    </row>
    <row r="296" ht="15" spans="1:11">
      <c r="A296" s="98" t="s">
        <v>30</v>
      </c>
      <c r="B296" s="99" t="s">
        <v>8757</v>
      </c>
      <c r="C296" s="98" t="s">
        <v>8218</v>
      </c>
      <c r="D296" s="101" t="s">
        <v>4</v>
      </c>
      <c r="E296" s="101" t="s">
        <v>8754</v>
      </c>
      <c r="F296" s="98"/>
      <c r="G296" s="98" t="s">
        <v>117</v>
      </c>
      <c r="H296" s="100" t="s">
        <v>8215</v>
      </c>
      <c r="I296" s="100" t="s">
        <v>8215</v>
      </c>
      <c r="J296" s="101" t="s">
        <v>8758</v>
      </c>
      <c r="K296" s="107"/>
    </row>
    <row r="297" ht="15" spans="1:11">
      <c r="A297" s="98" t="s">
        <v>30</v>
      </c>
      <c r="B297" s="99" t="s">
        <v>8759</v>
      </c>
      <c r="C297" s="98" t="s">
        <v>8218</v>
      </c>
      <c r="D297" s="101" t="s">
        <v>4</v>
      </c>
      <c r="E297" s="101" t="s">
        <v>8760</v>
      </c>
      <c r="F297" s="98"/>
      <c r="G297" s="98" t="s">
        <v>117</v>
      </c>
      <c r="H297" s="100" t="s">
        <v>8215</v>
      </c>
      <c r="I297" s="100" t="s">
        <v>8215</v>
      </c>
      <c r="J297" s="101" t="s">
        <v>8761</v>
      </c>
      <c r="K297" s="107"/>
    </row>
    <row r="298" ht="15" spans="1:11">
      <c r="A298" s="98" t="s">
        <v>30</v>
      </c>
      <c r="B298" s="100" t="s">
        <v>8762</v>
      </c>
      <c r="C298" s="98" t="s">
        <v>8218</v>
      </c>
      <c r="D298" s="101" t="s">
        <v>4</v>
      </c>
      <c r="E298" s="101" t="s">
        <v>8760</v>
      </c>
      <c r="F298" s="98"/>
      <c r="G298" s="98" t="s">
        <v>117</v>
      </c>
      <c r="H298" s="100" t="s">
        <v>8215</v>
      </c>
      <c r="I298" s="100" t="s">
        <v>8215</v>
      </c>
      <c r="J298" s="101" t="s">
        <v>8388</v>
      </c>
      <c r="K298" s="107"/>
    </row>
    <row r="299" ht="15" spans="1:11">
      <c r="A299" s="98" t="s">
        <v>30</v>
      </c>
      <c r="B299" s="99" t="s">
        <v>8763</v>
      </c>
      <c r="C299" s="98" t="s">
        <v>8218</v>
      </c>
      <c r="D299" s="101" t="s">
        <v>4</v>
      </c>
      <c r="E299" s="101" t="s">
        <v>8764</v>
      </c>
      <c r="F299" s="98"/>
      <c r="G299" s="98" t="s">
        <v>117</v>
      </c>
      <c r="H299" s="100" t="s">
        <v>8215</v>
      </c>
      <c r="I299" s="100" t="s">
        <v>8215</v>
      </c>
      <c r="J299" s="100">
        <v>4</v>
      </c>
      <c r="K299" s="107"/>
    </row>
    <row r="300" ht="15" spans="1:11">
      <c r="A300" s="98" t="s">
        <v>30</v>
      </c>
      <c r="B300" s="99" t="s">
        <v>8765</v>
      </c>
      <c r="C300" s="98"/>
      <c r="D300" s="101" t="s">
        <v>4</v>
      </c>
      <c r="E300" s="101" t="s">
        <v>8764</v>
      </c>
      <c r="F300" s="98"/>
      <c r="G300" s="98" t="s">
        <v>117</v>
      </c>
      <c r="H300" s="100" t="s">
        <v>8215</v>
      </c>
      <c r="I300" s="100" t="s">
        <v>8215</v>
      </c>
      <c r="J300" s="100" t="s">
        <v>8766</v>
      </c>
      <c r="K300" s="107">
        <v>2024.2</v>
      </c>
    </row>
    <row r="301" ht="15" spans="1:11">
      <c r="A301" s="98" t="s">
        <v>30</v>
      </c>
      <c r="B301" s="100" t="s">
        <v>8767</v>
      </c>
      <c r="C301" s="98" t="s">
        <v>8218</v>
      </c>
      <c r="D301" s="101" t="s">
        <v>4</v>
      </c>
      <c r="E301" s="101" t="s">
        <v>8768</v>
      </c>
      <c r="F301" s="98"/>
      <c r="G301" s="98" t="s">
        <v>117</v>
      </c>
      <c r="H301" s="100" t="s">
        <v>8215</v>
      </c>
      <c r="I301" s="100" t="s">
        <v>8215</v>
      </c>
      <c r="J301" s="101" t="s">
        <v>8769</v>
      </c>
      <c r="K301" s="107"/>
    </row>
    <row r="302" ht="15" spans="1:11">
      <c r="A302" s="98" t="s">
        <v>30</v>
      </c>
      <c r="B302" s="99" t="s">
        <v>8770</v>
      </c>
      <c r="C302" s="98" t="s">
        <v>8218</v>
      </c>
      <c r="D302" s="101" t="s">
        <v>4</v>
      </c>
      <c r="E302" s="101" t="s">
        <v>8768</v>
      </c>
      <c r="F302" s="98"/>
      <c r="G302" s="98" t="s">
        <v>117</v>
      </c>
      <c r="H302" s="100" t="s">
        <v>8215</v>
      </c>
      <c r="I302" s="100" t="s">
        <v>8215</v>
      </c>
      <c r="J302" s="101" t="s">
        <v>8771</v>
      </c>
      <c r="K302" s="107"/>
    </row>
    <row r="303" ht="15" spans="1:11">
      <c r="A303" s="98" t="s">
        <v>30</v>
      </c>
      <c r="B303" s="99" t="s">
        <v>8772</v>
      </c>
      <c r="C303" s="98" t="s">
        <v>8218</v>
      </c>
      <c r="D303" s="101" t="s">
        <v>4</v>
      </c>
      <c r="E303" s="101" t="s">
        <v>8768</v>
      </c>
      <c r="F303" s="98"/>
      <c r="G303" s="98" t="s">
        <v>117</v>
      </c>
      <c r="H303" s="100" t="s">
        <v>8215</v>
      </c>
      <c r="I303" s="100" t="s">
        <v>8215</v>
      </c>
      <c r="J303" s="101" t="s">
        <v>8773</v>
      </c>
      <c r="K303" s="107"/>
    </row>
    <row r="304" ht="15" spans="1:11">
      <c r="A304" s="98" t="s">
        <v>30</v>
      </c>
      <c r="B304" s="100" t="s">
        <v>8774</v>
      </c>
      <c r="C304" s="98" t="s">
        <v>8229</v>
      </c>
      <c r="D304" s="101" t="s">
        <v>5</v>
      </c>
      <c r="E304" s="101" t="s">
        <v>8775</v>
      </c>
      <c r="F304" s="98"/>
      <c r="G304" s="98" t="s">
        <v>117</v>
      </c>
      <c r="H304" s="100" t="s">
        <v>8215</v>
      </c>
      <c r="I304" s="100" t="s">
        <v>8215</v>
      </c>
      <c r="J304" s="100" t="s">
        <v>8463</v>
      </c>
      <c r="K304" s="107"/>
    </row>
    <row r="305" ht="15" spans="1:11">
      <c r="A305" s="98" t="s">
        <v>30</v>
      </c>
      <c r="B305" s="100" t="s">
        <v>8776</v>
      </c>
      <c r="C305" s="98" t="s">
        <v>8229</v>
      </c>
      <c r="D305" s="101" t="s">
        <v>5</v>
      </c>
      <c r="E305" s="101" t="s">
        <v>8775</v>
      </c>
      <c r="F305" s="101"/>
      <c r="G305" s="101" t="s">
        <v>117</v>
      </c>
      <c r="H305" s="100" t="s">
        <v>8215</v>
      </c>
      <c r="I305" s="100" t="s">
        <v>8215</v>
      </c>
      <c r="J305" s="100" t="s">
        <v>8220</v>
      </c>
      <c r="K305" s="107"/>
    </row>
    <row r="306" ht="15" spans="1:11">
      <c r="A306" s="98" t="s">
        <v>30</v>
      </c>
      <c r="B306" s="100" t="s">
        <v>8777</v>
      </c>
      <c r="C306" s="101" t="s">
        <v>8240</v>
      </c>
      <c r="D306" s="101" t="s">
        <v>4</v>
      </c>
      <c r="E306" s="101" t="s">
        <v>8778</v>
      </c>
      <c r="F306" s="98"/>
      <c r="G306" s="98" t="s">
        <v>117</v>
      </c>
      <c r="H306" s="100" t="s">
        <v>8215</v>
      </c>
      <c r="I306" s="100" t="s">
        <v>8734</v>
      </c>
      <c r="J306" s="101" t="s">
        <v>8779</v>
      </c>
      <c r="K306" s="107"/>
    </row>
    <row r="307" ht="15" spans="1:11">
      <c r="A307" s="98" t="s">
        <v>30</v>
      </c>
      <c r="B307" s="99" t="s">
        <v>8780</v>
      </c>
      <c r="C307" s="98" t="s">
        <v>8514</v>
      </c>
      <c r="D307" s="101" t="s">
        <v>4</v>
      </c>
      <c r="E307" s="101" t="s">
        <v>8778</v>
      </c>
      <c r="F307" s="98"/>
      <c r="G307" s="98" t="s">
        <v>117</v>
      </c>
      <c r="H307" s="100" t="s">
        <v>8215</v>
      </c>
      <c r="I307" s="100" t="s">
        <v>8215</v>
      </c>
      <c r="J307" s="101" t="s">
        <v>8781</v>
      </c>
      <c r="K307" s="107"/>
    </row>
    <row r="308" ht="15" spans="1:11">
      <c r="A308" s="98" t="s">
        <v>30</v>
      </c>
      <c r="B308" s="100" t="s">
        <v>8782</v>
      </c>
      <c r="C308" s="98" t="s">
        <v>8218</v>
      </c>
      <c r="D308" s="101" t="s">
        <v>4</v>
      </c>
      <c r="E308" s="101" t="s">
        <v>8778</v>
      </c>
      <c r="F308" s="121"/>
      <c r="G308" s="98" t="s">
        <v>117</v>
      </c>
      <c r="H308" s="100" t="s">
        <v>8215</v>
      </c>
      <c r="I308" s="100" t="s">
        <v>8215</v>
      </c>
      <c r="J308" s="100" t="s">
        <v>8459</v>
      </c>
      <c r="K308" s="107"/>
    </row>
    <row r="309" ht="15" spans="1:11">
      <c r="A309" s="98" t="s">
        <v>30</v>
      </c>
      <c r="B309" s="99" t="s">
        <v>8783</v>
      </c>
      <c r="C309" s="98" t="s">
        <v>8229</v>
      </c>
      <c r="D309" s="101" t="s">
        <v>4</v>
      </c>
      <c r="E309" s="101" t="s">
        <v>8778</v>
      </c>
      <c r="F309" s="98"/>
      <c r="G309" s="98" t="s">
        <v>117</v>
      </c>
      <c r="H309" s="100" t="s">
        <v>8215</v>
      </c>
      <c r="I309" s="100" t="s">
        <v>8734</v>
      </c>
      <c r="J309" s="101">
        <v>3.4</v>
      </c>
      <c r="K309" s="107"/>
    </row>
    <row r="310" ht="15" spans="1:11">
      <c r="A310" s="98" t="s">
        <v>30</v>
      </c>
      <c r="B310" s="99" t="s">
        <v>8784</v>
      </c>
      <c r="C310" s="98" t="s">
        <v>8218</v>
      </c>
      <c r="D310" s="101" t="s">
        <v>4</v>
      </c>
      <c r="E310" s="101" t="s">
        <v>8778</v>
      </c>
      <c r="F310" s="98"/>
      <c r="G310" s="98" t="s">
        <v>117</v>
      </c>
      <c r="H310" s="100"/>
      <c r="I310" s="100"/>
      <c r="J310" s="100"/>
      <c r="K310" s="107"/>
    </row>
    <row r="311" ht="15" spans="1:11">
      <c r="A311" s="98" t="s">
        <v>30</v>
      </c>
      <c r="B311" s="99" t="s">
        <v>8785</v>
      </c>
      <c r="C311" s="98" t="s">
        <v>8218</v>
      </c>
      <c r="D311" s="101" t="s">
        <v>4</v>
      </c>
      <c r="E311" s="101" t="s">
        <v>8786</v>
      </c>
      <c r="F311" s="98"/>
      <c r="G311" s="98" t="s">
        <v>117</v>
      </c>
      <c r="H311" s="100" t="s">
        <v>8320</v>
      </c>
      <c r="I311" s="100" t="s">
        <v>8215</v>
      </c>
      <c r="J311" s="101" t="s">
        <v>8787</v>
      </c>
      <c r="K311" s="107"/>
    </row>
    <row r="312" ht="15" spans="1:11">
      <c r="A312" s="98" t="s">
        <v>30</v>
      </c>
      <c r="B312" s="99" t="s">
        <v>8788</v>
      </c>
      <c r="C312" s="98" t="s">
        <v>8218</v>
      </c>
      <c r="D312" s="101" t="s">
        <v>4</v>
      </c>
      <c r="E312" s="101" t="s">
        <v>8786</v>
      </c>
      <c r="F312" s="101"/>
      <c r="G312" s="98" t="s">
        <v>117</v>
      </c>
      <c r="H312" s="100"/>
      <c r="I312" s="100" t="s">
        <v>8215</v>
      </c>
      <c r="J312" s="100"/>
      <c r="K312" s="107"/>
    </row>
    <row r="313" ht="15" spans="1:11">
      <c r="A313" s="98" t="s">
        <v>30</v>
      </c>
      <c r="B313" s="99" t="s">
        <v>8789</v>
      </c>
      <c r="C313" s="98" t="s">
        <v>8218</v>
      </c>
      <c r="D313" s="101" t="s">
        <v>4</v>
      </c>
      <c r="E313" s="101" t="s">
        <v>8786</v>
      </c>
      <c r="F313" s="98"/>
      <c r="G313" s="98" t="s">
        <v>117</v>
      </c>
      <c r="H313" s="100" t="s">
        <v>8215</v>
      </c>
      <c r="I313" s="100" t="s">
        <v>8215</v>
      </c>
      <c r="J313" s="100">
        <v>3.5</v>
      </c>
      <c r="K313" s="107"/>
    </row>
    <row r="314" ht="15" spans="1:11">
      <c r="A314" s="98" t="s">
        <v>30</v>
      </c>
      <c r="B314" s="99" t="s">
        <v>8790</v>
      </c>
      <c r="C314" s="98" t="s">
        <v>8514</v>
      </c>
      <c r="D314" s="98" t="s">
        <v>4</v>
      </c>
      <c r="E314" s="98" t="s">
        <v>8786</v>
      </c>
      <c r="F314" s="98"/>
      <c r="G314" s="98" t="s">
        <v>117</v>
      </c>
      <c r="H314" s="118" t="s">
        <v>8215</v>
      </c>
      <c r="I314" s="118" t="s">
        <v>8734</v>
      </c>
      <c r="J314" s="100"/>
      <c r="K314" s="107"/>
    </row>
    <row r="315" ht="15" spans="1:11">
      <c r="A315" s="98" t="s">
        <v>30</v>
      </c>
      <c r="B315" s="99" t="s">
        <v>8791</v>
      </c>
      <c r="C315" s="98" t="s">
        <v>8218</v>
      </c>
      <c r="D315" s="101" t="s">
        <v>4</v>
      </c>
      <c r="E315" s="101" t="s">
        <v>8792</v>
      </c>
      <c r="F315" s="98"/>
      <c r="G315" s="98" t="s">
        <v>117</v>
      </c>
      <c r="H315" s="100" t="s">
        <v>8215</v>
      </c>
      <c r="I315" s="100" t="s">
        <v>8215</v>
      </c>
      <c r="J315" s="100" t="s">
        <v>8247</v>
      </c>
      <c r="K315" s="107"/>
    </row>
    <row r="316" ht="15" spans="1:11">
      <c r="A316" s="98" t="s">
        <v>30</v>
      </c>
      <c r="B316" s="99" t="s">
        <v>8793</v>
      </c>
      <c r="C316" s="98" t="s">
        <v>8218</v>
      </c>
      <c r="D316" s="101" t="s">
        <v>4</v>
      </c>
      <c r="E316" s="101" t="s">
        <v>8792</v>
      </c>
      <c r="F316" s="98"/>
      <c r="G316" s="98" t="s">
        <v>117</v>
      </c>
      <c r="H316" s="100" t="s">
        <v>8215</v>
      </c>
      <c r="I316" s="100" t="s">
        <v>8215</v>
      </c>
      <c r="J316" s="100" t="s">
        <v>8459</v>
      </c>
      <c r="K316" s="107"/>
    </row>
    <row r="317" ht="15" spans="1:11">
      <c r="A317" s="98" t="s">
        <v>30</v>
      </c>
      <c r="B317" s="99" t="s">
        <v>8794</v>
      </c>
      <c r="C317" s="98" t="s">
        <v>8218</v>
      </c>
      <c r="D317" s="101" t="s">
        <v>4</v>
      </c>
      <c r="E317" s="101" t="s">
        <v>8792</v>
      </c>
      <c r="F317" s="98"/>
      <c r="G317" s="98" t="s">
        <v>117</v>
      </c>
      <c r="H317" s="100" t="s">
        <v>8215</v>
      </c>
      <c r="I317" s="100" t="s">
        <v>8215</v>
      </c>
      <c r="J317" s="100" t="s">
        <v>8220</v>
      </c>
      <c r="K317" s="107"/>
    </row>
    <row r="318" ht="15" spans="1:11">
      <c r="A318" s="98" t="s">
        <v>30</v>
      </c>
      <c r="B318" s="119" t="s">
        <v>8795</v>
      </c>
      <c r="C318" s="101" t="s">
        <v>8240</v>
      </c>
      <c r="D318" s="98" t="s">
        <v>4</v>
      </c>
      <c r="E318" s="98" t="s">
        <v>8792</v>
      </c>
      <c r="F318" s="98"/>
      <c r="G318" s="98" t="s">
        <v>117</v>
      </c>
      <c r="H318" s="120" t="s">
        <v>8215</v>
      </c>
      <c r="I318" s="100" t="s">
        <v>8326</v>
      </c>
      <c r="J318" s="100" t="s">
        <v>8314</v>
      </c>
      <c r="K318" s="107"/>
    </row>
    <row r="319" ht="15" spans="1:11">
      <c r="A319" s="98" t="s">
        <v>30</v>
      </c>
      <c r="B319" s="99" t="s">
        <v>8796</v>
      </c>
      <c r="C319" s="98" t="s">
        <v>8218</v>
      </c>
      <c r="D319" s="101" t="s">
        <v>4</v>
      </c>
      <c r="E319" s="101" t="s">
        <v>8797</v>
      </c>
      <c r="F319" s="98"/>
      <c r="G319" s="98" t="s">
        <v>117</v>
      </c>
      <c r="H319" s="100" t="s">
        <v>8320</v>
      </c>
      <c r="I319" s="100" t="s">
        <v>8215</v>
      </c>
      <c r="J319" s="101" t="s">
        <v>8771</v>
      </c>
      <c r="K319" s="107"/>
    </row>
    <row r="320" ht="15" spans="1:11">
      <c r="A320" s="98" t="s">
        <v>30</v>
      </c>
      <c r="B320" s="99" t="s">
        <v>8798</v>
      </c>
      <c r="C320" s="98" t="s">
        <v>8218</v>
      </c>
      <c r="D320" s="101" t="s">
        <v>4</v>
      </c>
      <c r="E320" s="101" t="s">
        <v>8799</v>
      </c>
      <c r="F320" s="98"/>
      <c r="G320" s="98" t="s">
        <v>117</v>
      </c>
      <c r="H320" s="100" t="s">
        <v>8215</v>
      </c>
      <c r="I320" s="100" t="s">
        <v>8734</v>
      </c>
      <c r="J320" s="100" t="s">
        <v>8220</v>
      </c>
      <c r="K320" s="107"/>
    </row>
    <row r="321" ht="15" spans="1:11">
      <c r="A321" s="98" t="s">
        <v>30</v>
      </c>
      <c r="B321" s="99" t="s">
        <v>8800</v>
      </c>
      <c r="C321" s="98" t="s">
        <v>8229</v>
      </c>
      <c r="D321" s="101" t="s">
        <v>4</v>
      </c>
      <c r="E321" s="101" t="s">
        <v>8801</v>
      </c>
      <c r="F321" s="98"/>
      <c r="G321" s="98" t="s">
        <v>117</v>
      </c>
      <c r="H321" s="100" t="s">
        <v>8215</v>
      </c>
      <c r="I321" s="100" t="s">
        <v>8215</v>
      </c>
      <c r="J321" s="100">
        <v>3.8</v>
      </c>
      <c r="K321" s="107"/>
    </row>
    <row r="322" s="90" customFormat="1" ht="15" spans="1:11">
      <c r="A322" s="101" t="s">
        <v>30</v>
      </c>
      <c r="B322" s="99" t="s">
        <v>8802</v>
      </c>
      <c r="C322" s="98" t="s">
        <v>8293</v>
      </c>
      <c r="D322" s="101" t="s">
        <v>4</v>
      </c>
      <c r="E322" s="98" t="s">
        <v>8803</v>
      </c>
      <c r="F322" s="98"/>
      <c r="G322" s="98" t="s">
        <v>117</v>
      </c>
      <c r="H322" s="100" t="s">
        <v>8215</v>
      </c>
      <c r="I322" s="100" t="s">
        <v>8247</v>
      </c>
      <c r="J322" s="100" t="s">
        <v>8463</v>
      </c>
      <c r="K322" s="107">
        <v>2024.5</v>
      </c>
    </row>
    <row r="323" ht="15" spans="1:11">
      <c r="A323" s="98" t="s">
        <v>30</v>
      </c>
      <c r="B323" s="99" t="s">
        <v>8804</v>
      </c>
      <c r="C323" s="98" t="s">
        <v>8229</v>
      </c>
      <c r="D323" s="101" t="s">
        <v>4</v>
      </c>
      <c r="E323" s="101" t="s">
        <v>8805</v>
      </c>
      <c r="F323" s="98"/>
      <c r="G323" s="98" t="s">
        <v>117</v>
      </c>
      <c r="H323" s="100" t="s">
        <v>8215</v>
      </c>
      <c r="I323" s="100" t="s">
        <v>1258</v>
      </c>
      <c r="J323" s="100"/>
      <c r="K323" s="107"/>
    </row>
    <row r="324" ht="15" spans="1:11">
      <c r="A324" s="98" t="s">
        <v>30</v>
      </c>
      <c r="B324" s="99" t="s">
        <v>8806</v>
      </c>
      <c r="C324" s="98" t="s">
        <v>8229</v>
      </c>
      <c r="D324" s="101" t="s">
        <v>4</v>
      </c>
      <c r="E324" s="101" t="s">
        <v>8805</v>
      </c>
      <c r="F324" s="98"/>
      <c r="G324" s="98" t="s">
        <v>117</v>
      </c>
      <c r="H324" s="100" t="s">
        <v>8215</v>
      </c>
      <c r="I324" s="100" t="s">
        <v>8215</v>
      </c>
      <c r="J324" s="100">
        <v>4</v>
      </c>
      <c r="K324" s="107"/>
    </row>
    <row r="325" ht="15" spans="1:11">
      <c r="A325" s="98" t="s">
        <v>30</v>
      </c>
      <c r="B325" s="99" t="s">
        <v>8807</v>
      </c>
      <c r="C325" s="98" t="s">
        <v>8229</v>
      </c>
      <c r="D325" s="101" t="s">
        <v>4</v>
      </c>
      <c r="E325" s="101" t="s">
        <v>8805</v>
      </c>
      <c r="F325" s="98"/>
      <c r="G325" s="98" t="s">
        <v>117</v>
      </c>
      <c r="H325" s="100" t="s">
        <v>8215</v>
      </c>
      <c r="I325" s="100" t="s">
        <v>8215</v>
      </c>
      <c r="J325" s="100">
        <v>2.5</v>
      </c>
      <c r="K325" s="107"/>
    </row>
    <row r="326" ht="15" spans="1:11">
      <c r="A326" s="98" t="s">
        <v>30</v>
      </c>
      <c r="B326" s="99" t="s">
        <v>8808</v>
      </c>
      <c r="C326" s="98" t="s">
        <v>8229</v>
      </c>
      <c r="D326" s="101" t="s">
        <v>4</v>
      </c>
      <c r="E326" s="101" t="s">
        <v>8805</v>
      </c>
      <c r="F326" s="98"/>
      <c r="G326" s="98" t="s">
        <v>117</v>
      </c>
      <c r="H326" s="100" t="s">
        <v>8215</v>
      </c>
      <c r="I326" s="100" t="s">
        <v>8215</v>
      </c>
      <c r="J326" s="100"/>
      <c r="K326" s="107"/>
    </row>
    <row r="327" ht="15" spans="1:11">
      <c r="A327" s="98" t="s">
        <v>30</v>
      </c>
      <c r="B327" s="99" t="s">
        <v>8809</v>
      </c>
      <c r="C327" s="98" t="s">
        <v>8229</v>
      </c>
      <c r="D327" s="101" t="s">
        <v>4</v>
      </c>
      <c r="E327" s="101" t="s">
        <v>8810</v>
      </c>
      <c r="F327" s="98"/>
      <c r="G327" s="98" t="s">
        <v>117</v>
      </c>
      <c r="H327" s="100" t="s">
        <v>8215</v>
      </c>
      <c r="I327" s="100" t="s">
        <v>8215</v>
      </c>
      <c r="J327" s="100">
        <v>2.5</v>
      </c>
      <c r="K327" s="107"/>
    </row>
    <row r="328" ht="15" spans="1:11">
      <c r="A328" s="98" t="s">
        <v>30</v>
      </c>
      <c r="B328" s="99" t="s">
        <v>8811</v>
      </c>
      <c r="C328" s="98" t="s">
        <v>8229</v>
      </c>
      <c r="D328" s="101" t="s">
        <v>4</v>
      </c>
      <c r="E328" s="101" t="s">
        <v>8810</v>
      </c>
      <c r="F328" s="98"/>
      <c r="G328" s="98" t="s">
        <v>117</v>
      </c>
      <c r="H328" s="100" t="s">
        <v>8215</v>
      </c>
      <c r="I328" s="100" t="s">
        <v>8215</v>
      </c>
      <c r="J328" s="100">
        <v>4</v>
      </c>
      <c r="K328" s="107"/>
    </row>
    <row r="329" ht="15" spans="1:11">
      <c r="A329" s="98" t="s">
        <v>30</v>
      </c>
      <c r="B329" s="99" t="s">
        <v>8812</v>
      </c>
      <c r="C329" s="98" t="s">
        <v>8229</v>
      </c>
      <c r="D329" s="101" t="s">
        <v>4</v>
      </c>
      <c r="E329" s="101" t="s">
        <v>1881</v>
      </c>
      <c r="F329" s="98"/>
      <c r="G329" s="98" t="s">
        <v>117</v>
      </c>
      <c r="H329" s="100" t="s">
        <v>8215</v>
      </c>
      <c r="I329" s="100" t="s">
        <v>8215</v>
      </c>
      <c r="J329" s="100">
        <v>2.5</v>
      </c>
      <c r="K329" s="107"/>
    </row>
    <row r="330" ht="15" spans="1:11">
      <c r="A330" s="98" t="s">
        <v>30</v>
      </c>
      <c r="B330" s="99" t="s">
        <v>8813</v>
      </c>
      <c r="C330" s="98" t="s">
        <v>8229</v>
      </c>
      <c r="D330" s="101" t="s">
        <v>4</v>
      </c>
      <c r="E330" s="101" t="s">
        <v>1881</v>
      </c>
      <c r="F330" s="98"/>
      <c r="G330" s="98" t="s">
        <v>117</v>
      </c>
      <c r="H330" s="100" t="s">
        <v>8215</v>
      </c>
      <c r="I330" s="100" t="s">
        <v>1258</v>
      </c>
      <c r="J330" s="100" t="s">
        <v>8220</v>
      </c>
      <c r="K330" s="107"/>
    </row>
    <row r="331" ht="15" spans="1:11">
      <c r="A331" s="98" t="s">
        <v>30</v>
      </c>
      <c r="B331" s="99" t="s">
        <v>8814</v>
      </c>
      <c r="C331" s="98" t="s">
        <v>8218</v>
      </c>
      <c r="D331" s="101" t="s">
        <v>4</v>
      </c>
      <c r="E331" s="101" t="s">
        <v>1881</v>
      </c>
      <c r="F331" s="98"/>
      <c r="G331" s="98" t="s">
        <v>117</v>
      </c>
      <c r="H331" s="100" t="s">
        <v>8215</v>
      </c>
      <c r="I331" s="100" t="s">
        <v>8215</v>
      </c>
      <c r="J331" s="100">
        <v>2.5</v>
      </c>
      <c r="K331" s="107"/>
    </row>
    <row r="332" ht="15" spans="1:11">
      <c r="A332" s="98" t="s">
        <v>30</v>
      </c>
      <c r="B332" s="99" t="s">
        <v>8815</v>
      </c>
      <c r="C332" s="98" t="s">
        <v>8229</v>
      </c>
      <c r="D332" s="101" t="s">
        <v>4</v>
      </c>
      <c r="E332" s="101" t="s">
        <v>8816</v>
      </c>
      <c r="F332" s="98"/>
      <c r="G332" s="98" t="s">
        <v>117</v>
      </c>
      <c r="H332" s="100" t="s">
        <v>8215</v>
      </c>
      <c r="I332" s="100" t="s">
        <v>8215</v>
      </c>
      <c r="J332" s="100" t="s">
        <v>8459</v>
      </c>
      <c r="K332" s="107"/>
    </row>
    <row r="333" ht="15" spans="1:11">
      <c r="A333" s="98" t="s">
        <v>30</v>
      </c>
      <c r="B333" s="99" t="s">
        <v>8817</v>
      </c>
      <c r="C333" s="98" t="s">
        <v>8258</v>
      </c>
      <c r="D333" s="101" t="s">
        <v>4</v>
      </c>
      <c r="E333" s="101" t="s">
        <v>2090</v>
      </c>
      <c r="F333" s="101"/>
      <c r="G333" s="98" t="s">
        <v>117</v>
      </c>
      <c r="H333" s="100" t="s">
        <v>8215</v>
      </c>
      <c r="I333" s="100" t="s">
        <v>8215</v>
      </c>
      <c r="J333" s="100" t="s">
        <v>8459</v>
      </c>
      <c r="K333" s="107"/>
    </row>
    <row r="334" ht="15" spans="1:11">
      <c r="A334" s="98" t="s">
        <v>30</v>
      </c>
      <c r="B334" s="99" t="s">
        <v>8818</v>
      </c>
      <c r="C334" s="98" t="s">
        <v>8258</v>
      </c>
      <c r="D334" s="101" t="s">
        <v>4</v>
      </c>
      <c r="E334" s="101" t="s">
        <v>2090</v>
      </c>
      <c r="F334" s="98"/>
      <c r="G334" s="98" t="s">
        <v>117</v>
      </c>
      <c r="H334" s="123" t="s">
        <v>8215</v>
      </c>
      <c r="I334" s="100" t="s">
        <v>1258</v>
      </c>
      <c r="J334" s="100">
        <v>4</v>
      </c>
      <c r="K334" s="107"/>
    </row>
    <row r="335" ht="15" spans="1:11">
      <c r="A335" s="98" t="s">
        <v>30</v>
      </c>
      <c r="B335" s="99" t="s">
        <v>8819</v>
      </c>
      <c r="C335" s="98" t="s">
        <v>8258</v>
      </c>
      <c r="D335" s="101" t="s">
        <v>4</v>
      </c>
      <c r="E335" s="101" t="s">
        <v>2090</v>
      </c>
      <c r="F335" s="98"/>
      <c r="G335" s="98" t="s">
        <v>117</v>
      </c>
      <c r="H335" s="123" t="s">
        <v>8215</v>
      </c>
      <c r="I335" s="100" t="s">
        <v>8215</v>
      </c>
      <c r="J335" s="100">
        <v>4</v>
      </c>
      <c r="K335" s="107"/>
    </row>
    <row r="336" ht="15" spans="1:11">
      <c r="A336" s="98" t="s">
        <v>30</v>
      </c>
      <c r="B336" s="99" t="s">
        <v>8820</v>
      </c>
      <c r="C336" s="98" t="s">
        <v>8514</v>
      </c>
      <c r="D336" s="101" t="s">
        <v>4</v>
      </c>
      <c r="E336" s="101" t="s">
        <v>2090</v>
      </c>
      <c r="F336" s="98"/>
      <c r="G336" s="98" t="s">
        <v>117</v>
      </c>
      <c r="H336" s="123" t="s">
        <v>8215</v>
      </c>
      <c r="I336" s="100" t="s">
        <v>8247</v>
      </c>
      <c r="J336" s="100" t="s">
        <v>8821</v>
      </c>
      <c r="K336" s="107"/>
    </row>
    <row r="337" ht="15" spans="1:11">
      <c r="A337" s="98" t="s">
        <v>30</v>
      </c>
      <c r="B337" s="99" t="s">
        <v>8822</v>
      </c>
      <c r="C337" s="98" t="s">
        <v>8229</v>
      </c>
      <c r="D337" s="101" t="s">
        <v>4</v>
      </c>
      <c r="E337" s="101" t="s">
        <v>8823</v>
      </c>
      <c r="F337" s="98"/>
      <c r="G337" s="98" t="s">
        <v>117</v>
      </c>
      <c r="H337" s="100" t="s">
        <v>8215</v>
      </c>
      <c r="I337" s="100" t="s">
        <v>8215</v>
      </c>
      <c r="J337" s="100" t="s">
        <v>8220</v>
      </c>
      <c r="K337" s="107"/>
    </row>
    <row r="338" ht="15" spans="1:11">
      <c r="A338" s="98" t="s">
        <v>30</v>
      </c>
      <c r="B338" s="99" t="s">
        <v>8824</v>
      </c>
      <c r="C338" s="98" t="s">
        <v>8229</v>
      </c>
      <c r="D338" s="101" t="s">
        <v>4</v>
      </c>
      <c r="E338" s="101" t="s">
        <v>8823</v>
      </c>
      <c r="F338" s="98"/>
      <c r="G338" s="98" t="s">
        <v>117</v>
      </c>
      <c r="H338" s="100" t="s">
        <v>8215</v>
      </c>
      <c r="I338" s="100" t="s">
        <v>8215</v>
      </c>
      <c r="J338" s="100">
        <v>4</v>
      </c>
      <c r="K338" s="107"/>
    </row>
    <row r="339" ht="15" spans="1:11">
      <c r="A339" s="98" t="s">
        <v>30</v>
      </c>
      <c r="B339" s="99" t="s">
        <v>8825</v>
      </c>
      <c r="C339" s="98" t="s">
        <v>8229</v>
      </c>
      <c r="D339" s="101" t="s">
        <v>4</v>
      </c>
      <c r="E339" s="101" t="s">
        <v>8823</v>
      </c>
      <c r="F339" s="98"/>
      <c r="G339" s="98" t="s">
        <v>117</v>
      </c>
      <c r="H339" s="100" t="s">
        <v>8215</v>
      </c>
      <c r="I339" s="100" t="s">
        <v>8215</v>
      </c>
      <c r="J339" s="100">
        <v>2.5</v>
      </c>
      <c r="K339" s="107"/>
    </row>
    <row r="340" ht="15" spans="1:11">
      <c r="A340" s="98" t="s">
        <v>30</v>
      </c>
      <c r="B340" s="99" t="s">
        <v>8826</v>
      </c>
      <c r="C340" s="98" t="s">
        <v>8229</v>
      </c>
      <c r="D340" s="101" t="s">
        <v>4</v>
      </c>
      <c r="E340" s="101" t="s">
        <v>8823</v>
      </c>
      <c r="F340" s="98" t="s">
        <v>8419</v>
      </c>
      <c r="G340" s="98" t="s">
        <v>117</v>
      </c>
      <c r="H340" s="100" t="s">
        <v>8215</v>
      </c>
      <c r="I340" s="100" t="s">
        <v>8215</v>
      </c>
      <c r="J340" s="100">
        <v>2.5</v>
      </c>
      <c r="K340" s="107"/>
    </row>
    <row r="341" ht="15" spans="1:11">
      <c r="A341" s="98" t="s">
        <v>30</v>
      </c>
      <c r="B341" s="99" t="s">
        <v>8827</v>
      </c>
      <c r="C341" s="98" t="s">
        <v>8229</v>
      </c>
      <c r="D341" s="101" t="s">
        <v>4</v>
      </c>
      <c r="E341" s="101" t="s">
        <v>8828</v>
      </c>
      <c r="F341" s="98"/>
      <c r="G341" s="98" t="s">
        <v>117</v>
      </c>
      <c r="H341" s="100" t="s">
        <v>8215</v>
      </c>
      <c r="I341" s="100" t="s">
        <v>8215</v>
      </c>
      <c r="J341" s="100" t="s">
        <v>8829</v>
      </c>
      <c r="K341" s="107"/>
    </row>
    <row r="342" ht="15" spans="1:11">
      <c r="A342" s="98" t="s">
        <v>30</v>
      </c>
      <c r="B342" s="99" t="s">
        <v>8830</v>
      </c>
      <c r="C342" s="98" t="s">
        <v>8229</v>
      </c>
      <c r="D342" s="101" t="s">
        <v>4</v>
      </c>
      <c r="E342" s="101" t="s">
        <v>8831</v>
      </c>
      <c r="F342" s="98"/>
      <c r="G342" s="98" t="s">
        <v>117</v>
      </c>
      <c r="H342" s="123" t="s">
        <v>8215</v>
      </c>
      <c r="I342" s="100" t="s">
        <v>8215</v>
      </c>
      <c r="J342" s="100">
        <v>2.5</v>
      </c>
      <c r="K342" s="107"/>
    </row>
    <row r="343" ht="15" spans="1:11">
      <c r="A343" s="98" t="s">
        <v>30</v>
      </c>
      <c r="B343" s="99" t="s">
        <v>8832</v>
      </c>
      <c r="C343" s="98" t="s">
        <v>8229</v>
      </c>
      <c r="D343" s="101" t="s">
        <v>4</v>
      </c>
      <c r="E343" s="101" t="s">
        <v>8831</v>
      </c>
      <c r="F343" s="98"/>
      <c r="G343" s="98" t="s">
        <v>117</v>
      </c>
      <c r="H343" s="123" t="s">
        <v>8215</v>
      </c>
      <c r="I343" s="100" t="s">
        <v>8215</v>
      </c>
      <c r="J343" s="100">
        <v>4</v>
      </c>
      <c r="K343" s="107"/>
    </row>
    <row r="344" ht="15" spans="1:11">
      <c r="A344" s="98" t="s">
        <v>30</v>
      </c>
      <c r="B344" s="99" t="s">
        <v>8833</v>
      </c>
      <c r="C344" s="98" t="s">
        <v>8258</v>
      </c>
      <c r="D344" s="101" t="s">
        <v>4</v>
      </c>
      <c r="E344" s="101" t="s">
        <v>8834</v>
      </c>
      <c r="F344" s="98"/>
      <c r="G344" s="98" t="s">
        <v>117</v>
      </c>
      <c r="H344" s="123" t="s">
        <v>8215</v>
      </c>
      <c r="I344" s="100" t="s">
        <v>8215</v>
      </c>
      <c r="J344" s="100">
        <v>4</v>
      </c>
      <c r="K344" s="107"/>
    </row>
    <row r="345" ht="15" spans="1:11">
      <c r="A345" s="98" t="s">
        <v>30</v>
      </c>
      <c r="B345" s="99" t="s">
        <v>8835</v>
      </c>
      <c r="C345" s="98" t="s">
        <v>8229</v>
      </c>
      <c r="D345" s="101" t="s">
        <v>4</v>
      </c>
      <c r="E345" s="101" t="s">
        <v>8834</v>
      </c>
      <c r="F345" s="98"/>
      <c r="G345" s="98" t="s">
        <v>117</v>
      </c>
      <c r="H345" s="123" t="s">
        <v>8215</v>
      </c>
      <c r="I345" s="100" t="s">
        <v>8215</v>
      </c>
      <c r="J345" s="100">
        <v>4</v>
      </c>
      <c r="K345" s="107"/>
    </row>
    <row r="346" ht="15" spans="1:11">
      <c r="A346" s="98" t="s">
        <v>30</v>
      </c>
      <c r="B346" s="99" t="s">
        <v>8836</v>
      </c>
      <c r="C346" s="98" t="s">
        <v>8240</v>
      </c>
      <c r="D346" s="101" t="s">
        <v>4</v>
      </c>
      <c r="E346" s="101" t="s">
        <v>8834</v>
      </c>
      <c r="F346" s="98"/>
      <c r="G346" s="98" t="s">
        <v>117</v>
      </c>
      <c r="H346" s="123" t="s">
        <v>8215</v>
      </c>
      <c r="I346" s="100" t="s">
        <v>8215</v>
      </c>
      <c r="J346" s="100">
        <v>4</v>
      </c>
      <c r="K346" s="107"/>
    </row>
    <row r="347" ht="15" spans="1:11">
      <c r="A347" s="98" t="s">
        <v>30</v>
      </c>
      <c r="B347" s="99" t="s">
        <v>8837</v>
      </c>
      <c r="C347" s="101" t="s">
        <v>8240</v>
      </c>
      <c r="D347" s="101" t="s">
        <v>5</v>
      </c>
      <c r="E347" s="101" t="s">
        <v>8838</v>
      </c>
      <c r="F347" s="98"/>
      <c r="G347" s="98" t="s">
        <v>117</v>
      </c>
      <c r="H347" s="123" t="s">
        <v>8215</v>
      </c>
      <c r="I347" s="100" t="s">
        <v>1258</v>
      </c>
      <c r="J347" s="100" t="s">
        <v>8839</v>
      </c>
      <c r="K347" s="107"/>
    </row>
    <row r="348" ht="15" spans="1:11">
      <c r="A348" s="98" t="s">
        <v>31</v>
      </c>
      <c r="B348" s="99" t="s">
        <v>8840</v>
      </c>
      <c r="C348" s="98" t="s">
        <v>8229</v>
      </c>
      <c r="D348" s="101" t="s">
        <v>4</v>
      </c>
      <c r="E348" s="101" t="s">
        <v>8841</v>
      </c>
      <c r="F348" s="98"/>
      <c r="G348" s="98" t="s">
        <v>117</v>
      </c>
      <c r="H348" s="123" t="s">
        <v>8215</v>
      </c>
      <c r="I348" s="100" t="s">
        <v>8320</v>
      </c>
      <c r="J348" s="100">
        <v>4</v>
      </c>
      <c r="K348" s="107"/>
    </row>
    <row r="349" ht="15" spans="1:11">
      <c r="A349" s="98" t="s">
        <v>31</v>
      </c>
      <c r="B349" s="99" t="s">
        <v>8842</v>
      </c>
      <c r="C349" s="98" t="s">
        <v>8229</v>
      </c>
      <c r="D349" s="101" t="s">
        <v>4</v>
      </c>
      <c r="E349" s="101" t="s">
        <v>8841</v>
      </c>
      <c r="F349" s="98"/>
      <c r="G349" s="98" t="s">
        <v>117</v>
      </c>
      <c r="H349" s="123" t="s">
        <v>8215</v>
      </c>
      <c r="I349" s="100" t="s">
        <v>8215</v>
      </c>
      <c r="J349" s="100">
        <v>4</v>
      </c>
      <c r="K349" s="107"/>
    </row>
    <row r="350" ht="15" spans="1:11">
      <c r="A350" s="98" t="s">
        <v>31</v>
      </c>
      <c r="B350" s="99" t="s">
        <v>8843</v>
      </c>
      <c r="C350" s="101" t="s">
        <v>8240</v>
      </c>
      <c r="D350" s="101" t="s">
        <v>4</v>
      </c>
      <c r="E350" s="101" t="s">
        <v>8841</v>
      </c>
      <c r="F350" s="98"/>
      <c r="G350" s="98" t="s">
        <v>117</v>
      </c>
      <c r="H350" s="123" t="s">
        <v>8215</v>
      </c>
      <c r="I350" s="100" t="s">
        <v>8215</v>
      </c>
      <c r="J350" s="100">
        <v>6.3</v>
      </c>
      <c r="K350" s="107"/>
    </row>
    <row r="351" ht="15" spans="1:11">
      <c r="A351" s="98" t="s">
        <v>31</v>
      </c>
      <c r="B351" s="99" t="s">
        <v>8844</v>
      </c>
      <c r="C351" s="101"/>
      <c r="D351" s="101" t="s">
        <v>4</v>
      </c>
      <c r="E351" s="101" t="s">
        <v>8841</v>
      </c>
      <c r="F351" s="98"/>
      <c r="G351" s="98" t="s">
        <v>117</v>
      </c>
      <c r="H351" s="100" t="s">
        <v>8215</v>
      </c>
      <c r="I351" s="100" t="s">
        <v>8215</v>
      </c>
      <c r="J351" s="100" t="s">
        <v>8459</v>
      </c>
      <c r="K351" s="107">
        <v>2024.3</v>
      </c>
    </row>
    <row r="352" ht="15" spans="1:11">
      <c r="A352" s="98" t="s">
        <v>31</v>
      </c>
      <c r="B352" s="99" t="s">
        <v>8845</v>
      </c>
      <c r="C352" s="98" t="s">
        <v>8229</v>
      </c>
      <c r="D352" s="101" t="s">
        <v>4</v>
      </c>
      <c r="E352" s="101" t="s">
        <v>8846</v>
      </c>
      <c r="F352" s="98"/>
      <c r="G352" s="98" t="s">
        <v>117</v>
      </c>
      <c r="H352" s="123" t="s">
        <v>8215</v>
      </c>
      <c r="I352" s="100" t="s">
        <v>8247</v>
      </c>
      <c r="J352" s="100" t="s">
        <v>8847</v>
      </c>
      <c r="K352" s="107"/>
    </row>
    <row r="353" ht="15" spans="1:11">
      <c r="A353" s="98" t="s">
        <v>31</v>
      </c>
      <c r="B353" s="99" t="s">
        <v>8848</v>
      </c>
      <c r="C353" s="98" t="s">
        <v>8229</v>
      </c>
      <c r="D353" s="101" t="s">
        <v>4</v>
      </c>
      <c r="E353" s="101" t="s">
        <v>8846</v>
      </c>
      <c r="F353" s="98"/>
      <c r="G353" s="98" t="s">
        <v>117</v>
      </c>
      <c r="H353" s="123" t="s">
        <v>8215</v>
      </c>
      <c r="I353" s="100" t="s">
        <v>8247</v>
      </c>
      <c r="J353" s="100">
        <v>4</v>
      </c>
      <c r="K353" s="107"/>
    </row>
    <row r="354" ht="15" spans="1:11">
      <c r="A354" s="98" t="s">
        <v>31</v>
      </c>
      <c r="B354" s="99" t="s">
        <v>8849</v>
      </c>
      <c r="C354" s="98" t="s">
        <v>8229</v>
      </c>
      <c r="D354" s="101" t="s">
        <v>4</v>
      </c>
      <c r="E354" s="101" t="s">
        <v>8850</v>
      </c>
      <c r="F354" s="98"/>
      <c r="G354" s="98" t="s">
        <v>117</v>
      </c>
      <c r="H354" s="123" t="s">
        <v>8215</v>
      </c>
      <c r="I354" s="100" t="s">
        <v>8215</v>
      </c>
      <c r="J354" s="100">
        <v>3.8</v>
      </c>
      <c r="K354" s="107"/>
    </row>
    <row r="355" ht="15" spans="1:11">
      <c r="A355" s="98" t="s">
        <v>31</v>
      </c>
      <c r="B355" s="99" t="s">
        <v>8851</v>
      </c>
      <c r="C355" s="98" t="s">
        <v>8229</v>
      </c>
      <c r="D355" s="101" t="s">
        <v>4</v>
      </c>
      <c r="E355" s="101" t="s">
        <v>8850</v>
      </c>
      <c r="F355" s="98"/>
      <c r="G355" s="98" t="s">
        <v>117</v>
      </c>
      <c r="H355" s="123" t="s">
        <v>8215</v>
      </c>
      <c r="I355" s="100" t="s">
        <v>8215</v>
      </c>
      <c r="J355" s="100">
        <v>2.5</v>
      </c>
      <c r="K355" s="107"/>
    </row>
    <row r="356" ht="15" spans="1:11">
      <c r="A356" s="98" t="s">
        <v>31</v>
      </c>
      <c r="B356" s="99" t="s">
        <v>8852</v>
      </c>
      <c r="C356" s="98" t="s">
        <v>8514</v>
      </c>
      <c r="D356" s="101" t="s">
        <v>4</v>
      </c>
      <c r="E356" s="101" t="s">
        <v>8850</v>
      </c>
      <c r="F356" s="98"/>
      <c r="G356" s="98" t="s">
        <v>117</v>
      </c>
      <c r="H356" s="123" t="s">
        <v>8215</v>
      </c>
      <c r="I356" s="100" t="s">
        <v>8215</v>
      </c>
      <c r="J356" s="100">
        <v>4</v>
      </c>
      <c r="K356" s="107"/>
    </row>
    <row r="357" ht="15" spans="1:11">
      <c r="A357" s="98" t="s">
        <v>31</v>
      </c>
      <c r="B357" s="99" t="s">
        <v>8853</v>
      </c>
      <c r="C357" s="98" t="s">
        <v>8229</v>
      </c>
      <c r="D357" s="101" t="s">
        <v>4</v>
      </c>
      <c r="E357" s="101" t="s">
        <v>8854</v>
      </c>
      <c r="F357" s="98"/>
      <c r="G357" s="98" t="s">
        <v>117</v>
      </c>
      <c r="H357" s="123" t="s">
        <v>8252</v>
      </c>
      <c r="I357" s="100" t="s">
        <v>8252</v>
      </c>
      <c r="J357" s="100" t="s">
        <v>8459</v>
      </c>
      <c r="K357" s="107"/>
    </row>
    <row r="358" ht="15" spans="1:11">
      <c r="A358" s="98" t="s">
        <v>31</v>
      </c>
      <c r="B358" s="99" t="s">
        <v>8855</v>
      </c>
      <c r="C358" s="98" t="s">
        <v>8229</v>
      </c>
      <c r="D358" s="101" t="s">
        <v>4</v>
      </c>
      <c r="E358" s="101" t="s">
        <v>8854</v>
      </c>
      <c r="F358" s="98"/>
      <c r="G358" s="98" t="s">
        <v>117</v>
      </c>
      <c r="H358" s="123" t="s">
        <v>8215</v>
      </c>
      <c r="I358" s="100" t="s">
        <v>8215</v>
      </c>
      <c r="J358" s="100" t="s">
        <v>8459</v>
      </c>
      <c r="K358" s="107"/>
    </row>
    <row r="359" ht="15" spans="1:11">
      <c r="A359" s="98" t="s">
        <v>31</v>
      </c>
      <c r="B359" s="99" t="s">
        <v>8856</v>
      </c>
      <c r="C359" s="98" t="s">
        <v>8229</v>
      </c>
      <c r="D359" s="101" t="s">
        <v>4</v>
      </c>
      <c r="E359" s="101" t="s">
        <v>8857</v>
      </c>
      <c r="F359" s="98"/>
      <c r="G359" s="98" t="s">
        <v>117</v>
      </c>
      <c r="H359" s="123" t="s">
        <v>8215</v>
      </c>
      <c r="I359" s="100" t="s">
        <v>8215</v>
      </c>
      <c r="J359" s="100">
        <v>4</v>
      </c>
      <c r="K359" s="107"/>
    </row>
    <row r="360" ht="15" spans="1:11">
      <c r="A360" s="98" t="s">
        <v>31</v>
      </c>
      <c r="B360" s="99" t="s">
        <v>8858</v>
      </c>
      <c r="C360" s="98" t="s">
        <v>8229</v>
      </c>
      <c r="D360" s="101" t="s">
        <v>4</v>
      </c>
      <c r="E360" s="101" t="s">
        <v>8857</v>
      </c>
      <c r="F360" s="98"/>
      <c r="G360" s="98" t="s">
        <v>117</v>
      </c>
      <c r="H360" s="123" t="s">
        <v>8215</v>
      </c>
      <c r="I360" s="100" t="s">
        <v>8215</v>
      </c>
      <c r="J360" s="100">
        <v>4</v>
      </c>
      <c r="K360" s="107"/>
    </row>
    <row r="361" ht="15" spans="1:11">
      <c r="A361" s="98" t="s">
        <v>31</v>
      </c>
      <c r="B361" s="99" t="s">
        <v>8859</v>
      </c>
      <c r="C361" s="98" t="s">
        <v>8229</v>
      </c>
      <c r="D361" s="101" t="s">
        <v>4</v>
      </c>
      <c r="E361" s="101" t="s">
        <v>8857</v>
      </c>
      <c r="F361" s="98"/>
      <c r="G361" s="98" t="s">
        <v>117</v>
      </c>
      <c r="H361" s="123" t="s">
        <v>8215</v>
      </c>
      <c r="I361" s="100" t="s">
        <v>8215</v>
      </c>
      <c r="J361" s="100">
        <v>4</v>
      </c>
      <c r="K361" s="107"/>
    </row>
    <row r="362" ht="15" spans="1:11">
      <c r="A362" s="98" t="s">
        <v>31</v>
      </c>
      <c r="B362" s="99" t="s">
        <v>8860</v>
      </c>
      <c r="C362" s="98" t="s">
        <v>8229</v>
      </c>
      <c r="D362" s="101" t="s">
        <v>4</v>
      </c>
      <c r="E362" s="101" t="s">
        <v>8861</v>
      </c>
      <c r="F362" s="98"/>
      <c r="G362" s="98" t="s">
        <v>117</v>
      </c>
      <c r="H362" s="123" t="s">
        <v>8215</v>
      </c>
      <c r="I362" s="100" t="s">
        <v>8215</v>
      </c>
      <c r="J362" s="100">
        <v>4</v>
      </c>
      <c r="K362" s="107"/>
    </row>
    <row r="363" ht="15" spans="1:11">
      <c r="A363" s="98" t="s">
        <v>31</v>
      </c>
      <c r="B363" s="99" t="s">
        <v>8862</v>
      </c>
      <c r="C363" s="98" t="s">
        <v>8229</v>
      </c>
      <c r="D363" s="101" t="s">
        <v>4</v>
      </c>
      <c r="E363" s="101" t="s">
        <v>8861</v>
      </c>
      <c r="F363" s="98"/>
      <c r="G363" s="98" t="s">
        <v>117</v>
      </c>
      <c r="H363" s="123" t="s">
        <v>8215</v>
      </c>
      <c r="I363" s="100" t="s">
        <v>8215</v>
      </c>
      <c r="J363" s="100">
        <v>4</v>
      </c>
      <c r="K363" s="107"/>
    </row>
    <row r="364" ht="15" spans="1:11">
      <c r="A364" s="98" t="s">
        <v>31</v>
      </c>
      <c r="B364" s="99" t="s">
        <v>8863</v>
      </c>
      <c r="C364" s="98" t="s">
        <v>8240</v>
      </c>
      <c r="D364" s="101" t="s">
        <v>5</v>
      </c>
      <c r="E364" s="101" t="s">
        <v>8864</v>
      </c>
      <c r="F364" s="98"/>
      <c r="G364" s="98" t="s">
        <v>117</v>
      </c>
      <c r="H364" s="123" t="s">
        <v>8215</v>
      </c>
      <c r="I364" s="100" t="s">
        <v>8247</v>
      </c>
      <c r="J364" s="100">
        <v>2.5</v>
      </c>
      <c r="K364" s="107"/>
    </row>
    <row r="365" ht="15" spans="1:11">
      <c r="A365" s="98" t="s">
        <v>31</v>
      </c>
      <c r="B365" s="99" t="s">
        <v>8865</v>
      </c>
      <c r="C365" s="98" t="s">
        <v>8229</v>
      </c>
      <c r="D365" s="101" t="s">
        <v>4</v>
      </c>
      <c r="E365" s="101" t="s">
        <v>8866</v>
      </c>
      <c r="F365" s="98"/>
      <c r="G365" s="98" t="s">
        <v>117</v>
      </c>
      <c r="H365" s="123" t="s">
        <v>8215</v>
      </c>
      <c r="I365" s="100" t="s">
        <v>8215</v>
      </c>
      <c r="J365" s="100">
        <v>2.5</v>
      </c>
      <c r="K365" s="107"/>
    </row>
    <row r="366" ht="15" spans="1:11">
      <c r="A366" s="98" t="s">
        <v>31</v>
      </c>
      <c r="B366" s="99" t="s">
        <v>8867</v>
      </c>
      <c r="C366" s="98" t="s">
        <v>8229</v>
      </c>
      <c r="D366" s="101" t="s">
        <v>4</v>
      </c>
      <c r="E366" s="101" t="s">
        <v>8868</v>
      </c>
      <c r="F366" s="98"/>
      <c r="G366" s="98" t="s">
        <v>117</v>
      </c>
      <c r="H366" s="123" t="s">
        <v>8215</v>
      </c>
      <c r="I366" s="100" t="s">
        <v>8215</v>
      </c>
      <c r="J366" s="100">
        <v>6</v>
      </c>
      <c r="K366" s="107"/>
    </row>
    <row r="367" ht="15" spans="1:11">
      <c r="A367" s="98" t="s">
        <v>31</v>
      </c>
      <c r="B367" s="99" t="s">
        <v>8869</v>
      </c>
      <c r="C367" s="98" t="s">
        <v>8229</v>
      </c>
      <c r="D367" s="101" t="s">
        <v>4</v>
      </c>
      <c r="E367" s="101" t="s">
        <v>8868</v>
      </c>
      <c r="F367" s="98"/>
      <c r="G367" s="98" t="s">
        <v>117</v>
      </c>
      <c r="H367" s="123" t="s">
        <v>8215</v>
      </c>
      <c r="I367" s="100" t="s">
        <v>8215</v>
      </c>
      <c r="J367" s="100">
        <v>4</v>
      </c>
      <c r="K367" s="107"/>
    </row>
    <row r="368" ht="15" spans="1:11">
      <c r="A368" s="98" t="s">
        <v>31</v>
      </c>
      <c r="B368" s="99" t="s">
        <v>8870</v>
      </c>
      <c r="C368" s="98" t="s">
        <v>8229</v>
      </c>
      <c r="D368" s="101" t="s">
        <v>4</v>
      </c>
      <c r="E368" s="101" t="s">
        <v>8871</v>
      </c>
      <c r="F368" s="98"/>
      <c r="G368" s="98" t="s">
        <v>117</v>
      </c>
      <c r="H368" s="123" t="s">
        <v>8215</v>
      </c>
      <c r="I368" s="100" t="s">
        <v>8215</v>
      </c>
      <c r="J368" s="100">
        <v>4</v>
      </c>
      <c r="K368" s="107"/>
    </row>
    <row r="369" ht="15" spans="1:11">
      <c r="A369" s="98" t="s">
        <v>31</v>
      </c>
      <c r="B369" s="99" t="s">
        <v>8872</v>
      </c>
      <c r="C369" s="98" t="s">
        <v>8229</v>
      </c>
      <c r="D369" s="101" t="s">
        <v>4</v>
      </c>
      <c r="E369" s="101" t="s">
        <v>8873</v>
      </c>
      <c r="F369" s="98"/>
      <c r="G369" s="98" t="s">
        <v>117</v>
      </c>
      <c r="H369" s="100" t="s">
        <v>8215</v>
      </c>
      <c r="I369" s="100" t="s">
        <v>8215</v>
      </c>
      <c r="J369" s="100" t="s">
        <v>8708</v>
      </c>
      <c r="K369" s="107"/>
    </row>
    <row r="370" ht="15" spans="1:11">
      <c r="A370" s="98" t="s">
        <v>31</v>
      </c>
      <c r="B370" s="119" t="s">
        <v>8874</v>
      </c>
      <c r="C370" s="101" t="s">
        <v>8240</v>
      </c>
      <c r="D370" s="98" t="s">
        <v>4</v>
      </c>
      <c r="E370" s="98" t="s">
        <v>8873</v>
      </c>
      <c r="F370" s="98"/>
      <c r="G370" s="98" t="s">
        <v>117</v>
      </c>
      <c r="H370" s="101" t="s">
        <v>8215</v>
      </c>
      <c r="I370" s="100" t="s">
        <v>8247</v>
      </c>
      <c r="J370" s="98" t="s">
        <v>8839</v>
      </c>
      <c r="K370" s="107"/>
    </row>
    <row r="371" ht="15" spans="1:11">
      <c r="A371" s="98" t="s">
        <v>31</v>
      </c>
      <c r="B371" s="99" t="s">
        <v>8875</v>
      </c>
      <c r="C371" s="98" t="s">
        <v>8229</v>
      </c>
      <c r="D371" s="101" t="s">
        <v>4</v>
      </c>
      <c r="E371" s="101" t="s">
        <v>8876</v>
      </c>
      <c r="F371" s="98"/>
      <c r="G371" s="98" t="s">
        <v>117</v>
      </c>
      <c r="H371" s="123" t="s">
        <v>8320</v>
      </c>
      <c r="I371" s="100" t="s">
        <v>8215</v>
      </c>
      <c r="J371" s="100" t="s">
        <v>8877</v>
      </c>
      <c r="K371" s="107"/>
    </row>
    <row r="372" ht="15" spans="1:11">
      <c r="A372" s="98" t="s">
        <v>31</v>
      </c>
      <c r="B372" s="99" t="s">
        <v>8878</v>
      </c>
      <c r="C372" s="98" t="s">
        <v>8514</v>
      </c>
      <c r="D372" s="98" t="s">
        <v>4</v>
      </c>
      <c r="E372" s="98" t="s">
        <v>8876</v>
      </c>
      <c r="F372" s="98"/>
      <c r="G372" s="98" t="s">
        <v>117</v>
      </c>
      <c r="H372" s="118" t="s">
        <v>8215</v>
      </c>
      <c r="I372" s="100" t="s">
        <v>8215</v>
      </c>
      <c r="J372" s="100" t="s">
        <v>8314</v>
      </c>
      <c r="K372" s="107"/>
    </row>
    <row r="373" ht="15" spans="1:11">
      <c r="A373" s="98" t="s">
        <v>31</v>
      </c>
      <c r="B373" s="99" t="s">
        <v>8879</v>
      </c>
      <c r="C373" s="101" t="s">
        <v>8240</v>
      </c>
      <c r="D373" s="98" t="s">
        <v>5</v>
      </c>
      <c r="E373" s="98" t="s">
        <v>8880</v>
      </c>
      <c r="F373" s="98"/>
      <c r="G373" s="98" t="s">
        <v>117</v>
      </c>
      <c r="H373" s="118" t="s">
        <v>8215</v>
      </c>
      <c r="I373" s="100" t="s">
        <v>8215</v>
      </c>
      <c r="J373" s="100" t="s">
        <v>8881</v>
      </c>
      <c r="K373" s="107"/>
    </row>
    <row r="374" s="90" customFormat="1" ht="15" spans="1:11">
      <c r="A374" s="98" t="s">
        <v>31</v>
      </c>
      <c r="B374" s="99" t="s">
        <v>8882</v>
      </c>
      <c r="C374" s="101" t="s">
        <v>8293</v>
      </c>
      <c r="D374" s="98" t="s">
        <v>4</v>
      </c>
      <c r="E374" s="98" t="s">
        <v>8883</v>
      </c>
      <c r="F374" s="98"/>
      <c r="G374" s="98" t="s">
        <v>117</v>
      </c>
      <c r="H374" s="118" t="s">
        <v>8884</v>
      </c>
      <c r="I374" s="100" t="s">
        <v>8215</v>
      </c>
      <c r="J374" s="100" t="s">
        <v>8885</v>
      </c>
      <c r="K374" s="107">
        <v>2024.4</v>
      </c>
    </row>
    <row r="375" s="90" customFormat="1" ht="15" spans="1:11">
      <c r="A375" s="98" t="s">
        <v>65</v>
      </c>
      <c r="B375" s="99" t="s">
        <v>8886</v>
      </c>
      <c r="C375" s="101" t="s">
        <v>8293</v>
      </c>
      <c r="D375" s="98" t="s">
        <v>4</v>
      </c>
      <c r="E375" s="98" t="s">
        <v>8887</v>
      </c>
      <c r="F375" s="98"/>
      <c r="G375" s="98" t="s">
        <v>117</v>
      </c>
      <c r="H375" s="118" t="s">
        <v>8215</v>
      </c>
      <c r="I375" s="100" t="s">
        <v>8215</v>
      </c>
      <c r="J375" s="100" t="s">
        <v>8888</v>
      </c>
      <c r="K375" s="107">
        <v>2024.6</v>
      </c>
    </row>
    <row r="376" ht="15" spans="1:11">
      <c r="A376" s="98" t="s">
        <v>65</v>
      </c>
      <c r="B376" s="99" t="s">
        <v>8889</v>
      </c>
      <c r="C376" s="101" t="s">
        <v>8240</v>
      </c>
      <c r="D376" s="98" t="s">
        <v>4</v>
      </c>
      <c r="E376" s="98" t="s">
        <v>8890</v>
      </c>
      <c r="F376" s="98"/>
      <c r="G376" s="98" t="s">
        <v>117</v>
      </c>
      <c r="H376" s="100" t="s">
        <v>8320</v>
      </c>
      <c r="I376" s="100" t="s">
        <v>8320</v>
      </c>
      <c r="J376" s="100" t="s">
        <v>8891</v>
      </c>
      <c r="K376" s="107"/>
    </row>
    <row r="377" ht="15" spans="1:11">
      <c r="A377" s="98" t="s">
        <v>65</v>
      </c>
      <c r="B377" s="99" t="s">
        <v>8892</v>
      </c>
      <c r="C377" s="101" t="s">
        <v>8240</v>
      </c>
      <c r="D377" s="98" t="s">
        <v>4</v>
      </c>
      <c r="E377" s="98" t="s">
        <v>8893</v>
      </c>
      <c r="F377" s="98"/>
      <c r="G377" s="98" t="s">
        <v>117</v>
      </c>
      <c r="H377" s="100" t="s">
        <v>8215</v>
      </c>
      <c r="I377" s="100" t="s">
        <v>8215</v>
      </c>
      <c r="J377" s="100" t="s">
        <v>8894</v>
      </c>
      <c r="K377" s="107"/>
    </row>
    <row r="378" ht="15" spans="1:11">
      <c r="A378" s="98" t="s">
        <v>65</v>
      </c>
      <c r="B378" s="99" t="s">
        <v>8895</v>
      </c>
      <c r="C378" s="101" t="s">
        <v>8240</v>
      </c>
      <c r="D378" s="98" t="s">
        <v>4</v>
      </c>
      <c r="E378" s="98" t="s">
        <v>8893</v>
      </c>
      <c r="F378" s="98"/>
      <c r="G378" s="98" t="s">
        <v>117</v>
      </c>
      <c r="H378" s="100" t="s">
        <v>8215</v>
      </c>
      <c r="I378" s="100" t="s">
        <v>8215</v>
      </c>
      <c r="J378" s="100" t="s">
        <v>8725</v>
      </c>
      <c r="K378" s="107"/>
    </row>
    <row r="379" ht="15" spans="1:11">
      <c r="A379" s="98" t="s">
        <v>65</v>
      </c>
      <c r="B379" s="99" t="s">
        <v>8896</v>
      </c>
      <c r="C379" s="101" t="s">
        <v>8240</v>
      </c>
      <c r="D379" s="98" t="s">
        <v>4</v>
      </c>
      <c r="E379" s="98" t="s">
        <v>8897</v>
      </c>
      <c r="F379" s="98"/>
      <c r="G379" s="98" t="s">
        <v>117</v>
      </c>
      <c r="H379" s="100" t="s">
        <v>8215</v>
      </c>
      <c r="I379" s="100" t="s">
        <v>8215</v>
      </c>
      <c r="J379" s="100" t="s">
        <v>8898</v>
      </c>
      <c r="K379" s="107"/>
    </row>
    <row r="380" ht="15" spans="1:11">
      <c r="A380" s="98" t="s">
        <v>65</v>
      </c>
      <c r="B380" s="99" t="s">
        <v>8899</v>
      </c>
      <c r="C380" s="98" t="s">
        <v>8225</v>
      </c>
      <c r="D380" s="98" t="s">
        <v>4</v>
      </c>
      <c r="E380" s="98" t="s">
        <v>8897</v>
      </c>
      <c r="F380" s="98"/>
      <c r="G380" s="98" t="s">
        <v>117</v>
      </c>
      <c r="H380" s="100"/>
      <c r="I380" s="100"/>
      <c r="J380" s="100"/>
      <c r="K380" s="107"/>
    </row>
    <row r="381" s="91" customFormat="1" ht="15" spans="1:11">
      <c r="A381" s="106" t="s">
        <v>65</v>
      </c>
      <c r="B381" s="106" t="s">
        <v>8900</v>
      </c>
      <c r="C381" s="106" t="s">
        <v>8293</v>
      </c>
      <c r="D381" s="106" t="s">
        <v>4</v>
      </c>
      <c r="E381" s="106" t="s">
        <v>8901</v>
      </c>
      <c r="F381" s="106"/>
      <c r="G381" s="106" t="s">
        <v>117</v>
      </c>
      <c r="H381" s="106" t="s">
        <v>8215</v>
      </c>
      <c r="I381" s="106" t="s">
        <v>8215</v>
      </c>
      <c r="J381" s="106" t="s">
        <v>8316</v>
      </c>
      <c r="K381" s="106">
        <v>2024.7</v>
      </c>
    </row>
    <row r="382" ht="15" spans="1:11">
      <c r="A382" s="98" t="s">
        <v>65</v>
      </c>
      <c r="B382" s="99" t="s">
        <v>8902</v>
      </c>
      <c r="C382" s="98" t="s">
        <v>8225</v>
      </c>
      <c r="D382" s="98" t="s">
        <v>4</v>
      </c>
      <c r="E382" s="98" t="s">
        <v>8903</v>
      </c>
      <c r="F382" s="98"/>
      <c r="G382" s="98" t="s">
        <v>117</v>
      </c>
      <c r="H382" s="100"/>
      <c r="I382" s="100"/>
      <c r="J382" s="100" t="s">
        <v>8725</v>
      </c>
      <c r="K382" s="107"/>
    </row>
    <row r="383" s="90" customFormat="1" ht="15" spans="1:11">
      <c r="A383" s="98" t="s">
        <v>65</v>
      </c>
      <c r="B383" s="99" t="s">
        <v>8904</v>
      </c>
      <c r="C383" s="98" t="s">
        <v>8293</v>
      </c>
      <c r="D383" s="101" t="s">
        <v>4</v>
      </c>
      <c r="E383" s="101" t="s">
        <v>8903</v>
      </c>
      <c r="F383" s="98"/>
      <c r="G383" s="98" t="s">
        <v>117</v>
      </c>
      <c r="H383" s="100" t="s">
        <v>8294</v>
      </c>
      <c r="I383" s="100" t="s">
        <v>8294</v>
      </c>
      <c r="J383" s="100" t="s">
        <v>8905</v>
      </c>
      <c r="K383" s="107">
        <v>2024.6</v>
      </c>
    </row>
    <row r="384" s="90" customFormat="1" ht="15" spans="1:11">
      <c r="A384" s="98" t="s">
        <v>65</v>
      </c>
      <c r="B384" s="99" t="s">
        <v>8906</v>
      </c>
      <c r="C384" s="98" t="s">
        <v>8293</v>
      </c>
      <c r="D384" s="98" t="s">
        <v>4</v>
      </c>
      <c r="E384" s="98" t="s">
        <v>8831</v>
      </c>
      <c r="F384" s="98"/>
      <c r="G384" s="98" t="s">
        <v>117</v>
      </c>
      <c r="H384" s="100" t="s">
        <v>8215</v>
      </c>
      <c r="I384" s="100" t="s">
        <v>8215</v>
      </c>
      <c r="J384" s="100" t="s">
        <v>8907</v>
      </c>
      <c r="K384" s="107">
        <v>2024.4</v>
      </c>
    </row>
    <row r="385" s="91" customFormat="1" ht="15" spans="1:11">
      <c r="A385" s="106" t="s">
        <v>65</v>
      </c>
      <c r="B385" s="106" t="s">
        <v>8908</v>
      </c>
      <c r="C385" s="106" t="s">
        <v>8293</v>
      </c>
      <c r="D385" s="106" t="s">
        <v>4</v>
      </c>
      <c r="E385" s="106" t="s">
        <v>8909</v>
      </c>
      <c r="F385" s="106"/>
      <c r="G385" s="106" t="s">
        <v>117</v>
      </c>
      <c r="H385" s="106" t="s">
        <v>8215</v>
      </c>
      <c r="I385" s="106" t="s">
        <v>8215</v>
      </c>
      <c r="J385" s="106" t="s">
        <v>8910</v>
      </c>
      <c r="K385" s="114" t="s">
        <v>8311</v>
      </c>
    </row>
    <row r="386" s="91" customFormat="1" ht="15" spans="1:11">
      <c r="A386" s="106" t="s">
        <v>8911</v>
      </c>
      <c r="B386" s="106" t="s">
        <v>8912</v>
      </c>
      <c r="C386" s="106" t="s">
        <v>8293</v>
      </c>
      <c r="D386" s="106" t="s">
        <v>4</v>
      </c>
      <c r="E386" s="106" t="s">
        <v>7503</v>
      </c>
      <c r="F386" s="106"/>
      <c r="G386" s="106" t="s">
        <v>117</v>
      </c>
      <c r="H386" s="106" t="s">
        <v>8215</v>
      </c>
      <c r="I386" s="106" t="s">
        <v>8215</v>
      </c>
      <c r="J386" s="106" t="s">
        <v>8725</v>
      </c>
      <c r="K386" s="106">
        <v>2024.8</v>
      </c>
    </row>
    <row r="387" ht="15" spans="1:11">
      <c r="A387" s="98" t="s">
        <v>83</v>
      </c>
      <c r="B387" s="99" t="s">
        <v>8913</v>
      </c>
      <c r="C387" s="101" t="s">
        <v>8240</v>
      </c>
      <c r="D387" s="98" t="s">
        <v>4</v>
      </c>
      <c r="E387" s="98" t="s">
        <v>8914</v>
      </c>
      <c r="F387" s="98"/>
      <c r="G387" s="98" t="s">
        <v>117</v>
      </c>
      <c r="H387" s="100" t="s">
        <v>8215</v>
      </c>
      <c r="I387" s="100" t="s">
        <v>8247</v>
      </c>
      <c r="J387" s="100" t="s">
        <v>8516</v>
      </c>
      <c r="K387" s="107"/>
    </row>
    <row r="388" ht="15" spans="1:11">
      <c r="A388" s="98" t="s">
        <v>83</v>
      </c>
      <c r="B388" s="99" t="s">
        <v>8915</v>
      </c>
      <c r="C388" s="98" t="s">
        <v>8225</v>
      </c>
      <c r="D388" s="98" t="s">
        <v>4</v>
      </c>
      <c r="E388" s="98" t="s">
        <v>8916</v>
      </c>
      <c r="F388" s="98"/>
      <c r="G388" s="98" t="s">
        <v>117</v>
      </c>
      <c r="H388" s="100" t="s">
        <v>8215</v>
      </c>
      <c r="I388" s="100" t="s">
        <v>8215</v>
      </c>
      <c r="J388" s="100" t="s">
        <v>8725</v>
      </c>
      <c r="K388" s="107"/>
    </row>
    <row r="389" ht="30" spans="1:11">
      <c r="A389" s="98" t="s">
        <v>83</v>
      </c>
      <c r="B389" s="99" t="s">
        <v>8917</v>
      </c>
      <c r="C389" s="98" t="s">
        <v>8225</v>
      </c>
      <c r="D389" s="98" t="s">
        <v>5</v>
      </c>
      <c r="E389" s="98" t="s">
        <v>8918</v>
      </c>
      <c r="F389" s="98"/>
      <c r="G389" s="98" t="s">
        <v>117</v>
      </c>
      <c r="H389" s="100"/>
      <c r="I389" s="100"/>
      <c r="J389" s="100" t="s">
        <v>8591</v>
      </c>
      <c r="K389" s="107"/>
    </row>
    <row r="390" s="91" customFormat="1" ht="15" spans="1:11">
      <c r="A390" s="106" t="s">
        <v>8911</v>
      </c>
      <c r="B390" s="106" t="s">
        <v>8919</v>
      </c>
      <c r="C390" s="106" t="s">
        <v>8293</v>
      </c>
      <c r="D390" s="106" t="s">
        <v>4</v>
      </c>
      <c r="E390" s="106" t="s">
        <v>8920</v>
      </c>
      <c r="F390" s="106"/>
      <c r="G390" s="106" t="s">
        <v>117</v>
      </c>
      <c r="H390" s="106" t="s">
        <v>8215</v>
      </c>
      <c r="I390" s="106" t="s">
        <v>8215</v>
      </c>
      <c r="J390" s="106" t="s">
        <v>8921</v>
      </c>
      <c r="K390" s="106">
        <v>2024.8</v>
      </c>
    </row>
    <row r="391" ht="15" spans="1:11">
      <c r="A391" s="98" t="s">
        <v>83</v>
      </c>
      <c r="B391" s="99" t="s">
        <v>8922</v>
      </c>
      <c r="C391" s="98"/>
      <c r="D391" s="98" t="s">
        <v>4</v>
      </c>
      <c r="E391" s="98" t="s">
        <v>8923</v>
      </c>
      <c r="F391" s="98"/>
      <c r="G391" s="98" t="s">
        <v>117</v>
      </c>
      <c r="H391" s="100" t="s">
        <v>8215</v>
      </c>
      <c r="I391" s="100" t="s">
        <v>8215</v>
      </c>
      <c r="J391" s="100" t="s">
        <v>8463</v>
      </c>
      <c r="K391" s="107">
        <v>2024.1</v>
      </c>
    </row>
    <row r="392" s="89" customFormat="1" ht="15" spans="1:256">
      <c r="A392" s="98" t="s">
        <v>83</v>
      </c>
      <c r="B392" s="99" t="s">
        <v>8924</v>
      </c>
      <c r="C392" s="99" t="s">
        <v>8272</v>
      </c>
      <c r="D392" s="99" t="s">
        <v>4</v>
      </c>
      <c r="E392" s="99" t="s">
        <v>890</v>
      </c>
      <c r="F392" s="99"/>
      <c r="G392" s="99" t="s">
        <v>117</v>
      </c>
      <c r="H392" s="99" t="s">
        <v>8215</v>
      </c>
      <c r="I392" s="99" t="s">
        <v>8215</v>
      </c>
      <c r="J392" s="99" t="s">
        <v>8910</v>
      </c>
      <c r="K392" s="109">
        <v>45867</v>
      </c>
      <c r="L392" s="92"/>
      <c r="M392" s="92"/>
      <c r="N392" s="92"/>
      <c r="O392" s="92"/>
      <c r="P392" s="92"/>
      <c r="Q392" s="92"/>
      <c r="R392" s="92"/>
      <c r="S392" s="92"/>
      <c r="T392" s="92"/>
      <c r="U392" s="92"/>
      <c r="V392" s="92"/>
      <c r="W392" s="92"/>
      <c r="X392" s="92"/>
      <c r="Y392" s="92"/>
      <c r="Z392" s="92"/>
      <c r="AA392" s="92"/>
      <c r="AB392" s="92"/>
      <c r="AC392" s="92"/>
      <c r="AD392" s="92"/>
      <c r="AE392" s="92"/>
      <c r="AF392" s="92"/>
      <c r="AG392" s="92"/>
      <c r="AH392" s="92"/>
      <c r="AI392" s="92"/>
      <c r="AJ392" s="92"/>
      <c r="AK392" s="92"/>
      <c r="AL392" s="92"/>
      <c r="AM392" s="92"/>
      <c r="AN392" s="92"/>
      <c r="AO392" s="92"/>
      <c r="AP392" s="92"/>
      <c r="AQ392" s="92"/>
      <c r="AR392" s="92"/>
      <c r="AS392" s="92"/>
      <c r="AT392" s="92"/>
      <c r="AU392" s="92"/>
      <c r="AV392" s="92"/>
      <c r="AW392" s="92"/>
      <c r="AX392" s="92"/>
      <c r="AY392" s="92"/>
      <c r="AZ392" s="92"/>
      <c r="BA392" s="92"/>
      <c r="BB392" s="92"/>
      <c r="BC392" s="92"/>
      <c r="BD392" s="92"/>
      <c r="BE392" s="92"/>
      <c r="BF392" s="92"/>
      <c r="BG392" s="92"/>
      <c r="BH392" s="92"/>
      <c r="BI392" s="92"/>
      <c r="BJ392" s="92"/>
      <c r="BK392" s="92"/>
      <c r="BL392" s="92"/>
      <c r="BM392" s="92"/>
      <c r="BN392" s="92"/>
      <c r="BO392" s="92"/>
      <c r="BP392" s="92"/>
      <c r="BQ392" s="92"/>
      <c r="BR392" s="92"/>
      <c r="BS392" s="92"/>
      <c r="BT392" s="92"/>
      <c r="BU392" s="92"/>
      <c r="BV392" s="92"/>
      <c r="BW392" s="92"/>
      <c r="BX392" s="92"/>
      <c r="BY392" s="92"/>
      <c r="BZ392" s="92"/>
      <c r="CA392" s="92"/>
      <c r="CB392" s="92"/>
      <c r="CC392" s="92"/>
      <c r="CD392" s="92"/>
      <c r="CE392" s="92"/>
      <c r="CF392" s="92"/>
      <c r="CG392" s="92"/>
      <c r="CH392" s="92"/>
      <c r="CI392" s="92"/>
      <c r="CJ392" s="92"/>
      <c r="CK392" s="92"/>
      <c r="CL392" s="92"/>
      <c r="CM392" s="92"/>
      <c r="CN392" s="92"/>
      <c r="CO392" s="92"/>
      <c r="CP392" s="92"/>
      <c r="CQ392" s="92"/>
      <c r="CR392" s="92"/>
      <c r="CS392" s="92"/>
      <c r="CT392" s="92"/>
      <c r="CU392" s="92"/>
      <c r="CV392" s="92"/>
      <c r="CW392" s="92"/>
      <c r="CX392" s="92"/>
      <c r="CY392" s="92"/>
      <c r="CZ392" s="92"/>
      <c r="DA392" s="92"/>
      <c r="DB392" s="92"/>
      <c r="DC392" s="92"/>
      <c r="DD392" s="92"/>
      <c r="DE392" s="92"/>
      <c r="DF392" s="92"/>
      <c r="DG392" s="92"/>
      <c r="DH392" s="92"/>
      <c r="DI392" s="92"/>
      <c r="DJ392" s="92"/>
      <c r="DK392" s="92"/>
      <c r="DL392" s="92"/>
      <c r="DM392" s="92"/>
      <c r="DN392" s="92"/>
      <c r="DO392" s="92"/>
      <c r="DP392" s="92"/>
      <c r="DQ392" s="92"/>
      <c r="DR392" s="92"/>
      <c r="DS392" s="92"/>
      <c r="DT392" s="92"/>
      <c r="DU392" s="92"/>
      <c r="DV392" s="92"/>
      <c r="DW392" s="92"/>
      <c r="DX392" s="92"/>
      <c r="DY392" s="92"/>
      <c r="DZ392" s="92"/>
      <c r="EA392" s="92"/>
      <c r="EB392" s="92"/>
      <c r="EC392" s="92"/>
      <c r="ED392" s="92"/>
      <c r="EE392" s="92"/>
      <c r="EF392" s="92"/>
      <c r="EG392" s="92"/>
      <c r="EH392" s="92"/>
      <c r="EI392" s="92"/>
      <c r="EJ392" s="92"/>
      <c r="EK392" s="92"/>
      <c r="EL392" s="92"/>
      <c r="EM392" s="92"/>
      <c r="EN392" s="92"/>
      <c r="EO392" s="92"/>
      <c r="EP392" s="92"/>
      <c r="EQ392" s="92"/>
      <c r="ER392" s="92"/>
      <c r="ES392" s="92"/>
      <c r="ET392" s="92"/>
      <c r="EU392" s="92"/>
      <c r="EV392" s="92"/>
      <c r="EW392" s="92"/>
      <c r="EX392" s="92"/>
      <c r="EY392" s="92"/>
      <c r="EZ392" s="92"/>
      <c r="FA392" s="92"/>
      <c r="FB392" s="92"/>
      <c r="FC392" s="92"/>
      <c r="FD392" s="92"/>
      <c r="FE392" s="92"/>
      <c r="FF392" s="92"/>
      <c r="FG392" s="92"/>
      <c r="FH392" s="92"/>
      <c r="FI392" s="92"/>
      <c r="FJ392" s="92"/>
      <c r="FK392" s="92"/>
      <c r="FL392" s="92"/>
      <c r="FM392" s="92"/>
      <c r="FN392" s="92"/>
      <c r="FO392" s="92"/>
      <c r="FP392" s="92"/>
      <c r="FQ392" s="92"/>
      <c r="FR392" s="92"/>
      <c r="FS392" s="92"/>
      <c r="FT392" s="92"/>
      <c r="FU392" s="92"/>
      <c r="FV392" s="92"/>
      <c r="FW392" s="92"/>
      <c r="FX392" s="92"/>
      <c r="FY392" s="92"/>
      <c r="FZ392" s="92"/>
      <c r="GA392" s="92"/>
      <c r="GB392" s="92"/>
      <c r="GC392" s="92"/>
      <c r="GD392" s="92"/>
      <c r="GE392" s="92"/>
      <c r="GF392" s="92"/>
      <c r="GG392" s="92"/>
      <c r="GH392" s="92"/>
      <c r="GI392" s="92"/>
      <c r="GJ392" s="92"/>
      <c r="GK392" s="92"/>
      <c r="GL392" s="92"/>
      <c r="GM392" s="92"/>
      <c r="GN392" s="92"/>
      <c r="GO392" s="92"/>
      <c r="GP392" s="92"/>
      <c r="GQ392" s="92"/>
      <c r="GR392" s="92"/>
      <c r="GS392" s="92"/>
      <c r="GT392" s="92"/>
      <c r="GU392" s="92"/>
      <c r="GV392" s="92"/>
      <c r="GW392" s="92"/>
      <c r="GX392" s="92"/>
      <c r="GY392" s="92"/>
      <c r="GZ392" s="92"/>
      <c r="HA392" s="92"/>
      <c r="HB392" s="92"/>
      <c r="HC392" s="92"/>
      <c r="HD392" s="92"/>
      <c r="HE392" s="92"/>
      <c r="HF392" s="92"/>
      <c r="HG392" s="92"/>
      <c r="HH392" s="92"/>
      <c r="HI392" s="92"/>
      <c r="HJ392" s="92"/>
      <c r="HK392" s="92"/>
      <c r="HL392" s="92"/>
      <c r="HM392" s="92"/>
      <c r="HN392" s="92"/>
      <c r="HO392" s="92"/>
      <c r="HP392" s="92"/>
      <c r="HQ392" s="92"/>
      <c r="HR392" s="92"/>
      <c r="HS392" s="92"/>
      <c r="HT392" s="92"/>
      <c r="HU392" s="92"/>
      <c r="HV392" s="92"/>
      <c r="HW392" s="92"/>
      <c r="HX392" s="92"/>
      <c r="HY392" s="92"/>
      <c r="HZ392" s="92"/>
      <c r="IA392" s="92"/>
      <c r="IB392" s="92"/>
      <c r="IC392" s="92"/>
      <c r="ID392" s="92"/>
      <c r="IE392" s="92"/>
      <c r="IF392" s="92"/>
      <c r="IG392" s="92"/>
      <c r="IH392" s="92"/>
      <c r="II392" s="92"/>
      <c r="IJ392" s="92"/>
      <c r="IK392" s="92"/>
      <c r="IL392" s="92"/>
      <c r="IM392" s="92"/>
      <c r="IN392" s="92"/>
      <c r="IO392" s="92"/>
      <c r="IP392" s="92"/>
      <c r="IQ392" s="92"/>
      <c r="IR392" s="92"/>
      <c r="IS392" s="92"/>
      <c r="IT392" s="92"/>
      <c r="IU392" s="92"/>
      <c r="IV392" s="92"/>
    </row>
    <row r="393" ht="15" spans="1:11">
      <c r="A393" s="98" t="s">
        <v>46</v>
      </c>
      <c r="B393" s="99" t="s">
        <v>8925</v>
      </c>
      <c r="C393" s="101" t="s">
        <v>8258</v>
      </c>
      <c r="D393" s="101" t="s">
        <v>4</v>
      </c>
      <c r="E393" s="101" t="s">
        <v>8926</v>
      </c>
      <c r="F393" s="98"/>
      <c r="G393" s="98" t="s">
        <v>353</v>
      </c>
      <c r="H393" s="100" t="s">
        <v>8215</v>
      </c>
      <c r="I393" s="100" t="s">
        <v>8247</v>
      </c>
      <c r="J393" s="100">
        <v>2.2</v>
      </c>
      <c r="K393" s="107"/>
    </row>
    <row r="394" ht="15" spans="1:11">
      <c r="A394" s="98" t="s">
        <v>46</v>
      </c>
      <c r="B394" s="99" t="s">
        <v>8927</v>
      </c>
      <c r="C394" s="98" t="s">
        <v>8244</v>
      </c>
      <c r="D394" s="101" t="s">
        <v>4</v>
      </c>
      <c r="E394" s="101" t="s">
        <v>8928</v>
      </c>
      <c r="F394" s="98"/>
      <c r="G394" s="98" t="s">
        <v>353</v>
      </c>
      <c r="H394" s="100" t="s">
        <v>8550</v>
      </c>
      <c r="I394" s="100" t="s">
        <v>8300</v>
      </c>
      <c r="J394" s="100" t="s">
        <v>8929</v>
      </c>
      <c r="K394" s="107"/>
    </row>
    <row r="395" ht="15" spans="1:11">
      <c r="A395" s="98" t="s">
        <v>46</v>
      </c>
      <c r="B395" s="99" t="s">
        <v>8930</v>
      </c>
      <c r="C395" s="98" t="s">
        <v>8244</v>
      </c>
      <c r="D395" s="101" t="s">
        <v>4</v>
      </c>
      <c r="E395" s="101" t="s">
        <v>8928</v>
      </c>
      <c r="F395" s="98" t="s">
        <v>8419</v>
      </c>
      <c r="G395" s="98" t="s">
        <v>353</v>
      </c>
      <c r="H395" s="100" t="s">
        <v>8734</v>
      </c>
      <c r="I395" s="100" t="s">
        <v>8734</v>
      </c>
      <c r="J395" s="100"/>
      <c r="K395" s="107"/>
    </row>
    <row r="396" ht="15" spans="1:11">
      <c r="A396" s="98" t="s">
        <v>46</v>
      </c>
      <c r="B396" s="99" t="s">
        <v>8931</v>
      </c>
      <c r="C396" s="98" t="s">
        <v>8244</v>
      </c>
      <c r="D396" s="101" t="s">
        <v>4</v>
      </c>
      <c r="E396" s="101" t="s">
        <v>8928</v>
      </c>
      <c r="F396" s="98"/>
      <c r="G396" s="98" t="s">
        <v>353</v>
      </c>
      <c r="H396" s="100" t="s">
        <v>8252</v>
      </c>
      <c r="I396" s="100" t="s">
        <v>8247</v>
      </c>
      <c r="J396" s="100" t="s">
        <v>8459</v>
      </c>
      <c r="K396" s="107"/>
    </row>
    <row r="397" ht="15" spans="1:11">
      <c r="A397" s="98" t="s">
        <v>47</v>
      </c>
      <c r="B397" s="99" t="s">
        <v>8932</v>
      </c>
      <c r="C397" s="98" t="s">
        <v>8244</v>
      </c>
      <c r="D397" s="101" t="s">
        <v>4</v>
      </c>
      <c r="E397" s="101" t="s">
        <v>8933</v>
      </c>
      <c r="F397" s="98"/>
      <c r="G397" s="98" t="s">
        <v>353</v>
      </c>
      <c r="H397" s="100" t="s">
        <v>8934</v>
      </c>
      <c r="I397" s="100" t="s">
        <v>8934</v>
      </c>
      <c r="J397" s="100" t="s">
        <v>8935</v>
      </c>
      <c r="K397" s="107"/>
    </row>
    <row r="398" ht="15" spans="1:11">
      <c r="A398" s="98" t="s">
        <v>47</v>
      </c>
      <c r="B398" s="99" t="s">
        <v>8936</v>
      </c>
      <c r="C398" s="98" t="s">
        <v>8244</v>
      </c>
      <c r="D398" s="101" t="s">
        <v>4</v>
      </c>
      <c r="E398" s="101" t="s">
        <v>8937</v>
      </c>
      <c r="F398" s="98"/>
      <c r="G398" s="98" t="s">
        <v>353</v>
      </c>
      <c r="H398" s="100" t="s">
        <v>8934</v>
      </c>
      <c r="I398" s="100" t="s">
        <v>8934</v>
      </c>
      <c r="J398" s="100" t="s">
        <v>8935</v>
      </c>
      <c r="K398" s="107"/>
    </row>
    <row r="399" ht="15" spans="1:11">
      <c r="A399" s="98" t="s">
        <v>48</v>
      </c>
      <c r="B399" s="99" t="s">
        <v>8938</v>
      </c>
      <c r="C399" s="98" t="s">
        <v>8244</v>
      </c>
      <c r="D399" s="101" t="s">
        <v>4</v>
      </c>
      <c r="E399" s="101" t="s">
        <v>8939</v>
      </c>
      <c r="F399" s="98"/>
      <c r="G399" s="98" t="s">
        <v>353</v>
      </c>
      <c r="H399" s="100" t="s">
        <v>8934</v>
      </c>
      <c r="I399" s="100" t="s">
        <v>8934</v>
      </c>
      <c r="J399" s="100" t="s">
        <v>8935</v>
      </c>
      <c r="K399" s="107"/>
    </row>
    <row r="400" ht="15" spans="1:11">
      <c r="A400" s="98" t="s">
        <v>49</v>
      </c>
      <c r="B400" s="99" t="s">
        <v>8940</v>
      </c>
      <c r="C400" s="98" t="s">
        <v>8244</v>
      </c>
      <c r="D400" s="101" t="s">
        <v>4</v>
      </c>
      <c r="E400" s="101" t="s">
        <v>8941</v>
      </c>
      <c r="F400" s="98"/>
      <c r="G400" s="98" t="s">
        <v>353</v>
      </c>
      <c r="H400" s="100" t="s">
        <v>8934</v>
      </c>
      <c r="I400" s="100" t="s">
        <v>8934</v>
      </c>
      <c r="J400" s="100" t="s">
        <v>8935</v>
      </c>
      <c r="K400" s="107"/>
    </row>
    <row r="401" ht="15" spans="1:11">
      <c r="A401" s="98" t="s">
        <v>49</v>
      </c>
      <c r="B401" s="99" t="s">
        <v>8942</v>
      </c>
      <c r="C401" s="98" t="s">
        <v>8244</v>
      </c>
      <c r="D401" s="101" t="s">
        <v>4</v>
      </c>
      <c r="E401" s="101" t="s">
        <v>8943</v>
      </c>
      <c r="F401" s="98"/>
      <c r="G401" s="98" t="s">
        <v>353</v>
      </c>
      <c r="H401" s="100" t="s">
        <v>8934</v>
      </c>
      <c r="I401" s="100" t="s">
        <v>8934</v>
      </c>
      <c r="J401" s="100" t="s">
        <v>8935</v>
      </c>
      <c r="K401" s="107"/>
    </row>
    <row r="402" ht="15" spans="1:11">
      <c r="A402" s="98" t="s">
        <v>49</v>
      </c>
      <c r="B402" s="99" t="s">
        <v>8944</v>
      </c>
      <c r="C402" s="98" t="s">
        <v>8244</v>
      </c>
      <c r="D402" s="101" t="s">
        <v>4</v>
      </c>
      <c r="E402" s="101" t="s">
        <v>8945</v>
      </c>
      <c r="F402" s="98"/>
      <c r="G402" s="98" t="s">
        <v>353</v>
      </c>
      <c r="H402" s="100" t="s">
        <v>8934</v>
      </c>
      <c r="I402" s="100" t="s">
        <v>8934</v>
      </c>
      <c r="J402" s="100" t="s">
        <v>8935</v>
      </c>
      <c r="K402" s="107"/>
    </row>
    <row r="403" s="90" customFormat="1" ht="15" spans="1:11">
      <c r="A403" s="98" t="s">
        <v>49</v>
      </c>
      <c r="B403" s="99" t="s">
        <v>8946</v>
      </c>
      <c r="C403" s="98" t="s">
        <v>8293</v>
      </c>
      <c r="D403" s="101" t="s">
        <v>4</v>
      </c>
      <c r="E403" s="101" t="s">
        <v>8947</v>
      </c>
      <c r="F403" s="98"/>
      <c r="G403" s="98" t="s">
        <v>353</v>
      </c>
      <c r="H403" s="100" t="s">
        <v>8948</v>
      </c>
      <c r="I403" s="100" t="s">
        <v>8948</v>
      </c>
      <c r="J403" s="100" t="s">
        <v>8935</v>
      </c>
      <c r="K403" s="107">
        <v>2024.4</v>
      </c>
    </row>
    <row r="404" s="91" customFormat="1" ht="15" spans="1:11">
      <c r="A404" s="106" t="s">
        <v>49</v>
      </c>
      <c r="B404" s="106" t="s">
        <v>8949</v>
      </c>
      <c r="C404" s="106" t="s">
        <v>8293</v>
      </c>
      <c r="D404" s="106" t="s">
        <v>4</v>
      </c>
      <c r="E404" s="106" t="s">
        <v>421</v>
      </c>
      <c r="F404" s="106"/>
      <c r="G404" s="106" t="s">
        <v>353</v>
      </c>
      <c r="H404" s="106" t="s">
        <v>8215</v>
      </c>
      <c r="I404" s="106" t="s">
        <v>8247</v>
      </c>
      <c r="J404" s="106" t="s">
        <v>8264</v>
      </c>
      <c r="K404" s="106">
        <v>2024.9</v>
      </c>
    </row>
    <row r="405" ht="15" spans="1:11">
      <c r="A405" s="98" t="s">
        <v>47</v>
      </c>
      <c r="B405" s="99" t="s">
        <v>8950</v>
      </c>
      <c r="C405" s="98" t="s">
        <v>8244</v>
      </c>
      <c r="D405" s="101" t="s">
        <v>4</v>
      </c>
      <c r="E405" s="101" t="s">
        <v>8951</v>
      </c>
      <c r="F405" s="98"/>
      <c r="G405" s="98" t="s">
        <v>353</v>
      </c>
      <c r="H405" s="100" t="s">
        <v>8215</v>
      </c>
      <c r="I405" s="100" t="s">
        <v>8247</v>
      </c>
      <c r="J405" s="100" t="s">
        <v>8952</v>
      </c>
      <c r="K405" s="107"/>
    </row>
    <row r="406" ht="15" spans="1:11">
      <c r="A406" s="98" t="s">
        <v>47</v>
      </c>
      <c r="B406" s="99" t="s">
        <v>8953</v>
      </c>
      <c r="C406" s="98" t="s">
        <v>8244</v>
      </c>
      <c r="D406" s="101" t="s">
        <v>4</v>
      </c>
      <c r="E406" s="101" t="s">
        <v>8951</v>
      </c>
      <c r="F406" s="98"/>
      <c r="G406" s="98" t="s">
        <v>353</v>
      </c>
      <c r="H406" s="100" t="s">
        <v>8215</v>
      </c>
      <c r="I406" s="100" t="s">
        <v>8247</v>
      </c>
      <c r="J406" s="100" t="s">
        <v>8459</v>
      </c>
      <c r="K406" s="107"/>
    </row>
    <row r="407" ht="15" spans="1:11">
      <c r="A407" s="98" t="s">
        <v>47</v>
      </c>
      <c r="B407" s="99" t="s">
        <v>8954</v>
      </c>
      <c r="C407" s="98" t="s">
        <v>8244</v>
      </c>
      <c r="D407" s="101" t="s">
        <v>4</v>
      </c>
      <c r="E407" s="101" t="s">
        <v>8951</v>
      </c>
      <c r="F407" s="98"/>
      <c r="G407" s="98" t="s">
        <v>353</v>
      </c>
      <c r="H407" s="100" t="s">
        <v>8252</v>
      </c>
      <c r="I407" s="100" t="s">
        <v>8955</v>
      </c>
      <c r="J407" s="100" t="s">
        <v>8929</v>
      </c>
      <c r="K407" s="107"/>
    </row>
    <row r="408" ht="15" spans="1:11">
      <c r="A408" s="98" t="s">
        <v>47</v>
      </c>
      <c r="B408" s="99" t="s">
        <v>8956</v>
      </c>
      <c r="C408" s="98" t="s">
        <v>8244</v>
      </c>
      <c r="D408" s="101" t="s">
        <v>4</v>
      </c>
      <c r="E408" s="101" t="s">
        <v>8957</v>
      </c>
      <c r="F408" s="98"/>
      <c r="G408" s="98" t="s">
        <v>353</v>
      </c>
      <c r="H408" s="100" t="s">
        <v>8215</v>
      </c>
      <c r="I408" s="100" t="s">
        <v>8215</v>
      </c>
      <c r="J408" s="100" t="s">
        <v>8459</v>
      </c>
      <c r="K408" s="107"/>
    </row>
    <row r="409" ht="15" spans="1:11">
      <c r="A409" s="98" t="s">
        <v>47</v>
      </c>
      <c r="B409" s="99" t="s">
        <v>8958</v>
      </c>
      <c r="C409" s="98" t="s">
        <v>8244</v>
      </c>
      <c r="D409" s="101" t="s">
        <v>4</v>
      </c>
      <c r="E409" s="101" t="s">
        <v>8957</v>
      </c>
      <c r="F409" s="98" t="s">
        <v>8419</v>
      </c>
      <c r="G409" s="98" t="s">
        <v>353</v>
      </c>
      <c r="H409" s="100" t="s">
        <v>8215</v>
      </c>
      <c r="I409" s="100" t="s">
        <v>8215</v>
      </c>
      <c r="J409" s="100"/>
      <c r="K409" s="107"/>
    </row>
    <row r="410" ht="15" spans="1:11">
      <c r="A410" s="98" t="s">
        <v>48</v>
      </c>
      <c r="B410" s="99" t="s">
        <v>8959</v>
      </c>
      <c r="C410" s="98" t="s">
        <v>8244</v>
      </c>
      <c r="D410" s="101" t="s">
        <v>4</v>
      </c>
      <c r="E410" s="101" t="s">
        <v>8960</v>
      </c>
      <c r="F410" s="98"/>
      <c r="G410" s="98" t="s">
        <v>353</v>
      </c>
      <c r="H410" s="100" t="s">
        <v>8215</v>
      </c>
      <c r="I410" s="100" t="s">
        <v>8247</v>
      </c>
      <c r="J410" s="100"/>
      <c r="K410" s="107"/>
    </row>
    <row r="411" ht="15" spans="1:11">
      <c r="A411" s="98" t="s">
        <v>49</v>
      </c>
      <c r="B411" s="99" t="s">
        <v>8961</v>
      </c>
      <c r="C411" s="98" t="s">
        <v>8244</v>
      </c>
      <c r="D411" s="101" t="s">
        <v>4</v>
      </c>
      <c r="E411" s="101" t="s">
        <v>8962</v>
      </c>
      <c r="F411" s="98"/>
      <c r="G411" s="98" t="s">
        <v>353</v>
      </c>
      <c r="H411" s="100" t="s">
        <v>8215</v>
      </c>
      <c r="I411" s="100" t="s">
        <v>8247</v>
      </c>
      <c r="J411" s="100" t="s">
        <v>8278</v>
      </c>
      <c r="K411" s="107"/>
    </row>
    <row r="412" ht="15" spans="1:11">
      <c r="A412" s="98" t="s">
        <v>46</v>
      </c>
      <c r="B412" s="99" t="s">
        <v>8963</v>
      </c>
      <c r="C412" s="98" t="s">
        <v>8244</v>
      </c>
      <c r="D412" s="101" t="s">
        <v>4</v>
      </c>
      <c r="E412" s="101" t="s">
        <v>8964</v>
      </c>
      <c r="F412" s="98"/>
      <c r="G412" s="98" t="s">
        <v>353</v>
      </c>
      <c r="H412" s="100" t="s">
        <v>8252</v>
      </c>
      <c r="I412" s="100" t="s">
        <v>8215</v>
      </c>
      <c r="J412" s="100" t="s">
        <v>8459</v>
      </c>
      <c r="K412" s="107"/>
    </row>
    <row r="413" ht="15" spans="1:11">
      <c r="A413" s="98" t="s">
        <v>49</v>
      </c>
      <c r="B413" s="99" t="s">
        <v>8965</v>
      </c>
      <c r="C413" s="98" t="s">
        <v>8244</v>
      </c>
      <c r="D413" s="101" t="s">
        <v>4</v>
      </c>
      <c r="E413" s="101" t="s">
        <v>8966</v>
      </c>
      <c r="F413" s="98"/>
      <c r="G413" s="98" t="s">
        <v>353</v>
      </c>
      <c r="H413" s="100" t="s">
        <v>8252</v>
      </c>
      <c r="I413" s="100" t="s">
        <v>8247</v>
      </c>
      <c r="J413" s="100" t="s">
        <v>8967</v>
      </c>
      <c r="K413" s="107"/>
    </row>
    <row r="414" ht="15" spans="1:11">
      <c r="A414" s="98" t="s">
        <v>49</v>
      </c>
      <c r="B414" s="99" t="s">
        <v>8968</v>
      </c>
      <c r="C414" s="101" t="s">
        <v>8240</v>
      </c>
      <c r="D414" s="101" t="s">
        <v>5</v>
      </c>
      <c r="E414" s="101" t="s">
        <v>8969</v>
      </c>
      <c r="F414" s="98"/>
      <c r="G414" s="98" t="s">
        <v>353</v>
      </c>
      <c r="H414" s="100" t="s">
        <v>8215</v>
      </c>
      <c r="I414" s="100" t="s">
        <v>8247</v>
      </c>
      <c r="J414" s="100"/>
      <c r="K414" s="107"/>
    </row>
    <row r="415" ht="15" spans="1:11">
      <c r="A415" s="98" t="s">
        <v>48</v>
      </c>
      <c r="B415" s="99" t="s">
        <v>8970</v>
      </c>
      <c r="C415" s="98" t="s">
        <v>8514</v>
      </c>
      <c r="D415" s="98" t="s">
        <v>4</v>
      </c>
      <c r="E415" s="98" t="s">
        <v>8971</v>
      </c>
      <c r="F415" s="98"/>
      <c r="G415" s="98" t="s">
        <v>353</v>
      </c>
      <c r="H415" s="100" t="s">
        <v>8934</v>
      </c>
      <c r="I415" s="100" t="s">
        <v>8252</v>
      </c>
      <c r="J415" s="100">
        <v>3.8</v>
      </c>
      <c r="K415" s="107"/>
    </row>
    <row r="416" ht="15" spans="1:11">
      <c r="A416" s="98" t="s">
        <v>47</v>
      </c>
      <c r="B416" s="99" t="s">
        <v>8972</v>
      </c>
      <c r="C416" s="98" t="s">
        <v>8514</v>
      </c>
      <c r="D416" s="98" t="s">
        <v>4</v>
      </c>
      <c r="E416" s="98" t="s">
        <v>8973</v>
      </c>
      <c r="F416" s="98"/>
      <c r="G416" s="98" t="s">
        <v>353</v>
      </c>
      <c r="H416" s="118" t="s">
        <v>8320</v>
      </c>
      <c r="I416" s="100" t="s">
        <v>8247</v>
      </c>
      <c r="J416" s="100" t="s">
        <v>8974</v>
      </c>
      <c r="K416" s="107"/>
    </row>
    <row r="417" ht="15" spans="1:11">
      <c r="A417" s="98" t="s">
        <v>47</v>
      </c>
      <c r="B417" s="99" t="s">
        <v>8975</v>
      </c>
      <c r="C417" s="101" t="s">
        <v>8240</v>
      </c>
      <c r="D417" s="98" t="s">
        <v>4</v>
      </c>
      <c r="E417" s="98" t="s">
        <v>8976</v>
      </c>
      <c r="F417" s="98"/>
      <c r="G417" s="98" t="s">
        <v>353</v>
      </c>
      <c r="H417" s="118" t="s">
        <v>8215</v>
      </c>
      <c r="I417" s="100" t="s">
        <v>8215</v>
      </c>
      <c r="J417" s="100" t="s">
        <v>8977</v>
      </c>
      <c r="K417" s="107"/>
    </row>
    <row r="418" ht="15" spans="1:11">
      <c r="A418" s="98" t="s">
        <v>47</v>
      </c>
      <c r="B418" s="99" t="s">
        <v>8978</v>
      </c>
      <c r="C418" s="98" t="s">
        <v>8244</v>
      </c>
      <c r="D418" s="101" t="s">
        <v>4</v>
      </c>
      <c r="E418" s="101" t="s">
        <v>8979</v>
      </c>
      <c r="F418" s="98"/>
      <c r="G418" s="98" t="s">
        <v>353</v>
      </c>
      <c r="H418" s="100" t="s">
        <v>8215</v>
      </c>
      <c r="I418" s="100" t="s">
        <v>8247</v>
      </c>
      <c r="J418" s="100" t="s">
        <v>8459</v>
      </c>
      <c r="K418" s="107"/>
    </row>
    <row r="419" ht="30" spans="1:11">
      <c r="A419" s="98" t="s">
        <v>47</v>
      </c>
      <c r="B419" s="99" t="s">
        <v>8980</v>
      </c>
      <c r="C419" s="98" t="s">
        <v>8244</v>
      </c>
      <c r="D419" s="101" t="s">
        <v>4</v>
      </c>
      <c r="E419" s="101" t="s">
        <v>8981</v>
      </c>
      <c r="F419" s="98"/>
      <c r="G419" s="98" t="s">
        <v>353</v>
      </c>
      <c r="H419" s="100" t="s">
        <v>8215</v>
      </c>
      <c r="I419" s="100" t="s">
        <v>8215</v>
      </c>
      <c r="J419" s="100" t="s">
        <v>8459</v>
      </c>
      <c r="K419" s="107"/>
    </row>
    <row r="420" ht="15" spans="1:11">
      <c r="A420" s="98" t="s">
        <v>47</v>
      </c>
      <c r="B420" s="99" t="s">
        <v>8982</v>
      </c>
      <c r="C420" s="98" t="s">
        <v>8244</v>
      </c>
      <c r="D420" s="101" t="s">
        <v>4</v>
      </c>
      <c r="E420" s="101" t="s">
        <v>8981</v>
      </c>
      <c r="F420" s="98"/>
      <c r="G420" s="98" t="s">
        <v>353</v>
      </c>
      <c r="H420" s="100" t="s">
        <v>8215</v>
      </c>
      <c r="I420" s="100" t="s">
        <v>8215</v>
      </c>
      <c r="J420" s="100" t="s">
        <v>8983</v>
      </c>
      <c r="K420" s="107"/>
    </row>
    <row r="421" ht="15" spans="1:11">
      <c r="A421" s="98" t="s">
        <v>47</v>
      </c>
      <c r="B421" s="99" t="s">
        <v>8984</v>
      </c>
      <c r="C421" s="98" t="s">
        <v>8244</v>
      </c>
      <c r="D421" s="101" t="s">
        <v>4</v>
      </c>
      <c r="E421" s="101" t="s">
        <v>8981</v>
      </c>
      <c r="F421" s="98"/>
      <c r="G421" s="98" t="s">
        <v>353</v>
      </c>
      <c r="H421" s="100" t="s">
        <v>8215</v>
      </c>
      <c r="I421" s="100" t="s">
        <v>8215</v>
      </c>
      <c r="J421" s="100"/>
      <c r="K421" s="107"/>
    </row>
    <row r="422" ht="15" spans="1:11">
      <c r="A422" s="98" t="s">
        <v>47</v>
      </c>
      <c r="B422" s="99" t="s">
        <v>8985</v>
      </c>
      <c r="C422" s="98" t="s">
        <v>8244</v>
      </c>
      <c r="D422" s="101" t="s">
        <v>4</v>
      </c>
      <c r="E422" s="101" t="s">
        <v>8986</v>
      </c>
      <c r="F422" s="98"/>
      <c r="G422" s="98" t="s">
        <v>353</v>
      </c>
      <c r="H422" s="100" t="s">
        <v>8215</v>
      </c>
      <c r="I422" s="100" t="s">
        <v>8215</v>
      </c>
      <c r="J422" s="100" t="s">
        <v>8459</v>
      </c>
      <c r="K422" s="107"/>
    </row>
    <row r="423" ht="15" spans="1:11">
      <c r="A423" s="98" t="s">
        <v>47</v>
      </c>
      <c r="B423" s="99" t="s">
        <v>8987</v>
      </c>
      <c r="C423" s="98" t="s">
        <v>8244</v>
      </c>
      <c r="D423" s="101" t="s">
        <v>4</v>
      </c>
      <c r="E423" s="101" t="s">
        <v>8986</v>
      </c>
      <c r="F423" s="98"/>
      <c r="G423" s="98" t="s">
        <v>353</v>
      </c>
      <c r="H423" s="100" t="s">
        <v>8215</v>
      </c>
      <c r="I423" s="100" t="s">
        <v>8215</v>
      </c>
      <c r="J423" s="100" t="s">
        <v>8988</v>
      </c>
      <c r="K423" s="107"/>
    </row>
    <row r="424" ht="15" spans="1:11">
      <c r="A424" s="98" t="s">
        <v>47</v>
      </c>
      <c r="B424" s="99" t="s">
        <v>8989</v>
      </c>
      <c r="C424" s="98" t="s">
        <v>8244</v>
      </c>
      <c r="D424" s="101" t="s">
        <v>4</v>
      </c>
      <c r="E424" s="101" t="s">
        <v>8986</v>
      </c>
      <c r="F424" s="98"/>
      <c r="G424" s="98" t="s">
        <v>353</v>
      </c>
      <c r="H424" s="100" t="s">
        <v>8215</v>
      </c>
      <c r="I424" s="100" t="s">
        <v>8247</v>
      </c>
      <c r="J424" s="100" t="s">
        <v>8990</v>
      </c>
      <c r="K424" s="107"/>
    </row>
    <row r="425" ht="30" spans="1:11">
      <c r="A425" s="98" t="s">
        <v>47</v>
      </c>
      <c r="B425" s="99" t="s">
        <v>8991</v>
      </c>
      <c r="C425" s="98" t="s">
        <v>8244</v>
      </c>
      <c r="D425" s="98"/>
      <c r="E425" s="101" t="s">
        <v>8986</v>
      </c>
      <c r="F425" s="98"/>
      <c r="G425" s="98"/>
      <c r="H425" s="100" t="s">
        <v>8734</v>
      </c>
      <c r="I425" s="100" t="s">
        <v>8734</v>
      </c>
      <c r="J425" s="100"/>
      <c r="K425" s="107"/>
    </row>
    <row r="426" ht="15" spans="1:11">
      <c r="A426" s="98" t="s">
        <v>47</v>
      </c>
      <c r="B426" s="99" t="s">
        <v>8992</v>
      </c>
      <c r="C426" s="98" t="s">
        <v>8244</v>
      </c>
      <c r="D426" s="98"/>
      <c r="E426" s="101" t="s">
        <v>8986</v>
      </c>
      <c r="F426" s="98"/>
      <c r="G426" s="98"/>
      <c r="H426" s="100" t="s">
        <v>8215</v>
      </c>
      <c r="I426" s="100" t="s">
        <v>8215</v>
      </c>
      <c r="J426" s="100"/>
      <c r="K426" s="107"/>
    </row>
    <row r="427" ht="15" spans="1:11">
      <c r="A427" s="98" t="s">
        <v>47</v>
      </c>
      <c r="B427" s="99" t="s">
        <v>8993</v>
      </c>
      <c r="C427" s="98" t="s">
        <v>8244</v>
      </c>
      <c r="D427" s="98"/>
      <c r="E427" s="98" t="s">
        <v>8994</v>
      </c>
      <c r="F427" s="98"/>
      <c r="G427" s="98"/>
      <c r="H427" s="100" t="s">
        <v>8215</v>
      </c>
      <c r="I427" s="100" t="s">
        <v>8734</v>
      </c>
      <c r="J427" s="100"/>
      <c r="K427" s="107"/>
    </row>
    <row r="428" ht="15" spans="1:11">
      <c r="A428" s="98" t="s">
        <v>47</v>
      </c>
      <c r="B428" s="99" t="s">
        <v>8995</v>
      </c>
      <c r="C428" s="98" t="s">
        <v>8229</v>
      </c>
      <c r="D428" s="101" t="s">
        <v>5</v>
      </c>
      <c r="E428" s="101" t="s">
        <v>8996</v>
      </c>
      <c r="F428" s="98"/>
      <c r="G428" s="98" t="s">
        <v>353</v>
      </c>
      <c r="H428" s="100" t="s">
        <v>8215</v>
      </c>
      <c r="I428" s="100" t="s">
        <v>8247</v>
      </c>
      <c r="J428" s="100"/>
      <c r="K428" s="107"/>
    </row>
    <row r="429" ht="15" spans="1:11">
      <c r="A429" s="98" t="s">
        <v>47</v>
      </c>
      <c r="B429" s="100" t="s">
        <v>8997</v>
      </c>
      <c r="C429" s="98" t="s">
        <v>8229</v>
      </c>
      <c r="D429" s="101" t="s">
        <v>4</v>
      </c>
      <c r="E429" s="101" t="s">
        <v>8998</v>
      </c>
      <c r="F429" s="98"/>
      <c r="G429" s="98" t="s">
        <v>353</v>
      </c>
      <c r="H429" s="100" t="s">
        <v>8215</v>
      </c>
      <c r="I429" s="100" t="s">
        <v>8734</v>
      </c>
      <c r="J429" s="100"/>
      <c r="K429" s="107"/>
    </row>
    <row r="430" ht="15" spans="1:11">
      <c r="A430" s="98" t="s">
        <v>47</v>
      </c>
      <c r="B430" s="100" t="s">
        <v>8999</v>
      </c>
      <c r="C430" s="98" t="s">
        <v>8244</v>
      </c>
      <c r="D430" s="101" t="s">
        <v>4</v>
      </c>
      <c r="E430" s="101" t="s">
        <v>9000</v>
      </c>
      <c r="F430" s="98"/>
      <c r="G430" s="98" t="s">
        <v>353</v>
      </c>
      <c r="H430" s="100" t="s">
        <v>8215</v>
      </c>
      <c r="I430" s="100" t="s">
        <v>8215</v>
      </c>
      <c r="J430" s="100"/>
      <c r="K430" s="107"/>
    </row>
    <row r="431" ht="15" spans="1:11">
      <c r="A431" s="98" t="s">
        <v>47</v>
      </c>
      <c r="B431" s="99" t="s">
        <v>9001</v>
      </c>
      <c r="C431" s="98" t="s">
        <v>8244</v>
      </c>
      <c r="D431" s="101" t="s">
        <v>4</v>
      </c>
      <c r="E431" s="101" t="s">
        <v>9000</v>
      </c>
      <c r="F431" s="98"/>
      <c r="G431" s="98" t="s">
        <v>353</v>
      </c>
      <c r="H431" s="100" t="s">
        <v>8215</v>
      </c>
      <c r="I431" s="100" t="s">
        <v>8215</v>
      </c>
      <c r="J431" s="100" t="s">
        <v>8459</v>
      </c>
      <c r="K431" s="107"/>
    </row>
    <row r="432" ht="15" spans="1:11">
      <c r="A432" s="98" t="s">
        <v>47</v>
      </c>
      <c r="B432" s="99" t="s">
        <v>9002</v>
      </c>
      <c r="C432" s="98" t="s">
        <v>8240</v>
      </c>
      <c r="D432" s="101" t="s">
        <v>4</v>
      </c>
      <c r="E432" s="101" t="s">
        <v>9000</v>
      </c>
      <c r="F432" s="98" t="s">
        <v>8419</v>
      </c>
      <c r="G432" s="98" t="s">
        <v>353</v>
      </c>
      <c r="H432" s="100" t="s">
        <v>8215</v>
      </c>
      <c r="I432" s="100" t="s">
        <v>8215</v>
      </c>
      <c r="J432" s="100" t="s">
        <v>8459</v>
      </c>
      <c r="K432" s="107"/>
    </row>
    <row r="433" ht="15" spans="1:11">
      <c r="A433" s="98" t="s">
        <v>47</v>
      </c>
      <c r="B433" s="100" t="s">
        <v>9003</v>
      </c>
      <c r="C433" s="98" t="s">
        <v>8244</v>
      </c>
      <c r="D433" s="101" t="s">
        <v>4</v>
      </c>
      <c r="E433" s="101" t="s">
        <v>9004</v>
      </c>
      <c r="F433" s="98"/>
      <c r="G433" s="98" t="s">
        <v>353</v>
      </c>
      <c r="H433" s="100" t="s">
        <v>8215</v>
      </c>
      <c r="I433" s="100" t="s">
        <v>8215</v>
      </c>
      <c r="J433" s="100"/>
      <c r="K433" s="107"/>
    </row>
    <row r="434" ht="15" spans="1:11">
      <c r="A434" s="98" t="s">
        <v>47</v>
      </c>
      <c r="B434" s="99" t="s">
        <v>9005</v>
      </c>
      <c r="C434" s="98" t="s">
        <v>8229</v>
      </c>
      <c r="D434" s="101" t="s">
        <v>4</v>
      </c>
      <c r="E434" s="101" t="s">
        <v>9004</v>
      </c>
      <c r="F434" s="98"/>
      <c r="G434" s="98" t="s">
        <v>353</v>
      </c>
      <c r="H434" s="100" t="s">
        <v>8215</v>
      </c>
      <c r="I434" s="100" t="s">
        <v>8215</v>
      </c>
      <c r="J434" s="100"/>
      <c r="K434" s="107"/>
    </row>
    <row r="435" ht="15" spans="1:11">
      <c r="A435" s="98" t="s">
        <v>47</v>
      </c>
      <c r="B435" s="99" t="s">
        <v>9006</v>
      </c>
      <c r="C435" s="98" t="s">
        <v>8244</v>
      </c>
      <c r="D435" s="101" t="s">
        <v>4</v>
      </c>
      <c r="E435" s="101" t="s">
        <v>9004</v>
      </c>
      <c r="F435" s="98"/>
      <c r="G435" s="98" t="s">
        <v>353</v>
      </c>
      <c r="H435" s="100" t="s">
        <v>8215</v>
      </c>
      <c r="I435" s="100" t="s">
        <v>8215</v>
      </c>
      <c r="J435" s="100"/>
      <c r="K435" s="107"/>
    </row>
    <row r="436" ht="15" spans="1:11">
      <c r="A436" s="98" t="s">
        <v>47</v>
      </c>
      <c r="B436" s="99" t="s">
        <v>9007</v>
      </c>
      <c r="C436" s="98" t="s">
        <v>8229</v>
      </c>
      <c r="D436" s="101" t="s">
        <v>5</v>
      </c>
      <c r="E436" s="101" t="s">
        <v>9008</v>
      </c>
      <c r="F436" s="98"/>
      <c r="G436" s="98" t="s">
        <v>353</v>
      </c>
      <c r="H436" s="100" t="s">
        <v>8215</v>
      </c>
      <c r="I436" s="100"/>
      <c r="J436" s="100" t="s">
        <v>8220</v>
      </c>
      <c r="K436" s="107"/>
    </row>
    <row r="437" s="91" customFormat="1" ht="15" spans="1:11">
      <c r="A437" s="106" t="s">
        <v>47</v>
      </c>
      <c r="B437" s="106" t="s">
        <v>9009</v>
      </c>
      <c r="C437" s="106" t="s">
        <v>8293</v>
      </c>
      <c r="D437" s="106" t="s">
        <v>4</v>
      </c>
      <c r="E437" s="106" t="s">
        <v>8979</v>
      </c>
      <c r="F437" s="106"/>
      <c r="G437" s="106" t="s">
        <v>353</v>
      </c>
      <c r="H437" s="106" t="s">
        <v>9010</v>
      </c>
      <c r="I437" s="106" t="s">
        <v>9011</v>
      </c>
      <c r="J437" s="106" t="s">
        <v>9012</v>
      </c>
      <c r="K437" s="114" t="s">
        <v>8490</v>
      </c>
    </row>
    <row r="438" s="89" customFormat="1" ht="15" spans="1:11">
      <c r="A438" s="106" t="s">
        <v>47</v>
      </c>
      <c r="B438" s="106" t="s">
        <v>9013</v>
      </c>
      <c r="C438" s="106" t="s">
        <v>8293</v>
      </c>
      <c r="D438" s="106" t="s">
        <v>5</v>
      </c>
      <c r="E438" s="106" t="s">
        <v>9014</v>
      </c>
      <c r="F438" s="106"/>
      <c r="G438" s="106" t="s">
        <v>353</v>
      </c>
      <c r="H438" s="106" t="s">
        <v>9015</v>
      </c>
      <c r="I438" s="106" t="s">
        <v>8674</v>
      </c>
      <c r="J438" s="106" t="s">
        <v>9016</v>
      </c>
      <c r="K438" s="114" t="s">
        <v>8308</v>
      </c>
    </row>
    <row r="439" s="89" customFormat="1" ht="15" spans="1:11">
      <c r="A439" s="106" t="s">
        <v>47</v>
      </c>
      <c r="B439" s="106" t="s">
        <v>9017</v>
      </c>
      <c r="C439" s="106" t="s">
        <v>8293</v>
      </c>
      <c r="D439" s="106" t="s">
        <v>4</v>
      </c>
      <c r="E439" s="106" t="s">
        <v>9018</v>
      </c>
      <c r="F439" s="106"/>
      <c r="G439" s="106" t="s">
        <v>353</v>
      </c>
      <c r="H439" s="106" t="s">
        <v>9015</v>
      </c>
      <c r="I439" s="106" t="s">
        <v>8674</v>
      </c>
      <c r="J439" s="106" t="s">
        <v>9016</v>
      </c>
      <c r="K439" s="114" t="s">
        <v>8490</v>
      </c>
    </row>
    <row r="440" s="89" customFormat="1" ht="15" spans="1:11">
      <c r="A440" s="106" t="s">
        <v>47</v>
      </c>
      <c r="B440" s="106" t="s">
        <v>9019</v>
      </c>
      <c r="C440" s="106" t="s">
        <v>8293</v>
      </c>
      <c r="D440" s="106" t="s">
        <v>4</v>
      </c>
      <c r="E440" s="106" t="s">
        <v>9020</v>
      </c>
      <c r="F440" s="106"/>
      <c r="G440" s="106" t="s">
        <v>353</v>
      </c>
      <c r="H440" s="106" t="s">
        <v>9021</v>
      </c>
      <c r="I440" s="106" t="s">
        <v>9022</v>
      </c>
      <c r="J440" s="106" t="s">
        <v>8459</v>
      </c>
      <c r="K440" s="114" t="s">
        <v>8311</v>
      </c>
    </row>
    <row r="441" ht="15" spans="1:11">
      <c r="A441" s="98" t="s">
        <v>46</v>
      </c>
      <c r="B441" s="124" t="s">
        <v>9023</v>
      </c>
      <c r="C441" s="98" t="s">
        <v>8240</v>
      </c>
      <c r="D441" s="101" t="s">
        <v>4</v>
      </c>
      <c r="E441" s="101" t="s">
        <v>9024</v>
      </c>
      <c r="F441" s="98"/>
      <c r="G441" s="98" t="s">
        <v>353</v>
      </c>
      <c r="H441" s="100" t="s">
        <v>8252</v>
      </c>
      <c r="I441" s="100" t="s">
        <v>8326</v>
      </c>
      <c r="J441" s="100" t="s">
        <v>9025</v>
      </c>
      <c r="K441" s="107"/>
    </row>
    <row r="442" ht="15" spans="1:11">
      <c r="A442" s="98" t="s">
        <v>46</v>
      </c>
      <c r="B442" s="99" t="s">
        <v>9026</v>
      </c>
      <c r="C442" s="98" t="s">
        <v>8218</v>
      </c>
      <c r="D442" s="101" t="s">
        <v>4</v>
      </c>
      <c r="E442" s="101" t="s">
        <v>9027</v>
      </c>
      <c r="F442" s="101"/>
      <c r="G442" s="101" t="s">
        <v>353</v>
      </c>
      <c r="H442" s="100" t="s">
        <v>8215</v>
      </c>
      <c r="I442" s="100" t="s">
        <v>8247</v>
      </c>
      <c r="J442" s="100" t="s">
        <v>8220</v>
      </c>
      <c r="K442" s="107"/>
    </row>
    <row r="443" ht="15" spans="1:11">
      <c r="A443" s="98" t="s">
        <v>46</v>
      </c>
      <c r="B443" s="99" t="s">
        <v>9028</v>
      </c>
      <c r="C443" s="98" t="s">
        <v>8218</v>
      </c>
      <c r="D443" s="101" t="s">
        <v>4</v>
      </c>
      <c r="E443" s="101" t="s">
        <v>9029</v>
      </c>
      <c r="F443" s="101"/>
      <c r="G443" s="101" t="s">
        <v>353</v>
      </c>
      <c r="H443" s="100" t="s">
        <v>8215</v>
      </c>
      <c r="I443" s="100" t="s">
        <v>8215</v>
      </c>
      <c r="J443" s="100" t="s">
        <v>8220</v>
      </c>
      <c r="K443" s="107"/>
    </row>
    <row r="444" ht="15" spans="1:11">
      <c r="A444" s="98" t="s">
        <v>46</v>
      </c>
      <c r="B444" s="99" t="s">
        <v>9030</v>
      </c>
      <c r="C444" s="98" t="s">
        <v>8218</v>
      </c>
      <c r="D444" s="101" t="s">
        <v>4</v>
      </c>
      <c r="E444" s="101" t="s">
        <v>9031</v>
      </c>
      <c r="F444" s="101"/>
      <c r="G444" s="98" t="s">
        <v>353</v>
      </c>
      <c r="H444" s="100" t="s">
        <v>9032</v>
      </c>
      <c r="I444" s="100" t="s">
        <v>9032</v>
      </c>
      <c r="J444" s="100" t="s">
        <v>8220</v>
      </c>
      <c r="K444" s="107"/>
    </row>
    <row r="445" ht="15" spans="1:11">
      <c r="A445" s="98" t="s">
        <v>46</v>
      </c>
      <c r="B445" s="99" t="s">
        <v>9033</v>
      </c>
      <c r="C445" s="98" t="s">
        <v>8225</v>
      </c>
      <c r="D445" s="101" t="s">
        <v>5</v>
      </c>
      <c r="E445" s="101" t="s">
        <v>9034</v>
      </c>
      <c r="F445" s="101"/>
      <c r="G445" s="98" t="s">
        <v>353</v>
      </c>
      <c r="H445" s="100"/>
      <c r="I445" s="100"/>
      <c r="J445" s="100" t="s">
        <v>9035</v>
      </c>
      <c r="K445" s="107"/>
    </row>
    <row r="446" ht="15" spans="1:11">
      <c r="A446" s="98" t="s">
        <v>46</v>
      </c>
      <c r="B446" s="99" t="s">
        <v>9036</v>
      </c>
      <c r="C446" s="98" t="s">
        <v>8229</v>
      </c>
      <c r="D446" s="101" t="s">
        <v>5</v>
      </c>
      <c r="E446" s="101" t="s">
        <v>9037</v>
      </c>
      <c r="F446" s="101"/>
      <c r="G446" s="98" t="s">
        <v>353</v>
      </c>
      <c r="H446" s="100" t="s">
        <v>8215</v>
      </c>
      <c r="I446" s="100" t="s">
        <v>8247</v>
      </c>
      <c r="J446" s="100"/>
      <c r="K446" s="107"/>
    </row>
    <row r="447" ht="15" spans="1:11">
      <c r="A447" s="98" t="s">
        <v>46</v>
      </c>
      <c r="B447" s="99" t="s">
        <v>9038</v>
      </c>
      <c r="C447" s="98" t="s">
        <v>8218</v>
      </c>
      <c r="D447" s="101" t="s">
        <v>4</v>
      </c>
      <c r="E447" s="101" t="s">
        <v>9039</v>
      </c>
      <c r="F447" s="101"/>
      <c r="G447" s="98" t="s">
        <v>353</v>
      </c>
      <c r="H447" s="100" t="s">
        <v>8215</v>
      </c>
      <c r="I447" s="100" t="s">
        <v>8215</v>
      </c>
      <c r="J447" s="100" t="s">
        <v>8220</v>
      </c>
      <c r="K447" s="107"/>
    </row>
    <row r="448" ht="15" spans="1:11">
      <c r="A448" s="98" t="s">
        <v>46</v>
      </c>
      <c r="B448" s="99" t="s">
        <v>9040</v>
      </c>
      <c r="C448" s="98" t="s">
        <v>8218</v>
      </c>
      <c r="D448" s="101" t="s">
        <v>4</v>
      </c>
      <c r="E448" s="101" t="s">
        <v>9041</v>
      </c>
      <c r="F448" s="101"/>
      <c r="G448" s="98" t="s">
        <v>353</v>
      </c>
      <c r="H448" s="100" t="s">
        <v>8215</v>
      </c>
      <c r="I448" s="100" t="s">
        <v>8247</v>
      </c>
      <c r="J448" s="100" t="s">
        <v>8220</v>
      </c>
      <c r="K448" s="107"/>
    </row>
    <row r="449" ht="15" spans="1:11">
      <c r="A449" s="98" t="s">
        <v>46</v>
      </c>
      <c r="B449" s="99" t="s">
        <v>9042</v>
      </c>
      <c r="C449" s="98" t="s">
        <v>8218</v>
      </c>
      <c r="D449" s="101" t="s">
        <v>4</v>
      </c>
      <c r="E449" s="101" t="s">
        <v>9043</v>
      </c>
      <c r="F449" s="101"/>
      <c r="G449" s="98" t="s">
        <v>353</v>
      </c>
      <c r="H449" s="100" t="s">
        <v>8215</v>
      </c>
      <c r="I449" s="100" t="s">
        <v>8215</v>
      </c>
      <c r="J449" s="100" t="s">
        <v>8220</v>
      </c>
      <c r="K449" s="107"/>
    </row>
    <row r="450" s="91" customFormat="1" ht="15" spans="1:11">
      <c r="A450" s="106" t="s">
        <v>46</v>
      </c>
      <c r="B450" s="106" t="s">
        <v>9044</v>
      </c>
      <c r="C450" s="106" t="s">
        <v>8293</v>
      </c>
      <c r="D450" s="106" t="s">
        <v>4</v>
      </c>
      <c r="E450" s="106" t="s">
        <v>4008</v>
      </c>
      <c r="F450" s="106"/>
      <c r="G450" s="106" t="s">
        <v>353</v>
      </c>
      <c r="H450" s="106" t="s">
        <v>8215</v>
      </c>
      <c r="I450" s="106" t="s">
        <v>8215</v>
      </c>
      <c r="J450" s="106" t="s">
        <v>9045</v>
      </c>
      <c r="K450" s="106">
        <v>2024.9</v>
      </c>
    </row>
    <row r="451" ht="30" spans="1:11">
      <c r="A451" s="98" t="s">
        <v>49</v>
      </c>
      <c r="B451" s="99" t="s">
        <v>9046</v>
      </c>
      <c r="C451" s="98" t="s">
        <v>8218</v>
      </c>
      <c r="D451" s="101" t="s">
        <v>4</v>
      </c>
      <c r="E451" s="101" t="s">
        <v>9047</v>
      </c>
      <c r="F451" s="101"/>
      <c r="G451" s="98" t="s">
        <v>353</v>
      </c>
      <c r="H451" s="100" t="s">
        <v>8215</v>
      </c>
      <c r="I451" s="100" t="s">
        <v>8247</v>
      </c>
      <c r="J451" s="100"/>
      <c r="K451" s="107"/>
    </row>
    <row r="452" ht="15" spans="1:11">
      <c r="A452" s="98" t="s">
        <v>49</v>
      </c>
      <c r="B452" s="99" t="s">
        <v>9048</v>
      </c>
      <c r="C452" s="98" t="s">
        <v>8229</v>
      </c>
      <c r="D452" s="101" t="s">
        <v>4</v>
      </c>
      <c r="E452" s="101" t="s">
        <v>9049</v>
      </c>
      <c r="F452" s="98"/>
      <c r="G452" s="98" t="s">
        <v>353</v>
      </c>
      <c r="H452" s="100" t="s">
        <v>8215</v>
      </c>
      <c r="I452" s="100" t="s">
        <v>8247</v>
      </c>
      <c r="J452" s="100"/>
      <c r="K452" s="107"/>
    </row>
    <row r="453" ht="15" spans="1:11">
      <c r="A453" s="98" t="s">
        <v>49</v>
      </c>
      <c r="B453" s="100" t="s">
        <v>9050</v>
      </c>
      <c r="C453" s="98" t="s">
        <v>8240</v>
      </c>
      <c r="D453" s="98" t="s">
        <v>4</v>
      </c>
      <c r="E453" s="98" t="s">
        <v>9051</v>
      </c>
      <c r="F453" s="98"/>
      <c r="G453" s="98" t="s">
        <v>353</v>
      </c>
      <c r="H453" s="118" t="s">
        <v>8215</v>
      </c>
      <c r="I453" s="100" t="s">
        <v>8247</v>
      </c>
      <c r="J453" s="49"/>
      <c r="K453" s="107"/>
    </row>
    <row r="454" ht="15" spans="1:11">
      <c r="A454" s="98" t="s">
        <v>49</v>
      </c>
      <c r="B454" s="119" t="s">
        <v>9052</v>
      </c>
      <c r="C454" s="101" t="s">
        <v>8240</v>
      </c>
      <c r="D454" s="98" t="s">
        <v>4</v>
      </c>
      <c r="E454" s="98" t="s">
        <v>9053</v>
      </c>
      <c r="F454" s="98"/>
      <c r="G454" s="98" t="s">
        <v>353</v>
      </c>
      <c r="H454" s="100" t="s">
        <v>8215</v>
      </c>
      <c r="I454" s="100" t="s">
        <v>8247</v>
      </c>
      <c r="J454" s="100"/>
      <c r="K454" s="107"/>
    </row>
    <row r="455" s="89" customFormat="1" ht="15" spans="1:255">
      <c r="A455" s="98" t="s">
        <v>49</v>
      </c>
      <c r="B455" s="119" t="s">
        <v>9054</v>
      </c>
      <c r="C455" s="101" t="s">
        <v>8272</v>
      </c>
      <c r="D455" s="98" t="s">
        <v>4</v>
      </c>
      <c r="E455" s="98" t="s">
        <v>9053</v>
      </c>
      <c r="F455" s="98"/>
      <c r="G455" s="98" t="s">
        <v>353</v>
      </c>
      <c r="H455" s="100" t="s">
        <v>8215</v>
      </c>
      <c r="I455" s="100" t="s">
        <v>8215</v>
      </c>
      <c r="J455" s="100" t="s">
        <v>9055</v>
      </c>
      <c r="K455" s="107" t="s">
        <v>9056</v>
      </c>
      <c r="L455" s="90"/>
      <c r="M455" s="90"/>
      <c r="N455" s="90"/>
      <c r="O455" s="90"/>
      <c r="P455" s="90"/>
      <c r="Q455" s="90"/>
      <c r="R455" s="90"/>
      <c r="S455" s="90"/>
      <c r="T455" s="90"/>
      <c r="U455" s="90"/>
      <c r="V455" s="90"/>
      <c r="W455" s="90"/>
      <c r="X455" s="90"/>
      <c r="Y455" s="90"/>
      <c r="Z455" s="90"/>
      <c r="AA455" s="90"/>
      <c r="AB455" s="90"/>
      <c r="AC455" s="90"/>
      <c r="AD455" s="90"/>
      <c r="AE455" s="90"/>
      <c r="AF455" s="90"/>
      <c r="AG455" s="90"/>
      <c r="AH455" s="90"/>
      <c r="AI455" s="90"/>
      <c r="AJ455" s="90"/>
      <c r="AK455" s="90"/>
      <c r="AL455" s="90"/>
      <c r="AM455" s="90"/>
      <c r="AN455" s="90"/>
      <c r="AO455" s="90"/>
      <c r="AP455" s="90"/>
      <c r="AQ455" s="90"/>
      <c r="AR455" s="90"/>
      <c r="AS455" s="90"/>
      <c r="AT455" s="90"/>
      <c r="AU455" s="90"/>
      <c r="AV455" s="90"/>
      <c r="AW455" s="90"/>
      <c r="AX455" s="90"/>
      <c r="AY455" s="90"/>
      <c r="AZ455" s="90"/>
      <c r="BA455" s="90"/>
      <c r="BB455" s="90"/>
      <c r="BC455" s="90"/>
      <c r="BD455" s="90"/>
      <c r="BE455" s="90"/>
      <c r="BF455" s="90"/>
      <c r="BG455" s="90"/>
      <c r="BH455" s="90"/>
      <c r="BI455" s="90"/>
      <c r="BJ455" s="90"/>
      <c r="BK455" s="90"/>
      <c r="BL455" s="90"/>
      <c r="BM455" s="90"/>
      <c r="BN455" s="90"/>
      <c r="BO455" s="90"/>
      <c r="BP455" s="90"/>
      <c r="BQ455" s="90"/>
      <c r="BR455" s="90"/>
      <c r="BS455" s="90"/>
      <c r="BT455" s="90"/>
      <c r="BU455" s="90"/>
      <c r="BV455" s="90"/>
      <c r="BW455" s="90"/>
      <c r="BX455" s="90"/>
      <c r="BY455" s="90"/>
      <c r="BZ455" s="90"/>
      <c r="CA455" s="90"/>
      <c r="CB455" s="90"/>
      <c r="CC455" s="90"/>
      <c r="CD455" s="90"/>
      <c r="CE455" s="90"/>
      <c r="CF455" s="90"/>
      <c r="CG455" s="90"/>
      <c r="CH455" s="90"/>
      <c r="CI455" s="90"/>
      <c r="CJ455" s="90"/>
      <c r="CK455" s="90"/>
      <c r="CL455" s="90"/>
      <c r="CM455" s="90"/>
      <c r="CN455" s="90"/>
      <c r="CO455" s="90"/>
      <c r="CP455" s="90"/>
      <c r="CQ455" s="90"/>
      <c r="CR455" s="90"/>
      <c r="CS455" s="90"/>
      <c r="CT455" s="90"/>
      <c r="CU455" s="90"/>
      <c r="CV455" s="90"/>
      <c r="CW455" s="90"/>
      <c r="CX455" s="90"/>
      <c r="CY455" s="90"/>
      <c r="CZ455" s="90"/>
      <c r="DA455" s="90"/>
      <c r="DB455" s="90"/>
      <c r="DC455" s="90"/>
      <c r="DD455" s="90"/>
      <c r="DE455" s="90"/>
      <c r="DF455" s="90"/>
      <c r="DG455" s="90"/>
      <c r="DH455" s="90"/>
      <c r="DI455" s="90"/>
      <c r="DJ455" s="90"/>
      <c r="DK455" s="90"/>
      <c r="DL455" s="90"/>
      <c r="DM455" s="90"/>
      <c r="DN455" s="90"/>
      <c r="DO455" s="90"/>
      <c r="DP455" s="90"/>
      <c r="DQ455" s="90"/>
      <c r="DR455" s="90"/>
      <c r="DS455" s="90"/>
      <c r="DT455" s="90"/>
      <c r="DU455" s="90"/>
      <c r="DV455" s="90"/>
      <c r="DW455" s="90"/>
      <c r="DX455" s="90"/>
      <c r="DY455" s="90"/>
      <c r="DZ455" s="90"/>
      <c r="EA455" s="90"/>
      <c r="EB455" s="90"/>
      <c r="EC455" s="90"/>
      <c r="ED455" s="90"/>
      <c r="EE455" s="90"/>
      <c r="EF455" s="90"/>
      <c r="EG455" s="90"/>
      <c r="EH455" s="90"/>
      <c r="EI455" s="90"/>
      <c r="EJ455" s="90"/>
      <c r="EK455" s="90"/>
      <c r="EL455" s="90"/>
      <c r="EM455" s="90"/>
      <c r="EN455" s="90"/>
      <c r="EO455" s="90"/>
      <c r="EP455" s="90"/>
      <c r="EQ455" s="90"/>
      <c r="ER455" s="90"/>
      <c r="ES455" s="90"/>
      <c r="ET455" s="90"/>
      <c r="EU455" s="90"/>
      <c r="EV455" s="90"/>
      <c r="EW455" s="90"/>
      <c r="EX455" s="90"/>
      <c r="EY455" s="90"/>
      <c r="EZ455" s="90"/>
      <c r="FA455" s="90"/>
      <c r="FB455" s="90"/>
      <c r="FC455" s="90"/>
      <c r="FD455" s="90"/>
      <c r="FE455" s="90"/>
      <c r="FF455" s="90"/>
      <c r="FG455" s="90"/>
      <c r="FH455" s="90"/>
      <c r="FI455" s="90"/>
      <c r="FJ455" s="90"/>
      <c r="FK455" s="90"/>
      <c r="FL455" s="90"/>
      <c r="FM455" s="90"/>
      <c r="FN455" s="90"/>
      <c r="FO455" s="90"/>
      <c r="FP455" s="90"/>
      <c r="FQ455" s="90"/>
      <c r="FR455" s="90"/>
      <c r="FS455" s="90"/>
      <c r="FT455" s="90"/>
      <c r="FU455" s="90"/>
      <c r="FV455" s="90"/>
      <c r="FW455" s="90"/>
      <c r="FX455" s="90"/>
      <c r="FY455" s="90"/>
      <c r="FZ455" s="90"/>
      <c r="GA455" s="90"/>
      <c r="GB455" s="90"/>
      <c r="GC455" s="90"/>
      <c r="GD455" s="90"/>
      <c r="GE455" s="90"/>
      <c r="GF455" s="90"/>
      <c r="GG455" s="90"/>
      <c r="GH455" s="90"/>
      <c r="GI455" s="90"/>
      <c r="GJ455" s="90"/>
      <c r="GK455" s="90"/>
      <c r="GL455" s="90"/>
      <c r="GM455" s="90"/>
      <c r="GN455" s="90"/>
      <c r="GO455" s="90"/>
      <c r="GP455" s="90"/>
      <c r="GQ455" s="90"/>
      <c r="GR455" s="90"/>
      <c r="GS455" s="90"/>
      <c r="GT455" s="90"/>
      <c r="GU455" s="90"/>
      <c r="GV455" s="90"/>
      <c r="GW455" s="90"/>
      <c r="GX455" s="90"/>
      <c r="GY455" s="90"/>
      <c r="GZ455" s="90"/>
      <c r="HA455" s="90"/>
      <c r="HB455" s="90"/>
      <c r="HC455" s="90"/>
      <c r="HD455" s="90"/>
      <c r="HE455" s="90"/>
      <c r="HF455" s="90"/>
      <c r="HG455" s="90"/>
      <c r="HH455" s="90"/>
      <c r="HI455" s="90"/>
      <c r="HJ455" s="90"/>
      <c r="HK455" s="90"/>
      <c r="HL455" s="90"/>
      <c r="HM455" s="90"/>
      <c r="HN455" s="90"/>
      <c r="HO455" s="90"/>
      <c r="HP455" s="90"/>
      <c r="HQ455" s="90"/>
      <c r="HR455" s="90"/>
      <c r="HS455" s="90"/>
      <c r="HT455" s="90"/>
      <c r="HU455" s="90"/>
      <c r="HV455" s="90"/>
      <c r="HW455" s="90"/>
      <c r="HX455" s="90"/>
      <c r="HY455" s="90"/>
      <c r="HZ455" s="90"/>
      <c r="IA455" s="90"/>
      <c r="IB455" s="90"/>
      <c r="IC455" s="90"/>
      <c r="ID455" s="90"/>
      <c r="IE455" s="90"/>
      <c r="IF455" s="90"/>
      <c r="IG455" s="90"/>
      <c r="IH455" s="90"/>
      <c r="II455" s="90"/>
      <c r="IJ455" s="90"/>
      <c r="IK455" s="90"/>
      <c r="IL455" s="90"/>
      <c r="IM455" s="90"/>
      <c r="IN455" s="90"/>
      <c r="IO455" s="90"/>
      <c r="IP455" s="90"/>
      <c r="IQ455" s="90"/>
      <c r="IR455" s="90"/>
      <c r="IS455" s="90"/>
      <c r="IT455" s="90"/>
      <c r="IU455" s="90"/>
    </row>
    <row r="456" ht="15" spans="1:11">
      <c r="A456" s="98" t="s">
        <v>49</v>
      </c>
      <c r="B456" s="117" t="s">
        <v>9057</v>
      </c>
      <c r="C456" s="98" t="s">
        <v>8514</v>
      </c>
      <c r="D456" s="98" t="s">
        <v>4</v>
      </c>
      <c r="E456" s="98" t="s">
        <v>9058</v>
      </c>
      <c r="F456" s="98"/>
      <c r="G456" s="98" t="s">
        <v>353</v>
      </c>
      <c r="H456" s="118" t="s">
        <v>8215</v>
      </c>
      <c r="I456" s="100" t="s">
        <v>8215</v>
      </c>
      <c r="J456" s="100" t="s">
        <v>9059</v>
      </c>
      <c r="K456" s="107"/>
    </row>
    <row r="457" ht="15" spans="1:11">
      <c r="A457" s="98" t="s">
        <v>49</v>
      </c>
      <c r="B457" s="117" t="s">
        <v>9060</v>
      </c>
      <c r="C457" s="98" t="s">
        <v>8514</v>
      </c>
      <c r="D457" s="98" t="s">
        <v>4</v>
      </c>
      <c r="E457" s="98" t="s">
        <v>9061</v>
      </c>
      <c r="F457" s="98"/>
      <c r="G457" s="98" t="s">
        <v>353</v>
      </c>
      <c r="H457" s="118" t="s">
        <v>8215</v>
      </c>
      <c r="I457" s="100" t="s">
        <v>8247</v>
      </c>
      <c r="J457" s="100" t="s">
        <v>9062</v>
      </c>
      <c r="K457" s="107"/>
    </row>
    <row r="458" ht="15" spans="1:11">
      <c r="A458" s="98" t="s">
        <v>49</v>
      </c>
      <c r="B458" s="117" t="s">
        <v>9063</v>
      </c>
      <c r="C458" s="98" t="s">
        <v>8514</v>
      </c>
      <c r="D458" s="98" t="s">
        <v>4</v>
      </c>
      <c r="E458" s="98" t="s">
        <v>9064</v>
      </c>
      <c r="F458" s="98"/>
      <c r="G458" s="98" t="s">
        <v>353</v>
      </c>
      <c r="H458" s="118" t="s">
        <v>8215</v>
      </c>
      <c r="I458" s="100" t="s">
        <v>8247</v>
      </c>
      <c r="J458" s="100" t="s">
        <v>9065</v>
      </c>
      <c r="K458" s="107"/>
    </row>
    <row r="459" ht="15" spans="1:11">
      <c r="A459" s="98" t="s">
        <v>49</v>
      </c>
      <c r="B459" s="117" t="s">
        <v>9066</v>
      </c>
      <c r="C459" s="98" t="s">
        <v>8514</v>
      </c>
      <c r="D459" s="98" t="s">
        <v>4</v>
      </c>
      <c r="E459" s="98" t="s">
        <v>9067</v>
      </c>
      <c r="F459" s="98"/>
      <c r="G459" s="98" t="s">
        <v>353</v>
      </c>
      <c r="H459" s="118" t="s">
        <v>8215</v>
      </c>
      <c r="I459" s="100" t="s">
        <v>8215</v>
      </c>
      <c r="J459" s="100" t="s">
        <v>9068</v>
      </c>
      <c r="K459" s="107"/>
    </row>
    <row r="460" ht="15" spans="1:11">
      <c r="A460" s="98" t="s">
        <v>49</v>
      </c>
      <c r="B460" s="117" t="s">
        <v>9069</v>
      </c>
      <c r="C460" s="98" t="s">
        <v>8514</v>
      </c>
      <c r="D460" s="98" t="s">
        <v>4</v>
      </c>
      <c r="E460" s="98" t="s">
        <v>9070</v>
      </c>
      <c r="F460" s="98"/>
      <c r="G460" s="98" t="s">
        <v>353</v>
      </c>
      <c r="H460" s="118" t="s">
        <v>8215</v>
      </c>
      <c r="I460" s="100" t="s">
        <v>8247</v>
      </c>
      <c r="J460" s="49" t="s">
        <v>9071</v>
      </c>
      <c r="K460" s="107"/>
    </row>
    <row r="461" ht="15" spans="1:11">
      <c r="A461" s="98" t="s">
        <v>49</v>
      </c>
      <c r="B461" s="117" t="s">
        <v>9072</v>
      </c>
      <c r="C461" s="98" t="s">
        <v>8514</v>
      </c>
      <c r="D461" s="98" t="s">
        <v>4</v>
      </c>
      <c r="E461" s="98" t="s">
        <v>9073</v>
      </c>
      <c r="F461" s="98"/>
      <c r="G461" s="98" t="s">
        <v>353</v>
      </c>
      <c r="H461" s="118" t="s">
        <v>8215</v>
      </c>
      <c r="I461" s="100" t="s">
        <v>8215</v>
      </c>
      <c r="J461" s="49"/>
      <c r="K461" s="107"/>
    </row>
    <row r="462" ht="15" spans="1:11">
      <c r="A462" s="98" t="s">
        <v>49</v>
      </c>
      <c r="B462" s="117" t="s">
        <v>9074</v>
      </c>
      <c r="C462" s="98" t="s">
        <v>8225</v>
      </c>
      <c r="D462" s="98" t="s">
        <v>4</v>
      </c>
      <c r="E462" s="98" t="s">
        <v>9075</v>
      </c>
      <c r="F462" s="98"/>
      <c r="G462" s="98" t="s">
        <v>353</v>
      </c>
      <c r="H462" s="118"/>
      <c r="I462" s="100"/>
      <c r="J462" s="49" t="s">
        <v>9076</v>
      </c>
      <c r="K462" s="107"/>
    </row>
    <row r="463" ht="15" spans="1:11">
      <c r="A463" s="98" t="s">
        <v>46</v>
      </c>
      <c r="B463" s="99" t="s">
        <v>9077</v>
      </c>
      <c r="C463" s="98" t="s">
        <v>8218</v>
      </c>
      <c r="D463" s="101" t="s">
        <v>4</v>
      </c>
      <c r="E463" s="101" t="s">
        <v>9078</v>
      </c>
      <c r="F463" s="101"/>
      <c r="G463" s="98" t="s">
        <v>353</v>
      </c>
      <c r="H463" s="100" t="s">
        <v>8215</v>
      </c>
      <c r="I463" s="100" t="s">
        <v>8247</v>
      </c>
      <c r="J463" s="100"/>
      <c r="K463" s="107"/>
    </row>
    <row r="464" ht="15" spans="1:11">
      <c r="A464" s="98" t="s">
        <v>46</v>
      </c>
      <c r="B464" s="99" t="s">
        <v>9079</v>
      </c>
      <c r="C464" s="98" t="s">
        <v>8218</v>
      </c>
      <c r="D464" s="101" t="s">
        <v>4</v>
      </c>
      <c r="E464" s="101" t="s">
        <v>9078</v>
      </c>
      <c r="F464" s="101"/>
      <c r="G464" s="98" t="s">
        <v>353</v>
      </c>
      <c r="H464" s="100" t="s">
        <v>8215</v>
      </c>
      <c r="I464" s="100" t="s">
        <v>8247</v>
      </c>
      <c r="J464" s="100" t="s">
        <v>8247</v>
      </c>
      <c r="K464" s="107"/>
    </row>
    <row r="465" ht="15" spans="1:11">
      <c r="A465" s="98" t="s">
        <v>47</v>
      </c>
      <c r="B465" s="99" t="s">
        <v>9080</v>
      </c>
      <c r="C465" s="98" t="s">
        <v>8218</v>
      </c>
      <c r="D465" s="101" t="s">
        <v>4</v>
      </c>
      <c r="E465" s="101" t="s">
        <v>9081</v>
      </c>
      <c r="F465" s="101"/>
      <c r="G465" s="98" t="s">
        <v>353</v>
      </c>
      <c r="H465" s="100" t="s">
        <v>8215</v>
      </c>
      <c r="I465" s="100" t="s">
        <v>8215</v>
      </c>
      <c r="J465" s="100">
        <v>3.4</v>
      </c>
      <c r="K465" s="107"/>
    </row>
    <row r="466" ht="15" spans="1:11">
      <c r="A466" s="98" t="s">
        <v>46</v>
      </c>
      <c r="B466" s="99" t="s">
        <v>9082</v>
      </c>
      <c r="C466" s="98" t="s">
        <v>8218</v>
      </c>
      <c r="D466" s="101" t="s">
        <v>4</v>
      </c>
      <c r="E466" s="101" t="s">
        <v>9083</v>
      </c>
      <c r="F466" s="101"/>
      <c r="G466" s="98" t="s">
        <v>353</v>
      </c>
      <c r="H466" s="100" t="s">
        <v>8215</v>
      </c>
      <c r="I466" s="100" t="s">
        <v>8247</v>
      </c>
      <c r="J466" s="100" t="s">
        <v>8247</v>
      </c>
      <c r="K466" s="107"/>
    </row>
    <row r="467" ht="15" spans="1:11">
      <c r="A467" s="98" t="s">
        <v>46</v>
      </c>
      <c r="B467" s="99" t="s">
        <v>9084</v>
      </c>
      <c r="C467" s="98" t="s">
        <v>8218</v>
      </c>
      <c r="D467" s="101" t="s">
        <v>4</v>
      </c>
      <c r="E467" s="101" t="s">
        <v>9085</v>
      </c>
      <c r="F467" s="101"/>
      <c r="G467" s="98" t="s">
        <v>353</v>
      </c>
      <c r="H467" s="100" t="s">
        <v>8215</v>
      </c>
      <c r="I467" s="100" t="s">
        <v>8215</v>
      </c>
      <c r="J467" s="100" t="s">
        <v>8459</v>
      </c>
      <c r="K467" s="107"/>
    </row>
    <row r="468" ht="15" spans="1:11">
      <c r="A468" s="98" t="s">
        <v>46</v>
      </c>
      <c r="B468" s="99" t="s">
        <v>9086</v>
      </c>
      <c r="C468" s="98" t="s">
        <v>8218</v>
      </c>
      <c r="D468" s="101" t="s">
        <v>4</v>
      </c>
      <c r="E468" s="101" t="s">
        <v>9085</v>
      </c>
      <c r="F468" s="101"/>
      <c r="G468" s="98" t="s">
        <v>353</v>
      </c>
      <c r="H468" s="100" t="s">
        <v>8215</v>
      </c>
      <c r="I468" s="100" t="s">
        <v>8247</v>
      </c>
      <c r="J468" s="100" t="s">
        <v>8247</v>
      </c>
      <c r="K468" s="107"/>
    </row>
    <row r="469" ht="15" spans="1:11">
      <c r="A469" s="98" t="s">
        <v>46</v>
      </c>
      <c r="B469" s="99" t="s">
        <v>9087</v>
      </c>
      <c r="C469" s="98" t="s">
        <v>8218</v>
      </c>
      <c r="D469" s="101" t="s">
        <v>4</v>
      </c>
      <c r="E469" s="101" t="s">
        <v>9085</v>
      </c>
      <c r="F469" s="101" t="s">
        <v>9088</v>
      </c>
      <c r="G469" s="98" t="s">
        <v>353</v>
      </c>
      <c r="H469" s="100" t="s">
        <v>8215</v>
      </c>
      <c r="I469" s="100" t="s">
        <v>8247</v>
      </c>
      <c r="J469" s="100" t="s">
        <v>8459</v>
      </c>
      <c r="K469" s="107"/>
    </row>
    <row r="470" ht="15" spans="1:11">
      <c r="A470" s="98" t="s">
        <v>46</v>
      </c>
      <c r="B470" s="99" t="s">
        <v>9089</v>
      </c>
      <c r="C470" s="98" t="s">
        <v>8218</v>
      </c>
      <c r="D470" s="101" t="s">
        <v>4</v>
      </c>
      <c r="E470" s="101" t="s">
        <v>9085</v>
      </c>
      <c r="F470" s="101" t="s">
        <v>9090</v>
      </c>
      <c r="G470" s="98" t="s">
        <v>353</v>
      </c>
      <c r="H470" s="100" t="s">
        <v>8215</v>
      </c>
      <c r="I470" s="100" t="s">
        <v>8247</v>
      </c>
      <c r="J470" s="100">
        <v>2.5</v>
      </c>
      <c r="K470" s="107"/>
    </row>
    <row r="471" ht="15" spans="1:11">
      <c r="A471" s="98" t="s">
        <v>46</v>
      </c>
      <c r="B471" s="99" t="s">
        <v>9091</v>
      </c>
      <c r="C471" s="98" t="s">
        <v>8218</v>
      </c>
      <c r="D471" s="101" t="s">
        <v>4</v>
      </c>
      <c r="E471" s="101" t="s">
        <v>9092</v>
      </c>
      <c r="F471" s="101"/>
      <c r="G471" s="101" t="s">
        <v>353</v>
      </c>
      <c r="H471" s="100" t="s">
        <v>8215</v>
      </c>
      <c r="I471" s="100" t="s">
        <v>8247</v>
      </c>
      <c r="J471" s="100" t="s">
        <v>8459</v>
      </c>
      <c r="K471" s="107"/>
    </row>
    <row r="472" ht="15" spans="1:11">
      <c r="A472" s="98" t="s">
        <v>47</v>
      </c>
      <c r="B472" s="99" t="s">
        <v>9093</v>
      </c>
      <c r="C472" s="98" t="s">
        <v>8218</v>
      </c>
      <c r="D472" s="101" t="s">
        <v>4</v>
      </c>
      <c r="E472" s="101" t="s">
        <v>9020</v>
      </c>
      <c r="F472" s="101"/>
      <c r="G472" s="98" t="s">
        <v>353</v>
      </c>
      <c r="H472" s="100" t="s">
        <v>8320</v>
      </c>
      <c r="I472" s="100" t="s">
        <v>8320</v>
      </c>
      <c r="J472" s="100" t="s">
        <v>8459</v>
      </c>
      <c r="K472" s="107"/>
    </row>
    <row r="473" ht="15" spans="1:11">
      <c r="A473" s="98" t="s">
        <v>47</v>
      </c>
      <c r="B473" s="99" t="s">
        <v>9094</v>
      </c>
      <c r="C473" s="98" t="s">
        <v>8218</v>
      </c>
      <c r="D473" s="101" t="s">
        <v>4</v>
      </c>
      <c r="E473" s="101" t="s">
        <v>9095</v>
      </c>
      <c r="F473" s="101"/>
      <c r="G473" s="98" t="s">
        <v>353</v>
      </c>
      <c r="H473" s="100" t="s">
        <v>8215</v>
      </c>
      <c r="I473" s="100" t="s">
        <v>8247</v>
      </c>
      <c r="J473" s="100" t="s">
        <v>8459</v>
      </c>
      <c r="K473" s="107"/>
    </row>
    <row r="474" ht="15" spans="1:11">
      <c r="A474" s="98" t="s">
        <v>47</v>
      </c>
      <c r="B474" s="99" t="s">
        <v>9096</v>
      </c>
      <c r="C474" s="98" t="s">
        <v>8218</v>
      </c>
      <c r="D474" s="101" t="s">
        <v>4</v>
      </c>
      <c r="E474" s="101" t="s">
        <v>9095</v>
      </c>
      <c r="F474" s="101"/>
      <c r="G474" s="98" t="s">
        <v>353</v>
      </c>
      <c r="H474" s="100" t="s">
        <v>8215</v>
      </c>
      <c r="I474" s="100" t="s">
        <v>8247</v>
      </c>
      <c r="J474" s="100">
        <v>3.4</v>
      </c>
      <c r="K474" s="107"/>
    </row>
    <row r="475" ht="15" spans="1:11">
      <c r="A475" s="98" t="s">
        <v>47</v>
      </c>
      <c r="B475" s="99" t="s">
        <v>9097</v>
      </c>
      <c r="C475" s="98" t="s">
        <v>8218</v>
      </c>
      <c r="D475" s="101" t="s">
        <v>4</v>
      </c>
      <c r="E475" s="101" t="s">
        <v>9095</v>
      </c>
      <c r="F475" s="101"/>
      <c r="G475" s="98" t="s">
        <v>353</v>
      </c>
      <c r="H475" s="100" t="s">
        <v>8215</v>
      </c>
      <c r="I475" s="100" t="s">
        <v>8247</v>
      </c>
      <c r="J475" s="100">
        <v>3.4</v>
      </c>
      <c r="K475" s="107"/>
    </row>
    <row r="476" ht="15" spans="1:11">
      <c r="A476" s="98" t="s">
        <v>47</v>
      </c>
      <c r="B476" s="99" t="s">
        <v>9098</v>
      </c>
      <c r="C476" s="98" t="s">
        <v>8218</v>
      </c>
      <c r="D476" s="101" t="s">
        <v>4</v>
      </c>
      <c r="E476" s="101" t="s">
        <v>9095</v>
      </c>
      <c r="F476" s="101" t="s">
        <v>8419</v>
      </c>
      <c r="G476" s="98" t="s">
        <v>353</v>
      </c>
      <c r="H476" s="100" t="s">
        <v>8215</v>
      </c>
      <c r="I476" s="100" t="s">
        <v>8247</v>
      </c>
      <c r="J476" s="100"/>
      <c r="K476" s="107"/>
    </row>
    <row r="477" ht="15" spans="1:11">
      <c r="A477" s="98" t="s">
        <v>48</v>
      </c>
      <c r="B477" s="99" t="s">
        <v>9099</v>
      </c>
      <c r="C477" s="98" t="s">
        <v>8218</v>
      </c>
      <c r="D477" s="101" t="s">
        <v>4</v>
      </c>
      <c r="E477" s="101" t="s">
        <v>9100</v>
      </c>
      <c r="F477" s="101"/>
      <c r="G477" s="98" t="s">
        <v>353</v>
      </c>
      <c r="H477" s="100" t="s">
        <v>8215</v>
      </c>
      <c r="I477" s="100" t="s">
        <v>8215</v>
      </c>
      <c r="J477" s="100" t="s">
        <v>8459</v>
      </c>
      <c r="K477" s="107"/>
    </row>
    <row r="478" ht="15" spans="1:11">
      <c r="A478" s="98" t="s">
        <v>47</v>
      </c>
      <c r="B478" s="99" t="s">
        <v>9101</v>
      </c>
      <c r="C478" s="98" t="s">
        <v>8218</v>
      </c>
      <c r="D478" s="101" t="s">
        <v>4</v>
      </c>
      <c r="E478" s="101" t="s">
        <v>9102</v>
      </c>
      <c r="F478" s="98"/>
      <c r="G478" s="98" t="s">
        <v>353</v>
      </c>
      <c r="H478" s="100" t="s">
        <v>8252</v>
      </c>
      <c r="I478" s="100" t="s">
        <v>8247</v>
      </c>
      <c r="J478" s="100"/>
      <c r="K478" s="107"/>
    </row>
    <row r="479" ht="15" spans="1:11">
      <c r="A479" s="98" t="s">
        <v>48</v>
      </c>
      <c r="B479" s="100" t="s">
        <v>9103</v>
      </c>
      <c r="C479" s="98" t="s">
        <v>8218</v>
      </c>
      <c r="D479" s="101" t="s">
        <v>4</v>
      </c>
      <c r="E479" s="101" t="s">
        <v>9104</v>
      </c>
      <c r="F479" s="101"/>
      <c r="G479" s="101" t="s">
        <v>353</v>
      </c>
      <c r="H479" s="100" t="s">
        <v>8215</v>
      </c>
      <c r="I479" s="100" t="s">
        <v>8247</v>
      </c>
      <c r="J479" s="100" t="s">
        <v>8459</v>
      </c>
      <c r="K479" s="107"/>
    </row>
    <row r="480" ht="15" spans="1:11">
      <c r="A480" s="98" t="s">
        <v>48</v>
      </c>
      <c r="B480" s="100" t="s">
        <v>9105</v>
      </c>
      <c r="C480" s="98" t="s">
        <v>8225</v>
      </c>
      <c r="D480" s="101" t="s">
        <v>4</v>
      </c>
      <c r="E480" s="101" t="s">
        <v>9104</v>
      </c>
      <c r="F480" s="101"/>
      <c r="G480" s="101" t="s">
        <v>353</v>
      </c>
      <c r="H480" s="100"/>
      <c r="I480" s="100"/>
      <c r="J480" s="100" t="s">
        <v>8881</v>
      </c>
      <c r="K480" s="107"/>
    </row>
    <row r="481" s="93" customFormat="1" ht="30" spans="1:256">
      <c r="A481" s="99" t="s">
        <v>48</v>
      </c>
      <c r="B481" s="99" t="s">
        <v>9106</v>
      </c>
      <c r="C481" s="99" t="s">
        <v>8272</v>
      </c>
      <c r="D481" s="99" t="s">
        <v>5</v>
      </c>
      <c r="E481" s="99" t="s">
        <v>9107</v>
      </c>
      <c r="F481" s="99" t="s">
        <v>9108</v>
      </c>
      <c r="G481" s="99" t="s">
        <v>353</v>
      </c>
      <c r="H481" s="99" t="s">
        <v>8252</v>
      </c>
      <c r="I481" s="99" t="s">
        <v>8326</v>
      </c>
      <c r="J481" s="99" t="s">
        <v>9109</v>
      </c>
      <c r="K481" s="99" t="s">
        <v>9110</v>
      </c>
      <c r="L481" s="126"/>
      <c r="M481" s="127"/>
      <c r="N481" s="127"/>
      <c r="O481" s="127"/>
      <c r="P481" s="127"/>
      <c r="Q481" s="127"/>
      <c r="R481" s="127"/>
      <c r="S481" s="127"/>
      <c r="T481" s="127"/>
      <c r="U481" s="127"/>
      <c r="V481" s="127"/>
      <c r="W481" s="127"/>
      <c r="X481" s="127"/>
      <c r="Y481" s="127"/>
      <c r="Z481" s="127"/>
      <c r="AA481" s="127"/>
      <c r="AB481" s="127"/>
      <c r="AC481" s="127"/>
      <c r="AD481" s="127"/>
      <c r="AE481" s="127"/>
      <c r="AF481" s="127"/>
      <c r="AG481" s="127"/>
      <c r="AH481" s="127"/>
      <c r="AI481" s="127"/>
      <c r="AJ481" s="127"/>
      <c r="AK481" s="127"/>
      <c r="AL481" s="127"/>
      <c r="AM481" s="127"/>
      <c r="AN481" s="127"/>
      <c r="AO481" s="127"/>
      <c r="AP481" s="127"/>
      <c r="AQ481" s="127"/>
      <c r="AR481" s="127"/>
      <c r="AS481" s="127"/>
      <c r="AT481" s="127"/>
      <c r="AU481" s="127"/>
      <c r="AV481" s="127"/>
      <c r="AW481" s="127"/>
      <c r="AX481" s="127"/>
      <c r="AY481" s="127"/>
      <c r="AZ481" s="127"/>
      <c r="BA481" s="127"/>
      <c r="BB481" s="127"/>
      <c r="BC481" s="127"/>
      <c r="BD481" s="127"/>
      <c r="BE481" s="127"/>
      <c r="BF481" s="127"/>
      <c r="BG481" s="127"/>
      <c r="BH481" s="127"/>
      <c r="BI481" s="127"/>
      <c r="BJ481" s="127"/>
      <c r="BK481" s="127"/>
      <c r="BL481" s="127"/>
      <c r="BM481" s="127"/>
      <c r="BN481" s="127"/>
      <c r="BO481" s="127"/>
      <c r="BP481" s="127"/>
      <c r="BQ481" s="127"/>
      <c r="BR481" s="127"/>
      <c r="BS481" s="127"/>
      <c r="BT481" s="127"/>
      <c r="BU481" s="127"/>
      <c r="BV481" s="127"/>
      <c r="BW481" s="127"/>
      <c r="BX481" s="127"/>
      <c r="BY481" s="127"/>
      <c r="BZ481" s="127"/>
      <c r="CA481" s="127"/>
      <c r="CB481" s="127"/>
      <c r="CC481" s="127"/>
      <c r="CD481" s="127"/>
      <c r="CE481" s="127"/>
      <c r="CF481" s="127"/>
      <c r="CG481" s="127"/>
      <c r="CH481" s="127"/>
      <c r="CI481" s="127"/>
      <c r="CJ481" s="127"/>
      <c r="CK481" s="127"/>
      <c r="CL481" s="127"/>
      <c r="CM481" s="127"/>
      <c r="CN481" s="127"/>
      <c r="CO481" s="127"/>
      <c r="CP481" s="127"/>
      <c r="CQ481" s="127"/>
      <c r="CR481" s="127"/>
      <c r="CS481" s="127"/>
      <c r="CT481" s="127"/>
      <c r="CU481" s="127"/>
      <c r="CV481" s="127"/>
      <c r="CW481" s="127"/>
      <c r="CX481" s="127"/>
      <c r="CY481" s="127"/>
      <c r="CZ481" s="127"/>
      <c r="DA481" s="127"/>
      <c r="DB481" s="127"/>
      <c r="DC481" s="127"/>
      <c r="DD481" s="127"/>
      <c r="DE481" s="127"/>
      <c r="DF481" s="127"/>
      <c r="DG481" s="127"/>
      <c r="DH481" s="127"/>
      <c r="DI481" s="127"/>
      <c r="DJ481" s="127"/>
      <c r="DK481" s="127"/>
      <c r="DL481" s="127"/>
      <c r="DM481" s="127"/>
      <c r="DN481" s="127"/>
      <c r="DO481" s="127"/>
      <c r="DP481" s="127"/>
      <c r="DQ481" s="127"/>
      <c r="DR481" s="127"/>
      <c r="DS481" s="127"/>
      <c r="DT481" s="127"/>
      <c r="DU481" s="127"/>
      <c r="DV481" s="127"/>
      <c r="DW481" s="127"/>
      <c r="DX481" s="127"/>
      <c r="DY481" s="127"/>
      <c r="DZ481" s="127"/>
      <c r="EA481" s="127"/>
      <c r="EB481" s="127"/>
      <c r="EC481" s="127"/>
      <c r="ED481" s="127"/>
      <c r="EE481" s="127"/>
      <c r="EF481" s="127"/>
      <c r="EG481" s="127"/>
      <c r="EH481" s="127"/>
      <c r="EI481" s="127"/>
      <c r="EJ481" s="127"/>
      <c r="EK481" s="127"/>
      <c r="EL481" s="127"/>
      <c r="EM481" s="127"/>
      <c r="EN481" s="127"/>
      <c r="EO481" s="127"/>
      <c r="EP481" s="127"/>
      <c r="EQ481" s="127"/>
      <c r="ER481" s="127"/>
      <c r="ES481" s="127"/>
      <c r="ET481" s="127"/>
      <c r="EU481" s="127"/>
      <c r="EV481" s="127"/>
      <c r="EW481" s="127"/>
      <c r="EX481" s="127"/>
      <c r="EY481" s="127"/>
      <c r="EZ481" s="127"/>
      <c r="FA481" s="127"/>
      <c r="FB481" s="127"/>
      <c r="FC481" s="127"/>
      <c r="FD481" s="127"/>
      <c r="FE481" s="127"/>
      <c r="FF481" s="127"/>
      <c r="FG481" s="127"/>
      <c r="FH481" s="127"/>
      <c r="FI481" s="127"/>
      <c r="FJ481" s="127"/>
      <c r="FK481" s="127"/>
      <c r="FL481" s="127"/>
      <c r="FM481" s="127"/>
      <c r="FN481" s="127"/>
      <c r="FO481" s="127"/>
      <c r="FP481" s="127"/>
      <c r="FQ481" s="127"/>
      <c r="FR481" s="127"/>
      <c r="FS481" s="127"/>
      <c r="FT481" s="127"/>
      <c r="FU481" s="127"/>
      <c r="FV481" s="127"/>
      <c r="FW481" s="127"/>
      <c r="FX481" s="127"/>
      <c r="FY481" s="127"/>
      <c r="FZ481" s="127"/>
      <c r="GA481" s="127"/>
      <c r="GB481" s="127"/>
      <c r="GC481" s="127"/>
      <c r="GD481" s="127"/>
      <c r="GE481" s="127"/>
      <c r="GF481" s="127"/>
      <c r="GG481" s="127"/>
      <c r="GH481" s="127"/>
      <c r="GI481" s="127"/>
      <c r="GJ481" s="127"/>
      <c r="GK481" s="127"/>
      <c r="GL481" s="127"/>
      <c r="GM481" s="127"/>
      <c r="GN481" s="127"/>
      <c r="GO481" s="127"/>
      <c r="GP481" s="127"/>
      <c r="GQ481" s="127"/>
      <c r="GR481" s="127"/>
      <c r="GS481" s="127"/>
      <c r="GT481" s="127"/>
      <c r="GU481" s="127"/>
      <c r="GV481" s="127"/>
      <c r="GW481" s="127"/>
      <c r="GX481" s="127"/>
      <c r="GY481" s="127"/>
      <c r="GZ481" s="127"/>
      <c r="HA481" s="127"/>
      <c r="HB481" s="127"/>
      <c r="HC481" s="127"/>
      <c r="HD481" s="127"/>
      <c r="HE481" s="127"/>
      <c r="HF481" s="127"/>
      <c r="HG481" s="127"/>
      <c r="HH481" s="127"/>
      <c r="HI481" s="127"/>
      <c r="HJ481" s="127"/>
      <c r="HK481" s="127"/>
      <c r="HL481" s="127"/>
      <c r="HM481" s="127"/>
      <c r="HN481" s="127"/>
      <c r="HO481" s="127"/>
      <c r="HP481" s="127"/>
      <c r="HQ481" s="127"/>
      <c r="HR481" s="127"/>
      <c r="HS481" s="127"/>
      <c r="HT481" s="127"/>
      <c r="HU481" s="127"/>
      <c r="HV481" s="127"/>
      <c r="HW481" s="127"/>
      <c r="HX481" s="127"/>
      <c r="HY481" s="127"/>
      <c r="HZ481" s="127"/>
      <c r="IA481" s="127"/>
      <c r="IB481" s="127"/>
      <c r="IC481" s="127"/>
      <c r="ID481" s="127"/>
      <c r="IE481" s="127"/>
      <c r="IF481" s="127"/>
      <c r="IG481" s="127"/>
      <c r="IH481" s="127"/>
      <c r="II481" s="127"/>
      <c r="IJ481" s="127"/>
      <c r="IK481" s="127"/>
      <c r="IL481" s="127"/>
      <c r="IM481" s="127"/>
      <c r="IN481" s="127"/>
      <c r="IO481" s="127"/>
      <c r="IP481" s="127"/>
      <c r="IQ481" s="127"/>
      <c r="IR481" s="127"/>
      <c r="IS481" s="127"/>
      <c r="IT481" s="127"/>
      <c r="IU481" s="127"/>
      <c r="IV481" s="127"/>
    </row>
    <row r="482" ht="15" spans="1:11">
      <c r="A482" s="98" t="s">
        <v>46</v>
      </c>
      <c r="B482" s="100" t="s">
        <v>9111</v>
      </c>
      <c r="C482" s="101" t="s">
        <v>8240</v>
      </c>
      <c r="D482" s="101" t="s">
        <v>5</v>
      </c>
      <c r="E482" s="101" t="s">
        <v>9112</v>
      </c>
      <c r="F482" s="101"/>
      <c r="G482" s="101" t="s">
        <v>353</v>
      </c>
      <c r="H482" s="100" t="s">
        <v>8215</v>
      </c>
      <c r="I482" s="100" t="s">
        <v>8247</v>
      </c>
      <c r="J482" s="100"/>
      <c r="K482" s="107"/>
    </row>
    <row r="483" ht="15" spans="1:11">
      <c r="A483" s="98" t="s">
        <v>46</v>
      </c>
      <c r="B483" s="124" t="s">
        <v>9113</v>
      </c>
      <c r="C483" s="101" t="s">
        <v>8240</v>
      </c>
      <c r="D483" s="98" t="s">
        <v>5</v>
      </c>
      <c r="E483" s="98" t="s">
        <v>9114</v>
      </c>
      <c r="F483" s="98"/>
      <c r="G483" s="98" t="s">
        <v>353</v>
      </c>
      <c r="H483" s="100" t="s">
        <v>8215</v>
      </c>
      <c r="I483" s="100" t="s">
        <v>8247</v>
      </c>
      <c r="J483" s="100"/>
      <c r="K483" s="107"/>
    </row>
    <row r="484" ht="15" spans="1:11">
      <c r="A484" s="98" t="s">
        <v>46</v>
      </c>
      <c r="B484" s="124" t="s">
        <v>9115</v>
      </c>
      <c r="C484" s="101" t="s">
        <v>8240</v>
      </c>
      <c r="D484" s="98" t="s">
        <v>5</v>
      </c>
      <c r="E484" s="98" t="s">
        <v>9114</v>
      </c>
      <c r="F484" s="98"/>
      <c r="G484" s="98" t="s">
        <v>353</v>
      </c>
      <c r="H484" s="100" t="s">
        <v>8215</v>
      </c>
      <c r="I484" s="100" t="s">
        <v>8247</v>
      </c>
      <c r="J484" s="100" t="s">
        <v>8974</v>
      </c>
      <c r="K484" s="107"/>
    </row>
    <row r="485" s="90" customFormat="1" ht="15" spans="1:11">
      <c r="A485" s="98" t="s">
        <v>46</v>
      </c>
      <c r="B485" s="124" t="s">
        <v>9116</v>
      </c>
      <c r="C485" s="101" t="s">
        <v>8293</v>
      </c>
      <c r="D485" s="98" t="s">
        <v>4</v>
      </c>
      <c r="E485" s="98" t="s">
        <v>9117</v>
      </c>
      <c r="F485" s="98" t="s">
        <v>8247</v>
      </c>
      <c r="G485" s="98" t="s">
        <v>353</v>
      </c>
      <c r="H485" s="100" t="s">
        <v>9118</v>
      </c>
      <c r="I485" s="100" t="s">
        <v>9118</v>
      </c>
      <c r="J485" s="100" t="s">
        <v>9119</v>
      </c>
      <c r="K485" s="107">
        <v>2024.6</v>
      </c>
    </row>
    <row r="486" ht="15" spans="1:11">
      <c r="A486" s="98" t="s">
        <v>47</v>
      </c>
      <c r="B486" s="99" t="s">
        <v>9120</v>
      </c>
      <c r="C486" s="98" t="s">
        <v>8244</v>
      </c>
      <c r="D486" s="101" t="s">
        <v>4</v>
      </c>
      <c r="E486" s="101" t="s">
        <v>9121</v>
      </c>
      <c r="F486" s="98"/>
      <c r="G486" s="98" t="s">
        <v>353</v>
      </c>
      <c r="H486" s="100" t="s">
        <v>8215</v>
      </c>
      <c r="I486" s="100" t="s">
        <v>8247</v>
      </c>
      <c r="J486" s="100" t="s">
        <v>8459</v>
      </c>
      <c r="K486" s="107"/>
    </row>
    <row r="487" ht="15" spans="1:11">
      <c r="A487" s="98" t="s">
        <v>48</v>
      </c>
      <c r="B487" s="99" t="s">
        <v>9122</v>
      </c>
      <c r="C487" s="98"/>
      <c r="D487" s="101" t="s">
        <v>4</v>
      </c>
      <c r="E487" s="101" t="s">
        <v>9123</v>
      </c>
      <c r="F487" s="98"/>
      <c r="G487" s="98" t="s">
        <v>353</v>
      </c>
      <c r="H487" s="100" t="s">
        <v>8215</v>
      </c>
      <c r="I487" s="100" t="s">
        <v>8215</v>
      </c>
      <c r="J487" s="100" t="s">
        <v>8542</v>
      </c>
      <c r="K487" s="107">
        <v>2024.3</v>
      </c>
    </row>
    <row r="488" ht="15" spans="1:11">
      <c r="A488" s="98" t="s">
        <v>47</v>
      </c>
      <c r="B488" s="100" t="s">
        <v>9124</v>
      </c>
      <c r="C488" s="98" t="s">
        <v>8229</v>
      </c>
      <c r="D488" s="101" t="s">
        <v>4</v>
      </c>
      <c r="E488" s="101" t="s">
        <v>9125</v>
      </c>
      <c r="F488" s="98"/>
      <c r="G488" s="98" t="s">
        <v>353</v>
      </c>
      <c r="H488" s="100" t="s">
        <v>8215</v>
      </c>
      <c r="I488" s="100" t="s">
        <v>8247</v>
      </c>
      <c r="J488" s="100"/>
      <c r="K488" s="107"/>
    </row>
    <row r="489" ht="15" spans="1:11">
      <c r="A489" s="98" t="s">
        <v>47</v>
      </c>
      <c r="B489" s="99" t="s">
        <v>9126</v>
      </c>
      <c r="C489" s="98" t="s">
        <v>8244</v>
      </c>
      <c r="D489" s="101" t="s">
        <v>4</v>
      </c>
      <c r="E489" s="101" t="s">
        <v>9125</v>
      </c>
      <c r="F489" s="98"/>
      <c r="G489" s="98" t="s">
        <v>353</v>
      </c>
      <c r="H489" s="100" t="s">
        <v>8215</v>
      </c>
      <c r="I489" s="100" t="s">
        <v>8247</v>
      </c>
      <c r="J489" s="100"/>
      <c r="K489" s="107"/>
    </row>
    <row r="490" ht="15" spans="1:11">
      <c r="A490" s="98" t="s">
        <v>47</v>
      </c>
      <c r="B490" s="99" t="s">
        <v>9127</v>
      </c>
      <c r="C490" s="98" t="s">
        <v>8229</v>
      </c>
      <c r="D490" s="101" t="s">
        <v>4</v>
      </c>
      <c r="E490" s="101" t="s">
        <v>9125</v>
      </c>
      <c r="F490" s="98"/>
      <c r="G490" s="98" t="s">
        <v>353</v>
      </c>
      <c r="H490" s="100" t="s">
        <v>8215</v>
      </c>
      <c r="I490" s="100" t="s">
        <v>8215</v>
      </c>
      <c r="J490" s="100" t="s">
        <v>8459</v>
      </c>
      <c r="K490" s="107"/>
    </row>
    <row r="491" ht="15" spans="1:11">
      <c r="A491" s="98" t="s">
        <v>47</v>
      </c>
      <c r="B491" s="99" t="s">
        <v>9128</v>
      </c>
      <c r="C491" s="98" t="s">
        <v>8244</v>
      </c>
      <c r="D491" s="101" t="s">
        <v>4</v>
      </c>
      <c r="E491" s="101" t="s">
        <v>9125</v>
      </c>
      <c r="F491" s="98"/>
      <c r="G491" s="98" t="s">
        <v>353</v>
      </c>
      <c r="H491" s="100" t="s">
        <v>8215</v>
      </c>
      <c r="I491" s="100" t="s">
        <v>8247</v>
      </c>
      <c r="J491" s="100" t="s">
        <v>8459</v>
      </c>
      <c r="K491" s="107"/>
    </row>
    <row r="492" ht="15" spans="1:11">
      <c r="A492" s="98" t="s">
        <v>47</v>
      </c>
      <c r="B492" s="99" t="s">
        <v>9129</v>
      </c>
      <c r="C492" s="98"/>
      <c r="D492" s="101" t="s">
        <v>4</v>
      </c>
      <c r="E492" s="101" t="s">
        <v>9125</v>
      </c>
      <c r="F492" s="98"/>
      <c r="G492" s="98" t="s">
        <v>353</v>
      </c>
      <c r="H492" s="100" t="s">
        <v>8215</v>
      </c>
      <c r="I492" s="100" t="s">
        <v>8215</v>
      </c>
      <c r="J492" s="100" t="s">
        <v>9130</v>
      </c>
      <c r="K492" s="107">
        <v>2024.1</v>
      </c>
    </row>
    <row r="493" ht="15" spans="1:11">
      <c r="A493" s="98" t="s">
        <v>48</v>
      </c>
      <c r="B493" s="99" t="s">
        <v>9131</v>
      </c>
      <c r="C493" s="98"/>
      <c r="D493" s="101" t="s">
        <v>5</v>
      </c>
      <c r="E493" s="101" t="s">
        <v>9132</v>
      </c>
      <c r="F493" s="98"/>
      <c r="G493" s="98" t="s">
        <v>353</v>
      </c>
      <c r="H493" s="100" t="s">
        <v>8247</v>
      </c>
      <c r="I493" s="100" t="s">
        <v>8326</v>
      </c>
      <c r="J493" s="100" t="s">
        <v>9133</v>
      </c>
      <c r="K493" s="107">
        <v>2024.3</v>
      </c>
    </row>
    <row r="494" ht="15" spans="1:11">
      <c r="A494" s="98" t="s">
        <v>48</v>
      </c>
      <c r="B494" s="99" t="s">
        <v>9134</v>
      </c>
      <c r="C494" s="98" t="s">
        <v>8244</v>
      </c>
      <c r="D494" s="101" t="s">
        <v>4</v>
      </c>
      <c r="E494" s="101" t="s">
        <v>9135</v>
      </c>
      <c r="F494" s="98"/>
      <c r="G494" s="98" t="s">
        <v>353</v>
      </c>
      <c r="H494" s="100" t="s">
        <v>8215</v>
      </c>
      <c r="I494" s="100" t="s">
        <v>8215</v>
      </c>
      <c r="J494" s="100" t="s">
        <v>8459</v>
      </c>
      <c r="K494" s="107"/>
    </row>
    <row r="495" ht="15" spans="1:11">
      <c r="A495" s="98" t="s">
        <v>47</v>
      </c>
      <c r="B495" s="100" t="s">
        <v>9136</v>
      </c>
      <c r="C495" s="98" t="s">
        <v>8244</v>
      </c>
      <c r="D495" s="101" t="s">
        <v>4</v>
      </c>
      <c r="E495" s="101" t="s">
        <v>9137</v>
      </c>
      <c r="F495" s="98"/>
      <c r="G495" s="98" t="s">
        <v>353</v>
      </c>
      <c r="H495" s="100" t="s">
        <v>8734</v>
      </c>
      <c r="I495" s="100" t="s">
        <v>8734</v>
      </c>
      <c r="J495" s="100" t="s">
        <v>8459</v>
      </c>
      <c r="K495" s="107"/>
    </row>
    <row r="496" ht="15" spans="1:11">
      <c r="A496" s="98" t="s">
        <v>47</v>
      </c>
      <c r="B496" s="100" t="s">
        <v>9138</v>
      </c>
      <c r="C496" s="98" t="s">
        <v>8244</v>
      </c>
      <c r="D496" s="101" t="s">
        <v>4</v>
      </c>
      <c r="E496" s="101" t="s">
        <v>9137</v>
      </c>
      <c r="F496" s="98" t="s">
        <v>8419</v>
      </c>
      <c r="G496" s="98" t="s">
        <v>353</v>
      </c>
      <c r="H496" s="100" t="s">
        <v>8215</v>
      </c>
      <c r="I496" s="100" t="s">
        <v>8215</v>
      </c>
      <c r="J496" s="100" t="s">
        <v>8459</v>
      </c>
      <c r="K496" s="107"/>
    </row>
    <row r="497" ht="15" spans="1:11">
      <c r="A497" s="98" t="s">
        <v>47</v>
      </c>
      <c r="B497" s="99" t="s">
        <v>9139</v>
      </c>
      <c r="C497" s="98" t="s">
        <v>8244</v>
      </c>
      <c r="D497" s="101" t="s">
        <v>4</v>
      </c>
      <c r="E497" s="101" t="s">
        <v>9137</v>
      </c>
      <c r="F497" s="98"/>
      <c r="G497" s="98" t="s">
        <v>353</v>
      </c>
      <c r="H497" s="100" t="s">
        <v>8215</v>
      </c>
      <c r="I497" s="100" t="s">
        <v>8215</v>
      </c>
      <c r="J497" s="100" t="s">
        <v>8459</v>
      </c>
      <c r="K497" s="107"/>
    </row>
    <row r="498" ht="15" spans="1:11">
      <c r="A498" s="98" t="s">
        <v>47</v>
      </c>
      <c r="B498" s="99" t="s">
        <v>9140</v>
      </c>
      <c r="C498" s="98" t="s">
        <v>8244</v>
      </c>
      <c r="D498" s="101" t="s">
        <v>4</v>
      </c>
      <c r="E498" s="101" t="s">
        <v>9137</v>
      </c>
      <c r="F498" s="98" t="s">
        <v>8419</v>
      </c>
      <c r="G498" s="98" t="s">
        <v>353</v>
      </c>
      <c r="H498" s="100" t="s">
        <v>8215</v>
      </c>
      <c r="I498" s="100" t="s">
        <v>8215</v>
      </c>
      <c r="J498" s="100" t="s">
        <v>8459</v>
      </c>
      <c r="K498" s="107"/>
    </row>
    <row r="499" ht="15" spans="1:11">
      <c r="A499" s="98" t="s">
        <v>47</v>
      </c>
      <c r="B499" s="100" t="s">
        <v>9141</v>
      </c>
      <c r="C499" s="98" t="s">
        <v>8244</v>
      </c>
      <c r="D499" s="101" t="s">
        <v>4</v>
      </c>
      <c r="E499" s="101" t="s">
        <v>9137</v>
      </c>
      <c r="F499" s="98"/>
      <c r="G499" s="98" t="s">
        <v>353</v>
      </c>
      <c r="H499" s="100" t="s">
        <v>8215</v>
      </c>
      <c r="I499" s="100" t="s">
        <v>8247</v>
      </c>
      <c r="J499" s="100"/>
      <c r="K499" s="107"/>
    </row>
    <row r="500" ht="15" spans="1:11">
      <c r="A500" s="98" t="s">
        <v>47</v>
      </c>
      <c r="B500" s="100" t="s">
        <v>9142</v>
      </c>
      <c r="C500" s="98" t="s">
        <v>8244</v>
      </c>
      <c r="D500" s="101" t="s">
        <v>4</v>
      </c>
      <c r="E500" s="101" t="s">
        <v>9137</v>
      </c>
      <c r="F500" s="98"/>
      <c r="G500" s="98" t="s">
        <v>353</v>
      </c>
      <c r="H500" s="100" t="s">
        <v>8215</v>
      </c>
      <c r="I500" s="100" t="s">
        <v>8247</v>
      </c>
      <c r="J500" s="100"/>
      <c r="K500" s="107"/>
    </row>
    <row r="501" ht="15" spans="1:11">
      <c r="A501" s="98" t="s">
        <v>47</v>
      </c>
      <c r="B501" s="100" t="s">
        <v>9143</v>
      </c>
      <c r="C501" s="98" t="s">
        <v>8514</v>
      </c>
      <c r="D501" s="101" t="s">
        <v>4</v>
      </c>
      <c r="E501" s="101" t="s">
        <v>9137</v>
      </c>
      <c r="F501" s="98"/>
      <c r="G501" s="98" t="s">
        <v>353</v>
      </c>
      <c r="H501" s="100" t="s">
        <v>8320</v>
      </c>
      <c r="I501" s="100" t="s">
        <v>8247</v>
      </c>
      <c r="J501" s="100" t="s">
        <v>9144</v>
      </c>
      <c r="K501" s="107"/>
    </row>
    <row r="502" ht="30" spans="1:11">
      <c r="A502" s="98" t="s">
        <v>47</v>
      </c>
      <c r="B502" s="99" t="s">
        <v>9145</v>
      </c>
      <c r="C502" s="98" t="s">
        <v>8244</v>
      </c>
      <c r="D502" s="98"/>
      <c r="E502" s="98" t="s">
        <v>9146</v>
      </c>
      <c r="F502" s="98"/>
      <c r="G502" s="98" t="s">
        <v>353</v>
      </c>
      <c r="H502" s="100" t="s">
        <v>8215</v>
      </c>
      <c r="I502" s="100" t="s">
        <v>8247</v>
      </c>
      <c r="J502" s="128"/>
      <c r="K502" s="107"/>
    </row>
    <row r="503" ht="15" spans="1:11">
      <c r="A503" s="98" t="s">
        <v>47</v>
      </c>
      <c r="B503" s="100" t="s">
        <v>9147</v>
      </c>
      <c r="C503" s="101" t="s">
        <v>8240</v>
      </c>
      <c r="D503" s="98" t="s">
        <v>5</v>
      </c>
      <c r="E503" s="98" t="s">
        <v>9148</v>
      </c>
      <c r="F503" s="98"/>
      <c r="G503" s="98" t="s">
        <v>353</v>
      </c>
      <c r="H503" s="118" t="s">
        <v>8215</v>
      </c>
      <c r="I503" s="100" t="s">
        <v>8247</v>
      </c>
      <c r="J503" s="49" t="s">
        <v>8220</v>
      </c>
      <c r="K503" s="107"/>
    </row>
    <row r="504" ht="15" spans="1:11">
      <c r="A504" s="98" t="s">
        <v>47</v>
      </c>
      <c r="B504" s="99" t="s">
        <v>9149</v>
      </c>
      <c r="C504" s="98" t="s">
        <v>8244</v>
      </c>
      <c r="D504" s="101" t="s">
        <v>4</v>
      </c>
      <c r="E504" s="101" t="s">
        <v>9150</v>
      </c>
      <c r="F504" s="98"/>
      <c r="G504" s="98" t="s">
        <v>353</v>
      </c>
      <c r="H504" s="100" t="s">
        <v>8215</v>
      </c>
      <c r="I504" s="100" t="s">
        <v>8215</v>
      </c>
      <c r="J504" s="100" t="s">
        <v>8459</v>
      </c>
      <c r="K504" s="107"/>
    </row>
    <row r="505" ht="30" spans="1:11">
      <c r="A505" s="98" t="s">
        <v>47</v>
      </c>
      <c r="B505" s="99" t="s">
        <v>9151</v>
      </c>
      <c r="C505" s="98" t="s">
        <v>8244</v>
      </c>
      <c r="D505" s="101" t="s">
        <v>4</v>
      </c>
      <c r="E505" s="101" t="s">
        <v>9150</v>
      </c>
      <c r="F505" s="98"/>
      <c r="G505" s="98" t="s">
        <v>353</v>
      </c>
      <c r="H505" s="100" t="s">
        <v>8215</v>
      </c>
      <c r="I505" s="100" t="s">
        <v>8215</v>
      </c>
      <c r="J505" s="100" t="s">
        <v>9152</v>
      </c>
      <c r="K505" s="107"/>
    </row>
    <row r="506" ht="15" spans="1:11">
      <c r="A506" s="98" t="s">
        <v>47</v>
      </c>
      <c r="B506" s="99" t="s">
        <v>9153</v>
      </c>
      <c r="C506" s="98" t="s">
        <v>8225</v>
      </c>
      <c r="D506" s="101" t="s">
        <v>4</v>
      </c>
      <c r="E506" s="101" t="s">
        <v>9150</v>
      </c>
      <c r="F506" s="98"/>
      <c r="G506" s="98" t="s">
        <v>353</v>
      </c>
      <c r="H506" s="100"/>
      <c r="I506" s="100"/>
      <c r="J506" s="100" t="s">
        <v>8711</v>
      </c>
      <c r="K506" s="107"/>
    </row>
    <row r="507" ht="15" spans="1:11">
      <c r="A507" s="98" t="s">
        <v>47</v>
      </c>
      <c r="B507" s="99" t="s">
        <v>9154</v>
      </c>
      <c r="C507" s="98" t="s">
        <v>8244</v>
      </c>
      <c r="D507" s="101" t="s">
        <v>4</v>
      </c>
      <c r="E507" s="101" t="s">
        <v>9155</v>
      </c>
      <c r="F507" s="98"/>
      <c r="G507" s="98" t="s">
        <v>353</v>
      </c>
      <c r="H507" s="100" t="s">
        <v>8252</v>
      </c>
      <c r="I507" s="100" t="s">
        <v>8247</v>
      </c>
      <c r="J507" s="100"/>
      <c r="K507" s="107"/>
    </row>
    <row r="508" ht="15" spans="1:11">
      <c r="A508" s="98" t="s">
        <v>47</v>
      </c>
      <c r="B508" s="125" t="s">
        <v>9156</v>
      </c>
      <c r="C508" s="98" t="s">
        <v>8244</v>
      </c>
      <c r="D508" s="101" t="s">
        <v>4</v>
      </c>
      <c r="E508" s="101" t="s">
        <v>9157</v>
      </c>
      <c r="F508" s="98"/>
      <c r="G508" s="98" t="s">
        <v>353</v>
      </c>
      <c r="H508" s="100" t="s">
        <v>8215</v>
      </c>
      <c r="I508" s="100" t="s">
        <v>8215</v>
      </c>
      <c r="J508" s="100"/>
      <c r="K508" s="107"/>
    </row>
    <row r="509" ht="15" spans="1:11">
      <c r="A509" s="98" t="s">
        <v>47</v>
      </c>
      <c r="B509" s="125" t="s">
        <v>9158</v>
      </c>
      <c r="C509" s="98" t="s">
        <v>8244</v>
      </c>
      <c r="D509" s="101" t="s">
        <v>4</v>
      </c>
      <c r="E509" s="101" t="s">
        <v>9157</v>
      </c>
      <c r="F509" s="98"/>
      <c r="G509" s="98" t="s">
        <v>353</v>
      </c>
      <c r="H509" s="100" t="s">
        <v>8215</v>
      </c>
      <c r="I509" s="100" t="s">
        <v>8215</v>
      </c>
      <c r="J509" s="100" t="s">
        <v>8459</v>
      </c>
      <c r="K509" s="107"/>
    </row>
    <row r="510" ht="15" spans="1:11">
      <c r="A510" s="98" t="s">
        <v>47</v>
      </c>
      <c r="B510" s="100" t="s">
        <v>9159</v>
      </c>
      <c r="C510" s="101" t="s">
        <v>8240</v>
      </c>
      <c r="D510" s="98" t="s">
        <v>4</v>
      </c>
      <c r="E510" s="98" t="s">
        <v>9157</v>
      </c>
      <c r="F510" s="98"/>
      <c r="G510" s="98" t="s">
        <v>353</v>
      </c>
      <c r="H510" s="118" t="s">
        <v>8215</v>
      </c>
      <c r="I510" s="100" t="s">
        <v>8247</v>
      </c>
      <c r="J510" s="100" t="s">
        <v>8974</v>
      </c>
      <c r="K510" s="107"/>
    </row>
    <row r="511" ht="15" spans="1:11">
      <c r="A511" s="98" t="s">
        <v>47</v>
      </c>
      <c r="B511" s="99" t="s">
        <v>9160</v>
      </c>
      <c r="C511" s="98" t="s">
        <v>8240</v>
      </c>
      <c r="D511" s="101" t="s">
        <v>4</v>
      </c>
      <c r="E511" s="101" t="s">
        <v>9161</v>
      </c>
      <c r="F511" s="98"/>
      <c r="G511" s="98" t="s">
        <v>353</v>
      </c>
      <c r="H511" s="100" t="s">
        <v>8215</v>
      </c>
      <c r="I511" s="100" t="s">
        <v>8247</v>
      </c>
      <c r="J511" s="100"/>
      <c r="K511" s="107"/>
    </row>
    <row r="512" ht="15" spans="1:11">
      <c r="A512" s="98" t="s">
        <v>47</v>
      </c>
      <c r="B512" s="99" t="s">
        <v>9162</v>
      </c>
      <c r="C512" s="98" t="s">
        <v>8244</v>
      </c>
      <c r="D512" s="101" t="s">
        <v>4</v>
      </c>
      <c r="E512" s="101" t="s">
        <v>9161</v>
      </c>
      <c r="F512" s="98"/>
      <c r="G512" s="98" t="s">
        <v>353</v>
      </c>
      <c r="H512" s="100" t="s">
        <v>8215</v>
      </c>
      <c r="I512" s="100" t="s">
        <v>8247</v>
      </c>
      <c r="J512" s="100" t="s">
        <v>8459</v>
      </c>
      <c r="K512" s="107"/>
    </row>
    <row r="513" ht="15" spans="1:11">
      <c r="A513" s="98" t="s">
        <v>47</v>
      </c>
      <c r="B513" s="99" t="s">
        <v>9163</v>
      </c>
      <c r="C513" s="101" t="s">
        <v>8240</v>
      </c>
      <c r="D513" s="101" t="s">
        <v>4</v>
      </c>
      <c r="E513" s="101" t="s">
        <v>9161</v>
      </c>
      <c r="F513" s="98"/>
      <c r="G513" s="98" t="s">
        <v>353</v>
      </c>
      <c r="H513" s="100" t="s">
        <v>8252</v>
      </c>
      <c r="I513" s="100" t="s">
        <v>8247</v>
      </c>
      <c r="J513" s="100"/>
      <c r="K513" s="107"/>
    </row>
    <row r="514" ht="15" spans="1:11">
      <c r="A514" s="98" t="s">
        <v>47</v>
      </c>
      <c r="B514" s="99" t="s">
        <v>9164</v>
      </c>
      <c r="C514" s="98" t="s">
        <v>8244</v>
      </c>
      <c r="D514" s="101" t="s">
        <v>4</v>
      </c>
      <c r="E514" s="101" t="s">
        <v>9161</v>
      </c>
      <c r="F514" s="98"/>
      <c r="G514" s="98" t="s">
        <v>353</v>
      </c>
      <c r="H514" s="100" t="s">
        <v>8252</v>
      </c>
      <c r="I514" s="100" t="s">
        <v>8252</v>
      </c>
      <c r="J514" s="100" t="s">
        <v>9165</v>
      </c>
      <c r="K514" s="107"/>
    </row>
    <row r="515" ht="15" spans="1:11">
      <c r="A515" s="98" t="s">
        <v>47</v>
      </c>
      <c r="B515" s="99" t="s">
        <v>9166</v>
      </c>
      <c r="C515" s="98" t="s">
        <v>8244</v>
      </c>
      <c r="D515" s="101" t="s">
        <v>4</v>
      </c>
      <c r="E515" s="101" t="s">
        <v>9167</v>
      </c>
      <c r="F515" s="98"/>
      <c r="G515" s="98" t="s">
        <v>353</v>
      </c>
      <c r="H515" s="100" t="s">
        <v>8215</v>
      </c>
      <c r="I515" s="100" t="s">
        <v>8247</v>
      </c>
      <c r="J515" s="100" t="s">
        <v>8459</v>
      </c>
      <c r="K515" s="107"/>
    </row>
    <row r="516" ht="15" spans="1:11">
      <c r="A516" s="98" t="s">
        <v>48</v>
      </c>
      <c r="B516" s="99" t="s">
        <v>9168</v>
      </c>
      <c r="C516" s="98" t="s">
        <v>8229</v>
      </c>
      <c r="D516" s="101" t="s">
        <v>4</v>
      </c>
      <c r="E516" s="101" t="s">
        <v>9167</v>
      </c>
      <c r="F516" s="98"/>
      <c r="G516" s="98" t="s">
        <v>353</v>
      </c>
      <c r="H516" s="100" t="s">
        <v>8215</v>
      </c>
      <c r="I516" s="100" t="s">
        <v>8247</v>
      </c>
      <c r="J516" s="100"/>
      <c r="K516" s="107"/>
    </row>
    <row r="517" ht="15" spans="1:11">
      <c r="A517" s="98" t="s">
        <v>48</v>
      </c>
      <c r="B517" s="99" t="s">
        <v>9169</v>
      </c>
      <c r="C517" s="98"/>
      <c r="D517" s="101" t="s">
        <v>5</v>
      </c>
      <c r="E517" s="101" t="s">
        <v>9170</v>
      </c>
      <c r="F517" s="98"/>
      <c r="G517" s="98" t="s">
        <v>353</v>
      </c>
      <c r="H517" s="100" t="s">
        <v>8247</v>
      </c>
      <c r="I517" s="100" t="s">
        <v>8326</v>
      </c>
      <c r="J517" s="100" t="s">
        <v>9171</v>
      </c>
      <c r="K517" s="107">
        <v>2024.1</v>
      </c>
    </row>
    <row r="518" ht="15" spans="1:11">
      <c r="A518" s="98" t="s">
        <v>47</v>
      </c>
      <c r="B518" s="99" t="s">
        <v>9172</v>
      </c>
      <c r="C518" s="98" t="s">
        <v>8229</v>
      </c>
      <c r="D518" s="101" t="s">
        <v>4</v>
      </c>
      <c r="E518" s="101" t="s">
        <v>9173</v>
      </c>
      <c r="F518" s="98"/>
      <c r="G518" s="98" t="s">
        <v>353</v>
      </c>
      <c r="H518" s="100" t="s">
        <v>8734</v>
      </c>
      <c r="I518" s="100" t="s">
        <v>8734</v>
      </c>
      <c r="J518" s="100" t="s">
        <v>9174</v>
      </c>
      <c r="K518" s="107"/>
    </row>
    <row r="519" ht="15" spans="1:11">
      <c r="A519" s="98" t="s">
        <v>47</v>
      </c>
      <c r="B519" s="100" t="s">
        <v>9175</v>
      </c>
      <c r="C519" s="98" t="s">
        <v>8244</v>
      </c>
      <c r="D519" s="101" t="s">
        <v>4</v>
      </c>
      <c r="E519" s="101" t="s">
        <v>9176</v>
      </c>
      <c r="F519" s="98"/>
      <c r="G519" s="98" t="s">
        <v>353</v>
      </c>
      <c r="H519" s="100" t="s">
        <v>8215</v>
      </c>
      <c r="I519" s="100" t="s">
        <v>8247</v>
      </c>
      <c r="J519" s="100"/>
      <c r="K519" s="107"/>
    </row>
    <row r="520" ht="15" spans="1:11">
      <c r="A520" s="98" t="s">
        <v>47</v>
      </c>
      <c r="B520" s="99" t="s">
        <v>9177</v>
      </c>
      <c r="C520" s="98" t="s">
        <v>8244</v>
      </c>
      <c r="D520" s="101" t="s">
        <v>4</v>
      </c>
      <c r="E520" s="101" t="s">
        <v>9178</v>
      </c>
      <c r="F520" s="98"/>
      <c r="G520" s="98" t="s">
        <v>353</v>
      </c>
      <c r="H520" s="100" t="s">
        <v>8215</v>
      </c>
      <c r="I520" s="100" t="s">
        <v>8247</v>
      </c>
      <c r="J520" s="100" t="s">
        <v>8459</v>
      </c>
      <c r="K520" s="107"/>
    </row>
    <row r="521" ht="15" spans="1:11">
      <c r="A521" s="98" t="s">
        <v>47</v>
      </c>
      <c r="B521" s="99" t="s">
        <v>9179</v>
      </c>
      <c r="C521" s="98" t="s">
        <v>8244</v>
      </c>
      <c r="D521" s="101" t="s">
        <v>4</v>
      </c>
      <c r="E521" s="101" t="s">
        <v>9178</v>
      </c>
      <c r="F521" s="98"/>
      <c r="G521" s="98" t="s">
        <v>353</v>
      </c>
      <c r="H521" s="100" t="s">
        <v>8215</v>
      </c>
      <c r="I521" s="100" t="s">
        <v>8247</v>
      </c>
      <c r="J521" s="100" t="s">
        <v>8459</v>
      </c>
      <c r="K521" s="107"/>
    </row>
    <row r="522" ht="15" spans="1:11">
      <c r="A522" s="98" t="s">
        <v>47</v>
      </c>
      <c r="B522" s="100" t="s">
        <v>9180</v>
      </c>
      <c r="C522" s="98" t="s">
        <v>8244</v>
      </c>
      <c r="D522" s="101" t="s">
        <v>4</v>
      </c>
      <c r="E522" s="101" t="s">
        <v>9181</v>
      </c>
      <c r="F522" s="98"/>
      <c r="G522" s="98" t="s">
        <v>353</v>
      </c>
      <c r="H522" s="100" t="s">
        <v>8215</v>
      </c>
      <c r="I522" s="100" t="s">
        <v>8247</v>
      </c>
      <c r="J522" s="100"/>
      <c r="K522" s="107"/>
    </row>
    <row r="523" ht="15" spans="1:11">
      <c r="A523" s="98" t="s">
        <v>47</v>
      </c>
      <c r="B523" s="99" t="s">
        <v>9182</v>
      </c>
      <c r="C523" s="98" t="s">
        <v>8244</v>
      </c>
      <c r="D523" s="101" t="s">
        <v>4</v>
      </c>
      <c r="E523" s="101" t="s">
        <v>9181</v>
      </c>
      <c r="F523" s="98"/>
      <c r="G523" s="98" t="s">
        <v>353</v>
      </c>
      <c r="H523" s="100" t="s">
        <v>8215</v>
      </c>
      <c r="I523" s="100" t="s">
        <v>8247</v>
      </c>
      <c r="J523" s="100" t="s">
        <v>8388</v>
      </c>
      <c r="K523" s="107"/>
    </row>
    <row r="524" ht="15" spans="1:11">
      <c r="A524" s="98" t="s">
        <v>47</v>
      </c>
      <c r="B524" s="99" t="s">
        <v>9183</v>
      </c>
      <c r="C524" s="98" t="s">
        <v>8244</v>
      </c>
      <c r="D524" s="101" t="s">
        <v>4</v>
      </c>
      <c r="E524" s="101" t="s">
        <v>9184</v>
      </c>
      <c r="F524" s="98"/>
      <c r="G524" s="98" t="s">
        <v>353</v>
      </c>
      <c r="H524" s="100" t="s">
        <v>8215</v>
      </c>
      <c r="I524" s="100" t="s">
        <v>8215</v>
      </c>
      <c r="J524" s="100" t="s">
        <v>8459</v>
      </c>
      <c r="K524" s="107"/>
    </row>
    <row r="525" ht="15" spans="1:11">
      <c r="A525" s="98" t="s">
        <v>47</v>
      </c>
      <c r="B525" s="99" t="s">
        <v>9185</v>
      </c>
      <c r="C525" s="98" t="s">
        <v>8244</v>
      </c>
      <c r="D525" s="101" t="s">
        <v>4</v>
      </c>
      <c r="E525" s="101" t="s">
        <v>9184</v>
      </c>
      <c r="F525" s="98"/>
      <c r="G525" s="98" t="s">
        <v>353</v>
      </c>
      <c r="H525" s="100" t="s">
        <v>8215</v>
      </c>
      <c r="I525" s="100" t="s">
        <v>8247</v>
      </c>
      <c r="J525" s="100" t="s">
        <v>8459</v>
      </c>
      <c r="K525" s="107"/>
    </row>
    <row r="526" ht="15" spans="1:11">
      <c r="A526" s="98" t="s">
        <v>47</v>
      </c>
      <c r="B526" s="99" t="s">
        <v>9186</v>
      </c>
      <c r="C526" s="98" t="s">
        <v>8244</v>
      </c>
      <c r="D526" s="101" t="s">
        <v>4</v>
      </c>
      <c r="E526" s="101" t="s">
        <v>9184</v>
      </c>
      <c r="F526" s="98"/>
      <c r="G526" s="98" t="s">
        <v>353</v>
      </c>
      <c r="H526" s="100" t="s">
        <v>8215</v>
      </c>
      <c r="I526" s="100" t="s">
        <v>8247</v>
      </c>
      <c r="J526" s="100">
        <v>4</v>
      </c>
      <c r="K526" s="107"/>
    </row>
    <row r="527" ht="15" spans="1:11">
      <c r="A527" s="98" t="s">
        <v>47</v>
      </c>
      <c r="B527" s="99" t="s">
        <v>9187</v>
      </c>
      <c r="C527" s="98" t="s">
        <v>8244</v>
      </c>
      <c r="D527" s="101" t="s">
        <v>4</v>
      </c>
      <c r="E527" s="101" t="s">
        <v>9184</v>
      </c>
      <c r="F527" s="98"/>
      <c r="G527" s="98" t="s">
        <v>353</v>
      </c>
      <c r="H527" s="100" t="s">
        <v>8215</v>
      </c>
      <c r="I527" s="100" t="s">
        <v>8247</v>
      </c>
      <c r="J527" s="100" t="s">
        <v>8459</v>
      </c>
      <c r="K527" s="107"/>
    </row>
    <row r="528" ht="15" spans="1:11">
      <c r="A528" s="98" t="s">
        <v>47</v>
      </c>
      <c r="B528" s="99" t="s">
        <v>9188</v>
      </c>
      <c r="C528" s="101" t="s">
        <v>8240</v>
      </c>
      <c r="D528" s="101" t="s">
        <v>4</v>
      </c>
      <c r="E528" s="101" t="s">
        <v>9184</v>
      </c>
      <c r="F528" s="98"/>
      <c r="G528" s="98" t="s">
        <v>353</v>
      </c>
      <c r="H528" s="100" t="s">
        <v>8215</v>
      </c>
      <c r="I528" s="100" t="s">
        <v>8247</v>
      </c>
      <c r="J528" s="100"/>
      <c r="K528" s="107"/>
    </row>
    <row r="529" ht="15" spans="1:11">
      <c r="A529" s="98" t="s">
        <v>47</v>
      </c>
      <c r="B529" s="99" t="s">
        <v>9189</v>
      </c>
      <c r="C529" s="98" t="s">
        <v>8244</v>
      </c>
      <c r="D529" s="101" t="s">
        <v>4</v>
      </c>
      <c r="E529" s="101" t="s">
        <v>9146</v>
      </c>
      <c r="F529" s="98"/>
      <c r="G529" s="98" t="s">
        <v>353</v>
      </c>
      <c r="H529" s="100" t="s">
        <v>8215</v>
      </c>
      <c r="I529" s="100" t="s">
        <v>8247</v>
      </c>
      <c r="J529" s="100" t="s">
        <v>8725</v>
      </c>
      <c r="K529" s="107"/>
    </row>
    <row r="530" ht="15" spans="1:11">
      <c r="A530" s="98" t="s">
        <v>50</v>
      </c>
      <c r="B530" s="100" t="s">
        <v>9190</v>
      </c>
      <c r="C530" s="98" t="s">
        <v>8244</v>
      </c>
      <c r="D530" s="101" t="s">
        <v>4</v>
      </c>
      <c r="E530" s="101" t="s">
        <v>9191</v>
      </c>
      <c r="F530" s="98"/>
      <c r="G530" s="98" t="s">
        <v>353</v>
      </c>
      <c r="H530" s="100" t="s">
        <v>8252</v>
      </c>
      <c r="I530" s="100" t="s">
        <v>8247</v>
      </c>
      <c r="J530" s="100"/>
      <c r="K530" s="107"/>
    </row>
    <row r="531" ht="15" spans="1:11">
      <c r="A531" s="98" t="s">
        <v>50</v>
      </c>
      <c r="B531" s="99" t="s">
        <v>9192</v>
      </c>
      <c r="C531" s="98" t="s">
        <v>8244</v>
      </c>
      <c r="D531" s="101" t="s">
        <v>4</v>
      </c>
      <c r="E531" s="101" t="s">
        <v>8976</v>
      </c>
      <c r="F531" s="98"/>
      <c r="G531" s="98" t="s">
        <v>353</v>
      </c>
      <c r="H531" s="100" t="s">
        <v>8252</v>
      </c>
      <c r="I531" s="100" t="s">
        <v>8252</v>
      </c>
      <c r="J531" s="100" t="s">
        <v>8907</v>
      </c>
      <c r="K531" s="107"/>
    </row>
    <row r="532" ht="15" spans="1:11">
      <c r="A532" s="98" t="s">
        <v>50</v>
      </c>
      <c r="B532" s="99" t="s">
        <v>9193</v>
      </c>
      <c r="C532" s="98" t="s">
        <v>8244</v>
      </c>
      <c r="D532" s="101" t="s">
        <v>4</v>
      </c>
      <c r="E532" s="101" t="s">
        <v>8976</v>
      </c>
      <c r="F532" s="98"/>
      <c r="G532" s="98" t="s">
        <v>353</v>
      </c>
      <c r="H532" s="100" t="s">
        <v>8215</v>
      </c>
      <c r="I532" s="100" t="s">
        <v>8215</v>
      </c>
      <c r="J532" s="100" t="s">
        <v>8725</v>
      </c>
      <c r="K532" s="107"/>
    </row>
    <row r="533" ht="15" spans="1:11">
      <c r="A533" s="98" t="s">
        <v>50</v>
      </c>
      <c r="B533" s="99" t="s">
        <v>9194</v>
      </c>
      <c r="C533" s="98" t="s">
        <v>8244</v>
      </c>
      <c r="D533" s="101" t="s">
        <v>4</v>
      </c>
      <c r="E533" s="101" t="s">
        <v>9195</v>
      </c>
      <c r="F533" s="98"/>
      <c r="G533" s="98" t="s">
        <v>353</v>
      </c>
      <c r="H533" s="100" t="s">
        <v>8215</v>
      </c>
      <c r="I533" s="100" t="s">
        <v>8215</v>
      </c>
      <c r="J533" s="100" t="s">
        <v>8725</v>
      </c>
      <c r="K533" s="107"/>
    </row>
    <row r="534" ht="15" spans="1:11">
      <c r="A534" s="98" t="s">
        <v>50</v>
      </c>
      <c r="B534" s="99" t="s">
        <v>9196</v>
      </c>
      <c r="C534" s="98" t="s">
        <v>8244</v>
      </c>
      <c r="D534" s="101" t="s">
        <v>4</v>
      </c>
      <c r="E534" s="101" t="s">
        <v>9195</v>
      </c>
      <c r="F534" s="98"/>
      <c r="G534" s="98" t="s">
        <v>353</v>
      </c>
      <c r="H534" s="100" t="s">
        <v>8215</v>
      </c>
      <c r="I534" s="100" t="s">
        <v>8215</v>
      </c>
      <c r="J534" s="100" t="s">
        <v>8725</v>
      </c>
      <c r="K534" s="107"/>
    </row>
    <row r="535" ht="15" spans="1:11">
      <c r="A535" s="98" t="s">
        <v>50</v>
      </c>
      <c r="B535" s="99" t="s">
        <v>9197</v>
      </c>
      <c r="C535" s="98" t="s">
        <v>8244</v>
      </c>
      <c r="D535" s="101" t="s">
        <v>4</v>
      </c>
      <c r="E535" s="101" t="s">
        <v>9195</v>
      </c>
      <c r="F535" s="98"/>
      <c r="G535" s="98" t="s">
        <v>353</v>
      </c>
      <c r="H535" s="100" t="s">
        <v>8215</v>
      </c>
      <c r="I535" s="100" t="s">
        <v>8215</v>
      </c>
      <c r="J535" s="100">
        <v>3.6</v>
      </c>
      <c r="K535" s="107"/>
    </row>
    <row r="536" ht="15" spans="1:11">
      <c r="A536" s="98" t="s">
        <v>50</v>
      </c>
      <c r="B536" s="99" t="s">
        <v>9198</v>
      </c>
      <c r="C536" s="98" t="s">
        <v>8244</v>
      </c>
      <c r="D536" s="101" t="s">
        <v>4</v>
      </c>
      <c r="E536" s="101" t="s">
        <v>9195</v>
      </c>
      <c r="F536" s="98"/>
      <c r="G536" s="98" t="s">
        <v>353</v>
      </c>
      <c r="H536" s="100" t="s">
        <v>8215</v>
      </c>
      <c r="I536" s="100" t="s">
        <v>8215</v>
      </c>
      <c r="J536" s="100">
        <v>3.5</v>
      </c>
      <c r="K536" s="107"/>
    </row>
    <row r="537" ht="15" spans="1:11">
      <c r="A537" s="98" t="s">
        <v>50</v>
      </c>
      <c r="B537" s="99" t="s">
        <v>9199</v>
      </c>
      <c r="C537" s="98" t="s">
        <v>8244</v>
      </c>
      <c r="D537" s="101" t="s">
        <v>4</v>
      </c>
      <c r="E537" s="101" t="s">
        <v>9200</v>
      </c>
      <c r="F537" s="98"/>
      <c r="G537" s="98" t="s">
        <v>353</v>
      </c>
      <c r="H537" s="100" t="s">
        <v>8215</v>
      </c>
      <c r="I537" s="100" t="s">
        <v>8215</v>
      </c>
      <c r="J537" s="100" t="s">
        <v>8463</v>
      </c>
      <c r="K537" s="107"/>
    </row>
    <row r="538" ht="15" spans="1:11">
      <c r="A538" s="98" t="s">
        <v>50</v>
      </c>
      <c r="B538" s="100" t="s">
        <v>9201</v>
      </c>
      <c r="C538" s="98" t="s">
        <v>8240</v>
      </c>
      <c r="D538" s="98"/>
      <c r="E538" s="98" t="s">
        <v>9200</v>
      </c>
      <c r="F538" s="98" t="s">
        <v>1025</v>
      </c>
      <c r="G538" s="98" t="s">
        <v>353</v>
      </c>
      <c r="H538" s="100" t="s">
        <v>8734</v>
      </c>
      <c r="I538" s="100" t="s">
        <v>8734</v>
      </c>
      <c r="J538" s="100"/>
      <c r="K538" s="107"/>
    </row>
    <row r="539" ht="15" spans="1:11">
      <c r="A539" s="98" t="s">
        <v>50</v>
      </c>
      <c r="B539" s="119" t="s">
        <v>9202</v>
      </c>
      <c r="C539" s="101" t="s">
        <v>8240</v>
      </c>
      <c r="D539" s="98" t="s">
        <v>4</v>
      </c>
      <c r="E539" s="98" t="s">
        <v>9200</v>
      </c>
      <c r="F539" s="98"/>
      <c r="G539" s="98" t="s">
        <v>353</v>
      </c>
      <c r="H539" s="101" t="s">
        <v>8215</v>
      </c>
      <c r="I539" s="100" t="s">
        <v>8674</v>
      </c>
      <c r="J539" s="98" t="s">
        <v>8974</v>
      </c>
      <c r="K539" s="107"/>
    </row>
    <row r="540" ht="15" spans="1:11">
      <c r="A540" s="98" t="s">
        <v>50</v>
      </c>
      <c r="B540" s="100" t="s">
        <v>9203</v>
      </c>
      <c r="C540" s="98" t="s">
        <v>8240</v>
      </c>
      <c r="D540" s="98"/>
      <c r="E540" s="98" t="s">
        <v>9200</v>
      </c>
      <c r="F540" s="98" t="s">
        <v>1025</v>
      </c>
      <c r="G540" s="98" t="s">
        <v>353</v>
      </c>
      <c r="H540" s="100" t="s">
        <v>8734</v>
      </c>
      <c r="I540" s="100" t="s">
        <v>8734</v>
      </c>
      <c r="J540" s="100"/>
      <c r="K540" s="107"/>
    </row>
    <row r="541" ht="15" spans="1:11">
      <c r="A541" s="98" t="s">
        <v>50</v>
      </c>
      <c r="B541" s="100" t="s">
        <v>9204</v>
      </c>
      <c r="C541" s="98" t="s">
        <v>8225</v>
      </c>
      <c r="D541" s="98" t="s">
        <v>4</v>
      </c>
      <c r="E541" s="98" t="s">
        <v>9200</v>
      </c>
      <c r="F541" s="98"/>
      <c r="G541" s="98" t="s">
        <v>353</v>
      </c>
      <c r="H541" s="100"/>
      <c r="I541" s="100"/>
      <c r="J541" s="100" t="s">
        <v>9205</v>
      </c>
      <c r="K541" s="107"/>
    </row>
    <row r="542" ht="15" spans="1:11">
      <c r="A542" s="98" t="s">
        <v>50</v>
      </c>
      <c r="B542" s="99" t="s">
        <v>9206</v>
      </c>
      <c r="C542" s="98" t="s">
        <v>8244</v>
      </c>
      <c r="D542" s="101" t="s">
        <v>4</v>
      </c>
      <c r="E542" s="101" t="s">
        <v>9207</v>
      </c>
      <c r="F542" s="98"/>
      <c r="G542" s="98" t="s">
        <v>353</v>
      </c>
      <c r="H542" s="100" t="s">
        <v>8215</v>
      </c>
      <c r="I542" s="100" t="s">
        <v>8247</v>
      </c>
      <c r="J542" s="100" t="s">
        <v>8459</v>
      </c>
      <c r="K542" s="107"/>
    </row>
    <row r="543" ht="30" spans="1:11">
      <c r="A543" s="98" t="s">
        <v>50</v>
      </c>
      <c r="B543" s="100" t="s">
        <v>9208</v>
      </c>
      <c r="C543" s="98" t="s">
        <v>8244</v>
      </c>
      <c r="D543" s="101" t="s">
        <v>4</v>
      </c>
      <c r="E543" s="101" t="s">
        <v>9209</v>
      </c>
      <c r="F543" s="98"/>
      <c r="G543" s="98" t="s">
        <v>353</v>
      </c>
      <c r="H543" s="100" t="s">
        <v>8215</v>
      </c>
      <c r="I543" s="100" t="s">
        <v>8215</v>
      </c>
      <c r="J543" s="100"/>
      <c r="K543" s="107"/>
    </row>
    <row r="544" ht="15" spans="1:11">
      <c r="A544" s="98" t="s">
        <v>50</v>
      </c>
      <c r="B544" s="99" t="s">
        <v>9210</v>
      </c>
      <c r="C544" s="98" t="s">
        <v>8229</v>
      </c>
      <c r="D544" s="101" t="s">
        <v>4</v>
      </c>
      <c r="E544" s="101" t="s">
        <v>9209</v>
      </c>
      <c r="F544" s="98"/>
      <c r="G544" s="98" t="s">
        <v>353</v>
      </c>
      <c r="H544" s="100" t="s">
        <v>8215</v>
      </c>
      <c r="I544" s="100" t="s">
        <v>8674</v>
      </c>
      <c r="J544" s="100"/>
      <c r="K544" s="107"/>
    </row>
    <row r="545" ht="15" spans="1:11">
      <c r="A545" s="98" t="s">
        <v>50</v>
      </c>
      <c r="B545" s="99" t="s">
        <v>9211</v>
      </c>
      <c r="C545" s="98" t="s">
        <v>8258</v>
      </c>
      <c r="D545" s="101" t="s">
        <v>4</v>
      </c>
      <c r="E545" s="101" t="s">
        <v>9212</v>
      </c>
      <c r="F545" s="98"/>
      <c r="G545" s="98" t="s">
        <v>353</v>
      </c>
      <c r="H545" s="100" t="s">
        <v>8215</v>
      </c>
      <c r="I545" s="100" t="s">
        <v>8215</v>
      </c>
      <c r="J545" s="100" t="s">
        <v>8220</v>
      </c>
      <c r="K545" s="107"/>
    </row>
    <row r="546" ht="15" spans="1:11">
      <c r="A546" s="98" t="s">
        <v>50</v>
      </c>
      <c r="B546" s="99" t="s">
        <v>9213</v>
      </c>
      <c r="C546" s="98" t="s">
        <v>8244</v>
      </c>
      <c r="D546" s="101" t="s">
        <v>4</v>
      </c>
      <c r="E546" s="101" t="s">
        <v>9212</v>
      </c>
      <c r="F546" s="98"/>
      <c r="G546" s="98" t="s">
        <v>353</v>
      </c>
      <c r="H546" s="100" t="s">
        <v>8215</v>
      </c>
      <c r="I546" s="100" t="s">
        <v>8215</v>
      </c>
      <c r="J546" s="100" t="s">
        <v>8459</v>
      </c>
      <c r="K546" s="107"/>
    </row>
    <row r="547" ht="15" spans="1:11">
      <c r="A547" s="98" t="s">
        <v>50</v>
      </c>
      <c r="B547" s="99" t="s">
        <v>9214</v>
      </c>
      <c r="C547" s="98" t="s">
        <v>8244</v>
      </c>
      <c r="D547" s="101" t="s">
        <v>4</v>
      </c>
      <c r="E547" s="101" t="s">
        <v>9212</v>
      </c>
      <c r="F547" s="98"/>
      <c r="G547" s="98" t="s">
        <v>353</v>
      </c>
      <c r="H547" s="100" t="s">
        <v>8215</v>
      </c>
      <c r="I547" s="100" t="s">
        <v>8215</v>
      </c>
      <c r="J547" s="100" t="s">
        <v>8459</v>
      </c>
      <c r="K547" s="107"/>
    </row>
    <row r="548" ht="15" spans="1:11">
      <c r="A548" s="98" t="s">
        <v>50</v>
      </c>
      <c r="B548" s="99" t="s">
        <v>9215</v>
      </c>
      <c r="C548" s="98" t="s">
        <v>8244</v>
      </c>
      <c r="D548" s="101" t="s">
        <v>4</v>
      </c>
      <c r="E548" s="101" t="s">
        <v>9212</v>
      </c>
      <c r="F548" s="98"/>
      <c r="G548" s="98" t="s">
        <v>353</v>
      </c>
      <c r="H548" s="100" t="s">
        <v>8215</v>
      </c>
      <c r="I548" s="100" t="s">
        <v>8247</v>
      </c>
      <c r="J548" s="100" t="s">
        <v>8220</v>
      </c>
      <c r="K548" s="107"/>
    </row>
    <row r="549" ht="15" spans="1:11">
      <c r="A549" s="98" t="s">
        <v>50</v>
      </c>
      <c r="B549" s="99" t="s">
        <v>9216</v>
      </c>
      <c r="C549" s="98" t="s">
        <v>8244</v>
      </c>
      <c r="D549" s="101" t="s">
        <v>4</v>
      </c>
      <c r="E549" s="101" t="s">
        <v>9217</v>
      </c>
      <c r="F549" s="98"/>
      <c r="G549" s="98" t="s">
        <v>353</v>
      </c>
      <c r="H549" s="100" t="s">
        <v>8215</v>
      </c>
      <c r="I549" s="100" t="s">
        <v>8215</v>
      </c>
      <c r="J549" s="100" t="s">
        <v>8894</v>
      </c>
      <c r="K549" s="107"/>
    </row>
    <row r="550" ht="15" spans="1:11">
      <c r="A550" s="98" t="s">
        <v>50</v>
      </c>
      <c r="B550" s="99" t="s">
        <v>9218</v>
      </c>
      <c r="C550" s="98" t="s">
        <v>8244</v>
      </c>
      <c r="D550" s="101" t="s">
        <v>4</v>
      </c>
      <c r="E550" s="101" t="s">
        <v>9217</v>
      </c>
      <c r="F550" s="98"/>
      <c r="G550" s="98" t="s">
        <v>353</v>
      </c>
      <c r="H550" s="100" t="s">
        <v>8215</v>
      </c>
      <c r="I550" s="100" t="s">
        <v>8247</v>
      </c>
      <c r="J550" s="100" t="s">
        <v>8894</v>
      </c>
      <c r="K550" s="107"/>
    </row>
    <row r="551" ht="15" spans="1:11">
      <c r="A551" s="98" t="s">
        <v>50</v>
      </c>
      <c r="B551" s="99" t="s">
        <v>9219</v>
      </c>
      <c r="C551" s="98" t="s">
        <v>8244</v>
      </c>
      <c r="D551" s="101" t="s">
        <v>4</v>
      </c>
      <c r="E551" s="101" t="s">
        <v>9217</v>
      </c>
      <c r="F551" s="98"/>
      <c r="G551" s="98" t="s">
        <v>353</v>
      </c>
      <c r="H551" s="100" t="s">
        <v>8215</v>
      </c>
      <c r="I551" s="100" t="s">
        <v>8215</v>
      </c>
      <c r="J551" s="100" t="s">
        <v>8459</v>
      </c>
      <c r="K551" s="107"/>
    </row>
    <row r="552" ht="15" spans="1:11">
      <c r="A552" s="98" t="s">
        <v>50</v>
      </c>
      <c r="B552" s="100" t="s">
        <v>9220</v>
      </c>
      <c r="C552" s="98" t="s">
        <v>8244</v>
      </c>
      <c r="D552" s="101" t="s">
        <v>4</v>
      </c>
      <c r="E552" s="101" t="s">
        <v>9221</v>
      </c>
      <c r="F552" s="98"/>
      <c r="G552" s="98" t="s">
        <v>353</v>
      </c>
      <c r="H552" s="100" t="s">
        <v>8215</v>
      </c>
      <c r="I552" s="100" t="s">
        <v>8247</v>
      </c>
      <c r="J552" s="100"/>
      <c r="K552" s="107"/>
    </row>
    <row r="553" ht="15" spans="1:11">
      <c r="A553" s="98" t="s">
        <v>50</v>
      </c>
      <c r="B553" s="99" t="s">
        <v>9222</v>
      </c>
      <c r="C553" s="98" t="s">
        <v>8244</v>
      </c>
      <c r="D553" s="101" t="s">
        <v>4</v>
      </c>
      <c r="E553" s="101" t="s">
        <v>9223</v>
      </c>
      <c r="F553" s="98"/>
      <c r="G553" s="98" t="s">
        <v>353</v>
      </c>
      <c r="H553" s="100" t="s">
        <v>8215</v>
      </c>
      <c r="I553" s="100" t="s">
        <v>8215</v>
      </c>
      <c r="J553" s="100" t="s">
        <v>8459</v>
      </c>
      <c r="K553" s="107"/>
    </row>
    <row r="554" ht="15" spans="1:11">
      <c r="A554" s="98" t="s">
        <v>50</v>
      </c>
      <c r="B554" s="99" t="s">
        <v>9224</v>
      </c>
      <c r="C554" s="98" t="s">
        <v>8244</v>
      </c>
      <c r="D554" s="101" t="s">
        <v>4</v>
      </c>
      <c r="E554" s="101" t="s">
        <v>9225</v>
      </c>
      <c r="F554" s="98"/>
      <c r="G554" s="98" t="s">
        <v>353</v>
      </c>
      <c r="H554" s="100" t="s">
        <v>8215</v>
      </c>
      <c r="I554" s="100" t="s">
        <v>8215</v>
      </c>
      <c r="J554" s="100" t="s">
        <v>8459</v>
      </c>
      <c r="K554" s="107"/>
    </row>
    <row r="555" ht="15" spans="1:11">
      <c r="A555" s="98" t="s">
        <v>50</v>
      </c>
      <c r="B555" s="99" t="s">
        <v>9226</v>
      </c>
      <c r="C555" s="98" t="s">
        <v>8244</v>
      </c>
      <c r="D555" s="101" t="s">
        <v>4</v>
      </c>
      <c r="E555" s="101" t="s">
        <v>9225</v>
      </c>
      <c r="F555" s="98"/>
      <c r="G555" s="98" t="s">
        <v>353</v>
      </c>
      <c r="H555" s="100" t="s">
        <v>8215</v>
      </c>
      <c r="I555" s="100" t="s">
        <v>8215</v>
      </c>
      <c r="J555" s="100" t="s">
        <v>8463</v>
      </c>
      <c r="K555" s="107"/>
    </row>
    <row r="556" ht="15" spans="1:11">
      <c r="A556" s="98" t="s">
        <v>50</v>
      </c>
      <c r="B556" s="100" t="s">
        <v>9227</v>
      </c>
      <c r="C556" s="98" t="s">
        <v>8244</v>
      </c>
      <c r="D556" s="101" t="s">
        <v>4</v>
      </c>
      <c r="E556" s="101" t="s">
        <v>9225</v>
      </c>
      <c r="F556" s="98"/>
      <c r="G556" s="98" t="s">
        <v>353</v>
      </c>
      <c r="H556" s="100" t="s">
        <v>8215</v>
      </c>
      <c r="I556" s="100" t="s">
        <v>8215</v>
      </c>
      <c r="J556" s="100" t="s">
        <v>8725</v>
      </c>
      <c r="K556" s="107"/>
    </row>
    <row r="557" ht="15" spans="1:11">
      <c r="A557" s="98" t="s">
        <v>50</v>
      </c>
      <c r="B557" s="99" t="s">
        <v>9228</v>
      </c>
      <c r="C557" s="98" t="s">
        <v>8244</v>
      </c>
      <c r="D557" s="101" t="s">
        <v>4</v>
      </c>
      <c r="E557" s="101" t="s">
        <v>9225</v>
      </c>
      <c r="F557" s="98"/>
      <c r="G557" s="98" t="s">
        <v>353</v>
      </c>
      <c r="H557" s="100" t="s">
        <v>8215</v>
      </c>
      <c r="I557" s="100" t="s">
        <v>8215</v>
      </c>
      <c r="J557" s="100" t="s">
        <v>8463</v>
      </c>
      <c r="K557" s="107"/>
    </row>
    <row r="558" ht="15" spans="1:11">
      <c r="A558" s="98" t="s">
        <v>50</v>
      </c>
      <c r="B558" s="99" t="s">
        <v>9229</v>
      </c>
      <c r="C558" s="98" t="s">
        <v>8244</v>
      </c>
      <c r="D558" s="101" t="s">
        <v>4</v>
      </c>
      <c r="E558" s="101" t="s">
        <v>9230</v>
      </c>
      <c r="F558" s="98"/>
      <c r="G558" s="98" t="s">
        <v>353</v>
      </c>
      <c r="H558" s="100" t="s">
        <v>8215</v>
      </c>
      <c r="I558" s="100" t="s">
        <v>8247</v>
      </c>
      <c r="J558" s="100"/>
      <c r="K558" s="107"/>
    </row>
    <row r="559" s="89" customFormat="1" ht="15" spans="1:256">
      <c r="A559" s="98" t="s">
        <v>50</v>
      </c>
      <c r="B559" s="99" t="s">
        <v>9231</v>
      </c>
      <c r="C559" s="99" t="s">
        <v>8272</v>
      </c>
      <c r="D559" s="99" t="s">
        <v>4</v>
      </c>
      <c r="E559" s="99" t="s">
        <v>2201</v>
      </c>
      <c r="F559" s="99"/>
      <c r="G559" s="99" t="s">
        <v>353</v>
      </c>
      <c r="H559" s="99" t="s">
        <v>8215</v>
      </c>
      <c r="I559" s="99" t="s">
        <v>8215</v>
      </c>
      <c r="J559" s="99" t="s">
        <v>9232</v>
      </c>
      <c r="K559" s="109">
        <v>45929</v>
      </c>
      <c r="L559" s="115"/>
      <c r="M559" s="115"/>
      <c r="N559" s="115"/>
      <c r="O559" s="115"/>
      <c r="P559" s="115"/>
      <c r="Q559" s="115"/>
      <c r="R559" s="115"/>
      <c r="S559" s="115"/>
      <c r="T559" s="115"/>
      <c r="U559" s="115"/>
      <c r="V559" s="115"/>
      <c r="W559" s="115"/>
      <c r="X559" s="115"/>
      <c r="Y559" s="115"/>
      <c r="Z559" s="115"/>
      <c r="AA559" s="115"/>
      <c r="AB559" s="115"/>
      <c r="AC559" s="115"/>
      <c r="AD559" s="115"/>
      <c r="AE559" s="115"/>
      <c r="AF559" s="115"/>
      <c r="AG559" s="115"/>
      <c r="AH559" s="115"/>
      <c r="AI559" s="115"/>
      <c r="AJ559" s="115"/>
      <c r="AK559" s="115"/>
      <c r="AL559" s="115"/>
      <c r="AM559" s="115"/>
      <c r="AN559" s="115"/>
      <c r="AO559" s="115"/>
      <c r="AP559" s="115"/>
      <c r="AQ559" s="115"/>
      <c r="AR559" s="115"/>
      <c r="AS559" s="115"/>
      <c r="AT559" s="115"/>
      <c r="AU559" s="115"/>
      <c r="AV559" s="115"/>
      <c r="AW559" s="115"/>
      <c r="AX559" s="115"/>
      <c r="AY559" s="115"/>
      <c r="AZ559" s="115"/>
      <c r="BA559" s="115"/>
      <c r="BB559" s="115"/>
      <c r="BC559" s="115"/>
      <c r="BD559" s="115"/>
      <c r="BE559" s="115"/>
      <c r="BF559" s="115"/>
      <c r="BG559" s="115"/>
      <c r="BH559" s="115"/>
      <c r="BI559" s="115"/>
      <c r="BJ559" s="115"/>
      <c r="BK559" s="115"/>
      <c r="BL559" s="115"/>
      <c r="BM559" s="115"/>
      <c r="BN559" s="115"/>
      <c r="BO559" s="115"/>
      <c r="BP559" s="115"/>
      <c r="BQ559" s="115"/>
      <c r="BR559" s="115"/>
      <c r="BS559" s="115"/>
      <c r="BT559" s="115"/>
      <c r="BU559" s="115"/>
      <c r="BV559" s="115"/>
      <c r="BW559" s="115"/>
      <c r="BX559" s="115"/>
      <c r="BY559" s="115"/>
      <c r="BZ559" s="115"/>
      <c r="CA559" s="115"/>
      <c r="CB559" s="115"/>
      <c r="CC559" s="115"/>
      <c r="CD559" s="115"/>
      <c r="CE559" s="115"/>
      <c r="CF559" s="115"/>
      <c r="CG559" s="115"/>
      <c r="CH559" s="115"/>
      <c r="CI559" s="115"/>
      <c r="CJ559" s="115"/>
      <c r="CK559" s="115"/>
      <c r="CL559" s="115"/>
      <c r="CM559" s="115"/>
      <c r="CN559" s="115"/>
      <c r="CO559" s="115"/>
      <c r="CP559" s="115"/>
      <c r="CQ559" s="115"/>
      <c r="CR559" s="115"/>
      <c r="CS559" s="115"/>
      <c r="CT559" s="115"/>
      <c r="CU559" s="115"/>
      <c r="CV559" s="115"/>
      <c r="CW559" s="115"/>
      <c r="CX559" s="115"/>
      <c r="CY559" s="115"/>
      <c r="CZ559" s="115"/>
      <c r="DA559" s="115"/>
      <c r="DB559" s="115"/>
      <c r="DC559" s="115"/>
      <c r="DD559" s="115"/>
      <c r="DE559" s="115"/>
      <c r="DF559" s="115"/>
      <c r="DG559" s="115"/>
      <c r="DH559" s="115"/>
      <c r="DI559" s="115"/>
      <c r="DJ559" s="115"/>
      <c r="DK559" s="115"/>
      <c r="DL559" s="115"/>
      <c r="DM559" s="115"/>
      <c r="DN559" s="115"/>
      <c r="DO559" s="115"/>
      <c r="DP559" s="115"/>
      <c r="DQ559" s="115"/>
      <c r="DR559" s="115"/>
      <c r="DS559" s="115"/>
      <c r="DT559" s="115"/>
      <c r="DU559" s="115"/>
      <c r="DV559" s="115"/>
      <c r="DW559" s="115"/>
      <c r="DX559" s="115"/>
      <c r="DY559" s="115"/>
      <c r="DZ559" s="115"/>
      <c r="EA559" s="115"/>
      <c r="EB559" s="115"/>
      <c r="EC559" s="115"/>
      <c r="ED559" s="115"/>
      <c r="EE559" s="115"/>
      <c r="EF559" s="115"/>
      <c r="EG559" s="115"/>
      <c r="EH559" s="115"/>
      <c r="EI559" s="115"/>
      <c r="EJ559" s="115"/>
      <c r="EK559" s="115"/>
      <c r="EL559" s="115"/>
      <c r="EM559" s="115"/>
      <c r="EN559" s="115"/>
      <c r="EO559" s="115"/>
      <c r="EP559" s="115"/>
      <c r="EQ559" s="115"/>
      <c r="ER559" s="115"/>
      <c r="ES559" s="115"/>
      <c r="ET559" s="115"/>
      <c r="EU559" s="115"/>
      <c r="EV559" s="115"/>
      <c r="EW559" s="115"/>
      <c r="EX559" s="115"/>
      <c r="EY559" s="115"/>
      <c r="EZ559" s="115"/>
      <c r="FA559" s="115"/>
      <c r="FB559" s="115"/>
      <c r="FC559" s="115"/>
      <c r="FD559" s="115"/>
      <c r="FE559" s="115"/>
      <c r="FF559" s="115"/>
      <c r="FG559" s="115"/>
      <c r="FH559" s="115"/>
      <c r="FI559" s="115"/>
      <c r="FJ559" s="115"/>
      <c r="FK559" s="115"/>
      <c r="FL559" s="115"/>
      <c r="FM559" s="115"/>
      <c r="FN559" s="115"/>
      <c r="FO559" s="115"/>
      <c r="FP559" s="115"/>
      <c r="FQ559" s="115"/>
      <c r="FR559" s="115"/>
      <c r="FS559" s="115"/>
      <c r="FT559" s="115"/>
      <c r="FU559" s="115"/>
      <c r="FV559" s="115"/>
      <c r="FW559" s="115"/>
      <c r="FX559" s="115"/>
      <c r="FY559" s="115"/>
      <c r="FZ559" s="115"/>
      <c r="GA559" s="115"/>
      <c r="GB559" s="115"/>
      <c r="GC559" s="115"/>
      <c r="GD559" s="115"/>
      <c r="GE559" s="115"/>
      <c r="GF559" s="115"/>
      <c r="GG559" s="115"/>
      <c r="GH559" s="115"/>
      <c r="GI559" s="115"/>
      <c r="GJ559" s="115"/>
      <c r="GK559" s="115"/>
      <c r="GL559" s="115"/>
      <c r="GM559" s="115"/>
      <c r="GN559" s="115"/>
      <c r="GO559" s="115"/>
      <c r="GP559" s="115"/>
      <c r="GQ559" s="115"/>
      <c r="GR559" s="115"/>
      <c r="GS559" s="115"/>
      <c r="GT559" s="115"/>
      <c r="GU559" s="115"/>
      <c r="GV559" s="115"/>
      <c r="GW559" s="115"/>
      <c r="GX559" s="115"/>
      <c r="GY559" s="115"/>
      <c r="GZ559" s="115"/>
      <c r="HA559" s="115"/>
      <c r="HB559" s="115"/>
      <c r="HC559" s="115"/>
      <c r="HD559" s="115"/>
      <c r="HE559" s="115"/>
      <c r="HF559" s="115"/>
      <c r="HG559" s="115"/>
      <c r="HH559" s="115"/>
      <c r="HI559" s="115"/>
      <c r="HJ559" s="115"/>
      <c r="HK559" s="115"/>
      <c r="HL559" s="115"/>
      <c r="HM559" s="115"/>
      <c r="HN559" s="115"/>
      <c r="HO559" s="115"/>
      <c r="HP559" s="115"/>
      <c r="HQ559" s="115"/>
      <c r="HR559" s="115"/>
      <c r="HS559" s="115"/>
      <c r="HT559" s="115"/>
      <c r="HU559" s="115"/>
      <c r="HV559" s="115"/>
      <c r="HW559" s="115"/>
      <c r="HX559" s="115"/>
      <c r="HY559" s="115"/>
      <c r="HZ559" s="115"/>
      <c r="IA559" s="115"/>
      <c r="IB559" s="115"/>
      <c r="IC559" s="115"/>
      <c r="ID559" s="115"/>
      <c r="IE559" s="115"/>
      <c r="IF559" s="115"/>
      <c r="IG559" s="115"/>
      <c r="IH559" s="115"/>
      <c r="II559" s="115"/>
      <c r="IJ559" s="115"/>
      <c r="IK559" s="115"/>
      <c r="IL559" s="115"/>
      <c r="IM559" s="115"/>
      <c r="IN559" s="115"/>
      <c r="IO559" s="115"/>
      <c r="IP559" s="115"/>
      <c r="IQ559" s="115"/>
      <c r="IR559" s="115"/>
      <c r="IS559" s="115"/>
      <c r="IT559" s="115"/>
      <c r="IU559" s="115"/>
      <c r="IV559" s="115"/>
    </row>
    <row r="560" ht="15" spans="1:11">
      <c r="A560" s="98" t="s">
        <v>51</v>
      </c>
      <c r="B560" s="99" t="s">
        <v>9233</v>
      </c>
      <c r="C560" s="98" t="s">
        <v>8225</v>
      </c>
      <c r="D560" s="101" t="s">
        <v>4</v>
      </c>
      <c r="E560" s="101" t="s">
        <v>9209</v>
      </c>
      <c r="F560" s="98"/>
      <c r="G560" s="98" t="s">
        <v>353</v>
      </c>
      <c r="H560" s="100"/>
      <c r="I560" s="100"/>
      <c r="J560" s="100" t="s">
        <v>9234</v>
      </c>
      <c r="K560" s="107"/>
    </row>
    <row r="561" ht="15" spans="1:11">
      <c r="A561" s="98" t="s">
        <v>51</v>
      </c>
      <c r="B561" s="99" t="s">
        <v>9235</v>
      </c>
      <c r="C561" s="98" t="s">
        <v>8225</v>
      </c>
      <c r="D561" s="101" t="s">
        <v>4</v>
      </c>
      <c r="E561" s="101" t="s">
        <v>9236</v>
      </c>
      <c r="F561" s="98"/>
      <c r="G561" s="98" t="s">
        <v>353</v>
      </c>
      <c r="H561" s="100"/>
      <c r="I561" s="100"/>
      <c r="J561" s="100" t="s">
        <v>8463</v>
      </c>
      <c r="K561" s="107"/>
    </row>
    <row r="562" s="91" customFormat="1" ht="15" spans="1:11">
      <c r="A562" s="106" t="s">
        <v>9237</v>
      </c>
      <c r="B562" s="106" t="s">
        <v>9238</v>
      </c>
      <c r="C562" s="106" t="s">
        <v>8293</v>
      </c>
      <c r="D562" s="106" t="s">
        <v>4</v>
      </c>
      <c r="E562" s="106" t="s">
        <v>9239</v>
      </c>
      <c r="F562" s="106"/>
      <c r="G562" s="106" t="s">
        <v>353</v>
      </c>
      <c r="H562" s="106" t="s">
        <v>8294</v>
      </c>
      <c r="I562" s="106" t="s">
        <v>8247</v>
      </c>
      <c r="J562" s="106" t="s">
        <v>9240</v>
      </c>
      <c r="K562" s="106">
        <v>2024.7</v>
      </c>
    </row>
    <row r="563" s="91" customFormat="1" ht="15" spans="1:11">
      <c r="A563" s="106" t="s">
        <v>9237</v>
      </c>
      <c r="B563" s="106" t="s">
        <v>9241</v>
      </c>
      <c r="C563" s="106" t="s">
        <v>8293</v>
      </c>
      <c r="D563" s="106" t="s">
        <v>4</v>
      </c>
      <c r="E563" s="106" t="s">
        <v>9242</v>
      </c>
      <c r="F563" s="106"/>
      <c r="G563" s="106" t="s">
        <v>353</v>
      </c>
      <c r="H563" s="106" t="s">
        <v>8215</v>
      </c>
      <c r="I563" s="106" t="s">
        <v>8247</v>
      </c>
      <c r="J563" s="106" t="s">
        <v>9243</v>
      </c>
      <c r="K563" s="106">
        <v>2024.7</v>
      </c>
    </row>
    <row r="564" s="91" customFormat="1" ht="15" spans="1:11">
      <c r="A564" s="106" t="s">
        <v>51</v>
      </c>
      <c r="B564" s="106" t="s">
        <v>9244</v>
      </c>
      <c r="C564" s="106" t="s">
        <v>8293</v>
      </c>
      <c r="D564" s="106" t="s">
        <v>5</v>
      </c>
      <c r="E564" s="106" t="s">
        <v>9245</v>
      </c>
      <c r="F564" s="106"/>
      <c r="G564" s="106" t="s">
        <v>353</v>
      </c>
      <c r="H564" s="106" t="s">
        <v>9246</v>
      </c>
      <c r="I564" s="106" t="s">
        <v>9247</v>
      </c>
      <c r="J564" s="106" t="s">
        <v>9025</v>
      </c>
      <c r="K564" s="114" t="s">
        <v>8308</v>
      </c>
    </row>
    <row r="565" ht="15" spans="1:11">
      <c r="A565" s="98" t="s">
        <v>62</v>
      </c>
      <c r="B565" s="99" t="s">
        <v>9248</v>
      </c>
      <c r="C565" s="98" t="s">
        <v>8218</v>
      </c>
      <c r="D565" s="101" t="s">
        <v>4</v>
      </c>
      <c r="E565" s="101" t="s">
        <v>9249</v>
      </c>
      <c r="F565" s="98"/>
      <c r="G565" s="101" t="s">
        <v>117</v>
      </c>
      <c r="H565" s="100" t="s">
        <v>8320</v>
      </c>
      <c r="I565" s="100" t="s">
        <v>8215</v>
      </c>
      <c r="J565" s="100" t="s">
        <v>8220</v>
      </c>
      <c r="K565" s="107"/>
    </row>
    <row r="566" ht="15" spans="1:11">
      <c r="A566" s="98" t="s">
        <v>62</v>
      </c>
      <c r="B566" s="99" t="s">
        <v>9250</v>
      </c>
      <c r="C566" s="98" t="s">
        <v>8218</v>
      </c>
      <c r="D566" s="101" t="s">
        <v>4</v>
      </c>
      <c r="E566" s="101" t="s">
        <v>9249</v>
      </c>
      <c r="F566" s="98"/>
      <c r="G566" s="101" t="s">
        <v>117</v>
      </c>
      <c r="H566" s="100" t="s">
        <v>8215</v>
      </c>
      <c r="I566" s="100" t="s">
        <v>8215</v>
      </c>
      <c r="J566" s="100" t="s">
        <v>8459</v>
      </c>
      <c r="K566" s="107"/>
    </row>
    <row r="567" ht="15" spans="1:11">
      <c r="A567" s="98" t="s">
        <v>62</v>
      </c>
      <c r="B567" s="99" t="s">
        <v>9251</v>
      </c>
      <c r="C567" s="98" t="s">
        <v>8218</v>
      </c>
      <c r="D567" s="101" t="s">
        <v>4</v>
      </c>
      <c r="E567" s="101" t="s">
        <v>9252</v>
      </c>
      <c r="F567" s="101"/>
      <c r="G567" s="101" t="s">
        <v>117</v>
      </c>
      <c r="H567" s="100" t="s">
        <v>8215</v>
      </c>
      <c r="I567" s="100" t="s">
        <v>8215</v>
      </c>
      <c r="J567" s="100" t="s">
        <v>8990</v>
      </c>
      <c r="K567" s="107"/>
    </row>
    <row r="568" ht="15" spans="1:11">
      <c r="A568" s="98" t="s">
        <v>62</v>
      </c>
      <c r="B568" s="99" t="s">
        <v>9253</v>
      </c>
      <c r="C568" s="98" t="s">
        <v>8218</v>
      </c>
      <c r="D568" s="101" t="s">
        <v>4</v>
      </c>
      <c r="E568" s="101" t="s">
        <v>9252</v>
      </c>
      <c r="F568" s="101"/>
      <c r="G568" s="101" t="s">
        <v>117</v>
      </c>
      <c r="H568" s="100" t="s">
        <v>8215</v>
      </c>
      <c r="I568" s="100" t="s">
        <v>8215</v>
      </c>
      <c r="J568" s="100" t="s">
        <v>8758</v>
      </c>
      <c r="K568" s="107"/>
    </row>
    <row r="569" ht="15" spans="1:11">
      <c r="A569" s="98" t="s">
        <v>62</v>
      </c>
      <c r="B569" s="99" t="s">
        <v>9254</v>
      </c>
      <c r="C569" s="98" t="s">
        <v>8218</v>
      </c>
      <c r="D569" s="101" t="s">
        <v>4</v>
      </c>
      <c r="E569" s="101" t="s">
        <v>5803</v>
      </c>
      <c r="F569" s="98"/>
      <c r="G569" s="101" t="s">
        <v>117</v>
      </c>
      <c r="H569" s="100" t="s">
        <v>8215</v>
      </c>
      <c r="I569" s="100" t="s">
        <v>8215</v>
      </c>
      <c r="J569" s="100" t="s">
        <v>8722</v>
      </c>
      <c r="K569" s="107"/>
    </row>
    <row r="570" ht="15" spans="1:11">
      <c r="A570" s="98" t="s">
        <v>62</v>
      </c>
      <c r="B570" s="100" t="s">
        <v>9255</v>
      </c>
      <c r="C570" s="98" t="s">
        <v>8218</v>
      </c>
      <c r="D570" s="101" t="s">
        <v>4</v>
      </c>
      <c r="E570" s="101" t="s">
        <v>9256</v>
      </c>
      <c r="F570" s="101"/>
      <c r="G570" s="101" t="s">
        <v>117</v>
      </c>
      <c r="H570" s="100" t="s">
        <v>8215</v>
      </c>
      <c r="I570" s="100" t="s">
        <v>8215</v>
      </c>
      <c r="J570" s="100">
        <v>3</v>
      </c>
      <c r="K570" s="107"/>
    </row>
    <row r="571" ht="15" spans="1:11">
      <c r="A571" s="98" t="s">
        <v>62</v>
      </c>
      <c r="B571" s="100" t="s">
        <v>9257</v>
      </c>
      <c r="C571" s="98" t="s">
        <v>8514</v>
      </c>
      <c r="D571" s="101" t="s">
        <v>4</v>
      </c>
      <c r="E571" s="101" t="s">
        <v>9258</v>
      </c>
      <c r="F571" s="101"/>
      <c r="G571" s="101" t="s">
        <v>117</v>
      </c>
      <c r="H571" s="100" t="s">
        <v>8215</v>
      </c>
      <c r="I571" s="100" t="s">
        <v>8734</v>
      </c>
      <c r="J571" s="100"/>
      <c r="K571" s="107"/>
    </row>
    <row r="572" s="90" customFormat="1" ht="15" spans="1:11">
      <c r="A572" s="98" t="s">
        <v>62</v>
      </c>
      <c r="B572" s="100" t="s">
        <v>9259</v>
      </c>
      <c r="C572" s="98" t="s">
        <v>8272</v>
      </c>
      <c r="D572" s="101" t="s">
        <v>4</v>
      </c>
      <c r="E572" s="101" t="s">
        <v>9260</v>
      </c>
      <c r="F572" s="101"/>
      <c r="G572" s="101" t="s">
        <v>117</v>
      </c>
      <c r="H572" s="120" t="s">
        <v>8215</v>
      </c>
      <c r="I572" s="100" t="s">
        <v>8215</v>
      </c>
      <c r="J572" s="100" t="s">
        <v>9261</v>
      </c>
      <c r="K572" s="107">
        <v>2025.4</v>
      </c>
    </row>
    <row r="573" ht="15" spans="1:11">
      <c r="A573" s="98" t="s">
        <v>62</v>
      </c>
      <c r="B573" s="99" t="s">
        <v>9262</v>
      </c>
      <c r="C573" s="98" t="s">
        <v>8218</v>
      </c>
      <c r="D573" s="101" t="s">
        <v>4</v>
      </c>
      <c r="E573" s="101" t="s">
        <v>9263</v>
      </c>
      <c r="F573" s="98"/>
      <c r="G573" s="101" t="s">
        <v>117</v>
      </c>
      <c r="H573" s="100" t="s">
        <v>8215</v>
      </c>
      <c r="I573" s="100" t="s">
        <v>8215</v>
      </c>
      <c r="J573" s="100" t="s">
        <v>9264</v>
      </c>
      <c r="K573" s="107"/>
    </row>
    <row r="574" ht="15" spans="1:11">
      <c r="A574" s="98" t="s">
        <v>62</v>
      </c>
      <c r="B574" s="99" t="s">
        <v>9265</v>
      </c>
      <c r="C574" s="98" t="s">
        <v>8218</v>
      </c>
      <c r="D574" s="101" t="s">
        <v>4</v>
      </c>
      <c r="E574" s="101" t="s">
        <v>9263</v>
      </c>
      <c r="F574" s="98"/>
      <c r="G574" s="101" t="s">
        <v>117</v>
      </c>
      <c r="H574" s="100" t="s">
        <v>8215</v>
      </c>
      <c r="I574" s="100" t="s">
        <v>8215</v>
      </c>
      <c r="J574" s="100" t="s">
        <v>9266</v>
      </c>
      <c r="K574" s="107"/>
    </row>
    <row r="575" ht="15" spans="1:11">
      <c r="A575" s="98" t="s">
        <v>62</v>
      </c>
      <c r="B575" s="99" t="s">
        <v>9267</v>
      </c>
      <c r="C575" s="98" t="s">
        <v>8218</v>
      </c>
      <c r="D575" s="101" t="s">
        <v>4</v>
      </c>
      <c r="E575" s="101" t="s">
        <v>9263</v>
      </c>
      <c r="F575" s="98"/>
      <c r="G575" s="101" t="s">
        <v>117</v>
      </c>
      <c r="H575" s="100" t="s">
        <v>8215</v>
      </c>
      <c r="I575" s="100" t="s">
        <v>8215</v>
      </c>
      <c r="J575" s="100" t="s">
        <v>9264</v>
      </c>
      <c r="K575" s="107"/>
    </row>
    <row r="576" ht="15" spans="1:11">
      <c r="A576" s="98" t="s">
        <v>62</v>
      </c>
      <c r="B576" s="100" t="s">
        <v>9268</v>
      </c>
      <c r="C576" s="98" t="s">
        <v>8229</v>
      </c>
      <c r="D576" s="101" t="s">
        <v>4</v>
      </c>
      <c r="E576" s="101" t="s">
        <v>9269</v>
      </c>
      <c r="F576" s="98"/>
      <c r="G576" s="101" t="s">
        <v>117</v>
      </c>
      <c r="H576" s="100" t="s">
        <v>8215</v>
      </c>
      <c r="I576" s="100" t="s">
        <v>8215</v>
      </c>
      <c r="J576" s="100" t="s">
        <v>9270</v>
      </c>
      <c r="K576" s="107"/>
    </row>
    <row r="577" ht="15" spans="1:11">
      <c r="A577" s="98" t="s">
        <v>62</v>
      </c>
      <c r="B577" s="99" t="s">
        <v>9271</v>
      </c>
      <c r="C577" s="98" t="s">
        <v>8229</v>
      </c>
      <c r="D577" s="101" t="s">
        <v>4</v>
      </c>
      <c r="E577" s="101" t="s">
        <v>9269</v>
      </c>
      <c r="F577" s="98"/>
      <c r="G577" s="101" t="s">
        <v>117</v>
      </c>
      <c r="H577" s="100" t="s">
        <v>8215</v>
      </c>
      <c r="I577" s="100" t="s">
        <v>8215</v>
      </c>
      <c r="J577" s="100" t="s">
        <v>9270</v>
      </c>
      <c r="K577" s="107"/>
    </row>
    <row r="578" ht="15" spans="1:11">
      <c r="A578" s="98" t="s">
        <v>62</v>
      </c>
      <c r="B578" s="119" t="s">
        <v>9272</v>
      </c>
      <c r="C578" s="101" t="s">
        <v>8240</v>
      </c>
      <c r="D578" s="98" t="s">
        <v>4</v>
      </c>
      <c r="E578" s="98" t="s">
        <v>9269</v>
      </c>
      <c r="F578" s="98"/>
      <c r="G578" s="98" t="s">
        <v>117</v>
      </c>
      <c r="H578" s="100" t="s">
        <v>8215</v>
      </c>
      <c r="I578" s="100" t="s">
        <v>8215</v>
      </c>
      <c r="J578" s="100" t="s">
        <v>9270</v>
      </c>
      <c r="K578" s="107"/>
    </row>
    <row r="579" ht="15" spans="1:11">
      <c r="A579" s="98" t="s">
        <v>62</v>
      </c>
      <c r="B579" s="119" t="s">
        <v>9273</v>
      </c>
      <c r="C579" s="101" t="s">
        <v>8240</v>
      </c>
      <c r="D579" s="98" t="s">
        <v>4</v>
      </c>
      <c r="E579" s="98" t="s">
        <v>9269</v>
      </c>
      <c r="F579" s="98"/>
      <c r="G579" s="98" t="s">
        <v>117</v>
      </c>
      <c r="H579" s="100" t="s">
        <v>8215</v>
      </c>
      <c r="I579" s="100" t="s">
        <v>8215</v>
      </c>
      <c r="J579" s="100" t="s">
        <v>9270</v>
      </c>
      <c r="K579" s="107"/>
    </row>
    <row r="580" ht="15" spans="1:11">
      <c r="A580" s="98" t="s">
        <v>62</v>
      </c>
      <c r="B580" s="99" t="s">
        <v>9274</v>
      </c>
      <c r="C580" s="98" t="s">
        <v>8218</v>
      </c>
      <c r="D580" s="101" t="s">
        <v>4</v>
      </c>
      <c r="E580" s="101" t="s">
        <v>9275</v>
      </c>
      <c r="F580" s="101"/>
      <c r="G580" s="101" t="s">
        <v>117</v>
      </c>
      <c r="H580" s="100" t="s">
        <v>8215</v>
      </c>
      <c r="I580" s="100" t="s">
        <v>8215</v>
      </c>
      <c r="J580" s="100" t="s">
        <v>8463</v>
      </c>
      <c r="K580" s="107"/>
    </row>
    <row r="581" ht="15" spans="1:11">
      <c r="A581" s="98" t="s">
        <v>62</v>
      </c>
      <c r="B581" s="100" t="s">
        <v>9276</v>
      </c>
      <c r="C581" s="98" t="s">
        <v>8218</v>
      </c>
      <c r="D581" s="101" t="s">
        <v>4</v>
      </c>
      <c r="E581" s="101" t="s">
        <v>9275</v>
      </c>
      <c r="F581" s="101"/>
      <c r="G581" s="101" t="s">
        <v>117</v>
      </c>
      <c r="H581" s="100" t="s">
        <v>8320</v>
      </c>
      <c r="I581" s="100" t="s">
        <v>8320</v>
      </c>
      <c r="J581" s="100">
        <v>4</v>
      </c>
      <c r="K581" s="107"/>
    </row>
    <row r="582" ht="15" spans="1:11">
      <c r="A582" s="98" t="s">
        <v>62</v>
      </c>
      <c r="B582" s="99" t="s">
        <v>9277</v>
      </c>
      <c r="C582" s="101" t="s">
        <v>8240</v>
      </c>
      <c r="D582" s="101" t="s">
        <v>4</v>
      </c>
      <c r="E582" s="101" t="s">
        <v>9275</v>
      </c>
      <c r="F582" s="101"/>
      <c r="G582" s="101" t="s">
        <v>117</v>
      </c>
      <c r="H582" s="100" t="s">
        <v>8215</v>
      </c>
      <c r="I582" s="100" t="s">
        <v>8215</v>
      </c>
      <c r="J582" s="100" t="s">
        <v>9278</v>
      </c>
      <c r="K582" s="107"/>
    </row>
    <row r="583" ht="15" spans="1:11">
      <c r="A583" s="98" t="s">
        <v>62</v>
      </c>
      <c r="B583" s="99" t="s">
        <v>9279</v>
      </c>
      <c r="C583" s="98" t="s">
        <v>8514</v>
      </c>
      <c r="D583" s="101" t="s">
        <v>5</v>
      </c>
      <c r="E583" s="101" t="s">
        <v>9280</v>
      </c>
      <c r="F583" s="98"/>
      <c r="G583" s="101" t="s">
        <v>117</v>
      </c>
      <c r="H583" s="100" t="s">
        <v>8215</v>
      </c>
      <c r="I583" s="100" t="s">
        <v>8734</v>
      </c>
      <c r="J583" s="100" t="s">
        <v>9281</v>
      </c>
      <c r="K583" s="107"/>
    </row>
    <row r="584" ht="15" spans="1:11">
      <c r="A584" s="98" t="s">
        <v>62</v>
      </c>
      <c r="B584" s="100" t="s">
        <v>9282</v>
      </c>
      <c r="C584" s="98" t="s">
        <v>8218</v>
      </c>
      <c r="D584" s="101" t="s">
        <v>4</v>
      </c>
      <c r="E584" s="101" t="s">
        <v>9283</v>
      </c>
      <c r="F584" s="101"/>
      <c r="G584" s="101" t="s">
        <v>117</v>
      </c>
      <c r="H584" s="100" t="s">
        <v>8215</v>
      </c>
      <c r="I584" s="100" t="s">
        <v>8215</v>
      </c>
      <c r="J584" s="100" t="s">
        <v>8388</v>
      </c>
      <c r="K584" s="107"/>
    </row>
    <row r="585" ht="15" spans="1:11">
      <c r="A585" s="98" t="s">
        <v>62</v>
      </c>
      <c r="B585" s="99" t="s">
        <v>9284</v>
      </c>
      <c r="C585" s="98" t="s">
        <v>8218</v>
      </c>
      <c r="D585" s="101" t="s">
        <v>4</v>
      </c>
      <c r="E585" s="101" t="s">
        <v>9283</v>
      </c>
      <c r="F585" s="101"/>
      <c r="G585" s="101" t="s">
        <v>117</v>
      </c>
      <c r="H585" s="100" t="s">
        <v>8215</v>
      </c>
      <c r="I585" s="100" t="s">
        <v>8215</v>
      </c>
      <c r="J585" s="100">
        <v>4</v>
      </c>
      <c r="K585" s="107"/>
    </row>
    <row r="586" ht="15" spans="1:11">
      <c r="A586" s="98" t="s">
        <v>62</v>
      </c>
      <c r="B586" s="100" t="s">
        <v>9285</v>
      </c>
      <c r="C586" s="98" t="s">
        <v>8218</v>
      </c>
      <c r="D586" s="101" t="s">
        <v>4</v>
      </c>
      <c r="E586" s="101" t="s">
        <v>9283</v>
      </c>
      <c r="F586" s="101"/>
      <c r="G586" s="101" t="s">
        <v>117</v>
      </c>
      <c r="H586" s="100" t="s">
        <v>8215</v>
      </c>
      <c r="I586" s="100" t="s">
        <v>8215</v>
      </c>
      <c r="J586" s="100" t="s">
        <v>9286</v>
      </c>
      <c r="K586" s="107"/>
    </row>
    <row r="587" ht="15" spans="1:11">
      <c r="A587" s="98" t="s">
        <v>62</v>
      </c>
      <c r="B587" s="99" t="s">
        <v>9287</v>
      </c>
      <c r="C587" s="98" t="s">
        <v>8218</v>
      </c>
      <c r="D587" s="101" t="s">
        <v>4</v>
      </c>
      <c r="E587" s="101" t="s">
        <v>9283</v>
      </c>
      <c r="F587" s="101"/>
      <c r="G587" s="101" t="s">
        <v>117</v>
      </c>
      <c r="H587" s="100" t="s">
        <v>8215</v>
      </c>
      <c r="I587" s="100" t="s">
        <v>8215</v>
      </c>
      <c r="J587" s="100" t="s">
        <v>8220</v>
      </c>
      <c r="K587" s="107"/>
    </row>
    <row r="588" ht="15" spans="1:11">
      <c r="A588" s="98" t="s">
        <v>62</v>
      </c>
      <c r="B588" s="99" t="s">
        <v>9288</v>
      </c>
      <c r="C588" s="98" t="s">
        <v>8218</v>
      </c>
      <c r="D588" s="101" t="s">
        <v>4</v>
      </c>
      <c r="E588" s="101" t="s">
        <v>9283</v>
      </c>
      <c r="F588" s="101"/>
      <c r="G588" s="101" t="s">
        <v>117</v>
      </c>
      <c r="H588" s="100" t="s">
        <v>8215</v>
      </c>
      <c r="I588" s="100" t="s">
        <v>8215</v>
      </c>
      <c r="J588" s="100" t="s">
        <v>9286</v>
      </c>
      <c r="K588" s="107"/>
    </row>
    <row r="589" ht="15" spans="1:11">
      <c r="A589" s="98" t="s">
        <v>62</v>
      </c>
      <c r="B589" s="100" t="s">
        <v>9289</v>
      </c>
      <c r="C589" s="98" t="s">
        <v>8218</v>
      </c>
      <c r="D589" s="101" t="s">
        <v>4</v>
      </c>
      <c r="E589" s="101" t="s">
        <v>9290</v>
      </c>
      <c r="F589" s="98"/>
      <c r="G589" s="101" t="s">
        <v>117</v>
      </c>
      <c r="H589" s="100" t="s">
        <v>8320</v>
      </c>
      <c r="I589" s="100" t="s">
        <v>8215</v>
      </c>
      <c r="J589" s="100">
        <v>6.3</v>
      </c>
      <c r="K589" s="107"/>
    </row>
    <row r="590" ht="15" spans="1:11">
      <c r="A590" s="98" t="s">
        <v>62</v>
      </c>
      <c r="B590" s="99" t="s">
        <v>9291</v>
      </c>
      <c r="C590" s="98" t="s">
        <v>8218</v>
      </c>
      <c r="D590" s="101" t="s">
        <v>4</v>
      </c>
      <c r="E590" s="101" t="s">
        <v>9292</v>
      </c>
      <c r="F590" s="101"/>
      <c r="G590" s="101" t="s">
        <v>117</v>
      </c>
      <c r="H590" s="100" t="s">
        <v>8215</v>
      </c>
      <c r="I590" s="100" t="s">
        <v>8215</v>
      </c>
      <c r="J590" s="100" t="s">
        <v>9293</v>
      </c>
      <c r="K590" s="107"/>
    </row>
    <row r="591" ht="15" spans="1:11">
      <c r="A591" s="98" t="s">
        <v>62</v>
      </c>
      <c r="B591" s="99" t="s">
        <v>9294</v>
      </c>
      <c r="C591" s="98" t="s">
        <v>8218</v>
      </c>
      <c r="D591" s="101" t="s">
        <v>4</v>
      </c>
      <c r="E591" s="101" t="s">
        <v>9292</v>
      </c>
      <c r="F591" s="101"/>
      <c r="G591" s="101" t="s">
        <v>117</v>
      </c>
      <c r="H591" s="100" t="s">
        <v>8215</v>
      </c>
      <c r="I591" s="100" t="s">
        <v>8215</v>
      </c>
      <c r="J591" s="100" t="s">
        <v>8459</v>
      </c>
      <c r="K591" s="107"/>
    </row>
    <row r="592" ht="15" spans="1:11">
      <c r="A592" s="98" t="s">
        <v>62</v>
      </c>
      <c r="B592" s="99" t="s">
        <v>9295</v>
      </c>
      <c r="C592" s="98" t="s">
        <v>8218</v>
      </c>
      <c r="D592" s="101" t="s">
        <v>4</v>
      </c>
      <c r="E592" s="101" t="s">
        <v>9292</v>
      </c>
      <c r="F592" s="101"/>
      <c r="G592" s="101" t="s">
        <v>117</v>
      </c>
      <c r="H592" s="100" t="s">
        <v>8215</v>
      </c>
      <c r="I592" s="100" t="s">
        <v>8215</v>
      </c>
      <c r="J592" s="100" t="s">
        <v>8459</v>
      </c>
      <c r="K592" s="107"/>
    </row>
    <row r="593" ht="15" spans="1:11">
      <c r="A593" s="98" t="s">
        <v>62</v>
      </c>
      <c r="B593" s="99" t="s">
        <v>9296</v>
      </c>
      <c r="C593" s="98" t="s">
        <v>8218</v>
      </c>
      <c r="D593" s="101" t="s">
        <v>4</v>
      </c>
      <c r="E593" s="101" t="s">
        <v>9292</v>
      </c>
      <c r="F593" s="101"/>
      <c r="G593" s="101" t="s">
        <v>117</v>
      </c>
      <c r="H593" s="100" t="s">
        <v>8215</v>
      </c>
      <c r="I593" s="100" t="s">
        <v>8215</v>
      </c>
      <c r="J593" s="100" t="s">
        <v>8766</v>
      </c>
      <c r="K593" s="107"/>
    </row>
    <row r="594" ht="15" spans="1:11">
      <c r="A594" s="98" t="s">
        <v>62</v>
      </c>
      <c r="B594" s="99" t="s">
        <v>9297</v>
      </c>
      <c r="C594" s="98" t="s">
        <v>8218</v>
      </c>
      <c r="D594" s="101" t="s">
        <v>4</v>
      </c>
      <c r="E594" s="101" t="s">
        <v>6891</v>
      </c>
      <c r="F594" s="101"/>
      <c r="G594" s="101" t="s">
        <v>117</v>
      </c>
      <c r="H594" s="100" t="s">
        <v>8215</v>
      </c>
      <c r="I594" s="100" t="s">
        <v>8215</v>
      </c>
      <c r="J594" s="100" t="s">
        <v>8314</v>
      </c>
      <c r="K594" s="107"/>
    </row>
    <row r="595" ht="15" spans="1:11">
      <c r="A595" s="98" t="s">
        <v>62</v>
      </c>
      <c r="B595" s="100" t="s">
        <v>9298</v>
      </c>
      <c r="C595" s="98" t="s">
        <v>8218</v>
      </c>
      <c r="D595" s="101" t="s">
        <v>4</v>
      </c>
      <c r="E595" s="101" t="s">
        <v>6891</v>
      </c>
      <c r="F595" s="119"/>
      <c r="G595" s="101" t="s">
        <v>117</v>
      </c>
      <c r="H595" s="100" t="s">
        <v>8215</v>
      </c>
      <c r="I595" s="100" t="s">
        <v>8215</v>
      </c>
      <c r="J595" s="100" t="s">
        <v>8459</v>
      </c>
      <c r="K595" s="107"/>
    </row>
    <row r="596" ht="15" spans="1:11">
      <c r="A596" s="98" t="s">
        <v>62</v>
      </c>
      <c r="B596" s="100" t="s">
        <v>9299</v>
      </c>
      <c r="C596" s="98" t="s">
        <v>8218</v>
      </c>
      <c r="D596" s="101" t="s">
        <v>4</v>
      </c>
      <c r="E596" s="101" t="s">
        <v>6891</v>
      </c>
      <c r="F596" s="101"/>
      <c r="G596" s="101" t="s">
        <v>117</v>
      </c>
      <c r="H596" s="100" t="s">
        <v>8215</v>
      </c>
      <c r="I596" s="100" t="s">
        <v>8215</v>
      </c>
      <c r="J596" s="100" t="s">
        <v>8459</v>
      </c>
      <c r="K596" s="107"/>
    </row>
    <row r="597" ht="15" spans="1:11">
      <c r="A597" s="98" t="s">
        <v>62</v>
      </c>
      <c r="B597" s="100" t="s">
        <v>9300</v>
      </c>
      <c r="C597" s="98" t="s">
        <v>8218</v>
      </c>
      <c r="D597" s="101" t="s">
        <v>4</v>
      </c>
      <c r="E597" s="101" t="s">
        <v>6891</v>
      </c>
      <c r="F597" s="98"/>
      <c r="G597" s="101" t="s">
        <v>117</v>
      </c>
      <c r="H597" s="100" t="s">
        <v>8215</v>
      </c>
      <c r="I597" s="100" t="s">
        <v>8215</v>
      </c>
      <c r="J597" s="100" t="s">
        <v>8459</v>
      </c>
      <c r="K597" s="107"/>
    </row>
    <row r="598" ht="15" spans="1:11">
      <c r="A598" s="98" t="s">
        <v>62</v>
      </c>
      <c r="B598" s="100" t="s">
        <v>9301</v>
      </c>
      <c r="C598" s="98" t="s">
        <v>8514</v>
      </c>
      <c r="D598" s="101" t="s">
        <v>4</v>
      </c>
      <c r="E598" s="101" t="s">
        <v>9302</v>
      </c>
      <c r="F598" s="98"/>
      <c r="G598" s="101" t="s">
        <v>117</v>
      </c>
      <c r="H598" s="100" t="s">
        <v>8215</v>
      </c>
      <c r="I598" s="100" t="s">
        <v>8734</v>
      </c>
      <c r="J598" s="100" t="s">
        <v>8314</v>
      </c>
      <c r="K598" s="107"/>
    </row>
    <row r="599" ht="15" spans="1:11">
      <c r="A599" s="98" t="s">
        <v>62</v>
      </c>
      <c r="B599" s="100" t="s">
        <v>9303</v>
      </c>
      <c r="C599" s="98" t="s">
        <v>8514</v>
      </c>
      <c r="D599" s="101" t="s">
        <v>4</v>
      </c>
      <c r="E599" s="101" t="s">
        <v>9304</v>
      </c>
      <c r="F599" s="98"/>
      <c r="G599" s="101" t="s">
        <v>117</v>
      </c>
      <c r="H599" s="100" t="s">
        <v>8215</v>
      </c>
      <c r="I599" s="100" t="s">
        <v>8326</v>
      </c>
      <c r="J599" s="100" t="s">
        <v>9305</v>
      </c>
      <c r="K599" s="107"/>
    </row>
    <row r="600" ht="15" spans="1:11">
      <c r="A600" s="98" t="s">
        <v>62</v>
      </c>
      <c r="B600" s="99" t="s">
        <v>9306</v>
      </c>
      <c r="C600" s="98" t="s">
        <v>8229</v>
      </c>
      <c r="D600" s="101" t="s">
        <v>5</v>
      </c>
      <c r="E600" s="101" t="s">
        <v>9307</v>
      </c>
      <c r="F600" s="98"/>
      <c r="G600" s="101" t="s">
        <v>117</v>
      </c>
      <c r="H600" s="100" t="s">
        <v>8215</v>
      </c>
      <c r="I600" s="100" t="s">
        <v>8734</v>
      </c>
      <c r="J600" s="100">
        <v>1.6</v>
      </c>
      <c r="K600" s="107"/>
    </row>
    <row r="601" ht="15" spans="1:11">
      <c r="A601" s="98" t="s">
        <v>62</v>
      </c>
      <c r="B601" s="100" t="s">
        <v>9308</v>
      </c>
      <c r="C601" s="98" t="s">
        <v>8218</v>
      </c>
      <c r="D601" s="101" t="s">
        <v>4</v>
      </c>
      <c r="E601" s="101" t="s">
        <v>9309</v>
      </c>
      <c r="F601" s="98"/>
      <c r="G601" s="101" t="s">
        <v>117</v>
      </c>
      <c r="H601" s="100" t="s">
        <v>8215</v>
      </c>
      <c r="I601" s="100" t="s">
        <v>8215</v>
      </c>
      <c r="J601" s="100" t="s">
        <v>8459</v>
      </c>
      <c r="K601" s="107"/>
    </row>
    <row r="602" ht="15" spans="1:11">
      <c r="A602" s="98" t="s">
        <v>62</v>
      </c>
      <c r="B602" s="100" t="s">
        <v>9310</v>
      </c>
      <c r="C602" s="98" t="s">
        <v>8218</v>
      </c>
      <c r="D602" s="101" t="s">
        <v>4</v>
      </c>
      <c r="E602" s="101" t="s">
        <v>9311</v>
      </c>
      <c r="F602" s="98"/>
      <c r="G602" s="101" t="s">
        <v>117</v>
      </c>
      <c r="H602" s="100" t="s">
        <v>8215</v>
      </c>
      <c r="I602" s="100" t="s">
        <v>8215</v>
      </c>
      <c r="J602" s="100" t="s">
        <v>8459</v>
      </c>
      <c r="K602" s="107"/>
    </row>
    <row r="603" ht="15" spans="1:11">
      <c r="A603" s="98" t="s">
        <v>62</v>
      </c>
      <c r="B603" s="99" t="s">
        <v>9312</v>
      </c>
      <c r="C603" s="98" t="s">
        <v>8218</v>
      </c>
      <c r="D603" s="101" t="s">
        <v>4</v>
      </c>
      <c r="E603" s="101" t="s">
        <v>9313</v>
      </c>
      <c r="F603" s="98"/>
      <c r="G603" s="101" t="s">
        <v>117</v>
      </c>
      <c r="H603" s="100" t="s">
        <v>8215</v>
      </c>
      <c r="I603" s="100" t="s">
        <v>8215</v>
      </c>
      <c r="J603" s="100" t="s">
        <v>8220</v>
      </c>
      <c r="K603" s="107"/>
    </row>
    <row r="604" ht="15" spans="1:11">
      <c r="A604" s="98" t="s">
        <v>62</v>
      </c>
      <c r="B604" s="99" t="s">
        <v>9314</v>
      </c>
      <c r="C604" s="98" t="s">
        <v>8218</v>
      </c>
      <c r="D604" s="101" t="s">
        <v>4</v>
      </c>
      <c r="E604" s="101" t="s">
        <v>9313</v>
      </c>
      <c r="F604" s="98"/>
      <c r="G604" s="101" t="s">
        <v>117</v>
      </c>
      <c r="H604" s="100" t="s">
        <v>8215</v>
      </c>
      <c r="I604" s="100" t="s">
        <v>8215</v>
      </c>
      <c r="J604" s="100">
        <v>4</v>
      </c>
      <c r="K604" s="107"/>
    </row>
    <row r="605" s="90" customFormat="1" ht="15" spans="1:11">
      <c r="A605" s="98" t="s">
        <v>62</v>
      </c>
      <c r="B605" s="99" t="s">
        <v>9315</v>
      </c>
      <c r="C605" s="98" t="s">
        <v>8293</v>
      </c>
      <c r="D605" s="101" t="s">
        <v>4</v>
      </c>
      <c r="E605" s="101" t="s">
        <v>9313</v>
      </c>
      <c r="F605" s="98"/>
      <c r="G605" s="101" t="s">
        <v>117</v>
      </c>
      <c r="H605" s="100" t="s">
        <v>8215</v>
      </c>
      <c r="I605" s="100" t="s">
        <v>8215</v>
      </c>
      <c r="J605" s="100" t="s">
        <v>9055</v>
      </c>
      <c r="K605" s="107">
        <v>2024.5</v>
      </c>
    </row>
    <row r="606" s="90" customFormat="1" ht="15" spans="1:11">
      <c r="A606" s="98" t="s">
        <v>62</v>
      </c>
      <c r="B606" s="99" t="s">
        <v>9316</v>
      </c>
      <c r="C606" s="98" t="s">
        <v>8272</v>
      </c>
      <c r="D606" s="101" t="s">
        <v>4</v>
      </c>
      <c r="E606" s="101" t="s">
        <v>9313</v>
      </c>
      <c r="F606" s="98"/>
      <c r="G606" s="101" t="s">
        <v>117</v>
      </c>
      <c r="H606" s="120" t="s">
        <v>8215</v>
      </c>
      <c r="I606" s="100" t="s">
        <v>8215</v>
      </c>
      <c r="J606" s="100" t="s">
        <v>9317</v>
      </c>
      <c r="K606" s="107">
        <v>2025.4</v>
      </c>
    </row>
    <row r="607" s="89" customFormat="1" ht="15" spans="1:11">
      <c r="A607" s="106" t="s">
        <v>62</v>
      </c>
      <c r="B607" s="106" t="s">
        <v>9318</v>
      </c>
      <c r="C607" s="106" t="s">
        <v>8293</v>
      </c>
      <c r="D607" s="106" t="s">
        <v>4</v>
      </c>
      <c r="E607" s="106" t="s">
        <v>9292</v>
      </c>
      <c r="F607" s="106"/>
      <c r="G607" s="106" t="s">
        <v>117</v>
      </c>
      <c r="H607" s="106" t="s">
        <v>8215</v>
      </c>
      <c r="I607" s="106" t="s">
        <v>8215</v>
      </c>
      <c r="J607" s="106" t="s">
        <v>9055</v>
      </c>
      <c r="K607" s="107" t="s">
        <v>8308</v>
      </c>
    </row>
    <row r="608" ht="15" spans="1:11">
      <c r="A608" s="98" t="s">
        <v>63</v>
      </c>
      <c r="B608" s="100" t="s">
        <v>9319</v>
      </c>
      <c r="C608" s="98" t="s">
        <v>8514</v>
      </c>
      <c r="D608" s="101" t="s">
        <v>5</v>
      </c>
      <c r="E608" s="101" t="s">
        <v>9320</v>
      </c>
      <c r="F608" s="98"/>
      <c r="G608" s="98" t="s">
        <v>206</v>
      </c>
      <c r="H608" s="100" t="s">
        <v>8215</v>
      </c>
      <c r="I608" s="100" t="s">
        <v>8215</v>
      </c>
      <c r="J608" s="100" t="s">
        <v>8220</v>
      </c>
      <c r="K608" s="107"/>
    </row>
    <row r="609" ht="15" spans="1:11">
      <c r="A609" s="98" t="s">
        <v>63</v>
      </c>
      <c r="B609" s="100" t="s">
        <v>9321</v>
      </c>
      <c r="C609" s="98" t="s">
        <v>8225</v>
      </c>
      <c r="D609" s="101" t="s">
        <v>4</v>
      </c>
      <c r="E609" s="101" t="s">
        <v>9322</v>
      </c>
      <c r="F609" s="98"/>
      <c r="G609" s="98" t="s">
        <v>206</v>
      </c>
      <c r="H609" s="100"/>
      <c r="I609" s="100"/>
      <c r="J609" s="100" t="s">
        <v>9232</v>
      </c>
      <c r="K609" s="107"/>
    </row>
    <row r="610" ht="15" spans="1:11">
      <c r="A610" s="98" t="s">
        <v>63</v>
      </c>
      <c r="B610" s="99" t="s">
        <v>9323</v>
      </c>
      <c r="C610" s="98" t="s">
        <v>8218</v>
      </c>
      <c r="D610" s="101" t="s">
        <v>5</v>
      </c>
      <c r="E610" s="101" t="s">
        <v>9324</v>
      </c>
      <c r="F610" s="98"/>
      <c r="G610" s="98" t="s">
        <v>206</v>
      </c>
      <c r="H610" s="100" t="s">
        <v>8215</v>
      </c>
      <c r="I610" s="100" t="s">
        <v>8215</v>
      </c>
      <c r="J610" s="100" t="s">
        <v>8220</v>
      </c>
      <c r="K610" s="107"/>
    </row>
    <row r="611" ht="15" spans="1:11">
      <c r="A611" s="98" t="s">
        <v>63</v>
      </c>
      <c r="B611" s="99" t="s">
        <v>9325</v>
      </c>
      <c r="C611" s="98" t="s">
        <v>8218</v>
      </c>
      <c r="D611" s="101" t="s">
        <v>5</v>
      </c>
      <c r="E611" s="101" t="s">
        <v>9326</v>
      </c>
      <c r="F611" s="98"/>
      <c r="G611" s="98" t="s">
        <v>206</v>
      </c>
      <c r="H611" s="100" t="s">
        <v>8215</v>
      </c>
      <c r="I611" s="100" t="s">
        <v>8215</v>
      </c>
      <c r="J611" s="100" t="s">
        <v>8220</v>
      </c>
      <c r="K611" s="107"/>
    </row>
    <row r="612" s="90" customFormat="1" ht="15" spans="1:11">
      <c r="A612" s="98" t="s">
        <v>63</v>
      </c>
      <c r="B612" s="99" t="s">
        <v>9327</v>
      </c>
      <c r="C612" s="98" t="s">
        <v>8293</v>
      </c>
      <c r="D612" s="101" t="s">
        <v>5</v>
      </c>
      <c r="E612" s="101" t="s">
        <v>9328</v>
      </c>
      <c r="F612" s="98"/>
      <c r="G612" s="98" t="s">
        <v>206</v>
      </c>
      <c r="H612" s="100" t="s">
        <v>8215</v>
      </c>
      <c r="I612" s="100" t="s">
        <v>8215</v>
      </c>
      <c r="J612" s="100" t="s">
        <v>9317</v>
      </c>
      <c r="K612" s="107">
        <v>2024.6</v>
      </c>
    </row>
    <row r="613" ht="15" spans="1:11">
      <c r="A613" s="98" t="s">
        <v>63</v>
      </c>
      <c r="B613" s="99" t="s">
        <v>9329</v>
      </c>
      <c r="C613" s="98" t="s">
        <v>8218</v>
      </c>
      <c r="D613" s="101" t="s">
        <v>5</v>
      </c>
      <c r="E613" s="101" t="s">
        <v>9330</v>
      </c>
      <c r="F613" s="98"/>
      <c r="G613" s="98" t="s">
        <v>206</v>
      </c>
      <c r="H613" s="100" t="s">
        <v>8215</v>
      </c>
      <c r="I613" s="100" t="s">
        <v>8215</v>
      </c>
      <c r="J613" s="100" t="s">
        <v>9331</v>
      </c>
      <c r="K613" s="107"/>
    </row>
    <row r="614" ht="15" spans="1:11">
      <c r="A614" s="98" t="s">
        <v>63</v>
      </c>
      <c r="B614" s="99" t="s">
        <v>9332</v>
      </c>
      <c r="C614" s="98" t="s">
        <v>8229</v>
      </c>
      <c r="D614" s="101" t="s">
        <v>5</v>
      </c>
      <c r="E614" s="101" t="s">
        <v>9333</v>
      </c>
      <c r="F614" s="98"/>
      <c r="G614" s="98" t="s">
        <v>206</v>
      </c>
      <c r="H614" s="100" t="s">
        <v>8215</v>
      </c>
      <c r="I614" s="100" t="s">
        <v>8215</v>
      </c>
      <c r="J614" s="100" t="s">
        <v>9334</v>
      </c>
      <c r="K614" s="107"/>
    </row>
    <row r="615" ht="15" spans="1:11">
      <c r="A615" s="98" t="s">
        <v>63</v>
      </c>
      <c r="B615" s="99" t="s">
        <v>9335</v>
      </c>
      <c r="C615" s="98" t="s">
        <v>8240</v>
      </c>
      <c r="D615" s="101" t="s">
        <v>4</v>
      </c>
      <c r="E615" s="101" t="s">
        <v>9336</v>
      </c>
      <c r="F615" s="98"/>
      <c r="G615" s="98" t="s">
        <v>206</v>
      </c>
      <c r="H615" s="100" t="s">
        <v>8215</v>
      </c>
      <c r="I615" s="100" t="s">
        <v>8215</v>
      </c>
      <c r="J615" s="100" t="s">
        <v>9337</v>
      </c>
      <c r="K615" s="107"/>
    </row>
    <row r="616" ht="15" spans="1:11">
      <c r="A616" s="98" t="s">
        <v>63</v>
      </c>
      <c r="B616" s="99" t="s">
        <v>9338</v>
      </c>
      <c r="C616" s="98" t="s">
        <v>8218</v>
      </c>
      <c r="D616" s="101" t="s">
        <v>5</v>
      </c>
      <c r="E616" s="101" t="s">
        <v>9339</v>
      </c>
      <c r="F616" s="98"/>
      <c r="G616" s="98" t="s">
        <v>206</v>
      </c>
      <c r="H616" s="100" t="s">
        <v>8215</v>
      </c>
      <c r="I616" s="100" t="s">
        <v>8215</v>
      </c>
      <c r="J616" s="100" t="s">
        <v>9340</v>
      </c>
      <c r="K616" s="107"/>
    </row>
    <row r="617" ht="15" spans="1:11">
      <c r="A617" s="98" t="s">
        <v>63</v>
      </c>
      <c r="B617" s="99" t="s">
        <v>9341</v>
      </c>
      <c r="C617" s="101" t="s">
        <v>8240</v>
      </c>
      <c r="D617" s="101" t="s">
        <v>5</v>
      </c>
      <c r="E617" s="101" t="s">
        <v>9342</v>
      </c>
      <c r="F617" s="98"/>
      <c r="G617" s="98" t="s">
        <v>206</v>
      </c>
      <c r="H617" s="100" t="s">
        <v>8320</v>
      </c>
      <c r="I617" s="100" t="s">
        <v>8320</v>
      </c>
      <c r="J617" s="100">
        <v>4</v>
      </c>
      <c r="K617" s="107"/>
    </row>
    <row r="618" ht="15" spans="1:11">
      <c r="A618" s="98" t="s">
        <v>63</v>
      </c>
      <c r="B618" s="99" t="s">
        <v>9343</v>
      </c>
      <c r="C618" s="101" t="s">
        <v>8240</v>
      </c>
      <c r="D618" s="101" t="s">
        <v>4</v>
      </c>
      <c r="E618" s="101" t="s">
        <v>6023</v>
      </c>
      <c r="F618" s="98"/>
      <c r="G618" s="98" t="s">
        <v>206</v>
      </c>
      <c r="H618" s="100" t="s">
        <v>8215</v>
      </c>
      <c r="I618" s="100" t="s">
        <v>8215</v>
      </c>
      <c r="J618" s="100" t="s">
        <v>8459</v>
      </c>
      <c r="K618" s="107"/>
    </row>
    <row r="619" ht="15" spans="1:11">
      <c r="A619" s="98" t="s">
        <v>63</v>
      </c>
      <c r="B619" s="99" t="s">
        <v>9344</v>
      </c>
      <c r="C619" s="98" t="s">
        <v>8218</v>
      </c>
      <c r="D619" s="101" t="s">
        <v>4</v>
      </c>
      <c r="E619" s="101" t="s">
        <v>6023</v>
      </c>
      <c r="F619" s="98"/>
      <c r="G619" s="98" t="s">
        <v>206</v>
      </c>
      <c r="H619" s="100" t="s">
        <v>8320</v>
      </c>
      <c r="I619" s="100" t="s">
        <v>8247</v>
      </c>
      <c r="J619" s="100">
        <v>6</v>
      </c>
      <c r="K619" s="107"/>
    </row>
    <row r="620" ht="15" spans="1:11">
      <c r="A620" s="98" t="s">
        <v>63</v>
      </c>
      <c r="B620" s="99" t="s">
        <v>9345</v>
      </c>
      <c r="C620" s="98" t="s">
        <v>8218</v>
      </c>
      <c r="D620" s="101" t="s">
        <v>4</v>
      </c>
      <c r="E620" s="101" t="s">
        <v>6034</v>
      </c>
      <c r="F620" s="98"/>
      <c r="G620" s="98" t="s">
        <v>206</v>
      </c>
      <c r="H620" s="100" t="s">
        <v>8215</v>
      </c>
      <c r="I620" s="100" t="s">
        <v>8215</v>
      </c>
      <c r="J620" s="100" t="s">
        <v>8220</v>
      </c>
      <c r="K620" s="107"/>
    </row>
    <row r="621" ht="15" spans="1:11">
      <c r="A621" s="98" t="s">
        <v>63</v>
      </c>
      <c r="B621" s="99" t="s">
        <v>9346</v>
      </c>
      <c r="C621" s="98" t="s">
        <v>8218</v>
      </c>
      <c r="D621" s="101" t="s">
        <v>5</v>
      </c>
      <c r="E621" s="101" t="s">
        <v>9347</v>
      </c>
      <c r="F621" s="98"/>
      <c r="G621" s="98" t="s">
        <v>206</v>
      </c>
      <c r="H621" s="100" t="s">
        <v>8215</v>
      </c>
      <c r="I621" s="100" t="s">
        <v>8215</v>
      </c>
      <c r="J621" s="100" t="s">
        <v>8220</v>
      </c>
      <c r="K621" s="107"/>
    </row>
    <row r="622" ht="15" spans="1:11">
      <c r="A622" s="98" t="s">
        <v>63</v>
      </c>
      <c r="B622" s="99" t="s">
        <v>9348</v>
      </c>
      <c r="C622" s="98" t="s">
        <v>8218</v>
      </c>
      <c r="D622" s="101" t="s">
        <v>5</v>
      </c>
      <c r="E622" s="101" t="s">
        <v>9349</v>
      </c>
      <c r="F622" s="98"/>
      <c r="G622" s="98" t="s">
        <v>206</v>
      </c>
      <c r="H622" s="100" t="s">
        <v>8320</v>
      </c>
      <c r="I622" s="100" t="s">
        <v>8320</v>
      </c>
      <c r="J622" s="100" t="s">
        <v>8220</v>
      </c>
      <c r="K622" s="107"/>
    </row>
    <row r="623" ht="15" spans="1:11">
      <c r="A623" s="98" t="s">
        <v>63</v>
      </c>
      <c r="B623" s="99" t="s">
        <v>9350</v>
      </c>
      <c r="C623" s="98" t="s">
        <v>8218</v>
      </c>
      <c r="D623" s="101" t="s">
        <v>4</v>
      </c>
      <c r="E623" s="101" t="s">
        <v>6006</v>
      </c>
      <c r="F623" s="98"/>
      <c r="G623" s="98" t="s">
        <v>206</v>
      </c>
      <c r="H623" s="100" t="s">
        <v>8215</v>
      </c>
      <c r="I623" s="100" t="s">
        <v>8215</v>
      </c>
      <c r="J623" s="100" t="s">
        <v>8220</v>
      </c>
      <c r="K623" s="107"/>
    </row>
    <row r="624" ht="15" spans="1:11">
      <c r="A624" s="98" t="s">
        <v>63</v>
      </c>
      <c r="B624" s="99" t="s">
        <v>9351</v>
      </c>
      <c r="C624" s="98" t="s">
        <v>8218</v>
      </c>
      <c r="D624" s="101" t="s">
        <v>4</v>
      </c>
      <c r="E624" s="101" t="s">
        <v>209</v>
      </c>
      <c r="F624" s="98"/>
      <c r="G624" s="98" t="s">
        <v>206</v>
      </c>
      <c r="H624" s="100" t="s">
        <v>9352</v>
      </c>
      <c r="I624" s="100" t="s">
        <v>9352</v>
      </c>
      <c r="J624" s="100">
        <v>8</v>
      </c>
      <c r="K624" s="107"/>
    </row>
    <row r="625" ht="15" spans="1:11">
      <c r="A625" s="98" t="s">
        <v>63</v>
      </c>
      <c r="B625" s="99" t="s">
        <v>9353</v>
      </c>
      <c r="C625" s="98" t="s">
        <v>8218</v>
      </c>
      <c r="D625" s="101" t="s">
        <v>4</v>
      </c>
      <c r="E625" s="101" t="s">
        <v>9354</v>
      </c>
      <c r="F625" s="98"/>
      <c r="G625" s="98" t="s">
        <v>206</v>
      </c>
      <c r="H625" s="100" t="s">
        <v>8215</v>
      </c>
      <c r="I625" s="100" t="s">
        <v>8215</v>
      </c>
      <c r="J625" s="100">
        <v>6.3</v>
      </c>
      <c r="K625" s="107"/>
    </row>
    <row r="626" ht="15" spans="1:11">
      <c r="A626" s="98" t="s">
        <v>63</v>
      </c>
      <c r="B626" s="99" t="s">
        <v>9355</v>
      </c>
      <c r="C626" s="98" t="s">
        <v>8258</v>
      </c>
      <c r="D626" s="101" t="s">
        <v>4</v>
      </c>
      <c r="E626" s="101" t="s">
        <v>9356</v>
      </c>
      <c r="F626" s="98" t="s">
        <v>9357</v>
      </c>
      <c r="G626" s="98" t="s">
        <v>206</v>
      </c>
      <c r="H626" s="100" t="s">
        <v>8252</v>
      </c>
      <c r="I626" s="100" t="s">
        <v>8247</v>
      </c>
      <c r="J626" s="100" t="s">
        <v>8247</v>
      </c>
      <c r="K626" s="107"/>
    </row>
    <row r="627" ht="15" spans="1:11">
      <c r="A627" s="98" t="s">
        <v>63</v>
      </c>
      <c r="B627" s="99" t="s">
        <v>9358</v>
      </c>
      <c r="C627" s="98" t="s">
        <v>8218</v>
      </c>
      <c r="D627" s="101" t="s">
        <v>4</v>
      </c>
      <c r="E627" s="101" t="s">
        <v>9356</v>
      </c>
      <c r="F627" s="98"/>
      <c r="G627" s="98" t="s">
        <v>206</v>
      </c>
      <c r="H627" s="100" t="s">
        <v>8252</v>
      </c>
      <c r="I627" s="100" t="s">
        <v>8252</v>
      </c>
      <c r="J627" s="100">
        <v>6</v>
      </c>
      <c r="K627" s="107"/>
    </row>
    <row r="628" ht="15" spans="1:11">
      <c r="A628" s="98" t="s">
        <v>63</v>
      </c>
      <c r="B628" s="99" t="s">
        <v>9359</v>
      </c>
      <c r="C628" s="98" t="s">
        <v>8218</v>
      </c>
      <c r="D628" s="101" t="s">
        <v>4</v>
      </c>
      <c r="E628" s="101" t="s">
        <v>8947</v>
      </c>
      <c r="F628" s="98"/>
      <c r="G628" s="98" t="s">
        <v>206</v>
      </c>
      <c r="H628" s="100" t="s">
        <v>8215</v>
      </c>
      <c r="I628" s="100" t="s">
        <v>8215</v>
      </c>
      <c r="J628" s="100" t="s">
        <v>1258</v>
      </c>
      <c r="K628" s="107"/>
    </row>
    <row r="629" ht="15" spans="1:11">
      <c r="A629" s="98" t="s">
        <v>63</v>
      </c>
      <c r="B629" s="99" t="s">
        <v>9360</v>
      </c>
      <c r="C629" s="98" t="s">
        <v>8218</v>
      </c>
      <c r="D629" s="101" t="s">
        <v>4</v>
      </c>
      <c r="E629" s="101" t="s">
        <v>9361</v>
      </c>
      <c r="F629" s="98"/>
      <c r="G629" s="98" t="s">
        <v>206</v>
      </c>
      <c r="H629" s="100" t="s">
        <v>8215</v>
      </c>
      <c r="I629" s="100" t="s">
        <v>8215</v>
      </c>
      <c r="J629" s="100">
        <v>6.3</v>
      </c>
      <c r="K629" s="107"/>
    </row>
    <row r="630" s="89" customFormat="1" ht="15" spans="1:255">
      <c r="A630" s="98" t="s">
        <v>63</v>
      </c>
      <c r="B630" s="99" t="s">
        <v>9362</v>
      </c>
      <c r="C630" s="98" t="s">
        <v>8272</v>
      </c>
      <c r="D630" s="101" t="s">
        <v>4</v>
      </c>
      <c r="E630" s="101" t="s">
        <v>9363</v>
      </c>
      <c r="F630" s="98"/>
      <c r="G630" s="98" t="s">
        <v>206</v>
      </c>
      <c r="H630" s="100" t="s">
        <v>8215</v>
      </c>
      <c r="I630" s="100" t="s">
        <v>8252</v>
      </c>
      <c r="J630" s="100" t="s">
        <v>9364</v>
      </c>
      <c r="K630" s="107" t="s">
        <v>8469</v>
      </c>
      <c r="L630" s="90"/>
      <c r="M630" s="90"/>
      <c r="N630" s="90"/>
      <c r="O630" s="90"/>
      <c r="P630" s="90"/>
      <c r="Q630" s="90"/>
      <c r="R630" s="90"/>
      <c r="S630" s="90"/>
      <c r="T630" s="90"/>
      <c r="U630" s="90"/>
      <c r="V630" s="90"/>
      <c r="W630" s="90"/>
      <c r="X630" s="90"/>
      <c r="Y630" s="90"/>
      <c r="Z630" s="90"/>
      <c r="AA630" s="90"/>
      <c r="AB630" s="90"/>
      <c r="AC630" s="90"/>
      <c r="AD630" s="90"/>
      <c r="AE630" s="90"/>
      <c r="AF630" s="90"/>
      <c r="AG630" s="90"/>
      <c r="AH630" s="90"/>
      <c r="AI630" s="90"/>
      <c r="AJ630" s="90"/>
      <c r="AK630" s="90"/>
      <c r="AL630" s="90"/>
      <c r="AM630" s="90"/>
      <c r="AN630" s="90"/>
      <c r="AO630" s="90"/>
      <c r="AP630" s="90"/>
      <c r="AQ630" s="90"/>
      <c r="AR630" s="90"/>
      <c r="AS630" s="90"/>
      <c r="AT630" s="90"/>
      <c r="AU630" s="90"/>
      <c r="AV630" s="90"/>
      <c r="AW630" s="90"/>
      <c r="AX630" s="90"/>
      <c r="AY630" s="90"/>
      <c r="AZ630" s="90"/>
      <c r="BA630" s="90"/>
      <c r="BB630" s="90"/>
      <c r="BC630" s="90"/>
      <c r="BD630" s="90"/>
      <c r="BE630" s="90"/>
      <c r="BF630" s="90"/>
      <c r="BG630" s="90"/>
      <c r="BH630" s="90"/>
      <c r="BI630" s="90"/>
      <c r="BJ630" s="90"/>
      <c r="BK630" s="90"/>
      <c r="BL630" s="90"/>
      <c r="BM630" s="90"/>
      <c r="BN630" s="90"/>
      <c r="BO630" s="90"/>
      <c r="BP630" s="90"/>
      <c r="BQ630" s="90"/>
      <c r="BR630" s="90"/>
      <c r="BS630" s="90"/>
      <c r="BT630" s="90"/>
      <c r="BU630" s="90"/>
      <c r="BV630" s="90"/>
      <c r="BW630" s="90"/>
      <c r="BX630" s="90"/>
      <c r="BY630" s="90"/>
      <c r="BZ630" s="90"/>
      <c r="CA630" s="90"/>
      <c r="CB630" s="90"/>
      <c r="CC630" s="90"/>
      <c r="CD630" s="90"/>
      <c r="CE630" s="90"/>
      <c r="CF630" s="90"/>
      <c r="CG630" s="90"/>
      <c r="CH630" s="90"/>
      <c r="CI630" s="90"/>
      <c r="CJ630" s="90"/>
      <c r="CK630" s="90"/>
      <c r="CL630" s="90"/>
      <c r="CM630" s="90"/>
      <c r="CN630" s="90"/>
      <c r="CO630" s="90"/>
      <c r="CP630" s="90"/>
      <c r="CQ630" s="90"/>
      <c r="CR630" s="90"/>
      <c r="CS630" s="90"/>
      <c r="CT630" s="90"/>
      <c r="CU630" s="90"/>
      <c r="CV630" s="90"/>
      <c r="CW630" s="90"/>
      <c r="CX630" s="90"/>
      <c r="CY630" s="90"/>
      <c r="CZ630" s="90"/>
      <c r="DA630" s="90"/>
      <c r="DB630" s="90"/>
      <c r="DC630" s="90"/>
      <c r="DD630" s="90"/>
      <c r="DE630" s="90"/>
      <c r="DF630" s="90"/>
      <c r="DG630" s="90"/>
      <c r="DH630" s="90"/>
      <c r="DI630" s="90"/>
      <c r="DJ630" s="90"/>
      <c r="DK630" s="90"/>
      <c r="DL630" s="90"/>
      <c r="DM630" s="90"/>
      <c r="DN630" s="90"/>
      <c r="DO630" s="90"/>
      <c r="DP630" s="90"/>
      <c r="DQ630" s="90"/>
      <c r="DR630" s="90"/>
      <c r="DS630" s="90"/>
      <c r="DT630" s="90"/>
      <c r="DU630" s="90"/>
      <c r="DV630" s="90"/>
      <c r="DW630" s="90"/>
      <c r="DX630" s="90"/>
      <c r="DY630" s="90"/>
      <c r="DZ630" s="90"/>
      <c r="EA630" s="90"/>
      <c r="EB630" s="90"/>
      <c r="EC630" s="90"/>
      <c r="ED630" s="90"/>
      <c r="EE630" s="90"/>
      <c r="EF630" s="90"/>
      <c r="EG630" s="90"/>
      <c r="EH630" s="90"/>
      <c r="EI630" s="90"/>
      <c r="EJ630" s="90"/>
      <c r="EK630" s="90"/>
      <c r="EL630" s="90"/>
      <c r="EM630" s="90"/>
      <c r="EN630" s="90"/>
      <c r="EO630" s="90"/>
      <c r="EP630" s="90"/>
      <c r="EQ630" s="90"/>
      <c r="ER630" s="90"/>
      <c r="ES630" s="90"/>
      <c r="ET630" s="90"/>
      <c r="EU630" s="90"/>
      <c r="EV630" s="90"/>
      <c r="EW630" s="90"/>
      <c r="EX630" s="90"/>
      <c r="EY630" s="90"/>
      <c r="EZ630" s="90"/>
      <c r="FA630" s="90"/>
      <c r="FB630" s="90"/>
      <c r="FC630" s="90"/>
      <c r="FD630" s="90"/>
      <c r="FE630" s="90"/>
      <c r="FF630" s="90"/>
      <c r="FG630" s="90"/>
      <c r="FH630" s="90"/>
      <c r="FI630" s="90"/>
      <c r="FJ630" s="90"/>
      <c r="FK630" s="90"/>
      <c r="FL630" s="90"/>
      <c r="FM630" s="90"/>
      <c r="FN630" s="90"/>
      <c r="FO630" s="90"/>
      <c r="FP630" s="90"/>
      <c r="FQ630" s="90"/>
      <c r="FR630" s="90"/>
      <c r="FS630" s="90"/>
      <c r="FT630" s="90"/>
      <c r="FU630" s="90"/>
      <c r="FV630" s="90"/>
      <c r="FW630" s="90"/>
      <c r="FX630" s="90"/>
      <c r="FY630" s="90"/>
      <c r="FZ630" s="90"/>
      <c r="GA630" s="90"/>
      <c r="GB630" s="90"/>
      <c r="GC630" s="90"/>
      <c r="GD630" s="90"/>
      <c r="GE630" s="90"/>
      <c r="GF630" s="90"/>
      <c r="GG630" s="90"/>
      <c r="GH630" s="90"/>
      <c r="GI630" s="90"/>
      <c r="GJ630" s="90"/>
      <c r="GK630" s="90"/>
      <c r="GL630" s="90"/>
      <c r="GM630" s="90"/>
      <c r="GN630" s="90"/>
      <c r="GO630" s="90"/>
      <c r="GP630" s="90"/>
      <c r="GQ630" s="90"/>
      <c r="GR630" s="90"/>
      <c r="GS630" s="90"/>
      <c r="GT630" s="90"/>
      <c r="GU630" s="90"/>
      <c r="GV630" s="90"/>
      <c r="GW630" s="90"/>
      <c r="GX630" s="90"/>
      <c r="GY630" s="90"/>
      <c r="GZ630" s="90"/>
      <c r="HA630" s="90"/>
      <c r="HB630" s="90"/>
      <c r="HC630" s="90"/>
      <c r="HD630" s="90"/>
      <c r="HE630" s="90"/>
      <c r="HF630" s="90"/>
      <c r="HG630" s="90"/>
      <c r="HH630" s="90"/>
      <c r="HI630" s="90"/>
      <c r="HJ630" s="90"/>
      <c r="HK630" s="90"/>
      <c r="HL630" s="90"/>
      <c r="HM630" s="90"/>
      <c r="HN630" s="90"/>
      <c r="HO630" s="90"/>
      <c r="HP630" s="90"/>
      <c r="HQ630" s="90"/>
      <c r="HR630" s="90"/>
      <c r="HS630" s="90"/>
      <c r="HT630" s="90"/>
      <c r="HU630" s="90"/>
      <c r="HV630" s="90"/>
      <c r="HW630" s="90"/>
      <c r="HX630" s="90"/>
      <c r="HY630" s="90"/>
      <c r="HZ630" s="90"/>
      <c r="IA630" s="90"/>
      <c r="IB630" s="90"/>
      <c r="IC630" s="90"/>
      <c r="ID630" s="90"/>
      <c r="IE630" s="90"/>
      <c r="IF630" s="90"/>
      <c r="IG630" s="90"/>
      <c r="IH630" s="90"/>
      <c r="II630" s="90"/>
      <c r="IJ630" s="90"/>
      <c r="IK630" s="90"/>
      <c r="IL630" s="90"/>
      <c r="IM630" s="90"/>
      <c r="IN630" s="90"/>
      <c r="IO630" s="90"/>
      <c r="IP630" s="90"/>
      <c r="IQ630" s="90"/>
      <c r="IR630" s="90"/>
      <c r="IS630" s="90"/>
      <c r="IT630" s="90"/>
      <c r="IU630" s="90"/>
    </row>
    <row r="631" ht="15" spans="1:11">
      <c r="A631" s="98" t="s">
        <v>63</v>
      </c>
      <c r="B631" s="99" t="s">
        <v>9365</v>
      </c>
      <c r="C631" s="98" t="s">
        <v>8218</v>
      </c>
      <c r="D631" s="101" t="s">
        <v>4</v>
      </c>
      <c r="E631" s="101" t="s">
        <v>9366</v>
      </c>
      <c r="F631" s="98"/>
      <c r="G631" s="98" t="s">
        <v>206</v>
      </c>
      <c r="H631" s="100" t="s">
        <v>8215</v>
      </c>
      <c r="I631" s="100" t="s">
        <v>8215</v>
      </c>
      <c r="J631" s="100">
        <v>7</v>
      </c>
      <c r="K631" s="107"/>
    </row>
    <row r="632" ht="15" spans="1:11">
      <c r="A632" s="98" t="s">
        <v>63</v>
      </c>
      <c r="B632" s="99" t="s">
        <v>9367</v>
      </c>
      <c r="C632" s="98" t="s">
        <v>8218</v>
      </c>
      <c r="D632" s="101" t="s">
        <v>4</v>
      </c>
      <c r="E632" s="101" t="s">
        <v>9366</v>
      </c>
      <c r="F632" s="98"/>
      <c r="G632" s="98" t="s">
        <v>206</v>
      </c>
      <c r="H632" s="100" t="s">
        <v>8215</v>
      </c>
      <c r="I632" s="100" t="s">
        <v>8215</v>
      </c>
      <c r="J632" s="100">
        <v>7</v>
      </c>
      <c r="K632" s="107"/>
    </row>
    <row r="633" ht="15" spans="1:11">
      <c r="A633" s="98" t="s">
        <v>63</v>
      </c>
      <c r="B633" s="99" t="s">
        <v>9368</v>
      </c>
      <c r="C633" s="98" t="s">
        <v>8225</v>
      </c>
      <c r="D633" s="101" t="s">
        <v>4</v>
      </c>
      <c r="E633" s="101" t="s">
        <v>9366</v>
      </c>
      <c r="F633" s="98"/>
      <c r="G633" s="98" t="s">
        <v>206</v>
      </c>
      <c r="H633" s="100"/>
      <c r="I633" s="100"/>
      <c r="J633" s="100" t="s">
        <v>9055</v>
      </c>
      <c r="K633" s="107"/>
    </row>
    <row r="634" s="90" customFormat="1" ht="15" spans="1:11">
      <c r="A634" s="98" t="s">
        <v>63</v>
      </c>
      <c r="B634" s="99" t="s">
        <v>9369</v>
      </c>
      <c r="C634" s="98" t="s">
        <v>8293</v>
      </c>
      <c r="D634" s="101" t="s">
        <v>4</v>
      </c>
      <c r="E634" s="101" t="s">
        <v>625</v>
      </c>
      <c r="F634" s="98"/>
      <c r="G634" s="98" t="s">
        <v>206</v>
      </c>
      <c r="H634" s="100" t="s">
        <v>8215</v>
      </c>
      <c r="I634" s="100" t="s">
        <v>8215</v>
      </c>
      <c r="J634" s="100" t="s">
        <v>9370</v>
      </c>
      <c r="K634" s="107">
        <v>2024.4</v>
      </c>
    </row>
    <row r="635" s="91" customFormat="1" ht="15" spans="1:11">
      <c r="A635" s="106" t="s">
        <v>63</v>
      </c>
      <c r="B635" s="106" t="s">
        <v>9371</v>
      </c>
      <c r="C635" s="106" t="s">
        <v>8293</v>
      </c>
      <c r="D635" s="106" t="s">
        <v>5</v>
      </c>
      <c r="E635" s="106" t="s">
        <v>9372</v>
      </c>
      <c r="F635" s="106"/>
      <c r="G635" s="106" t="s">
        <v>206</v>
      </c>
      <c r="H635" s="106" t="s">
        <v>8215</v>
      </c>
      <c r="I635" s="106" t="s">
        <v>8215</v>
      </c>
      <c r="J635" s="106" t="s">
        <v>9373</v>
      </c>
      <c r="K635" s="106">
        <v>2024.8</v>
      </c>
    </row>
    <row r="636" ht="15" spans="1:11">
      <c r="A636" s="98" t="s">
        <v>63</v>
      </c>
      <c r="B636" s="100" t="s">
        <v>9374</v>
      </c>
      <c r="C636" s="101" t="s">
        <v>8240</v>
      </c>
      <c r="D636" s="101" t="s">
        <v>5</v>
      </c>
      <c r="E636" s="101" t="s">
        <v>9375</v>
      </c>
      <c r="F636" s="98"/>
      <c r="G636" s="98" t="s">
        <v>206</v>
      </c>
      <c r="H636" s="100" t="s">
        <v>8215</v>
      </c>
      <c r="I636" s="100" t="s">
        <v>8215</v>
      </c>
      <c r="J636" s="100" t="s">
        <v>8708</v>
      </c>
      <c r="K636" s="107"/>
    </row>
    <row r="637" ht="15" spans="1:11">
      <c r="A637" s="98" t="s">
        <v>63</v>
      </c>
      <c r="B637" s="100" t="s">
        <v>9376</v>
      </c>
      <c r="C637" s="98" t="s">
        <v>8218</v>
      </c>
      <c r="D637" s="101" t="s">
        <v>4</v>
      </c>
      <c r="E637" s="101" t="s">
        <v>9377</v>
      </c>
      <c r="F637" s="98"/>
      <c r="G637" s="98" t="s">
        <v>206</v>
      </c>
      <c r="H637" s="100" t="s">
        <v>8215</v>
      </c>
      <c r="I637" s="100" t="s">
        <v>8215</v>
      </c>
      <c r="J637" s="100" t="s">
        <v>8708</v>
      </c>
      <c r="K637" s="107"/>
    </row>
    <row r="638" ht="15" spans="1:11">
      <c r="A638" s="98" t="s">
        <v>63</v>
      </c>
      <c r="B638" s="100" t="s">
        <v>9378</v>
      </c>
      <c r="C638" s="98" t="s">
        <v>8218</v>
      </c>
      <c r="D638" s="101" t="s">
        <v>5</v>
      </c>
      <c r="E638" s="101" t="s">
        <v>9379</v>
      </c>
      <c r="F638" s="98"/>
      <c r="G638" s="98" t="s">
        <v>206</v>
      </c>
      <c r="H638" s="100" t="s">
        <v>8215</v>
      </c>
      <c r="I638" s="100" t="s">
        <v>8215</v>
      </c>
      <c r="J638" s="100" t="s">
        <v>8708</v>
      </c>
      <c r="K638" s="107"/>
    </row>
    <row r="639" ht="30" spans="1:11">
      <c r="A639" s="98" t="s">
        <v>63</v>
      </c>
      <c r="B639" s="100" t="s">
        <v>9380</v>
      </c>
      <c r="C639" s="98" t="s">
        <v>8218</v>
      </c>
      <c r="D639" s="101" t="s">
        <v>5</v>
      </c>
      <c r="E639" s="98" t="s">
        <v>9381</v>
      </c>
      <c r="F639" s="98"/>
      <c r="G639" s="98" t="s">
        <v>206</v>
      </c>
      <c r="H639" s="100" t="s">
        <v>8215</v>
      </c>
      <c r="I639" s="100" t="s">
        <v>8215</v>
      </c>
      <c r="J639" s="100"/>
      <c r="K639" s="107"/>
    </row>
    <row r="640" ht="30" spans="1:11">
      <c r="A640" s="98" t="s">
        <v>63</v>
      </c>
      <c r="B640" s="100" t="s">
        <v>9382</v>
      </c>
      <c r="C640" s="98" t="s">
        <v>8218</v>
      </c>
      <c r="D640" s="101" t="s">
        <v>5</v>
      </c>
      <c r="E640" s="98" t="s">
        <v>9381</v>
      </c>
      <c r="F640" s="98"/>
      <c r="G640" s="98" t="s">
        <v>206</v>
      </c>
      <c r="H640" s="100" t="s">
        <v>8215</v>
      </c>
      <c r="I640" s="100" t="s">
        <v>8215</v>
      </c>
      <c r="J640" s="100"/>
      <c r="K640" s="107"/>
    </row>
    <row r="641" ht="15" spans="1:11">
      <c r="A641" s="98" t="s">
        <v>63</v>
      </c>
      <c r="B641" s="100" t="s">
        <v>9383</v>
      </c>
      <c r="C641" s="98"/>
      <c r="D641" s="101" t="s">
        <v>5</v>
      </c>
      <c r="E641" s="98" t="s">
        <v>9384</v>
      </c>
      <c r="F641" s="98"/>
      <c r="G641" s="98" t="s">
        <v>206</v>
      </c>
      <c r="H641" s="100" t="s">
        <v>8247</v>
      </c>
      <c r="I641" s="100" t="s">
        <v>8247</v>
      </c>
      <c r="J641" s="100" t="s">
        <v>9174</v>
      </c>
      <c r="K641" s="107">
        <v>2024.3</v>
      </c>
    </row>
    <row r="642" ht="15" spans="1:11">
      <c r="A642" s="98" t="s">
        <v>63</v>
      </c>
      <c r="B642" s="100" t="s">
        <v>9385</v>
      </c>
      <c r="C642" s="98" t="s">
        <v>8218</v>
      </c>
      <c r="D642" s="101" t="s">
        <v>5</v>
      </c>
      <c r="E642" s="101" t="s">
        <v>9386</v>
      </c>
      <c r="F642" s="98"/>
      <c r="G642" s="98" t="s">
        <v>206</v>
      </c>
      <c r="H642" s="100" t="s">
        <v>8247</v>
      </c>
      <c r="I642" s="100" t="s">
        <v>8247</v>
      </c>
      <c r="J642" s="100" t="s">
        <v>8708</v>
      </c>
      <c r="K642" s="107"/>
    </row>
    <row r="643" ht="15" spans="1:11">
      <c r="A643" s="98" t="s">
        <v>63</v>
      </c>
      <c r="B643" s="100" t="s">
        <v>9387</v>
      </c>
      <c r="C643" s="101" t="s">
        <v>8240</v>
      </c>
      <c r="D643" s="101" t="s">
        <v>5</v>
      </c>
      <c r="E643" s="101" t="s">
        <v>9388</v>
      </c>
      <c r="F643" s="98"/>
      <c r="G643" s="98" t="s">
        <v>206</v>
      </c>
      <c r="H643" s="100" t="s">
        <v>9389</v>
      </c>
      <c r="I643" s="100" t="s">
        <v>8320</v>
      </c>
      <c r="J643" s="100" t="s">
        <v>8708</v>
      </c>
      <c r="K643" s="107"/>
    </row>
    <row r="644" ht="15" spans="1:11">
      <c r="A644" s="98" t="s">
        <v>63</v>
      </c>
      <c r="B644" s="100" t="s">
        <v>9390</v>
      </c>
      <c r="C644" s="98" t="s">
        <v>8218</v>
      </c>
      <c r="D644" s="101" t="s">
        <v>4</v>
      </c>
      <c r="E644" s="101" t="s">
        <v>9391</v>
      </c>
      <c r="F644" s="98"/>
      <c r="G644" s="98" t="s">
        <v>206</v>
      </c>
      <c r="H644" s="100" t="s">
        <v>8215</v>
      </c>
      <c r="I644" s="100" t="s">
        <v>8215</v>
      </c>
      <c r="J644" s="100" t="s">
        <v>8708</v>
      </c>
      <c r="K644" s="107"/>
    </row>
    <row r="645" ht="15" spans="1:11">
      <c r="A645" s="98" t="s">
        <v>63</v>
      </c>
      <c r="B645" s="100" t="s">
        <v>9392</v>
      </c>
      <c r="C645" s="98" t="s">
        <v>8218</v>
      </c>
      <c r="D645" s="101" t="s">
        <v>4</v>
      </c>
      <c r="E645" s="101" t="s">
        <v>9393</v>
      </c>
      <c r="F645" s="98"/>
      <c r="G645" s="98" t="s">
        <v>206</v>
      </c>
      <c r="H645" s="100" t="s">
        <v>8215</v>
      </c>
      <c r="I645" s="100" t="s">
        <v>8215</v>
      </c>
      <c r="J645" s="100" t="s">
        <v>8708</v>
      </c>
      <c r="K645" s="107"/>
    </row>
    <row r="646" ht="30" spans="1:11">
      <c r="A646" s="98" t="s">
        <v>63</v>
      </c>
      <c r="B646" s="100" t="s">
        <v>9394</v>
      </c>
      <c r="C646" s="98" t="s">
        <v>8218</v>
      </c>
      <c r="D646" s="101" t="s">
        <v>4</v>
      </c>
      <c r="E646" s="101" t="s">
        <v>9393</v>
      </c>
      <c r="F646" s="98"/>
      <c r="G646" s="98" t="s">
        <v>206</v>
      </c>
      <c r="H646" s="100" t="s">
        <v>8215</v>
      </c>
      <c r="I646" s="100" t="s">
        <v>8215</v>
      </c>
      <c r="J646" s="100" t="s">
        <v>8708</v>
      </c>
      <c r="K646" s="107"/>
    </row>
    <row r="647" ht="30" spans="1:11">
      <c r="A647" s="98" t="s">
        <v>63</v>
      </c>
      <c r="B647" s="100" t="s">
        <v>9395</v>
      </c>
      <c r="C647" s="98" t="s">
        <v>8218</v>
      </c>
      <c r="D647" s="101" t="s">
        <v>4</v>
      </c>
      <c r="E647" s="98" t="s">
        <v>9393</v>
      </c>
      <c r="F647" s="98"/>
      <c r="G647" s="98" t="s">
        <v>206</v>
      </c>
      <c r="H647" s="100"/>
      <c r="I647" s="100"/>
      <c r="J647" s="100"/>
      <c r="K647" s="107"/>
    </row>
    <row r="648" ht="30" spans="1:11">
      <c r="A648" s="98" t="s">
        <v>63</v>
      </c>
      <c r="B648" s="100" t="s">
        <v>9396</v>
      </c>
      <c r="C648" s="98" t="s">
        <v>8218</v>
      </c>
      <c r="D648" s="101" t="s">
        <v>4</v>
      </c>
      <c r="E648" s="98" t="s">
        <v>9393</v>
      </c>
      <c r="F648" s="98"/>
      <c r="G648" s="98" t="s">
        <v>206</v>
      </c>
      <c r="H648" s="100"/>
      <c r="I648" s="100"/>
      <c r="J648" s="100"/>
      <c r="K648" s="107"/>
    </row>
    <row r="649" ht="30" spans="1:11">
      <c r="A649" s="98" t="s">
        <v>63</v>
      </c>
      <c r="B649" s="100" t="s">
        <v>9397</v>
      </c>
      <c r="C649" s="98" t="s">
        <v>8218</v>
      </c>
      <c r="D649" s="101" t="s">
        <v>4</v>
      </c>
      <c r="E649" s="98" t="s">
        <v>9393</v>
      </c>
      <c r="F649" s="98"/>
      <c r="G649" s="98" t="s">
        <v>206</v>
      </c>
      <c r="H649" s="100"/>
      <c r="I649" s="100"/>
      <c r="J649" s="100"/>
      <c r="K649" s="107"/>
    </row>
    <row r="650" s="89" customFormat="1" ht="60" spans="1:11">
      <c r="A650" s="106" t="s">
        <v>63</v>
      </c>
      <c r="B650" s="106" t="s">
        <v>9398</v>
      </c>
      <c r="C650" s="106" t="s">
        <v>8293</v>
      </c>
      <c r="D650" s="106" t="s">
        <v>4</v>
      </c>
      <c r="E650" s="106" t="s">
        <v>6006</v>
      </c>
      <c r="F650" s="106"/>
      <c r="G650" s="106" t="s">
        <v>206</v>
      </c>
      <c r="H650" s="117" t="s">
        <v>9399</v>
      </c>
      <c r="I650" s="106" t="s">
        <v>8215</v>
      </c>
      <c r="J650" s="106">
        <v>4</v>
      </c>
      <c r="K650" s="114" t="s">
        <v>8311</v>
      </c>
    </row>
    <row r="651" ht="15" spans="1:11">
      <c r="A651" s="98" t="s">
        <v>64</v>
      </c>
      <c r="B651" s="100" t="s">
        <v>9400</v>
      </c>
      <c r="C651" s="98" t="s">
        <v>8218</v>
      </c>
      <c r="D651" s="101" t="s">
        <v>4</v>
      </c>
      <c r="E651" s="101" t="s">
        <v>9401</v>
      </c>
      <c r="F651" s="98"/>
      <c r="G651" s="98" t="s">
        <v>209</v>
      </c>
      <c r="H651" s="118" t="s">
        <v>8215</v>
      </c>
      <c r="I651" s="118" t="s">
        <v>8215</v>
      </c>
      <c r="J651" s="118">
        <v>10</v>
      </c>
      <c r="K651" s="107"/>
    </row>
    <row r="652" ht="15" spans="1:11">
      <c r="A652" s="98" t="s">
        <v>64</v>
      </c>
      <c r="B652" s="100" t="s">
        <v>9402</v>
      </c>
      <c r="C652" s="98" t="s">
        <v>8218</v>
      </c>
      <c r="D652" s="101" t="s">
        <v>4</v>
      </c>
      <c r="E652" s="101" t="s">
        <v>9403</v>
      </c>
      <c r="F652" s="98"/>
      <c r="G652" s="98" t="s">
        <v>209</v>
      </c>
      <c r="H652" s="118" t="s">
        <v>8215</v>
      </c>
      <c r="I652" s="118" t="s">
        <v>8215</v>
      </c>
      <c r="J652" s="118">
        <v>10</v>
      </c>
      <c r="K652" s="107"/>
    </row>
    <row r="653" ht="15" spans="1:11">
      <c r="A653" s="98" t="s">
        <v>64</v>
      </c>
      <c r="B653" s="100" t="s">
        <v>9404</v>
      </c>
      <c r="C653" s="98" t="s">
        <v>8218</v>
      </c>
      <c r="D653" s="101" t="s">
        <v>4</v>
      </c>
      <c r="E653" s="101" t="s">
        <v>9405</v>
      </c>
      <c r="F653" s="98"/>
      <c r="G653" s="98" t="s">
        <v>209</v>
      </c>
      <c r="H653" s="118" t="s">
        <v>8215</v>
      </c>
      <c r="I653" s="118" t="s">
        <v>8215</v>
      </c>
      <c r="J653" s="118">
        <v>10</v>
      </c>
      <c r="K653" s="107"/>
    </row>
    <row r="654" ht="15" spans="1:11">
      <c r="A654" s="98" t="s">
        <v>64</v>
      </c>
      <c r="B654" s="100" t="s">
        <v>9406</v>
      </c>
      <c r="C654" s="101" t="s">
        <v>8240</v>
      </c>
      <c r="D654" s="101" t="s">
        <v>5</v>
      </c>
      <c r="E654" s="101" t="s">
        <v>9407</v>
      </c>
      <c r="F654" s="98"/>
      <c r="G654" s="98" t="s">
        <v>209</v>
      </c>
      <c r="H654" s="118" t="s">
        <v>8215</v>
      </c>
      <c r="I654" s="118" t="s">
        <v>8215</v>
      </c>
      <c r="J654" s="118" t="s">
        <v>8725</v>
      </c>
      <c r="K654" s="107"/>
    </row>
    <row r="655" ht="15" spans="1:11">
      <c r="A655" s="98" t="s">
        <v>64</v>
      </c>
      <c r="B655" s="100" t="s">
        <v>9408</v>
      </c>
      <c r="C655" s="98" t="s">
        <v>8218</v>
      </c>
      <c r="D655" s="101" t="s">
        <v>4</v>
      </c>
      <c r="E655" s="101" t="s">
        <v>9409</v>
      </c>
      <c r="F655" s="98"/>
      <c r="G655" s="98" t="s">
        <v>209</v>
      </c>
      <c r="H655" s="118" t="s">
        <v>8215</v>
      </c>
      <c r="I655" s="118" t="s">
        <v>8215</v>
      </c>
      <c r="J655" s="118">
        <v>10</v>
      </c>
      <c r="K655" s="107"/>
    </row>
    <row r="656" ht="15" spans="1:11">
      <c r="A656" s="98" t="s">
        <v>64</v>
      </c>
      <c r="B656" s="100" t="s">
        <v>9410</v>
      </c>
      <c r="C656" s="98" t="s">
        <v>8218</v>
      </c>
      <c r="D656" s="101" t="s">
        <v>4</v>
      </c>
      <c r="E656" s="101" t="s">
        <v>9411</v>
      </c>
      <c r="F656" s="98"/>
      <c r="G656" s="98" t="s">
        <v>209</v>
      </c>
      <c r="H656" s="118" t="s">
        <v>8215</v>
      </c>
      <c r="I656" s="118" t="s">
        <v>8215</v>
      </c>
      <c r="J656" s="118">
        <v>10</v>
      </c>
      <c r="K656" s="107"/>
    </row>
    <row r="657" ht="15" spans="1:11">
      <c r="A657" s="98" t="s">
        <v>64</v>
      </c>
      <c r="B657" s="100" t="s">
        <v>9412</v>
      </c>
      <c r="C657" s="98" t="s">
        <v>8218</v>
      </c>
      <c r="D657" s="101" t="s">
        <v>4</v>
      </c>
      <c r="E657" s="101" t="s">
        <v>9411</v>
      </c>
      <c r="F657" s="98"/>
      <c r="G657" s="98" t="s">
        <v>209</v>
      </c>
      <c r="H657" s="118" t="s">
        <v>8215</v>
      </c>
      <c r="I657" s="118" t="s">
        <v>8215</v>
      </c>
      <c r="J657" s="118">
        <v>10</v>
      </c>
      <c r="K657" s="107"/>
    </row>
    <row r="658" ht="15" spans="1:11">
      <c r="A658" s="98" t="s">
        <v>64</v>
      </c>
      <c r="B658" s="100" t="s">
        <v>9413</v>
      </c>
      <c r="C658" s="101" t="s">
        <v>8240</v>
      </c>
      <c r="D658" s="101" t="s">
        <v>4</v>
      </c>
      <c r="E658" s="101" t="s">
        <v>9414</v>
      </c>
      <c r="F658" s="98"/>
      <c r="G658" s="98" t="s">
        <v>209</v>
      </c>
      <c r="H658" s="118" t="s">
        <v>8215</v>
      </c>
      <c r="I658" s="118" t="s">
        <v>8215</v>
      </c>
      <c r="J658" s="118">
        <v>6.3</v>
      </c>
      <c r="K658" s="107"/>
    </row>
    <row r="659" ht="15" spans="1:11">
      <c r="A659" s="98" t="s">
        <v>64</v>
      </c>
      <c r="B659" s="100" t="s">
        <v>9415</v>
      </c>
      <c r="C659" s="98" t="s">
        <v>8218</v>
      </c>
      <c r="D659" s="101" t="s">
        <v>4</v>
      </c>
      <c r="E659" s="101" t="s">
        <v>9414</v>
      </c>
      <c r="F659" s="98"/>
      <c r="G659" s="98" t="s">
        <v>209</v>
      </c>
      <c r="H659" s="118" t="s">
        <v>8215</v>
      </c>
      <c r="I659" s="118" t="s">
        <v>8215</v>
      </c>
      <c r="J659" s="118">
        <v>6.3</v>
      </c>
      <c r="K659" s="107"/>
    </row>
    <row r="660" ht="15" spans="1:11">
      <c r="A660" s="98" t="s">
        <v>64</v>
      </c>
      <c r="B660" s="100" t="s">
        <v>9416</v>
      </c>
      <c r="C660" s="98" t="s">
        <v>8218</v>
      </c>
      <c r="D660" s="101" t="s">
        <v>5</v>
      </c>
      <c r="E660" s="101" t="s">
        <v>9417</v>
      </c>
      <c r="F660" s="98"/>
      <c r="G660" s="98" t="s">
        <v>209</v>
      </c>
      <c r="H660" s="118" t="s">
        <v>8215</v>
      </c>
      <c r="I660" s="118" t="s">
        <v>8215</v>
      </c>
      <c r="J660" s="118">
        <v>6.3</v>
      </c>
      <c r="K660" s="107"/>
    </row>
    <row r="661" ht="15" spans="1:11">
      <c r="A661" s="98" t="s">
        <v>64</v>
      </c>
      <c r="B661" s="100" t="s">
        <v>9418</v>
      </c>
      <c r="C661" s="98" t="s">
        <v>8225</v>
      </c>
      <c r="D661" s="101" t="s">
        <v>5</v>
      </c>
      <c r="E661" s="101" t="s">
        <v>9419</v>
      </c>
      <c r="F661" s="98"/>
      <c r="G661" s="98" t="s">
        <v>209</v>
      </c>
      <c r="H661" s="118"/>
      <c r="I661" s="118"/>
      <c r="J661" s="118" t="s">
        <v>9270</v>
      </c>
      <c r="K661" s="107"/>
    </row>
    <row r="662" ht="15" spans="1:11">
      <c r="A662" s="98" t="s">
        <v>64</v>
      </c>
      <c r="B662" s="100" t="s">
        <v>9420</v>
      </c>
      <c r="C662" s="98" t="s">
        <v>8218</v>
      </c>
      <c r="D662" s="101" t="s">
        <v>5</v>
      </c>
      <c r="E662" s="101" t="s">
        <v>9421</v>
      </c>
      <c r="F662" s="98"/>
      <c r="G662" s="98" t="s">
        <v>209</v>
      </c>
      <c r="H662" s="118" t="s">
        <v>8215</v>
      </c>
      <c r="I662" s="118" t="s">
        <v>8215</v>
      </c>
      <c r="J662" s="118">
        <v>6.3</v>
      </c>
      <c r="K662" s="107"/>
    </row>
    <row r="663" ht="15" spans="1:11">
      <c r="A663" s="98" t="s">
        <v>64</v>
      </c>
      <c r="B663" s="100" t="s">
        <v>9422</v>
      </c>
      <c r="C663" s="98" t="s">
        <v>8218</v>
      </c>
      <c r="D663" s="101" t="s">
        <v>4</v>
      </c>
      <c r="E663" s="101" t="s">
        <v>6209</v>
      </c>
      <c r="F663" s="98"/>
      <c r="G663" s="98" t="s">
        <v>209</v>
      </c>
      <c r="H663" s="118" t="s">
        <v>8215</v>
      </c>
      <c r="I663" s="118" t="s">
        <v>8215</v>
      </c>
      <c r="J663" s="118">
        <v>6.3</v>
      </c>
      <c r="K663" s="107"/>
    </row>
    <row r="664" ht="15" spans="1:11">
      <c r="A664" s="98" t="s">
        <v>64</v>
      </c>
      <c r="B664" s="100" t="s">
        <v>9423</v>
      </c>
      <c r="C664" s="101" t="s">
        <v>8240</v>
      </c>
      <c r="D664" s="101" t="s">
        <v>5</v>
      </c>
      <c r="E664" s="101" t="s">
        <v>9424</v>
      </c>
      <c r="F664" s="98"/>
      <c r="G664" s="98" t="s">
        <v>209</v>
      </c>
      <c r="H664" s="118" t="s">
        <v>8215</v>
      </c>
      <c r="I664" s="118" t="s">
        <v>8215</v>
      </c>
      <c r="J664" s="118">
        <v>10</v>
      </c>
      <c r="K664" s="107"/>
    </row>
    <row r="665" ht="15" spans="1:11">
      <c r="A665" s="98" t="s">
        <v>64</v>
      </c>
      <c r="B665" s="100" t="s">
        <v>9425</v>
      </c>
      <c r="C665" s="98" t="s">
        <v>8218</v>
      </c>
      <c r="D665" s="101" t="s">
        <v>5</v>
      </c>
      <c r="E665" s="101" t="s">
        <v>9426</v>
      </c>
      <c r="F665" s="98"/>
      <c r="G665" s="98" t="s">
        <v>209</v>
      </c>
      <c r="H665" s="118" t="s">
        <v>1258</v>
      </c>
      <c r="I665" s="118" t="s">
        <v>1258</v>
      </c>
      <c r="J665" s="118"/>
      <c r="K665" s="107"/>
    </row>
    <row r="666" ht="15" spans="1:11">
      <c r="A666" s="98" t="s">
        <v>64</v>
      </c>
      <c r="B666" s="100" t="s">
        <v>9427</v>
      </c>
      <c r="C666" s="98" t="s">
        <v>8218</v>
      </c>
      <c r="D666" s="101" t="s">
        <v>4</v>
      </c>
      <c r="E666" s="101" t="s">
        <v>9428</v>
      </c>
      <c r="F666" s="98"/>
      <c r="G666" s="98" t="s">
        <v>209</v>
      </c>
      <c r="H666" s="118" t="s">
        <v>8215</v>
      </c>
      <c r="I666" s="118" t="s">
        <v>8215</v>
      </c>
      <c r="J666" s="118"/>
      <c r="K666" s="107"/>
    </row>
    <row r="667" ht="15" spans="1:11">
      <c r="A667" s="98" t="s">
        <v>64</v>
      </c>
      <c r="B667" s="100" t="s">
        <v>9429</v>
      </c>
      <c r="C667" s="98" t="s">
        <v>8218</v>
      </c>
      <c r="D667" s="101" t="s">
        <v>4</v>
      </c>
      <c r="E667" s="101" t="s">
        <v>9428</v>
      </c>
      <c r="F667" s="98"/>
      <c r="G667" s="98" t="s">
        <v>209</v>
      </c>
      <c r="H667" s="118" t="s">
        <v>8215</v>
      </c>
      <c r="I667" s="118" t="s">
        <v>8215</v>
      </c>
      <c r="J667" s="118" t="s">
        <v>9430</v>
      </c>
      <c r="K667" s="107"/>
    </row>
    <row r="668" ht="15" spans="1:11">
      <c r="A668" s="98" t="s">
        <v>64</v>
      </c>
      <c r="B668" s="100" t="s">
        <v>9431</v>
      </c>
      <c r="C668" s="98" t="s">
        <v>8218</v>
      </c>
      <c r="D668" s="101" t="s">
        <v>4</v>
      </c>
      <c r="E668" s="101" t="s">
        <v>9432</v>
      </c>
      <c r="F668" s="98"/>
      <c r="G668" s="98" t="s">
        <v>209</v>
      </c>
      <c r="H668" s="118" t="s">
        <v>8215</v>
      </c>
      <c r="I668" s="118" t="s">
        <v>8215</v>
      </c>
      <c r="J668" s="118">
        <v>3.65</v>
      </c>
      <c r="K668" s="107"/>
    </row>
    <row r="669" ht="15" spans="1:11">
      <c r="A669" s="98" t="s">
        <v>64</v>
      </c>
      <c r="B669" s="100" t="s">
        <v>9433</v>
      </c>
      <c r="C669" s="98" t="s">
        <v>8218</v>
      </c>
      <c r="D669" s="101" t="s">
        <v>4</v>
      </c>
      <c r="E669" s="101" t="s">
        <v>9432</v>
      </c>
      <c r="F669" s="98"/>
      <c r="G669" s="98" t="s">
        <v>209</v>
      </c>
      <c r="H669" s="118" t="s">
        <v>8320</v>
      </c>
      <c r="I669" s="118" t="s">
        <v>8320</v>
      </c>
      <c r="J669" s="118" t="s">
        <v>8220</v>
      </c>
      <c r="K669" s="107"/>
    </row>
    <row r="670" ht="15" spans="1:11">
      <c r="A670" s="98" t="s">
        <v>64</v>
      </c>
      <c r="B670" s="100" t="s">
        <v>9434</v>
      </c>
      <c r="C670" s="98" t="s">
        <v>8218</v>
      </c>
      <c r="D670" s="101" t="s">
        <v>4</v>
      </c>
      <c r="E670" s="101" t="s">
        <v>9435</v>
      </c>
      <c r="F670" s="98"/>
      <c r="G670" s="98" t="s">
        <v>209</v>
      </c>
      <c r="H670" s="118" t="s">
        <v>8215</v>
      </c>
      <c r="I670" s="118" t="s">
        <v>8215</v>
      </c>
      <c r="J670" s="118" t="s">
        <v>8220</v>
      </c>
      <c r="K670" s="107"/>
    </row>
    <row r="671" ht="15" spans="1:11">
      <c r="A671" s="98" t="s">
        <v>64</v>
      </c>
      <c r="B671" s="100" t="s">
        <v>9436</v>
      </c>
      <c r="C671" s="98" t="s">
        <v>8229</v>
      </c>
      <c r="D671" s="101" t="s">
        <v>4</v>
      </c>
      <c r="E671" s="101" t="s">
        <v>9435</v>
      </c>
      <c r="F671" s="98"/>
      <c r="G671" s="98" t="s">
        <v>209</v>
      </c>
      <c r="H671" s="118" t="s">
        <v>8215</v>
      </c>
      <c r="I671" s="118" t="s">
        <v>8215</v>
      </c>
      <c r="J671" s="118">
        <v>3.8</v>
      </c>
      <c r="K671" s="107"/>
    </row>
    <row r="672" ht="15" spans="1:11">
      <c r="A672" s="98" t="s">
        <v>64</v>
      </c>
      <c r="B672" s="99" t="s">
        <v>9437</v>
      </c>
      <c r="C672" s="98" t="s">
        <v>8218</v>
      </c>
      <c r="D672" s="98"/>
      <c r="E672" s="98" t="s">
        <v>9435</v>
      </c>
      <c r="F672" s="98" t="s">
        <v>1025</v>
      </c>
      <c r="G672" s="98" t="s">
        <v>209</v>
      </c>
      <c r="H672" s="100" t="s">
        <v>1258</v>
      </c>
      <c r="I672" s="100" t="s">
        <v>1258</v>
      </c>
      <c r="J672" s="100"/>
      <c r="K672" s="107"/>
    </row>
    <row r="673" ht="15" spans="1:11">
      <c r="A673" s="98" t="s">
        <v>64</v>
      </c>
      <c r="B673" s="99" t="s">
        <v>9438</v>
      </c>
      <c r="C673" s="101" t="s">
        <v>8240</v>
      </c>
      <c r="D673" s="98" t="s">
        <v>4</v>
      </c>
      <c r="E673" s="98" t="s">
        <v>9435</v>
      </c>
      <c r="F673" s="98"/>
      <c r="G673" s="98" t="s">
        <v>209</v>
      </c>
      <c r="H673" s="100" t="s">
        <v>8320</v>
      </c>
      <c r="I673" s="100" t="s">
        <v>8685</v>
      </c>
      <c r="J673" s="100" t="s">
        <v>9293</v>
      </c>
      <c r="K673" s="107"/>
    </row>
    <row r="674" ht="15" spans="1:11">
      <c r="A674" s="98" t="s">
        <v>64</v>
      </c>
      <c r="B674" s="100" t="s">
        <v>9439</v>
      </c>
      <c r="C674" s="98" t="s">
        <v>8218</v>
      </c>
      <c r="D674" s="101" t="s">
        <v>5</v>
      </c>
      <c r="E674" s="101" t="s">
        <v>9440</v>
      </c>
      <c r="F674" s="98"/>
      <c r="G674" s="98" t="s">
        <v>209</v>
      </c>
      <c r="H674" s="118" t="s">
        <v>8215</v>
      </c>
      <c r="I674" s="118" t="s">
        <v>8215</v>
      </c>
      <c r="J674" s="118" t="s">
        <v>8220</v>
      </c>
      <c r="K674" s="107"/>
    </row>
    <row r="675" ht="15" spans="1:11">
      <c r="A675" s="98" t="s">
        <v>64</v>
      </c>
      <c r="B675" s="100" t="s">
        <v>9441</v>
      </c>
      <c r="C675" s="101" t="s">
        <v>8240</v>
      </c>
      <c r="D675" s="101" t="s">
        <v>5</v>
      </c>
      <c r="E675" s="101" t="s">
        <v>9440</v>
      </c>
      <c r="F675" s="101"/>
      <c r="G675" s="98" t="s">
        <v>209</v>
      </c>
      <c r="H675" s="118" t="s">
        <v>8320</v>
      </c>
      <c r="I675" s="118" t="s">
        <v>8535</v>
      </c>
      <c r="J675" s="118" t="s">
        <v>8220</v>
      </c>
      <c r="K675" s="107"/>
    </row>
    <row r="676" ht="15" spans="1:11">
      <c r="A676" s="98" t="s">
        <v>64</v>
      </c>
      <c r="B676" s="100" t="s">
        <v>9442</v>
      </c>
      <c r="C676" s="101" t="s">
        <v>8240</v>
      </c>
      <c r="D676" s="101" t="s">
        <v>5</v>
      </c>
      <c r="E676" s="101" t="s">
        <v>9443</v>
      </c>
      <c r="F676" s="98"/>
      <c r="G676" s="98" t="s">
        <v>209</v>
      </c>
      <c r="H676" s="118" t="s">
        <v>8320</v>
      </c>
      <c r="I676" s="118" t="s">
        <v>8215</v>
      </c>
      <c r="J676" s="118" t="s">
        <v>8220</v>
      </c>
      <c r="K676" s="107"/>
    </row>
    <row r="677" ht="15" spans="1:11">
      <c r="A677" s="98" t="s">
        <v>64</v>
      </c>
      <c r="B677" s="100" t="s">
        <v>9444</v>
      </c>
      <c r="C677" s="98" t="s">
        <v>8218</v>
      </c>
      <c r="D677" s="101" t="s">
        <v>4</v>
      </c>
      <c r="E677" s="101" t="s">
        <v>6227</v>
      </c>
      <c r="F677" s="98"/>
      <c r="G677" s="98" t="s">
        <v>209</v>
      </c>
      <c r="H677" s="118" t="s">
        <v>8215</v>
      </c>
      <c r="I677" s="118" t="s">
        <v>1258</v>
      </c>
      <c r="J677" s="118" t="s">
        <v>9445</v>
      </c>
      <c r="K677" s="107"/>
    </row>
    <row r="678" ht="15" spans="1:11">
      <c r="A678" s="98" t="s">
        <v>64</v>
      </c>
      <c r="B678" s="100" t="s">
        <v>9446</v>
      </c>
      <c r="C678" s="98" t="s">
        <v>8218</v>
      </c>
      <c r="D678" s="101" t="s">
        <v>4</v>
      </c>
      <c r="E678" s="101" t="s">
        <v>6227</v>
      </c>
      <c r="F678" s="98"/>
      <c r="G678" s="98" t="s">
        <v>209</v>
      </c>
      <c r="H678" s="118" t="s">
        <v>8215</v>
      </c>
      <c r="I678" s="118" t="s">
        <v>8215</v>
      </c>
      <c r="J678" s="118" t="s">
        <v>9445</v>
      </c>
      <c r="K678" s="107"/>
    </row>
    <row r="679" ht="15" spans="1:11">
      <c r="A679" s="98" t="s">
        <v>64</v>
      </c>
      <c r="B679" s="100" t="s">
        <v>9447</v>
      </c>
      <c r="C679" s="98" t="s">
        <v>8225</v>
      </c>
      <c r="D679" s="101" t="s">
        <v>4</v>
      </c>
      <c r="E679" s="101" t="s">
        <v>6227</v>
      </c>
      <c r="F679" s="98"/>
      <c r="G679" s="98" t="s">
        <v>209</v>
      </c>
      <c r="H679" s="118" t="s">
        <v>8215</v>
      </c>
      <c r="I679" s="118" t="s">
        <v>8215</v>
      </c>
      <c r="J679" s="118" t="s">
        <v>9448</v>
      </c>
      <c r="K679" s="107">
        <v>2024.1</v>
      </c>
    </row>
    <row r="680" s="89" customFormat="1" ht="15" spans="1:256">
      <c r="A680" s="98" t="s">
        <v>64</v>
      </c>
      <c r="B680" s="99" t="s">
        <v>9449</v>
      </c>
      <c r="C680" s="99" t="s">
        <v>8272</v>
      </c>
      <c r="D680" s="99" t="s">
        <v>4</v>
      </c>
      <c r="E680" s="99" t="s">
        <v>1991</v>
      </c>
      <c r="F680" s="99"/>
      <c r="G680" s="99" t="s">
        <v>209</v>
      </c>
      <c r="H680" s="99" t="s">
        <v>8215</v>
      </c>
      <c r="I680" s="99" t="s">
        <v>9450</v>
      </c>
      <c r="J680" s="99" t="s">
        <v>9451</v>
      </c>
      <c r="K680" s="109">
        <v>45916</v>
      </c>
      <c r="L680" s="92"/>
      <c r="M680" s="92"/>
      <c r="N680" s="92"/>
      <c r="O680" s="92"/>
      <c r="P680" s="92"/>
      <c r="Q680" s="92"/>
      <c r="R680" s="92"/>
      <c r="S680" s="92"/>
      <c r="T680" s="92"/>
      <c r="U680" s="92"/>
      <c r="V680" s="92"/>
      <c r="W680" s="92"/>
      <c r="X680" s="92"/>
      <c r="Y680" s="92"/>
      <c r="Z680" s="92"/>
      <c r="AA680" s="92"/>
      <c r="AB680" s="92"/>
      <c r="AC680" s="92"/>
      <c r="AD680" s="92"/>
      <c r="AE680" s="92"/>
      <c r="AF680" s="92"/>
      <c r="AG680" s="92"/>
      <c r="AH680" s="92"/>
      <c r="AI680" s="92"/>
      <c r="AJ680" s="92"/>
      <c r="AK680" s="92"/>
      <c r="AL680" s="92"/>
      <c r="AM680" s="92"/>
      <c r="AN680" s="92"/>
      <c r="AO680" s="92"/>
      <c r="AP680" s="92"/>
      <c r="AQ680" s="92"/>
      <c r="AR680" s="92"/>
      <c r="AS680" s="92"/>
      <c r="AT680" s="92"/>
      <c r="AU680" s="92"/>
      <c r="AV680" s="92"/>
      <c r="AW680" s="92"/>
      <c r="AX680" s="92"/>
      <c r="AY680" s="92"/>
      <c r="AZ680" s="92"/>
      <c r="BA680" s="92"/>
      <c r="BB680" s="92"/>
      <c r="BC680" s="92"/>
      <c r="BD680" s="92"/>
      <c r="BE680" s="92"/>
      <c r="BF680" s="92"/>
      <c r="BG680" s="92"/>
      <c r="BH680" s="92"/>
      <c r="BI680" s="92"/>
      <c r="BJ680" s="92"/>
      <c r="BK680" s="92"/>
      <c r="BL680" s="92"/>
      <c r="BM680" s="92"/>
      <c r="BN680" s="92"/>
      <c r="BO680" s="92"/>
      <c r="BP680" s="92"/>
      <c r="BQ680" s="92"/>
      <c r="BR680" s="92"/>
      <c r="BS680" s="92"/>
      <c r="BT680" s="92"/>
      <c r="BU680" s="92"/>
      <c r="BV680" s="92"/>
      <c r="BW680" s="92"/>
      <c r="BX680" s="92"/>
      <c r="BY680" s="92"/>
      <c r="BZ680" s="92"/>
      <c r="CA680" s="92"/>
      <c r="CB680" s="92"/>
      <c r="CC680" s="92"/>
      <c r="CD680" s="92"/>
      <c r="CE680" s="92"/>
      <c r="CF680" s="92"/>
      <c r="CG680" s="92"/>
      <c r="CH680" s="92"/>
      <c r="CI680" s="92"/>
      <c r="CJ680" s="92"/>
      <c r="CK680" s="92"/>
      <c r="CL680" s="92"/>
      <c r="CM680" s="92"/>
      <c r="CN680" s="92"/>
      <c r="CO680" s="92"/>
      <c r="CP680" s="92"/>
      <c r="CQ680" s="92"/>
      <c r="CR680" s="92"/>
      <c r="CS680" s="92"/>
      <c r="CT680" s="92"/>
      <c r="CU680" s="92"/>
      <c r="CV680" s="92"/>
      <c r="CW680" s="92"/>
      <c r="CX680" s="92"/>
      <c r="CY680" s="92"/>
      <c r="CZ680" s="92"/>
      <c r="DA680" s="92"/>
      <c r="DB680" s="92"/>
      <c r="DC680" s="92"/>
      <c r="DD680" s="92"/>
      <c r="DE680" s="92"/>
      <c r="DF680" s="92"/>
      <c r="DG680" s="92"/>
      <c r="DH680" s="92"/>
      <c r="DI680" s="92"/>
      <c r="DJ680" s="92"/>
      <c r="DK680" s="92"/>
      <c r="DL680" s="92"/>
      <c r="DM680" s="92"/>
      <c r="DN680" s="92"/>
      <c r="DO680" s="92"/>
      <c r="DP680" s="92"/>
      <c r="DQ680" s="92"/>
      <c r="DR680" s="92"/>
      <c r="DS680" s="92"/>
      <c r="DT680" s="92"/>
      <c r="DU680" s="92"/>
      <c r="DV680" s="92"/>
      <c r="DW680" s="92"/>
      <c r="DX680" s="92"/>
      <c r="DY680" s="92"/>
      <c r="DZ680" s="92"/>
      <c r="EA680" s="92"/>
      <c r="EB680" s="92"/>
      <c r="EC680" s="92"/>
      <c r="ED680" s="92"/>
      <c r="EE680" s="92"/>
      <c r="EF680" s="92"/>
      <c r="EG680" s="92"/>
      <c r="EH680" s="92"/>
      <c r="EI680" s="92"/>
      <c r="EJ680" s="92"/>
      <c r="EK680" s="92"/>
      <c r="EL680" s="92"/>
      <c r="EM680" s="92"/>
      <c r="EN680" s="92"/>
      <c r="EO680" s="92"/>
      <c r="EP680" s="92"/>
      <c r="EQ680" s="92"/>
      <c r="ER680" s="92"/>
      <c r="ES680" s="92"/>
      <c r="ET680" s="92"/>
      <c r="EU680" s="92"/>
      <c r="EV680" s="92"/>
      <c r="EW680" s="92"/>
      <c r="EX680" s="92"/>
      <c r="EY680" s="92"/>
      <c r="EZ680" s="92"/>
      <c r="FA680" s="92"/>
      <c r="FB680" s="92"/>
      <c r="FC680" s="92"/>
      <c r="FD680" s="92"/>
      <c r="FE680" s="92"/>
      <c r="FF680" s="92"/>
      <c r="FG680" s="92"/>
      <c r="FH680" s="92"/>
      <c r="FI680" s="92"/>
      <c r="FJ680" s="92"/>
      <c r="FK680" s="92"/>
      <c r="FL680" s="92"/>
      <c r="FM680" s="92"/>
      <c r="FN680" s="92"/>
      <c r="FO680" s="92"/>
      <c r="FP680" s="92"/>
      <c r="FQ680" s="92"/>
      <c r="FR680" s="92"/>
      <c r="FS680" s="92"/>
      <c r="FT680" s="92"/>
      <c r="FU680" s="92"/>
      <c r="FV680" s="92"/>
      <c r="FW680" s="92"/>
      <c r="FX680" s="92"/>
      <c r="FY680" s="92"/>
      <c r="FZ680" s="92"/>
      <c r="GA680" s="92"/>
      <c r="GB680" s="92"/>
      <c r="GC680" s="92"/>
      <c r="GD680" s="92"/>
      <c r="GE680" s="92"/>
      <c r="GF680" s="92"/>
      <c r="GG680" s="92"/>
      <c r="GH680" s="92"/>
      <c r="GI680" s="92"/>
      <c r="GJ680" s="92"/>
      <c r="GK680" s="92"/>
      <c r="GL680" s="92"/>
      <c r="GM680" s="92"/>
      <c r="GN680" s="92"/>
      <c r="GO680" s="92"/>
      <c r="GP680" s="92"/>
      <c r="GQ680" s="92"/>
      <c r="GR680" s="92"/>
      <c r="GS680" s="92"/>
      <c r="GT680" s="92"/>
      <c r="GU680" s="92"/>
      <c r="GV680" s="92"/>
      <c r="GW680" s="92"/>
      <c r="GX680" s="92"/>
      <c r="GY680" s="92"/>
      <c r="GZ680" s="92"/>
      <c r="HA680" s="92"/>
      <c r="HB680" s="92"/>
      <c r="HC680" s="92"/>
      <c r="HD680" s="92"/>
      <c r="HE680" s="92"/>
      <c r="HF680" s="92"/>
      <c r="HG680" s="92"/>
      <c r="HH680" s="92"/>
      <c r="HI680" s="92"/>
      <c r="HJ680" s="92"/>
      <c r="HK680" s="92"/>
      <c r="HL680" s="92"/>
      <c r="HM680" s="92"/>
      <c r="HN680" s="92"/>
      <c r="HO680" s="92"/>
      <c r="HP680" s="92"/>
      <c r="HQ680" s="92"/>
      <c r="HR680" s="92"/>
      <c r="HS680" s="92"/>
      <c r="HT680" s="92"/>
      <c r="HU680" s="92"/>
      <c r="HV680" s="92"/>
      <c r="HW680" s="92"/>
      <c r="HX680" s="92"/>
      <c r="HY680" s="92"/>
      <c r="HZ680" s="92"/>
      <c r="IA680" s="92"/>
      <c r="IB680" s="92"/>
      <c r="IC680" s="92"/>
      <c r="ID680" s="92"/>
      <c r="IE680" s="92"/>
      <c r="IF680" s="92"/>
      <c r="IG680" s="92"/>
      <c r="IH680" s="92"/>
      <c r="II680" s="92"/>
      <c r="IJ680" s="92"/>
      <c r="IK680" s="92"/>
      <c r="IL680" s="92"/>
      <c r="IM680" s="92"/>
      <c r="IN680" s="92"/>
      <c r="IO680" s="92"/>
      <c r="IP680" s="92"/>
      <c r="IQ680" s="92"/>
      <c r="IR680" s="92"/>
      <c r="IS680" s="92"/>
      <c r="IT680" s="92"/>
      <c r="IU680" s="92"/>
      <c r="IV680" s="92"/>
    </row>
    <row r="681" ht="15" spans="1:11">
      <c r="A681" s="98" t="s">
        <v>64</v>
      </c>
      <c r="B681" s="100" t="s">
        <v>9452</v>
      </c>
      <c r="C681" s="98" t="s">
        <v>8218</v>
      </c>
      <c r="D681" s="101" t="s">
        <v>5</v>
      </c>
      <c r="E681" s="101" t="s">
        <v>9453</v>
      </c>
      <c r="F681" s="98"/>
      <c r="G681" s="98" t="s">
        <v>209</v>
      </c>
      <c r="H681" s="118" t="s">
        <v>8215</v>
      </c>
      <c r="I681" s="118" t="s">
        <v>8215</v>
      </c>
      <c r="J681" s="118" t="s">
        <v>8220</v>
      </c>
      <c r="K681" s="107"/>
    </row>
    <row r="682" ht="15" spans="1:11">
      <c r="A682" s="98" t="s">
        <v>64</v>
      </c>
      <c r="B682" s="100" t="s">
        <v>9454</v>
      </c>
      <c r="C682" s="98" t="s">
        <v>8218</v>
      </c>
      <c r="D682" s="101" t="s">
        <v>4</v>
      </c>
      <c r="E682" s="101" t="s">
        <v>9455</v>
      </c>
      <c r="F682" s="98"/>
      <c r="G682" s="98" t="s">
        <v>209</v>
      </c>
      <c r="H682" s="118" t="s">
        <v>8215</v>
      </c>
      <c r="I682" s="118" t="s">
        <v>8215</v>
      </c>
      <c r="J682" s="118" t="s">
        <v>8220</v>
      </c>
      <c r="K682" s="107"/>
    </row>
    <row r="683" ht="15" spans="1:11">
      <c r="A683" s="98" t="s">
        <v>64</v>
      </c>
      <c r="B683" s="100" t="s">
        <v>9456</v>
      </c>
      <c r="C683" s="98" t="s">
        <v>8218</v>
      </c>
      <c r="D683" s="101" t="s">
        <v>4</v>
      </c>
      <c r="E683" s="101" t="s">
        <v>9457</v>
      </c>
      <c r="F683" s="98"/>
      <c r="G683" s="98" t="s">
        <v>209</v>
      </c>
      <c r="H683" s="118" t="s">
        <v>8215</v>
      </c>
      <c r="I683" s="118" t="s">
        <v>8215</v>
      </c>
      <c r="J683" s="118" t="s">
        <v>8220</v>
      </c>
      <c r="K683" s="107"/>
    </row>
    <row r="684" ht="15" spans="1:11">
      <c r="A684" s="98" t="s">
        <v>64</v>
      </c>
      <c r="B684" s="100" t="s">
        <v>9458</v>
      </c>
      <c r="C684" s="98" t="s">
        <v>8218</v>
      </c>
      <c r="D684" s="101" t="s">
        <v>4</v>
      </c>
      <c r="E684" s="101" t="s">
        <v>9459</v>
      </c>
      <c r="F684" s="98"/>
      <c r="G684" s="98" t="s">
        <v>209</v>
      </c>
      <c r="H684" s="118" t="s">
        <v>8215</v>
      </c>
      <c r="I684" s="118"/>
      <c r="J684" s="118" t="s">
        <v>8220</v>
      </c>
      <c r="K684" s="107"/>
    </row>
    <row r="685" ht="15" spans="1:11">
      <c r="A685" s="98" t="s">
        <v>64</v>
      </c>
      <c r="B685" s="100" t="s">
        <v>9460</v>
      </c>
      <c r="C685" s="98" t="s">
        <v>8218</v>
      </c>
      <c r="D685" s="101" t="s">
        <v>4</v>
      </c>
      <c r="E685" s="101" t="s">
        <v>9459</v>
      </c>
      <c r="F685" s="98"/>
      <c r="G685" s="98" t="s">
        <v>209</v>
      </c>
      <c r="H685" s="118" t="s">
        <v>8215</v>
      </c>
      <c r="I685" s="118" t="s">
        <v>8215</v>
      </c>
      <c r="J685" s="118">
        <v>3.5</v>
      </c>
      <c r="K685" s="107"/>
    </row>
    <row r="686" ht="15" spans="1:11">
      <c r="A686" s="98" t="s">
        <v>64</v>
      </c>
      <c r="B686" s="100" t="s">
        <v>9461</v>
      </c>
      <c r="C686" s="98" t="s">
        <v>8218</v>
      </c>
      <c r="D686" s="98" t="s">
        <v>5</v>
      </c>
      <c r="E686" s="98" t="s">
        <v>9462</v>
      </c>
      <c r="F686" s="98"/>
      <c r="G686" s="98" t="s">
        <v>209</v>
      </c>
      <c r="H686" s="118" t="s">
        <v>8215</v>
      </c>
      <c r="I686" s="100" t="s">
        <v>8215</v>
      </c>
      <c r="J686" s="100" t="s">
        <v>9463</v>
      </c>
      <c r="K686" s="107"/>
    </row>
    <row r="687" ht="15" spans="1:11">
      <c r="A687" s="98" t="s">
        <v>64</v>
      </c>
      <c r="B687" s="100" t="s">
        <v>9464</v>
      </c>
      <c r="C687" s="98" t="s">
        <v>8514</v>
      </c>
      <c r="D687" s="98" t="s">
        <v>5</v>
      </c>
      <c r="E687" s="98" t="s">
        <v>9465</v>
      </c>
      <c r="F687" s="98"/>
      <c r="G687" s="98" t="s">
        <v>209</v>
      </c>
      <c r="H687" s="100" t="s">
        <v>9466</v>
      </c>
      <c r="I687" s="100" t="s">
        <v>9466</v>
      </c>
      <c r="J687" s="100" t="s">
        <v>9467</v>
      </c>
      <c r="K687" s="107"/>
    </row>
    <row r="688" ht="15" spans="1:11">
      <c r="A688" s="98" t="s">
        <v>64</v>
      </c>
      <c r="B688" s="100" t="s">
        <v>9468</v>
      </c>
      <c r="C688" s="98" t="s">
        <v>8218</v>
      </c>
      <c r="D688" s="101" t="s">
        <v>5</v>
      </c>
      <c r="E688" s="101" t="s">
        <v>9469</v>
      </c>
      <c r="F688" s="98"/>
      <c r="G688" s="98" t="s">
        <v>209</v>
      </c>
      <c r="H688" s="118" t="s">
        <v>8215</v>
      </c>
      <c r="I688" s="118" t="s">
        <v>8215</v>
      </c>
      <c r="J688" s="118">
        <v>4</v>
      </c>
      <c r="K688" s="107"/>
    </row>
    <row r="689" ht="15" spans="1:11">
      <c r="A689" s="98" t="s">
        <v>64</v>
      </c>
      <c r="B689" s="100" t="s">
        <v>9470</v>
      </c>
      <c r="C689" s="98" t="s">
        <v>8218</v>
      </c>
      <c r="D689" s="101" t="s">
        <v>5</v>
      </c>
      <c r="E689" s="101" t="s">
        <v>9471</v>
      </c>
      <c r="F689" s="98"/>
      <c r="G689" s="98" t="s">
        <v>209</v>
      </c>
      <c r="H689" s="118" t="s">
        <v>8215</v>
      </c>
      <c r="I689" s="118" t="s">
        <v>8215</v>
      </c>
      <c r="J689" s="118">
        <v>4</v>
      </c>
      <c r="K689" s="107"/>
    </row>
    <row r="690" ht="15" spans="1:11">
      <c r="A690" s="98" t="s">
        <v>64</v>
      </c>
      <c r="B690" s="100" t="s">
        <v>9472</v>
      </c>
      <c r="C690" s="98" t="s">
        <v>8218</v>
      </c>
      <c r="D690" s="101" t="s">
        <v>4</v>
      </c>
      <c r="E690" s="101" t="s">
        <v>9473</v>
      </c>
      <c r="F690" s="98"/>
      <c r="G690" s="98" t="s">
        <v>209</v>
      </c>
      <c r="H690" s="118" t="s">
        <v>8215</v>
      </c>
      <c r="I690" s="118" t="s">
        <v>8215</v>
      </c>
      <c r="J690" s="118">
        <v>4</v>
      </c>
      <c r="K690" s="107"/>
    </row>
    <row r="691" s="91" customFormat="1" ht="15" spans="1:11">
      <c r="A691" s="106" t="s">
        <v>64</v>
      </c>
      <c r="B691" s="106" t="s">
        <v>9474</v>
      </c>
      <c r="C691" s="106" t="s">
        <v>8293</v>
      </c>
      <c r="D691" s="106" t="s">
        <v>4</v>
      </c>
      <c r="E691" s="106" t="s">
        <v>9473</v>
      </c>
      <c r="F691" s="106"/>
      <c r="G691" s="106" t="s">
        <v>209</v>
      </c>
      <c r="H691" s="106" t="s">
        <v>8215</v>
      </c>
      <c r="I691" s="106" t="s">
        <v>8215</v>
      </c>
      <c r="J691" s="106" t="s">
        <v>9373</v>
      </c>
      <c r="K691" s="106">
        <v>2024.9</v>
      </c>
    </row>
    <row r="692" ht="15" spans="1:11">
      <c r="A692" s="98" t="s">
        <v>64</v>
      </c>
      <c r="B692" s="100" t="s">
        <v>9475</v>
      </c>
      <c r="C692" s="98" t="s">
        <v>8229</v>
      </c>
      <c r="D692" s="101" t="s">
        <v>5</v>
      </c>
      <c r="E692" s="101" t="s">
        <v>9476</v>
      </c>
      <c r="F692" s="98"/>
      <c r="G692" s="98" t="s">
        <v>209</v>
      </c>
      <c r="H692" s="118" t="s">
        <v>8320</v>
      </c>
      <c r="I692" s="118" t="s">
        <v>8320</v>
      </c>
      <c r="J692" s="118">
        <v>4</v>
      </c>
      <c r="K692" s="107"/>
    </row>
    <row r="693" ht="15" spans="1:11">
      <c r="A693" s="98" t="s">
        <v>64</v>
      </c>
      <c r="B693" s="100" t="s">
        <v>9477</v>
      </c>
      <c r="C693" s="98" t="s">
        <v>8218</v>
      </c>
      <c r="D693" s="101" t="s">
        <v>4</v>
      </c>
      <c r="E693" s="101" t="s">
        <v>6239</v>
      </c>
      <c r="F693" s="98"/>
      <c r="G693" s="98" t="s">
        <v>209</v>
      </c>
      <c r="H693" s="118" t="s">
        <v>8215</v>
      </c>
      <c r="I693" s="118" t="s">
        <v>8215</v>
      </c>
      <c r="J693" s="118">
        <v>3.6</v>
      </c>
      <c r="K693" s="107"/>
    </row>
    <row r="694" ht="15" spans="1:11">
      <c r="A694" s="98" t="s">
        <v>64</v>
      </c>
      <c r="B694" s="100" t="s">
        <v>9478</v>
      </c>
      <c r="C694" s="101" t="s">
        <v>8240</v>
      </c>
      <c r="D694" s="101" t="s">
        <v>4</v>
      </c>
      <c r="E694" s="101" t="s">
        <v>6239</v>
      </c>
      <c r="F694" s="98"/>
      <c r="G694" s="98" t="s">
        <v>209</v>
      </c>
      <c r="H694" s="118" t="s">
        <v>8215</v>
      </c>
      <c r="I694" s="118" t="s">
        <v>8215</v>
      </c>
      <c r="J694" s="118">
        <v>4</v>
      </c>
      <c r="K694" s="107"/>
    </row>
    <row r="695" ht="15" spans="1:11">
      <c r="A695" s="98" t="s">
        <v>64</v>
      </c>
      <c r="B695" s="100" t="s">
        <v>9479</v>
      </c>
      <c r="C695" s="98" t="s">
        <v>8514</v>
      </c>
      <c r="D695" s="101" t="s">
        <v>4</v>
      </c>
      <c r="E695" s="101" t="s">
        <v>6239</v>
      </c>
      <c r="F695" s="98"/>
      <c r="G695" s="98" t="s">
        <v>209</v>
      </c>
      <c r="H695" s="118" t="s">
        <v>8215</v>
      </c>
      <c r="I695" s="118" t="s">
        <v>8215</v>
      </c>
      <c r="J695" s="118">
        <v>10</v>
      </c>
      <c r="K695" s="107"/>
    </row>
    <row r="696" ht="15" spans="1:11">
      <c r="A696" s="98" t="s">
        <v>64</v>
      </c>
      <c r="B696" s="100" t="s">
        <v>9480</v>
      </c>
      <c r="C696" s="98"/>
      <c r="D696" s="101" t="s">
        <v>4</v>
      </c>
      <c r="E696" s="101" t="s">
        <v>9481</v>
      </c>
      <c r="F696" s="98"/>
      <c r="G696" s="98" t="s">
        <v>209</v>
      </c>
      <c r="H696" s="118" t="s">
        <v>8215</v>
      </c>
      <c r="I696" s="118" t="s">
        <v>8215</v>
      </c>
      <c r="J696" s="118" t="s">
        <v>9174</v>
      </c>
      <c r="K696" s="107">
        <v>2024.2</v>
      </c>
    </row>
    <row r="697" ht="15" spans="1:11">
      <c r="A697" s="98" t="s">
        <v>64</v>
      </c>
      <c r="B697" s="100" t="s">
        <v>9482</v>
      </c>
      <c r="C697" s="98" t="s">
        <v>8225</v>
      </c>
      <c r="D697" s="101" t="s">
        <v>4</v>
      </c>
      <c r="E697" s="101" t="s">
        <v>6300</v>
      </c>
      <c r="F697" s="98"/>
      <c r="G697" s="98" t="s">
        <v>209</v>
      </c>
      <c r="H697" s="118" t="s">
        <v>8320</v>
      </c>
      <c r="I697" s="118" t="s">
        <v>8215</v>
      </c>
      <c r="J697" s="118" t="s">
        <v>8353</v>
      </c>
      <c r="K697" s="107"/>
    </row>
    <row r="698" s="91" customFormat="1" ht="15" spans="1:255">
      <c r="A698" s="98" t="s">
        <v>64</v>
      </c>
      <c r="B698" s="129" t="s">
        <v>9483</v>
      </c>
      <c r="C698" s="129" t="s">
        <v>8272</v>
      </c>
      <c r="D698" s="129" t="s">
        <v>4</v>
      </c>
      <c r="E698" s="129" t="s">
        <v>6300</v>
      </c>
      <c r="F698" s="129"/>
      <c r="G698" s="129" t="s">
        <v>209</v>
      </c>
      <c r="H698" s="130" t="s">
        <v>9484</v>
      </c>
      <c r="I698" s="130" t="s">
        <v>9485</v>
      </c>
      <c r="J698" s="130" t="s">
        <v>9373</v>
      </c>
      <c r="K698" s="114" t="s">
        <v>9486</v>
      </c>
      <c r="L698" s="89"/>
      <c r="M698" s="89"/>
      <c r="N698" s="89"/>
      <c r="O698" s="89"/>
      <c r="P698" s="89"/>
      <c r="Q698" s="89"/>
      <c r="R698" s="89"/>
      <c r="S698" s="89"/>
      <c r="T698" s="89"/>
      <c r="U698" s="89"/>
      <c r="V698" s="89"/>
      <c r="W698" s="89"/>
      <c r="X698" s="89"/>
      <c r="Y698" s="89"/>
      <c r="Z698" s="89"/>
      <c r="AA698" s="89"/>
      <c r="AB698" s="89"/>
      <c r="AC698" s="89"/>
      <c r="AD698" s="89"/>
      <c r="AE698" s="89"/>
      <c r="AF698" s="89"/>
      <c r="AG698" s="89"/>
      <c r="AH698" s="89"/>
      <c r="AI698" s="89"/>
      <c r="AJ698" s="89"/>
      <c r="AK698" s="89"/>
      <c r="AL698" s="89"/>
      <c r="AM698" s="89"/>
      <c r="AN698" s="89"/>
      <c r="AO698" s="89"/>
      <c r="AP698" s="89"/>
      <c r="AQ698" s="89"/>
      <c r="AR698" s="89"/>
      <c r="AS698" s="89"/>
      <c r="AT698" s="89"/>
      <c r="AU698" s="89"/>
      <c r="AV698" s="89"/>
      <c r="AW698" s="89"/>
      <c r="AX698" s="89"/>
      <c r="AY698" s="89"/>
      <c r="AZ698" s="89"/>
      <c r="BA698" s="89"/>
      <c r="BB698" s="89"/>
      <c r="BC698" s="89"/>
      <c r="BD698" s="89"/>
      <c r="BE698" s="89"/>
      <c r="BF698" s="89"/>
      <c r="BG698" s="89"/>
      <c r="BH698" s="89"/>
      <c r="BI698" s="89"/>
      <c r="BJ698" s="89"/>
      <c r="BK698" s="89"/>
      <c r="BL698" s="89"/>
      <c r="BM698" s="89"/>
      <c r="BN698" s="89"/>
      <c r="BO698" s="89"/>
      <c r="BP698" s="89"/>
      <c r="BQ698" s="89"/>
      <c r="BR698" s="89"/>
      <c r="BS698" s="89"/>
      <c r="BT698" s="89"/>
      <c r="BU698" s="89"/>
      <c r="BV698" s="89"/>
      <c r="BW698" s="89"/>
      <c r="BX698" s="89"/>
      <c r="BY698" s="89"/>
      <c r="BZ698" s="89"/>
      <c r="CA698" s="89"/>
      <c r="CB698" s="89"/>
      <c r="CC698" s="89"/>
      <c r="CD698" s="89"/>
      <c r="CE698" s="89"/>
      <c r="CF698" s="89"/>
      <c r="CG698" s="89"/>
      <c r="CH698" s="89"/>
      <c r="CI698" s="89"/>
      <c r="CJ698" s="89"/>
      <c r="CK698" s="89"/>
      <c r="CL698" s="89"/>
      <c r="CM698" s="89"/>
      <c r="CN698" s="89"/>
      <c r="CO698" s="89"/>
      <c r="CP698" s="89"/>
      <c r="CQ698" s="89"/>
      <c r="CR698" s="89"/>
      <c r="CS698" s="89"/>
      <c r="CT698" s="89"/>
      <c r="CU698" s="89"/>
      <c r="CV698" s="89"/>
      <c r="CW698" s="89"/>
      <c r="CX698" s="89"/>
      <c r="CY698" s="89"/>
      <c r="CZ698" s="89"/>
      <c r="DA698" s="89"/>
      <c r="DB698" s="89"/>
      <c r="DC698" s="89"/>
      <c r="DD698" s="89"/>
      <c r="DE698" s="89"/>
      <c r="DF698" s="89"/>
      <c r="DG698" s="89"/>
      <c r="DH698" s="89"/>
      <c r="DI698" s="89"/>
      <c r="DJ698" s="89"/>
      <c r="DK698" s="89"/>
      <c r="DL698" s="89"/>
      <c r="DM698" s="89"/>
      <c r="DN698" s="89"/>
      <c r="DO698" s="89"/>
      <c r="DP698" s="89"/>
      <c r="DQ698" s="89"/>
      <c r="DR698" s="89"/>
      <c r="DS698" s="89"/>
      <c r="DT698" s="89"/>
      <c r="DU698" s="89"/>
      <c r="DV698" s="89"/>
      <c r="DW698" s="89"/>
      <c r="DX698" s="89"/>
      <c r="DY698" s="89"/>
      <c r="DZ698" s="89"/>
      <c r="EA698" s="89"/>
      <c r="EB698" s="89"/>
      <c r="EC698" s="89"/>
      <c r="ED698" s="89"/>
      <c r="EE698" s="89"/>
      <c r="EF698" s="89"/>
      <c r="EG698" s="89"/>
      <c r="EH698" s="89"/>
      <c r="EI698" s="89"/>
      <c r="EJ698" s="89"/>
      <c r="EK698" s="89"/>
      <c r="EL698" s="89"/>
      <c r="EM698" s="89"/>
      <c r="EN698" s="89"/>
      <c r="EO698" s="89"/>
      <c r="EP698" s="89"/>
      <c r="EQ698" s="89"/>
      <c r="ER698" s="89"/>
      <c r="ES698" s="89"/>
      <c r="ET698" s="89"/>
      <c r="EU698" s="89"/>
      <c r="EV698" s="89"/>
      <c r="EW698" s="89"/>
      <c r="EX698" s="89"/>
      <c r="EY698" s="89"/>
      <c r="EZ698" s="89"/>
      <c r="FA698" s="89"/>
      <c r="FB698" s="89"/>
      <c r="FC698" s="89"/>
      <c r="FD698" s="89"/>
      <c r="FE698" s="89"/>
      <c r="FF698" s="89"/>
      <c r="FG698" s="89"/>
      <c r="FH698" s="89"/>
      <c r="FI698" s="89"/>
      <c r="FJ698" s="89"/>
      <c r="FK698" s="89"/>
      <c r="FL698" s="89"/>
      <c r="FM698" s="89"/>
      <c r="FN698" s="89"/>
      <c r="FO698" s="89"/>
      <c r="FP698" s="89"/>
      <c r="FQ698" s="89"/>
      <c r="FR698" s="89"/>
      <c r="FS698" s="89"/>
      <c r="FT698" s="89"/>
      <c r="FU698" s="89"/>
      <c r="FV698" s="89"/>
      <c r="FW698" s="89"/>
      <c r="FX698" s="89"/>
      <c r="FY698" s="89"/>
      <c r="FZ698" s="89"/>
      <c r="GA698" s="89"/>
      <c r="GB698" s="89"/>
      <c r="GC698" s="89"/>
      <c r="GD698" s="89"/>
      <c r="GE698" s="89"/>
      <c r="GF698" s="89"/>
      <c r="GG698" s="89"/>
      <c r="GH698" s="89"/>
      <c r="GI698" s="89"/>
      <c r="GJ698" s="89"/>
      <c r="GK698" s="89"/>
      <c r="GL698" s="89"/>
      <c r="GM698" s="89"/>
      <c r="GN698" s="89"/>
      <c r="GO698" s="89"/>
      <c r="GP698" s="89"/>
      <c r="GQ698" s="89"/>
      <c r="GR698" s="89"/>
      <c r="GS698" s="89"/>
      <c r="GT698" s="89"/>
      <c r="GU698" s="89"/>
      <c r="GV698" s="89"/>
      <c r="GW698" s="89"/>
      <c r="GX698" s="89"/>
      <c r="GY698" s="89"/>
      <c r="GZ698" s="89"/>
      <c r="HA698" s="89"/>
      <c r="HB698" s="89"/>
      <c r="HC698" s="89"/>
      <c r="HD698" s="89"/>
      <c r="HE698" s="89"/>
      <c r="HF698" s="89"/>
      <c r="HG698" s="89"/>
      <c r="HH698" s="89"/>
      <c r="HI698" s="89"/>
      <c r="HJ698" s="89"/>
      <c r="HK698" s="89"/>
      <c r="HL698" s="89"/>
      <c r="HM698" s="89"/>
      <c r="HN698" s="89"/>
      <c r="HO698" s="89"/>
      <c r="HP698" s="89"/>
      <c r="HQ698" s="89"/>
      <c r="HR698" s="89"/>
      <c r="HS698" s="89"/>
      <c r="HT698" s="89"/>
      <c r="HU698" s="89"/>
      <c r="HV698" s="89"/>
      <c r="HW698" s="89"/>
      <c r="HX698" s="89"/>
      <c r="HY698" s="89"/>
      <c r="HZ698" s="89"/>
      <c r="IA698" s="89"/>
      <c r="IB698" s="89"/>
      <c r="IC698" s="89"/>
      <c r="ID698" s="89"/>
      <c r="IE698" s="89"/>
      <c r="IF698" s="89"/>
      <c r="IG698" s="89"/>
      <c r="IH698" s="89"/>
      <c r="II698" s="89"/>
      <c r="IJ698" s="89"/>
      <c r="IK698" s="89"/>
      <c r="IL698" s="89"/>
      <c r="IM698" s="89"/>
      <c r="IN698" s="89"/>
      <c r="IO698" s="89"/>
      <c r="IP698" s="89"/>
      <c r="IQ698" s="89"/>
      <c r="IR698" s="89"/>
      <c r="IS698" s="89"/>
      <c r="IT698" s="89"/>
      <c r="IU698" s="89"/>
    </row>
    <row r="699" ht="15" spans="1:11">
      <c r="A699" s="98" t="s">
        <v>64</v>
      </c>
      <c r="B699" s="100" t="s">
        <v>9487</v>
      </c>
      <c r="C699" s="98"/>
      <c r="D699" s="101" t="s">
        <v>4</v>
      </c>
      <c r="E699" s="101" t="s">
        <v>9488</v>
      </c>
      <c r="F699" s="98"/>
      <c r="G699" s="98" t="s">
        <v>209</v>
      </c>
      <c r="H699" s="118" t="s">
        <v>8215</v>
      </c>
      <c r="I699" s="118" t="s">
        <v>8215</v>
      </c>
      <c r="J699" s="118" t="s">
        <v>9174</v>
      </c>
      <c r="K699" s="107">
        <v>2024.1</v>
      </c>
    </row>
    <row r="700" ht="15" spans="1:11">
      <c r="A700" s="98" t="s">
        <v>64</v>
      </c>
      <c r="B700" s="100" t="s">
        <v>9489</v>
      </c>
      <c r="C700" s="98" t="s">
        <v>8225</v>
      </c>
      <c r="D700" s="101" t="s">
        <v>4</v>
      </c>
      <c r="E700" s="101" t="s">
        <v>6295</v>
      </c>
      <c r="F700" s="98"/>
      <c r="G700" s="98" t="s">
        <v>209</v>
      </c>
      <c r="H700" s="118" t="s">
        <v>8215</v>
      </c>
      <c r="I700" s="118" t="s">
        <v>8215</v>
      </c>
      <c r="J700" s="118" t="s">
        <v>9490</v>
      </c>
      <c r="K700" s="107"/>
    </row>
    <row r="701" s="91" customFormat="1" ht="15" spans="1:11">
      <c r="A701" s="106" t="s">
        <v>64</v>
      </c>
      <c r="B701" s="106" t="s">
        <v>9491</v>
      </c>
      <c r="C701" s="106" t="s">
        <v>8293</v>
      </c>
      <c r="D701" s="106" t="s">
        <v>4</v>
      </c>
      <c r="E701" s="106" t="s">
        <v>6297</v>
      </c>
      <c r="F701" s="106"/>
      <c r="G701" s="106" t="s">
        <v>209</v>
      </c>
      <c r="H701" s="106" t="s">
        <v>8215</v>
      </c>
      <c r="I701" s="106" t="s">
        <v>8215</v>
      </c>
      <c r="J701" s="106" t="s">
        <v>9492</v>
      </c>
      <c r="K701" s="106">
        <v>2024.7</v>
      </c>
    </row>
    <row r="702" ht="15" spans="1:11">
      <c r="A702" s="98" t="s">
        <v>64</v>
      </c>
      <c r="B702" s="100" t="s">
        <v>9493</v>
      </c>
      <c r="C702" s="98" t="s">
        <v>8218</v>
      </c>
      <c r="D702" s="101" t="s">
        <v>4</v>
      </c>
      <c r="E702" s="101" t="s">
        <v>6243</v>
      </c>
      <c r="F702" s="98"/>
      <c r="G702" s="98" t="s">
        <v>209</v>
      </c>
      <c r="H702" s="118" t="s">
        <v>8215</v>
      </c>
      <c r="I702" s="118" t="s">
        <v>8215</v>
      </c>
      <c r="J702" s="118" t="s">
        <v>9494</v>
      </c>
      <c r="K702" s="107"/>
    </row>
    <row r="703" ht="15" spans="1:11">
      <c r="A703" s="98" t="s">
        <v>64</v>
      </c>
      <c r="B703" s="100" t="s">
        <v>9495</v>
      </c>
      <c r="C703" s="98" t="s">
        <v>8218</v>
      </c>
      <c r="D703" s="101" t="s">
        <v>4</v>
      </c>
      <c r="E703" s="101" t="s">
        <v>6243</v>
      </c>
      <c r="F703" s="98"/>
      <c r="G703" s="98" t="s">
        <v>209</v>
      </c>
      <c r="H703" s="118" t="s">
        <v>8320</v>
      </c>
      <c r="I703" s="118" t="s">
        <v>8215</v>
      </c>
      <c r="J703" s="118" t="s">
        <v>8459</v>
      </c>
      <c r="K703" s="107"/>
    </row>
    <row r="704" ht="15" spans="1:11">
      <c r="A704" s="98" t="s">
        <v>64</v>
      </c>
      <c r="B704" s="99" t="s">
        <v>9496</v>
      </c>
      <c r="C704" s="98" t="s">
        <v>8218</v>
      </c>
      <c r="D704" s="98"/>
      <c r="E704" s="98" t="s">
        <v>6243</v>
      </c>
      <c r="F704" s="98"/>
      <c r="G704" s="98" t="s">
        <v>209</v>
      </c>
      <c r="H704" s="100"/>
      <c r="I704" s="100"/>
      <c r="J704" s="100"/>
      <c r="K704" s="107"/>
    </row>
    <row r="705" ht="15" spans="1:11">
      <c r="A705" s="98" t="s">
        <v>64</v>
      </c>
      <c r="B705" s="119" t="s">
        <v>9497</v>
      </c>
      <c r="C705" s="101" t="s">
        <v>8240</v>
      </c>
      <c r="D705" s="98" t="s">
        <v>4</v>
      </c>
      <c r="E705" s="98" t="s">
        <v>6243</v>
      </c>
      <c r="F705" s="98"/>
      <c r="G705" s="98" t="s">
        <v>209</v>
      </c>
      <c r="H705" s="100" t="s">
        <v>8215</v>
      </c>
      <c r="I705" s="100" t="s">
        <v>8215</v>
      </c>
      <c r="J705" s="100" t="s">
        <v>8708</v>
      </c>
      <c r="K705" s="107"/>
    </row>
    <row r="706" ht="15" spans="1:11">
      <c r="A706" s="98" t="s">
        <v>64</v>
      </c>
      <c r="B706" s="100" t="s">
        <v>9498</v>
      </c>
      <c r="C706" s="98" t="s">
        <v>8218</v>
      </c>
      <c r="D706" s="101" t="s">
        <v>5</v>
      </c>
      <c r="E706" s="101" t="s">
        <v>9499</v>
      </c>
      <c r="F706" s="98"/>
      <c r="G706" s="98" t="s">
        <v>209</v>
      </c>
      <c r="H706" s="118" t="s">
        <v>8215</v>
      </c>
      <c r="I706" s="118" t="s">
        <v>8215</v>
      </c>
      <c r="J706" s="131">
        <v>6.3</v>
      </c>
      <c r="K706" s="107"/>
    </row>
    <row r="707" ht="15" spans="1:11">
      <c r="A707" s="98" t="s">
        <v>64</v>
      </c>
      <c r="B707" s="101" t="s">
        <v>9500</v>
      </c>
      <c r="C707" s="98" t="s">
        <v>8225</v>
      </c>
      <c r="D707" s="101" t="s">
        <v>4</v>
      </c>
      <c r="E707" s="101" t="s">
        <v>9501</v>
      </c>
      <c r="F707" s="98"/>
      <c r="G707" s="98" t="s">
        <v>209</v>
      </c>
      <c r="H707" s="100" t="s">
        <v>8215</v>
      </c>
      <c r="I707" s="100" t="s">
        <v>8215</v>
      </c>
      <c r="J707" s="131"/>
      <c r="K707" s="107"/>
    </row>
    <row r="708" ht="15" spans="1:11">
      <c r="A708" s="98" t="s">
        <v>64</v>
      </c>
      <c r="B708" s="100" t="s">
        <v>9502</v>
      </c>
      <c r="C708" s="98" t="s">
        <v>8218</v>
      </c>
      <c r="D708" s="101" t="s">
        <v>4</v>
      </c>
      <c r="E708" s="101" t="s">
        <v>9503</v>
      </c>
      <c r="F708" s="98"/>
      <c r="G708" s="98" t="s">
        <v>209</v>
      </c>
      <c r="H708" s="118" t="s">
        <v>8215</v>
      </c>
      <c r="I708" s="118" t="s">
        <v>8215</v>
      </c>
      <c r="J708" s="118" t="s">
        <v>8708</v>
      </c>
      <c r="K708" s="107"/>
    </row>
    <row r="709" ht="15" spans="1:11">
      <c r="A709" s="98" t="s">
        <v>64</v>
      </c>
      <c r="B709" s="100" t="s">
        <v>9504</v>
      </c>
      <c r="C709" s="101" t="s">
        <v>8240</v>
      </c>
      <c r="D709" s="101" t="s">
        <v>4</v>
      </c>
      <c r="E709" s="101" t="s">
        <v>9503</v>
      </c>
      <c r="F709" s="98"/>
      <c r="G709" s="98" t="s">
        <v>209</v>
      </c>
      <c r="H709" s="118" t="s">
        <v>8215</v>
      </c>
      <c r="I709" s="118" t="s">
        <v>8215</v>
      </c>
      <c r="J709" s="118" t="s">
        <v>8459</v>
      </c>
      <c r="K709" s="107"/>
    </row>
    <row r="710" ht="15" spans="1:11">
      <c r="A710" s="98" t="s">
        <v>64</v>
      </c>
      <c r="B710" s="100" t="s">
        <v>9505</v>
      </c>
      <c r="C710" s="98" t="s">
        <v>8218</v>
      </c>
      <c r="D710" s="101" t="s">
        <v>4</v>
      </c>
      <c r="E710" s="101" t="s">
        <v>9506</v>
      </c>
      <c r="F710" s="98"/>
      <c r="G710" s="98" t="s">
        <v>209</v>
      </c>
      <c r="H710" s="118" t="s">
        <v>8215</v>
      </c>
      <c r="I710" s="118" t="s">
        <v>8215</v>
      </c>
      <c r="J710" s="118" t="s">
        <v>8353</v>
      </c>
      <c r="K710" s="107"/>
    </row>
    <row r="711" ht="15" spans="1:11">
      <c r="A711" s="98" t="s">
        <v>64</v>
      </c>
      <c r="B711" s="100" t="s">
        <v>9507</v>
      </c>
      <c r="C711" s="98" t="s">
        <v>8218</v>
      </c>
      <c r="D711" s="101" t="s">
        <v>4</v>
      </c>
      <c r="E711" s="101" t="s">
        <v>9508</v>
      </c>
      <c r="F711" s="98"/>
      <c r="G711" s="98" t="s">
        <v>209</v>
      </c>
      <c r="H711" s="118" t="s">
        <v>8215</v>
      </c>
      <c r="I711" s="118" t="s">
        <v>8215</v>
      </c>
      <c r="J711" s="118" t="s">
        <v>8353</v>
      </c>
      <c r="K711" s="107"/>
    </row>
    <row r="712" ht="15" spans="1:11">
      <c r="A712" s="98" t="s">
        <v>64</v>
      </c>
      <c r="B712" s="99" t="s">
        <v>9509</v>
      </c>
      <c r="C712" s="101" t="s">
        <v>8240</v>
      </c>
      <c r="D712" s="101" t="s">
        <v>5</v>
      </c>
      <c r="E712" s="101" t="s">
        <v>9510</v>
      </c>
      <c r="F712" s="98"/>
      <c r="G712" s="98" t="s">
        <v>209</v>
      </c>
      <c r="H712" s="118" t="s">
        <v>8215</v>
      </c>
      <c r="I712" s="100" t="s">
        <v>8215</v>
      </c>
      <c r="J712" s="118" t="s">
        <v>9232</v>
      </c>
      <c r="K712" s="107"/>
    </row>
    <row r="713" ht="15" spans="1:11">
      <c r="A713" s="98" t="s">
        <v>64</v>
      </c>
      <c r="B713" s="100" t="s">
        <v>9511</v>
      </c>
      <c r="C713" s="98" t="s">
        <v>8218</v>
      </c>
      <c r="D713" s="101" t="s">
        <v>5</v>
      </c>
      <c r="E713" s="101" t="s">
        <v>9510</v>
      </c>
      <c r="F713" s="98"/>
      <c r="G713" s="98" t="s">
        <v>209</v>
      </c>
      <c r="H713" s="118" t="s">
        <v>8215</v>
      </c>
      <c r="I713" s="100" t="s">
        <v>8215</v>
      </c>
      <c r="J713" s="118" t="s">
        <v>9512</v>
      </c>
      <c r="K713" s="107"/>
    </row>
    <row r="714" ht="15" spans="1:11">
      <c r="A714" s="98" t="s">
        <v>64</v>
      </c>
      <c r="B714" s="100" t="s">
        <v>9513</v>
      </c>
      <c r="C714" s="98" t="s">
        <v>8229</v>
      </c>
      <c r="D714" s="101" t="s">
        <v>4</v>
      </c>
      <c r="E714" s="101" t="s">
        <v>9514</v>
      </c>
      <c r="F714" s="98"/>
      <c r="G714" s="98" t="s">
        <v>209</v>
      </c>
      <c r="H714" s="118" t="s">
        <v>8215</v>
      </c>
      <c r="I714" s="118" t="s">
        <v>8215</v>
      </c>
      <c r="J714" s="118" t="s">
        <v>8708</v>
      </c>
      <c r="K714" s="107"/>
    </row>
    <row r="715" ht="15" spans="1:11">
      <c r="A715" s="98" t="s">
        <v>64</v>
      </c>
      <c r="B715" s="100" t="s">
        <v>9515</v>
      </c>
      <c r="C715" s="98" t="s">
        <v>8218</v>
      </c>
      <c r="D715" s="101" t="s">
        <v>4</v>
      </c>
      <c r="E715" s="101" t="s">
        <v>9514</v>
      </c>
      <c r="F715" s="98"/>
      <c r="G715" s="98" t="s">
        <v>209</v>
      </c>
      <c r="H715" s="118" t="s">
        <v>8215</v>
      </c>
      <c r="I715" s="118" t="s">
        <v>8215</v>
      </c>
      <c r="J715" s="118" t="s">
        <v>8907</v>
      </c>
      <c r="K715" s="107"/>
    </row>
    <row r="716" ht="15" spans="1:11">
      <c r="A716" s="98" t="s">
        <v>64</v>
      </c>
      <c r="B716" s="100" t="s">
        <v>9516</v>
      </c>
      <c r="C716" s="98" t="s">
        <v>8225</v>
      </c>
      <c r="D716" s="101" t="s">
        <v>4</v>
      </c>
      <c r="E716" s="101" t="s">
        <v>9514</v>
      </c>
      <c r="F716" s="98"/>
      <c r="G716" s="98" t="s">
        <v>209</v>
      </c>
      <c r="H716" s="118"/>
      <c r="I716" s="118"/>
      <c r="J716" s="118" t="s">
        <v>8353</v>
      </c>
      <c r="K716" s="107"/>
    </row>
    <row r="717" ht="15" spans="1:11">
      <c r="A717" s="98" t="s">
        <v>64</v>
      </c>
      <c r="B717" s="100" t="s">
        <v>9517</v>
      </c>
      <c r="C717" s="98" t="s">
        <v>8218</v>
      </c>
      <c r="D717" s="101" t="s">
        <v>4</v>
      </c>
      <c r="E717" s="101" t="s">
        <v>6286</v>
      </c>
      <c r="F717" s="98"/>
      <c r="G717" s="98" t="s">
        <v>209</v>
      </c>
      <c r="H717" s="118" t="s">
        <v>8215</v>
      </c>
      <c r="I717" s="118" t="s">
        <v>8215</v>
      </c>
      <c r="J717" s="118" t="s">
        <v>8353</v>
      </c>
      <c r="K717" s="107"/>
    </row>
    <row r="718" ht="15" spans="1:11">
      <c r="A718" s="98" t="s">
        <v>64</v>
      </c>
      <c r="B718" s="100" t="s">
        <v>9518</v>
      </c>
      <c r="C718" s="98" t="s">
        <v>8225</v>
      </c>
      <c r="D718" s="101" t="s">
        <v>4</v>
      </c>
      <c r="E718" s="101" t="s">
        <v>6286</v>
      </c>
      <c r="F718" s="98"/>
      <c r="G718" s="98" t="s">
        <v>209</v>
      </c>
      <c r="H718" s="118" t="s">
        <v>8215</v>
      </c>
      <c r="I718" s="118" t="s">
        <v>8215</v>
      </c>
      <c r="J718" s="118" t="s">
        <v>8459</v>
      </c>
      <c r="K718" s="107">
        <v>2024.8</v>
      </c>
    </row>
    <row r="719" ht="15" spans="1:11">
      <c r="A719" s="98" t="s">
        <v>64</v>
      </c>
      <c r="B719" s="100" t="s">
        <v>9519</v>
      </c>
      <c r="C719" s="98" t="s">
        <v>8240</v>
      </c>
      <c r="D719" s="98" t="s">
        <v>4</v>
      </c>
      <c r="E719" s="98" t="s">
        <v>6293</v>
      </c>
      <c r="F719" s="98"/>
      <c r="G719" s="98" t="s">
        <v>209</v>
      </c>
      <c r="H719" s="118" t="s">
        <v>8215</v>
      </c>
      <c r="I719" s="118" t="s">
        <v>8215</v>
      </c>
      <c r="J719" s="132">
        <v>1</v>
      </c>
      <c r="K719" s="107"/>
    </row>
    <row r="720" s="89" customFormat="1" ht="15" spans="1:11">
      <c r="A720" s="98" t="s">
        <v>64</v>
      </c>
      <c r="B720" s="106" t="s">
        <v>9520</v>
      </c>
      <c r="C720" s="106" t="s">
        <v>8293</v>
      </c>
      <c r="D720" s="106" t="s">
        <v>4</v>
      </c>
      <c r="E720" s="106" t="s">
        <v>6262</v>
      </c>
      <c r="F720" s="106"/>
      <c r="G720" s="106" t="s">
        <v>209</v>
      </c>
      <c r="H720" s="106" t="s">
        <v>8215</v>
      </c>
      <c r="I720" s="106" t="s">
        <v>8215</v>
      </c>
      <c r="J720" s="106" t="s">
        <v>8459</v>
      </c>
      <c r="K720" s="114" t="s">
        <v>8308</v>
      </c>
    </row>
    <row r="721" s="89" customFormat="1" ht="15" spans="1:11">
      <c r="A721" s="98" t="s">
        <v>64</v>
      </c>
      <c r="B721" s="106" t="s">
        <v>9521</v>
      </c>
      <c r="C721" s="106" t="s">
        <v>8293</v>
      </c>
      <c r="D721" s="106" t="s">
        <v>4</v>
      </c>
      <c r="E721" s="106" t="s">
        <v>9481</v>
      </c>
      <c r="F721" s="106"/>
      <c r="G721" s="106" t="s">
        <v>209</v>
      </c>
      <c r="H721" s="106" t="s">
        <v>9522</v>
      </c>
      <c r="I721" s="106" t="s">
        <v>9522</v>
      </c>
      <c r="J721" s="106" t="s">
        <v>9317</v>
      </c>
      <c r="K721" s="114" t="s">
        <v>8490</v>
      </c>
    </row>
    <row r="722" s="91" customFormat="1" ht="30" spans="1:11">
      <c r="A722" s="98" t="s">
        <v>64</v>
      </c>
      <c r="B722" s="106" t="s">
        <v>9523</v>
      </c>
      <c r="C722" s="106" t="s">
        <v>8293</v>
      </c>
      <c r="D722" s="106" t="s">
        <v>4</v>
      </c>
      <c r="E722" s="106" t="s">
        <v>9435</v>
      </c>
      <c r="F722" s="106"/>
      <c r="G722" s="106" t="s">
        <v>209</v>
      </c>
      <c r="H722" s="117" t="s">
        <v>9524</v>
      </c>
      <c r="I722" s="106" t="s">
        <v>9525</v>
      </c>
      <c r="J722" s="106" t="s">
        <v>9526</v>
      </c>
      <c r="K722" s="114" t="s">
        <v>8490</v>
      </c>
    </row>
    <row r="723" ht="15" spans="1:11">
      <c r="A723" s="98" t="s">
        <v>58</v>
      </c>
      <c r="B723" s="99" t="s">
        <v>9527</v>
      </c>
      <c r="C723" s="98" t="s">
        <v>8229</v>
      </c>
      <c r="D723" s="101" t="s">
        <v>4</v>
      </c>
      <c r="E723" s="101" t="s">
        <v>9528</v>
      </c>
      <c r="F723" s="101"/>
      <c r="G723" s="101" t="s">
        <v>353</v>
      </c>
      <c r="H723" s="100" t="s">
        <v>8215</v>
      </c>
      <c r="I723" s="100" t="s">
        <v>8215</v>
      </c>
      <c r="J723" s="100" t="s">
        <v>8459</v>
      </c>
      <c r="K723" s="107"/>
    </row>
    <row r="724" ht="15" spans="1:11">
      <c r="A724" s="98" t="s">
        <v>58</v>
      </c>
      <c r="B724" s="99" t="s">
        <v>9529</v>
      </c>
      <c r="C724" s="98" t="s">
        <v>8229</v>
      </c>
      <c r="D724" s="101" t="s">
        <v>4</v>
      </c>
      <c r="E724" s="101" t="s">
        <v>9528</v>
      </c>
      <c r="F724" s="101"/>
      <c r="G724" s="101" t="s">
        <v>353</v>
      </c>
      <c r="H724" s="100" t="s">
        <v>8215</v>
      </c>
      <c r="I724" s="100" t="s">
        <v>8215</v>
      </c>
      <c r="J724" s="100" t="s">
        <v>8459</v>
      </c>
      <c r="K724" s="107"/>
    </row>
    <row r="725" ht="15" spans="1:11">
      <c r="A725" s="98" t="s">
        <v>58</v>
      </c>
      <c r="B725" s="99" t="s">
        <v>9530</v>
      </c>
      <c r="C725" s="98" t="s">
        <v>8229</v>
      </c>
      <c r="D725" s="101" t="s">
        <v>4</v>
      </c>
      <c r="E725" s="101" t="s">
        <v>9528</v>
      </c>
      <c r="F725" s="101"/>
      <c r="G725" s="101" t="s">
        <v>353</v>
      </c>
      <c r="H725" s="100" t="s">
        <v>8215</v>
      </c>
      <c r="I725" s="100" t="s">
        <v>8215</v>
      </c>
      <c r="J725" s="100" t="s">
        <v>8459</v>
      </c>
      <c r="K725" s="107"/>
    </row>
    <row r="726" ht="15" spans="1:11">
      <c r="A726" s="98" t="s">
        <v>58</v>
      </c>
      <c r="B726" s="99" t="s">
        <v>9531</v>
      </c>
      <c r="C726" s="98" t="s">
        <v>8218</v>
      </c>
      <c r="D726" s="101" t="s">
        <v>4</v>
      </c>
      <c r="E726" s="101" t="s">
        <v>9532</v>
      </c>
      <c r="F726" s="101"/>
      <c r="G726" s="101" t="s">
        <v>353</v>
      </c>
      <c r="H726" s="100" t="s">
        <v>8215</v>
      </c>
      <c r="I726" s="100" t="s">
        <v>8215</v>
      </c>
      <c r="J726" s="100">
        <v>4</v>
      </c>
      <c r="K726" s="107"/>
    </row>
    <row r="727" ht="15" spans="1:11">
      <c r="A727" s="98" t="s">
        <v>58</v>
      </c>
      <c r="B727" s="99" t="s">
        <v>9533</v>
      </c>
      <c r="C727" s="98" t="s">
        <v>8218</v>
      </c>
      <c r="D727" s="101" t="s">
        <v>4</v>
      </c>
      <c r="E727" s="101" t="s">
        <v>9532</v>
      </c>
      <c r="F727" s="101"/>
      <c r="G727" s="101" t="s">
        <v>353</v>
      </c>
      <c r="H727" s="100" t="s">
        <v>8215</v>
      </c>
      <c r="I727" s="100" t="s">
        <v>8215</v>
      </c>
      <c r="J727" s="100" t="s">
        <v>8459</v>
      </c>
      <c r="K727" s="107"/>
    </row>
    <row r="728" ht="15" spans="1:11">
      <c r="A728" s="98" t="s">
        <v>58</v>
      </c>
      <c r="B728" s="99" t="s">
        <v>9534</v>
      </c>
      <c r="C728" s="98" t="s">
        <v>8218</v>
      </c>
      <c r="D728" s="101" t="s">
        <v>4</v>
      </c>
      <c r="E728" s="101" t="s">
        <v>9532</v>
      </c>
      <c r="F728" s="101"/>
      <c r="G728" s="101" t="s">
        <v>353</v>
      </c>
      <c r="H728" s="100" t="s">
        <v>8215</v>
      </c>
      <c r="I728" s="100" t="s">
        <v>8215</v>
      </c>
      <c r="J728" s="100" t="s">
        <v>8220</v>
      </c>
      <c r="K728" s="107"/>
    </row>
    <row r="729" ht="15" spans="1:11">
      <c r="A729" s="98" t="s">
        <v>58</v>
      </c>
      <c r="B729" s="99" t="s">
        <v>9535</v>
      </c>
      <c r="C729" s="98" t="s">
        <v>8218</v>
      </c>
      <c r="D729" s="101" t="s">
        <v>4</v>
      </c>
      <c r="E729" s="101" t="s">
        <v>9532</v>
      </c>
      <c r="F729" s="101"/>
      <c r="G729" s="101" t="s">
        <v>353</v>
      </c>
      <c r="H729" s="100" t="s">
        <v>8215</v>
      </c>
      <c r="I729" s="100" t="s">
        <v>8215</v>
      </c>
      <c r="J729" s="100" t="s">
        <v>9536</v>
      </c>
      <c r="K729" s="107"/>
    </row>
    <row r="730" ht="15" spans="1:11">
      <c r="A730" s="98" t="s">
        <v>58</v>
      </c>
      <c r="B730" s="99" t="s">
        <v>9537</v>
      </c>
      <c r="C730" s="101" t="s">
        <v>8240</v>
      </c>
      <c r="D730" s="101" t="s">
        <v>4</v>
      </c>
      <c r="E730" s="101" t="s">
        <v>9532</v>
      </c>
      <c r="F730" s="101"/>
      <c r="G730" s="101" t="s">
        <v>353</v>
      </c>
      <c r="H730" s="100" t="s">
        <v>8215</v>
      </c>
      <c r="I730" s="100" t="s">
        <v>8215</v>
      </c>
      <c r="J730" s="100" t="s">
        <v>9538</v>
      </c>
      <c r="K730" s="107"/>
    </row>
    <row r="731" s="91" customFormat="1" ht="15" spans="1:11">
      <c r="A731" s="106" t="s">
        <v>58</v>
      </c>
      <c r="B731" s="106" t="s">
        <v>9539</v>
      </c>
      <c r="C731" s="106" t="s">
        <v>8293</v>
      </c>
      <c r="D731" s="106" t="s">
        <v>4</v>
      </c>
      <c r="E731" s="106" t="s">
        <v>9540</v>
      </c>
      <c r="F731" s="106" t="s">
        <v>9541</v>
      </c>
      <c r="G731" s="106" t="s">
        <v>353</v>
      </c>
      <c r="H731" s="106" t="s">
        <v>9542</v>
      </c>
      <c r="I731" s="106" t="s">
        <v>8247</v>
      </c>
      <c r="J731" s="106" t="s">
        <v>8459</v>
      </c>
      <c r="K731" s="106">
        <v>2024.9</v>
      </c>
    </row>
    <row r="732" ht="15" spans="1:11">
      <c r="A732" s="98" t="s">
        <v>58</v>
      </c>
      <c r="B732" s="99" t="s">
        <v>9543</v>
      </c>
      <c r="C732" s="98" t="s">
        <v>8229</v>
      </c>
      <c r="D732" s="101" t="s">
        <v>4</v>
      </c>
      <c r="E732" s="101" t="s">
        <v>9544</v>
      </c>
      <c r="F732" s="98"/>
      <c r="G732" s="101" t="s">
        <v>353</v>
      </c>
      <c r="H732" s="100" t="s">
        <v>8215</v>
      </c>
      <c r="I732" s="100" t="s">
        <v>8215</v>
      </c>
      <c r="J732" s="100" t="s">
        <v>8885</v>
      </c>
      <c r="K732" s="107"/>
    </row>
    <row r="733" ht="15" spans="1:11">
      <c r="A733" s="98" t="s">
        <v>58</v>
      </c>
      <c r="B733" s="99" t="s">
        <v>9545</v>
      </c>
      <c r="C733" s="98" t="s">
        <v>8229</v>
      </c>
      <c r="D733" s="101" t="s">
        <v>4</v>
      </c>
      <c r="E733" s="101" t="s">
        <v>9544</v>
      </c>
      <c r="F733" s="98"/>
      <c r="G733" s="101" t="s">
        <v>353</v>
      </c>
      <c r="H733" s="100" t="s">
        <v>8215</v>
      </c>
      <c r="I733" s="100" t="s">
        <v>8215</v>
      </c>
      <c r="J733" s="100" t="s">
        <v>9546</v>
      </c>
      <c r="K733" s="107"/>
    </row>
    <row r="734" ht="15" spans="1:11">
      <c r="A734" s="98" t="s">
        <v>58</v>
      </c>
      <c r="B734" s="99" t="s">
        <v>9547</v>
      </c>
      <c r="C734" s="98" t="s">
        <v>8218</v>
      </c>
      <c r="D734" s="101" t="s">
        <v>4</v>
      </c>
      <c r="E734" s="101" t="s">
        <v>9548</v>
      </c>
      <c r="F734" s="98"/>
      <c r="G734" s="101" t="s">
        <v>353</v>
      </c>
      <c r="H734" s="100" t="s">
        <v>8215</v>
      </c>
      <c r="I734" s="100" t="s">
        <v>8215</v>
      </c>
      <c r="J734" s="102" t="s">
        <v>8216</v>
      </c>
      <c r="K734" s="107"/>
    </row>
    <row r="735" ht="15" spans="1:11">
      <c r="A735" s="98" t="s">
        <v>58</v>
      </c>
      <c r="B735" s="99" t="s">
        <v>9549</v>
      </c>
      <c r="C735" s="98" t="s">
        <v>8218</v>
      </c>
      <c r="D735" s="101" t="s">
        <v>4</v>
      </c>
      <c r="E735" s="101" t="s">
        <v>9548</v>
      </c>
      <c r="F735" s="98"/>
      <c r="G735" s="101" t="s">
        <v>353</v>
      </c>
      <c r="H735" s="100" t="s">
        <v>8215</v>
      </c>
      <c r="I735" s="100" t="s">
        <v>8247</v>
      </c>
      <c r="J735" s="100" t="s">
        <v>9016</v>
      </c>
      <c r="K735" s="107"/>
    </row>
    <row r="736" ht="15" spans="1:11">
      <c r="A736" s="98" t="s">
        <v>58</v>
      </c>
      <c r="B736" s="99" t="s">
        <v>9550</v>
      </c>
      <c r="C736" s="119" t="s">
        <v>8258</v>
      </c>
      <c r="D736" s="101" t="s">
        <v>4</v>
      </c>
      <c r="E736" s="101" t="s">
        <v>9551</v>
      </c>
      <c r="F736" s="98"/>
      <c r="G736" s="101" t="s">
        <v>353</v>
      </c>
      <c r="H736" s="100" t="s">
        <v>8215</v>
      </c>
      <c r="I736" s="100" t="s">
        <v>8215</v>
      </c>
      <c r="J736" s="100" t="s">
        <v>8459</v>
      </c>
      <c r="K736" s="107"/>
    </row>
    <row r="737" ht="15" spans="1:11">
      <c r="A737" s="98" t="s">
        <v>58</v>
      </c>
      <c r="B737" s="119" t="s">
        <v>9552</v>
      </c>
      <c r="C737" s="101" t="s">
        <v>8240</v>
      </c>
      <c r="D737" s="98" t="s">
        <v>4</v>
      </c>
      <c r="E737" s="98" t="s">
        <v>5216</v>
      </c>
      <c r="F737" s="98"/>
      <c r="G737" s="98" t="s">
        <v>353</v>
      </c>
      <c r="H737" s="101" t="s">
        <v>8215</v>
      </c>
      <c r="I737" s="100" t="s">
        <v>8320</v>
      </c>
      <c r="J737" s="98" t="s">
        <v>8316</v>
      </c>
      <c r="K737" s="107"/>
    </row>
    <row r="738" ht="15" spans="1:11">
      <c r="A738" s="98" t="s">
        <v>58</v>
      </c>
      <c r="B738" s="99" t="s">
        <v>9553</v>
      </c>
      <c r="C738" s="98" t="s">
        <v>8229</v>
      </c>
      <c r="D738" s="98" t="s">
        <v>4</v>
      </c>
      <c r="E738" s="98" t="s">
        <v>5216</v>
      </c>
      <c r="F738" s="98" t="s">
        <v>1025</v>
      </c>
      <c r="G738" s="98" t="s">
        <v>353</v>
      </c>
      <c r="H738" s="100" t="s">
        <v>8215</v>
      </c>
      <c r="I738" s="100" t="s">
        <v>8215</v>
      </c>
      <c r="J738" s="100"/>
      <c r="K738" s="107"/>
    </row>
    <row r="739" ht="15" spans="1:11">
      <c r="A739" s="98" t="s">
        <v>58</v>
      </c>
      <c r="B739" s="99" t="s">
        <v>9554</v>
      </c>
      <c r="C739" s="98" t="s">
        <v>8229</v>
      </c>
      <c r="D739" s="98" t="s">
        <v>4</v>
      </c>
      <c r="E739" s="98" t="s">
        <v>5216</v>
      </c>
      <c r="F739" s="98" t="s">
        <v>1025</v>
      </c>
      <c r="G739" s="98" t="s">
        <v>353</v>
      </c>
      <c r="H739" s="100" t="s">
        <v>8215</v>
      </c>
      <c r="I739" s="100" t="s">
        <v>8215</v>
      </c>
      <c r="J739" s="100"/>
      <c r="K739" s="107"/>
    </row>
    <row r="740" ht="15" spans="1:11">
      <c r="A740" s="98" t="s">
        <v>58</v>
      </c>
      <c r="B740" s="99" t="s">
        <v>9555</v>
      </c>
      <c r="C740" s="98" t="s">
        <v>8229</v>
      </c>
      <c r="D740" s="98" t="s">
        <v>4</v>
      </c>
      <c r="E740" s="98" t="s">
        <v>5216</v>
      </c>
      <c r="F740" s="98" t="s">
        <v>1025</v>
      </c>
      <c r="G740" s="98" t="s">
        <v>353</v>
      </c>
      <c r="H740" s="100"/>
      <c r="I740" s="100"/>
      <c r="J740" s="100"/>
      <c r="K740" s="107"/>
    </row>
    <row r="741" ht="15" spans="1:11">
      <c r="A741" s="98" t="s">
        <v>58</v>
      </c>
      <c r="B741" s="99" t="s">
        <v>9556</v>
      </c>
      <c r="C741" s="98" t="s">
        <v>8229</v>
      </c>
      <c r="D741" s="101" t="s">
        <v>5</v>
      </c>
      <c r="E741" s="101" t="s">
        <v>9557</v>
      </c>
      <c r="F741" s="101"/>
      <c r="G741" s="101" t="s">
        <v>353</v>
      </c>
      <c r="H741" s="100" t="s">
        <v>8215</v>
      </c>
      <c r="I741" s="100" t="s">
        <v>8215</v>
      </c>
      <c r="J741" s="100" t="s">
        <v>8388</v>
      </c>
      <c r="K741" s="107"/>
    </row>
    <row r="742" ht="15" spans="1:11">
      <c r="A742" s="98" t="s">
        <v>58</v>
      </c>
      <c r="B742" s="99" t="s">
        <v>9558</v>
      </c>
      <c r="C742" s="98" t="s">
        <v>8514</v>
      </c>
      <c r="D742" s="101" t="s">
        <v>5</v>
      </c>
      <c r="E742" s="101" t="s">
        <v>9559</v>
      </c>
      <c r="F742" s="98"/>
      <c r="G742" s="101" t="s">
        <v>353</v>
      </c>
      <c r="H742" s="100" t="s">
        <v>8215</v>
      </c>
      <c r="I742" s="100" t="s">
        <v>8215</v>
      </c>
      <c r="J742" s="100" t="s">
        <v>9270</v>
      </c>
      <c r="K742" s="107"/>
    </row>
    <row r="743" ht="15" spans="1:11">
      <c r="A743" s="98" t="s">
        <v>58</v>
      </c>
      <c r="B743" s="99" t="s">
        <v>9560</v>
      </c>
      <c r="C743" s="98" t="s">
        <v>8229</v>
      </c>
      <c r="D743" s="101" t="s">
        <v>5</v>
      </c>
      <c r="E743" s="101" t="s">
        <v>9561</v>
      </c>
      <c r="F743" s="98"/>
      <c r="G743" s="101" t="s">
        <v>353</v>
      </c>
      <c r="H743" s="100" t="s">
        <v>8215</v>
      </c>
      <c r="I743" s="100" t="s">
        <v>8215</v>
      </c>
      <c r="J743" s="100" t="s">
        <v>8286</v>
      </c>
      <c r="K743" s="107"/>
    </row>
    <row r="744" ht="15" spans="1:11">
      <c r="A744" s="98" t="s">
        <v>58</v>
      </c>
      <c r="B744" s="119" t="s">
        <v>9562</v>
      </c>
      <c r="C744" s="98" t="s">
        <v>8514</v>
      </c>
      <c r="D744" s="98" t="s">
        <v>5</v>
      </c>
      <c r="E744" s="98" t="s">
        <v>9563</v>
      </c>
      <c r="F744" s="98"/>
      <c r="G744" s="98" t="s">
        <v>353</v>
      </c>
      <c r="H744" s="100" t="s">
        <v>8215</v>
      </c>
      <c r="I744" s="100" t="s">
        <v>8215</v>
      </c>
      <c r="J744" s="100" t="s">
        <v>9564</v>
      </c>
      <c r="K744" s="107"/>
    </row>
    <row r="745" ht="15" spans="1:11">
      <c r="A745" s="98" t="s">
        <v>58</v>
      </c>
      <c r="B745" s="100" t="s">
        <v>9565</v>
      </c>
      <c r="C745" s="98" t="s">
        <v>8229</v>
      </c>
      <c r="D745" s="101" t="s">
        <v>5</v>
      </c>
      <c r="E745" s="101" t="s">
        <v>9566</v>
      </c>
      <c r="F745" s="98"/>
      <c r="G745" s="101" t="s">
        <v>353</v>
      </c>
      <c r="H745" s="100" t="s">
        <v>8215</v>
      </c>
      <c r="I745" s="100" t="s">
        <v>8320</v>
      </c>
      <c r="J745" s="100">
        <v>4</v>
      </c>
      <c r="K745" s="107"/>
    </row>
    <row r="746" ht="15" spans="1:11">
      <c r="A746" s="98" t="s">
        <v>58</v>
      </c>
      <c r="B746" s="99" t="s">
        <v>9567</v>
      </c>
      <c r="C746" s="98" t="s">
        <v>8229</v>
      </c>
      <c r="D746" s="101" t="s">
        <v>5</v>
      </c>
      <c r="E746" s="101" t="s">
        <v>9568</v>
      </c>
      <c r="F746" s="98"/>
      <c r="G746" s="101" t="s">
        <v>353</v>
      </c>
      <c r="H746" s="100" t="s">
        <v>8215</v>
      </c>
      <c r="I746" s="100" t="s">
        <v>8215</v>
      </c>
      <c r="J746" s="100" t="s">
        <v>9569</v>
      </c>
      <c r="K746" s="107"/>
    </row>
    <row r="747" ht="15" spans="1:11">
      <c r="A747" s="98" t="s">
        <v>58</v>
      </c>
      <c r="B747" s="99" t="s">
        <v>9570</v>
      </c>
      <c r="C747" s="98" t="s">
        <v>8229</v>
      </c>
      <c r="D747" s="101" t="s">
        <v>5</v>
      </c>
      <c r="E747" s="101" t="s">
        <v>9568</v>
      </c>
      <c r="F747" s="98"/>
      <c r="G747" s="101" t="s">
        <v>353</v>
      </c>
      <c r="H747" s="100" t="s">
        <v>8215</v>
      </c>
      <c r="I747" s="100" t="s">
        <v>8215</v>
      </c>
      <c r="J747" s="100" t="s">
        <v>9337</v>
      </c>
      <c r="K747" s="107"/>
    </row>
    <row r="748" ht="15" spans="1:11">
      <c r="A748" s="98" t="s">
        <v>58</v>
      </c>
      <c r="B748" s="99" t="s">
        <v>9571</v>
      </c>
      <c r="C748" s="98" t="s">
        <v>8229</v>
      </c>
      <c r="D748" s="101" t="s">
        <v>5</v>
      </c>
      <c r="E748" s="101" t="s">
        <v>9572</v>
      </c>
      <c r="F748" s="98"/>
      <c r="G748" s="101" t="s">
        <v>353</v>
      </c>
      <c r="H748" s="100" t="s">
        <v>8215</v>
      </c>
      <c r="I748" s="100" t="s">
        <v>8215</v>
      </c>
      <c r="J748" s="100" t="s">
        <v>9573</v>
      </c>
      <c r="K748" s="107"/>
    </row>
    <row r="749" ht="15" spans="1:11">
      <c r="A749" s="98" t="s">
        <v>58</v>
      </c>
      <c r="B749" s="99" t="s">
        <v>9574</v>
      </c>
      <c r="C749" s="98" t="s">
        <v>8229</v>
      </c>
      <c r="D749" s="101" t="s">
        <v>5</v>
      </c>
      <c r="E749" s="101" t="s">
        <v>9572</v>
      </c>
      <c r="F749" s="98"/>
      <c r="G749" s="101" t="s">
        <v>353</v>
      </c>
      <c r="H749" s="100" t="s">
        <v>8215</v>
      </c>
      <c r="I749" s="100" t="s">
        <v>8215</v>
      </c>
      <c r="J749" s="100" t="s">
        <v>8708</v>
      </c>
      <c r="K749" s="107"/>
    </row>
    <row r="750" ht="15" spans="1:11">
      <c r="A750" s="98" t="s">
        <v>58</v>
      </c>
      <c r="B750" s="99" t="s">
        <v>9575</v>
      </c>
      <c r="C750" s="98" t="s">
        <v>8229</v>
      </c>
      <c r="D750" s="101" t="s">
        <v>5</v>
      </c>
      <c r="E750" s="101" t="s">
        <v>9572</v>
      </c>
      <c r="F750" s="98"/>
      <c r="G750" s="101" t="s">
        <v>353</v>
      </c>
      <c r="H750" s="100" t="s">
        <v>8215</v>
      </c>
      <c r="I750" s="100" t="s">
        <v>8247</v>
      </c>
      <c r="J750" s="100" t="s">
        <v>9576</v>
      </c>
      <c r="K750" s="107"/>
    </row>
    <row r="751" ht="15" spans="1:11">
      <c r="A751" s="98" t="s">
        <v>58</v>
      </c>
      <c r="B751" s="101" t="s">
        <v>9577</v>
      </c>
      <c r="C751" s="98" t="s">
        <v>8218</v>
      </c>
      <c r="D751" s="101" t="s">
        <v>4</v>
      </c>
      <c r="E751" s="101" t="s">
        <v>5225</v>
      </c>
      <c r="F751" s="98"/>
      <c r="G751" s="101" t="s">
        <v>353</v>
      </c>
      <c r="H751" s="100" t="s">
        <v>8215</v>
      </c>
      <c r="I751" s="100" t="s">
        <v>8247</v>
      </c>
      <c r="J751" s="100" t="s">
        <v>8459</v>
      </c>
      <c r="K751" s="107"/>
    </row>
    <row r="752" ht="15" spans="1:11">
      <c r="A752" s="98" t="s">
        <v>58</v>
      </c>
      <c r="B752" s="99" t="s">
        <v>9578</v>
      </c>
      <c r="C752" s="98" t="s">
        <v>8218</v>
      </c>
      <c r="D752" s="101" t="s">
        <v>4</v>
      </c>
      <c r="E752" s="101" t="s">
        <v>5225</v>
      </c>
      <c r="F752" s="98"/>
      <c r="G752" s="101" t="s">
        <v>353</v>
      </c>
      <c r="H752" s="100" t="s">
        <v>8215</v>
      </c>
      <c r="I752" s="100" t="s">
        <v>8247</v>
      </c>
      <c r="J752" s="100" t="s">
        <v>8459</v>
      </c>
      <c r="K752" s="107"/>
    </row>
    <row r="753" ht="15" spans="1:11">
      <c r="A753" s="98" t="s">
        <v>58</v>
      </c>
      <c r="B753" s="99" t="s">
        <v>9579</v>
      </c>
      <c r="C753" s="98" t="s">
        <v>8218</v>
      </c>
      <c r="D753" s="101" t="s">
        <v>4</v>
      </c>
      <c r="E753" s="101" t="s">
        <v>5225</v>
      </c>
      <c r="F753" s="98"/>
      <c r="G753" s="101" t="s">
        <v>353</v>
      </c>
      <c r="H753" s="100" t="s">
        <v>8215</v>
      </c>
      <c r="I753" s="100" t="s">
        <v>8215</v>
      </c>
      <c r="J753" s="100" t="s">
        <v>8459</v>
      </c>
      <c r="K753" s="107"/>
    </row>
    <row r="754" ht="15" spans="1:11">
      <c r="A754" s="98" t="s">
        <v>58</v>
      </c>
      <c r="B754" s="99" t="s">
        <v>9580</v>
      </c>
      <c r="C754" s="98" t="s">
        <v>8218</v>
      </c>
      <c r="D754" s="101" t="s">
        <v>4</v>
      </c>
      <c r="E754" s="101" t="s">
        <v>5225</v>
      </c>
      <c r="F754" s="98" t="s">
        <v>8419</v>
      </c>
      <c r="G754" s="101" t="s">
        <v>353</v>
      </c>
      <c r="H754" s="100" t="s">
        <v>8215</v>
      </c>
      <c r="I754" s="100" t="s">
        <v>8215</v>
      </c>
      <c r="J754" s="100" t="s">
        <v>8459</v>
      </c>
      <c r="K754" s="107"/>
    </row>
    <row r="755" ht="15" spans="1:11">
      <c r="A755" s="98" t="s">
        <v>58</v>
      </c>
      <c r="B755" s="99" t="s">
        <v>9581</v>
      </c>
      <c r="C755" s="98" t="s">
        <v>8218</v>
      </c>
      <c r="D755" s="101" t="s">
        <v>4</v>
      </c>
      <c r="E755" s="101" t="s">
        <v>5225</v>
      </c>
      <c r="F755" s="98" t="s">
        <v>8419</v>
      </c>
      <c r="G755" s="101" t="s">
        <v>353</v>
      </c>
      <c r="H755" s="100" t="s">
        <v>8215</v>
      </c>
      <c r="I755" s="100" t="s">
        <v>8215</v>
      </c>
      <c r="J755" s="100" t="s">
        <v>8459</v>
      </c>
      <c r="K755" s="107"/>
    </row>
    <row r="756" ht="15" spans="1:11">
      <c r="A756" s="98" t="s">
        <v>58</v>
      </c>
      <c r="B756" s="99" t="s">
        <v>9582</v>
      </c>
      <c r="C756" s="98" t="s">
        <v>8218</v>
      </c>
      <c r="D756" s="101" t="s">
        <v>4</v>
      </c>
      <c r="E756" s="101" t="s">
        <v>5225</v>
      </c>
      <c r="F756" s="98"/>
      <c r="G756" s="101" t="s">
        <v>353</v>
      </c>
      <c r="H756" s="100" t="s">
        <v>8215</v>
      </c>
      <c r="I756" s="100" t="s">
        <v>8247</v>
      </c>
      <c r="J756" s="100" t="s">
        <v>8459</v>
      </c>
      <c r="K756" s="107"/>
    </row>
    <row r="757" ht="15" spans="1:11">
      <c r="A757" s="98" t="s">
        <v>58</v>
      </c>
      <c r="B757" s="99" t="s">
        <v>9583</v>
      </c>
      <c r="C757" s="119" t="s">
        <v>8240</v>
      </c>
      <c r="D757" s="101" t="s">
        <v>5</v>
      </c>
      <c r="E757" s="101" t="s">
        <v>9584</v>
      </c>
      <c r="F757" s="98"/>
      <c r="G757" s="101" t="s">
        <v>353</v>
      </c>
      <c r="H757" s="100" t="s">
        <v>8215</v>
      </c>
      <c r="I757" s="100" t="s">
        <v>8215</v>
      </c>
      <c r="J757" s="100" t="s">
        <v>8459</v>
      </c>
      <c r="K757" s="107"/>
    </row>
    <row r="758" ht="15" spans="1:11">
      <c r="A758" s="98" t="s">
        <v>58</v>
      </c>
      <c r="B758" s="99" t="s">
        <v>9585</v>
      </c>
      <c r="C758" s="119" t="s">
        <v>8240</v>
      </c>
      <c r="D758" s="101" t="s">
        <v>5</v>
      </c>
      <c r="E758" s="101" t="s">
        <v>9584</v>
      </c>
      <c r="F758" s="98"/>
      <c r="G758" s="101" t="s">
        <v>353</v>
      </c>
      <c r="H758" s="100" t="s">
        <v>8215</v>
      </c>
      <c r="I758" s="100" t="s">
        <v>8215</v>
      </c>
      <c r="J758" s="100" t="s">
        <v>8388</v>
      </c>
      <c r="K758" s="107"/>
    </row>
    <row r="759" s="91" customFormat="1" ht="15" spans="1:11">
      <c r="A759" s="106" t="s">
        <v>58</v>
      </c>
      <c r="B759" s="106" t="s">
        <v>9586</v>
      </c>
      <c r="C759" s="106" t="s">
        <v>8293</v>
      </c>
      <c r="D759" s="106" t="s">
        <v>4</v>
      </c>
      <c r="E759" s="106" t="s">
        <v>9587</v>
      </c>
      <c r="F759" s="106"/>
      <c r="G759" s="106" t="s">
        <v>353</v>
      </c>
      <c r="H759" s="106" t="s">
        <v>8215</v>
      </c>
      <c r="I759" s="106" t="s">
        <v>8215</v>
      </c>
      <c r="J759" s="106" t="s">
        <v>9588</v>
      </c>
      <c r="K759" s="114" t="s">
        <v>8490</v>
      </c>
    </row>
    <row r="760" ht="15" spans="1:11">
      <c r="A760" s="98" t="s">
        <v>57</v>
      </c>
      <c r="B760" s="99" t="s">
        <v>9589</v>
      </c>
      <c r="C760" s="98" t="s">
        <v>9590</v>
      </c>
      <c r="D760" s="101" t="s">
        <v>5</v>
      </c>
      <c r="E760" s="101" t="s">
        <v>9591</v>
      </c>
      <c r="F760" s="98"/>
      <c r="G760" s="101" t="s">
        <v>353</v>
      </c>
      <c r="H760" s="100"/>
      <c r="I760" s="100"/>
      <c r="J760" s="100"/>
      <c r="K760" s="107"/>
    </row>
    <row r="761" ht="15" spans="1:11">
      <c r="A761" s="101" t="s">
        <v>57</v>
      </c>
      <c r="B761" s="99" t="s">
        <v>9592</v>
      </c>
      <c r="C761" s="98" t="s">
        <v>8229</v>
      </c>
      <c r="D761" s="101" t="s">
        <v>5</v>
      </c>
      <c r="E761" s="101" t="s">
        <v>9593</v>
      </c>
      <c r="F761" s="98"/>
      <c r="G761" s="101" t="s">
        <v>353</v>
      </c>
      <c r="H761" s="100" t="s">
        <v>8215</v>
      </c>
      <c r="I761" s="100" t="s">
        <v>8215</v>
      </c>
      <c r="J761" s="100" t="s">
        <v>8388</v>
      </c>
      <c r="K761" s="107"/>
    </row>
    <row r="762" ht="15" spans="1:11">
      <c r="A762" s="101" t="s">
        <v>57</v>
      </c>
      <c r="B762" s="99" t="s">
        <v>9594</v>
      </c>
      <c r="C762" s="119" t="s">
        <v>8240</v>
      </c>
      <c r="D762" s="101" t="s">
        <v>5</v>
      </c>
      <c r="E762" s="101" t="s">
        <v>9595</v>
      </c>
      <c r="F762" s="98"/>
      <c r="G762" s="101" t="s">
        <v>353</v>
      </c>
      <c r="H762" s="100" t="s">
        <v>8215</v>
      </c>
      <c r="I762" s="100" t="s">
        <v>8247</v>
      </c>
      <c r="J762" s="100"/>
      <c r="K762" s="107"/>
    </row>
    <row r="763" ht="15" spans="1:11">
      <c r="A763" s="101" t="s">
        <v>57</v>
      </c>
      <c r="B763" s="99" t="s">
        <v>9596</v>
      </c>
      <c r="C763" s="98" t="s">
        <v>8218</v>
      </c>
      <c r="D763" s="101" t="s">
        <v>4</v>
      </c>
      <c r="E763" s="101" t="s">
        <v>5137</v>
      </c>
      <c r="F763" s="101"/>
      <c r="G763" s="101" t="s">
        <v>353</v>
      </c>
      <c r="H763" s="100" t="s">
        <v>8215</v>
      </c>
      <c r="I763" s="100" t="s">
        <v>8247</v>
      </c>
      <c r="J763" s="100" t="s">
        <v>8220</v>
      </c>
      <c r="K763" s="107"/>
    </row>
    <row r="764" ht="15" spans="1:11">
      <c r="A764" s="101" t="s">
        <v>57</v>
      </c>
      <c r="B764" s="99" t="s">
        <v>9597</v>
      </c>
      <c r="C764" s="98" t="s">
        <v>8218</v>
      </c>
      <c r="D764" s="101" t="s">
        <v>4</v>
      </c>
      <c r="E764" s="101" t="s">
        <v>5137</v>
      </c>
      <c r="F764" s="101"/>
      <c r="G764" s="101" t="s">
        <v>353</v>
      </c>
      <c r="H764" s="100" t="s">
        <v>8215</v>
      </c>
      <c r="I764" s="100" t="s">
        <v>8215</v>
      </c>
      <c r="J764" s="100">
        <v>3.8</v>
      </c>
      <c r="K764" s="107"/>
    </row>
    <row r="765" ht="15" spans="1:11">
      <c r="A765" s="101" t="s">
        <v>57</v>
      </c>
      <c r="B765" s="99" t="s">
        <v>9598</v>
      </c>
      <c r="C765" s="98" t="s">
        <v>8218</v>
      </c>
      <c r="D765" s="101" t="s">
        <v>4</v>
      </c>
      <c r="E765" s="101" t="s">
        <v>9599</v>
      </c>
      <c r="F765" s="101"/>
      <c r="G765" s="101" t="s">
        <v>353</v>
      </c>
      <c r="H765" s="100" t="s">
        <v>8215</v>
      </c>
      <c r="I765" s="100" t="s">
        <v>8215</v>
      </c>
      <c r="J765" s="100" t="s">
        <v>8388</v>
      </c>
      <c r="K765" s="107"/>
    </row>
    <row r="766" ht="15" spans="1:11">
      <c r="A766" s="101" t="s">
        <v>57</v>
      </c>
      <c r="B766" s="99" t="s">
        <v>9600</v>
      </c>
      <c r="C766" s="98" t="s">
        <v>8218</v>
      </c>
      <c r="D766" s="101" t="s">
        <v>4</v>
      </c>
      <c r="E766" s="101" t="s">
        <v>9601</v>
      </c>
      <c r="F766" s="98"/>
      <c r="G766" s="101" t="s">
        <v>353</v>
      </c>
      <c r="H766" s="100" t="s">
        <v>8215</v>
      </c>
      <c r="I766" s="100" t="s">
        <v>8215</v>
      </c>
      <c r="J766" s="100" t="s">
        <v>8353</v>
      </c>
      <c r="K766" s="107"/>
    </row>
    <row r="767" ht="15" spans="1:11">
      <c r="A767" s="101" t="s">
        <v>57</v>
      </c>
      <c r="B767" s="99" t="s">
        <v>9602</v>
      </c>
      <c r="C767" s="98" t="s">
        <v>8514</v>
      </c>
      <c r="D767" s="101" t="s">
        <v>4</v>
      </c>
      <c r="E767" s="101" t="s">
        <v>9601</v>
      </c>
      <c r="F767" s="98"/>
      <c r="G767" s="101" t="s">
        <v>353</v>
      </c>
      <c r="H767" s="100" t="s">
        <v>8215</v>
      </c>
      <c r="I767" s="100" t="s">
        <v>8247</v>
      </c>
      <c r="J767" s="100" t="s">
        <v>9603</v>
      </c>
      <c r="K767" s="107"/>
    </row>
    <row r="768" ht="15" spans="1:11">
      <c r="A768" s="101" t="s">
        <v>57</v>
      </c>
      <c r="B768" s="99" t="s">
        <v>9604</v>
      </c>
      <c r="C768" s="98" t="s">
        <v>8218</v>
      </c>
      <c r="D768" s="101" t="s">
        <v>4</v>
      </c>
      <c r="E768" s="101" t="s">
        <v>5146</v>
      </c>
      <c r="F768" s="98"/>
      <c r="G768" s="101" t="s">
        <v>353</v>
      </c>
      <c r="H768" s="100" t="s">
        <v>8215</v>
      </c>
      <c r="I768" s="100" t="s">
        <v>8215</v>
      </c>
      <c r="J768" s="100" t="s">
        <v>9605</v>
      </c>
      <c r="K768" s="107"/>
    </row>
    <row r="769" ht="15" spans="1:11">
      <c r="A769" s="101" t="s">
        <v>57</v>
      </c>
      <c r="B769" s="99" t="s">
        <v>9606</v>
      </c>
      <c r="C769" s="98" t="s">
        <v>8218</v>
      </c>
      <c r="D769" s="101" t="s">
        <v>4</v>
      </c>
      <c r="E769" s="101" t="s">
        <v>9607</v>
      </c>
      <c r="F769" s="101"/>
      <c r="G769" s="101" t="s">
        <v>353</v>
      </c>
      <c r="H769" s="100" t="s">
        <v>8215</v>
      </c>
      <c r="I769" s="100" t="s">
        <v>8215</v>
      </c>
      <c r="J769" s="100" t="s">
        <v>8388</v>
      </c>
      <c r="K769" s="107"/>
    </row>
    <row r="770" ht="15" spans="1:11">
      <c r="A770" s="101" t="s">
        <v>57</v>
      </c>
      <c r="B770" s="99" t="s">
        <v>9608</v>
      </c>
      <c r="C770" s="98" t="s">
        <v>8218</v>
      </c>
      <c r="D770" s="101" t="s">
        <v>4</v>
      </c>
      <c r="E770" s="101" t="s">
        <v>9607</v>
      </c>
      <c r="F770" s="101"/>
      <c r="G770" s="101" t="s">
        <v>353</v>
      </c>
      <c r="H770" s="100" t="s">
        <v>8215</v>
      </c>
      <c r="I770" s="100" t="s">
        <v>8247</v>
      </c>
      <c r="J770" s="100" t="s">
        <v>8220</v>
      </c>
      <c r="K770" s="107"/>
    </row>
    <row r="771" ht="15" spans="1:11">
      <c r="A771" s="101" t="s">
        <v>57</v>
      </c>
      <c r="B771" s="99" t="s">
        <v>9609</v>
      </c>
      <c r="C771" s="98" t="s">
        <v>8218</v>
      </c>
      <c r="D771" s="101" t="s">
        <v>4</v>
      </c>
      <c r="E771" s="101" t="s">
        <v>9607</v>
      </c>
      <c r="F771" s="101"/>
      <c r="G771" s="101" t="s">
        <v>353</v>
      </c>
      <c r="H771" s="100" t="s">
        <v>8215</v>
      </c>
      <c r="I771" s="100" t="s">
        <v>8215</v>
      </c>
      <c r="J771" s="100" t="s">
        <v>9610</v>
      </c>
      <c r="K771" s="107"/>
    </row>
    <row r="772" ht="15" spans="1:11">
      <c r="A772" s="101" t="s">
        <v>57</v>
      </c>
      <c r="B772" s="99" t="s">
        <v>9611</v>
      </c>
      <c r="C772" s="101" t="s">
        <v>8240</v>
      </c>
      <c r="D772" s="98" t="s">
        <v>4</v>
      </c>
      <c r="E772" s="98" t="s">
        <v>9607</v>
      </c>
      <c r="F772" s="98"/>
      <c r="G772" s="98" t="s">
        <v>353</v>
      </c>
      <c r="H772" s="100" t="s">
        <v>8215</v>
      </c>
      <c r="I772" s="100" t="s">
        <v>8247</v>
      </c>
      <c r="J772" s="100" t="s">
        <v>8974</v>
      </c>
      <c r="K772" s="107"/>
    </row>
    <row r="773" ht="15" spans="1:11">
      <c r="A773" s="101" t="s">
        <v>57</v>
      </c>
      <c r="B773" s="99" t="s">
        <v>9612</v>
      </c>
      <c r="C773" s="98" t="s">
        <v>8218</v>
      </c>
      <c r="D773" s="101" t="s">
        <v>4</v>
      </c>
      <c r="E773" s="101" t="s">
        <v>5140</v>
      </c>
      <c r="F773" s="98"/>
      <c r="G773" s="101" t="s">
        <v>353</v>
      </c>
      <c r="H773" s="100" t="s">
        <v>8215</v>
      </c>
      <c r="I773" s="100" t="s">
        <v>8215</v>
      </c>
      <c r="J773" s="100" t="s">
        <v>8921</v>
      </c>
      <c r="K773" s="107"/>
    </row>
    <row r="774" ht="15" spans="1:11">
      <c r="A774" s="101" t="s">
        <v>57</v>
      </c>
      <c r="B774" s="99" t="s">
        <v>9613</v>
      </c>
      <c r="C774" s="98" t="s">
        <v>8218</v>
      </c>
      <c r="D774" s="101" t="s">
        <v>4</v>
      </c>
      <c r="E774" s="101" t="s">
        <v>5140</v>
      </c>
      <c r="F774" s="98"/>
      <c r="G774" s="101" t="s">
        <v>353</v>
      </c>
      <c r="H774" s="100" t="s">
        <v>8215</v>
      </c>
      <c r="I774" s="100" t="s">
        <v>8215</v>
      </c>
      <c r="J774" s="100" t="s">
        <v>9614</v>
      </c>
      <c r="K774" s="107"/>
    </row>
    <row r="775" ht="15" spans="1:11">
      <c r="A775" s="101" t="s">
        <v>57</v>
      </c>
      <c r="B775" s="99" t="s">
        <v>9615</v>
      </c>
      <c r="C775" s="98" t="s">
        <v>8218</v>
      </c>
      <c r="D775" s="101" t="s">
        <v>4</v>
      </c>
      <c r="E775" s="101" t="s">
        <v>5140</v>
      </c>
      <c r="F775" s="98"/>
      <c r="G775" s="101" t="s">
        <v>353</v>
      </c>
      <c r="H775" s="100" t="s">
        <v>8320</v>
      </c>
      <c r="I775" s="100" t="s">
        <v>8320</v>
      </c>
      <c r="J775" s="100" t="s">
        <v>9616</v>
      </c>
      <c r="K775" s="107"/>
    </row>
    <row r="776" ht="15" spans="1:11">
      <c r="A776" s="101" t="s">
        <v>57</v>
      </c>
      <c r="B776" s="99" t="s">
        <v>9617</v>
      </c>
      <c r="C776" s="98" t="s">
        <v>8218</v>
      </c>
      <c r="D776" s="101" t="s">
        <v>4</v>
      </c>
      <c r="E776" s="101" t="s">
        <v>5140</v>
      </c>
      <c r="F776" s="98"/>
      <c r="G776" s="101" t="s">
        <v>353</v>
      </c>
      <c r="H776" s="100" t="s">
        <v>8215</v>
      </c>
      <c r="I776" s="100" t="s">
        <v>8215</v>
      </c>
      <c r="J776" s="100" t="s">
        <v>8459</v>
      </c>
      <c r="K776" s="107"/>
    </row>
    <row r="777" ht="15" spans="1:11">
      <c r="A777" s="101" t="s">
        <v>57</v>
      </c>
      <c r="B777" s="99" t="s">
        <v>9618</v>
      </c>
      <c r="C777" s="98" t="s">
        <v>8218</v>
      </c>
      <c r="D777" s="101" t="s">
        <v>4</v>
      </c>
      <c r="E777" s="101" t="s">
        <v>5140</v>
      </c>
      <c r="F777" s="98"/>
      <c r="G777" s="101" t="s">
        <v>353</v>
      </c>
      <c r="H777" s="100" t="s">
        <v>8215</v>
      </c>
      <c r="I777" s="100" t="s">
        <v>8247</v>
      </c>
      <c r="J777" s="100" t="s">
        <v>8220</v>
      </c>
      <c r="K777" s="107"/>
    </row>
    <row r="778" ht="15" spans="1:11">
      <c r="A778" s="101" t="s">
        <v>57</v>
      </c>
      <c r="B778" s="99" t="s">
        <v>9619</v>
      </c>
      <c r="C778" s="98" t="s">
        <v>8229</v>
      </c>
      <c r="D778" s="101" t="s">
        <v>5</v>
      </c>
      <c r="E778" s="101" t="s">
        <v>9620</v>
      </c>
      <c r="F778" s="98"/>
      <c r="G778" s="101" t="s">
        <v>353</v>
      </c>
      <c r="H778" s="100" t="s">
        <v>8215</v>
      </c>
      <c r="I778" s="100" t="s">
        <v>8215</v>
      </c>
      <c r="J778" s="100" t="s">
        <v>8353</v>
      </c>
      <c r="K778" s="107"/>
    </row>
    <row r="779" ht="15" spans="1:11">
      <c r="A779" s="101" t="s">
        <v>57</v>
      </c>
      <c r="B779" s="99" t="s">
        <v>9621</v>
      </c>
      <c r="C779" s="101" t="s">
        <v>8240</v>
      </c>
      <c r="D779" s="101" t="s">
        <v>5</v>
      </c>
      <c r="E779" s="101" t="s">
        <v>9622</v>
      </c>
      <c r="F779" s="101" t="s">
        <v>1025</v>
      </c>
      <c r="G779" s="101" t="s">
        <v>353</v>
      </c>
      <c r="H779" s="100"/>
      <c r="I779" s="100"/>
      <c r="J779" s="100"/>
      <c r="K779" s="107"/>
    </row>
    <row r="780" ht="15" spans="1:11">
      <c r="A780" s="101" t="s">
        <v>57</v>
      </c>
      <c r="B780" s="99" t="s">
        <v>9623</v>
      </c>
      <c r="C780" s="98" t="s">
        <v>8229</v>
      </c>
      <c r="D780" s="101" t="s">
        <v>5</v>
      </c>
      <c r="E780" s="101" t="s">
        <v>9622</v>
      </c>
      <c r="F780" s="101"/>
      <c r="G780" s="101" t="s">
        <v>353</v>
      </c>
      <c r="H780" s="100" t="s">
        <v>8215</v>
      </c>
      <c r="I780" s="100" t="s">
        <v>8215</v>
      </c>
      <c r="J780" s="100" t="s">
        <v>8388</v>
      </c>
      <c r="K780" s="107"/>
    </row>
    <row r="781" ht="15" spans="1:11">
      <c r="A781" s="101" t="s">
        <v>57</v>
      </c>
      <c r="B781" s="99" t="s">
        <v>9624</v>
      </c>
      <c r="C781" s="98" t="s">
        <v>8229</v>
      </c>
      <c r="D781" s="101" t="s">
        <v>5</v>
      </c>
      <c r="E781" s="101" t="s">
        <v>9625</v>
      </c>
      <c r="F781" s="101"/>
      <c r="G781" s="101" t="s">
        <v>353</v>
      </c>
      <c r="H781" s="100" t="s">
        <v>8215</v>
      </c>
      <c r="I781" s="100" t="s">
        <v>8215</v>
      </c>
      <c r="J781" s="100" t="s">
        <v>8388</v>
      </c>
      <c r="K781" s="107"/>
    </row>
    <row r="782" ht="15" spans="1:11">
      <c r="A782" s="101" t="s">
        <v>57</v>
      </c>
      <c r="B782" s="99" t="s">
        <v>9626</v>
      </c>
      <c r="C782" s="98" t="s">
        <v>8218</v>
      </c>
      <c r="D782" s="101" t="s">
        <v>4</v>
      </c>
      <c r="E782" s="101" t="s">
        <v>5143</v>
      </c>
      <c r="F782" s="101"/>
      <c r="G782" s="101" t="s">
        <v>353</v>
      </c>
      <c r="H782" s="100" t="s">
        <v>8215</v>
      </c>
      <c r="I782" s="100" t="s">
        <v>8215</v>
      </c>
      <c r="J782" s="100" t="s">
        <v>8220</v>
      </c>
      <c r="K782" s="107"/>
    </row>
    <row r="783" ht="15" spans="1:11">
      <c r="A783" s="101" t="s">
        <v>57</v>
      </c>
      <c r="B783" s="99" t="s">
        <v>9627</v>
      </c>
      <c r="C783" s="98" t="s">
        <v>8218</v>
      </c>
      <c r="D783" s="101" t="s">
        <v>4</v>
      </c>
      <c r="E783" s="101" t="s">
        <v>5143</v>
      </c>
      <c r="F783" s="101"/>
      <c r="G783" s="101" t="s">
        <v>353</v>
      </c>
      <c r="H783" s="100" t="s">
        <v>8215</v>
      </c>
      <c r="I783" s="100" t="s">
        <v>8215</v>
      </c>
      <c r="J783" s="100" t="s">
        <v>8459</v>
      </c>
      <c r="K783" s="107"/>
    </row>
    <row r="784" ht="15" spans="1:11">
      <c r="A784" s="101" t="s">
        <v>57</v>
      </c>
      <c r="B784" s="99" t="s">
        <v>9628</v>
      </c>
      <c r="C784" s="98" t="s">
        <v>8218</v>
      </c>
      <c r="D784" s="101" t="s">
        <v>4</v>
      </c>
      <c r="E784" s="101" t="s">
        <v>5143</v>
      </c>
      <c r="F784" s="101"/>
      <c r="G784" s="101" t="s">
        <v>353</v>
      </c>
      <c r="H784" s="100" t="s">
        <v>8215</v>
      </c>
      <c r="I784" s="100" t="s">
        <v>8215</v>
      </c>
      <c r="J784" s="100" t="s">
        <v>8459</v>
      </c>
      <c r="K784" s="107"/>
    </row>
    <row r="785" ht="15" spans="1:11">
      <c r="A785" s="101" t="s">
        <v>57</v>
      </c>
      <c r="B785" s="99" t="s">
        <v>9629</v>
      </c>
      <c r="C785" s="98" t="s">
        <v>8218</v>
      </c>
      <c r="D785" s="101" t="s">
        <v>4</v>
      </c>
      <c r="E785" s="101" t="s">
        <v>5143</v>
      </c>
      <c r="F785" s="101"/>
      <c r="G785" s="101" t="s">
        <v>353</v>
      </c>
      <c r="H785" s="100" t="s">
        <v>8215</v>
      </c>
      <c r="I785" s="100" t="s">
        <v>8215</v>
      </c>
      <c r="J785" s="100" t="s">
        <v>8459</v>
      </c>
      <c r="K785" s="107"/>
    </row>
    <row r="786" ht="15" spans="1:11">
      <c r="A786" s="101" t="s">
        <v>57</v>
      </c>
      <c r="B786" s="100" t="s">
        <v>9630</v>
      </c>
      <c r="C786" s="98" t="s">
        <v>8218</v>
      </c>
      <c r="D786" s="101" t="s">
        <v>4</v>
      </c>
      <c r="E786" s="101" t="s">
        <v>9631</v>
      </c>
      <c r="F786" s="101"/>
      <c r="G786" s="101" t="s">
        <v>353</v>
      </c>
      <c r="H786" s="100" t="s">
        <v>8535</v>
      </c>
      <c r="I786" s="100" t="s">
        <v>8215</v>
      </c>
      <c r="J786" s="100" t="s">
        <v>8353</v>
      </c>
      <c r="K786" s="107"/>
    </row>
    <row r="787" s="91" customFormat="1" ht="15" spans="1:11">
      <c r="A787" s="106" t="s">
        <v>57</v>
      </c>
      <c r="B787" s="106" t="s">
        <v>9629</v>
      </c>
      <c r="C787" s="106" t="s">
        <v>8293</v>
      </c>
      <c r="D787" s="106" t="s">
        <v>4</v>
      </c>
      <c r="E787" s="106" t="s">
        <v>5143</v>
      </c>
      <c r="F787" s="106"/>
      <c r="G787" s="106" t="s">
        <v>353</v>
      </c>
      <c r="H787" s="106" t="s">
        <v>8215</v>
      </c>
      <c r="I787" s="106" t="s">
        <v>8215</v>
      </c>
      <c r="J787" s="106" t="s">
        <v>9632</v>
      </c>
      <c r="K787" s="114" t="s">
        <v>8311</v>
      </c>
    </row>
    <row r="788" ht="15" spans="1:11">
      <c r="A788" s="98" t="s">
        <v>59</v>
      </c>
      <c r="B788" s="100" t="s">
        <v>9633</v>
      </c>
      <c r="C788" s="98" t="s">
        <v>8218</v>
      </c>
      <c r="D788" s="101" t="s">
        <v>4</v>
      </c>
      <c r="E788" s="101" t="s">
        <v>9634</v>
      </c>
      <c r="F788" s="101"/>
      <c r="G788" s="101" t="s">
        <v>353</v>
      </c>
      <c r="H788" s="100" t="s">
        <v>8215</v>
      </c>
      <c r="I788" s="100" t="s">
        <v>8215</v>
      </c>
      <c r="J788" s="100" t="s">
        <v>9635</v>
      </c>
      <c r="K788" s="107"/>
    </row>
    <row r="789" ht="15" spans="1:11">
      <c r="A789" s="98" t="s">
        <v>59</v>
      </c>
      <c r="B789" s="100" t="s">
        <v>9636</v>
      </c>
      <c r="C789" s="98" t="s">
        <v>8229</v>
      </c>
      <c r="D789" s="101" t="s">
        <v>4</v>
      </c>
      <c r="E789" s="101" t="s">
        <v>9637</v>
      </c>
      <c r="F789" s="101"/>
      <c r="G789" s="101" t="s">
        <v>353</v>
      </c>
      <c r="H789" s="100" t="s">
        <v>8215</v>
      </c>
      <c r="I789" s="100" t="s">
        <v>8215</v>
      </c>
      <c r="J789" s="100" t="s">
        <v>8388</v>
      </c>
      <c r="K789" s="107"/>
    </row>
    <row r="790" ht="15" spans="1:11">
      <c r="A790" s="98" t="s">
        <v>59</v>
      </c>
      <c r="B790" s="100" t="s">
        <v>9638</v>
      </c>
      <c r="C790" s="98" t="s">
        <v>8229</v>
      </c>
      <c r="D790" s="101" t="s">
        <v>4</v>
      </c>
      <c r="E790" s="101" t="s">
        <v>9637</v>
      </c>
      <c r="F790" s="101"/>
      <c r="G790" s="101" t="s">
        <v>353</v>
      </c>
      <c r="H790" s="100" t="s">
        <v>8215</v>
      </c>
      <c r="I790" s="100" t="s">
        <v>8215</v>
      </c>
      <c r="J790" s="100" t="s">
        <v>8388</v>
      </c>
      <c r="K790" s="107"/>
    </row>
    <row r="791" ht="15" spans="1:11">
      <c r="A791" s="98" t="s">
        <v>59</v>
      </c>
      <c r="B791" s="99" t="s">
        <v>9639</v>
      </c>
      <c r="C791" s="98" t="s">
        <v>8218</v>
      </c>
      <c r="D791" s="101" t="s">
        <v>4</v>
      </c>
      <c r="E791" s="101" t="s">
        <v>9640</v>
      </c>
      <c r="F791" s="101"/>
      <c r="G791" s="101" t="s">
        <v>353</v>
      </c>
      <c r="H791" s="100" t="s">
        <v>8215</v>
      </c>
      <c r="I791" s="100" t="s">
        <v>8215</v>
      </c>
      <c r="J791" s="100" t="s">
        <v>8388</v>
      </c>
      <c r="K791" s="107"/>
    </row>
    <row r="792" ht="15" spans="1:11">
      <c r="A792" s="98" t="s">
        <v>59</v>
      </c>
      <c r="B792" s="100" t="s">
        <v>9641</v>
      </c>
      <c r="C792" s="98" t="s">
        <v>8218</v>
      </c>
      <c r="D792" s="101" t="s">
        <v>4</v>
      </c>
      <c r="E792" s="101" t="s">
        <v>9642</v>
      </c>
      <c r="F792" s="101"/>
      <c r="G792" s="101" t="s">
        <v>353</v>
      </c>
      <c r="H792" s="100" t="s">
        <v>8215</v>
      </c>
      <c r="I792" s="100" t="s">
        <v>8215</v>
      </c>
      <c r="J792" s="100" t="s">
        <v>8708</v>
      </c>
      <c r="K792" s="107"/>
    </row>
    <row r="793" ht="15" spans="1:11">
      <c r="A793" s="98" t="s">
        <v>59</v>
      </c>
      <c r="B793" s="99" t="s">
        <v>9643</v>
      </c>
      <c r="C793" s="98" t="s">
        <v>8218</v>
      </c>
      <c r="D793" s="101" t="s">
        <v>4</v>
      </c>
      <c r="E793" s="101" t="s">
        <v>9642</v>
      </c>
      <c r="F793" s="101"/>
      <c r="G793" s="101" t="s">
        <v>353</v>
      </c>
      <c r="H793" s="100" t="s">
        <v>8215</v>
      </c>
      <c r="I793" s="100" t="s">
        <v>8215</v>
      </c>
      <c r="J793" s="100" t="s">
        <v>8556</v>
      </c>
      <c r="K793" s="107"/>
    </row>
    <row r="794" ht="15" spans="1:11">
      <c r="A794" s="98" t="s">
        <v>59</v>
      </c>
      <c r="B794" s="99" t="s">
        <v>9644</v>
      </c>
      <c r="C794" s="98" t="s">
        <v>8218</v>
      </c>
      <c r="D794" s="101" t="s">
        <v>5</v>
      </c>
      <c r="E794" s="101" t="s">
        <v>9645</v>
      </c>
      <c r="F794" s="101"/>
      <c r="G794" s="101" t="s">
        <v>353</v>
      </c>
      <c r="H794" s="100" t="s">
        <v>8215</v>
      </c>
      <c r="I794" s="100" t="s">
        <v>8215</v>
      </c>
      <c r="J794" s="100" t="s">
        <v>9646</v>
      </c>
      <c r="K794" s="107"/>
    </row>
    <row r="795" ht="15" spans="1:11">
      <c r="A795" s="98" t="s">
        <v>59</v>
      </c>
      <c r="B795" s="99" t="s">
        <v>9647</v>
      </c>
      <c r="C795" s="98" t="s">
        <v>8218</v>
      </c>
      <c r="D795" s="101" t="s">
        <v>4</v>
      </c>
      <c r="E795" s="101" t="s">
        <v>9648</v>
      </c>
      <c r="F795" s="98"/>
      <c r="G795" s="101" t="s">
        <v>353</v>
      </c>
      <c r="H795" s="100" t="s">
        <v>9649</v>
      </c>
      <c r="I795" s="100" t="s">
        <v>8215</v>
      </c>
      <c r="J795" s="100" t="s">
        <v>9650</v>
      </c>
      <c r="K795" s="107"/>
    </row>
    <row r="796" ht="15" spans="1:11">
      <c r="A796" s="98" t="s">
        <v>59</v>
      </c>
      <c r="B796" s="99" t="s">
        <v>9651</v>
      </c>
      <c r="C796" s="98" t="s">
        <v>8218</v>
      </c>
      <c r="D796" s="101" t="s">
        <v>4</v>
      </c>
      <c r="E796" s="101" t="s">
        <v>9648</v>
      </c>
      <c r="F796" s="98" t="s">
        <v>8563</v>
      </c>
      <c r="G796" s="101" t="s">
        <v>353</v>
      </c>
      <c r="H796" s="100" t="s">
        <v>8320</v>
      </c>
      <c r="I796" s="100"/>
      <c r="J796" s="100" t="s">
        <v>9494</v>
      </c>
      <c r="K796" s="107"/>
    </row>
    <row r="797" ht="15" spans="1:11">
      <c r="A797" s="98" t="s">
        <v>59</v>
      </c>
      <c r="B797" s="99" t="s">
        <v>9652</v>
      </c>
      <c r="C797" s="98" t="s">
        <v>8218</v>
      </c>
      <c r="D797" s="101" t="s">
        <v>4</v>
      </c>
      <c r="E797" s="101" t="s">
        <v>9648</v>
      </c>
      <c r="F797" s="98"/>
      <c r="G797" s="101" t="s">
        <v>353</v>
      </c>
      <c r="H797" s="100" t="s">
        <v>9649</v>
      </c>
      <c r="I797" s="100" t="s">
        <v>9649</v>
      </c>
      <c r="J797" s="100" t="s">
        <v>9494</v>
      </c>
      <c r="K797" s="107"/>
    </row>
    <row r="798" ht="15" spans="1:11">
      <c r="A798" s="98" t="s">
        <v>59</v>
      </c>
      <c r="B798" s="99" t="s">
        <v>9653</v>
      </c>
      <c r="C798" s="98" t="s">
        <v>8218</v>
      </c>
      <c r="D798" s="98"/>
      <c r="E798" s="98" t="s">
        <v>9648</v>
      </c>
      <c r="F798" s="98"/>
      <c r="G798" s="101" t="s">
        <v>353</v>
      </c>
      <c r="H798" s="100"/>
      <c r="I798" s="100"/>
      <c r="J798" s="100"/>
      <c r="K798" s="107"/>
    </row>
    <row r="799" ht="15" spans="1:11">
      <c r="A799" s="98" t="s">
        <v>59</v>
      </c>
      <c r="B799" s="99" t="s">
        <v>9654</v>
      </c>
      <c r="C799" s="98" t="s">
        <v>8229</v>
      </c>
      <c r="D799" s="98"/>
      <c r="E799" s="98" t="s">
        <v>9655</v>
      </c>
      <c r="F799" s="98" t="s">
        <v>9656</v>
      </c>
      <c r="G799" s="101" t="s">
        <v>353</v>
      </c>
      <c r="H799" s="100"/>
      <c r="I799" s="100"/>
      <c r="J799" s="100" t="s">
        <v>8220</v>
      </c>
      <c r="K799" s="107"/>
    </row>
    <row r="800" ht="15" spans="1:11">
      <c r="A800" s="98" t="s">
        <v>59</v>
      </c>
      <c r="B800" s="99" t="s">
        <v>9657</v>
      </c>
      <c r="C800" s="98" t="s">
        <v>8218</v>
      </c>
      <c r="D800" s="101" t="s">
        <v>4</v>
      </c>
      <c r="E800" s="101" t="s">
        <v>9658</v>
      </c>
      <c r="F800" s="98"/>
      <c r="G800" s="101" t="s">
        <v>353</v>
      </c>
      <c r="H800" s="100" t="s">
        <v>9659</v>
      </c>
      <c r="I800" s="100" t="s">
        <v>8215</v>
      </c>
      <c r="J800" s="100" t="s">
        <v>9494</v>
      </c>
      <c r="K800" s="107"/>
    </row>
    <row r="801" ht="15" spans="1:11">
      <c r="A801" s="98" t="s">
        <v>59</v>
      </c>
      <c r="B801" s="99" t="s">
        <v>9660</v>
      </c>
      <c r="C801" s="98" t="s">
        <v>8218</v>
      </c>
      <c r="D801" s="101" t="s">
        <v>4</v>
      </c>
      <c r="E801" s="101" t="s">
        <v>9658</v>
      </c>
      <c r="F801" s="98"/>
      <c r="G801" s="101" t="s">
        <v>353</v>
      </c>
      <c r="H801" s="100" t="s">
        <v>8320</v>
      </c>
      <c r="I801" s="100"/>
      <c r="J801" s="100" t="s">
        <v>9494</v>
      </c>
      <c r="K801" s="107"/>
    </row>
    <row r="802" ht="30" spans="1:11">
      <c r="A802" s="98" t="s">
        <v>59</v>
      </c>
      <c r="B802" s="99" t="s">
        <v>9661</v>
      </c>
      <c r="C802" s="98" t="s">
        <v>8229</v>
      </c>
      <c r="D802" s="98"/>
      <c r="E802" s="98" t="s">
        <v>9662</v>
      </c>
      <c r="F802" s="98"/>
      <c r="G802" s="101" t="s">
        <v>353</v>
      </c>
      <c r="H802" s="100"/>
      <c r="I802" s="100"/>
      <c r="J802" s="100"/>
      <c r="K802" s="107"/>
    </row>
    <row r="803" ht="15" spans="1:11">
      <c r="A803" s="98" t="s">
        <v>59</v>
      </c>
      <c r="B803" s="99" t="s">
        <v>9663</v>
      </c>
      <c r="C803" s="98" t="s">
        <v>8514</v>
      </c>
      <c r="D803" s="98" t="s">
        <v>5</v>
      </c>
      <c r="E803" s="98" t="s">
        <v>9664</v>
      </c>
      <c r="F803" s="98"/>
      <c r="G803" s="98" t="s">
        <v>353</v>
      </c>
      <c r="H803" s="100" t="s">
        <v>8215</v>
      </c>
      <c r="I803" s="100" t="s">
        <v>8215</v>
      </c>
      <c r="J803" s="100"/>
      <c r="K803" s="107"/>
    </row>
    <row r="804" ht="15" spans="1:11">
      <c r="A804" s="98" t="s">
        <v>59</v>
      </c>
      <c r="B804" s="99" t="s">
        <v>9665</v>
      </c>
      <c r="C804" s="98" t="s">
        <v>8229</v>
      </c>
      <c r="D804" s="101" t="s">
        <v>4</v>
      </c>
      <c r="E804" s="101" t="s">
        <v>9666</v>
      </c>
      <c r="F804" s="98"/>
      <c r="G804" s="101" t="s">
        <v>353</v>
      </c>
      <c r="H804" s="100" t="s">
        <v>8320</v>
      </c>
      <c r="I804" s="100" t="s">
        <v>8320</v>
      </c>
      <c r="J804" s="100" t="s">
        <v>9667</v>
      </c>
      <c r="K804" s="107"/>
    </row>
    <row r="805" ht="15" spans="1:11">
      <c r="A805" s="98" t="s">
        <v>59</v>
      </c>
      <c r="B805" s="99" t="s">
        <v>9668</v>
      </c>
      <c r="C805" s="98" t="s">
        <v>8229</v>
      </c>
      <c r="D805" s="101" t="s">
        <v>4</v>
      </c>
      <c r="E805" s="101" t="s">
        <v>9666</v>
      </c>
      <c r="F805" s="98"/>
      <c r="G805" s="101" t="s">
        <v>353</v>
      </c>
      <c r="H805" s="100" t="s">
        <v>8425</v>
      </c>
      <c r="I805" s="100"/>
      <c r="J805" s="100"/>
      <c r="K805" s="107"/>
    </row>
    <row r="806" ht="15" spans="1:11">
      <c r="A806" s="98" t="s">
        <v>59</v>
      </c>
      <c r="B806" s="99" t="s">
        <v>9669</v>
      </c>
      <c r="C806" s="98" t="s">
        <v>8229</v>
      </c>
      <c r="D806" s="101" t="s">
        <v>4</v>
      </c>
      <c r="E806" s="101" t="s">
        <v>9666</v>
      </c>
      <c r="F806" s="98"/>
      <c r="G806" s="101" t="s">
        <v>353</v>
      </c>
      <c r="H806" s="100" t="s">
        <v>8320</v>
      </c>
      <c r="I806" s="100" t="s">
        <v>8320</v>
      </c>
      <c r="J806" s="100" t="s">
        <v>8459</v>
      </c>
      <c r="K806" s="107"/>
    </row>
    <row r="807" ht="15" spans="1:11">
      <c r="A807" s="98" t="s">
        <v>59</v>
      </c>
      <c r="B807" s="99" t="s">
        <v>9670</v>
      </c>
      <c r="C807" s="98" t="s">
        <v>8229</v>
      </c>
      <c r="D807" s="101" t="s">
        <v>4</v>
      </c>
      <c r="E807" s="101" t="s">
        <v>9666</v>
      </c>
      <c r="F807" s="98"/>
      <c r="G807" s="101" t="s">
        <v>353</v>
      </c>
      <c r="H807" s="100" t="s">
        <v>8320</v>
      </c>
      <c r="I807" s="100" t="s">
        <v>8320</v>
      </c>
      <c r="J807" s="100" t="s">
        <v>9494</v>
      </c>
      <c r="K807" s="107"/>
    </row>
    <row r="808" ht="15" spans="1:11">
      <c r="A808" s="98" t="s">
        <v>59</v>
      </c>
      <c r="B808" s="99" t="s">
        <v>9671</v>
      </c>
      <c r="C808" s="98" t="s">
        <v>8229</v>
      </c>
      <c r="D808" s="101" t="s">
        <v>4</v>
      </c>
      <c r="E808" s="101" t="s">
        <v>9666</v>
      </c>
      <c r="F808" s="98"/>
      <c r="G808" s="101" t="s">
        <v>353</v>
      </c>
      <c r="H808" s="100" t="s">
        <v>8320</v>
      </c>
      <c r="I808" s="100" t="s">
        <v>8320</v>
      </c>
      <c r="J808" s="100" t="s">
        <v>9667</v>
      </c>
      <c r="K808" s="107"/>
    </row>
    <row r="809" ht="15" spans="1:11">
      <c r="A809" s="98" t="s">
        <v>59</v>
      </c>
      <c r="B809" s="99" t="s">
        <v>9672</v>
      </c>
      <c r="C809" s="98" t="s">
        <v>8218</v>
      </c>
      <c r="D809" s="101" t="s">
        <v>4</v>
      </c>
      <c r="E809" s="101" t="s">
        <v>9673</v>
      </c>
      <c r="F809" s="101"/>
      <c r="G809" s="101" t="s">
        <v>353</v>
      </c>
      <c r="H809" s="100" t="s">
        <v>8215</v>
      </c>
      <c r="I809" s="100" t="s">
        <v>8215</v>
      </c>
      <c r="J809" s="100" t="s">
        <v>9494</v>
      </c>
      <c r="K809" s="107"/>
    </row>
    <row r="810" ht="15" spans="1:11">
      <c r="A810" s="98" t="s">
        <v>59</v>
      </c>
      <c r="B810" s="99" t="s">
        <v>9674</v>
      </c>
      <c r="C810" s="98" t="s">
        <v>8218</v>
      </c>
      <c r="D810" s="101" t="s">
        <v>4</v>
      </c>
      <c r="E810" s="101" t="s">
        <v>9675</v>
      </c>
      <c r="F810" s="101"/>
      <c r="G810" s="101" t="s">
        <v>353</v>
      </c>
      <c r="H810" s="100" t="s">
        <v>8215</v>
      </c>
      <c r="I810" s="100" t="s">
        <v>8215</v>
      </c>
      <c r="J810" s="100" t="s">
        <v>9494</v>
      </c>
      <c r="K810" s="107"/>
    </row>
    <row r="811" ht="15" spans="1:11">
      <c r="A811" s="98" t="s">
        <v>59</v>
      </c>
      <c r="B811" s="99" t="s">
        <v>9676</v>
      </c>
      <c r="C811" s="98" t="s">
        <v>8218</v>
      </c>
      <c r="D811" s="101" t="s">
        <v>4</v>
      </c>
      <c r="E811" s="101" t="s">
        <v>9677</v>
      </c>
      <c r="F811" s="101"/>
      <c r="G811" s="101" t="s">
        <v>353</v>
      </c>
      <c r="H811" s="100" t="s">
        <v>8215</v>
      </c>
      <c r="I811" s="100"/>
      <c r="J811" s="100" t="s">
        <v>9494</v>
      </c>
      <c r="K811" s="107"/>
    </row>
    <row r="812" ht="15" spans="1:11">
      <c r="A812" s="98" t="s">
        <v>59</v>
      </c>
      <c r="B812" s="100" t="s">
        <v>9678</v>
      </c>
      <c r="C812" s="98" t="s">
        <v>8218</v>
      </c>
      <c r="D812" s="101" t="s">
        <v>4</v>
      </c>
      <c r="E812" s="101" t="s">
        <v>9677</v>
      </c>
      <c r="F812" s="101"/>
      <c r="G812" s="101" t="s">
        <v>353</v>
      </c>
      <c r="H812" s="100" t="s">
        <v>8215</v>
      </c>
      <c r="I812" s="100" t="s">
        <v>8215</v>
      </c>
      <c r="J812" s="100" t="s">
        <v>9494</v>
      </c>
      <c r="K812" s="107"/>
    </row>
    <row r="813" ht="15" spans="1:11">
      <c r="A813" s="98" t="s">
        <v>59</v>
      </c>
      <c r="B813" s="100" t="s">
        <v>9679</v>
      </c>
      <c r="C813" s="98"/>
      <c r="D813" s="101" t="s">
        <v>4</v>
      </c>
      <c r="E813" s="101" t="s">
        <v>9677</v>
      </c>
      <c r="F813" s="101"/>
      <c r="G813" s="101" t="s">
        <v>353</v>
      </c>
      <c r="H813" s="100" t="s">
        <v>8215</v>
      </c>
      <c r="I813" s="100" t="s">
        <v>8215</v>
      </c>
      <c r="J813" s="100" t="s">
        <v>9680</v>
      </c>
      <c r="K813" s="107">
        <v>2024.3</v>
      </c>
    </row>
    <row r="814" ht="15" spans="1:11">
      <c r="A814" s="98" t="s">
        <v>59</v>
      </c>
      <c r="B814" s="99" t="s">
        <v>9681</v>
      </c>
      <c r="C814" s="98" t="s">
        <v>8218</v>
      </c>
      <c r="D814" s="101" t="s">
        <v>4</v>
      </c>
      <c r="E814" s="101" t="s">
        <v>5297</v>
      </c>
      <c r="F814" s="101"/>
      <c r="G814" s="101" t="s">
        <v>353</v>
      </c>
      <c r="H814" s="100" t="s">
        <v>8215</v>
      </c>
      <c r="I814" s="100" t="s">
        <v>8215</v>
      </c>
      <c r="J814" s="100" t="s">
        <v>9494</v>
      </c>
      <c r="K814" s="107"/>
    </row>
    <row r="815" ht="15" spans="1:11">
      <c r="A815" s="98" t="s">
        <v>59</v>
      </c>
      <c r="B815" s="100" t="s">
        <v>9682</v>
      </c>
      <c r="C815" s="98" t="s">
        <v>8218</v>
      </c>
      <c r="D815" s="101" t="s">
        <v>4</v>
      </c>
      <c r="E815" s="101" t="s">
        <v>5297</v>
      </c>
      <c r="F815" s="101"/>
      <c r="G815" s="101" t="s">
        <v>353</v>
      </c>
      <c r="H815" s="100" t="s">
        <v>8215</v>
      </c>
      <c r="I815" s="100"/>
      <c r="J815" s="100" t="s">
        <v>9494</v>
      </c>
      <c r="K815" s="107"/>
    </row>
    <row r="816" s="91" customFormat="1" ht="15" spans="1:11">
      <c r="A816" s="106" t="s">
        <v>59</v>
      </c>
      <c r="B816" s="106" t="s">
        <v>9683</v>
      </c>
      <c r="C816" s="106" t="s">
        <v>8293</v>
      </c>
      <c r="D816" s="106" t="s">
        <v>4</v>
      </c>
      <c r="E816" s="106" t="s">
        <v>9684</v>
      </c>
      <c r="F816" s="106"/>
      <c r="G816" s="106" t="s">
        <v>353</v>
      </c>
      <c r="H816" s="106" t="s">
        <v>8215</v>
      </c>
      <c r="I816" s="106" t="s">
        <v>8685</v>
      </c>
      <c r="J816" s="106" t="s">
        <v>9685</v>
      </c>
      <c r="K816" s="114" t="s">
        <v>9686</v>
      </c>
    </row>
    <row r="817" s="91" customFormat="1" ht="15" spans="1:11">
      <c r="A817" s="106" t="s">
        <v>59</v>
      </c>
      <c r="B817" s="106" t="s">
        <v>9687</v>
      </c>
      <c r="C817" s="106" t="s">
        <v>8293</v>
      </c>
      <c r="D817" s="106" t="s">
        <v>4</v>
      </c>
      <c r="E817" s="106" t="s">
        <v>9648</v>
      </c>
      <c r="F817" s="106"/>
      <c r="G817" s="106" t="s">
        <v>353</v>
      </c>
      <c r="H817" s="106" t="s">
        <v>8215</v>
      </c>
      <c r="I817" s="106" t="s">
        <v>8215</v>
      </c>
      <c r="J817" s="106" t="s">
        <v>8463</v>
      </c>
      <c r="K817" s="114">
        <v>2024.12</v>
      </c>
    </row>
    <row r="818" ht="15" spans="1:11">
      <c r="A818" s="98" t="s">
        <v>61</v>
      </c>
      <c r="B818" s="99" t="s">
        <v>9688</v>
      </c>
      <c r="C818" s="98" t="s">
        <v>8514</v>
      </c>
      <c r="D818" s="101" t="s">
        <v>4</v>
      </c>
      <c r="E818" s="101" t="s">
        <v>9689</v>
      </c>
      <c r="F818" s="98"/>
      <c r="G818" s="101" t="s">
        <v>353</v>
      </c>
      <c r="H818" s="102" t="s">
        <v>8215</v>
      </c>
      <c r="I818" s="102" t="s">
        <v>8215</v>
      </c>
      <c r="J818" s="100" t="s">
        <v>9690</v>
      </c>
      <c r="K818" s="107"/>
    </row>
    <row r="819" s="89" customFormat="1" ht="15" spans="1:255">
      <c r="A819" s="98" t="s">
        <v>61</v>
      </c>
      <c r="B819" s="100" t="s">
        <v>9691</v>
      </c>
      <c r="C819" s="101" t="s">
        <v>8272</v>
      </c>
      <c r="D819" s="101" t="s">
        <v>4</v>
      </c>
      <c r="E819" s="101" t="s">
        <v>9689</v>
      </c>
      <c r="F819" s="101"/>
      <c r="G819" s="101" t="s">
        <v>353</v>
      </c>
      <c r="H819" s="102" t="s">
        <v>8215</v>
      </c>
      <c r="I819" s="102" t="s">
        <v>8215</v>
      </c>
      <c r="J819" s="100" t="s">
        <v>9692</v>
      </c>
      <c r="K819" s="107" t="s">
        <v>8469</v>
      </c>
      <c r="L819" s="90"/>
      <c r="M819" s="90"/>
      <c r="N819" s="90"/>
      <c r="O819" s="90"/>
      <c r="P819" s="90"/>
      <c r="Q819" s="90"/>
      <c r="R819" s="90"/>
      <c r="S819" s="90"/>
      <c r="T819" s="90"/>
      <c r="U819" s="90"/>
      <c r="V819" s="90"/>
      <c r="W819" s="90"/>
      <c r="X819" s="90"/>
      <c r="Y819" s="90"/>
      <c r="Z819" s="90"/>
      <c r="AA819" s="90"/>
      <c r="AB819" s="90"/>
      <c r="AC819" s="90"/>
      <c r="AD819" s="90"/>
      <c r="AE819" s="90"/>
      <c r="AF819" s="90"/>
      <c r="AG819" s="90"/>
      <c r="AH819" s="90"/>
      <c r="AI819" s="90"/>
      <c r="AJ819" s="90"/>
      <c r="AK819" s="90"/>
      <c r="AL819" s="90"/>
      <c r="AM819" s="90"/>
      <c r="AN819" s="90"/>
      <c r="AO819" s="90"/>
      <c r="AP819" s="90"/>
      <c r="AQ819" s="90"/>
      <c r="AR819" s="90"/>
      <c r="AS819" s="90"/>
      <c r="AT819" s="90"/>
      <c r="AU819" s="90"/>
      <c r="AV819" s="90"/>
      <c r="AW819" s="90"/>
      <c r="AX819" s="90"/>
      <c r="AY819" s="90"/>
      <c r="AZ819" s="90"/>
      <c r="BA819" s="90"/>
      <c r="BB819" s="90"/>
      <c r="BC819" s="90"/>
      <c r="BD819" s="90"/>
      <c r="BE819" s="90"/>
      <c r="BF819" s="90"/>
      <c r="BG819" s="90"/>
      <c r="BH819" s="90"/>
      <c r="BI819" s="90"/>
      <c r="BJ819" s="90"/>
      <c r="BK819" s="90"/>
      <c r="BL819" s="90"/>
      <c r="BM819" s="90"/>
      <c r="BN819" s="90"/>
      <c r="BO819" s="90"/>
      <c r="BP819" s="90"/>
      <c r="BQ819" s="90"/>
      <c r="BR819" s="90"/>
      <c r="BS819" s="90"/>
      <c r="BT819" s="90"/>
      <c r="BU819" s="90"/>
      <c r="BV819" s="90"/>
      <c r="BW819" s="90"/>
      <c r="BX819" s="90"/>
      <c r="BY819" s="90"/>
      <c r="BZ819" s="90"/>
      <c r="CA819" s="90"/>
      <c r="CB819" s="90"/>
      <c r="CC819" s="90"/>
      <c r="CD819" s="90"/>
      <c r="CE819" s="90"/>
      <c r="CF819" s="90"/>
      <c r="CG819" s="90"/>
      <c r="CH819" s="90"/>
      <c r="CI819" s="90"/>
      <c r="CJ819" s="90"/>
      <c r="CK819" s="90"/>
      <c r="CL819" s="90"/>
      <c r="CM819" s="90"/>
      <c r="CN819" s="90"/>
      <c r="CO819" s="90"/>
      <c r="CP819" s="90"/>
      <c r="CQ819" s="90"/>
      <c r="CR819" s="90"/>
      <c r="CS819" s="90"/>
      <c r="CT819" s="90"/>
      <c r="CU819" s="90"/>
      <c r="CV819" s="90"/>
      <c r="CW819" s="90"/>
      <c r="CX819" s="90"/>
      <c r="CY819" s="90"/>
      <c r="CZ819" s="90"/>
      <c r="DA819" s="90"/>
      <c r="DB819" s="90"/>
      <c r="DC819" s="90"/>
      <c r="DD819" s="90"/>
      <c r="DE819" s="90"/>
      <c r="DF819" s="90"/>
      <c r="DG819" s="90"/>
      <c r="DH819" s="90"/>
      <c r="DI819" s="90"/>
      <c r="DJ819" s="90"/>
      <c r="DK819" s="90"/>
      <c r="DL819" s="90"/>
      <c r="DM819" s="90"/>
      <c r="DN819" s="90"/>
      <c r="DO819" s="90"/>
      <c r="DP819" s="90"/>
      <c r="DQ819" s="90"/>
      <c r="DR819" s="90"/>
      <c r="DS819" s="90"/>
      <c r="DT819" s="90"/>
      <c r="DU819" s="90"/>
      <c r="DV819" s="90"/>
      <c r="DW819" s="90"/>
      <c r="DX819" s="90"/>
      <c r="DY819" s="90"/>
      <c r="DZ819" s="90"/>
      <c r="EA819" s="90"/>
      <c r="EB819" s="90"/>
      <c r="EC819" s="90"/>
      <c r="ED819" s="90"/>
      <c r="EE819" s="90"/>
      <c r="EF819" s="90"/>
      <c r="EG819" s="90"/>
      <c r="EH819" s="90"/>
      <c r="EI819" s="90"/>
      <c r="EJ819" s="90"/>
      <c r="EK819" s="90"/>
      <c r="EL819" s="90"/>
      <c r="EM819" s="90"/>
      <c r="EN819" s="90"/>
      <c r="EO819" s="90"/>
      <c r="EP819" s="90"/>
      <c r="EQ819" s="90"/>
      <c r="ER819" s="90"/>
      <c r="ES819" s="90"/>
      <c r="ET819" s="90"/>
      <c r="EU819" s="90"/>
      <c r="EV819" s="90"/>
      <c r="EW819" s="90"/>
      <c r="EX819" s="90"/>
      <c r="EY819" s="90"/>
      <c r="EZ819" s="90"/>
      <c r="FA819" s="90"/>
      <c r="FB819" s="90"/>
      <c r="FC819" s="90"/>
      <c r="FD819" s="90"/>
      <c r="FE819" s="90"/>
      <c r="FF819" s="90"/>
      <c r="FG819" s="90"/>
      <c r="FH819" s="90"/>
      <c r="FI819" s="90"/>
      <c r="FJ819" s="90"/>
      <c r="FK819" s="90"/>
      <c r="FL819" s="90"/>
      <c r="FM819" s="90"/>
      <c r="FN819" s="90"/>
      <c r="FO819" s="90"/>
      <c r="FP819" s="90"/>
      <c r="FQ819" s="90"/>
      <c r="FR819" s="90"/>
      <c r="FS819" s="90"/>
      <c r="FT819" s="90"/>
      <c r="FU819" s="90"/>
      <c r="FV819" s="90"/>
      <c r="FW819" s="90"/>
      <c r="FX819" s="90"/>
      <c r="FY819" s="90"/>
      <c r="FZ819" s="90"/>
      <c r="GA819" s="90"/>
      <c r="GB819" s="90"/>
      <c r="GC819" s="90"/>
      <c r="GD819" s="90"/>
      <c r="GE819" s="90"/>
      <c r="GF819" s="90"/>
      <c r="GG819" s="90"/>
      <c r="GH819" s="90"/>
      <c r="GI819" s="90"/>
      <c r="GJ819" s="90"/>
      <c r="GK819" s="90"/>
      <c r="GL819" s="90"/>
      <c r="GM819" s="90"/>
      <c r="GN819" s="90"/>
      <c r="GO819" s="90"/>
      <c r="GP819" s="90"/>
      <c r="GQ819" s="90"/>
      <c r="GR819" s="90"/>
      <c r="GS819" s="90"/>
      <c r="GT819" s="90"/>
      <c r="GU819" s="90"/>
      <c r="GV819" s="90"/>
      <c r="GW819" s="90"/>
      <c r="GX819" s="90"/>
      <c r="GY819" s="90"/>
      <c r="GZ819" s="90"/>
      <c r="HA819" s="90"/>
      <c r="HB819" s="90"/>
      <c r="HC819" s="90"/>
      <c r="HD819" s="90"/>
      <c r="HE819" s="90"/>
      <c r="HF819" s="90"/>
      <c r="HG819" s="90"/>
      <c r="HH819" s="90"/>
      <c r="HI819" s="90"/>
      <c r="HJ819" s="90"/>
      <c r="HK819" s="90"/>
      <c r="HL819" s="90"/>
      <c r="HM819" s="90"/>
      <c r="HN819" s="90"/>
      <c r="HO819" s="90"/>
      <c r="HP819" s="90"/>
      <c r="HQ819" s="90"/>
      <c r="HR819" s="90"/>
      <c r="HS819" s="90"/>
      <c r="HT819" s="90"/>
      <c r="HU819" s="90"/>
      <c r="HV819" s="90"/>
      <c r="HW819" s="90"/>
      <c r="HX819" s="90"/>
      <c r="HY819" s="90"/>
      <c r="HZ819" s="90"/>
      <c r="IA819" s="90"/>
      <c r="IB819" s="90"/>
      <c r="IC819" s="90"/>
      <c r="ID819" s="90"/>
      <c r="IE819" s="90"/>
      <c r="IF819" s="90"/>
      <c r="IG819" s="90"/>
      <c r="IH819" s="90"/>
      <c r="II819" s="90"/>
      <c r="IJ819" s="90"/>
      <c r="IK819" s="90"/>
      <c r="IL819" s="90"/>
      <c r="IM819" s="90"/>
      <c r="IN819" s="90"/>
      <c r="IO819" s="90"/>
      <c r="IP819" s="90"/>
      <c r="IQ819" s="90"/>
      <c r="IR819" s="90"/>
      <c r="IS819" s="90"/>
      <c r="IT819" s="90"/>
      <c r="IU819" s="90"/>
    </row>
    <row r="820" ht="15" spans="1:11">
      <c r="A820" s="98" t="s">
        <v>61</v>
      </c>
      <c r="B820" s="100" t="s">
        <v>9693</v>
      </c>
      <c r="C820" s="101" t="s">
        <v>8240</v>
      </c>
      <c r="D820" s="101" t="s">
        <v>4</v>
      </c>
      <c r="E820" s="101" t="s">
        <v>9694</v>
      </c>
      <c r="F820" s="101"/>
      <c r="G820" s="101" t="s">
        <v>353</v>
      </c>
      <c r="H820" s="102" t="s">
        <v>8215</v>
      </c>
      <c r="I820" s="102" t="s">
        <v>8215</v>
      </c>
      <c r="J820" s="100" t="s">
        <v>9695</v>
      </c>
      <c r="K820" s="107"/>
    </row>
    <row r="821" ht="15" spans="1:11">
      <c r="A821" s="98" t="s">
        <v>61</v>
      </c>
      <c r="B821" s="119" t="s">
        <v>9696</v>
      </c>
      <c r="C821" s="101" t="s">
        <v>8240</v>
      </c>
      <c r="D821" s="98" t="s">
        <v>4</v>
      </c>
      <c r="E821" s="98" t="s">
        <v>9697</v>
      </c>
      <c r="F821" s="98"/>
      <c r="G821" s="98" t="s">
        <v>353</v>
      </c>
      <c r="H821" s="102" t="s">
        <v>8215</v>
      </c>
      <c r="I821" s="102" t="s">
        <v>8215</v>
      </c>
      <c r="J821" s="100" t="s">
        <v>9698</v>
      </c>
      <c r="K821" s="107"/>
    </row>
    <row r="822" s="93" customFormat="1" ht="30" spans="1:256">
      <c r="A822" s="99" t="s">
        <v>61</v>
      </c>
      <c r="B822" s="99" t="s">
        <v>9699</v>
      </c>
      <c r="C822" s="99" t="s">
        <v>8272</v>
      </c>
      <c r="D822" s="99" t="s">
        <v>4</v>
      </c>
      <c r="E822" s="99" t="s">
        <v>9700</v>
      </c>
      <c r="F822" s="99"/>
      <c r="G822" s="99" t="s">
        <v>353</v>
      </c>
      <c r="H822" s="99" t="s">
        <v>8215</v>
      </c>
      <c r="I822" s="99" t="s">
        <v>8215</v>
      </c>
      <c r="J822" s="99" t="s">
        <v>9701</v>
      </c>
      <c r="K822" s="99" t="s">
        <v>9110</v>
      </c>
      <c r="L822" s="126"/>
      <c r="M822" s="127"/>
      <c r="N822" s="127"/>
      <c r="O822" s="127"/>
      <c r="P822" s="127"/>
      <c r="Q822" s="127"/>
      <c r="R822" s="127"/>
      <c r="S822" s="127"/>
      <c r="T822" s="127"/>
      <c r="U822" s="127"/>
      <c r="V822" s="127"/>
      <c r="W822" s="127"/>
      <c r="X822" s="127"/>
      <c r="Y822" s="127"/>
      <c r="Z822" s="127"/>
      <c r="AA822" s="127"/>
      <c r="AB822" s="127"/>
      <c r="AC822" s="127"/>
      <c r="AD822" s="127"/>
      <c r="AE822" s="127"/>
      <c r="AF822" s="127"/>
      <c r="AG822" s="127"/>
      <c r="AH822" s="127"/>
      <c r="AI822" s="127"/>
      <c r="AJ822" s="127"/>
      <c r="AK822" s="127"/>
      <c r="AL822" s="127"/>
      <c r="AM822" s="127"/>
      <c r="AN822" s="127"/>
      <c r="AO822" s="127"/>
      <c r="AP822" s="127"/>
      <c r="AQ822" s="127"/>
      <c r="AR822" s="127"/>
      <c r="AS822" s="127"/>
      <c r="AT822" s="127"/>
      <c r="AU822" s="127"/>
      <c r="AV822" s="127"/>
      <c r="AW822" s="127"/>
      <c r="AX822" s="127"/>
      <c r="AY822" s="127"/>
      <c r="AZ822" s="127"/>
      <c r="BA822" s="127"/>
      <c r="BB822" s="127"/>
      <c r="BC822" s="127"/>
      <c r="BD822" s="127"/>
      <c r="BE822" s="127"/>
      <c r="BF822" s="127"/>
      <c r="BG822" s="127"/>
      <c r="BH822" s="127"/>
      <c r="BI822" s="127"/>
      <c r="BJ822" s="127"/>
      <c r="BK822" s="127"/>
      <c r="BL822" s="127"/>
      <c r="BM822" s="127"/>
      <c r="BN822" s="127"/>
      <c r="BO822" s="127"/>
      <c r="BP822" s="127"/>
      <c r="BQ822" s="127"/>
      <c r="BR822" s="127"/>
      <c r="BS822" s="127"/>
      <c r="BT822" s="127"/>
      <c r="BU822" s="127"/>
      <c r="BV822" s="127"/>
      <c r="BW822" s="127"/>
      <c r="BX822" s="127"/>
      <c r="BY822" s="127"/>
      <c r="BZ822" s="127"/>
      <c r="CA822" s="127"/>
      <c r="CB822" s="127"/>
      <c r="CC822" s="127"/>
      <c r="CD822" s="127"/>
      <c r="CE822" s="127"/>
      <c r="CF822" s="127"/>
      <c r="CG822" s="127"/>
      <c r="CH822" s="127"/>
      <c r="CI822" s="127"/>
      <c r="CJ822" s="127"/>
      <c r="CK822" s="127"/>
      <c r="CL822" s="127"/>
      <c r="CM822" s="127"/>
      <c r="CN822" s="127"/>
      <c r="CO822" s="127"/>
      <c r="CP822" s="127"/>
      <c r="CQ822" s="127"/>
      <c r="CR822" s="127"/>
      <c r="CS822" s="127"/>
      <c r="CT822" s="127"/>
      <c r="CU822" s="127"/>
      <c r="CV822" s="127"/>
      <c r="CW822" s="127"/>
      <c r="CX822" s="127"/>
      <c r="CY822" s="127"/>
      <c r="CZ822" s="127"/>
      <c r="DA822" s="127"/>
      <c r="DB822" s="127"/>
      <c r="DC822" s="127"/>
      <c r="DD822" s="127"/>
      <c r="DE822" s="127"/>
      <c r="DF822" s="127"/>
      <c r="DG822" s="127"/>
      <c r="DH822" s="127"/>
      <c r="DI822" s="127"/>
      <c r="DJ822" s="127"/>
      <c r="DK822" s="127"/>
      <c r="DL822" s="127"/>
      <c r="DM822" s="127"/>
      <c r="DN822" s="127"/>
      <c r="DO822" s="127"/>
      <c r="DP822" s="127"/>
      <c r="DQ822" s="127"/>
      <c r="DR822" s="127"/>
      <c r="DS822" s="127"/>
      <c r="DT822" s="127"/>
      <c r="DU822" s="127"/>
      <c r="DV822" s="127"/>
      <c r="DW822" s="127"/>
      <c r="DX822" s="127"/>
      <c r="DY822" s="127"/>
      <c r="DZ822" s="127"/>
      <c r="EA822" s="127"/>
      <c r="EB822" s="127"/>
      <c r="EC822" s="127"/>
      <c r="ED822" s="127"/>
      <c r="EE822" s="127"/>
      <c r="EF822" s="127"/>
      <c r="EG822" s="127"/>
      <c r="EH822" s="127"/>
      <c r="EI822" s="127"/>
      <c r="EJ822" s="127"/>
      <c r="EK822" s="127"/>
      <c r="EL822" s="127"/>
      <c r="EM822" s="127"/>
      <c r="EN822" s="127"/>
      <c r="EO822" s="127"/>
      <c r="EP822" s="127"/>
      <c r="EQ822" s="127"/>
      <c r="ER822" s="127"/>
      <c r="ES822" s="127"/>
      <c r="ET822" s="127"/>
      <c r="EU822" s="127"/>
      <c r="EV822" s="127"/>
      <c r="EW822" s="127"/>
      <c r="EX822" s="127"/>
      <c r="EY822" s="127"/>
      <c r="EZ822" s="127"/>
      <c r="FA822" s="127"/>
      <c r="FB822" s="127"/>
      <c r="FC822" s="127"/>
      <c r="FD822" s="127"/>
      <c r="FE822" s="127"/>
      <c r="FF822" s="127"/>
      <c r="FG822" s="127"/>
      <c r="FH822" s="127"/>
      <c r="FI822" s="127"/>
      <c r="FJ822" s="127"/>
      <c r="FK822" s="127"/>
      <c r="FL822" s="127"/>
      <c r="FM822" s="127"/>
      <c r="FN822" s="127"/>
      <c r="FO822" s="127"/>
      <c r="FP822" s="127"/>
      <c r="FQ822" s="127"/>
      <c r="FR822" s="127"/>
      <c r="FS822" s="127"/>
      <c r="FT822" s="127"/>
      <c r="FU822" s="127"/>
      <c r="FV822" s="127"/>
      <c r="FW822" s="127"/>
      <c r="FX822" s="127"/>
      <c r="FY822" s="127"/>
      <c r="FZ822" s="127"/>
      <c r="GA822" s="127"/>
      <c r="GB822" s="127"/>
      <c r="GC822" s="127"/>
      <c r="GD822" s="127"/>
      <c r="GE822" s="127"/>
      <c r="GF822" s="127"/>
      <c r="GG822" s="127"/>
      <c r="GH822" s="127"/>
      <c r="GI822" s="127"/>
      <c r="GJ822" s="127"/>
      <c r="GK822" s="127"/>
      <c r="GL822" s="127"/>
      <c r="GM822" s="127"/>
      <c r="GN822" s="127"/>
      <c r="GO822" s="127"/>
      <c r="GP822" s="127"/>
      <c r="GQ822" s="127"/>
      <c r="GR822" s="127"/>
      <c r="GS822" s="127"/>
      <c r="GT822" s="127"/>
      <c r="GU822" s="127"/>
      <c r="GV822" s="127"/>
      <c r="GW822" s="127"/>
      <c r="GX822" s="127"/>
      <c r="GY822" s="127"/>
      <c r="GZ822" s="127"/>
      <c r="HA822" s="127"/>
      <c r="HB822" s="127"/>
      <c r="HC822" s="127"/>
      <c r="HD822" s="127"/>
      <c r="HE822" s="127"/>
      <c r="HF822" s="127"/>
      <c r="HG822" s="127"/>
      <c r="HH822" s="127"/>
      <c r="HI822" s="127"/>
      <c r="HJ822" s="127"/>
      <c r="HK822" s="127"/>
      <c r="HL822" s="127"/>
      <c r="HM822" s="127"/>
      <c r="HN822" s="127"/>
      <c r="HO822" s="127"/>
      <c r="HP822" s="127"/>
      <c r="HQ822" s="127"/>
      <c r="HR822" s="127"/>
      <c r="HS822" s="127"/>
      <c r="HT822" s="127"/>
      <c r="HU822" s="127"/>
      <c r="HV822" s="127"/>
      <c r="HW822" s="127"/>
      <c r="HX822" s="127"/>
      <c r="HY822" s="127"/>
      <c r="HZ822" s="127"/>
      <c r="IA822" s="127"/>
      <c r="IB822" s="127"/>
      <c r="IC822" s="127"/>
      <c r="ID822" s="127"/>
      <c r="IE822" s="127"/>
      <c r="IF822" s="127"/>
      <c r="IG822" s="127"/>
      <c r="IH822" s="127"/>
      <c r="II822" s="127"/>
      <c r="IJ822" s="127"/>
      <c r="IK822" s="127"/>
      <c r="IL822" s="127"/>
      <c r="IM822" s="127"/>
      <c r="IN822" s="127"/>
      <c r="IO822" s="127"/>
      <c r="IP822" s="127"/>
      <c r="IQ822" s="127"/>
      <c r="IR822" s="127"/>
      <c r="IS822" s="127"/>
      <c r="IT822" s="127"/>
      <c r="IU822" s="127"/>
      <c r="IV822" s="127"/>
    </row>
    <row r="823" ht="15" spans="1:11">
      <c r="A823" s="98" t="s">
        <v>61</v>
      </c>
      <c r="B823" s="119" t="s">
        <v>9702</v>
      </c>
      <c r="C823" s="98" t="s">
        <v>9590</v>
      </c>
      <c r="D823" s="98" t="s">
        <v>4</v>
      </c>
      <c r="E823" s="98" t="s">
        <v>9703</v>
      </c>
      <c r="F823" s="98"/>
      <c r="G823" s="98" t="s">
        <v>353</v>
      </c>
      <c r="H823" s="133"/>
      <c r="I823" s="133"/>
      <c r="J823" s="100" t="s">
        <v>9704</v>
      </c>
      <c r="K823" s="107"/>
    </row>
    <row r="824" ht="15" spans="1:11">
      <c r="A824" s="98" t="s">
        <v>61</v>
      </c>
      <c r="B824" s="99" t="s">
        <v>9705</v>
      </c>
      <c r="C824" s="98" t="s">
        <v>8514</v>
      </c>
      <c r="D824" s="98" t="s">
        <v>4</v>
      </c>
      <c r="E824" s="98" t="s">
        <v>9706</v>
      </c>
      <c r="F824" s="98"/>
      <c r="G824" s="98" t="s">
        <v>209</v>
      </c>
      <c r="H824" s="118" t="s">
        <v>8326</v>
      </c>
      <c r="I824" s="100" t="s">
        <v>8215</v>
      </c>
      <c r="J824" s="100" t="s">
        <v>9707</v>
      </c>
      <c r="K824" s="107"/>
    </row>
    <row r="825" ht="15" spans="1:11">
      <c r="A825" s="98" t="s">
        <v>61</v>
      </c>
      <c r="B825" s="99" t="s">
        <v>9708</v>
      </c>
      <c r="C825" s="98" t="s">
        <v>9590</v>
      </c>
      <c r="D825" s="98" t="s">
        <v>4</v>
      </c>
      <c r="E825" s="98" t="s">
        <v>9709</v>
      </c>
      <c r="F825" s="98"/>
      <c r="G825" s="98" t="s">
        <v>353</v>
      </c>
      <c r="H825" s="118"/>
      <c r="I825" s="100"/>
      <c r="J825" s="100" t="s">
        <v>9710</v>
      </c>
      <c r="K825" s="107"/>
    </row>
    <row r="826" ht="15" spans="1:11">
      <c r="A826" s="98" t="s">
        <v>61</v>
      </c>
      <c r="B826" s="99" t="s">
        <v>9711</v>
      </c>
      <c r="C826" s="98" t="s">
        <v>9590</v>
      </c>
      <c r="D826" s="98" t="s">
        <v>4</v>
      </c>
      <c r="E826" s="98" t="s">
        <v>9712</v>
      </c>
      <c r="F826" s="98"/>
      <c r="G826" s="98" t="s">
        <v>353</v>
      </c>
      <c r="H826" s="118"/>
      <c r="I826" s="100"/>
      <c r="J826" s="100" t="s">
        <v>9713</v>
      </c>
      <c r="K826" s="107"/>
    </row>
    <row r="827" s="91" customFormat="1" ht="15" spans="1:11">
      <c r="A827" s="129" t="s">
        <v>61</v>
      </c>
      <c r="B827" s="129" t="s">
        <v>9714</v>
      </c>
      <c r="C827" s="129" t="s">
        <v>8272</v>
      </c>
      <c r="D827" s="129" t="s">
        <v>4</v>
      </c>
      <c r="E827" s="129" t="s">
        <v>9712</v>
      </c>
      <c r="F827" s="129"/>
      <c r="G827" s="129" t="s">
        <v>353</v>
      </c>
      <c r="H827" s="130" t="s">
        <v>9715</v>
      </c>
      <c r="I827" s="130" t="s">
        <v>9485</v>
      </c>
      <c r="J827" s="130" t="s">
        <v>9716</v>
      </c>
      <c r="K827" s="114" t="s">
        <v>9717</v>
      </c>
    </row>
    <row r="828" ht="15" spans="1:11">
      <c r="A828" s="98" t="s">
        <v>61</v>
      </c>
      <c r="B828" s="99" t="s">
        <v>9718</v>
      </c>
      <c r="C828" s="98" t="s">
        <v>9590</v>
      </c>
      <c r="D828" s="98" t="s">
        <v>5</v>
      </c>
      <c r="E828" s="98" t="s">
        <v>9719</v>
      </c>
      <c r="F828" s="98"/>
      <c r="G828" s="98" t="s">
        <v>353</v>
      </c>
      <c r="H828" s="118" t="s">
        <v>8252</v>
      </c>
      <c r="I828" s="100" t="s">
        <v>8326</v>
      </c>
      <c r="J828" s="100" t="s">
        <v>9016</v>
      </c>
      <c r="K828" s="107"/>
    </row>
    <row r="829" ht="15" spans="1:11">
      <c r="A829" s="98" t="s">
        <v>61</v>
      </c>
      <c r="B829" s="99" t="s">
        <v>9720</v>
      </c>
      <c r="C829" s="98" t="s">
        <v>9590</v>
      </c>
      <c r="D829" s="98" t="s">
        <v>4</v>
      </c>
      <c r="E829" s="98" t="s">
        <v>9721</v>
      </c>
      <c r="F829" s="98"/>
      <c r="G829" s="98" t="s">
        <v>117</v>
      </c>
      <c r="H829" s="100" t="s">
        <v>8215</v>
      </c>
      <c r="I829" s="100" t="s">
        <v>8215</v>
      </c>
      <c r="J829" s="100" t="s">
        <v>8667</v>
      </c>
      <c r="K829" s="107"/>
    </row>
    <row r="830" s="90" customFormat="1" ht="15" spans="1:11">
      <c r="A830" s="98" t="s">
        <v>61</v>
      </c>
      <c r="B830" s="99" t="s">
        <v>9722</v>
      </c>
      <c r="C830" s="98" t="s">
        <v>8293</v>
      </c>
      <c r="D830" s="98" t="s">
        <v>4</v>
      </c>
      <c r="E830" s="98" t="s">
        <v>8745</v>
      </c>
      <c r="F830" s="98"/>
      <c r="G830" s="98" t="s">
        <v>117</v>
      </c>
      <c r="H830" s="100" t="s">
        <v>8215</v>
      </c>
      <c r="I830" s="100" t="s">
        <v>8215</v>
      </c>
      <c r="J830" s="100" t="s">
        <v>9723</v>
      </c>
      <c r="K830" s="107">
        <v>2024.5</v>
      </c>
    </row>
    <row r="831" ht="15" spans="1:11">
      <c r="A831" s="98" t="s">
        <v>61</v>
      </c>
      <c r="B831" s="99" t="s">
        <v>9724</v>
      </c>
      <c r="C831" s="98" t="s">
        <v>8514</v>
      </c>
      <c r="D831" s="98" t="s">
        <v>4</v>
      </c>
      <c r="E831" s="98" t="s">
        <v>9725</v>
      </c>
      <c r="F831" s="98"/>
      <c r="G831" s="98" t="s">
        <v>117</v>
      </c>
      <c r="H831" s="100" t="s">
        <v>8215</v>
      </c>
      <c r="I831" s="100" t="s">
        <v>8215</v>
      </c>
      <c r="J831" s="100" t="s">
        <v>8463</v>
      </c>
      <c r="K831" s="107">
        <v>2023.3</v>
      </c>
    </row>
    <row r="832" ht="15" spans="1:11">
      <c r="A832" s="98" t="s">
        <v>61</v>
      </c>
      <c r="B832" s="99" t="s">
        <v>9726</v>
      </c>
      <c r="C832" s="98" t="s">
        <v>8272</v>
      </c>
      <c r="D832" s="98" t="s">
        <v>4</v>
      </c>
      <c r="E832" s="98" t="s">
        <v>9725</v>
      </c>
      <c r="F832" s="98"/>
      <c r="G832" s="98" t="s">
        <v>117</v>
      </c>
      <c r="H832" s="120" t="s">
        <v>8215</v>
      </c>
      <c r="I832" s="100" t="s">
        <v>8215</v>
      </c>
      <c r="J832" s="100" t="s">
        <v>8888</v>
      </c>
      <c r="K832" s="107">
        <v>2025.4</v>
      </c>
    </row>
    <row r="833" s="90" customFormat="1" ht="15" spans="1:11">
      <c r="A833" s="98" t="s">
        <v>61</v>
      </c>
      <c r="B833" s="99" t="s">
        <v>9727</v>
      </c>
      <c r="C833" s="98" t="s">
        <v>8293</v>
      </c>
      <c r="D833" s="101" t="s">
        <v>4</v>
      </c>
      <c r="E833" s="101" t="s">
        <v>9728</v>
      </c>
      <c r="F833" s="98"/>
      <c r="G833" s="98" t="s">
        <v>117</v>
      </c>
      <c r="H833" s="100" t="s">
        <v>8215</v>
      </c>
      <c r="I833" s="100" t="s">
        <v>8215</v>
      </c>
      <c r="J833" s="100" t="s">
        <v>8459</v>
      </c>
      <c r="K833" s="107">
        <v>2024.6</v>
      </c>
    </row>
    <row r="834" s="90" customFormat="1" ht="15" spans="1:11">
      <c r="A834" s="98" t="s">
        <v>61</v>
      </c>
      <c r="B834" s="99" t="s">
        <v>9729</v>
      </c>
      <c r="C834" s="98" t="s">
        <v>8272</v>
      </c>
      <c r="D834" s="101" t="s">
        <v>4</v>
      </c>
      <c r="E834" s="101" t="s">
        <v>8914</v>
      </c>
      <c r="F834" s="98"/>
      <c r="G834" s="98" t="s">
        <v>117</v>
      </c>
      <c r="H834" s="120" t="s">
        <v>8215</v>
      </c>
      <c r="I834" s="100" t="s">
        <v>8215</v>
      </c>
      <c r="J834" s="100" t="s">
        <v>9130</v>
      </c>
      <c r="K834" s="107">
        <v>2025.4</v>
      </c>
    </row>
    <row r="835" ht="15" spans="1:11">
      <c r="A835" s="98" t="s">
        <v>61</v>
      </c>
      <c r="B835" s="99" t="s">
        <v>9730</v>
      </c>
      <c r="C835" s="98" t="s">
        <v>9590</v>
      </c>
      <c r="D835" s="98" t="s">
        <v>4</v>
      </c>
      <c r="E835" s="98" t="s">
        <v>9731</v>
      </c>
      <c r="F835" s="98"/>
      <c r="G835" s="98" t="s">
        <v>117</v>
      </c>
      <c r="H835" s="120" t="s">
        <v>8215</v>
      </c>
      <c r="I835" s="100" t="s">
        <v>8215</v>
      </c>
      <c r="J835" s="100" t="s">
        <v>8463</v>
      </c>
      <c r="K835" s="107"/>
    </row>
    <row r="836" s="91" customFormat="1" ht="15" spans="1:11">
      <c r="A836" s="106" t="s">
        <v>61</v>
      </c>
      <c r="B836" s="106" t="s">
        <v>9732</v>
      </c>
      <c r="C836" s="106" t="s">
        <v>8293</v>
      </c>
      <c r="D836" s="106" t="s">
        <v>4</v>
      </c>
      <c r="E836" s="106" t="s">
        <v>9731</v>
      </c>
      <c r="F836" s="106"/>
      <c r="G836" s="106" t="s">
        <v>117</v>
      </c>
      <c r="H836" s="106" t="s">
        <v>8215</v>
      </c>
      <c r="I836" s="106" t="s">
        <v>8215</v>
      </c>
      <c r="J836" s="106" t="s">
        <v>8459</v>
      </c>
      <c r="K836" s="106">
        <v>2024.9</v>
      </c>
    </row>
    <row r="837" s="91" customFormat="1" ht="15" spans="1:11">
      <c r="A837" s="106" t="s">
        <v>61</v>
      </c>
      <c r="B837" s="106" t="s">
        <v>9733</v>
      </c>
      <c r="C837" s="106" t="s">
        <v>8293</v>
      </c>
      <c r="D837" s="106" t="s">
        <v>4</v>
      </c>
      <c r="E837" s="106" t="s">
        <v>9734</v>
      </c>
      <c r="F837" s="106"/>
      <c r="G837" s="106" t="s">
        <v>117</v>
      </c>
      <c r="H837" s="106" t="s">
        <v>8215</v>
      </c>
      <c r="I837" s="106" t="s">
        <v>8215</v>
      </c>
      <c r="J837" s="106" t="s">
        <v>8459</v>
      </c>
      <c r="K837" s="106">
        <v>2024.9</v>
      </c>
    </row>
    <row r="838" s="90" customFormat="1" ht="15" spans="1:11">
      <c r="A838" s="98" t="s">
        <v>61</v>
      </c>
      <c r="B838" s="99" t="s">
        <v>9735</v>
      </c>
      <c r="C838" s="101" t="s">
        <v>8293</v>
      </c>
      <c r="D838" s="98" t="s">
        <v>4</v>
      </c>
      <c r="E838" s="98" t="s">
        <v>9736</v>
      </c>
      <c r="F838" s="98"/>
      <c r="G838" s="98" t="s">
        <v>117</v>
      </c>
      <c r="H838" s="100" t="s">
        <v>8215</v>
      </c>
      <c r="I838" s="100" t="s">
        <v>8215</v>
      </c>
      <c r="J838" s="100" t="s">
        <v>8725</v>
      </c>
      <c r="K838" s="107">
        <v>2024.4</v>
      </c>
    </row>
    <row r="839" s="89" customFormat="1" ht="15" spans="1:11">
      <c r="A839" s="106" t="s">
        <v>61</v>
      </c>
      <c r="B839" s="106" t="s">
        <v>9737</v>
      </c>
      <c r="C839" s="106" t="s">
        <v>8293</v>
      </c>
      <c r="D839" s="106" t="s">
        <v>4</v>
      </c>
      <c r="E839" s="106" t="s">
        <v>9738</v>
      </c>
      <c r="F839" s="106"/>
      <c r="G839" s="106" t="s">
        <v>117</v>
      </c>
      <c r="H839" s="100" t="s">
        <v>8215</v>
      </c>
      <c r="I839" s="100" t="s">
        <v>8215</v>
      </c>
      <c r="J839" s="106" t="s">
        <v>8910</v>
      </c>
      <c r="K839" s="114" t="s">
        <v>8308</v>
      </c>
    </row>
    <row r="840" s="91" customFormat="1" ht="15" spans="1:11">
      <c r="A840" s="106" t="s">
        <v>61</v>
      </c>
      <c r="B840" s="106" t="s">
        <v>9739</v>
      </c>
      <c r="C840" s="106" t="s">
        <v>8293</v>
      </c>
      <c r="D840" s="106" t="s">
        <v>4</v>
      </c>
      <c r="E840" s="106" t="s">
        <v>9740</v>
      </c>
      <c r="F840" s="106"/>
      <c r="G840" s="106" t="s">
        <v>117</v>
      </c>
      <c r="H840" s="100" t="s">
        <v>8215</v>
      </c>
      <c r="I840" s="100" t="s">
        <v>8215</v>
      </c>
      <c r="J840" s="106" t="s">
        <v>8910</v>
      </c>
      <c r="K840" s="114" t="s">
        <v>8311</v>
      </c>
    </row>
    <row r="841" s="91" customFormat="1" ht="15" spans="1:11">
      <c r="A841" s="106" t="s">
        <v>61</v>
      </c>
      <c r="B841" s="106" t="s">
        <v>9741</v>
      </c>
      <c r="C841" s="106" t="s">
        <v>8293</v>
      </c>
      <c r="D841" s="106" t="s">
        <v>4</v>
      </c>
      <c r="E841" s="106" t="s">
        <v>9742</v>
      </c>
      <c r="F841" s="106"/>
      <c r="G841" s="106" t="s">
        <v>353</v>
      </c>
      <c r="H841" s="106" t="s">
        <v>8215</v>
      </c>
      <c r="I841" s="106" t="s">
        <v>8215</v>
      </c>
      <c r="J841" s="106" t="s">
        <v>9695</v>
      </c>
      <c r="K841" s="114" t="s">
        <v>8311</v>
      </c>
    </row>
    <row r="842" s="91" customFormat="1" ht="15" spans="1:11">
      <c r="A842" s="106" t="s">
        <v>61</v>
      </c>
      <c r="B842" s="106" t="s">
        <v>9743</v>
      </c>
      <c r="C842" s="106" t="s">
        <v>8293</v>
      </c>
      <c r="D842" s="106" t="s">
        <v>4</v>
      </c>
      <c r="E842" s="106" t="s">
        <v>9744</v>
      </c>
      <c r="F842" s="106"/>
      <c r="G842" s="106" t="s">
        <v>353</v>
      </c>
      <c r="H842" s="106" t="s">
        <v>8215</v>
      </c>
      <c r="I842" s="106" t="s">
        <v>8215</v>
      </c>
      <c r="J842" s="106" t="s">
        <v>9337</v>
      </c>
      <c r="K842" s="114" t="s">
        <v>8311</v>
      </c>
    </row>
    <row r="843" s="91" customFormat="1" ht="15" spans="1:11">
      <c r="A843" s="106" t="s">
        <v>61</v>
      </c>
      <c r="B843" s="106" t="s">
        <v>9745</v>
      </c>
      <c r="C843" s="106" t="s">
        <v>8293</v>
      </c>
      <c r="D843" s="106" t="s">
        <v>4</v>
      </c>
      <c r="E843" s="106" t="s">
        <v>9746</v>
      </c>
      <c r="F843" s="106"/>
      <c r="G843" s="106" t="s">
        <v>353</v>
      </c>
      <c r="H843" s="106" t="s">
        <v>8215</v>
      </c>
      <c r="I843" s="106" t="s">
        <v>8215</v>
      </c>
      <c r="J843" s="106" t="s">
        <v>9747</v>
      </c>
      <c r="K843" s="114" t="s">
        <v>8311</v>
      </c>
    </row>
    <row r="844" s="89" customFormat="1" ht="15" spans="1:255">
      <c r="A844" s="106" t="s">
        <v>61</v>
      </c>
      <c r="B844" s="99" t="s">
        <v>9748</v>
      </c>
      <c r="C844" s="98" t="s">
        <v>8272</v>
      </c>
      <c r="D844" s="101" t="s">
        <v>4</v>
      </c>
      <c r="E844" s="101" t="s">
        <v>8857</v>
      </c>
      <c r="F844" s="98"/>
      <c r="G844" s="98" t="s">
        <v>117</v>
      </c>
      <c r="H844" s="123" t="s">
        <v>8215</v>
      </c>
      <c r="I844" s="100" t="s">
        <v>8215</v>
      </c>
      <c r="J844" s="100" t="s">
        <v>9605</v>
      </c>
      <c r="K844" s="107" t="s">
        <v>9749</v>
      </c>
      <c r="L844" s="90"/>
      <c r="M844" s="90"/>
      <c r="N844" s="90"/>
      <c r="O844" s="90"/>
      <c r="P844" s="90"/>
      <c r="Q844" s="90"/>
      <c r="R844" s="90"/>
      <c r="S844" s="90"/>
      <c r="T844" s="90"/>
      <c r="U844" s="90"/>
      <c r="V844" s="90"/>
      <c r="W844" s="90"/>
      <c r="X844" s="90"/>
      <c r="Y844" s="90"/>
      <c r="Z844" s="90"/>
      <c r="AA844" s="90"/>
      <c r="AB844" s="90"/>
      <c r="AC844" s="90"/>
      <c r="AD844" s="90"/>
      <c r="AE844" s="90"/>
      <c r="AF844" s="90"/>
      <c r="AG844" s="90"/>
      <c r="AH844" s="90"/>
      <c r="AI844" s="90"/>
      <c r="AJ844" s="90"/>
      <c r="AK844" s="90"/>
      <c r="AL844" s="90"/>
      <c r="AM844" s="90"/>
      <c r="AN844" s="90"/>
      <c r="AO844" s="90"/>
      <c r="AP844" s="90"/>
      <c r="AQ844" s="90"/>
      <c r="AR844" s="90"/>
      <c r="AS844" s="90"/>
      <c r="AT844" s="90"/>
      <c r="AU844" s="90"/>
      <c r="AV844" s="90"/>
      <c r="AW844" s="90"/>
      <c r="AX844" s="90"/>
      <c r="AY844" s="90"/>
      <c r="AZ844" s="90"/>
      <c r="BA844" s="90"/>
      <c r="BB844" s="90"/>
      <c r="BC844" s="90"/>
      <c r="BD844" s="90"/>
      <c r="BE844" s="90"/>
      <c r="BF844" s="90"/>
      <c r="BG844" s="90"/>
      <c r="BH844" s="90"/>
      <c r="BI844" s="90"/>
      <c r="BJ844" s="90"/>
      <c r="BK844" s="90"/>
      <c r="BL844" s="90"/>
      <c r="BM844" s="90"/>
      <c r="BN844" s="90"/>
      <c r="BO844" s="90"/>
      <c r="BP844" s="90"/>
      <c r="BQ844" s="90"/>
      <c r="BR844" s="90"/>
      <c r="BS844" s="90"/>
      <c r="BT844" s="90"/>
      <c r="BU844" s="90"/>
      <c r="BV844" s="90"/>
      <c r="BW844" s="90"/>
      <c r="BX844" s="90"/>
      <c r="BY844" s="90"/>
      <c r="BZ844" s="90"/>
      <c r="CA844" s="90"/>
      <c r="CB844" s="90"/>
      <c r="CC844" s="90"/>
      <c r="CD844" s="90"/>
      <c r="CE844" s="90"/>
      <c r="CF844" s="90"/>
      <c r="CG844" s="90"/>
      <c r="CH844" s="90"/>
      <c r="CI844" s="90"/>
      <c r="CJ844" s="90"/>
      <c r="CK844" s="90"/>
      <c r="CL844" s="90"/>
      <c r="CM844" s="90"/>
      <c r="CN844" s="90"/>
      <c r="CO844" s="90"/>
      <c r="CP844" s="90"/>
      <c r="CQ844" s="90"/>
      <c r="CR844" s="90"/>
      <c r="CS844" s="90"/>
      <c r="CT844" s="90"/>
      <c r="CU844" s="90"/>
      <c r="CV844" s="90"/>
      <c r="CW844" s="90"/>
      <c r="CX844" s="90"/>
      <c r="CY844" s="90"/>
      <c r="CZ844" s="90"/>
      <c r="DA844" s="90"/>
      <c r="DB844" s="90"/>
      <c r="DC844" s="90"/>
      <c r="DD844" s="90"/>
      <c r="DE844" s="90"/>
      <c r="DF844" s="90"/>
      <c r="DG844" s="90"/>
      <c r="DH844" s="90"/>
      <c r="DI844" s="90"/>
      <c r="DJ844" s="90"/>
      <c r="DK844" s="90"/>
      <c r="DL844" s="90"/>
      <c r="DM844" s="90"/>
      <c r="DN844" s="90"/>
      <c r="DO844" s="90"/>
      <c r="DP844" s="90"/>
      <c r="DQ844" s="90"/>
      <c r="DR844" s="90"/>
      <c r="DS844" s="90"/>
      <c r="DT844" s="90"/>
      <c r="DU844" s="90"/>
      <c r="DV844" s="90"/>
      <c r="DW844" s="90"/>
      <c r="DX844" s="90"/>
      <c r="DY844" s="90"/>
      <c r="DZ844" s="90"/>
      <c r="EA844" s="90"/>
      <c r="EB844" s="90"/>
      <c r="EC844" s="90"/>
      <c r="ED844" s="90"/>
      <c r="EE844" s="90"/>
      <c r="EF844" s="90"/>
      <c r="EG844" s="90"/>
      <c r="EH844" s="90"/>
      <c r="EI844" s="90"/>
      <c r="EJ844" s="90"/>
      <c r="EK844" s="90"/>
      <c r="EL844" s="90"/>
      <c r="EM844" s="90"/>
      <c r="EN844" s="90"/>
      <c r="EO844" s="90"/>
      <c r="EP844" s="90"/>
      <c r="EQ844" s="90"/>
      <c r="ER844" s="90"/>
      <c r="ES844" s="90"/>
      <c r="ET844" s="90"/>
      <c r="EU844" s="90"/>
      <c r="EV844" s="90"/>
      <c r="EW844" s="90"/>
      <c r="EX844" s="90"/>
      <c r="EY844" s="90"/>
      <c r="EZ844" s="90"/>
      <c r="FA844" s="90"/>
      <c r="FB844" s="90"/>
      <c r="FC844" s="90"/>
      <c r="FD844" s="90"/>
      <c r="FE844" s="90"/>
      <c r="FF844" s="90"/>
      <c r="FG844" s="90"/>
      <c r="FH844" s="90"/>
      <c r="FI844" s="90"/>
      <c r="FJ844" s="90"/>
      <c r="FK844" s="90"/>
      <c r="FL844" s="90"/>
      <c r="FM844" s="90"/>
      <c r="FN844" s="90"/>
      <c r="FO844" s="90"/>
      <c r="FP844" s="90"/>
      <c r="FQ844" s="90"/>
      <c r="FR844" s="90"/>
      <c r="FS844" s="90"/>
      <c r="FT844" s="90"/>
      <c r="FU844" s="90"/>
      <c r="FV844" s="90"/>
      <c r="FW844" s="90"/>
      <c r="FX844" s="90"/>
      <c r="FY844" s="90"/>
      <c r="FZ844" s="90"/>
      <c r="GA844" s="90"/>
      <c r="GB844" s="90"/>
      <c r="GC844" s="90"/>
      <c r="GD844" s="90"/>
      <c r="GE844" s="90"/>
      <c r="GF844" s="90"/>
      <c r="GG844" s="90"/>
      <c r="GH844" s="90"/>
      <c r="GI844" s="90"/>
      <c r="GJ844" s="90"/>
      <c r="GK844" s="90"/>
      <c r="GL844" s="90"/>
      <c r="GM844" s="90"/>
      <c r="GN844" s="90"/>
      <c r="GO844" s="90"/>
      <c r="GP844" s="90"/>
      <c r="GQ844" s="90"/>
      <c r="GR844" s="90"/>
      <c r="GS844" s="90"/>
      <c r="GT844" s="90"/>
      <c r="GU844" s="90"/>
      <c r="GV844" s="90"/>
      <c r="GW844" s="90"/>
      <c r="GX844" s="90"/>
      <c r="GY844" s="90"/>
      <c r="GZ844" s="90"/>
      <c r="HA844" s="90"/>
      <c r="HB844" s="90"/>
      <c r="HC844" s="90"/>
      <c r="HD844" s="90"/>
      <c r="HE844" s="90"/>
      <c r="HF844" s="90"/>
      <c r="HG844" s="90"/>
      <c r="HH844" s="90"/>
      <c r="HI844" s="90"/>
      <c r="HJ844" s="90"/>
      <c r="HK844" s="90"/>
      <c r="HL844" s="90"/>
      <c r="HM844" s="90"/>
      <c r="HN844" s="90"/>
      <c r="HO844" s="90"/>
      <c r="HP844" s="90"/>
      <c r="HQ844" s="90"/>
      <c r="HR844" s="90"/>
      <c r="HS844" s="90"/>
      <c r="HT844" s="90"/>
      <c r="HU844" s="90"/>
      <c r="HV844" s="90"/>
      <c r="HW844" s="90"/>
      <c r="HX844" s="90"/>
      <c r="HY844" s="90"/>
      <c r="HZ844" s="90"/>
      <c r="IA844" s="90"/>
      <c r="IB844" s="90"/>
      <c r="IC844" s="90"/>
      <c r="ID844" s="90"/>
      <c r="IE844" s="90"/>
      <c r="IF844" s="90"/>
      <c r="IG844" s="90"/>
      <c r="IH844" s="90"/>
      <c r="II844" s="90"/>
      <c r="IJ844" s="90"/>
      <c r="IK844" s="90"/>
      <c r="IL844" s="90"/>
      <c r="IM844" s="90"/>
      <c r="IN844" s="90"/>
      <c r="IO844" s="90"/>
      <c r="IP844" s="90"/>
      <c r="IQ844" s="90"/>
      <c r="IR844" s="90"/>
      <c r="IS844" s="90"/>
      <c r="IT844" s="90"/>
      <c r="IU844" s="90"/>
    </row>
    <row r="845" ht="15" spans="1:11">
      <c r="A845" s="98" t="s">
        <v>60</v>
      </c>
      <c r="B845" s="99" t="s">
        <v>9750</v>
      </c>
      <c r="C845" s="98" t="s">
        <v>8514</v>
      </c>
      <c r="D845" s="101" t="s">
        <v>5</v>
      </c>
      <c r="E845" s="101" t="s">
        <v>9751</v>
      </c>
      <c r="F845" s="101"/>
      <c r="G845" s="101" t="s">
        <v>353</v>
      </c>
      <c r="H845" s="100" t="s">
        <v>8215</v>
      </c>
      <c r="I845" s="100" t="s">
        <v>8215</v>
      </c>
      <c r="J845" s="100" t="s">
        <v>8220</v>
      </c>
      <c r="K845" s="107"/>
    </row>
    <row r="846" ht="15" spans="1:11">
      <c r="A846" s="98" t="s">
        <v>60</v>
      </c>
      <c r="B846" s="99" t="s">
        <v>9752</v>
      </c>
      <c r="C846" s="98" t="s">
        <v>8514</v>
      </c>
      <c r="D846" s="101" t="s">
        <v>5</v>
      </c>
      <c r="E846" s="101" t="s">
        <v>9751</v>
      </c>
      <c r="F846" s="101"/>
      <c r="G846" s="101" t="s">
        <v>353</v>
      </c>
      <c r="H846" s="100" t="s">
        <v>8215</v>
      </c>
      <c r="I846" s="100" t="s">
        <v>8215</v>
      </c>
      <c r="J846" s="100" t="s">
        <v>8220</v>
      </c>
      <c r="K846" s="107"/>
    </row>
    <row r="847" ht="15" spans="1:11">
      <c r="A847" s="98" t="s">
        <v>60</v>
      </c>
      <c r="B847" s="119" t="s">
        <v>9753</v>
      </c>
      <c r="C847" s="101" t="s">
        <v>8240</v>
      </c>
      <c r="D847" s="98" t="s">
        <v>5</v>
      </c>
      <c r="E847" s="98" t="s">
        <v>9751</v>
      </c>
      <c r="F847" s="98"/>
      <c r="G847" s="98" t="s">
        <v>353</v>
      </c>
      <c r="H847" s="100" t="s">
        <v>8215</v>
      </c>
      <c r="I847" s="100" t="s">
        <v>8215</v>
      </c>
      <c r="J847" s="100" t="s">
        <v>9573</v>
      </c>
      <c r="K847" s="107"/>
    </row>
    <row r="848" ht="15" spans="1:11">
      <c r="A848" s="98" t="s">
        <v>60</v>
      </c>
      <c r="B848" s="99" t="s">
        <v>9754</v>
      </c>
      <c r="C848" s="98" t="s">
        <v>8229</v>
      </c>
      <c r="D848" s="101" t="s">
        <v>4</v>
      </c>
      <c r="E848" s="101" t="s">
        <v>9755</v>
      </c>
      <c r="F848" s="98"/>
      <c r="G848" s="101" t="s">
        <v>353</v>
      </c>
      <c r="H848" s="100" t="s">
        <v>8215</v>
      </c>
      <c r="I848" s="100" t="s">
        <v>8215</v>
      </c>
      <c r="J848" s="100" t="s">
        <v>8459</v>
      </c>
      <c r="K848" s="107"/>
    </row>
    <row r="849" ht="15" spans="1:11">
      <c r="A849" s="98" t="s">
        <v>60</v>
      </c>
      <c r="B849" s="99" t="s">
        <v>9756</v>
      </c>
      <c r="C849" s="98" t="s">
        <v>8229</v>
      </c>
      <c r="D849" s="101" t="s">
        <v>4</v>
      </c>
      <c r="E849" s="101" t="s">
        <v>9755</v>
      </c>
      <c r="F849" s="98"/>
      <c r="G849" s="101" t="s">
        <v>353</v>
      </c>
      <c r="H849" s="100" t="s">
        <v>8320</v>
      </c>
      <c r="I849" s="100" t="s">
        <v>8320</v>
      </c>
      <c r="J849" s="100" t="s">
        <v>8459</v>
      </c>
      <c r="K849" s="107"/>
    </row>
    <row r="850" ht="15" spans="1:11">
      <c r="A850" s="98" t="s">
        <v>60</v>
      </c>
      <c r="B850" s="99" t="s">
        <v>9757</v>
      </c>
      <c r="C850" s="98" t="s">
        <v>8514</v>
      </c>
      <c r="D850" s="101" t="s">
        <v>4</v>
      </c>
      <c r="E850" s="101" t="s">
        <v>9758</v>
      </c>
      <c r="F850" s="98"/>
      <c r="G850" s="101" t="s">
        <v>353</v>
      </c>
      <c r="H850" s="100" t="s">
        <v>8320</v>
      </c>
      <c r="I850" s="100" t="s">
        <v>8320</v>
      </c>
      <c r="J850" s="100" t="s">
        <v>8459</v>
      </c>
      <c r="K850" s="107"/>
    </row>
    <row r="851" ht="15" spans="1:11">
      <c r="A851" s="98" t="s">
        <v>60</v>
      </c>
      <c r="B851" s="99" t="s">
        <v>9759</v>
      </c>
      <c r="C851" s="98" t="s">
        <v>9590</v>
      </c>
      <c r="D851" s="98" t="s">
        <v>4</v>
      </c>
      <c r="E851" s="98" t="s">
        <v>9758</v>
      </c>
      <c r="F851" s="98"/>
      <c r="G851" s="98" t="s">
        <v>353</v>
      </c>
      <c r="H851" s="100"/>
      <c r="I851" s="100"/>
      <c r="J851" s="100"/>
      <c r="K851" s="107"/>
    </row>
    <row r="852" ht="15" spans="1:11">
      <c r="A852" s="98" t="s">
        <v>33</v>
      </c>
      <c r="B852" s="99" t="s">
        <v>9760</v>
      </c>
      <c r="C852" s="98" t="s">
        <v>8218</v>
      </c>
      <c r="D852" s="101" t="s">
        <v>4</v>
      </c>
      <c r="E852" s="101" t="s">
        <v>9761</v>
      </c>
      <c r="F852" s="98"/>
      <c r="G852" s="98" t="s">
        <v>206</v>
      </c>
      <c r="H852" s="100" t="s">
        <v>8215</v>
      </c>
      <c r="I852" s="100" t="s">
        <v>8215</v>
      </c>
      <c r="J852" s="100" t="s">
        <v>9762</v>
      </c>
      <c r="K852" s="107"/>
    </row>
    <row r="853" ht="15" spans="1:11">
      <c r="A853" s="98" t="s">
        <v>33</v>
      </c>
      <c r="B853" s="99" t="s">
        <v>9763</v>
      </c>
      <c r="C853" s="98" t="s">
        <v>8229</v>
      </c>
      <c r="D853" s="101" t="s">
        <v>4</v>
      </c>
      <c r="E853" s="101" t="s">
        <v>9322</v>
      </c>
      <c r="F853" s="98"/>
      <c r="G853" s="98" t="s">
        <v>206</v>
      </c>
      <c r="H853" s="100" t="s">
        <v>8215</v>
      </c>
      <c r="I853" s="100" t="s">
        <v>8974</v>
      </c>
      <c r="J853" s="112" t="s">
        <v>9764</v>
      </c>
      <c r="K853" s="107"/>
    </row>
    <row r="854" s="90" customFormat="1" ht="15" spans="1:11">
      <c r="A854" s="98" t="s">
        <v>33</v>
      </c>
      <c r="B854" s="99" t="s">
        <v>9765</v>
      </c>
      <c r="C854" s="98" t="s">
        <v>8293</v>
      </c>
      <c r="D854" s="101" t="s">
        <v>4</v>
      </c>
      <c r="E854" s="101" t="s">
        <v>9024</v>
      </c>
      <c r="F854" s="98"/>
      <c r="G854" s="98" t="s">
        <v>117</v>
      </c>
      <c r="H854" s="100" t="s">
        <v>8215</v>
      </c>
      <c r="I854" s="100" t="s">
        <v>8215</v>
      </c>
      <c r="J854" s="112" t="s">
        <v>9766</v>
      </c>
      <c r="K854" s="107">
        <v>2024.5</v>
      </c>
    </row>
    <row r="855" ht="15" spans="1:11">
      <c r="A855" s="98" t="s">
        <v>33</v>
      </c>
      <c r="B855" s="99" t="s">
        <v>9767</v>
      </c>
      <c r="C855" s="98" t="s">
        <v>8229</v>
      </c>
      <c r="D855" s="101" t="s">
        <v>5</v>
      </c>
      <c r="E855" s="101" t="s">
        <v>9768</v>
      </c>
      <c r="F855" s="98"/>
      <c r="G855" s="98" t="s">
        <v>117</v>
      </c>
      <c r="H855" s="100" t="s">
        <v>8215</v>
      </c>
      <c r="I855" s="100" t="s">
        <v>8215</v>
      </c>
      <c r="J855" s="100" t="s">
        <v>8220</v>
      </c>
      <c r="K855" s="107"/>
    </row>
    <row r="856" ht="15" spans="1:11">
      <c r="A856" s="98" t="s">
        <v>33</v>
      </c>
      <c r="B856" s="99" t="s">
        <v>9769</v>
      </c>
      <c r="C856" s="98" t="s">
        <v>8240</v>
      </c>
      <c r="D856" s="101" t="s">
        <v>4</v>
      </c>
      <c r="E856" s="101" t="s">
        <v>9770</v>
      </c>
      <c r="F856" s="98"/>
      <c r="G856" s="98" t="s">
        <v>117</v>
      </c>
      <c r="H856" s="100" t="s">
        <v>8215</v>
      </c>
      <c r="I856" s="100" t="s">
        <v>8215</v>
      </c>
      <c r="J856" s="112" t="s">
        <v>8430</v>
      </c>
      <c r="K856" s="107"/>
    </row>
    <row r="857" ht="15" spans="1:11">
      <c r="A857" s="98" t="s">
        <v>33</v>
      </c>
      <c r="B857" s="99" t="s">
        <v>9771</v>
      </c>
      <c r="C857" s="98" t="s">
        <v>8229</v>
      </c>
      <c r="D857" s="101" t="s">
        <v>4</v>
      </c>
      <c r="E857" s="101" t="s">
        <v>9772</v>
      </c>
      <c r="F857" s="98"/>
      <c r="G857" s="98" t="s">
        <v>117</v>
      </c>
      <c r="H857" s="100" t="s">
        <v>8215</v>
      </c>
      <c r="I857" s="100" t="s">
        <v>8215</v>
      </c>
      <c r="J857" s="112" t="s">
        <v>8430</v>
      </c>
      <c r="K857" s="107"/>
    </row>
    <row r="858" ht="15" spans="1:11">
      <c r="A858" s="98" t="s">
        <v>33</v>
      </c>
      <c r="B858" s="99" t="s">
        <v>9773</v>
      </c>
      <c r="C858" s="98" t="s">
        <v>8240</v>
      </c>
      <c r="D858" s="101" t="s">
        <v>4</v>
      </c>
      <c r="E858" s="101" t="s">
        <v>9772</v>
      </c>
      <c r="F858" s="98"/>
      <c r="G858" s="98" t="s">
        <v>117</v>
      </c>
      <c r="H858" s="100" t="s">
        <v>8215</v>
      </c>
      <c r="I858" s="100" t="s">
        <v>8974</v>
      </c>
      <c r="J858" s="112" t="s">
        <v>8430</v>
      </c>
      <c r="K858" s="107"/>
    </row>
    <row r="859" ht="15" spans="1:11">
      <c r="A859" s="98" t="s">
        <v>33</v>
      </c>
      <c r="B859" s="99" t="s">
        <v>9774</v>
      </c>
      <c r="C859" s="98" t="s">
        <v>8229</v>
      </c>
      <c r="D859" s="101" t="s">
        <v>4</v>
      </c>
      <c r="E859" s="101" t="s">
        <v>9772</v>
      </c>
      <c r="F859" s="98"/>
      <c r="G859" s="98" t="s">
        <v>117</v>
      </c>
      <c r="H859" s="100" t="s">
        <v>8215</v>
      </c>
      <c r="I859" s="100" t="s">
        <v>8215</v>
      </c>
      <c r="J859" s="112" t="s">
        <v>8430</v>
      </c>
      <c r="K859" s="107"/>
    </row>
    <row r="860" ht="15" spans="1:11">
      <c r="A860" s="98" t="s">
        <v>33</v>
      </c>
      <c r="B860" s="99" t="s">
        <v>9775</v>
      </c>
      <c r="C860" s="98" t="s">
        <v>8229</v>
      </c>
      <c r="D860" s="101" t="s">
        <v>4</v>
      </c>
      <c r="E860" s="101" t="s">
        <v>9776</v>
      </c>
      <c r="F860" s="98"/>
      <c r="G860" s="98" t="s">
        <v>206</v>
      </c>
      <c r="H860" s="118" t="s">
        <v>8300</v>
      </c>
      <c r="I860" s="100" t="s">
        <v>8300</v>
      </c>
      <c r="J860" s="101" t="s">
        <v>9777</v>
      </c>
      <c r="K860" s="107"/>
    </row>
    <row r="861" ht="15" spans="1:11">
      <c r="A861" s="98" t="s">
        <v>33</v>
      </c>
      <c r="B861" s="99" t="s">
        <v>9778</v>
      </c>
      <c r="C861" s="98" t="s">
        <v>8229</v>
      </c>
      <c r="D861" s="101" t="s">
        <v>4</v>
      </c>
      <c r="E861" s="101" t="s">
        <v>9779</v>
      </c>
      <c r="F861" s="98"/>
      <c r="G861" s="98" t="s">
        <v>206</v>
      </c>
      <c r="H861" s="118" t="s">
        <v>8215</v>
      </c>
      <c r="I861" s="100" t="s">
        <v>8247</v>
      </c>
      <c r="J861" s="101" t="s">
        <v>9780</v>
      </c>
      <c r="K861" s="107"/>
    </row>
    <row r="862" s="90" customFormat="1" ht="15" spans="1:11">
      <c r="A862" s="98" t="s">
        <v>33</v>
      </c>
      <c r="B862" s="99" t="s">
        <v>9781</v>
      </c>
      <c r="C862" s="98" t="s">
        <v>8293</v>
      </c>
      <c r="D862" s="101" t="s">
        <v>4</v>
      </c>
      <c r="E862" s="101" t="s">
        <v>9782</v>
      </c>
      <c r="F862" s="98"/>
      <c r="G862" s="98" t="s">
        <v>206</v>
      </c>
      <c r="H862" s="118" t="s">
        <v>8215</v>
      </c>
      <c r="I862" s="100" t="s">
        <v>8215</v>
      </c>
      <c r="J862" s="101" t="s">
        <v>8459</v>
      </c>
      <c r="K862" s="107">
        <v>2024.4</v>
      </c>
    </row>
    <row r="863" ht="15" spans="1:11">
      <c r="A863" s="98" t="s">
        <v>33</v>
      </c>
      <c r="B863" s="100" t="s">
        <v>9783</v>
      </c>
      <c r="C863" s="98" t="s">
        <v>8229</v>
      </c>
      <c r="D863" s="101" t="s">
        <v>4</v>
      </c>
      <c r="E863" s="101" t="s">
        <v>9784</v>
      </c>
      <c r="F863" s="98"/>
      <c r="G863" s="98" t="s">
        <v>206</v>
      </c>
      <c r="H863" s="118" t="s">
        <v>8215</v>
      </c>
      <c r="I863" s="100" t="s">
        <v>8247</v>
      </c>
      <c r="J863" s="101" t="s">
        <v>9785</v>
      </c>
      <c r="K863" s="107"/>
    </row>
    <row r="864" ht="15" spans="1:11">
      <c r="A864" s="98" t="s">
        <v>33</v>
      </c>
      <c r="B864" s="99" t="s">
        <v>9786</v>
      </c>
      <c r="C864" s="98" t="s">
        <v>8229</v>
      </c>
      <c r="D864" s="101" t="s">
        <v>4</v>
      </c>
      <c r="E864" s="101" t="s">
        <v>9787</v>
      </c>
      <c r="F864" s="98"/>
      <c r="G864" s="98" t="s">
        <v>206</v>
      </c>
      <c r="H864" s="118" t="s">
        <v>8215</v>
      </c>
      <c r="I864" s="100" t="s">
        <v>8247</v>
      </c>
      <c r="J864" s="101" t="s">
        <v>9785</v>
      </c>
      <c r="K864" s="107"/>
    </row>
    <row r="865" ht="15" spans="1:11">
      <c r="A865" s="98" t="s">
        <v>33</v>
      </c>
      <c r="B865" s="99" t="s">
        <v>9788</v>
      </c>
      <c r="C865" s="98" t="s">
        <v>8229</v>
      </c>
      <c r="D865" s="101" t="s">
        <v>4</v>
      </c>
      <c r="E865" s="101" t="s">
        <v>9789</v>
      </c>
      <c r="F865" s="98"/>
      <c r="G865" s="98" t="s">
        <v>206</v>
      </c>
      <c r="H865" s="118" t="s">
        <v>8215</v>
      </c>
      <c r="I865" s="100" t="s">
        <v>8247</v>
      </c>
      <c r="J865" s="101" t="s">
        <v>9785</v>
      </c>
      <c r="K865" s="107"/>
    </row>
    <row r="866" ht="15" spans="1:11">
      <c r="A866" s="98" t="s">
        <v>33</v>
      </c>
      <c r="B866" s="99" t="s">
        <v>9790</v>
      </c>
      <c r="C866" s="98" t="s">
        <v>8240</v>
      </c>
      <c r="D866" s="98" t="s">
        <v>4</v>
      </c>
      <c r="E866" s="98" t="s">
        <v>9791</v>
      </c>
      <c r="F866" s="98"/>
      <c r="G866" s="98" t="s">
        <v>206</v>
      </c>
      <c r="H866" s="118" t="s">
        <v>8215</v>
      </c>
      <c r="I866" s="100" t="s">
        <v>8247</v>
      </c>
      <c r="J866" s="101" t="s">
        <v>9792</v>
      </c>
      <c r="K866" s="107"/>
    </row>
    <row r="867" ht="15" spans="1:11">
      <c r="A867" s="98" t="s">
        <v>33</v>
      </c>
      <c r="B867" s="99" t="s">
        <v>9793</v>
      </c>
      <c r="C867" s="98" t="s">
        <v>8229</v>
      </c>
      <c r="D867" s="101" t="s">
        <v>4</v>
      </c>
      <c r="E867" s="101" t="s">
        <v>9794</v>
      </c>
      <c r="F867" s="98"/>
      <c r="G867" s="98" t="s">
        <v>206</v>
      </c>
      <c r="H867" s="118" t="s">
        <v>8215</v>
      </c>
      <c r="I867" s="100" t="s">
        <v>8247</v>
      </c>
      <c r="J867" s="101" t="s">
        <v>9795</v>
      </c>
      <c r="K867" s="107"/>
    </row>
    <row r="868" ht="15" spans="1:11">
      <c r="A868" s="98" t="s">
        <v>33</v>
      </c>
      <c r="B868" s="99" t="s">
        <v>9796</v>
      </c>
      <c r="C868" s="98" t="s">
        <v>8229</v>
      </c>
      <c r="D868" s="101" t="s">
        <v>4</v>
      </c>
      <c r="E868" s="101" t="s">
        <v>9794</v>
      </c>
      <c r="F868" s="98"/>
      <c r="G868" s="98" t="s">
        <v>206</v>
      </c>
      <c r="H868" s="118" t="s">
        <v>8215</v>
      </c>
      <c r="I868" s="100" t="s">
        <v>8215</v>
      </c>
      <c r="J868" s="101" t="s">
        <v>8667</v>
      </c>
      <c r="K868" s="107"/>
    </row>
    <row r="869" ht="15" spans="1:11">
      <c r="A869" s="98" t="s">
        <v>33</v>
      </c>
      <c r="B869" s="99" t="s">
        <v>9797</v>
      </c>
      <c r="C869" s="98" t="s">
        <v>8229</v>
      </c>
      <c r="D869" s="101" t="s">
        <v>4</v>
      </c>
      <c r="E869" s="101" t="s">
        <v>9794</v>
      </c>
      <c r="F869" s="98"/>
      <c r="G869" s="98" t="s">
        <v>206</v>
      </c>
      <c r="H869" s="118" t="s">
        <v>8215</v>
      </c>
      <c r="I869" s="100" t="s">
        <v>8247</v>
      </c>
      <c r="J869" s="101" t="s">
        <v>9795</v>
      </c>
      <c r="K869" s="107"/>
    </row>
    <row r="870" ht="15" spans="1:11">
      <c r="A870" s="98" t="s">
        <v>33</v>
      </c>
      <c r="B870" s="99" t="s">
        <v>9798</v>
      </c>
      <c r="C870" s="98"/>
      <c r="D870" s="101" t="s">
        <v>4</v>
      </c>
      <c r="E870" s="101" t="s">
        <v>9794</v>
      </c>
      <c r="F870" s="98"/>
      <c r="G870" s="98" t="s">
        <v>206</v>
      </c>
      <c r="H870" s="100" t="s">
        <v>8215</v>
      </c>
      <c r="I870" s="100" t="s">
        <v>8215</v>
      </c>
      <c r="J870" s="101" t="s">
        <v>8725</v>
      </c>
      <c r="K870" s="107">
        <v>2024.1</v>
      </c>
    </row>
    <row r="871" ht="15" spans="1:11">
      <c r="A871" s="98" t="s">
        <v>33</v>
      </c>
      <c r="B871" s="99" t="s">
        <v>9799</v>
      </c>
      <c r="C871" s="98" t="s">
        <v>8240</v>
      </c>
      <c r="D871" s="101" t="s">
        <v>4</v>
      </c>
      <c r="E871" s="101" t="s">
        <v>9800</v>
      </c>
      <c r="F871" s="98"/>
      <c r="G871" s="98" t="s">
        <v>206</v>
      </c>
      <c r="H871" s="118" t="s">
        <v>8215</v>
      </c>
      <c r="I871" s="100" t="s">
        <v>8247</v>
      </c>
      <c r="J871" s="101" t="s">
        <v>9801</v>
      </c>
      <c r="K871" s="107"/>
    </row>
    <row r="872" ht="15" spans="1:11">
      <c r="A872" s="98" t="s">
        <v>33</v>
      </c>
      <c r="B872" s="100" t="s">
        <v>9802</v>
      </c>
      <c r="C872" s="98" t="s">
        <v>8240</v>
      </c>
      <c r="D872" s="98" t="s">
        <v>4</v>
      </c>
      <c r="E872" s="98" t="s">
        <v>9800</v>
      </c>
      <c r="F872" s="98"/>
      <c r="G872" s="98" t="s">
        <v>206</v>
      </c>
      <c r="H872" s="118" t="s">
        <v>8215</v>
      </c>
      <c r="I872" s="100" t="s">
        <v>8247</v>
      </c>
      <c r="J872" s="100" t="s">
        <v>9803</v>
      </c>
      <c r="K872" s="107"/>
    </row>
    <row r="873" ht="15" spans="1:11">
      <c r="A873" s="98" t="s">
        <v>33</v>
      </c>
      <c r="B873" s="99" t="s">
        <v>9804</v>
      </c>
      <c r="C873" s="98" t="s">
        <v>8229</v>
      </c>
      <c r="D873" s="101" t="s">
        <v>4</v>
      </c>
      <c r="E873" s="101" t="s">
        <v>9805</v>
      </c>
      <c r="F873" s="98"/>
      <c r="G873" s="98" t="s">
        <v>206</v>
      </c>
      <c r="H873" s="118" t="s">
        <v>8215</v>
      </c>
      <c r="I873" s="100" t="s">
        <v>8215</v>
      </c>
      <c r="J873" s="101" t="s">
        <v>9130</v>
      </c>
      <c r="K873" s="107"/>
    </row>
    <row r="874" s="90" customFormat="1" ht="15" spans="1:11">
      <c r="A874" s="98" t="s">
        <v>33</v>
      </c>
      <c r="B874" s="99" t="s">
        <v>9806</v>
      </c>
      <c r="C874" s="98" t="s">
        <v>8293</v>
      </c>
      <c r="D874" s="101" t="s">
        <v>4</v>
      </c>
      <c r="E874" s="101" t="s">
        <v>9805</v>
      </c>
      <c r="F874" s="98"/>
      <c r="G874" s="98" t="s">
        <v>206</v>
      </c>
      <c r="H874" s="118" t="s">
        <v>8215</v>
      </c>
      <c r="I874" s="100" t="s">
        <v>8215</v>
      </c>
      <c r="J874" s="101" t="s">
        <v>8725</v>
      </c>
      <c r="K874" s="107">
        <v>2024.04</v>
      </c>
    </row>
    <row r="875" ht="15" spans="1:11">
      <c r="A875" s="98" t="s">
        <v>33</v>
      </c>
      <c r="B875" s="99" t="s">
        <v>9807</v>
      </c>
      <c r="C875" s="98" t="s">
        <v>8229</v>
      </c>
      <c r="D875" s="101" t="s">
        <v>4</v>
      </c>
      <c r="E875" s="101" t="s">
        <v>9808</v>
      </c>
      <c r="F875" s="98"/>
      <c r="G875" s="98" t="s">
        <v>206</v>
      </c>
      <c r="H875" s="118" t="s">
        <v>8215</v>
      </c>
      <c r="I875" s="100" t="s">
        <v>8215</v>
      </c>
      <c r="J875" s="101" t="s">
        <v>8667</v>
      </c>
      <c r="K875" s="107"/>
    </row>
    <row r="876" ht="15" spans="1:11">
      <c r="A876" s="98" t="s">
        <v>33</v>
      </c>
      <c r="B876" s="100" t="s">
        <v>9809</v>
      </c>
      <c r="C876" s="98" t="s">
        <v>8218</v>
      </c>
      <c r="D876" s="101" t="s">
        <v>4</v>
      </c>
      <c r="E876" s="101" t="s">
        <v>9810</v>
      </c>
      <c r="F876" s="98"/>
      <c r="G876" s="98" t="s">
        <v>206</v>
      </c>
      <c r="H876" s="118" t="s">
        <v>8215</v>
      </c>
      <c r="I876" s="100" t="s">
        <v>8215</v>
      </c>
      <c r="J876" s="101" t="s">
        <v>8556</v>
      </c>
      <c r="K876" s="107"/>
    </row>
    <row r="877" ht="15" spans="1:11">
      <c r="A877" s="98" t="s">
        <v>33</v>
      </c>
      <c r="B877" s="100" t="s">
        <v>9811</v>
      </c>
      <c r="C877" s="98" t="s">
        <v>8514</v>
      </c>
      <c r="D877" s="98" t="s">
        <v>4</v>
      </c>
      <c r="E877" s="98" t="s">
        <v>9810</v>
      </c>
      <c r="F877" s="98"/>
      <c r="G877" s="98" t="s">
        <v>206</v>
      </c>
      <c r="H877" s="118" t="s">
        <v>8215</v>
      </c>
      <c r="I877" s="100" t="s">
        <v>8247</v>
      </c>
      <c r="J877" s="100" t="s">
        <v>8220</v>
      </c>
      <c r="K877" s="107"/>
    </row>
    <row r="878" ht="15" spans="1:11">
      <c r="A878" s="98" t="s">
        <v>33</v>
      </c>
      <c r="B878" s="99" t="s">
        <v>9812</v>
      </c>
      <c r="C878" s="98" t="s">
        <v>8229</v>
      </c>
      <c r="D878" s="101" t="s">
        <v>4</v>
      </c>
      <c r="E878" s="101" t="s">
        <v>9813</v>
      </c>
      <c r="F878" s="98"/>
      <c r="G878" s="98" t="s">
        <v>206</v>
      </c>
      <c r="H878" s="118" t="s">
        <v>8215</v>
      </c>
      <c r="I878" s="100" t="s">
        <v>8215</v>
      </c>
      <c r="J878" s="101" t="s">
        <v>9814</v>
      </c>
      <c r="K878" s="107"/>
    </row>
    <row r="879" ht="15" spans="1:11">
      <c r="A879" s="98" t="s">
        <v>33</v>
      </c>
      <c r="B879" s="99" t="s">
        <v>9815</v>
      </c>
      <c r="C879" s="98" t="s">
        <v>8229</v>
      </c>
      <c r="D879" s="101" t="s">
        <v>4</v>
      </c>
      <c r="E879" s="101" t="s">
        <v>9816</v>
      </c>
      <c r="F879" s="98" t="s">
        <v>9817</v>
      </c>
      <c r="G879" s="98" t="s">
        <v>206</v>
      </c>
      <c r="H879" s="118" t="s">
        <v>8215</v>
      </c>
      <c r="I879" s="100" t="s">
        <v>8247</v>
      </c>
      <c r="J879" s="101" t="s">
        <v>9650</v>
      </c>
      <c r="K879" s="107"/>
    </row>
    <row r="880" ht="15" spans="1:11">
      <c r="A880" s="98" t="s">
        <v>33</v>
      </c>
      <c r="B880" s="100" t="s">
        <v>9818</v>
      </c>
      <c r="C880" s="98" t="s">
        <v>8218</v>
      </c>
      <c r="D880" s="101" t="s">
        <v>4</v>
      </c>
      <c r="E880" s="101" t="s">
        <v>9816</v>
      </c>
      <c r="F880" s="98"/>
      <c r="G880" s="98" t="s">
        <v>206</v>
      </c>
      <c r="H880" s="118" t="s">
        <v>8215</v>
      </c>
      <c r="I880" s="100" t="s">
        <v>8247</v>
      </c>
      <c r="J880" s="101" t="s">
        <v>9650</v>
      </c>
      <c r="K880" s="107"/>
    </row>
    <row r="881" ht="15" spans="1:11">
      <c r="A881" s="98" t="s">
        <v>33</v>
      </c>
      <c r="B881" s="100" t="s">
        <v>9819</v>
      </c>
      <c r="C881" s="98" t="s">
        <v>8218</v>
      </c>
      <c r="D881" s="101" t="s">
        <v>4</v>
      </c>
      <c r="E881" s="101" t="s">
        <v>9816</v>
      </c>
      <c r="F881" s="98"/>
      <c r="G881" s="98" t="s">
        <v>206</v>
      </c>
      <c r="H881" s="118" t="s">
        <v>8215</v>
      </c>
      <c r="I881" s="100" t="s">
        <v>8247</v>
      </c>
      <c r="J881" s="101" t="s">
        <v>9650</v>
      </c>
      <c r="K881" s="107"/>
    </row>
    <row r="882" ht="15" spans="1:11">
      <c r="A882" s="98" t="s">
        <v>33</v>
      </c>
      <c r="B882" s="99" t="s">
        <v>9820</v>
      </c>
      <c r="C882" s="98" t="s">
        <v>8229</v>
      </c>
      <c r="D882" s="101" t="s">
        <v>4</v>
      </c>
      <c r="E882" s="101" t="s">
        <v>2804</v>
      </c>
      <c r="F882" s="98"/>
      <c r="G882" s="98" t="s">
        <v>206</v>
      </c>
      <c r="H882" s="118" t="s">
        <v>8535</v>
      </c>
      <c r="I882" s="100" t="s">
        <v>8535</v>
      </c>
      <c r="J882" s="101" t="s">
        <v>8463</v>
      </c>
      <c r="K882" s="107"/>
    </row>
    <row r="883" ht="15" spans="1:11">
      <c r="A883" s="98" t="s">
        <v>33</v>
      </c>
      <c r="B883" s="100" t="s">
        <v>9821</v>
      </c>
      <c r="C883" s="98" t="s">
        <v>8218</v>
      </c>
      <c r="D883" s="101" t="s">
        <v>4</v>
      </c>
      <c r="E883" s="101" t="s">
        <v>2804</v>
      </c>
      <c r="F883" s="98"/>
      <c r="G883" s="98" t="s">
        <v>206</v>
      </c>
      <c r="H883" s="118" t="s">
        <v>8215</v>
      </c>
      <c r="I883" s="100" t="s">
        <v>8215</v>
      </c>
      <c r="J883" s="101" t="s">
        <v>9055</v>
      </c>
      <c r="K883" s="107"/>
    </row>
    <row r="884" ht="15" spans="1:11">
      <c r="A884" s="98" t="s">
        <v>33</v>
      </c>
      <c r="B884" s="99" t="s">
        <v>9822</v>
      </c>
      <c r="C884" s="98" t="s">
        <v>8229</v>
      </c>
      <c r="D884" s="101" t="s">
        <v>4</v>
      </c>
      <c r="E884" s="101" t="s">
        <v>2804</v>
      </c>
      <c r="F884" s="98"/>
      <c r="G884" s="98" t="s">
        <v>206</v>
      </c>
      <c r="H884" s="118" t="s">
        <v>8215</v>
      </c>
      <c r="I884" s="100" t="s">
        <v>8247</v>
      </c>
      <c r="J884" s="101" t="s">
        <v>8220</v>
      </c>
      <c r="K884" s="107"/>
    </row>
    <row r="885" ht="15" spans="1:11">
      <c r="A885" s="98" t="s">
        <v>33</v>
      </c>
      <c r="B885" s="100" t="s">
        <v>9823</v>
      </c>
      <c r="C885" s="101" t="s">
        <v>8240</v>
      </c>
      <c r="D885" s="101" t="s">
        <v>4</v>
      </c>
      <c r="E885" s="101" t="s">
        <v>9824</v>
      </c>
      <c r="F885" s="98"/>
      <c r="G885" s="98" t="s">
        <v>206</v>
      </c>
      <c r="H885" s="118" t="s">
        <v>8215</v>
      </c>
      <c r="I885" s="100" t="s">
        <v>8247</v>
      </c>
      <c r="J885" s="101" t="s">
        <v>8220</v>
      </c>
      <c r="K885" s="107"/>
    </row>
    <row r="886" ht="15" spans="1:11">
      <c r="A886" s="98" t="s">
        <v>33</v>
      </c>
      <c r="B886" s="99" t="s">
        <v>9825</v>
      </c>
      <c r="C886" s="98" t="s">
        <v>8218</v>
      </c>
      <c r="D886" s="101" t="s">
        <v>4</v>
      </c>
      <c r="E886" s="101" t="s">
        <v>9824</v>
      </c>
      <c r="F886" s="98"/>
      <c r="G886" s="98" t="s">
        <v>206</v>
      </c>
      <c r="H886" s="100" t="s">
        <v>8215</v>
      </c>
      <c r="I886" s="100" t="s">
        <v>8215</v>
      </c>
      <c r="J886" s="101" t="s">
        <v>9826</v>
      </c>
      <c r="K886" s="107"/>
    </row>
    <row r="887" ht="15" spans="1:11">
      <c r="A887" s="98" t="s">
        <v>33</v>
      </c>
      <c r="B887" s="99" t="s">
        <v>9827</v>
      </c>
      <c r="C887" s="98" t="s">
        <v>8218</v>
      </c>
      <c r="D887" s="101" t="s">
        <v>4</v>
      </c>
      <c r="E887" s="101" t="s">
        <v>9828</v>
      </c>
      <c r="F887" s="98"/>
      <c r="G887" s="98" t="s">
        <v>206</v>
      </c>
      <c r="H887" s="118" t="s">
        <v>8535</v>
      </c>
      <c r="I887" s="100" t="s">
        <v>8535</v>
      </c>
      <c r="J887" s="101" t="s">
        <v>9826</v>
      </c>
      <c r="K887" s="107"/>
    </row>
    <row r="888" ht="15" spans="1:11">
      <c r="A888" s="98" t="s">
        <v>33</v>
      </c>
      <c r="B888" s="99" t="s">
        <v>9829</v>
      </c>
      <c r="C888" s="98" t="s">
        <v>8229</v>
      </c>
      <c r="D888" s="101" t="s">
        <v>4</v>
      </c>
      <c r="E888" s="101" t="s">
        <v>9830</v>
      </c>
      <c r="F888" s="98"/>
      <c r="G888" s="98" t="s">
        <v>206</v>
      </c>
      <c r="H888" s="118" t="s">
        <v>8215</v>
      </c>
      <c r="I888" s="100" t="s">
        <v>8215</v>
      </c>
      <c r="J888" s="101" t="s">
        <v>9831</v>
      </c>
      <c r="K888" s="107"/>
    </row>
    <row r="889" ht="15" spans="1:11">
      <c r="A889" s="98" t="s">
        <v>33</v>
      </c>
      <c r="B889" s="99" t="s">
        <v>9832</v>
      </c>
      <c r="C889" s="98" t="s">
        <v>8229</v>
      </c>
      <c r="D889" s="101" t="s">
        <v>4</v>
      </c>
      <c r="E889" s="101" t="s">
        <v>9830</v>
      </c>
      <c r="F889" s="98"/>
      <c r="G889" s="98" t="s">
        <v>206</v>
      </c>
      <c r="H889" s="118" t="s">
        <v>8215</v>
      </c>
      <c r="I889" s="100" t="s">
        <v>8215</v>
      </c>
      <c r="J889" s="101" t="s">
        <v>8952</v>
      </c>
      <c r="K889" s="107"/>
    </row>
    <row r="890" ht="15" spans="1:11">
      <c r="A890" s="98" t="s">
        <v>33</v>
      </c>
      <c r="B890" s="99" t="s">
        <v>9833</v>
      </c>
      <c r="C890" s="98" t="s">
        <v>8218</v>
      </c>
      <c r="D890" s="101" t="s">
        <v>4</v>
      </c>
      <c r="E890" s="101" t="s">
        <v>9830</v>
      </c>
      <c r="F890" s="98"/>
      <c r="G890" s="98" t="s">
        <v>206</v>
      </c>
      <c r="H890" s="118" t="s">
        <v>8215</v>
      </c>
      <c r="I890" s="100" t="s">
        <v>8215</v>
      </c>
      <c r="J890" s="101" t="s">
        <v>8220</v>
      </c>
      <c r="K890" s="107"/>
    </row>
    <row r="891" ht="15" spans="1:11">
      <c r="A891" s="98" t="s">
        <v>33</v>
      </c>
      <c r="B891" s="99" t="s">
        <v>9834</v>
      </c>
      <c r="C891" s="101" t="s">
        <v>8240</v>
      </c>
      <c r="D891" s="101" t="s">
        <v>4</v>
      </c>
      <c r="E891" s="101" t="s">
        <v>9830</v>
      </c>
      <c r="F891" s="98"/>
      <c r="G891" s="98" t="s">
        <v>206</v>
      </c>
      <c r="H891" s="118" t="s">
        <v>8215</v>
      </c>
      <c r="I891" s="100" t="s">
        <v>8215</v>
      </c>
      <c r="J891" s="101" t="s">
        <v>9835</v>
      </c>
      <c r="K891" s="107"/>
    </row>
    <row r="892" ht="15" spans="1:11">
      <c r="A892" s="98" t="s">
        <v>33</v>
      </c>
      <c r="B892" s="100" t="s">
        <v>9836</v>
      </c>
      <c r="C892" s="98" t="s">
        <v>8218</v>
      </c>
      <c r="D892" s="101" t="s">
        <v>4</v>
      </c>
      <c r="E892" s="101" t="s">
        <v>9837</v>
      </c>
      <c r="F892" s="98"/>
      <c r="G892" s="98" t="s">
        <v>206</v>
      </c>
      <c r="H892" s="118" t="s">
        <v>8215</v>
      </c>
      <c r="I892" s="100" t="s">
        <v>8215</v>
      </c>
      <c r="J892" s="118" t="s">
        <v>9838</v>
      </c>
      <c r="K892" s="107"/>
    </row>
    <row r="893" ht="15" spans="1:11">
      <c r="A893" s="98" t="s">
        <v>33</v>
      </c>
      <c r="B893" s="99" t="s">
        <v>9839</v>
      </c>
      <c r="C893" s="98" t="s">
        <v>8218</v>
      </c>
      <c r="D893" s="101" t="s">
        <v>4</v>
      </c>
      <c r="E893" s="101" t="s">
        <v>9840</v>
      </c>
      <c r="F893" s="98"/>
      <c r="G893" s="98" t="s">
        <v>206</v>
      </c>
      <c r="H893" s="118" t="s">
        <v>8215</v>
      </c>
      <c r="I893" s="100" t="s">
        <v>8215</v>
      </c>
      <c r="J893" s="118" t="s">
        <v>9293</v>
      </c>
      <c r="K893" s="107"/>
    </row>
    <row r="894" ht="15" spans="1:11">
      <c r="A894" s="98" t="s">
        <v>33</v>
      </c>
      <c r="B894" s="99" t="s">
        <v>9841</v>
      </c>
      <c r="C894" s="98" t="s">
        <v>8229</v>
      </c>
      <c r="D894" s="101" t="s">
        <v>4</v>
      </c>
      <c r="E894" s="101" t="s">
        <v>9840</v>
      </c>
      <c r="F894" s="98"/>
      <c r="G894" s="98" t="s">
        <v>206</v>
      </c>
      <c r="H894" s="118" t="s">
        <v>8215</v>
      </c>
      <c r="I894" s="100" t="s">
        <v>8247</v>
      </c>
      <c r="J894" s="118">
        <v>5.4</v>
      </c>
      <c r="K894" s="107"/>
    </row>
    <row r="895" ht="15" spans="1:11">
      <c r="A895" s="98" t="s">
        <v>33</v>
      </c>
      <c r="B895" s="99" t="s">
        <v>9842</v>
      </c>
      <c r="C895" s="98" t="s">
        <v>8218</v>
      </c>
      <c r="D895" s="101" t="s">
        <v>4</v>
      </c>
      <c r="E895" s="101" t="s">
        <v>9843</v>
      </c>
      <c r="F895" s="98"/>
      <c r="G895" s="98" t="s">
        <v>206</v>
      </c>
      <c r="H895" s="118" t="s">
        <v>8215</v>
      </c>
      <c r="I895" s="100" t="s">
        <v>8215</v>
      </c>
      <c r="J895" s="118" t="s">
        <v>9844</v>
      </c>
      <c r="K895" s="107"/>
    </row>
    <row r="896" ht="15" spans="1:11">
      <c r="A896" s="98" t="s">
        <v>33</v>
      </c>
      <c r="B896" s="119" t="s">
        <v>9845</v>
      </c>
      <c r="C896" s="101" t="s">
        <v>8240</v>
      </c>
      <c r="D896" s="98" t="s">
        <v>4</v>
      </c>
      <c r="E896" s="98" t="s">
        <v>9843</v>
      </c>
      <c r="F896" s="98"/>
      <c r="G896" s="98" t="s">
        <v>206</v>
      </c>
      <c r="H896" s="118" t="s">
        <v>8215</v>
      </c>
      <c r="I896" s="100" t="s">
        <v>8215</v>
      </c>
      <c r="J896" s="118" t="s">
        <v>9846</v>
      </c>
      <c r="K896" s="107"/>
    </row>
    <row r="897" ht="15" spans="1:11">
      <c r="A897" s="98" t="s">
        <v>33</v>
      </c>
      <c r="B897" s="100" t="s">
        <v>9847</v>
      </c>
      <c r="C897" s="101" t="s">
        <v>8240</v>
      </c>
      <c r="D897" s="101" t="s">
        <v>4</v>
      </c>
      <c r="E897" s="101" t="s">
        <v>9848</v>
      </c>
      <c r="F897" s="98"/>
      <c r="G897" s="98" t="s">
        <v>206</v>
      </c>
      <c r="H897" s="118" t="s">
        <v>8215</v>
      </c>
      <c r="I897" s="100" t="s">
        <v>8215</v>
      </c>
      <c r="J897" s="118" t="s">
        <v>9849</v>
      </c>
      <c r="K897" s="107"/>
    </row>
    <row r="898" ht="15" spans="1:11">
      <c r="A898" s="98" t="s">
        <v>33</v>
      </c>
      <c r="B898" s="99" t="s">
        <v>9850</v>
      </c>
      <c r="C898" s="101" t="s">
        <v>8240</v>
      </c>
      <c r="D898" s="98" t="s">
        <v>4</v>
      </c>
      <c r="E898" s="98" t="s">
        <v>9848</v>
      </c>
      <c r="F898" s="98"/>
      <c r="G898" s="98" t="s">
        <v>206</v>
      </c>
      <c r="H898" s="100"/>
      <c r="I898" s="100"/>
      <c r="J898" s="100"/>
      <c r="K898" s="107"/>
    </row>
    <row r="899" ht="15" spans="1:11">
      <c r="A899" s="98" t="s">
        <v>33</v>
      </c>
      <c r="B899" s="99" t="s">
        <v>9851</v>
      </c>
      <c r="C899" s="101"/>
      <c r="D899" s="98" t="s">
        <v>5</v>
      </c>
      <c r="E899" s="98" t="s">
        <v>9852</v>
      </c>
      <c r="F899" s="98"/>
      <c r="G899" s="98" t="s">
        <v>206</v>
      </c>
      <c r="H899" s="100" t="s">
        <v>8215</v>
      </c>
      <c r="I899" s="100" t="s">
        <v>8326</v>
      </c>
      <c r="J899" s="100" t="s">
        <v>9853</v>
      </c>
      <c r="K899" s="107">
        <v>2024.3</v>
      </c>
    </row>
    <row r="900" s="90" customFormat="1" ht="15" spans="1:11">
      <c r="A900" s="98" t="s">
        <v>33</v>
      </c>
      <c r="B900" s="99" t="s">
        <v>9854</v>
      </c>
      <c r="C900" s="101" t="s">
        <v>8293</v>
      </c>
      <c r="D900" s="98" t="s">
        <v>4</v>
      </c>
      <c r="E900" s="98" t="s">
        <v>9855</v>
      </c>
      <c r="F900" s="98"/>
      <c r="G900" s="98" t="s">
        <v>206</v>
      </c>
      <c r="H900" s="100" t="s">
        <v>8215</v>
      </c>
      <c r="I900" s="100" t="s">
        <v>8625</v>
      </c>
      <c r="J900" s="100" t="s">
        <v>9856</v>
      </c>
      <c r="K900" s="107">
        <v>2024.4</v>
      </c>
    </row>
    <row r="901" ht="15" spans="1:11">
      <c r="A901" s="98" t="s">
        <v>33</v>
      </c>
      <c r="B901" s="100" t="s">
        <v>9857</v>
      </c>
      <c r="C901" s="98" t="s">
        <v>8229</v>
      </c>
      <c r="D901" s="101" t="s">
        <v>4</v>
      </c>
      <c r="E901" s="101" t="s">
        <v>9858</v>
      </c>
      <c r="F901" s="98"/>
      <c r="G901" s="98" t="s">
        <v>206</v>
      </c>
      <c r="H901" s="118" t="s">
        <v>8215</v>
      </c>
      <c r="I901" s="100" t="s">
        <v>8215</v>
      </c>
      <c r="J901" s="118" t="s">
        <v>9859</v>
      </c>
      <c r="K901" s="107"/>
    </row>
    <row r="902" ht="15" spans="1:11">
      <c r="A902" s="98" t="s">
        <v>33</v>
      </c>
      <c r="B902" s="99" t="s">
        <v>9860</v>
      </c>
      <c r="C902" s="98" t="s">
        <v>8229</v>
      </c>
      <c r="D902" s="101" t="s">
        <v>4</v>
      </c>
      <c r="E902" s="101" t="s">
        <v>9858</v>
      </c>
      <c r="F902" s="98"/>
      <c r="G902" s="98" t="s">
        <v>206</v>
      </c>
      <c r="H902" s="118" t="s">
        <v>8215</v>
      </c>
      <c r="I902" s="100" t="s">
        <v>8247</v>
      </c>
      <c r="J902" s="118" t="s">
        <v>9861</v>
      </c>
      <c r="K902" s="107"/>
    </row>
    <row r="903" ht="15" spans="1:11">
      <c r="A903" s="98" t="s">
        <v>33</v>
      </c>
      <c r="B903" s="100" t="s">
        <v>9862</v>
      </c>
      <c r="C903" s="98" t="s">
        <v>8218</v>
      </c>
      <c r="D903" s="101" t="s">
        <v>4</v>
      </c>
      <c r="E903" s="101" t="s">
        <v>9863</v>
      </c>
      <c r="F903" s="98"/>
      <c r="G903" s="98" t="s">
        <v>206</v>
      </c>
      <c r="H903" s="118" t="s">
        <v>8215</v>
      </c>
      <c r="I903" s="100" t="s">
        <v>8215</v>
      </c>
      <c r="J903" s="118" t="s">
        <v>9864</v>
      </c>
      <c r="K903" s="107"/>
    </row>
    <row r="904" ht="15" spans="1:11">
      <c r="A904" s="98" t="s">
        <v>33</v>
      </c>
      <c r="B904" s="99" t="s">
        <v>9865</v>
      </c>
      <c r="C904" s="98" t="s">
        <v>8240</v>
      </c>
      <c r="D904" s="101" t="s">
        <v>4</v>
      </c>
      <c r="E904" s="101" t="s">
        <v>9866</v>
      </c>
      <c r="F904" s="98"/>
      <c r="G904" s="98" t="s">
        <v>206</v>
      </c>
      <c r="H904" s="118" t="s">
        <v>8215</v>
      </c>
      <c r="I904" s="100" t="s">
        <v>8215</v>
      </c>
      <c r="J904" s="118" t="s">
        <v>9867</v>
      </c>
      <c r="K904" s="107"/>
    </row>
    <row r="905" ht="15" spans="1:11">
      <c r="A905" s="98" t="s">
        <v>33</v>
      </c>
      <c r="B905" s="99" t="s">
        <v>9868</v>
      </c>
      <c r="C905" s="98" t="s">
        <v>8240</v>
      </c>
      <c r="D905" s="101" t="s">
        <v>4</v>
      </c>
      <c r="E905" s="101" t="s">
        <v>9866</v>
      </c>
      <c r="F905" s="98"/>
      <c r="G905" s="98" t="s">
        <v>206</v>
      </c>
      <c r="H905" s="118" t="s">
        <v>8320</v>
      </c>
      <c r="I905" s="100" t="s">
        <v>8215</v>
      </c>
      <c r="J905" s="118" t="s">
        <v>9869</v>
      </c>
      <c r="K905" s="107"/>
    </row>
    <row r="906" s="89" customFormat="1" ht="15" spans="1:255">
      <c r="A906" s="98" t="s">
        <v>33</v>
      </c>
      <c r="B906" s="99" t="s">
        <v>9870</v>
      </c>
      <c r="C906" s="98" t="s">
        <v>8272</v>
      </c>
      <c r="D906" s="101" t="s">
        <v>4</v>
      </c>
      <c r="E906" s="101" t="s">
        <v>9871</v>
      </c>
      <c r="F906" s="98"/>
      <c r="G906" s="98" t="s">
        <v>206</v>
      </c>
      <c r="H906" s="118" t="s">
        <v>8215</v>
      </c>
      <c r="I906" s="100" t="s">
        <v>8215</v>
      </c>
      <c r="J906" s="118" t="s">
        <v>8907</v>
      </c>
      <c r="K906" s="107" t="s">
        <v>9872</v>
      </c>
      <c r="L906" s="90"/>
      <c r="M906" s="90"/>
      <c r="N906" s="90"/>
      <c r="O906" s="90"/>
      <c r="P906" s="90"/>
      <c r="Q906" s="90"/>
      <c r="R906" s="90"/>
      <c r="S906" s="90"/>
      <c r="T906" s="90"/>
      <c r="U906" s="90"/>
      <c r="V906" s="90"/>
      <c r="W906" s="90"/>
      <c r="X906" s="90"/>
      <c r="Y906" s="90"/>
      <c r="Z906" s="90"/>
      <c r="AA906" s="90"/>
      <c r="AB906" s="90"/>
      <c r="AC906" s="90"/>
      <c r="AD906" s="90"/>
      <c r="AE906" s="90"/>
      <c r="AF906" s="90"/>
      <c r="AG906" s="90"/>
      <c r="AH906" s="90"/>
      <c r="AI906" s="90"/>
      <c r="AJ906" s="90"/>
      <c r="AK906" s="90"/>
      <c r="AL906" s="90"/>
      <c r="AM906" s="90"/>
      <c r="AN906" s="90"/>
      <c r="AO906" s="90"/>
      <c r="AP906" s="90"/>
      <c r="AQ906" s="90"/>
      <c r="AR906" s="90"/>
      <c r="AS906" s="90"/>
      <c r="AT906" s="90"/>
      <c r="AU906" s="90"/>
      <c r="AV906" s="90"/>
      <c r="AW906" s="90"/>
      <c r="AX906" s="90"/>
      <c r="AY906" s="90"/>
      <c r="AZ906" s="90"/>
      <c r="BA906" s="90"/>
      <c r="BB906" s="90"/>
      <c r="BC906" s="90"/>
      <c r="BD906" s="90"/>
      <c r="BE906" s="90"/>
      <c r="BF906" s="90"/>
      <c r="BG906" s="90"/>
      <c r="BH906" s="90"/>
      <c r="BI906" s="90"/>
      <c r="BJ906" s="90"/>
      <c r="BK906" s="90"/>
      <c r="BL906" s="90"/>
      <c r="BM906" s="90"/>
      <c r="BN906" s="90"/>
      <c r="BO906" s="90"/>
      <c r="BP906" s="90"/>
      <c r="BQ906" s="90"/>
      <c r="BR906" s="90"/>
      <c r="BS906" s="90"/>
      <c r="BT906" s="90"/>
      <c r="BU906" s="90"/>
      <c r="BV906" s="90"/>
      <c r="BW906" s="90"/>
      <c r="BX906" s="90"/>
      <c r="BY906" s="90"/>
      <c r="BZ906" s="90"/>
      <c r="CA906" s="90"/>
      <c r="CB906" s="90"/>
      <c r="CC906" s="90"/>
      <c r="CD906" s="90"/>
      <c r="CE906" s="90"/>
      <c r="CF906" s="90"/>
      <c r="CG906" s="90"/>
      <c r="CH906" s="90"/>
      <c r="CI906" s="90"/>
      <c r="CJ906" s="90"/>
      <c r="CK906" s="90"/>
      <c r="CL906" s="90"/>
      <c r="CM906" s="90"/>
      <c r="CN906" s="90"/>
      <c r="CO906" s="90"/>
      <c r="CP906" s="90"/>
      <c r="CQ906" s="90"/>
      <c r="CR906" s="90"/>
      <c r="CS906" s="90"/>
      <c r="CT906" s="90"/>
      <c r="CU906" s="90"/>
      <c r="CV906" s="90"/>
      <c r="CW906" s="90"/>
      <c r="CX906" s="90"/>
      <c r="CY906" s="90"/>
      <c r="CZ906" s="90"/>
      <c r="DA906" s="90"/>
      <c r="DB906" s="90"/>
      <c r="DC906" s="90"/>
      <c r="DD906" s="90"/>
      <c r="DE906" s="90"/>
      <c r="DF906" s="90"/>
      <c r="DG906" s="90"/>
      <c r="DH906" s="90"/>
      <c r="DI906" s="90"/>
      <c r="DJ906" s="90"/>
      <c r="DK906" s="90"/>
      <c r="DL906" s="90"/>
      <c r="DM906" s="90"/>
      <c r="DN906" s="90"/>
      <c r="DO906" s="90"/>
      <c r="DP906" s="90"/>
      <c r="DQ906" s="90"/>
      <c r="DR906" s="90"/>
      <c r="DS906" s="90"/>
      <c r="DT906" s="90"/>
      <c r="DU906" s="90"/>
      <c r="DV906" s="90"/>
      <c r="DW906" s="90"/>
      <c r="DX906" s="90"/>
      <c r="DY906" s="90"/>
      <c r="DZ906" s="90"/>
      <c r="EA906" s="90"/>
      <c r="EB906" s="90"/>
      <c r="EC906" s="90"/>
      <c r="ED906" s="90"/>
      <c r="EE906" s="90"/>
      <c r="EF906" s="90"/>
      <c r="EG906" s="90"/>
      <c r="EH906" s="90"/>
      <c r="EI906" s="90"/>
      <c r="EJ906" s="90"/>
      <c r="EK906" s="90"/>
      <c r="EL906" s="90"/>
      <c r="EM906" s="90"/>
      <c r="EN906" s="90"/>
      <c r="EO906" s="90"/>
      <c r="EP906" s="90"/>
      <c r="EQ906" s="90"/>
      <c r="ER906" s="90"/>
      <c r="ES906" s="90"/>
      <c r="ET906" s="90"/>
      <c r="EU906" s="90"/>
      <c r="EV906" s="90"/>
      <c r="EW906" s="90"/>
      <c r="EX906" s="90"/>
      <c r="EY906" s="90"/>
      <c r="EZ906" s="90"/>
      <c r="FA906" s="90"/>
      <c r="FB906" s="90"/>
      <c r="FC906" s="90"/>
      <c r="FD906" s="90"/>
      <c r="FE906" s="90"/>
      <c r="FF906" s="90"/>
      <c r="FG906" s="90"/>
      <c r="FH906" s="90"/>
      <c r="FI906" s="90"/>
      <c r="FJ906" s="90"/>
      <c r="FK906" s="90"/>
      <c r="FL906" s="90"/>
      <c r="FM906" s="90"/>
      <c r="FN906" s="90"/>
      <c r="FO906" s="90"/>
      <c r="FP906" s="90"/>
      <c r="FQ906" s="90"/>
      <c r="FR906" s="90"/>
      <c r="FS906" s="90"/>
      <c r="FT906" s="90"/>
      <c r="FU906" s="90"/>
      <c r="FV906" s="90"/>
      <c r="FW906" s="90"/>
      <c r="FX906" s="90"/>
      <c r="FY906" s="90"/>
      <c r="FZ906" s="90"/>
      <c r="GA906" s="90"/>
      <c r="GB906" s="90"/>
      <c r="GC906" s="90"/>
      <c r="GD906" s="90"/>
      <c r="GE906" s="90"/>
      <c r="GF906" s="90"/>
      <c r="GG906" s="90"/>
      <c r="GH906" s="90"/>
      <c r="GI906" s="90"/>
      <c r="GJ906" s="90"/>
      <c r="GK906" s="90"/>
      <c r="GL906" s="90"/>
      <c r="GM906" s="90"/>
      <c r="GN906" s="90"/>
      <c r="GO906" s="90"/>
      <c r="GP906" s="90"/>
      <c r="GQ906" s="90"/>
      <c r="GR906" s="90"/>
      <c r="GS906" s="90"/>
      <c r="GT906" s="90"/>
      <c r="GU906" s="90"/>
      <c r="GV906" s="90"/>
      <c r="GW906" s="90"/>
      <c r="GX906" s="90"/>
      <c r="GY906" s="90"/>
      <c r="GZ906" s="90"/>
      <c r="HA906" s="90"/>
      <c r="HB906" s="90"/>
      <c r="HC906" s="90"/>
      <c r="HD906" s="90"/>
      <c r="HE906" s="90"/>
      <c r="HF906" s="90"/>
      <c r="HG906" s="90"/>
      <c r="HH906" s="90"/>
      <c r="HI906" s="90"/>
      <c r="HJ906" s="90"/>
      <c r="HK906" s="90"/>
      <c r="HL906" s="90"/>
      <c r="HM906" s="90"/>
      <c r="HN906" s="90"/>
      <c r="HO906" s="90"/>
      <c r="HP906" s="90"/>
      <c r="HQ906" s="90"/>
      <c r="HR906" s="90"/>
      <c r="HS906" s="90"/>
      <c r="HT906" s="90"/>
      <c r="HU906" s="90"/>
      <c r="HV906" s="90"/>
      <c r="HW906" s="90"/>
      <c r="HX906" s="90"/>
      <c r="HY906" s="90"/>
      <c r="HZ906" s="90"/>
      <c r="IA906" s="90"/>
      <c r="IB906" s="90"/>
      <c r="IC906" s="90"/>
      <c r="ID906" s="90"/>
      <c r="IE906" s="90"/>
      <c r="IF906" s="90"/>
      <c r="IG906" s="90"/>
      <c r="IH906" s="90"/>
      <c r="II906" s="90"/>
      <c r="IJ906" s="90"/>
      <c r="IK906" s="90"/>
      <c r="IL906" s="90"/>
      <c r="IM906" s="90"/>
      <c r="IN906" s="90"/>
      <c r="IO906" s="90"/>
      <c r="IP906" s="90"/>
      <c r="IQ906" s="90"/>
      <c r="IR906" s="90"/>
      <c r="IS906" s="90"/>
      <c r="IT906" s="90"/>
      <c r="IU906" s="90"/>
    </row>
    <row r="907" ht="15" spans="1:11">
      <c r="A907" s="98" t="s">
        <v>33</v>
      </c>
      <c r="B907" s="99" t="s">
        <v>9873</v>
      </c>
      <c r="C907" s="101" t="s">
        <v>8240</v>
      </c>
      <c r="D907" s="101" t="s">
        <v>4</v>
      </c>
      <c r="E907" s="101" t="s">
        <v>9874</v>
      </c>
      <c r="F907" s="98"/>
      <c r="G907" s="98" t="s">
        <v>206</v>
      </c>
      <c r="H907" s="118" t="s">
        <v>8215</v>
      </c>
      <c r="I907" s="100" t="s">
        <v>8247</v>
      </c>
      <c r="J907" s="118" t="s">
        <v>9875</v>
      </c>
      <c r="K907" s="107"/>
    </row>
    <row r="908" ht="15" spans="1:11">
      <c r="A908" s="98" t="s">
        <v>33</v>
      </c>
      <c r="B908" s="99" t="s">
        <v>9876</v>
      </c>
      <c r="C908" s="98" t="s">
        <v>8218</v>
      </c>
      <c r="D908" s="101" t="s">
        <v>4</v>
      </c>
      <c r="E908" s="101" t="s">
        <v>9877</v>
      </c>
      <c r="F908" s="98"/>
      <c r="G908" s="98" t="s">
        <v>206</v>
      </c>
      <c r="H908" s="118" t="s">
        <v>8215</v>
      </c>
      <c r="I908" s="100" t="s">
        <v>8215</v>
      </c>
      <c r="J908" s="118" t="s">
        <v>9878</v>
      </c>
      <c r="K908" s="107"/>
    </row>
    <row r="909" ht="15" spans="1:11">
      <c r="A909" s="98" t="s">
        <v>33</v>
      </c>
      <c r="B909" s="99" t="s">
        <v>9879</v>
      </c>
      <c r="C909" s="98" t="s">
        <v>8229</v>
      </c>
      <c r="D909" s="101" t="s">
        <v>5</v>
      </c>
      <c r="E909" s="101" t="s">
        <v>9880</v>
      </c>
      <c r="F909" s="98"/>
      <c r="G909" s="98" t="s">
        <v>206</v>
      </c>
      <c r="H909" s="118" t="s">
        <v>8215</v>
      </c>
      <c r="I909" s="100" t="s">
        <v>8215</v>
      </c>
      <c r="J909" s="101" t="s">
        <v>9881</v>
      </c>
      <c r="K909" s="107"/>
    </row>
    <row r="910" ht="15" spans="1:11">
      <c r="A910" s="98" t="s">
        <v>33</v>
      </c>
      <c r="B910" s="99" t="s">
        <v>9882</v>
      </c>
      <c r="C910" s="98" t="s">
        <v>9590</v>
      </c>
      <c r="D910" s="101" t="s">
        <v>4</v>
      </c>
      <c r="E910" s="101" t="s">
        <v>9883</v>
      </c>
      <c r="F910" s="98"/>
      <c r="G910" s="98" t="s">
        <v>206</v>
      </c>
      <c r="H910" s="118"/>
      <c r="I910" s="100"/>
      <c r="J910" s="101" t="s">
        <v>8314</v>
      </c>
      <c r="K910" s="107"/>
    </row>
    <row r="911" ht="15" spans="1:11">
      <c r="A911" s="98" t="s">
        <v>33</v>
      </c>
      <c r="B911" s="99" t="s">
        <v>9884</v>
      </c>
      <c r="C911" s="98" t="s">
        <v>8218</v>
      </c>
      <c r="D911" s="101" t="s">
        <v>4</v>
      </c>
      <c r="E911" s="101" t="s">
        <v>9885</v>
      </c>
      <c r="F911" s="98"/>
      <c r="G911" s="98" t="s">
        <v>206</v>
      </c>
      <c r="H911" s="118" t="s">
        <v>8215</v>
      </c>
      <c r="I911" s="100" t="s">
        <v>8215</v>
      </c>
      <c r="J911" s="101" t="s">
        <v>9886</v>
      </c>
      <c r="K911" s="107"/>
    </row>
    <row r="912" ht="15" spans="1:11">
      <c r="A912" s="98" t="s">
        <v>33</v>
      </c>
      <c r="B912" s="99" t="s">
        <v>9887</v>
      </c>
      <c r="C912" s="98" t="s">
        <v>8229</v>
      </c>
      <c r="D912" s="101" t="s">
        <v>4</v>
      </c>
      <c r="E912" s="101" t="s">
        <v>9885</v>
      </c>
      <c r="F912" s="98"/>
      <c r="G912" s="98" t="s">
        <v>206</v>
      </c>
      <c r="H912" s="118" t="s">
        <v>8215</v>
      </c>
      <c r="I912" s="100" t="s">
        <v>8215</v>
      </c>
      <c r="J912" s="101" t="s">
        <v>8459</v>
      </c>
      <c r="K912" s="107"/>
    </row>
    <row r="913" ht="15" spans="1:11">
      <c r="A913" s="98" t="s">
        <v>33</v>
      </c>
      <c r="B913" s="99" t="s">
        <v>9888</v>
      </c>
      <c r="C913" s="98" t="s">
        <v>8240</v>
      </c>
      <c r="D913" s="101" t="s">
        <v>4</v>
      </c>
      <c r="E913" s="101" t="s">
        <v>9889</v>
      </c>
      <c r="F913" s="98"/>
      <c r="G913" s="98" t="s">
        <v>206</v>
      </c>
      <c r="H913" s="118" t="s">
        <v>8215</v>
      </c>
      <c r="I913" s="100" t="s">
        <v>8215</v>
      </c>
      <c r="J913" s="101" t="s">
        <v>8459</v>
      </c>
      <c r="K913" s="107"/>
    </row>
    <row r="914" ht="15" spans="1:11">
      <c r="A914" s="98" t="s">
        <v>33</v>
      </c>
      <c r="B914" s="99" t="s">
        <v>9890</v>
      </c>
      <c r="C914" s="98" t="s">
        <v>8229</v>
      </c>
      <c r="D914" s="101" t="s">
        <v>4</v>
      </c>
      <c r="E914" s="101" t="s">
        <v>9889</v>
      </c>
      <c r="F914" s="98"/>
      <c r="G914" s="98" t="s">
        <v>206</v>
      </c>
      <c r="H914" s="118" t="s">
        <v>8215</v>
      </c>
      <c r="I914" s="100" t="s">
        <v>8215</v>
      </c>
      <c r="J914" s="101" t="s">
        <v>8459</v>
      </c>
      <c r="K914" s="107"/>
    </row>
    <row r="915" ht="15" spans="1:11">
      <c r="A915" s="98" t="s">
        <v>33</v>
      </c>
      <c r="B915" s="99" t="s">
        <v>9891</v>
      </c>
      <c r="C915" s="98" t="s">
        <v>8229</v>
      </c>
      <c r="D915" s="101" t="s">
        <v>4</v>
      </c>
      <c r="E915" s="101" t="s">
        <v>9889</v>
      </c>
      <c r="F915" s="98" t="s">
        <v>1025</v>
      </c>
      <c r="G915" s="98" t="s">
        <v>206</v>
      </c>
      <c r="H915" s="100"/>
      <c r="I915" s="100"/>
      <c r="J915" s="100"/>
      <c r="K915" s="107"/>
    </row>
    <row r="916" ht="15" spans="1:11">
      <c r="A916" s="98" t="s">
        <v>33</v>
      </c>
      <c r="B916" s="99" t="s">
        <v>9892</v>
      </c>
      <c r="C916" s="98" t="s">
        <v>8218</v>
      </c>
      <c r="D916" s="101" t="s">
        <v>4</v>
      </c>
      <c r="E916" s="101" t="s">
        <v>9893</v>
      </c>
      <c r="F916" s="98"/>
      <c r="G916" s="98" t="s">
        <v>206</v>
      </c>
      <c r="H916" s="100" t="s">
        <v>8215</v>
      </c>
      <c r="I916" s="100" t="s">
        <v>8215</v>
      </c>
      <c r="J916" s="134" t="s">
        <v>8459</v>
      </c>
      <c r="K916" s="107"/>
    </row>
    <row r="917" ht="15" spans="1:11">
      <c r="A917" s="98" t="s">
        <v>33</v>
      </c>
      <c r="B917" s="99" t="s">
        <v>9894</v>
      </c>
      <c r="C917" s="98" t="s">
        <v>8229</v>
      </c>
      <c r="D917" s="101" t="s">
        <v>4</v>
      </c>
      <c r="E917" s="101" t="s">
        <v>9893</v>
      </c>
      <c r="F917" s="98"/>
      <c r="G917" s="98" t="s">
        <v>206</v>
      </c>
      <c r="H917" s="100" t="s">
        <v>8215</v>
      </c>
      <c r="I917" s="100" t="s">
        <v>8215</v>
      </c>
      <c r="J917" s="134" t="s">
        <v>9895</v>
      </c>
      <c r="K917" s="107"/>
    </row>
    <row r="918" ht="15" spans="1:11">
      <c r="A918" s="98" t="s">
        <v>33</v>
      </c>
      <c r="B918" s="99" t="s">
        <v>9896</v>
      </c>
      <c r="C918" s="98" t="s">
        <v>8229</v>
      </c>
      <c r="D918" s="101" t="s">
        <v>4</v>
      </c>
      <c r="E918" s="101" t="s">
        <v>9893</v>
      </c>
      <c r="F918" s="98"/>
      <c r="G918" s="98" t="s">
        <v>206</v>
      </c>
      <c r="H918" s="100" t="s">
        <v>8215</v>
      </c>
      <c r="I918" s="100" t="s">
        <v>8215</v>
      </c>
      <c r="J918" s="101" t="s">
        <v>9897</v>
      </c>
      <c r="K918" s="107"/>
    </row>
    <row r="919" ht="15" spans="1:11">
      <c r="A919" s="98" t="s">
        <v>33</v>
      </c>
      <c r="B919" s="99" t="s">
        <v>9898</v>
      </c>
      <c r="C919" s="98" t="s">
        <v>8229</v>
      </c>
      <c r="D919" s="101" t="s">
        <v>4</v>
      </c>
      <c r="E919" s="101" t="s">
        <v>9893</v>
      </c>
      <c r="F919" s="98"/>
      <c r="G919" s="98" t="s">
        <v>206</v>
      </c>
      <c r="H919" s="100" t="s">
        <v>8215</v>
      </c>
      <c r="I919" s="100" t="s">
        <v>8215</v>
      </c>
      <c r="J919" s="101" t="s">
        <v>8459</v>
      </c>
      <c r="K919" s="107"/>
    </row>
    <row r="920" ht="15" spans="1:11">
      <c r="A920" s="98" t="s">
        <v>33</v>
      </c>
      <c r="B920" s="99" t="s">
        <v>9899</v>
      </c>
      <c r="C920" s="98" t="s">
        <v>8229</v>
      </c>
      <c r="D920" s="101" t="s">
        <v>4</v>
      </c>
      <c r="E920" s="101" t="s">
        <v>9893</v>
      </c>
      <c r="F920" s="98"/>
      <c r="G920" s="98" t="s">
        <v>206</v>
      </c>
      <c r="H920" s="100" t="s">
        <v>8215</v>
      </c>
      <c r="I920" s="100" t="s">
        <v>8215</v>
      </c>
      <c r="J920" s="134" t="s">
        <v>8388</v>
      </c>
      <c r="K920" s="107"/>
    </row>
    <row r="921" ht="15" spans="1:11">
      <c r="A921" s="98" t="s">
        <v>33</v>
      </c>
      <c r="B921" s="99" t="s">
        <v>9900</v>
      </c>
      <c r="C921" s="98" t="s">
        <v>8229</v>
      </c>
      <c r="D921" s="101" t="s">
        <v>4</v>
      </c>
      <c r="E921" s="101" t="s">
        <v>9893</v>
      </c>
      <c r="F921" s="98"/>
      <c r="G921" s="98" t="s">
        <v>206</v>
      </c>
      <c r="H921" s="100" t="s">
        <v>8215</v>
      </c>
      <c r="I921" s="100" t="s">
        <v>8215</v>
      </c>
      <c r="J921" s="134" t="s">
        <v>9286</v>
      </c>
      <c r="K921" s="107"/>
    </row>
    <row r="922" ht="15" spans="1:11">
      <c r="A922" s="98" t="s">
        <v>33</v>
      </c>
      <c r="B922" s="99" t="s">
        <v>9901</v>
      </c>
      <c r="C922" s="98" t="s">
        <v>8229</v>
      </c>
      <c r="D922" s="101" t="s">
        <v>4</v>
      </c>
      <c r="E922" s="101" t="s">
        <v>9893</v>
      </c>
      <c r="F922" s="98"/>
      <c r="G922" s="98" t="s">
        <v>206</v>
      </c>
      <c r="H922" s="100" t="s">
        <v>8215</v>
      </c>
      <c r="I922" s="100" t="s">
        <v>8215</v>
      </c>
      <c r="J922" s="134" t="s">
        <v>9286</v>
      </c>
      <c r="K922" s="107"/>
    </row>
    <row r="923" ht="15" spans="1:11">
      <c r="A923" s="98" t="s">
        <v>33</v>
      </c>
      <c r="B923" s="99" t="s">
        <v>9902</v>
      </c>
      <c r="C923" s="98" t="s">
        <v>8240</v>
      </c>
      <c r="D923" s="101" t="s">
        <v>4</v>
      </c>
      <c r="E923" s="101" t="s">
        <v>9893</v>
      </c>
      <c r="F923" s="98"/>
      <c r="G923" s="98" t="s">
        <v>206</v>
      </c>
      <c r="H923" s="100" t="s">
        <v>8215</v>
      </c>
      <c r="I923" s="100" t="s">
        <v>8215</v>
      </c>
      <c r="J923" s="134" t="s">
        <v>8463</v>
      </c>
      <c r="K923" s="107"/>
    </row>
    <row r="924" ht="15" spans="1:11">
      <c r="A924" s="98" t="s">
        <v>33</v>
      </c>
      <c r="B924" s="99" t="s">
        <v>9903</v>
      </c>
      <c r="C924" s="98" t="s">
        <v>8229</v>
      </c>
      <c r="D924" s="101" t="s">
        <v>4</v>
      </c>
      <c r="E924" s="101" t="s">
        <v>9904</v>
      </c>
      <c r="F924" s="98"/>
      <c r="G924" s="98" t="s">
        <v>206</v>
      </c>
      <c r="H924" s="100" t="s">
        <v>8215</v>
      </c>
      <c r="I924" s="100" t="s">
        <v>8215</v>
      </c>
      <c r="J924" s="100" t="s">
        <v>9905</v>
      </c>
      <c r="K924" s="107"/>
    </row>
    <row r="925" ht="15" spans="1:11">
      <c r="A925" s="98" t="s">
        <v>33</v>
      </c>
      <c r="B925" s="99" t="s">
        <v>9906</v>
      </c>
      <c r="C925" s="98" t="s">
        <v>8229</v>
      </c>
      <c r="D925" s="101" t="s">
        <v>4</v>
      </c>
      <c r="E925" s="101" t="s">
        <v>9904</v>
      </c>
      <c r="F925" s="98"/>
      <c r="G925" s="98" t="s">
        <v>206</v>
      </c>
      <c r="H925" s="100" t="s">
        <v>8215</v>
      </c>
      <c r="I925" s="100" t="s">
        <v>8215</v>
      </c>
      <c r="J925" s="100" t="s">
        <v>9905</v>
      </c>
      <c r="K925" s="107"/>
    </row>
    <row r="926" ht="15" spans="1:11">
      <c r="A926" s="98" t="s">
        <v>33</v>
      </c>
      <c r="B926" s="99" t="s">
        <v>9907</v>
      </c>
      <c r="C926" s="98" t="s">
        <v>8229</v>
      </c>
      <c r="D926" s="101" t="s">
        <v>4</v>
      </c>
      <c r="E926" s="101" t="s">
        <v>9904</v>
      </c>
      <c r="F926" s="98"/>
      <c r="G926" s="98" t="s">
        <v>206</v>
      </c>
      <c r="H926" s="100" t="s">
        <v>8215</v>
      </c>
      <c r="I926" s="100" t="s">
        <v>8215</v>
      </c>
      <c r="J926" s="100" t="s">
        <v>9905</v>
      </c>
      <c r="K926" s="107"/>
    </row>
    <row r="927" ht="15" spans="1:11">
      <c r="A927" s="98" t="s">
        <v>33</v>
      </c>
      <c r="B927" s="99" t="s">
        <v>9908</v>
      </c>
      <c r="C927" s="98" t="s">
        <v>8218</v>
      </c>
      <c r="D927" s="101" t="s">
        <v>4</v>
      </c>
      <c r="E927" s="101" t="s">
        <v>9909</v>
      </c>
      <c r="F927" s="98"/>
      <c r="G927" s="98" t="s">
        <v>206</v>
      </c>
      <c r="H927" s="100" t="s">
        <v>8215</v>
      </c>
      <c r="I927" s="100" t="s">
        <v>8215</v>
      </c>
      <c r="J927" s="100" t="s">
        <v>9905</v>
      </c>
      <c r="K927" s="107"/>
    </row>
    <row r="928" ht="15" spans="1:11">
      <c r="A928" s="98" t="s">
        <v>33</v>
      </c>
      <c r="B928" s="99" t="s">
        <v>9910</v>
      </c>
      <c r="C928" s="98" t="s">
        <v>8240</v>
      </c>
      <c r="D928" s="101" t="s">
        <v>4</v>
      </c>
      <c r="E928" s="101" t="s">
        <v>9909</v>
      </c>
      <c r="F928" s="98"/>
      <c r="G928" s="98" t="s">
        <v>206</v>
      </c>
      <c r="H928" s="100" t="s">
        <v>8215</v>
      </c>
      <c r="I928" s="100" t="s">
        <v>8247</v>
      </c>
      <c r="J928" s="100" t="s">
        <v>8220</v>
      </c>
      <c r="K928" s="107"/>
    </row>
    <row r="929" ht="15" spans="1:11">
      <c r="A929" s="98" t="s">
        <v>33</v>
      </c>
      <c r="B929" s="99" t="s">
        <v>9911</v>
      </c>
      <c r="C929" s="98" t="s">
        <v>8218</v>
      </c>
      <c r="D929" s="101" t="s">
        <v>4</v>
      </c>
      <c r="E929" s="101" t="s">
        <v>9912</v>
      </c>
      <c r="F929" s="98"/>
      <c r="G929" s="98" t="s">
        <v>206</v>
      </c>
      <c r="H929" s="100" t="s">
        <v>8215</v>
      </c>
      <c r="I929" s="100" t="s">
        <v>8215</v>
      </c>
      <c r="J929" s="100" t="s">
        <v>9905</v>
      </c>
      <c r="K929" s="107"/>
    </row>
    <row r="930" ht="15" spans="1:11">
      <c r="A930" s="98" t="s">
        <v>33</v>
      </c>
      <c r="B930" s="99" t="s">
        <v>9913</v>
      </c>
      <c r="C930" s="98" t="s">
        <v>8229</v>
      </c>
      <c r="D930" s="101" t="s">
        <v>4</v>
      </c>
      <c r="E930" s="101" t="s">
        <v>9914</v>
      </c>
      <c r="F930" s="98"/>
      <c r="G930" s="98" t="s">
        <v>206</v>
      </c>
      <c r="H930" s="100" t="s">
        <v>8320</v>
      </c>
      <c r="I930" s="100" t="s">
        <v>8215</v>
      </c>
      <c r="J930" s="100" t="s">
        <v>8220</v>
      </c>
      <c r="K930" s="107"/>
    </row>
    <row r="931" ht="15" spans="1:11">
      <c r="A931" s="98" t="s">
        <v>33</v>
      </c>
      <c r="B931" s="99" t="s">
        <v>9915</v>
      </c>
      <c r="C931" s="98" t="s">
        <v>8229</v>
      </c>
      <c r="D931" s="101" t="s">
        <v>4</v>
      </c>
      <c r="E931" s="101" t="s">
        <v>9914</v>
      </c>
      <c r="F931" s="98"/>
      <c r="G931" s="98" t="s">
        <v>206</v>
      </c>
      <c r="H931" s="100" t="s">
        <v>8215</v>
      </c>
      <c r="I931" s="100" t="s">
        <v>8247</v>
      </c>
      <c r="J931" s="100" t="s">
        <v>8220</v>
      </c>
      <c r="K931" s="107"/>
    </row>
    <row r="932" ht="15" spans="1:11">
      <c r="A932" s="98" t="s">
        <v>33</v>
      </c>
      <c r="B932" s="99" t="s">
        <v>9916</v>
      </c>
      <c r="C932" s="98" t="s">
        <v>8240</v>
      </c>
      <c r="D932" s="101" t="s">
        <v>4</v>
      </c>
      <c r="E932" s="101" t="s">
        <v>9917</v>
      </c>
      <c r="F932" s="98"/>
      <c r="G932" s="98" t="s">
        <v>206</v>
      </c>
      <c r="H932" s="100" t="s">
        <v>8215</v>
      </c>
      <c r="I932" s="100" t="s">
        <v>8215</v>
      </c>
      <c r="J932" s="100" t="s">
        <v>8286</v>
      </c>
      <c r="K932" s="107"/>
    </row>
    <row r="933" s="89" customFormat="1" ht="15" spans="1:255">
      <c r="A933" s="98" t="s">
        <v>33</v>
      </c>
      <c r="B933" s="99" t="s">
        <v>9918</v>
      </c>
      <c r="C933" s="98" t="s">
        <v>8272</v>
      </c>
      <c r="D933" s="101" t="s">
        <v>4</v>
      </c>
      <c r="E933" s="101" t="s">
        <v>9919</v>
      </c>
      <c r="F933" s="98"/>
      <c r="G933" s="98" t="s">
        <v>206</v>
      </c>
      <c r="H933" s="100" t="s">
        <v>8215</v>
      </c>
      <c r="I933" s="100" t="s">
        <v>8215</v>
      </c>
      <c r="J933" s="100" t="s">
        <v>9920</v>
      </c>
      <c r="K933" s="107" t="s">
        <v>8512</v>
      </c>
      <c r="L933" s="90"/>
      <c r="M933" s="90"/>
      <c r="N933" s="90"/>
      <c r="O933" s="90"/>
      <c r="P933" s="90"/>
      <c r="Q933" s="90"/>
      <c r="R933" s="90"/>
      <c r="S933" s="90"/>
      <c r="T933" s="90"/>
      <c r="U933" s="90"/>
      <c r="V933" s="90"/>
      <c r="W933" s="90"/>
      <c r="X933" s="90"/>
      <c r="Y933" s="90"/>
      <c r="Z933" s="90"/>
      <c r="AA933" s="90"/>
      <c r="AB933" s="90"/>
      <c r="AC933" s="90"/>
      <c r="AD933" s="90"/>
      <c r="AE933" s="90"/>
      <c r="AF933" s="90"/>
      <c r="AG933" s="90"/>
      <c r="AH933" s="90"/>
      <c r="AI933" s="90"/>
      <c r="AJ933" s="90"/>
      <c r="AK933" s="90"/>
      <c r="AL933" s="90"/>
      <c r="AM933" s="90"/>
      <c r="AN933" s="90"/>
      <c r="AO933" s="90"/>
      <c r="AP933" s="90"/>
      <c r="AQ933" s="90"/>
      <c r="AR933" s="90"/>
      <c r="AS933" s="90"/>
      <c r="AT933" s="90"/>
      <c r="AU933" s="90"/>
      <c r="AV933" s="90"/>
      <c r="AW933" s="90"/>
      <c r="AX933" s="90"/>
      <c r="AY933" s="90"/>
      <c r="AZ933" s="90"/>
      <c r="BA933" s="90"/>
      <c r="BB933" s="90"/>
      <c r="BC933" s="90"/>
      <c r="BD933" s="90"/>
      <c r="BE933" s="90"/>
      <c r="BF933" s="90"/>
      <c r="BG933" s="90"/>
      <c r="BH933" s="90"/>
      <c r="BI933" s="90"/>
      <c r="BJ933" s="90"/>
      <c r="BK933" s="90"/>
      <c r="BL933" s="90"/>
      <c r="BM933" s="90"/>
      <c r="BN933" s="90"/>
      <c r="BO933" s="90"/>
      <c r="BP933" s="90"/>
      <c r="BQ933" s="90"/>
      <c r="BR933" s="90"/>
      <c r="BS933" s="90"/>
      <c r="BT933" s="90"/>
      <c r="BU933" s="90"/>
      <c r="BV933" s="90"/>
      <c r="BW933" s="90"/>
      <c r="BX933" s="90"/>
      <c r="BY933" s="90"/>
      <c r="BZ933" s="90"/>
      <c r="CA933" s="90"/>
      <c r="CB933" s="90"/>
      <c r="CC933" s="90"/>
      <c r="CD933" s="90"/>
      <c r="CE933" s="90"/>
      <c r="CF933" s="90"/>
      <c r="CG933" s="90"/>
      <c r="CH933" s="90"/>
      <c r="CI933" s="90"/>
      <c r="CJ933" s="90"/>
      <c r="CK933" s="90"/>
      <c r="CL933" s="90"/>
      <c r="CM933" s="90"/>
      <c r="CN933" s="90"/>
      <c r="CO933" s="90"/>
      <c r="CP933" s="90"/>
      <c r="CQ933" s="90"/>
      <c r="CR933" s="90"/>
      <c r="CS933" s="90"/>
      <c r="CT933" s="90"/>
      <c r="CU933" s="90"/>
      <c r="CV933" s="90"/>
      <c r="CW933" s="90"/>
      <c r="CX933" s="90"/>
      <c r="CY933" s="90"/>
      <c r="CZ933" s="90"/>
      <c r="DA933" s="90"/>
      <c r="DB933" s="90"/>
      <c r="DC933" s="90"/>
      <c r="DD933" s="90"/>
      <c r="DE933" s="90"/>
      <c r="DF933" s="90"/>
      <c r="DG933" s="90"/>
      <c r="DH933" s="90"/>
      <c r="DI933" s="90"/>
      <c r="DJ933" s="90"/>
      <c r="DK933" s="90"/>
      <c r="DL933" s="90"/>
      <c r="DM933" s="90"/>
      <c r="DN933" s="90"/>
      <c r="DO933" s="90"/>
      <c r="DP933" s="90"/>
      <c r="DQ933" s="90"/>
      <c r="DR933" s="90"/>
      <c r="DS933" s="90"/>
      <c r="DT933" s="90"/>
      <c r="DU933" s="90"/>
      <c r="DV933" s="90"/>
      <c r="DW933" s="90"/>
      <c r="DX933" s="90"/>
      <c r="DY933" s="90"/>
      <c r="DZ933" s="90"/>
      <c r="EA933" s="90"/>
      <c r="EB933" s="90"/>
      <c r="EC933" s="90"/>
      <c r="ED933" s="90"/>
      <c r="EE933" s="90"/>
      <c r="EF933" s="90"/>
      <c r="EG933" s="90"/>
      <c r="EH933" s="90"/>
      <c r="EI933" s="90"/>
      <c r="EJ933" s="90"/>
      <c r="EK933" s="90"/>
      <c r="EL933" s="90"/>
      <c r="EM933" s="90"/>
      <c r="EN933" s="90"/>
      <c r="EO933" s="90"/>
      <c r="EP933" s="90"/>
      <c r="EQ933" s="90"/>
      <c r="ER933" s="90"/>
      <c r="ES933" s="90"/>
      <c r="ET933" s="90"/>
      <c r="EU933" s="90"/>
      <c r="EV933" s="90"/>
      <c r="EW933" s="90"/>
      <c r="EX933" s="90"/>
      <c r="EY933" s="90"/>
      <c r="EZ933" s="90"/>
      <c r="FA933" s="90"/>
      <c r="FB933" s="90"/>
      <c r="FC933" s="90"/>
      <c r="FD933" s="90"/>
      <c r="FE933" s="90"/>
      <c r="FF933" s="90"/>
      <c r="FG933" s="90"/>
      <c r="FH933" s="90"/>
      <c r="FI933" s="90"/>
      <c r="FJ933" s="90"/>
      <c r="FK933" s="90"/>
      <c r="FL933" s="90"/>
      <c r="FM933" s="90"/>
      <c r="FN933" s="90"/>
      <c r="FO933" s="90"/>
      <c r="FP933" s="90"/>
      <c r="FQ933" s="90"/>
      <c r="FR933" s="90"/>
      <c r="FS933" s="90"/>
      <c r="FT933" s="90"/>
      <c r="FU933" s="90"/>
      <c r="FV933" s="90"/>
      <c r="FW933" s="90"/>
      <c r="FX933" s="90"/>
      <c r="FY933" s="90"/>
      <c r="FZ933" s="90"/>
      <c r="GA933" s="90"/>
      <c r="GB933" s="90"/>
      <c r="GC933" s="90"/>
      <c r="GD933" s="90"/>
      <c r="GE933" s="90"/>
      <c r="GF933" s="90"/>
      <c r="GG933" s="90"/>
      <c r="GH933" s="90"/>
      <c r="GI933" s="90"/>
      <c r="GJ933" s="90"/>
      <c r="GK933" s="90"/>
      <c r="GL933" s="90"/>
      <c r="GM933" s="90"/>
      <c r="GN933" s="90"/>
      <c r="GO933" s="90"/>
      <c r="GP933" s="90"/>
      <c r="GQ933" s="90"/>
      <c r="GR933" s="90"/>
      <c r="GS933" s="90"/>
      <c r="GT933" s="90"/>
      <c r="GU933" s="90"/>
      <c r="GV933" s="90"/>
      <c r="GW933" s="90"/>
      <c r="GX933" s="90"/>
      <c r="GY933" s="90"/>
      <c r="GZ933" s="90"/>
      <c r="HA933" s="90"/>
      <c r="HB933" s="90"/>
      <c r="HC933" s="90"/>
      <c r="HD933" s="90"/>
      <c r="HE933" s="90"/>
      <c r="HF933" s="90"/>
      <c r="HG933" s="90"/>
      <c r="HH933" s="90"/>
      <c r="HI933" s="90"/>
      <c r="HJ933" s="90"/>
      <c r="HK933" s="90"/>
      <c r="HL933" s="90"/>
      <c r="HM933" s="90"/>
      <c r="HN933" s="90"/>
      <c r="HO933" s="90"/>
      <c r="HP933" s="90"/>
      <c r="HQ933" s="90"/>
      <c r="HR933" s="90"/>
      <c r="HS933" s="90"/>
      <c r="HT933" s="90"/>
      <c r="HU933" s="90"/>
      <c r="HV933" s="90"/>
      <c r="HW933" s="90"/>
      <c r="HX933" s="90"/>
      <c r="HY933" s="90"/>
      <c r="HZ933" s="90"/>
      <c r="IA933" s="90"/>
      <c r="IB933" s="90"/>
      <c r="IC933" s="90"/>
      <c r="ID933" s="90"/>
      <c r="IE933" s="90"/>
      <c r="IF933" s="90"/>
      <c r="IG933" s="90"/>
      <c r="IH933" s="90"/>
      <c r="II933" s="90"/>
      <c r="IJ933" s="90"/>
      <c r="IK933" s="90"/>
      <c r="IL933" s="90"/>
      <c r="IM933" s="90"/>
      <c r="IN933" s="90"/>
      <c r="IO933" s="90"/>
      <c r="IP933" s="90"/>
      <c r="IQ933" s="90"/>
      <c r="IR933" s="90"/>
      <c r="IS933" s="90"/>
      <c r="IT933" s="90"/>
      <c r="IU933" s="90"/>
    </row>
    <row r="934" ht="15" spans="1:11">
      <c r="A934" s="98" t="s">
        <v>33</v>
      </c>
      <c r="B934" s="99" t="s">
        <v>9921</v>
      </c>
      <c r="C934" s="98" t="s">
        <v>8240</v>
      </c>
      <c r="D934" s="101" t="s">
        <v>4</v>
      </c>
      <c r="E934" s="101" t="s">
        <v>9922</v>
      </c>
      <c r="F934" s="98"/>
      <c r="G934" s="98" t="s">
        <v>206</v>
      </c>
      <c r="H934" s="100" t="s">
        <v>8320</v>
      </c>
      <c r="I934" s="100" t="s">
        <v>8215</v>
      </c>
      <c r="J934" s="135" t="s">
        <v>8220</v>
      </c>
      <c r="K934" s="107"/>
    </row>
    <row r="935" ht="15" spans="1:11">
      <c r="A935" s="98" t="s">
        <v>33</v>
      </c>
      <c r="B935" s="100" t="s">
        <v>9923</v>
      </c>
      <c r="C935" s="98" t="s">
        <v>8229</v>
      </c>
      <c r="D935" s="101" t="s">
        <v>4</v>
      </c>
      <c r="E935" s="101" t="s">
        <v>9924</v>
      </c>
      <c r="F935" s="98"/>
      <c r="G935" s="98" t="s">
        <v>206</v>
      </c>
      <c r="H935" s="100" t="s">
        <v>8215</v>
      </c>
      <c r="I935" s="100" t="s">
        <v>8247</v>
      </c>
      <c r="J935" s="100" t="s">
        <v>8220</v>
      </c>
      <c r="K935" s="107"/>
    </row>
    <row r="936" ht="15" spans="1:11">
      <c r="A936" s="98" t="s">
        <v>33</v>
      </c>
      <c r="B936" s="100" t="s">
        <v>9925</v>
      </c>
      <c r="C936" s="98" t="s">
        <v>8218</v>
      </c>
      <c r="D936" s="101" t="s">
        <v>4</v>
      </c>
      <c r="E936" s="101" t="s">
        <v>9924</v>
      </c>
      <c r="F936" s="98"/>
      <c r="G936" s="98" t="s">
        <v>206</v>
      </c>
      <c r="H936" s="100" t="s">
        <v>8215</v>
      </c>
      <c r="I936" s="100" t="s">
        <v>8215</v>
      </c>
      <c r="J936" s="100" t="s">
        <v>9905</v>
      </c>
      <c r="K936" s="107"/>
    </row>
    <row r="937" ht="15" spans="1:11">
      <c r="A937" s="98" t="s">
        <v>33</v>
      </c>
      <c r="B937" s="100" t="s">
        <v>9926</v>
      </c>
      <c r="C937" s="98" t="s">
        <v>8240</v>
      </c>
      <c r="D937" s="101" t="s">
        <v>4</v>
      </c>
      <c r="E937" s="101" t="s">
        <v>9922</v>
      </c>
      <c r="F937" s="98"/>
      <c r="G937" s="98" t="s">
        <v>206</v>
      </c>
      <c r="H937" s="100" t="s">
        <v>8320</v>
      </c>
      <c r="I937" s="100" t="s">
        <v>8215</v>
      </c>
      <c r="J937" s="135" t="s">
        <v>8220</v>
      </c>
      <c r="K937" s="107"/>
    </row>
    <row r="938" ht="15" spans="1:11">
      <c r="A938" s="98" t="s">
        <v>33</v>
      </c>
      <c r="B938" s="99" t="s">
        <v>9927</v>
      </c>
      <c r="C938" s="98" t="s">
        <v>8240</v>
      </c>
      <c r="D938" s="101" t="s">
        <v>4</v>
      </c>
      <c r="E938" s="101" t="s">
        <v>9922</v>
      </c>
      <c r="F938" s="98"/>
      <c r="G938" s="98" t="s">
        <v>206</v>
      </c>
      <c r="H938" s="100" t="s">
        <v>8320</v>
      </c>
      <c r="I938" s="100" t="s">
        <v>8215</v>
      </c>
      <c r="J938" s="135" t="s">
        <v>8220</v>
      </c>
      <c r="K938" s="107"/>
    </row>
    <row r="939" ht="15" spans="1:11">
      <c r="A939" s="98" t="s">
        <v>33</v>
      </c>
      <c r="B939" s="100" t="s">
        <v>9928</v>
      </c>
      <c r="C939" s="98" t="s">
        <v>8229</v>
      </c>
      <c r="D939" s="101" t="s">
        <v>4</v>
      </c>
      <c r="E939" s="101" t="s">
        <v>8313</v>
      </c>
      <c r="F939" s="98"/>
      <c r="G939" s="98" t="s">
        <v>206</v>
      </c>
      <c r="H939" s="100" t="s">
        <v>8215</v>
      </c>
      <c r="I939" s="100" t="s">
        <v>8247</v>
      </c>
      <c r="J939" s="135" t="s">
        <v>8220</v>
      </c>
      <c r="K939" s="107"/>
    </row>
    <row r="940" ht="15" spans="1:11">
      <c r="A940" s="98" t="s">
        <v>33</v>
      </c>
      <c r="B940" s="99" t="s">
        <v>9929</v>
      </c>
      <c r="C940" s="98" t="s">
        <v>8229</v>
      </c>
      <c r="D940" s="101" t="s">
        <v>4</v>
      </c>
      <c r="E940" s="101" t="s">
        <v>8313</v>
      </c>
      <c r="F940" s="98"/>
      <c r="G940" s="98" t="s">
        <v>206</v>
      </c>
      <c r="H940" s="100" t="s">
        <v>8215</v>
      </c>
      <c r="I940" s="100" t="s">
        <v>8215</v>
      </c>
      <c r="J940" s="100"/>
      <c r="K940" s="107"/>
    </row>
    <row r="941" ht="15" spans="1:11">
      <c r="A941" s="98" t="s">
        <v>33</v>
      </c>
      <c r="B941" s="100" t="s">
        <v>9930</v>
      </c>
      <c r="C941" s="98" t="s">
        <v>8229</v>
      </c>
      <c r="D941" s="101" t="s">
        <v>4</v>
      </c>
      <c r="E941" s="101" t="s">
        <v>9931</v>
      </c>
      <c r="F941" s="98"/>
      <c r="G941" s="98" t="s">
        <v>206</v>
      </c>
      <c r="H941" s="100" t="s">
        <v>8215</v>
      </c>
      <c r="I941" s="100" t="s">
        <v>8215</v>
      </c>
      <c r="J941" s="135" t="s">
        <v>9932</v>
      </c>
      <c r="K941" s="107"/>
    </row>
    <row r="942" ht="15" spans="1:11">
      <c r="A942" s="98" t="s">
        <v>33</v>
      </c>
      <c r="B942" s="99" t="s">
        <v>9933</v>
      </c>
      <c r="C942" s="98" t="s">
        <v>8240</v>
      </c>
      <c r="D942" s="101" t="s">
        <v>4</v>
      </c>
      <c r="E942" s="101" t="s">
        <v>9934</v>
      </c>
      <c r="F942" s="98"/>
      <c r="G942" s="98" t="s">
        <v>206</v>
      </c>
      <c r="H942" s="100" t="s">
        <v>8215</v>
      </c>
      <c r="I942" s="100" t="s">
        <v>8215</v>
      </c>
      <c r="J942" s="100" t="s">
        <v>9905</v>
      </c>
      <c r="K942" s="107"/>
    </row>
    <row r="943" ht="15" spans="1:11">
      <c r="A943" s="98" t="s">
        <v>33</v>
      </c>
      <c r="B943" s="99" t="s">
        <v>9935</v>
      </c>
      <c r="C943" s="98" t="s">
        <v>8229</v>
      </c>
      <c r="D943" s="101" t="s">
        <v>4</v>
      </c>
      <c r="E943" s="101" t="s">
        <v>9936</v>
      </c>
      <c r="F943" s="98"/>
      <c r="G943" s="98" t="s">
        <v>209</v>
      </c>
      <c r="H943" s="100" t="s">
        <v>8215</v>
      </c>
      <c r="I943" s="100" t="s">
        <v>8247</v>
      </c>
      <c r="J943" s="100" t="s">
        <v>8220</v>
      </c>
      <c r="K943" s="107"/>
    </row>
    <row r="944" ht="15" spans="1:11">
      <c r="A944" s="98" t="s">
        <v>33</v>
      </c>
      <c r="B944" s="99" t="s">
        <v>9937</v>
      </c>
      <c r="C944" s="98" t="s">
        <v>8229</v>
      </c>
      <c r="D944" s="101" t="s">
        <v>4</v>
      </c>
      <c r="E944" s="101" t="s">
        <v>9936</v>
      </c>
      <c r="F944" s="98"/>
      <c r="G944" s="98" t="s">
        <v>209</v>
      </c>
      <c r="H944" s="100" t="s">
        <v>8215</v>
      </c>
      <c r="I944" s="100" t="s">
        <v>8215</v>
      </c>
      <c r="J944" s="100" t="s">
        <v>9938</v>
      </c>
      <c r="K944" s="107"/>
    </row>
    <row r="945" ht="15" spans="1:11">
      <c r="A945" s="98" t="s">
        <v>33</v>
      </c>
      <c r="B945" s="99" t="s">
        <v>9939</v>
      </c>
      <c r="C945" s="98" t="s">
        <v>8514</v>
      </c>
      <c r="D945" s="101" t="s">
        <v>4</v>
      </c>
      <c r="E945" s="101" t="s">
        <v>9936</v>
      </c>
      <c r="F945" s="98"/>
      <c r="G945" s="98" t="s">
        <v>209</v>
      </c>
      <c r="H945" s="100" t="s">
        <v>8215</v>
      </c>
      <c r="I945" s="100" t="s">
        <v>8247</v>
      </c>
      <c r="J945" s="100" t="s">
        <v>8220</v>
      </c>
      <c r="K945" s="107"/>
    </row>
    <row r="946" ht="15" spans="1:11">
      <c r="A946" s="98" t="s">
        <v>33</v>
      </c>
      <c r="B946" s="99" t="s">
        <v>9940</v>
      </c>
      <c r="C946" s="98" t="s">
        <v>8218</v>
      </c>
      <c r="D946" s="101" t="s">
        <v>4</v>
      </c>
      <c r="E946" s="101" t="s">
        <v>9883</v>
      </c>
      <c r="F946" s="98"/>
      <c r="G946" s="98" t="s">
        <v>206</v>
      </c>
      <c r="H946" s="100" t="s">
        <v>8215</v>
      </c>
      <c r="I946" s="100" t="s">
        <v>8215</v>
      </c>
      <c r="J946" s="135" t="s">
        <v>9938</v>
      </c>
      <c r="K946" s="107"/>
    </row>
    <row r="947" ht="15" spans="1:11">
      <c r="A947" s="98" t="s">
        <v>33</v>
      </c>
      <c r="B947" s="99" t="s">
        <v>9941</v>
      </c>
      <c r="C947" s="98" t="s">
        <v>8213</v>
      </c>
      <c r="D947" s="101" t="s">
        <v>4</v>
      </c>
      <c r="E947" s="101" t="s">
        <v>9883</v>
      </c>
      <c r="F947" s="98"/>
      <c r="G947" s="98" t="s">
        <v>206</v>
      </c>
      <c r="H947" s="100" t="s">
        <v>8215</v>
      </c>
      <c r="I947" s="100" t="s">
        <v>8215</v>
      </c>
      <c r="J947" s="135" t="s">
        <v>9938</v>
      </c>
      <c r="K947" s="107"/>
    </row>
    <row r="948" ht="15" spans="1:11">
      <c r="A948" s="98" t="s">
        <v>33</v>
      </c>
      <c r="B948" s="99" t="s">
        <v>9942</v>
      </c>
      <c r="C948" s="101" t="s">
        <v>8240</v>
      </c>
      <c r="D948" s="101" t="s">
        <v>4</v>
      </c>
      <c r="E948" s="101" t="s">
        <v>9943</v>
      </c>
      <c r="F948" s="98"/>
      <c r="G948" s="98" t="s">
        <v>206</v>
      </c>
      <c r="H948" s="100" t="s">
        <v>8320</v>
      </c>
      <c r="I948" s="100" t="s">
        <v>8215</v>
      </c>
      <c r="J948" s="135" t="s">
        <v>8220</v>
      </c>
      <c r="K948" s="107"/>
    </row>
    <row r="949" ht="15" spans="1:11">
      <c r="A949" s="98" t="s">
        <v>33</v>
      </c>
      <c r="B949" s="100" t="s">
        <v>9944</v>
      </c>
      <c r="C949" s="98" t="s">
        <v>8218</v>
      </c>
      <c r="D949" s="101" t="s">
        <v>4</v>
      </c>
      <c r="E949" s="101" t="s">
        <v>9945</v>
      </c>
      <c r="F949" s="98"/>
      <c r="G949" s="98" t="s">
        <v>206</v>
      </c>
      <c r="H949" s="100" t="s">
        <v>8215</v>
      </c>
      <c r="I949" s="100" t="s">
        <v>8247</v>
      </c>
      <c r="J949" s="100" t="s">
        <v>8220</v>
      </c>
      <c r="K949" s="107"/>
    </row>
    <row r="950" ht="15" spans="1:11">
      <c r="A950" s="98" t="s">
        <v>33</v>
      </c>
      <c r="B950" s="100" t="s">
        <v>9946</v>
      </c>
      <c r="C950" s="98" t="s">
        <v>8218</v>
      </c>
      <c r="D950" s="101" t="s">
        <v>4</v>
      </c>
      <c r="E950" s="101" t="s">
        <v>9945</v>
      </c>
      <c r="F950" s="98"/>
      <c r="G950" s="98" t="s">
        <v>206</v>
      </c>
      <c r="H950" s="100" t="s">
        <v>8215</v>
      </c>
      <c r="I950" s="100" t="s">
        <v>8215</v>
      </c>
      <c r="J950" s="135" t="s">
        <v>9905</v>
      </c>
      <c r="K950" s="107"/>
    </row>
    <row r="951" ht="15" spans="1:11">
      <c r="A951" s="98" t="s">
        <v>33</v>
      </c>
      <c r="B951" s="100" t="s">
        <v>9947</v>
      </c>
      <c r="C951" s="98" t="s">
        <v>8514</v>
      </c>
      <c r="D951" s="101" t="s">
        <v>5</v>
      </c>
      <c r="E951" s="101" t="s">
        <v>9948</v>
      </c>
      <c r="F951" s="98"/>
      <c r="G951" s="98" t="s">
        <v>206</v>
      </c>
      <c r="H951" s="100" t="s">
        <v>8215</v>
      </c>
      <c r="I951" s="100" t="s">
        <v>8215</v>
      </c>
      <c r="J951" s="135" t="s">
        <v>8286</v>
      </c>
      <c r="K951" s="107"/>
    </row>
    <row r="952" ht="15" spans="1:11">
      <c r="A952" s="98" t="s">
        <v>33</v>
      </c>
      <c r="B952" s="100" t="s">
        <v>9949</v>
      </c>
      <c r="C952" s="98" t="s">
        <v>8229</v>
      </c>
      <c r="D952" s="101" t="s">
        <v>4</v>
      </c>
      <c r="E952" s="101" t="s">
        <v>9950</v>
      </c>
      <c r="F952" s="98"/>
      <c r="G952" s="98" t="s">
        <v>209</v>
      </c>
      <c r="H952" s="100" t="s">
        <v>8215</v>
      </c>
      <c r="I952" s="100" t="s">
        <v>8247</v>
      </c>
      <c r="J952" s="100" t="s">
        <v>8220</v>
      </c>
      <c r="K952" s="107"/>
    </row>
    <row r="953" ht="15" spans="1:11">
      <c r="A953" s="98" t="s">
        <v>33</v>
      </c>
      <c r="B953" s="100" t="s">
        <v>9951</v>
      </c>
      <c r="C953" s="98" t="s">
        <v>8229</v>
      </c>
      <c r="D953" s="101" t="s">
        <v>4</v>
      </c>
      <c r="E953" s="101" t="s">
        <v>9950</v>
      </c>
      <c r="F953" s="98"/>
      <c r="G953" s="98" t="s">
        <v>209</v>
      </c>
      <c r="H953" s="101" t="s">
        <v>8215</v>
      </c>
      <c r="I953" s="101" t="s">
        <v>8215</v>
      </c>
      <c r="J953" s="101" t="s">
        <v>9952</v>
      </c>
      <c r="K953" s="107"/>
    </row>
    <row r="954" ht="15" spans="1:11">
      <c r="A954" s="98" t="s">
        <v>33</v>
      </c>
      <c r="B954" s="100" t="s">
        <v>9953</v>
      </c>
      <c r="C954" s="101" t="s">
        <v>8240</v>
      </c>
      <c r="D954" s="101" t="s">
        <v>5</v>
      </c>
      <c r="E954" s="101" t="s">
        <v>9954</v>
      </c>
      <c r="F954" s="98"/>
      <c r="G954" s="98" t="s">
        <v>209</v>
      </c>
      <c r="H954" s="100" t="s">
        <v>8215</v>
      </c>
      <c r="I954" s="100" t="s">
        <v>8215</v>
      </c>
      <c r="J954" s="101" t="s">
        <v>8894</v>
      </c>
      <c r="K954" s="107"/>
    </row>
    <row r="955" ht="15" spans="1:11">
      <c r="A955" s="98" t="s">
        <v>33</v>
      </c>
      <c r="B955" s="100" t="s">
        <v>9955</v>
      </c>
      <c r="C955" s="98" t="s">
        <v>8514</v>
      </c>
      <c r="D955" s="98" t="s">
        <v>4</v>
      </c>
      <c r="E955" s="98" t="s">
        <v>9956</v>
      </c>
      <c r="F955" s="98"/>
      <c r="G955" s="98" t="s">
        <v>209</v>
      </c>
      <c r="H955" s="118" t="s">
        <v>8215</v>
      </c>
      <c r="I955" s="100" t="s">
        <v>8215</v>
      </c>
      <c r="J955" s="100"/>
      <c r="K955" s="107"/>
    </row>
    <row r="956" ht="15" spans="1:11">
      <c r="A956" s="98" t="s">
        <v>33</v>
      </c>
      <c r="B956" s="99" t="s">
        <v>9957</v>
      </c>
      <c r="C956" s="98" t="s">
        <v>8218</v>
      </c>
      <c r="D956" s="101" t="s">
        <v>4</v>
      </c>
      <c r="E956" s="101" t="s">
        <v>9958</v>
      </c>
      <c r="F956" s="98"/>
      <c r="G956" s="98" t="s">
        <v>209</v>
      </c>
      <c r="H956" s="100" t="s">
        <v>8215</v>
      </c>
      <c r="I956" s="100" t="s">
        <v>8215</v>
      </c>
      <c r="J956" s="100"/>
      <c r="K956" s="107"/>
    </row>
    <row r="957" ht="15" spans="1:11">
      <c r="A957" s="98" t="s">
        <v>33</v>
      </c>
      <c r="B957" s="99" t="s">
        <v>9959</v>
      </c>
      <c r="C957" s="98" t="s">
        <v>8514</v>
      </c>
      <c r="D957" s="101" t="s">
        <v>4</v>
      </c>
      <c r="E957" s="101" t="s">
        <v>9958</v>
      </c>
      <c r="F957" s="98"/>
      <c r="G957" s="98" t="s">
        <v>209</v>
      </c>
      <c r="H957" s="100" t="s">
        <v>8215</v>
      </c>
      <c r="I957" s="100" t="s">
        <v>8215</v>
      </c>
      <c r="J957" s="100">
        <v>4</v>
      </c>
      <c r="K957" s="107"/>
    </row>
    <row r="958" ht="15" spans="1:11">
      <c r="A958" s="98" t="s">
        <v>33</v>
      </c>
      <c r="B958" s="100" t="s">
        <v>9960</v>
      </c>
      <c r="C958" s="98" t="s">
        <v>8240</v>
      </c>
      <c r="D958" s="101" t="s">
        <v>4</v>
      </c>
      <c r="E958" s="101" t="s">
        <v>9961</v>
      </c>
      <c r="F958" s="98"/>
      <c r="G958" s="98" t="s">
        <v>209</v>
      </c>
      <c r="H958" s="100" t="s">
        <v>8215</v>
      </c>
      <c r="I958" s="100" t="s">
        <v>8215</v>
      </c>
      <c r="J958" s="100"/>
      <c r="K958" s="107"/>
    </row>
    <row r="959" ht="15" spans="1:11">
      <c r="A959" s="98" t="s">
        <v>33</v>
      </c>
      <c r="B959" s="100" t="s">
        <v>9962</v>
      </c>
      <c r="C959" s="98" t="s">
        <v>8218</v>
      </c>
      <c r="D959" s="101" t="s">
        <v>4</v>
      </c>
      <c r="E959" s="101" t="s">
        <v>9961</v>
      </c>
      <c r="F959" s="98"/>
      <c r="G959" s="98" t="s">
        <v>209</v>
      </c>
      <c r="H959" s="100" t="s">
        <v>8252</v>
      </c>
      <c r="I959" s="100" t="s">
        <v>8252</v>
      </c>
      <c r="J959" s="100"/>
      <c r="K959" s="107"/>
    </row>
    <row r="960" ht="15" spans="1:11">
      <c r="A960" s="98" t="s">
        <v>33</v>
      </c>
      <c r="B960" s="100" t="s">
        <v>9963</v>
      </c>
      <c r="C960" s="98" t="s">
        <v>8229</v>
      </c>
      <c r="D960" s="101" t="s">
        <v>4</v>
      </c>
      <c r="E960" s="101" t="s">
        <v>9964</v>
      </c>
      <c r="F960" s="98"/>
      <c r="G960" s="98" t="s">
        <v>209</v>
      </c>
      <c r="H960" s="100" t="s">
        <v>8300</v>
      </c>
      <c r="I960" s="100" t="s">
        <v>8300</v>
      </c>
      <c r="J960" s="100"/>
      <c r="K960" s="107"/>
    </row>
    <row r="961" s="90" customFormat="1" ht="30" spans="1:11">
      <c r="A961" s="102" t="s">
        <v>33</v>
      </c>
      <c r="B961" s="102" t="s">
        <v>9965</v>
      </c>
      <c r="C961" s="102" t="s">
        <v>8293</v>
      </c>
      <c r="D961" s="102" t="s">
        <v>5</v>
      </c>
      <c r="E961" s="102" t="s">
        <v>9966</v>
      </c>
      <c r="F961" s="102"/>
      <c r="G961" s="102" t="s">
        <v>209</v>
      </c>
      <c r="H961" s="102" t="s">
        <v>9967</v>
      </c>
      <c r="I961" s="102" t="s">
        <v>9967</v>
      </c>
      <c r="J961" s="102" t="s">
        <v>8574</v>
      </c>
      <c r="K961" s="102">
        <v>2024.4</v>
      </c>
    </row>
    <row r="962" ht="15" spans="1:11">
      <c r="A962" s="98" t="s">
        <v>33</v>
      </c>
      <c r="B962" s="100" t="s">
        <v>9968</v>
      </c>
      <c r="C962" s="98" t="s">
        <v>8229</v>
      </c>
      <c r="D962" s="101" t="s">
        <v>4</v>
      </c>
      <c r="E962" s="101" t="s">
        <v>9969</v>
      </c>
      <c r="F962" s="98"/>
      <c r="G962" s="98" t="s">
        <v>209</v>
      </c>
      <c r="H962" s="100" t="s">
        <v>8252</v>
      </c>
      <c r="I962" s="100" t="s">
        <v>8215</v>
      </c>
      <c r="J962" s="100" t="s">
        <v>9970</v>
      </c>
      <c r="K962" s="107"/>
    </row>
    <row r="963" ht="15" spans="1:11">
      <c r="A963" s="98" t="s">
        <v>33</v>
      </c>
      <c r="B963" s="100" t="s">
        <v>9971</v>
      </c>
      <c r="C963" s="98" t="s">
        <v>8218</v>
      </c>
      <c r="D963" s="101" t="s">
        <v>4</v>
      </c>
      <c r="E963" s="101" t="s">
        <v>9972</v>
      </c>
      <c r="F963" s="98"/>
      <c r="G963" s="98" t="s">
        <v>209</v>
      </c>
      <c r="H963" s="100" t="s">
        <v>8215</v>
      </c>
      <c r="I963" s="100" t="s">
        <v>8215</v>
      </c>
      <c r="J963" s="100" t="s">
        <v>9973</v>
      </c>
      <c r="K963" s="107"/>
    </row>
    <row r="964" ht="15" spans="1:11">
      <c r="A964" s="98" t="s">
        <v>33</v>
      </c>
      <c r="B964" s="100" t="s">
        <v>9974</v>
      </c>
      <c r="C964" s="98" t="s">
        <v>8240</v>
      </c>
      <c r="D964" s="101" t="s">
        <v>4</v>
      </c>
      <c r="E964" s="101" t="s">
        <v>9972</v>
      </c>
      <c r="F964" s="98" t="s">
        <v>8419</v>
      </c>
      <c r="G964" s="98" t="s">
        <v>209</v>
      </c>
      <c r="H964" s="100" t="s">
        <v>8215</v>
      </c>
      <c r="I964" s="100" t="s">
        <v>8247</v>
      </c>
      <c r="J964" s="100" t="s">
        <v>9025</v>
      </c>
      <c r="K964" s="107"/>
    </row>
    <row r="965" ht="15" spans="1:11">
      <c r="A965" s="98" t="s">
        <v>33</v>
      </c>
      <c r="B965" s="100" t="s">
        <v>9975</v>
      </c>
      <c r="C965" s="98" t="s">
        <v>8229</v>
      </c>
      <c r="D965" s="101" t="s">
        <v>4</v>
      </c>
      <c r="E965" s="101" t="s">
        <v>9972</v>
      </c>
      <c r="F965" s="98"/>
      <c r="G965" s="98" t="s">
        <v>209</v>
      </c>
      <c r="H965" s="100" t="s">
        <v>8215</v>
      </c>
      <c r="I965" s="100" t="s">
        <v>8215</v>
      </c>
      <c r="J965" s="100"/>
      <c r="K965" s="107"/>
    </row>
    <row r="966" ht="15" spans="1:11">
      <c r="A966" s="98" t="s">
        <v>33</v>
      </c>
      <c r="B966" s="99" t="s">
        <v>9976</v>
      </c>
      <c r="C966" s="98" t="s">
        <v>8258</v>
      </c>
      <c r="D966" s="101" t="s">
        <v>4</v>
      </c>
      <c r="E966" s="101" t="s">
        <v>9977</v>
      </c>
      <c r="F966" s="98"/>
      <c r="G966" s="98" t="s">
        <v>209</v>
      </c>
      <c r="H966" s="100" t="s">
        <v>8300</v>
      </c>
      <c r="I966" s="100" t="s">
        <v>8247</v>
      </c>
      <c r="J966" s="100"/>
      <c r="K966" s="107"/>
    </row>
    <row r="967" s="91" customFormat="1" ht="15" spans="1:11">
      <c r="A967" s="98" t="s">
        <v>33</v>
      </c>
      <c r="B967" s="129" t="s">
        <v>9978</v>
      </c>
      <c r="C967" s="129" t="s">
        <v>8272</v>
      </c>
      <c r="D967" s="129" t="s">
        <v>4</v>
      </c>
      <c r="E967" s="129" t="s">
        <v>9977</v>
      </c>
      <c r="F967" s="129"/>
      <c r="G967" s="129" t="s">
        <v>209</v>
      </c>
      <c r="H967" s="130" t="s">
        <v>8300</v>
      </c>
      <c r="I967" s="130" t="s">
        <v>9485</v>
      </c>
      <c r="J967" s="130" t="s">
        <v>9232</v>
      </c>
      <c r="K967" s="114" t="s">
        <v>9486</v>
      </c>
    </row>
    <row r="968" ht="15" spans="1:11">
      <c r="A968" s="98" t="s">
        <v>43</v>
      </c>
      <c r="B968" s="99" t="s">
        <v>9979</v>
      </c>
      <c r="C968" s="98" t="s">
        <v>8229</v>
      </c>
      <c r="D968" s="101" t="s">
        <v>4</v>
      </c>
      <c r="E968" s="101" t="s">
        <v>9980</v>
      </c>
      <c r="F968" s="98"/>
      <c r="G968" s="98" t="s">
        <v>206</v>
      </c>
      <c r="H968" s="100" t="s">
        <v>8215</v>
      </c>
      <c r="I968" s="100"/>
      <c r="J968" s="134" t="s">
        <v>9981</v>
      </c>
      <c r="K968" s="107"/>
    </row>
    <row r="969" ht="15" spans="1:11">
      <c r="A969" s="101" t="s">
        <v>33</v>
      </c>
      <c r="B969" s="99" t="s">
        <v>9982</v>
      </c>
      <c r="C969" s="98" t="s">
        <v>8218</v>
      </c>
      <c r="D969" s="101" t="s">
        <v>4</v>
      </c>
      <c r="E969" s="101" t="s">
        <v>9983</v>
      </c>
      <c r="F969" s="98"/>
      <c r="G969" s="98" t="s">
        <v>206</v>
      </c>
      <c r="H969" s="100" t="s">
        <v>8215</v>
      </c>
      <c r="I969" s="100" t="s">
        <v>8215</v>
      </c>
      <c r="J969" s="134" t="s">
        <v>9984</v>
      </c>
      <c r="K969" s="107"/>
    </row>
    <row r="970" ht="15" spans="1:11">
      <c r="A970" s="101" t="s">
        <v>33</v>
      </c>
      <c r="B970" s="99" t="s">
        <v>9985</v>
      </c>
      <c r="C970" s="98" t="s">
        <v>8229</v>
      </c>
      <c r="D970" s="101" t="s">
        <v>4</v>
      </c>
      <c r="E970" s="101" t="s">
        <v>9983</v>
      </c>
      <c r="F970" s="98"/>
      <c r="G970" s="98" t="s">
        <v>206</v>
      </c>
      <c r="H970" s="100" t="s">
        <v>8215</v>
      </c>
      <c r="I970" s="100" t="s">
        <v>8215</v>
      </c>
      <c r="J970" s="134" t="s">
        <v>9984</v>
      </c>
      <c r="K970" s="107"/>
    </row>
    <row r="971" ht="15" spans="1:11">
      <c r="A971" s="101" t="s">
        <v>33</v>
      </c>
      <c r="B971" s="99" t="s">
        <v>9986</v>
      </c>
      <c r="C971" s="98" t="s">
        <v>8218</v>
      </c>
      <c r="D971" s="101" t="s">
        <v>4</v>
      </c>
      <c r="E971" s="101" t="s">
        <v>9983</v>
      </c>
      <c r="F971" s="98"/>
      <c r="G971" s="98" t="s">
        <v>206</v>
      </c>
      <c r="H971" s="100" t="s">
        <v>8215</v>
      </c>
      <c r="I971" s="100" t="s">
        <v>8215</v>
      </c>
      <c r="J971" s="134" t="s">
        <v>9984</v>
      </c>
      <c r="K971" s="107"/>
    </row>
    <row r="972" ht="15" spans="1:11">
      <c r="A972" s="101" t="s">
        <v>33</v>
      </c>
      <c r="B972" s="99" t="s">
        <v>9987</v>
      </c>
      <c r="C972" s="98" t="s">
        <v>8240</v>
      </c>
      <c r="D972" s="101" t="s">
        <v>4</v>
      </c>
      <c r="E972" s="101" t="s">
        <v>9983</v>
      </c>
      <c r="F972" s="98"/>
      <c r="G972" s="98" t="s">
        <v>206</v>
      </c>
      <c r="H972" s="100" t="s">
        <v>8215</v>
      </c>
      <c r="I972" s="100" t="s">
        <v>8326</v>
      </c>
      <c r="J972" s="134" t="s">
        <v>9984</v>
      </c>
      <c r="K972" s="107"/>
    </row>
    <row r="973" ht="15" spans="1:11">
      <c r="A973" s="101" t="s">
        <v>33</v>
      </c>
      <c r="B973" s="99" t="s">
        <v>9988</v>
      </c>
      <c r="C973" s="98" t="s">
        <v>8229</v>
      </c>
      <c r="D973" s="101" t="s">
        <v>4</v>
      </c>
      <c r="E973" s="101" t="s">
        <v>9989</v>
      </c>
      <c r="F973" s="98"/>
      <c r="G973" s="98" t="s">
        <v>206</v>
      </c>
      <c r="H973" s="100" t="s">
        <v>8215</v>
      </c>
      <c r="I973" s="100" t="s">
        <v>8215</v>
      </c>
      <c r="J973" s="134" t="s">
        <v>9990</v>
      </c>
      <c r="K973" s="107"/>
    </row>
    <row r="974" ht="15" spans="1:11">
      <c r="A974" s="101" t="s">
        <v>33</v>
      </c>
      <c r="B974" s="99" t="s">
        <v>9991</v>
      </c>
      <c r="C974" s="98" t="s">
        <v>8213</v>
      </c>
      <c r="D974" s="101" t="s">
        <v>4</v>
      </c>
      <c r="E974" s="98" t="s">
        <v>9989</v>
      </c>
      <c r="F974" s="98"/>
      <c r="G974" s="98" t="s">
        <v>206</v>
      </c>
      <c r="H974" s="100"/>
      <c r="I974" s="100"/>
      <c r="J974" s="100" t="s">
        <v>8907</v>
      </c>
      <c r="K974" s="107"/>
    </row>
    <row r="975" s="90" customFormat="1" ht="15" spans="1:11">
      <c r="A975" s="98" t="s">
        <v>33</v>
      </c>
      <c r="B975" s="99" t="s">
        <v>9992</v>
      </c>
      <c r="C975" s="98" t="s">
        <v>8293</v>
      </c>
      <c r="D975" s="101" t="s">
        <v>4</v>
      </c>
      <c r="E975" s="101" t="s">
        <v>9993</v>
      </c>
      <c r="F975" s="98"/>
      <c r="G975" s="98" t="s">
        <v>206</v>
      </c>
      <c r="H975" s="100" t="s">
        <v>8215</v>
      </c>
      <c r="I975" s="100" t="s">
        <v>8215</v>
      </c>
      <c r="J975" s="100" t="s">
        <v>9994</v>
      </c>
      <c r="K975" s="107">
        <v>2024.4</v>
      </c>
    </row>
    <row r="976" s="89" customFormat="1" ht="30" spans="1:256">
      <c r="A976" s="98" t="s">
        <v>33</v>
      </c>
      <c r="B976" s="99" t="s">
        <v>9995</v>
      </c>
      <c r="C976" s="99" t="s">
        <v>8272</v>
      </c>
      <c r="D976" s="99" t="s">
        <v>4</v>
      </c>
      <c r="E976" s="99" t="s">
        <v>3010</v>
      </c>
      <c r="F976" s="99"/>
      <c r="G976" s="99" t="s">
        <v>117</v>
      </c>
      <c r="H976" s="99" t="s">
        <v>8550</v>
      </c>
      <c r="I976" s="99" t="s">
        <v>8550</v>
      </c>
      <c r="J976" s="99" t="s">
        <v>9996</v>
      </c>
      <c r="K976" s="136" t="s">
        <v>9997</v>
      </c>
      <c r="L976" s="126"/>
      <c r="M976" s="127"/>
      <c r="N976" s="127"/>
      <c r="O976" s="127"/>
      <c r="P976" s="127"/>
      <c r="Q976" s="127"/>
      <c r="R976" s="127"/>
      <c r="S976" s="127"/>
      <c r="T976" s="127"/>
      <c r="U976" s="127"/>
      <c r="V976" s="127"/>
      <c r="W976" s="127"/>
      <c r="X976" s="127"/>
      <c r="Y976" s="127"/>
      <c r="Z976" s="127"/>
      <c r="AA976" s="127"/>
      <c r="AB976" s="127"/>
      <c r="AC976" s="127"/>
      <c r="AD976" s="127"/>
      <c r="AE976" s="127"/>
      <c r="AF976" s="127"/>
      <c r="AG976" s="127"/>
      <c r="AH976" s="127"/>
      <c r="AI976" s="127"/>
      <c r="AJ976" s="127"/>
      <c r="AK976" s="127"/>
      <c r="AL976" s="127"/>
      <c r="AM976" s="127"/>
      <c r="AN976" s="127"/>
      <c r="AO976" s="127"/>
      <c r="AP976" s="127"/>
      <c r="AQ976" s="127"/>
      <c r="AR976" s="127"/>
      <c r="AS976" s="127"/>
      <c r="AT976" s="127"/>
      <c r="AU976" s="127"/>
      <c r="AV976" s="127"/>
      <c r="AW976" s="127"/>
      <c r="AX976" s="127"/>
      <c r="AY976" s="127"/>
      <c r="AZ976" s="127"/>
      <c r="BA976" s="127"/>
      <c r="BB976" s="127"/>
      <c r="BC976" s="127"/>
      <c r="BD976" s="127"/>
      <c r="BE976" s="127"/>
      <c r="BF976" s="127"/>
      <c r="BG976" s="127"/>
      <c r="BH976" s="127"/>
      <c r="BI976" s="127"/>
      <c r="BJ976" s="127"/>
      <c r="BK976" s="127"/>
      <c r="BL976" s="127"/>
      <c r="BM976" s="127"/>
      <c r="BN976" s="127"/>
      <c r="BO976" s="127"/>
      <c r="BP976" s="127"/>
      <c r="BQ976" s="127"/>
      <c r="BR976" s="127"/>
      <c r="BS976" s="127"/>
      <c r="BT976" s="127"/>
      <c r="BU976" s="127"/>
      <c r="BV976" s="127"/>
      <c r="BW976" s="127"/>
      <c r="BX976" s="127"/>
      <c r="BY976" s="127"/>
      <c r="BZ976" s="127"/>
      <c r="CA976" s="127"/>
      <c r="CB976" s="127"/>
      <c r="CC976" s="127"/>
      <c r="CD976" s="127"/>
      <c r="CE976" s="127"/>
      <c r="CF976" s="127"/>
      <c r="CG976" s="127"/>
      <c r="CH976" s="127"/>
      <c r="CI976" s="127"/>
      <c r="CJ976" s="127"/>
      <c r="CK976" s="127"/>
      <c r="CL976" s="127"/>
      <c r="CM976" s="127"/>
      <c r="CN976" s="127"/>
      <c r="CO976" s="127"/>
      <c r="CP976" s="127"/>
      <c r="CQ976" s="127"/>
      <c r="CR976" s="127"/>
      <c r="CS976" s="127"/>
      <c r="CT976" s="127"/>
      <c r="CU976" s="127"/>
      <c r="CV976" s="127"/>
      <c r="CW976" s="127"/>
      <c r="CX976" s="127"/>
      <c r="CY976" s="127"/>
      <c r="CZ976" s="127"/>
      <c r="DA976" s="127"/>
      <c r="DB976" s="127"/>
      <c r="DC976" s="127"/>
      <c r="DD976" s="127"/>
      <c r="DE976" s="127"/>
      <c r="DF976" s="127"/>
      <c r="DG976" s="127"/>
      <c r="DH976" s="127"/>
      <c r="DI976" s="127"/>
      <c r="DJ976" s="127"/>
      <c r="DK976" s="127"/>
      <c r="DL976" s="127"/>
      <c r="DM976" s="127"/>
      <c r="DN976" s="127"/>
      <c r="DO976" s="127"/>
      <c r="DP976" s="127"/>
      <c r="DQ976" s="127"/>
      <c r="DR976" s="127"/>
      <c r="DS976" s="127"/>
      <c r="DT976" s="127"/>
      <c r="DU976" s="127"/>
      <c r="DV976" s="127"/>
      <c r="DW976" s="127"/>
      <c r="DX976" s="127"/>
      <c r="DY976" s="127"/>
      <c r="DZ976" s="127"/>
      <c r="EA976" s="127"/>
      <c r="EB976" s="127"/>
      <c r="EC976" s="127"/>
      <c r="ED976" s="127"/>
      <c r="EE976" s="127"/>
      <c r="EF976" s="127"/>
      <c r="EG976" s="127"/>
      <c r="EH976" s="127"/>
      <c r="EI976" s="127"/>
      <c r="EJ976" s="127"/>
      <c r="EK976" s="127"/>
      <c r="EL976" s="127"/>
      <c r="EM976" s="127"/>
      <c r="EN976" s="127"/>
      <c r="EO976" s="127"/>
      <c r="EP976" s="127"/>
      <c r="EQ976" s="127"/>
      <c r="ER976" s="127"/>
      <c r="ES976" s="127"/>
      <c r="ET976" s="127"/>
      <c r="EU976" s="127"/>
      <c r="EV976" s="127"/>
      <c r="EW976" s="127"/>
      <c r="EX976" s="127"/>
      <c r="EY976" s="127"/>
      <c r="EZ976" s="127"/>
      <c r="FA976" s="127"/>
      <c r="FB976" s="127"/>
      <c r="FC976" s="127"/>
      <c r="FD976" s="127"/>
      <c r="FE976" s="127"/>
      <c r="FF976" s="127"/>
      <c r="FG976" s="127"/>
      <c r="FH976" s="127"/>
      <c r="FI976" s="127"/>
      <c r="FJ976" s="127"/>
      <c r="FK976" s="127"/>
      <c r="FL976" s="127"/>
      <c r="FM976" s="127"/>
      <c r="FN976" s="127"/>
      <c r="FO976" s="127"/>
      <c r="FP976" s="127"/>
      <c r="FQ976" s="127"/>
      <c r="FR976" s="127"/>
      <c r="FS976" s="127"/>
      <c r="FT976" s="127"/>
      <c r="FU976" s="127"/>
      <c r="FV976" s="127"/>
      <c r="FW976" s="127"/>
      <c r="FX976" s="127"/>
      <c r="FY976" s="127"/>
      <c r="FZ976" s="127"/>
      <c r="GA976" s="127"/>
      <c r="GB976" s="127"/>
      <c r="GC976" s="127"/>
      <c r="GD976" s="127"/>
      <c r="GE976" s="127"/>
      <c r="GF976" s="127"/>
      <c r="GG976" s="127"/>
      <c r="GH976" s="127"/>
      <c r="GI976" s="127"/>
      <c r="GJ976" s="127"/>
      <c r="GK976" s="127"/>
      <c r="GL976" s="127"/>
      <c r="GM976" s="127"/>
      <c r="GN976" s="127"/>
      <c r="GO976" s="127"/>
      <c r="GP976" s="127"/>
      <c r="GQ976" s="127"/>
      <c r="GR976" s="127"/>
      <c r="GS976" s="127"/>
      <c r="GT976" s="127"/>
      <c r="GU976" s="127"/>
      <c r="GV976" s="127"/>
      <c r="GW976" s="127"/>
      <c r="GX976" s="127"/>
      <c r="GY976" s="127"/>
      <c r="GZ976" s="127"/>
      <c r="HA976" s="127"/>
      <c r="HB976" s="127"/>
      <c r="HC976" s="127"/>
      <c r="HD976" s="127"/>
      <c r="HE976" s="127"/>
      <c r="HF976" s="127"/>
      <c r="HG976" s="127"/>
      <c r="HH976" s="127"/>
      <c r="HI976" s="127"/>
      <c r="HJ976" s="127"/>
      <c r="HK976" s="127"/>
      <c r="HL976" s="127"/>
      <c r="HM976" s="127"/>
      <c r="HN976" s="127"/>
      <c r="HO976" s="127"/>
      <c r="HP976" s="127"/>
      <c r="HQ976" s="127"/>
      <c r="HR976" s="127"/>
      <c r="HS976" s="127"/>
      <c r="HT976" s="127"/>
      <c r="HU976" s="127"/>
      <c r="HV976" s="127"/>
      <c r="HW976" s="127"/>
      <c r="HX976" s="127"/>
      <c r="HY976" s="127"/>
      <c r="HZ976" s="127"/>
      <c r="IA976" s="127"/>
      <c r="IB976" s="127"/>
      <c r="IC976" s="127"/>
      <c r="ID976" s="127"/>
      <c r="IE976" s="127"/>
      <c r="IF976" s="127"/>
      <c r="IG976" s="127"/>
      <c r="IH976" s="127"/>
      <c r="II976" s="127"/>
      <c r="IJ976" s="127"/>
      <c r="IK976" s="127"/>
      <c r="IL976" s="127"/>
      <c r="IM976" s="127"/>
      <c r="IN976" s="127"/>
      <c r="IO976" s="127"/>
      <c r="IP976" s="127"/>
      <c r="IQ976" s="127"/>
      <c r="IR976" s="127"/>
      <c r="IS976" s="127"/>
      <c r="IT976" s="127"/>
      <c r="IU976" s="127"/>
      <c r="IV976" s="127"/>
    </row>
    <row r="977" ht="15" spans="1:11">
      <c r="A977" s="101" t="s">
        <v>33</v>
      </c>
      <c r="B977" s="99" t="s">
        <v>9998</v>
      </c>
      <c r="C977" s="98" t="s">
        <v>8240</v>
      </c>
      <c r="D977" s="101" t="s">
        <v>5</v>
      </c>
      <c r="E977" s="101" t="s">
        <v>9999</v>
      </c>
      <c r="F977" s="98"/>
      <c r="G977" s="98" t="s">
        <v>206</v>
      </c>
      <c r="H977" s="100" t="s">
        <v>10000</v>
      </c>
      <c r="I977" s="100" t="s">
        <v>8215</v>
      </c>
      <c r="J977" s="100" t="s">
        <v>10001</v>
      </c>
      <c r="K977" s="107"/>
    </row>
    <row r="978" ht="15" spans="1:11">
      <c r="A978" s="101" t="s">
        <v>33</v>
      </c>
      <c r="B978" s="99" t="s">
        <v>10002</v>
      </c>
      <c r="C978" s="98" t="s">
        <v>8229</v>
      </c>
      <c r="D978" s="101" t="s">
        <v>4</v>
      </c>
      <c r="E978" s="101" t="s">
        <v>10003</v>
      </c>
      <c r="F978" s="101"/>
      <c r="G978" s="98" t="s">
        <v>206</v>
      </c>
      <c r="H978" s="100" t="s">
        <v>8215</v>
      </c>
      <c r="I978" s="100" t="s">
        <v>8215</v>
      </c>
      <c r="J978" s="100" t="s">
        <v>10004</v>
      </c>
      <c r="K978" s="107"/>
    </row>
    <row r="979" ht="15" spans="1:11">
      <c r="A979" s="101" t="s">
        <v>33</v>
      </c>
      <c r="B979" s="99" t="s">
        <v>10005</v>
      </c>
      <c r="C979" s="98" t="s">
        <v>8229</v>
      </c>
      <c r="D979" s="101" t="s">
        <v>4</v>
      </c>
      <c r="E979" s="101" t="s">
        <v>10006</v>
      </c>
      <c r="F979" s="98"/>
      <c r="G979" s="98" t="s">
        <v>206</v>
      </c>
      <c r="H979" s="100" t="s">
        <v>8215</v>
      </c>
      <c r="I979" s="100" t="s">
        <v>8247</v>
      </c>
      <c r="J979" s="100"/>
      <c r="K979" s="107"/>
    </row>
    <row r="980" ht="15" spans="1:11">
      <c r="A980" s="101" t="s">
        <v>33</v>
      </c>
      <c r="B980" s="99" t="s">
        <v>10007</v>
      </c>
      <c r="C980" s="98" t="s">
        <v>8218</v>
      </c>
      <c r="D980" s="101" t="s">
        <v>4</v>
      </c>
      <c r="E980" s="101" t="s">
        <v>10008</v>
      </c>
      <c r="F980" s="101"/>
      <c r="G980" s="98" t="s">
        <v>206</v>
      </c>
      <c r="H980" s="100" t="s">
        <v>8215</v>
      </c>
      <c r="I980" s="100" t="s">
        <v>8247</v>
      </c>
      <c r="J980" s="100"/>
      <c r="K980" s="107"/>
    </row>
    <row r="981" ht="15" spans="1:11">
      <c r="A981" s="101" t="s">
        <v>33</v>
      </c>
      <c r="B981" s="100" t="s">
        <v>10009</v>
      </c>
      <c r="C981" s="98" t="s">
        <v>8218</v>
      </c>
      <c r="D981" s="101" t="s">
        <v>4</v>
      </c>
      <c r="E981" s="101" t="s">
        <v>10008</v>
      </c>
      <c r="F981" s="101"/>
      <c r="G981" s="98" t="s">
        <v>206</v>
      </c>
      <c r="H981" s="100" t="s">
        <v>8215</v>
      </c>
      <c r="I981" s="100" t="s">
        <v>8215</v>
      </c>
      <c r="J981" s="100" t="s">
        <v>10010</v>
      </c>
      <c r="K981" s="107"/>
    </row>
    <row r="982" ht="15" spans="1:11">
      <c r="A982" s="101" t="s">
        <v>33</v>
      </c>
      <c r="B982" s="99" t="s">
        <v>10011</v>
      </c>
      <c r="C982" s="98" t="s">
        <v>8218</v>
      </c>
      <c r="D982" s="101" t="s">
        <v>4</v>
      </c>
      <c r="E982" s="101" t="s">
        <v>10008</v>
      </c>
      <c r="F982" s="101"/>
      <c r="G982" s="98" t="s">
        <v>206</v>
      </c>
      <c r="H982" s="100" t="s">
        <v>8215</v>
      </c>
      <c r="I982" s="100" t="s">
        <v>8215</v>
      </c>
      <c r="J982" s="100" t="s">
        <v>10012</v>
      </c>
      <c r="K982" s="107"/>
    </row>
    <row r="983" ht="15" spans="1:11">
      <c r="A983" s="101" t="s">
        <v>33</v>
      </c>
      <c r="B983" s="99" t="s">
        <v>10013</v>
      </c>
      <c r="C983" s="98" t="s">
        <v>8218</v>
      </c>
      <c r="D983" s="101" t="s">
        <v>4</v>
      </c>
      <c r="E983" s="101" t="s">
        <v>10008</v>
      </c>
      <c r="F983" s="98" t="s">
        <v>9656</v>
      </c>
      <c r="G983" s="98" t="s">
        <v>206</v>
      </c>
      <c r="H983" s="100" t="s">
        <v>8215</v>
      </c>
      <c r="I983" s="100" t="s">
        <v>8215</v>
      </c>
      <c r="J983" s="100" t="s">
        <v>10014</v>
      </c>
      <c r="K983" s="107"/>
    </row>
    <row r="984" ht="15" spans="1:11">
      <c r="A984" s="101" t="s">
        <v>33</v>
      </c>
      <c r="B984" s="99" t="s">
        <v>10015</v>
      </c>
      <c r="C984" s="98" t="s">
        <v>8218</v>
      </c>
      <c r="D984" s="101" t="s">
        <v>4</v>
      </c>
      <c r="E984" s="101" t="s">
        <v>10016</v>
      </c>
      <c r="F984" s="101"/>
      <c r="G984" s="98" t="s">
        <v>206</v>
      </c>
      <c r="H984" s="100" t="s">
        <v>8215</v>
      </c>
      <c r="I984" s="100" t="s">
        <v>8215</v>
      </c>
      <c r="J984" s="100" t="s">
        <v>9174</v>
      </c>
      <c r="K984" s="107"/>
    </row>
    <row r="985" ht="15" spans="1:11">
      <c r="A985" s="101" t="s">
        <v>33</v>
      </c>
      <c r="B985" s="99" t="s">
        <v>10017</v>
      </c>
      <c r="C985" s="98" t="s">
        <v>8240</v>
      </c>
      <c r="D985" s="101" t="s">
        <v>4</v>
      </c>
      <c r="E985" s="101" t="s">
        <v>10016</v>
      </c>
      <c r="F985" s="101"/>
      <c r="G985" s="98" t="s">
        <v>206</v>
      </c>
      <c r="H985" s="100" t="s">
        <v>8215</v>
      </c>
      <c r="I985" s="100" t="s">
        <v>8215</v>
      </c>
      <c r="J985" s="100"/>
      <c r="K985" s="107"/>
    </row>
    <row r="986" ht="15" spans="1:11">
      <c r="A986" s="101" t="s">
        <v>33</v>
      </c>
      <c r="B986" s="100" t="s">
        <v>10018</v>
      </c>
      <c r="C986" s="98" t="s">
        <v>8218</v>
      </c>
      <c r="D986" s="101" t="s">
        <v>4</v>
      </c>
      <c r="E986" s="101" t="s">
        <v>10016</v>
      </c>
      <c r="F986" s="101"/>
      <c r="G986" s="101" t="s">
        <v>206</v>
      </c>
      <c r="H986" s="100" t="s">
        <v>8215</v>
      </c>
      <c r="I986" s="100" t="s">
        <v>8247</v>
      </c>
      <c r="J986" s="100" t="s">
        <v>10012</v>
      </c>
      <c r="K986" s="107"/>
    </row>
    <row r="987" ht="15" spans="1:11">
      <c r="A987" s="101" t="s">
        <v>33</v>
      </c>
      <c r="B987" s="100" t="s">
        <v>10019</v>
      </c>
      <c r="C987" s="98" t="s">
        <v>8218</v>
      </c>
      <c r="D987" s="101" t="s">
        <v>4</v>
      </c>
      <c r="E987" s="101" t="s">
        <v>10016</v>
      </c>
      <c r="F987" s="101"/>
      <c r="G987" s="101" t="s">
        <v>206</v>
      </c>
      <c r="H987" s="100" t="s">
        <v>8215</v>
      </c>
      <c r="I987" s="100" t="s">
        <v>8247</v>
      </c>
      <c r="J987" s="100" t="s">
        <v>10020</v>
      </c>
      <c r="K987" s="107"/>
    </row>
    <row r="988" ht="15" spans="1:11">
      <c r="A988" s="101" t="s">
        <v>33</v>
      </c>
      <c r="B988" s="99" t="s">
        <v>10021</v>
      </c>
      <c r="C988" s="98" t="s">
        <v>8218</v>
      </c>
      <c r="D988" s="101" t="s">
        <v>4</v>
      </c>
      <c r="E988" s="101" t="s">
        <v>10016</v>
      </c>
      <c r="F988" s="98"/>
      <c r="G988" s="101" t="s">
        <v>206</v>
      </c>
      <c r="H988" s="100" t="s">
        <v>8215</v>
      </c>
      <c r="I988" s="100" t="s">
        <v>8215</v>
      </c>
      <c r="J988" s="100" t="s">
        <v>10012</v>
      </c>
      <c r="K988" s="107"/>
    </row>
    <row r="989" s="90" customFormat="1" ht="15" spans="1:11">
      <c r="A989" s="101" t="s">
        <v>33</v>
      </c>
      <c r="B989" s="99" t="s">
        <v>10022</v>
      </c>
      <c r="C989" s="98" t="s">
        <v>8293</v>
      </c>
      <c r="D989" s="101" t="s">
        <v>4</v>
      </c>
      <c r="E989" s="101" t="s">
        <v>2083</v>
      </c>
      <c r="F989" s="98"/>
      <c r="G989" s="101" t="s">
        <v>206</v>
      </c>
      <c r="H989" s="100" t="s">
        <v>8215</v>
      </c>
      <c r="I989" s="100" t="s">
        <v>8215</v>
      </c>
      <c r="J989" s="100" t="s">
        <v>8574</v>
      </c>
      <c r="K989" s="107">
        <v>2024.5</v>
      </c>
    </row>
    <row r="990" ht="15" spans="1:11">
      <c r="A990" s="101" t="s">
        <v>33</v>
      </c>
      <c r="B990" s="100" t="s">
        <v>10023</v>
      </c>
      <c r="C990" s="98" t="s">
        <v>8218</v>
      </c>
      <c r="D990" s="101" t="s">
        <v>4</v>
      </c>
      <c r="E990" s="101" t="s">
        <v>2083</v>
      </c>
      <c r="F990" s="98"/>
      <c r="G990" s="101" t="s">
        <v>206</v>
      </c>
      <c r="H990" s="100" t="s">
        <v>8215</v>
      </c>
      <c r="I990" s="100" t="s">
        <v>8215</v>
      </c>
      <c r="J990" s="100" t="s">
        <v>8220</v>
      </c>
      <c r="K990" s="107"/>
    </row>
    <row r="991" ht="15" spans="1:11">
      <c r="A991" s="101" t="s">
        <v>33</v>
      </c>
      <c r="B991" s="100" t="s">
        <v>10024</v>
      </c>
      <c r="C991" s="98"/>
      <c r="D991" s="101" t="s">
        <v>4</v>
      </c>
      <c r="E991" s="101" t="s">
        <v>2083</v>
      </c>
      <c r="F991" s="98"/>
      <c r="G991" s="101" t="s">
        <v>206</v>
      </c>
      <c r="H991" s="100" t="s">
        <v>8215</v>
      </c>
      <c r="I991" s="100" t="s">
        <v>8215</v>
      </c>
      <c r="J991" s="100" t="s">
        <v>8725</v>
      </c>
      <c r="K991" s="107">
        <v>2024.1</v>
      </c>
    </row>
    <row r="992" ht="15" spans="1:11">
      <c r="A992" s="101" t="s">
        <v>33</v>
      </c>
      <c r="B992" s="100" t="s">
        <v>10025</v>
      </c>
      <c r="C992" s="98" t="s">
        <v>8229</v>
      </c>
      <c r="D992" s="101" t="s">
        <v>4</v>
      </c>
      <c r="E992" s="101" t="s">
        <v>10026</v>
      </c>
      <c r="F992" s="98"/>
      <c r="G992" s="101" t="s">
        <v>206</v>
      </c>
      <c r="H992" s="118" t="s">
        <v>8215</v>
      </c>
      <c r="I992" s="100" t="s">
        <v>8215</v>
      </c>
      <c r="J992" s="101" t="s">
        <v>9831</v>
      </c>
      <c r="K992" s="107"/>
    </row>
    <row r="993" ht="15" spans="1:11">
      <c r="A993" s="101" t="s">
        <v>33</v>
      </c>
      <c r="B993" s="99" t="s">
        <v>10027</v>
      </c>
      <c r="C993" s="98" t="s">
        <v>8229</v>
      </c>
      <c r="D993" s="101" t="s">
        <v>4</v>
      </c>
      <c r="E993" s="101" t="s">
        <v>10026</v>
      </c>
      <c r="F993" s="98"/>
      <c r="G993" s="101" t="s">
        <v>206</v>
      </c>
      <c r="H993" s="118" t="s">
        <v>8215</v>
      </c>
      <c r="I993" s="100" t="s">
        <v>8215</v>
      </c>
      <c r="J993" s="101" t="s">
        <v>8921</v>
      </c>
      <c r="K993" s="107"/>
    </row>
    <row r="994" ht="15" spans="1:11">
      <c r="A994" s="101" t="s">
        <v>33</v>
      </c>
      <c r="B994" s="99" t="s">
        <v>10028</v>
      </c>
      <c r="C994" s="98" t="s">
        <v>9590</v>
      </c>
      <c r="D994" s="101" t="s">
        <v>4</v>
      </c>
      <c r="E994" s="101" t="s">
        <v>10026</v>
      </c>
      <c r="F994" s="98"/>
      <c r="G994" s="101" t="s">
        <v>206</v>
      </c>
      <c r="H994" s="118"/>
      <c r="I994" s="100"/>
      <c r="J994" s="101" t="s">
        <v>8463</v>
      </c>
      <c r="K994" s="107"/>
    </row>
    <row r="995" ht="15" spans="1:11">
      <c r="A995" s="101" t="s">
        <v>33</v>
      </c>
      <c r="B995" s="100" t="s">
        <v>10029</v>
      </c>
      <c r="C995" s="98" t="s">
        <v>8218</v>
      </c>
      <c r="D995" s="101" t="s">
        <v>4</v>
      </c>
      <c r="E995" s="101" t="s">
        <v>10030</v>
      </c>
      <c r="F995" s="98"/>
      <c r="G995" s="101" t="s">
        <v>206</v>
      </c>
      <c r="H995" s="118" t="s">
        <v>8215</v>
      </c>
      <c r="I995" s="100" t="s">
        <v>8215</v>
      </c>
      <c r="J995" s="101" t="s">
        <v>9831</v>
      </c>
      <c r="K995" s="107"/>
    </row>
    <row r="996" ht="15" spans="1:11">
      <c r="A996" s="101" t="s">
        <v>33</v>
      </c>
      <c r="B996" s="119" t="s">
        <v>10031</v>
      </c>
      <c r="C996" s="101" t="s">
        <v>8240</v>
      </c>
      <c r="D996" s="98" t="s">
        <v>4</v>
      </c>
      <c r="E996" s="98" t="s">
        <v>10030</v>
      </c>
      <c r="F996" s="98"/>
      <c r="G996" s="98" t="s">
        <v>206</v>
      </c>
      <c r="H996" s="118" t="s">
        <v>8215</v>
      </c>
      <c r="I996" s="100" t="s">
        <v>8215</v>
      </c>
      <c r="J996" s="101" t="s">
        <v>10032</v>
      </c>
      <c r="K996" s="107"/>
    </row>
    <row r="997" ht="15" spans="1:11">
      <c r="A997" s="101" t="s">
        <v>33</v>
      </c>
      <c r="B997" s="99" t="s">
        <v>10033</v>
      </c>
      <c r="C997" s="98" t="s">
        <v>8240</v>
      </c>
      <c r="D997" s="101" t="s">
        <v>4</v>
      </c>
      <c r="E997" s="101" t="s">
        <v>10034</v>
      </c>
      <c r="F997" s="98"/>
      <c r="G997" s="101" t="s">
        <v>206</v>
      </c>
      <c r="H997" s="118" t="s">
        <v>8215</v>
      </c>
      <c r="I997" s="100" t="s">
        <v>8247</v>
      </c>
      <c r="J997" s="101" t="s">
        <v>8220</v>
      </c>
      <c r="K997" s="107"/>
    </row>
    <row r="998" ht="15" spans="1:11">
      <c r="A998" s="101" t="s">
        <v>33</v>
      </c>
      <c r="B998" s="100" t="s">
        <v>10035</v>
      </c>
      <c r="C998" s="98" t="s">
        <v>8229</v>
      </c>
      <c r="D998" s="101" t="s">
        <v>4</v>
      </c>
      <c r="E998" s="101" t="s">
        <v>10036</v>
      </c>
      <c r="F998" s="98"/>
      <c r="G998" s="101" t="s">
        <v>206</v>
      </c>
      <c r="H998" s="118" t="s">
        <v>8215</v>
      </c>
      <c r="I998" s="100" t="s">
        <v>8215</v>
      </c>
      <c r="J998" s="101">
        <v>5</v>
      </c>
      <c r="K998" s="107"/>
    </row>
    <row r="999" s="90" customFormat="1" ht="15" spans="1:11">
      <c r="A999" s="101" t="s">
        <v>33</v>
      </c>
      <c r="B999" s="100" t="s">
        <v>10037</v>
      </c>
      <c r="C999" s="98" t="s">
        <v>8293</v>
      </c>
      <c r="D999" s="101" t="s">
        <v>4</v>
      </c>
      <c r="E999" s="101" t="s">
        <v>10038</v>
      </c>
      <c r="F999" s="98"/>
      <c r="G999" s="101" t="s">
        <v>206</v>
      </c>
      <c r="H999" s="118" t="s">
        <v>8215</v>
      </c>
      <c r="I999" s="100" t="s">
        <v>8247</v>
      </c>
      <c r="J999" s="101" t="s">
        <v>10039</v>
      </c>
      <c r="K999" s="107">
        <v>2024.4</v>
      </c>
    </row>
    <row r="1000" s="90" customFormat="1" ht="15" spans="1:11">
      <c r="A1000" s="101" t="s">
        <v>33</v>
      </c>
      <c r="B1000" s="100" t="s">
        <v>10040</v>
      </c>
      <c r="C1000" s="98" t="s">
        <v>8293</v>
      </c>
      <c r="D1000" s="101" t="s">
        <v>4</v>
      </c>
      <c r="E1000" s="101" t="s">
        <v>10038</v>
      </c>
      <c r="F1000" s="98"/>
      <c r="G1000" s="101" t="s">
        <v>206</v>
      </c>
      <c r="H1000" s="118" t="s">
        <v>8215</v>
      </c>
      <c r="I1000" s="100" t="s">
        <v>8247</v>
      </c>
      <c r="J1000" s="101" t="s">
        <v>10041</v>
      </c>
      <c r="K1000" s="107">
        <v>2024.5</v>
      </c>
    </row>
    <row r="1001" ht="30" spans="1:11">
      <c r="A1001" s="101" t="s">
        <v>33</v>
      </c>
      <c r="B1001" s="100" t="s">
        <v>10042</v>
      </c>
      <c r="C1001" s="98" t="s">
        <v>8240</v>
      </c>
      <c r="D1001" s="101" t="s">
        <v>5</v>
      </c>
      <c r="E1001" s="101" t="s">
        <v>10043</v>
      </c>
      <c r="F1001" s="98"/>
      <c r="G1001" s="101" t="s">
        <v>209</v>
      </c>
      <c r="H1001" s="118" t="s">
        <v>8535</v>
      </c>
      <c r="I1001" s="100" t="s">
        <v>8320</v>
      </c>
      <c r="J1001" s="101">
        <v>4.5</v>
      </c>
      <c r="K1001" s="107"/>
    </row>
    <row r="1002" ht="15" spans="1:11">
      <c r="A1002" s="101" t="s">
        <v>33</v>
      </c>
      <c r="B1002" s="100" t="s">
        <v>10044</v>
      </c>
      <c r="C1002" s="98" t="s">
        <v>9590</v>
      </c>
      <c r="D1002" s="101" t="s">
        <v>5</v>
      </c>
      <c r="E1002" s="101" t="s">
        <v>10043</v>
      </c>
      <c r="F1002" s="98"/>
      <c r="G1002" s="101" t="s">
        <v>209</v>
      </c>
      <c r="H1002" s="118"/>
      <c r="I1002" s="100"/>
      <c r="J1002" s="100" t="s">
        <v>10045</v>
      </c>
      <c r="K1002" s="107"/>
    </row>
    <row r="1003" s="89" customFormat="1" ht="30" spans="1:256">
      <c r="A1003" s="101" t="s">
        <v>33</v>
      </c>
      <c r="B1003" s="99" t="s">
        <v>10046</v>
      </c>
      <c r="C1003" s="99" t="s">
        <v>8272</v>
      </c>
      <c r="D1003" s="99" t="s">
        <v>4</v>
      </c>
      <c r="E1003" s="99" t="s">
        <v>10047</v>
      </c>
      <c r="F1003" s="99"/>
      <c r="G1003" s="99" t="s">
        <v>209</v>
      </c>
      <c r="H1003" s="99" t="s">
        <v>8252</v>
      </c>
      <c r="I1003" s="99" t="s">
        <v>8252</v>
      </c>
      <c r="J1003" s="99" t="s">
        <v>9494</v>
      </c>
      <c r="K1003" s="136" t="s">
        <v>10048</v>
      </c>
      <c r="L1003" s="126"/>
      <c r="M1003" s="127"/>
      <c r="N1003" s="127"/>
      <c r="O1003" s="127"/>
      <c r="P1003" s="127"/>
      <c r="Q1003" s="127"/>
      <c r="R1003" s="127"/>
      <c r="S1003" s="127"/>
      <c r="T1003" s="127"/>
      <c r="U1003" s="127"/>
      <c r="V1003" s="127"/>
      <c r="W1003" s="127"/>
      <c r="X1003" s="127"/>
      <c r="Y1003" s="127"/>
      <c r="Z1003" s="127"/>
      <c r="AA1003" s="127"/>
      <c r="AB1003" s="127"/>
      <c r="AC1003" s="127"/>
      <c r="AD1003" s="127"/>
      <c r="AE1003" s="127"/>
      <c r="AF1003" s="127"/>
      <c r="AG1003" s="127"/>
      <c r="AH1003" s="127"/>
      <c r="AI1003" s="127"/>
      <c r="AJ1003" s="127"/>
      <c r="AK1003" s="127"/>
      <c r="AL1003" s="127"/>
      <c r="AM1003" s="127"/>
      <c r="AN1003" s="127"/>
      <c r="AO1003" s="127"/>
      <c r="AP1003" s="127"/>
      <c r="AQ1003" s="127"/>
      <c r="AR1003" s="127"/>
      <c r="AS1003" s="127"/>
      <c r="AT1003" s="127"/>
      <c r="AU1003" s="127"/>
      <c r="AV1003" s="127"/>
      <c r="AW1003" s="127"/>
      <c r="AX1003" s="127"/>
      <c r="AY1003" s="127"/>
      <c r="AZ1003" s="127"/>
      <c r="BA1003" s="127"/>
      <c r="BB1003" s="127"/>
      <c r="BC1003" s="127"/>
      <c r="BD1003" s="127"/>
      <c r="BE1003" s="127"/>
      <c r="BF1003" s="127"/>
      <c r="BG1003" s="127"/>
      <c r="BH1003" s="127"/>
      <c r="BI1003" s="127"/>
      <c r="BJ1003" s="127"/>
      <c r="BK1003" s="127"/>
      <c r="BL1003" s="127"/>
      <c r="BM1003" s="127"/>
      <c r="BN1003" s="127"/>
      <c r="BO1003" s="127"/>
      <c r="BP1003" s="127"/>
      <c r="BQ1003" s="127"/>
      <c r="BR1003" s="127"/>
      <c r="BS1003" s="127"/>
      <c r="BT1003" s="127"/>
      <c r="BU1003" s="127"/>
      <c r="BV1003" s="127"/>
      <c r="BW1003" s="127"/>
      <c r="BX1003" s="127"/>
      <c r="BY1003" s="127"/>
      <c r="BZ1003" s="127"/>
      <c r="CA1003" s="127"/>
      <c r="CB1003" s="127"/>
      <c r="CC1003" s="127"/>
      <c r="CD1003" s="127"/>
      <c r="CE1003" s="127"/>
      <c r="CF1003" s="127"/>
      <c r="CG1003" s="127"/>
      <c r="CH1003" s="127"/>
      <c r="CI1003" s="127"/>
      <c r="CJ1003" s="127"/>
      <c r="CK1003" s="127"/>
      <c r="CL1003" s="127"/>
      <c r="CM1003" s="127"/>
      <c r="CN1003" s="127"/>
      <c r="CO1003" s="127"/>
      <c r="CP1003" s="127"/>
      <c r="CQ1003" s="127"/>
      <c r="CR1003" s="127"/>
      <c r="CS1003" s="127"/>
      <c r="CT1003" s="127"/>
      <c r="CU1003" s="127"/>
      <c r="CV1003" s="127"/>
      <c r="CW1003" s="127"/>
      <c r="CX1003" s="127"/>
      <c r="CY1003" s="127"/>
      <c r="CZ1003" s="127"/>
      <c r="DA1003" s="127"/>
      <c r="DB1003" s="127"/>
      <c r="DC1003" s="127"/>
      <c r="DD1003" s="127"/>
      <c r="DE1003" s="127"/>
      <c r="DF1003" s="127"/>
      <c r="DG1003" s="127"/>
      <c r="DH1003" s="127"/>
      <c r="DI1003" s="127"/>
      <c r="DJ1003" s="127"/>
      <c r="DK1003" s="127"/>
      <c r="DL1003" s="127"/>
      <c r="DM1003" s="127"/>
      <c r="DN1003" s="127"/>
      <c r="DO1003" s="127"/>
      <c r="DP1003" s="127"/>
      <c r="DQ1003" s="127"/>
      <c r="DR1003" s="127"/>
      <c r="DS1003" s="127"/>
      <c r="DT1003" s="127"/>
      <c r="DU1003" s="127"/>
      <c r="DV1003" s="127"/>
      <c r="DW1003" s="127"/>
      <c r="DX1003" s="127"/>
      <c r="DY1003" s="127"/>
      <c r="DZ1003" s="127"/>
      <c r="EA1003" s="127"/>
      <c r="EB1003" s="127"/>
      <c r="EC1003" s="127"/>
      <c r="ED1003" s="127"/>
      <c r="EE1003" s="127"/>
      <c r="EF1003" s="127"/>
      <c r="EG1003" s="127"/>
      <c r="EH1003" s="127"/>
      <c r="EI1003" s="127"/>
      <c r="EJ1003" s="127"/>
      <c r="EK1003" s="127"/>
      <c r="EL1003" s="127"/>
      <c r="EM1003" s="127"/>
      <c r="EN1003" s="127"/>
      <c r="EO1003" s="127"/>
      <c r="EP1003" s="127"/>
      <c r="EQ1003" s="127"/>
      <c r="ER1003" s="127"/>
      <c r="ES1003" s="127"/>
      <c r="ET1003" s="127"/>
      <c r="EU1003" s="127"/>
      <c r="EV1003" s="127"/>
      <c r="EW1003" s="127"/>
      <c r="EX1003" s="127"/>
      <c r="EY1003" s="127"/>
      <c r="EZ1003" s="127"/>
      <c r="FA1003" s="127"/>
      <c r="FB1003" s="127"/>
      <c r="FC1003" s="127"/>
      <c r="FD1003" s="127"/>
      <c r="FE1003" s="127"/>
      <c r="FF1003" s="127"/>
      <c r="FG1003" s="127"/>
      <c r="FH1003" s="127"/>
      <c r="FI1003" s="127"/>
      <c r="FJ1003" s="127"/>
      <c r="FK1003" s="127"/>
      <c r="FL1003" s="127"/>
      <c r="FM1003" s="127"/>
      <c r="FN1003" s="127"/>
      <c r="FO1003" s="127"/>
      <c r="FP1003" s="127"/>
      <c r="FQ1003" s="127"/>
      <c r="FR1003" s="127"/>
      <c r="FS1003" s="127"/>
      <c r="FT1003" s="127"/>
      <c r="FU1003" s="127"/>
      <c r="FV1003" s="127"/>
      <c r="FW1003" s="127"/>
      <c r="FX1003" s="127"/>
      <c r="FY1003" s="127"/>
      <c r="FZ1003" s="127"/>
      <c r="GA1003" s="127"/>
      <c r="GB1003" s="127"/>
      <c r="GC1003" s="127"/>
      <c r="GD1003" s="127"/>
      <c r="GE1003" s="127"/>
      <c r="GF1003" s="127"/>
      <c r="GG1003" s="127"/>
      <c r="GH1003" s="127"/>
      <c r="GI1003" s="127"/>
      <c r="GJ1003" s="127"/>
      <c r="GK1003" s="127"/>
      <c r="GL1003" s="127"/>
      <c r="GM1003" s="127"/>
      <c r="GN1003" s="127"/>
      <c r="GO1003" s="127"/>
      <c r="GP1003" s="127"/>
      <c r="GQ1003" s="127"/>
      <c r="GR1003" s="127"/>
      <c r="GS1003" s="127"/>
      <c r="GT1003" s="127"/>
      <c r="GU1003" s="127"/>
      <c r="GV1003" s="127"/>
      <c r="GW1003" s="127"/>
      <c r="GX1003" s="127"/>
      <c r="GY1003" s="127"/>
      <c r="GZ1003" s="127"/>
      <c r="HA1003" s="127"/>
      <c r="HB1003" s="127"/>
      <c r="HC1003" s="127"/>
      <c r="HD1003" s="127"/>
      <c r="HE1003" s="127"/>
      <c r="HF1003" s="127"/>
      <c r="HG1003" s="127"/>
      <c r="HH1003" s="127"/>
      <c r="HI1003" s="127"/>
      <c r="HJ1003" s="127"/>
      <c r="HK1003" s="127"/>
      <c r="HL1003" s="127"/>
      <c r="HM1003" s="127"/>
      <c r="HN1003" s="127"/>
      <c r="HO1003" s="127"/>
      <c r="HP1003" s="127"/>
      <c r="HQ1003" s="127"/>
      <c r="HR1003" s="127"/>
      <c r="HS1003" s="127"/>
      <c r="HT1003" s="127"/>
      <c r="HU1003" s="127"/>
      <c r="HV1003" s="127"/>
      <c r="HW1003" s="127"/>
      <c r="HX1003" s="127"/>
      <c r="HY1003" s="127"/>
      <c r="HZ1003" s="127"/>
      <c r="IA1003" s="127"/>
      <c r="IB1003" s="127"/>
      <c r="IC1003" s="127"/>
      <c r="ID1003" s="127"/>
      <c r="IE1003" s="127"/>
      <c r="IF1003" s="127"/>
      <c r="IG1003" s="127"/>
      <c r="IH1003" s="127"/>
      <c r="II1003" s="127"/>
      <c r="IJ1003" s="127"/>
      <c r="IK1003" s="127"/>
      <c r="IL1003" s="127"/>
      <c r="IM1003" s="127"/>
      <c r="IN1003" s="127"/>
      <c r="IO1003" s="127"/>
      <c r="IP1003" s="127"/>
      <c r="IQ1003" s="127"/>
      <c r="IR1003" s="127"/>
      <c r="IS1003" s="127"/>
      <c r="IT1003" s="127"/>
      <c r="IU1003" s="127"/>
      <c r="IV1003" s="127"/>
    </row>
    <row r="1004" ht="15" spans="1:11">
      <c r="A1004" s="101" t="s">
        <v>33</v>
      </c>
      <c r="B1004" s="100" t="s">
        <v>10049</v>
      </c>
      <c r="C1004" s="98" t="s">
        <v>8218</v>
      </c>
      <c r="D1004" s="101" t="s">
        <v>4</v>
      </c>
      <c r="E1004" s="101" t="s">
        <v>10050</v>
      </c>
      <c r="F1004" s="98"/>
      <c r="G1004" s="98" t="s">
        <v>209</v>
      </c>
      <c r="H1004" s="100" t="s">
        <v>8215</v>
      </c>
      <c r="I1004" s="100" t="s">
        <v>8215</v>
      </c>
      <c r="J1004" s="100"/>
      <c r="K1004" s="107"/>
    </row>
    <row r="1005" ht="15" spans="1:11">
      <c r="A1005" s="101" t="s">
        <v>33</v>
      </c>
      <c r="B1005" s="100" t="s">
        <v>10051</v>
      </c>
      <c r="C1005" s="98" t="s">
        <v>8218</v>
      </c>
      <c r="D1005" s="101" t="s">
        <v>4</v>
      </c>
      <c r="E1005" s="101" t="s">
        <v>10050</v>
      </c>
      <c r="F1005" s="98"/>
      <c r="G1005" s="98" t="s">
        <v>209</v>
      </c>
      <c r="H1005" s="100" t="s">
        <v>8215</v>
      </c>
      <c r="I1005" s="100" t="s">
        <v>8215</v>
      </c>
      <c r="J1005" s="100"/>
      <c r="K1005" s="107"/>
    </row>
    <row r="1006" ht="15" spans="1:11">
      <c r="A1006" s="101" t="s">
        <v>33</v>
      </c>
      <c r="B1006" s="100" t="s">
        <v>10052</v>
      </c>
      <c r="C1006" s="98" t="s">
        <v>8240</v>
      </c>
      <c r="D1006" s="101" t="s">
        <v>4</v>
      </c>
      <c r="E1006" s="101" t="s">
        <v>10050</v>
      </c>
      <c r="F1006" s="98"/>
      <c r="G1006" s="98" t="s">
        <v>209</v>
      </c>
      <c r="H1006" s="100" t="s">
        <v>8215</v>
      </c>
      <c r="I1006" s="100" t="s">
        <v>8215</v>
      </c>
      <c r="J1006" s="100" t="s">
        <v>8907</v>
      </c>
      <c r="K1006" s="107"/>
    </row>
    <row r="1007" ht="15" spans="1:11">
      <c r="A1007" s="101" t="s">
        <v>33</v>
      </c>
      <c r="B1007" s="100" t="s">
        <v>10053</v>
      </c>
      <c r="C1007" s="98" t="s">
        <v>8218</v>
      </c>
      <c r="D1007" s="101" t="s">
        <v>4</v>
      </c>
      <c r="E1007" s="101" t="s">
        <v>10054</v>
      </c>
      <c r="F1007" s="98"/>
      <c r="G1007" s="98" t="s">
        <v>209</v>
      </c>
      <c r="H1007" s="100" t="s">
        <v>8215</v>
      </c>
      <c r="I1007" s="100" t="s">
        <v>8247</v>
      </c>
      <c r="J1007" s="100" t="s">
        <v>9707</v>
      </c>
      <c r="K1007" s="107"/>
    </row>
    <row r="1008" ht="15" spans="1:11">
      <c r="A1008" s="101" t="s">
        <v>33</v>
      </c>
      <c r="B1008" s="99" t="s">
        <v>10055</v>
      </c>
      <c r="C1008" s="98" t="s">
        <v>8218</v>
      </c>
      <c r="D1008" s="101" t="s">
        <v>4</v>
      </c>
      <c r="E1008" s="101" t="s">
        <v>10056</v>
      </c>
      <c r="F1008" s="98"/>
      <c r="G1008" s="98" t="s">
        <v>209</v>
      </c>
      <c r="H1008" s="100" t="s">
        <v>8215</v>
      </c>
      <c r="I1008" s="100" t="s">
        <v>8215</v>
      </c>
      <c r="J1008" s="100"/>
      <c r="K1008" s="107"/>
    </row>
    <row r="1009" ht="15" spans="1:11">
      <c r="A1009" s="101" t="s">
        <v>33</v>
      </c>
      <c r="B1009" s="100" t="s">
        <v>10057</v>
      </c>
      <c r="C1009" s="98" t="s">
        <v>8218</v>
      </c>
      <c r="D1009" s="101" t="s">
        <v>5</v>
      </c>
      <c r="E1009" s="101" t="s">
        <v>10058</v>
      </c>
      <c r="F1009" s="98"/>
      <c r="G1009" s="98" t="s">
        <v>209</v>
      </c>
      <c r="H1009" s="100" t="s">
        <v>8320</v>
      </c>
      <c r="I1009" s="100" t="s">
        <v>8215</v>
      </c>
      <c r="J1009" s="100"/>
      <c r="K1009" s="107"/>
    </row>
    <row r="1010" ht="15" spans="1:11">
      <c r="A1010" s="101" t="s">
        <v>33</v>
      </c>
      <c r="B1010" s="100" t="s">
        <v>10059</v>
      </c>
      <c r="C1010" s="98" t="s">
        <v>8218</v>
      </c>
      <c r="D1010" s="101" t="s">
        <v>4</v>
      </c>
      <c r="E1010" s="101" t="s">
        <v>10060</v>
      </c>
      <c r="F1010" s="98"/>
      <c r="G1010" s="98" t="s">
        <v>209</v>
      </c>
      <c r="H1010" s="100" t="s">
        <v>8215</v>
      </c>
      <c r="I1010" s="100" t="s">
        <v>8215</v>
      </c>
      <c r="J1010" s="100" t="s">
        <v>8353</v>
      </c>
      <c r="K1010" s="107"/>
    </row>
    <row r="1011" ht="15" spans="1:11">
      <c r="A1011" s="101" t="s">
        <v>33</v>
      </c>
      <c r="B1011" s="100" t="s">
        <v>10061</v>
      </c>
      <c r="C1011" s="98" t="s">
        <v>8240</v>
      </c>
      <c r="D1011" s="101" t="s">
        <v>5</v>
      </c>
      <c r="E1011" s="101" t="s">
        <v>10062</v>
      </c>
      <c r="F1011" s="98"/>
      <c r="G1011" s="98" t="s">
        <v>209</v>
      </c>
      <c r="H1011" s="100" t="s">
        <v>8215</v>
      </c>
      <c r="I1011" s="100" t="s">
        <v>8215</v>
      </c>
      <c r="J1011" s="100" t="s">
        <v>10063</v>
      </c>
      <c r="K1011" s="107"/>
    </row>
    <row r="1012" ht="15" spans="1:11">
      <c r="A1012" s="101" t="s">
        <v>33</v>
      </c>
      <c r="B1012" s="100" t="s">
        <v>10064</v>
      </c>
      <c r="C1012" s="98" t="s">
        <v>8272</v>
      </c>
      <c r="D1012" s="101" t="s">
        <v>5</v>
      </c>
      <c r="E1012" s="101" t="s">
        <v>10065</v>
      </c>
      <c r="F1012" s="98"/>
      <c r="G1012" s="98" t="s">
        <v>209</v>
      </c>
      <c r="H1012" s="100" t="s">
        <v>8215</v>
      </c>
      <c r="I1012" s="100" t="s">
        <v>8215</v>
      </c>
      <c r="J1012" s="100" t="s">
        <v>8459</v>
      </c>
      <c r="K1012" s="107" t="s">
        <v>10066</v>
      </c>
    </row>
    <row r="1013" ht="15" spans="1:11">
      <c r="A1013" s="101" t="s">
        <v>33</v>
      </c>
      <c r="B1013" s="100" t="s">
        <v>10067</v>
      </c>
      <c r="C1013" s="98" t="s">
        <v>8218</v>
      </c>
      <c r="D1013" s="101" t="s">
        <v>4</v>
      </c>
      <c r="E1013" s="101" t="s">
        <v>10068</v>
      </c>
      <c r="F1013" s="98"/>
      <c r="G1013" s="98" t="s">
        <v>209</v>
      </c>
      <c r="H1013" s="100" t="s">
        <v>8215</v>
      </c>
      <c r="I1013" s="100" t="s">
        <v>8215</v>
      </c>
      <c r="J1013" s="100"/>
      <c r="K1013" s="107"/>
    </row>
    <row r="1014" ht="15" spans="1:11">
      <c r="A1014" s="101" t="s">
        <v>33</v>
      </c>
      <c r="B1014" s="100" t="s">
        <v>10069</v>
      </c>
      <c r="C1014" s="98" t="s">
        <v>8218</v>
      </c>
      <c r="D1014" s="101" t="s">
        <v>4</v>
      </c>
      <c r="E1014" s="101" t="s">
        <v>10068</v>
      </c>
      <c r="F1014" s="98"/>
      <c r="G1014" s="98" t="s">
        <v>209</v>
      </c>
      <c r="H1014" s="100" t="s">
        <v>8215</v>
      </c>
      <c r="I1014" s="100" t="s">
        <v>8215</v>
      </c>
      <c r="J1014" s="100" t="s">
        <v>8463</v>
      </c>
      <c r="K1014" s="107"/>
    </row>
    <row r="1015" ht="15" spans="1:11">
      <c r="A1015" s="101" t="s">
        <v>33</v>
      </c>
      <c r="B1015" s="100" t="s">
        <v>10070</v>
      </c>
      <c r="C1015" s="98" t="s">
        <v>8218</v>
      </c>
      <c r="D1015" s="101" t="s">
        <v>4</v>
      </c>
      <c r="E1015" s="101" t="s">
        <v>10071</v>
      </c>
      <c r="F1015" s="98"/>
      <c r="G1015" s="98" t="s">
        <v>209</v>
      </c>
      <c r="H1015" s="100" t="s">
        <v>8215</v>
      </c>
      <c r="I1015" s="100" t="s">
        <v>1258</v>
      </c>
      <c r="J1015" s="100" t="s">
        <v>10072</v>
      </c>
      <c r="K1015" s="107"/>
    </row>
    <row r="1016" s="91" customFormat="1" ht="15" spans="1:255">
      <c r="A1016" s="101" t="s">
        <v>33</v>
      </c>
      <c r="B1016" s="129" t="s">
        <v>10073</v>
      </c>
      <c r="C1016" s="129" t="s">
        <v>8272</v>
      </c>
      <c r="D1016" s="129" t="s">
        <v>4</v>
      </c>
      <c r="E1016" s="129" t="s">
        <v>10074</v>
      </c>
      <c r="F1016" s="129"/>
      <c r="G1016" s="129" t="s">
        <v>209</v>
      </c>
      <c r="H1016" s="130" t="s">
        <v>9715</v>
      </c>
      <c r="I1016" s="130" t="s">
        <v>9485</v>
      </c>
      <c r="J1016" s="130" t="s">
        <v>8459</v>
      </c>
      <c r="K1016" s="114" t="s">
        <v>9486</v>
      </c>
      <c r="L1016" s="89"/>
      <c r="M1016" s="89"/>
      <c r="N1016" s="89"/>
      <c r="O1016" s="89"/>
      <c r="P1016" s="89"/>
      <c r="Q1016" s="89"/>
      <c r="R1016" s="89"/>
      <c r="S1016" s="89"/>
      <c r="T1016" s="89"/>
      <c r="U1016" s="89"/>
      <c r="V1016" s="89"/>
      <c r="W1016" s="89"/>
      <c r="X1016" s="89"/>
      <c r="Y1016" s="89"/>
      <c r="Z1016" s="89"/>
      <c r="AA1016" s="89"/>
      <c r="AB1016" s="89"/>
      <c r="AC1016" s="89"/>
      <c r="AD1016" s="89"/>
      <c r="AE1016" s="89"/>
      <c r="AF1016" s="89"/>
      <c r="AG1016" s="89"/>
      <c r="AH1016" s="89"/>
      <c r="AI1016" s="89"/>
      <c r="AJ1016" s="89"/>
      <c r="AK1016" s="89"/>
      <c r="AL1016" s="89"/>
      <c r="AM1016" s="89"/>
      <c r="AN1016" s="89"/>
      <c r="AO1016" s="89"/>
      <c r="AP1016" s="89"/>
      <c r="AQ1016" s="89"/>
      <c r="AR1016" s="89"/>
      <c r="AS1016" s="89"/>
      <c r="AT1016" s="89"/>
      <c r="AU1016" s="89"/>
      <c r="AV1016" s="89"/>
      <c r="AW1016" s="89"/>
      <c r="AX1016" s="89"/>
      <c r="AY1016" s="89"/>
      <c r="AZ1016" s="89"/>
      <c r="BA1016" s="89"/>
      <c r="BB1016" s="89"/>
      <c r="BC1016" s="89"/>
      <c r="BD1016" s="89"/>
      <c r="BE1016" s="89"/>
      <c r="BF1016" s="89"/>
      <c r="BG1016" s="89"/>
      <c r="BH1016" s="89"/>
      <c r="BI1016" s="89"/>
      <c r="BJ1016" s="89"/>
      <c r="BK1016" s="89"/>
      <c r="BL1016" s="89"/>
      <c r="BM1016" s="89"/>
      <c r="BN1016" s="89"/>
      <c r="BO1016" s="89"/>
      <c r="BP1016" s="89"/>
      <c r="BQ1016" s="89"/>
      <c r="BR1016" s="89"/>
      <c r="BS1016" s="89"/>
      <c r="BT1016" s="89"/>
      <c r="BU1016" s="89"/>
      <c r="BV1016" s="89"/>
      <c r="BW1016" s="89"/>
      <c r="BX1016" s="89"/>
      <c r="BY1016" s="89"/>
      <c r="BZ1016" s="89"/>
      <c r="CA1016" s="89"/>
      <c r="CB1016" s="89"/>
      <c r="CC1016" s="89"/>
      <c r="CD1016" s="89"/>
      <c r="CE1016" s="89"/>
      <c r="CF1016" s="89"/>
      <c r="CG1016" s="89"/>
      <c r="CH1016" s="89"/>
      <c r="CI1016" s="89"/>
      <c r="CJ1016" s="89"/>
      <c r="CK1016" s="89"/>
      <c r="CL1016" s="89"/>
      <c r="CM1016" s="89"/>
      <c r="CN1016" s="89"/>
      <c r="CO1016" s="89"/>
      <c r="CP1016" s="89"/>
      <c r="CQ1016" s="89"/>
      <c r="CR1016" s="89"/>
      <c r="CS1016" s="89"/>
      <c r="CT1016" s="89"/>
      <c r="CU1016" s="89"/>
      <c r="CV1016" s="89"/>
      <c r="CW1016" s="89"/>
      <c r="CX1016" s="89"/>
      <c r="CY1016" s="89"/>
      <c r="CZ1016" s="89"/>
      <c r="DA1016" s="89"/>
      <c r="DB1016" s="89"/>
      <c r="DC1016" s="89"/>
      <c r="DD1016" s="89"/>
      <c r="DE1016" s="89"/>
      <c r="DF1016" s="89"/>
      <c r="DG1016" s="89"/>
      <c r="DH1016" s="89"/>
      <c r="DI1016" s="89"/>
      <c r="DJ1016" s="89"/>
      <c r="DK1016" s="89"/>
      <c r="DL1016" s="89"/>
      <c r="DM1016" s="89"/>
      <c r="DN1016" s="89"/>
      <c r="DO1016" s="89"/>
      <c r="DP1016" s="89"/>
      <c r="DQ1016" s="89"/>
      <c r="DR1016" s="89"/>
      <c r="DS1016" s="89"/>
      <c r="DT1016" s="89"/>
      <c r="DU1016" s="89"/>
      <c r="DV1016" s="89"/>
      <c r="DW1016" s="89"/>
      <c r="DX1016" s="89"/>
      <c r="DY1016" s="89"/>
      <c r="DZ1016" s="89"/>
      <c r="EA1016" s="89"/>
      <c r="EB1016" s="89"/>
      <c r="EC1016" s="89"/>
      <c r="ED1016" s="89"/>
      <c r="EE1016" s="89"/>
      <c r="EF1016" s="89"/>
      <c r="EG1016" s="89"/>
      <c r="EH1016" s="89"/>
      <c r="EI1016" s="89"/>
      <c r="EJ1016" s="89"/>
      <c r="EK1016" s="89"/>
      <c r="EL1016" s="89"/>
      <c r="EM1016" s="89"/>
      <c r="EN1016" s="89"/>
      <c r="EO1016" s="89"/>
      <c r="EP1016" s="89"/>
      <c r="EQ1016" s="89"/>
      <c r="ER1016" s="89"/>
      <c r="ES1016" s="89"/>
      <c r="ET1016" s="89"/>
      <c r="EU1016" s="89"/>
      <c r="EV1016" s="89"/>
      <c r="EW1016" s="89"/>
      <c r="EX1016" s="89"/>
      <c r="EY1016" s="89"/>
      <c r="EZ1016" s="89"/>
      <c r="FA1016" s="89"/>
      <c r="FB1016" s="89"/>
      <c r="FC1016" s="89"/>
      <c r="FD1016" s="89"/>
      <c r="FE1016" s="89"/>
      <c r="FF1016" s="89"/>
      <c r="FG1016" s="89"/>
      <c r="FH1016" s="89"/>
      <c r="FI1016" s="89"/>
      <c r="FJ1016" s="89"/>
      <c r="FK1016" s="89"/>
      <c r="FL1016" s="89"/>
      <c r="FM1016" s="89"/>
      <c r="FN1016" s="89"/>
      <c r="FO1016" s="89"/>
      <c r="FP1016" s="89"/>
      <c r="FQ1016" s="89"/>
      <c r="FR1016" s="89"/>
      <c r="FS1016" s="89"/>
      <c r="FT1016" s="89"/>
      <c r="FU1016" s="89"/>
      <c r="FV1016" s="89"/>
      <c r="FW1016" s="89"/>
      <c r="FX1016" s="89"/>
      <c r="FY1016" s="89"/>
      <c r="FZ1016" s="89"/>
      <c r="GA1016" s="89"/>
      <c r="GB1016" s="89"/>
      <c r="GC1016" s="89"/>
      <c r="GD1016" s="89"/>
      <c r="GE1016" s="89"/>
      <c r="GF1016" s="89"/>
      <c r="GG1016" s="89"/>
      <c r="GH1016" s="89"/>
      <c r="GI1016" s="89"/>
      <c r="GJ1016" s="89"/>
      <c r="GK1016" s="89"/>
      <c r="GL1016" s="89"/>
      <c r="GM1016" s="89"/>
      <c r="GN1016" s="89"/>
      <c r="GO1016" s="89"/>
      <c r="GP1016" s="89"/>
      <c r="GQ1016" s="89"/>
      <c r="GR1016" s="89"/>
      <c r="GS1016" s="89"/>
      <c r="GT1016" s="89"/>
      <c r="GU1016" s="89"/>
      <c r="GV1016" s="89"/>
      <c r="GW1016" s="89"/>
      <c r="GX1016" s="89"/>
      <c r="GY1016" s="89"/>
      <c r="GZ1016" s="89"/>
      <c r="HA1016" s="89"/>
      <c r="HB1016" s="89"/>
      <c r="HC1016" s="89"/>
      <c r="HD1016" s="89"/>
      <c r="HE1016" s="89"/>
      <c r="HF1016" s="89"/>
      <c r="HG1016" s="89"/>
      <c r="HH1016" s="89"/>
      <c r="HI1016" s="89"/>
      <c r="HJ1016" s="89"/>
      <c r="HK1016" s="89"/>
      <c r="HL1016" s="89"/>
      <c r="HM1016" s="89"/>
      <c r="HN1016" s="89"/>
      <c r="HO1016" s="89"/>
      <c r="HP1016" s="89"/>
      <c r="HQ1016" s="89"/>
      <c r="HR1016" s="89"/>
      <c r="HS1016" s="89"/>
      <c r="HT1016" s="89"/>
      <c r="HU1016" s="89"/>
      <c r="HV1016" s="89"/>
      <c r="HW1016" s="89"/>
      <c r="HX1016" s="89"/>
      <c r="HY1016" s="89"/>
      <c r="HZ1016" s="89"/>
      <c r="IA1016" s="89"/>
      <c r="IB1016" s="89"/>
      <c r="IC1016" s="89"/>
      <c r="ID1016" s="89"/>
      <c r="IE1016" s="89"/>
      <c r="IF1016" s="89"/>
      <c r="IG1016" s="89"/>
      <c r="IH1016" s="89"/>
      <c r="II1016" s="89"/>
      <c r="IJ1016" s="89"/>
      <c r="IK1016" s="89"/>
      <c r="IL1016" s="89"/>
      <c r="IM1016" s="89"/>
      <c r="IN1016" s="89"/>
      <c r="IO1016" s="89"/>
      <c r="IP1016" s="89"/>
      <c r="IQ1016" s="89"/>
      <c r="IR1016" s="89"/>
      <c r="IS1016" s="89"/>
      <c r="IT1016" s="89"/>
      <c r="IU1016" s="89"/>
    </row>
    <row r="1017" ht="15" spans="1:11">
      <c r="A1017" s="101" t="s">
        <v>33</v>
      </c>
      <c r="B1017" s="100" t="s">
        <v>10075</v>
      </c>
      <c r="C1017" s="98" t="s">
        <v>8218</v>
      </c>
      <c r="D1017" s="101" t="s">
        <v>5</v>
      </c>
      <c r="E1017" s="101" t="s">
        <v>10076</v>
      </c>
      <c r="F1017" s="98"/>
      <c r="G1017" s="98" t="s">
        <v>209</v>
      </c>
      <c r="H1017" s="100" t="s">
        <v>8215</v>
      </c>
      <c r="I1017" s="100" t="s">
        <v>8215</v>
      </c>
      <c r="J1017" s="100" t="s">
        <v>8708</v>
      </c>
      <c r="K1017" s="107"/>
    </row>
    <row r="1018" ht="15" spans="1:11">
      <c r="A1018" s="101" t="s">
        <v>33</v>
      </c>
      <c r="B1018" s="100" t="s">
        <v>10077</v>
      </c>
      <c r="C1018" s="98" t="s">
        <v>8229</v>
      </c>
      <c r="D1018" s="101" t="s">
        <v>5</v>
      </c>
      <c r="E1018" s="101" t="s">
        <v>10076</v>
      </c>
      <c r="F1018" s="98"/>
      <c r="G1018" s="98" t="s">
        <v>209</v>
      </c>
      <c r="H1018" s="100" t="s">
        <v>8215</v>
      </c>
      <c r="I1018" s="100" t="s">
        <v>8215</v>
      </c>
      <c r="J1018" s="100"/>
      <c r="K1018" s="107"/>
    </row>
    <row r="1019" ht="15" spans="1:11">
      <c r="A1019" s="101" t="s">
        <v>33</v>
      </c>
      <c r="B1019" s="100" t="s">
        <v>10078</v>
      </c>
      <c r="C1019" s="98" t="s">
        <v>8218</v>
      </c>
      <c r="D1019" s="101" t="s">
        <v>4</v>
      </c>
      <c r="E1019" s="101" t="s">
        <v>10079</v>
      </c>
      <c r="F1019" s="98"/>
      <c r="G1019" s="98" t="s">
        <v>209</v>
      </c>
      <c r="H1019" s="100" t="s">
        <v>8215</v>
      </c>
      <c r="I1019" s="100" t="s">
        <v>8215</v>
      </c>
      <c r="J1019" s="100" t="s">
        <v>8353</v>
      </c>
      <c r="K1019" s="107"/>
    </row>
    <row r="1020" ht="15" spans="1:11">
      <c r="A1020" s="101" t="s">
        <v>33</v>
      </c>
      <c r="B1020" s="100" t="s">
        <v>10080</v>
      </c>
      <c r="C1020" s="98" t="s">
        <v>9590</v>
      </c>
      <c r="D1020" s="101" t="s">
        <v>4</v>
      </c>
      <c r="E1020" s="101" t="s">
        <v>10079</v>
      </c>
      <c r="F1020" s="98"/>
      <c r="G1020" s="98" t="s">
        <v>209</v>
      </c>
      <c r="H1020" s="100" t="s">
        <v>8215</v>
      </c>
      <c r="I1020" s="100" t="s">
        <v>8215</v>
      </c>
      <c r="J1020" s="100" t="s">
        <v>10081</v>
      </c>
      <c r="K1020" s="107"/>
    </row>
    <row r="1021" s="90" customFormat="1" ht="15" spans="1:11">
      <c r="A1021" s="101" t="s">
        <v>33</v>
      </c>
      <c r="B1021" s="100" t="s">
        <v>10082</v>
      </c>
      <c r="C1021" s="98" t="s">
        <v>8293</v>
      </c>
      <c r="D1021" s="101" t="s">
        <v>4</v>
      </c>
      <c r="E1021" s="101" t="s">
        <v>10083</v>
      </c>
      <c r="F1021" s="98"/>
      <c r="G1021" s="98" t="s">
        <v>209</v>
      </c>
      <c r="H1021" s="100" t="s">
        <v>8320</v>
      </c>
      <c r="I1021" s="100" t="s">
        <v>8215</v>
      </c>
      <c r="J1021" s="100" t="s">
        <v>8459</v>
      </c>
      <c r="K1021" s="107">
        <v>2024.05</v>
      </c>
    </row>
    <row r="1022" ht="15" spans="1:11">
      <c r="A1022" s="101" t="s">
        <v>33</v>
      </c>
      <c r="B1022" s="100" t="s">
        <v>10084</v>
      </c>
      <c r="C1022" s="98" t="s">
        <v>8218</v>
      </c>
      <c r="D1022" s="101" t="s">
        <v>4</v>
      </c>
      <c r="E1022" s="101" t="s">
        <v>10085</v>
      </c>
      <c r="F1022" s="98"/>
      <c r="G1022" s="98" t="s">
        <v>209</v>
      </c>
      <c r="H1022" s="100" t="s">
        <v>8215</v>
      </c>
      <c r="I1022" s="100" t="s">
        <v>8215</v>
      </c>
      <c r="J1022" s="100" t="s">
        <v>8708</v>
      </c>
      <c r="K1022" s="107"/>
    </row>
    <row r="1023" ht="15" spans="1:11">
      <c r="A1023" s="101" t="s">
        <v>33</v>
      </c>
      <c r="B1023" s="100" t="s">
        <v>10086</v>
      </c>
      <c r="C1023" s="98" t="s">
        <v>8218</v>
      </c>
      <c r="D1023" s="101" t="s">
        <v>4</v>
      </c>
      <c r="E1023" s="101" t="s">
        <v>10087</v>
      </c>
      <c r="F1023" s="98"/>
      <c r="G1023" s="98" t="s">
        <v>209</v>
      </c>
      <c r="H1023" s="100" t="s">
        <v>8215</v>
      </c>
      <c r="I1023" s="100" t="s">
        <v>8215</v>
      </c>
      <c r="J1023" s="100" t="s">
        <v>9270</v>
      </c>
      <c r="K1023" s="107"/>
    </row>
    <row r="1024" ht="15" spans="1:11">
      <c r="A1024" s="101" t="s">
        <v>33</v>
      </c>
      <c r="B1024" s="100" t="s">
        <v>10088</v>
      </c>
      <c r="C1024" s="101" t="s">
        <v>8240</v>
      </c>
      <c r="D1024" s="98" t="s">
        <v>5</v>
      </c>
      <c r="E1024" s="98" t="s">
        <v>10089</v>
      </c>
      <c r="F1024" s="98"/>
      <c r="G1024" s="98" t="s">
        <v>209</v>
      </c>
      <c r="H1024" s="118" t="s">
        <v>8215</v>
      </c>
      <c r="I1024" s="100" t="s">
        <v>8215</v>
      </c>
      <c r="J1024" s="100" t="s">
        <v>9152</v>
      </c>
      <c r="K1024" s="107"/>
    </row>
    <row r="1025" ht="15" spans="1:11">
      <c r="A1025" s="101" t="s">
        <v>33</v>
      </c>
      <c r="B1025" s="100" t="s">
        <v>10090</v>
      </c>
      <c r="C1025" s="98" t="s">
        <v>8218</v>
      </c>
      <c r="D1025" s="101" t="s">
        <v>4</v>
      </c>
      <c r="E1025" s="101" t="s">
        <v>10091</v>
      </c>
      <c r="F1025" s="98"/>
      <c r="G1025" s="98" t="s">
        <v>209</v>
      </c>
      <c r="H1025" s="100" t="s">
        <v>8215</v>
      </c>
      <c r="I1025" s="100" t="s">
        <v>8215</v>
      </c>
      <c r="J1025" s="100" t="s">
        <v>8353</v>
      </c>
      <c r="K1025" s="107"/>
    </row>
    <row r="1026" ht="15" spans="1:11">
      <c r="A1026" s="101" t="s">
        <v>33</v>
      </c>
      <c r="B1026" s="100" t="s">
        <v>10092</v>
      </c>
      <c r="C1026" s="98" t="s">
        <v>8218</v>
      </c>
      <c r="D1026" s="101" t="s">
        <v>4</v>
      </c>
      <c r="E1026" s="101" t="s">
        <v>10093</v>
      </c>
      <c r="F1026" s="98"/>
      <c r="G1026" s="98" t="s">
        <v>209</v>
      </c>
      <c r="H1026" s="100" t="s">
        <v>8215</v>
      </c>
      <c r="I1026" s="100" t="s">
        <v>8215</v>
      </c>
      <c r="J1026" s="100"/>
      <c r="K1026" s="107"/>
    </row>
    <row r="1027" ht="15" spans="1:11">
      <c r="A1027" s="101" t="s">
        <v>33</v>
      </c>
      <c r="B1027" s="99" t="s">
        <v>10094</v>
      </c>
      <c r="C1027" s="98" t="s">
        <v>8514</v>
      </c>
      <c r="D1027" s="98" t="s">
        <v>4</v>
      </c>
      <c r="E1027" s="98" t="s">
        <v>10095</v>
      </c>
      <c r="F1027" s="98"/>
      <c r="G1027" s="98" t="s">
        <v>209</v>
      </c>
      <c r="H1027" s="118" t="s">
        <v>8215</v>
      </c>
      <c r="I1027" s="100" t="s">
        <v>8215</v>
      </c>
      <c r="J1027" s="100" t="s">
        <v>10096</v>
      </c>
      <c r="K1027" s="107"/>
    </row>
    <row r="1028" s="89" customFormat="1" ht="15" spans="1:11">
      <c r="A1028" s="106" t="s">
        <v>33</v>
      </c>
      <c r="B1028" s="106" t="s">
        <v>10097</v>
      </c>
      <c r="C1028" s="106" t="s">
        <v>8293</v>
      </c>
      <c r="D1028" s="106" t="s">
        <v>4</v>
      </c>
      <c r="E1028" s="106" t="s">
        <v>9858</v>
      </c>
      <c r="F1028" s="106"/>
      <c r="G1028" s="106" t="s">
        <v>206</v>
      </c>
      <c r="H1028" s="106" t="s">
        <v>8215</v>
      </c>
      <c r="I1028" s="106" t="s">
        <v>8215</v>
      </c>
      <c r="J1028" s="106" t="s">
        <v>10098</v>
      </c>
      <c r="K1028" s="114" t="s">
        <v>8490</v>
      </c>
    </row>
    <row r="1029" s="89" customFormat="1" ht="15" spans="1:11">
      <c r="A1029" s="106" t="s">
        <v>33</v>
      </c>
      <c r="B1029" s="106" t="s">
        <v>10099</v>
      </c>
      <c r="C1029" s="106" t="s">
        <v>8293</v>
      </c>
      <c r="D1029" s="106" t="s">
        <v>5</v>
      </c>
      <c r="E1029" s="106" t="s">
        <v>10100</v>
      </c>
      <c r="F1029" s="106"/>
      <c r="G1029" s="106" t="s">
        <v>209</v>
      </c>
      <c r="H1029" s="106" t="s">
        <v>8215</v>
      </c>
      <c r="I1029" s="106" t="s">
        <v>8215</v>
      </c>
      <c r="J1029" s="106" t="s">
        <v>8459</v>
      </c>
      <c r="K1029" s="114" t="s">
        <v>8308</v>
      </c>
    </row>
    <row r="1030" s="91" customFormat="1" ht="15" spans="1:11">
      <c r="A1030" s="106" t="s">
        <v>33</v>
      </c>
      <c r="B1030" s="106" t="s">
        <v>10101</v>
      </c>
      <c r="C1030" s="106" t="s">
        <v>8293</v>
      </c>
      <c r="D1030" s="106" t="s">
        <v>4</v>
      </c>
      <c r="E1030" s="106" t="s">
        <v>9789</v>
      </c>
      <c r="F1030" s="106"/>
      <c r="G1030" s="106" t="s">
        <v>206</v>
      </c>
      <c r="H1030" s="106" t="s">
        <v>8461</v>
      </c>
      <c r="I1030" s="106" t="s">
        <v>8462</v>
      </c>
      <c r="J1030" s="106" t="s">
        <v>8910</v>
      </c>
      <c r="K1030" s="114" t="s">
        <v>8311</v>
      </c>
    </row>
    <row r="1031" s="91" customFormat="1" ht="15" spans="1:11">
      <c r="A1031" s="106" t="s">
        <v>33</v>
      </c>
      <c r="B1031" s="106" t="s">
        <v>10102</v>
      </c>
      <c r="C1031" s="106" t="s">
        <v>8293</v>
      </c>
      <c r="D1031" s="106" t="s">
        <v>4</v>
      </c>
      <c r="E1031" s="106" t="s">
        <v>10103</v>
      </c>
      <c r="F1031" s="106"/>
      <c r="G1031" s="106" t="s">
        <v>209</v>
      </c>
      <c r="H1031" s="106" t="s">
        <v>8215</v>
      </c>
      <c r="I1031" s="106" t="s">
        <v>8215</v>
      </c>
      <c r="J1031" s="106" t="s">
        <v>8314</v>
      </c>
      <c r="K1031" s="114" t="s">
        <v>8311</v>
      </c>
    </row>
    <row r="1032" s="93" customFormat="1" ht="30" spans="1:256">
      <c r="A1032" s="106" t="s">
        <v>33</v>
      </c>
      <c r="B1032" s="99" t="s">
        <v>10104</v>
      </c>
      <c r="C1032" s="99" t="s">
        <v>8272</v>
      </c>
      <c r="D1032" s="99" t="s">
        <v>4</v>
      </c>
      <c r="E1032" s="99" t="s">
        <v>10105</v>
      </c>
      <c r="F1032" s="99"/>
      <c r="G1032" s="99" t="s">
        <v>206</v>
      </c>
      <c r="H1032" s="99" t="s">
        <v>8247</v>
      </c>
      <c r="I1032" s="99" t="s">
        <v>8247</v>
      </c>
      <c r="J1032" s="99" t="s">
        <v>10106</v>
      </c>
      <c r="K1032" s="99" t="s">
        <v>9110</v>
      </c>
      <c r="L1032" s="126"/>
      <c r="M1032" s="127"/>
      <c r="N1032" s="127"/>
      <c r="O1032" s="127"/>
      <c r="P1032" s="127"/>
      <c r="Q1032" s="127"/>
      <c r="R1032" s="127"/>
      <c r="S1032" s="127"/>
      <c r="T1032" s="127"/>
      <c r="U1032" s="127"/>
      <c r="V1032" s="127"/>
      <c r="W1032" s="127"/>
      <c r="X1032" s="127"/>
      <c r="Y1032" s="127"/>
      <c r="Z1032" s="127"/>
      <c r="AA1032" s="127"/>
      <c r="AB1032" s="127"/>
      <c r="AC1032" s="127"/>
      <c r="AD1032" s="127"/>
      <c r="AE1032" s="127"/>
      <c r="AF1032" s="127"/>
      <c r="AG1032" s="127"/>
      <c r="AH1032" s="127"/>
      <c r="AI1032" s="127"/>
      <c r="AJ1032" s="127"/>
      <c r="AK1032" s="127"/>
      <c r="AL1032" s="127"/>
      <c r="AM1032" s="127"/>
      <c r="AN1032" s="127"/>
      <c r="AO1032" s="127"/>
      <c r="AP1032" s="127"/>
      <c r="AQ1032" s="127"/>
      <c r="AR1032" s="127"/>
      <c r="AS1032" s="127"/>
      <c r="AT1032" s="127"/>
      <c r="AU1032" s="127"/>
      <c r="AV1032" s="127"/>
      <c r="AW1032" s="127"/>
      <c r="AX1032" s="127"/>
      <c r="AY1032" s="127"/>
      <c r="AZ1032" s="127"/>
      <c r="BA1032" s="127"/>
      <c r="BB1032" s="127"/>
      <c r="BC1032" s="127"/>
      <c r="BD1032" s="127"/>
      <c r="BE1032" s="127"/>
      <c r="BF1032" s="127"/>
      <c r="BG1032" s="127"/>
      <c r="BH1032" s="127"/>
      <c r="BI1032" s="127"/>
      <c r="BJ1032" s="127"/>
      <c r="BK1032" s="127"/>
      <c r="BL1032" s="127"/>
      <c r="BM1032" s="127"/>
      <c r="BN1032" s="127"/>
      <c r="BO1032" s="127"/>
      <c r="BP1032" s="127"/>
      <c r="BQ1032" s="127"/>
      <c r="BR1032" s="127"/>
      <c r="BS1032" s="127"/>
      <c r="BT1032" s="127"/>
      <c r="BU1032" s="127"/>
      <c r="BV1032" s="127"/>
      <c r="BW1032" s="127"/>
      <c r="BX1032" s="127"/>
      <c r="BY1032" s="127"/>
      <c r="BZ1032" s="127"/>
      <c r="CA1032" s="127"/>
      <c r="CB1032" s="127"/>
      <c r="CC1032" s="127"/>
      <c r="CD1032" s="127"/>
      <c r="CE1032" s="127"/>
      <c r="CF1032" s="127"/>
      <c r="CG1032" s="127"/>
      <c r="CH1032" s="127"/>
      <c r="CI1032" s="127"/>
      <c r="CJ1032" s="127"/>
      <c r="CK1032" s="127"/>
      <c r="CL1032" s="127"/>
      <c r="CM1032" s="127"/>
      <c r="CN1032" s="127"/>
      <c r="CO1032" s="127"/>
      <c r="CP1032" s="127"/>
      <c r="CQ1032" s="127"/>
      <c r="CR1032" s="127"/>
      <c r="CS1032" s="127"/>
      <c r="CT1032" s="127"/>
      <c r="CU1032" s="127"/>
      <c r="CV1032" s="127"/>
      <c r="CW1032" s="127"/>
      <c r="CX1032" s="127"/>
      <c r="CY1032" s="127"/>
      <c r="CZ1032" s="127"/>
      <c r="DA1032" s="127"/>
      <c r="DB1032" s="127"/>
      <c r="DC1032" s="127"/>
      <c r="DD1032" s="127"/>
      <c r="DE1032" s="127"/>
      <c r="DF1032" s="127"/>
      <c r="DG1032" s="127"/>
      <c r="DH1032" s="127"/>
      <c r="DI1032" s="127"/>
      <c r="DJ1032" s="127"/>
      <c r="DK1032" s="127"/>
      <c r="DL1032" s="127"/>
      <c r="DM1032" s="127"/>
      <c r="DN1032" s="127"/>
      <c r="DO1032" s="127"/>
      <c r="DP1032" s="127"/>
      <c r="DQ1032" s="127"/>
      <c r="DR1032" s="127"/>
      <c r="DS1032" s="127"/>
      <c r="DT1032" s="127"/>
      <c r="DU1032" s="127"/>
      <c r="DV1032" s="127"/>
      <c r="DW1032" s="127"/>
      <c r="DX1032" s="127"/>
      <c r="DY1032" s="127"/>
      <c r="DZ1032" s="127"/>
      <c r="EA1032" s="127"/>
      <c r="EB1032" s="127"/>
      <c r="EC1032" s="127"/>
      <c r="ED1032" s="127"/>
      <c r="EE1032" s="127"/>
      <c r="EF1032" s="127"/>
      <c r="EG1032" s="127"/>
      <c r="EH1032" s="127"/>
      <c r="EI1032" s="127"/>
      <c r="EJ1032" s="127"/>
      <c r="EK1032" s="127"/>
      <c r="EL1032" s="127"/>
      <c r="EM1032" s="127"/>
      <c r="EN1032" s="127"/>
      <c r="EO1032" s="127"/>
      <c r="EP1032" s="127"/>
      <c r="EQ1032" s="127"/>
      <c r="ER1032" s="127"/>
      <c r="ES1032" s="127"/>
      <c r="ET1032" s="127"/>
      <c r="EU1032" s="127"/>
      <c r="EV1032" s="127"/>
      <c r="EW1032" s="127"/>
      <c r="EX1032" s="127"/>
      <c r="EY1032" s="127"/>
      <c r="EZ1032" s="127"/>
      <c r="FA1032" s="127"/>
      <c r="FB1032" s="127"/>
      <c r="FC1032" s="127"/>
      <c r="FD1032" s="127"/>
      <c r="FE1032" s="127"/>
      <c r="FF1032" s="127"/>
      <c r="FG1032" s="127"/>
      <c r="FH1032" s="127"/>
      <c r="FI1032" s="127"/>
      <c r="FJ1032" s="127"/>
      <c r="FK1032" s="127"/>
      <c r="FL1032" s="127"/>
      <c r="FM1032" s="127"/>
      <c r="FN1032" s="127"/>
      <c r="FO1032" s="127"/>
      <c r="FP1032" s="127"/>
      <c r="FQ1032" s="127"/>
      <c r="FR1032" s="127"/>
      <c r="FS1032" s="127"/>
      <c r="FT1032" s="127"/>
      <c r="FU1032" s="127"/>
      <c r="FV1032" s="127"/>
      <c r="FW1032" s="127"/>
      <c r="FX1032" s="127"/>
      <c r="FY1032" s="127"/>
      <c r="FZ1032" s="127"/>
      <c r="GA1032" s="127"/>
      <c r="GB1032" s="127"/>
      <c r="GC1032" s="127"/>
      <c r="GD1032" s="127"/>
      <c r="GE1032" s="127"/>
      <c r="GF1032" s="127"/>
      <c r="GG1032" s="127"/>
      <c r="GH1032" s="127"/>
      <c r="GI1032" s="127"/>
      <c r="GJ1032" s="127"/>
      <c r="GK1032" s="127"/>
      <c r="GL1032" s="127"/>
      <c r="GM1032" s="127"/>
      <c r="GN1032" s="127"/>
      <c r="GO1032" s="127"/>
      <c r="GP1032" s="127"/>
      <c r="GQ1032" s="127"/>
      <c r="GR1032" s="127"/>
      <c r="GS1032" s="127"/>
      <c r="GT1032" s="127"/>
      <c r="GU1032" s="127"/>
      <c r="GV1032" s="127"/>
      <c r="GW1032" s="127"/>
      <c r="GX1032" s="127"/>
      <c r="GY1032" s="127"/>
      <c r="GZ1032" s="127"/>
      <c r="HA1032" s="127"/>
      <c r="HB1032" s="127"/>
      <c r="HC1032" s="127"/>
      <c r="HD1032" s="127"/>
      <c r="HE1032" s="127"/>
      <c r="HF1032" s="127"/>
      <c r="HG1032" s="127"/>
      <c r="HH1032" s="127"/>
      <c r="HI1032" s="127"/>
      <c r="HJ1032" s="127"/>
      <c r="HK1032" s="127"/>
      <c r="HL1032" s="127"/>
      <c r="HM1032" s="127"/>
      <c r="HN1032" s="127"/>
      <c r="HO1032" s="127"/>
      <c r="HP1032" s="127"/>
      <c r="HQ1032" s="127"/>
      <c r="HR1032" s="127"/>
      <c r="HS1032" s="127"/>
      <c r="HT1032" s="127"/>
      <c r="HU1032" s="127"/>
      <c r="HV1032" s="127"/>
      <c r="HW1032" s="127"/>
      <c r="HX1032" s="127"/>
      <c r="HY1032" s="127"/>
      <c r="HZ1032" s="127"/>
      <c r="IA1032" s="127"/>
      <c r="IB1032" s="127"/>
      <c r="IC1032" s="127"/>
      <c r="ID1032" s="127"/>
      <c r="IE1032" s="127"/>
      <c r="IF1032" s="127"/>
      <c r="IG1032" s="127"/>
      <c r="IH1032" s="127"/>
      <c r="II1032" s="127"/>
      <c r="IJ1032" s="127"/>
      <c r="IK1032" s="127"/>
      <c r="IL1032" s="127"/>
      <c r="IM1032" s="127"/>
      <c r="IN1032" s="127"/>
      <c r="IO1032" s="127"/>
      <c r="IP1032" s="127"/>
      <c r="IQ1032" s="127"/>
      <c r="IR1032" s="127"/>
      <c r="IS1032" s="127"/>
      <c r="IT1032" s="127"/>
      <c r="IU1032" s="127"/>
      <c r="IV1032" s="127"/>
    </row>
    <row r="1033" ht="15" spans="1:11">
      <c r="A1033" s="98" t="s">
        <v>43</v>
      </c>
      <c r="B1033" s="99" t="s">
        <v>10107</v>
      </c>
      <c r="C1033" s="98" t="s">
        <v>8229</v>
      </c>
      <c r="D1033" s="98" t="s">
        <v>4</v>
      </c>
      <c r="E1033" s="98" t="s">
        <v>10108</v>
      </c>
      <c r="F1033" s="98"/>
      <c r="G1033" s="98" t="s">
        <v>209</v>
      </c>
      <c r="H1033" s="118" t="s">
        <v>8215</v>
      </c>
      <c r="I1033" s="100" t="s">
        <v>8215</v>
      </c>
      <c r="J1033" s="100" t="s">
        <v>9905</v>
      </c>
      <c r="K1033" s="107"/>
    </row>
    <row r="1034" ht="15" spans="1:11">
      <c r="A1034" s="98" t="s">
        <v>43</v>
      </c>
      <c r="B1034" s="100" t="s">
        <v>10109</v>
      </c>
      <c r="C1034" s="98" t="s">
        <v>8240</v>
      </c>
      <c r="D1034" s="98" t="s">
        <v>4</v>
      </c>
      <c r="E1034" s="98" t="s">
        <v>10110</v>
      </c>
      <c r="F1034" s="98"/>
      <c r="G1034" s="98" t="s">
        <v>209</v>
      </c>
      <c r="H1034" s="100" t="s">
        <v>8215</v>
      </c>
      <c r="I1034" s="100" t="s">
        <v>8215</v>
      </c>
      <c r="J1034" s="100" t="s">
        <v>8894</v>
      </c>
      <c r="K1034" s="107"/>
    </row>
    <row r="1035" ht="15" spans="1:11">
      <c r="A1035" s="98" t="s">
        <v>43</v>
      </c>
      <c r="B1035" s="100" t="s">
        <v>10111</v>
      </c>
      <c r="C1035" s="98" t="s">
        <v>8240</v>
      </c>
      <c r="D1035" s="98" t="s">
        <v>5</v>
      </c>
      <c r="E1035" s="98" t="s">
        <v>10112</v>
      </c>
      <c r="F1035" s="98"/>
      <c r="G1035" s="98" t="s">
        <v>209</v>
      </c>
      <c r="H1035" s="100" t="s">
        <v>8215</v>
      </c>
      <c r="I1035" s="100" t="s">
        <v>8215</v>
      </c>
      <c r="J1035" s="100" t="s">
        <v>8894</v>
      </c>
      <c r="K1035" s="107"/>
    </row>
    <row r="1036" ht="15" spans="1:11">
      <c r="A1036" s="98" t="s">
        <v>43</v>
      </c>
      <c r="B1036" s="99" t="s">
        <v>10113</v>
      </c>
      <c r="C1036" s="98" t="s">
        <v>8514</v>
      </c>
      <c r="D1036" s="98" t="s">
        <v>4</v>
      </c>
      <c r="E1036" s="98" t="s">
        <v>10114</v>
      </c>
      <c r="F1036" s="98"/>
      <c r="G1036" s="98" t="s">
        <v>209</v>
      </c>
      <c r="H1036" s="118" t="s">
        <v>8215</v>
      </c>
      <c r="I1036" s="100" t="s">
        <v>8215</v>
      </c>
      <c r="J1036" s="100" t="s">
        <v>8459</v>
      </c>
      <c r="K1036" s="107"/>
    </row>
    <row r="1037" ht="15" spans="1:11">
      <c r="A1037" s="98" t="s">
        <v>43</v>
      </c>
      <c r="B1037" s="99" t="s">
        <v>10115</v>
      </c>
      <c r="C1037" s="101" t="s">
        <v>8240</v>
      </c>
      <c r="D1037" s="98" t="s">
        <v>4</v>
      </c>
      <c r="E1037" s="98" t="s">
        <v>10116</v>
      </c>
      <c r="F1037" s="98"/>
      <c r="G1037" s="98" t="s">
        <v>209</v>
      </c>
      <c r="H1037" s="100" t="s">
        <v>8215</v>
      </c>
      <c r="I1037" s="100" t="s">
        <v>8215</v>
      </c>
      <c r="J1037" s="100" t="s">
        <v>9905</v>
      </c>
      <c r="K1037" s="107"/>
    </row>
    <row r="1038" ht="15" spans="1:11">
      <c r="A1038" s="98" t="s">
        <v>43</v>
      </c>
      <c r="B1038" s="99" t="s">
        <v>10117</v>
      </c>
      <c r="C1038" s="98" t="s">
        <v>8229</v>
      </c>
      <c r="D1038" s="101" t="s">
        <v>4</v>
      </c>
      <c r="E1038" s="101" t="s">
        <v>10118</v>
      </c>
      <c r="F1038" s="98"/>
      <c r="G1038" s="98" t="s">
        <v>209</v>
      </c>
      <c r="H1038" s="100" t="s">
        <v>8215</v>
      </c>
      <c r="I1038" s="100" t="s">
        <v>8215</v>
      </c>
      <c r="J1038" s="102" t="s">
        <v>8725</v>
      </c>
      <c r="K1038" s="107"/>
    </row>
    <row r="1039" ht="15" spans="1:11">
      <c r="A1039" s="98" t="s">
        <v>43</v>
      </c>
      <c r="B1039" s="99" t="s">
        <v>10119</v>
      </c>
      <c r="C1039" s="98" t="s">
        <v>8240</v>
      </c>
      <c r="D1039" s="101" t="s">
        <v>4</v>
      </c>
      <c r="E1039" s="101" t="s">
        <v>10120</v>
      </c>
      <c r="F1039" s="98"/>
      <c r="G1039" s="98" t="s">
        <v>209</v>
      </c>
      <c r="H1039" s="100" t="s">
        <v>8215</v>
      </c>
      <c r="I1039" s="100" t="s">
        <v>8215</v>
      </c>
      <c r="J1039" s="100" t="s">
        <v>8459</v>
      </c>
      <c r="K1039" s="107"/>
    </row>
    <row r="1040" ht="15" spans="1:11">
      <c r="A1040" s="98" t="s">
        <v>43</v>
      </c>
      <c r="B1040" s="99" t="s">
        <v>10121</v>
      </c>
      <c r="C1040" s="98" t="s">
        <v>8213</v>
      </c>
      <c r="D1040" s="98" t="s">
        <v>4</v>
      </c>
      <c r="E1040" s="98" t="s">
        <v>10120</v>
      </c>
      <c r="F1040" s="98"/>
      <c r="G1040" s="98" t="s">
        <v>209</v>
      </c>
      <c r="H1040" s="118" t="s">
        <v>8215</v>
      </c>
      <c r="I1040" s="100" t="s">
        <v>8215</v>
      </c>
      <c r="J1040" s="100" t="s">
        <v>10122</v>
      </c>
      <c r="K1040" s="107"/>
    </row>
    <row r="1041" s="90" customFormat="1" ht="15" spans="1:11">
      <c r="A1041" s="98" t="s">
        <v>43</v>
      </c>
      <c r="B1041" s="100" t="s">
        <v>10123</v>
      </c>
      <c r="C1041" s="98" t="s">
        <v>8293</v>
      </c>
      <c r="D1041" s="98" t="s">
        <v>4</v>
      </c>
      <c r="E1041" s="98" t="s">
        <v>10124</v>
      </c>
      <c r="F1041" s="98"/>
      <c r="G1041" s="98" t="s">
        <v>209</v>
      </c>
      <c r="H1041" s="100" t="s">
        <v>8215</v>
      </c>
      <c r="I1041" s="100" t="s">
        <v>8215</v>
      </c>
      <c r="J1041" s="100" t="s">
        <v>10125</v>
      </c>
      <c r="K1041" s="107">
        <v>2024.5</v>
      </c>
    </row>
    <row r="1042" ht="15" spans="1:11">
      <c r="A1042" s="98" t="s">
        <v>43</v>
      </c>
      <c r="B1042" s="99" t="s">
        <v>10126</v>
      </c>
      <c r="C1042" s="98" t="s">
        <v>8240</v>
      </c>
      <c r="D1042" s="101" t="s">
        <v>4</v>
      </c>
      <c r="E1042" s="101" t="s">
        <v>10127</v>
      </c>
      <c r="F1042" s="98"/>
      <c r="G1042" s="98" t="s">
        <v>209</v>
      </c>
      <c r="H1042" s="100" t="s">
        <v>8215</v>
      </c>
      <c r="I1042" s="100" t="s">
        <v>8215</v>
      </c>
      <c r="J1042" s="100" t="s">
        <v>8725</v>
      </c>
      <c r="K1042" s="107"/>
    </row>
    <row r="1043" ht="15" spans="1:11">
      <c r="A1043" s="98" t="s">
        <v>43</v>
      </c>
      <c r="B1043" s="99" t="s">
        <v>10128</v>
      </c>
      <c r="C1043" s="98" t="s">
        <v>8218</v>
      </c>
      <c r="D1043" s="101" t="s">
        <v>4</v>
      </c>
      <c r="E1043" s="101" t="s">
        <v>5082</v>
      </c>
      <c r="F1043" s="98"/>
      <c r="G1043" s="98" t="s">
        <v>209</v>
      </c>
      <c r="H1043" s="100" t="s">
        <v>8215</v>
      </c>
      <c r="I1043" s="100" t="s">
        <v>8215</v>
      </c>
      <c r="J1043" s="118">
        <v>4</v>
      </c>
      <c r="K1043" s="107"/>
    </row>
    <row r="1044" ht="15" spans="1:11">
      <c r="A1044" s="98" t="s">
        <v>43</v>
      </c>
      <c r="B1044" s="99" t="s">
        <v>10129</v>
      </c>
      <c r="C1044" s="98" t="s">
        <v>8218</v>
      </c>
      <c r="D1044" s="101" t="s">
        <v>4</v>
      </c>
      <c r="E1044" s="101" t="s">
        <v>10130</v>
      </c>
      <c r="F1044" s="98"/>
      <c r="G1044" s="98" t="s">
        <v>209</v>
      </c>
      <c r="H1044" s="100" t="s">
        <v>8215</v>
      </c>
      <c r="I1044" s="100" t="s">
        <v>8215</v>
      </c>
      <c r="J1044" s="118" t="s">
        <v>8463</v>
      </c>
      <c r="K1044" s="107"/>
    </row>
    <row r="1045" ht="15" spans="1:11">
      <c r="A1045" s="98" t="s">
        <v>43</v>
      </c>
      <c r="B1045" s="119" t="s">
        <v>10131</v>
      </c>
      <c r="C1045" s="101" t="s">
        <v>8240</v>
      </c>
      <c r="D1045" s="98" t="s">
        <v>4</v>
      </c>
      <c r="E1045" s="98" t="s">
        <v>10132</v>
      </c>
      <c r="F1045" s="98"/>
      <c r="G1045" s="98" t="s">
        <v>209</v>
      </c>
      <c r="H1045" s="100" t="s">
        <v>8215</v>
      </c>
      <c r="I1045" s="100" t="s">
        <v>8215</v>
      </c>
      <c r="J1045" s="100">
        <v>4</v>
      </c>
      <c r="K1045" s="107"/>
    </row>
    <row r="1046" ht="15" spans="1:11">
      <c r="A1046" s="98" t="s">
        <v>43</v>
      </c>
      <c r="B1046" s="99" t="s">
        <v>10133</v>
      </c>
      <c r="C1046" s="98" t="s">
        <v>8218</v>
      </c>
      <c r="D1046" s="101" t="s">
        <v>4</v>
      </c>
      <c r="E1046" s="101" t="s">
        <v>10134</v>
      </c>
      <c r="F1046" s="98"/>
      <c r="G1046" s="98" t="s">
        <v>209</v>
      </c>
      <c r="H1046" s="100" t="s">
        <v>8215</v>
      </c>
      <c r="I1046" s="100" t="s">
        <v>8215</v>
      </c>
      <c r="J1046" s="118" t="s">
        <v>8463</v>
      </c>
      <c r="K1046" s="107"/>
    </row>
    <row r="1047" ht="15" spans="1:11">
      <c r="A1047" s="98" t="s">
        <v>43</v>
      </c>
      <c r="B1047" s="99" t="s">
        <v>10135</v>
      </c>
      <c r="C1047" s="98" t="s">
        <v>8514</v>
      </c>
      <c r="D1047" s="98"/>
      <c r="E1047" s="98" t="s">
        <v>10136</v>
      </c>
      <c r="F1047" s="98"/>
      <c r="G1047" s="98" t="s">
        <v>209</v>
      </c>
      <c r="H1047" s="100" t="s">
        <v>8320</v>
      </c>
      <c r="I1047" s="100" t="s">
        <v>8215</v>
      </c>
      <c r="J1047" s="100" t="s">
        <v>10122</v>
      </c>
      <c r="K1047" s="107"/>
    </row>
    <row r="1048" ht="15" spans="1:11">
      <c r="A1048" s="98" t="s">
        <v>43</v>
      </c>
      <c r="B1048" s="99" t="s">
        <v>10137</v>
      </c>
      <c r="C1048" s="98" t="s">
        <v>8240</v>
      </c>
      <c r="D1048" s="101" t="s">
        <v>4</v>
      </c>
      <c r="E1048" s="101" t="s">
        <v>10138</v>
      </c>
      <c r="F1048" s="98"/>
      <c r="G1048" s="98" t="s">
        <v>209</v>
      </c>
      <c r="H1048" s="100" t="s">
        <v>8535</v>
      </c>
      <c r="I1048" s="100" t="s">
        <v>8535</v>
      </c>
      <c r="J1048" s="118" t="s">
        <v>8711</v>
      </c>
      <c r="K1048" s="107"/>
    </row>
    <row r="1049" ht="15" spans="1:11">
      <c r="A1049" s="98" t="s">
        <v>43</v>
      </c>
      <c r="B1049" s="99" t="s">
        <v>10139</v>
      </c>
      <c r="C1049" s="98" t="s">
        <v>8240</v>
      </c>
      <c r="D1049" s="101" t="s">
        <v>4</v>
      </c>
      <c r="E1049" s="101" t="s">
        <v>10138</v>
      </c>
      <c r="F1049" s="98"/>
      <c r="G1049" s="98" t="s">
        <v>209</v>
      </c>
      <c r="H1049" s="100" t="s">
        <v>8320</v>
      </c>
      <c r="I1049" s="100" t="s">
        <v>8320</v>
      </c>
      <c r="J1049" s="118" t="s">
        <v>9232</v>
      </c>
      <c r="K1049" s="107"/>
    </row>
    <row r="1050" ht="15" spans="1:11">
      <c r="A1050" s="98" t="s">
        <v>43</v>
      </c>
      <c r="B1050" s="99" t="s">
        <v>10140</v>
      </c>
      <c r="C1050" s="98" t="s">
        <v>8240</v>
      </c>
      <c r="D1050" s="101" t="s">
        <v>4</v>
      </c>
      <c r="E1050" s="101" t="s">
        <v>10141</v>
      </c>
      <c r="F1050" s="98"/>
      <c r="G1050" s="98" t="s">
        <v>209</v>
      </c>
      <c r="H1050" s="100" t="s">
        <v>8215</v>
      </c>
      <c r="I1050" s="100" t="s">
        <v>8215</v>
      </c>
      <c r="J1050" s="118">
        <v>4</v>
      </c>
      <c r="K1050" s="107"/>
    </row>
    <row r="1051" ht="15" spans="1:11">
      <c r="A1051" s="98" t="s">
        <v>43</v>
      </c>
      <c r="B1051" s="100" t="s">
        <v>10142</v>
      </c>
      <c r="C1051" s="98" t="s">
        <v>8213</v>
      </c>
      <c r="D1051" s="98" t="s">
        <v>4</v>
      </c>
      <c r="E1051" s="98" t="s">
        <v>9980</v>
      </c>
      <c r="F1051" s="98"/>
      <c r="G1051" s="98" t="s">
        <v>206</v>
      </c>
      <c r="H1051" s="118" t="s">
        <v>8215</v>
      </c>
      <c r="I1051" s="100" t="s">
        <v>8215</v>
      </c>
      <c r="J1051" s="49">
        <v>3.5</v>
      </c>
      <c r="K1051" s="107"/>
    </row>
    <row r="1052" ht="15" spans="1:11">
      <c r="A1052" s="98" t="s">
        <v>43</v>
      </c>
      <c r="B1052" s="100" t="s">
        <v>10143</v>
      </c>
      <c r="C1052" s="98" t="s">
        <v>8213</v>
      </c>
      <c r="D1052" s="98" t="s">
        <v>4</v>
      </c>
      <c r="E1052" s="98" t="s">
        <v>9980</v>
      </c>
      <c r="F1052" s="98"/>
      <c r="G1052" s="98" t="s">
        <v>206</v>
      </c>
      <c r="H1052" s="118" t="s">
        <v>8215</v>
      </c>
      <c r="I1052" s="100" t="s">
        <v>8215</v>
      </c>
      <c r="J1052" s="49" t="s">
        <v>8545</v>
      </c>
      <c r="K1052" s="107"/>
    </row>
    <row r="1053" s="89" customFormat="1" ht="15" spans="1:11">
      <c r="A1053" s="106" t="s">
        <v>43</v>
      </c>
      <c r="B1053" s="106" t="s">
        <v>10144</v>
      </c>
      <c r="C1053" s="106" t="s">
        <v>8293</v>
      </c>
      <c r="D1053" s="106" t="s">
        <v>4</v>
      </c>
      <c r="E1053" s="106" t="s">
        <v>10145</v>
      </c>
      <c r="F1053" s="106"/>
      <c r="G1053" s="106" t="s">
        <v>206</v>
      </c>
      <c r="H1053" s="106" t="s">
        <v>8215</v>
      </c>
      <c r="I1053" s="106" t="s">
        <v>8215</v>
      </c>
      <c r="J1053" s="106">
        <v>4</v>
      </c>
      <c r="K1053" s="114" t="s">
        <v>8490</v>
      </c>
    </row>
    <row r="1054" s="91" customFormat="1" ht="15" spans="1:11">
      <c r="A1054" s="106" t="s">
        <v>43</v>
      </c>
      <c r="B1054" s="106" t="s">
        <v>10146</v>
      </c>
      <c r="C1054" s="106" t="s">
        <v>8293</v>
      </c>
      <c r="D1054" s="106" t="s">
        <v>4</v>
      </c>
      <c r="E1054" s="106" t="s">
        <v>10147</v>
      </c>
      <c r="F1054" s="106"/>
      <c r="G1054" s="106" t="s">
        <v>117</v>
      </c>
      <c r="H1054" s="106" t="s">
        <v>8215</v>
      </c>
      <c r="I1054" s="106" t="s">
        <v>8215</v>
      </c>
      <c r="J1054" s="106" t="s">
        <v>10148</v>
      </c>
      <c r="K1054" s="114" t="s">
        <v>8311</v>
      </c>
    </row>
    <row r="1055" ht="15" spans="1:11">
      <c r="A1055" s="98" t="s">
        <v>84</v>
      </c>
      <c r="B1055" s="100" t="s">
        <v>10149</v>
      </c>
      <c r="C1055" s="98" t="s">
        <v>8514</v>
      </c>
      <c r="D1055" s="98" t="s">
        <v>4</v>
      </c>
      <c r="E1055" s="98" t="s">
        <v>10150</v>
      </c>
      <c r="F1055" s="98"/>
      <c r="G1055" s="98" t="s">
        <v>209</v>
      </c>
      <c r="H1055" s="118" t="s">
        <v>8215</v>
      </c>
      <c r="I1055" s="100" t="s">
        <v>8320</v>
      </c>
      <c r="J1055" s="49" t="s">
        <v>8888</v>
      </c>
      <c r="K1055" s="107"/>
    </row>
    <row r="1056" ht="15" spans="1:11">
      <c r="A1056" s="98" t="s">
        <v>84</v>
      </c>
      <c r="B1056" s="100" t="s">
        <v>10151</v>
      </c>
      <c r="C1056" s="98" t="s">
        <v>8514</v>
      </c>
      <c r="D1056" s="98" t="s">
        <v>4</v>
      </c>
      <c r="E1056" s="98" t="s">
        <v>10152</v>
      </c>
      <c r="F1056" s="98"/>
      <c r="G1056" s="98" t="s">
        <v>209</v>
      </c>
      <c r="H1056" s="100" t="s">
        <v>8320</v>
      </c>
      <c r="I1056" s="100" t="s">
        <v>8320</v>
      </c>
      <c r="J1056" s="49" t="s">
        <v>8888</v>
      </c>
      <c r="K1056" s="107"/>
    </row>
    <row r="1057" ht="15" spans="1:11">
      <c r="A1057" s="98" t="s">
        <v>84</v>
      </c>
      <c r="B1057" s="100" t="s">
        <v>10153</v>
      </c>
      <c r="C1057" s="98" t="s">
        <v>8514</v>
      </c>
      <c r="D1057" s="98" t="s">
        <v>4</v>
      </c>
      <c r="E1057" s="98" t="s">
        <v>10154</v>
      </c>
      <c r="F1057" s="98"/>
      <c r="G1057" s="98" t="s">
        <v>209</v>
      </c>
      <c r="H1057" s="100" t="s">
        <v>8320</v>
      </c>
      <c r="I1057" s="100" t="s">
        <v>8320</v>
      </c>
      <c r="J1057" s="49" t="s">
        <v>8888</v>
      </c>
      <c r="K1057" s="107"/>
    </row>
    <row r="1058" s="91" customFormat="1" ht="15" spans="1:11">
      <c r="A1058" s="98" t="s">
        <v>84</v>
      </c>
      <c r="B1058" s="106" t="s">
        <v>10155</v>
      </c>
      <c r="C1058" s="106" t="s">
        <v>8293</v>
      </c>
      <c r="D1058" s="106" t="s">
        <v>4</v>
      </c>
      <c r="E1058" s="106" t="s">
        <v>10156</v>
      </c>
      <c r="F1058" s="106"/>
      <c r="G1058" s="106" t="s">
        <v>209</v>
      </c>
      <c r="H1058" s="106" t="s">
        <v>8215</v>
      </c>
      <c r="I1058" s="106" t="s">
        <v>8215</v>
      </c>
      <c r="J1058" s="106" t="s">
        <v>8463</v>
      </c>
      <c r="K1058" s="106">
        <v>2024.8</v>
      </c>
    </row>
    <row r="1059" s="91" customFormat="1" ht="15" spans="1:11">
      <c r="A1059" s="98" t="s">
        <v>84</v>
      </c>
      <c r="B1059" s="106" t="s">
        <v>10157</v>
      </c>
      <c r="C1059" s="106" t="s">
        <v>8293</v>
      </c>
      <c r="D1059" s="106" t="s">
        <v>4</v>
      </c>
      <c r="E1059" s="106" t="s">
        <v>10158</v>
      </c>
      <c r="F1059" s="106"/>
      <c r="G1059" s="106" t="s">
        <v>209</v>
      </c>
      <c r="H1059" s="106" t="s">
        <v>8215</v>
      </c>
      <c r="I1059" s="106" t="s">
        <v>8215</v>
      </c>
      <c r="J1059" s="106" t="s">
        <v>8463</v>
      </c>
      <c r="K1059" s="106">
        <v>2024.8</v>
      </c>
    </row>
    <row r="1060" s="91" customFormat="1" ht="15" spans="1:11">
      <c r="A1060" s="98" t="s">
        <v>84</v>
      </c>
      <c r="B1060" s="106" t="s">
        <v>10159</v>
      </c>
      <c r="C1060" s="106" t="s">
        <v>8293</v>
      </c>
      <c r="D1060" s="106" t="s">
        <v>4</v>
      </c>
      <c r="E1060" s="106" t="s">
        <v>10160</v>
      </c>
      <c r="F1060" s="106"/>
      <c r="G1060" s="106" t="s">
        <v>209</v>
      </c>
      <c r="H1060" s="106" t="s">
        <v>8215</v>
      </c>
      <c r="I1060" s="106" t="s">
        <v>8215</v>
      </c>
      <c r="J1060" s="106" t="s">
        <v>8463</v>
      </c>
      <c r="K1060" s="106">
        <v>2024.8</v>
      </c>
    </row>
    <row r="1061" s="91" customFormat="1" ht="15" spans="1:11">
      <c r="A1061" s="98" t="s">
        <v>84</v>
      </c>
      <c r="B1061" s="106" t="s">
        <v>10161</v>
      </c>
      <c r="C1061" s="106" t="s">
        <v>8293</v>
      </c>
      <c r="D1061" s="106" t="s">
        <v>4</v>
      </c>
      <c r="E1061" s="106" t="s">
        <v>10162</v>
      </c>
      <c r="F1061" s="106"/>
      <c r="G1061" s="106" t="s">
        <v>209</v>
      </c>
      <c r="H1061" s="106" t="s">
        <v>8215</v>
      </c>
      <c r="I1061" s="106" t="s">
        <v>8215</v>
      </c>
      <c r="J1061" s="106" t="s">
        <v>8463</v>
      </c>
      <c r="K1061" s="106">
        <v>2024.8</v>
      </c>
    </row>
    <row r="1062" s="91" customFormat="1" ht="15" spans="1:11">
      <c r="A1062" s="98" t="s">
        <v>84</v>
      </c>
      <c r="B1062" s="106" t="s">
        <v>10163</v>
      </c>
      <c r="C1062" s="106" t="s">
        <v>8293</v>
      </c>
      <c r="D1062" s="106" t="s">
        <v>4</v>
      </c>
      <c r="E1062" s="106" t="s">
        <v>10164</v>
      </c>
      <c r="F1062" s="106"/>
      <c r="G1062" s="106" t="s">
        <v>209</v>
      </c>
      <c r="H1062" s="106" t="s">
        <v>8215</v>
      </c>
      <c r="I1062" s="106" t="s">
        <v>8215</v>
      </c>
      <c r="J1062" s="106" t="s">
        <v>8463</v>
      </c>
      <c r="K1062" s="106">
        <v>2024.8</v>
      </c>
    </row>
    <row r="1063" s="91" customFormat="1" ht="15" spans="1:11">
      <c r="A1063" s="98" t="s">
        <v>84</v>
      </c>
      <c r="B1063" s="106" t="s">
        <v>10165</v>
      </c>
      <c r="C1063" s="106" t="s">
        <v>8293</v>
      </c>
      <c r="D1063" s="106" t="s">
        <v>4</v>
      </c>
      <c r="E1063" s="106" t="s">
        <v>10166</v>
      </c>
      <c r="F1063" s="106"/>
      <c r="G1063" s="106" t="s">
        <v>209</v>
      </c>
      <c r="H1063" s="106" t="s">
        <v>8215</v>
      </c>
      <c r="I1063" s="106" t="s">
        <v>8215</v>
      </c>
      <c r="J1063" s="106" t="s">
        <v>8463</v>
      </c>
      <c r="K1063" s="106">
        <v>2024.8</v>
      </c>
    </row>
    <row r="1064" s="91" customFormat="1" ht="15" spans="1:11">
      <c r="A1064" s="98" t="s">
        <v>84</v>
      </c>
      <c r="B1064" s="106" t="s">
        <v>10167</v>
      </c>
      <c r="C1064" s="106" t="s">
        <v>8293</v>
      </c>
      <c r="D1064" s="106" t="s">
        <v>4</v>
      </c>
      <c r="E1064" s="106" t="s">
        <v>10168</v>
      </c>
      <c r="F1064" s="106"/>
      <c r="G1064" s="106" t="s">
        <v>209</v>
      </c>
      <c r="H1064" s="106" t="s">
        <v>8215</v>
      </c>
      <c r="I1064" s="106" t="s">
        <v>8215</v>
      </c>
      <c r="J1064" s="106" t="s">
        <v>8463</v>
      </c>
      <c r="K1064" s="106">
        <v>2024.9</v>
      </c>
    </row>
    <row r="1065" s="89" customFormat="1" ht="15" spans="1:11">
      <c r="A1065" s="98" t="s">
        <v>84</v>
      </c>
      <c r="B1065" s="106" t="s">
        <v>10169</v>
      </c>
      <c r="C1065" s="106" t="s">
        <v>8293</v>
      </c>
      <c r="D1065" s="106" t="s">
        <v>4</v>
      </c>
      <c r="E1065" s="106" t="s">
        <v>10170</v>
      </c>
      <c r="F1065" s="106"/>
      <c r="G1065" s="106" t="s">
        <v>209</v>
      </c>
      <c r="H1065" s="106" t="s">
        <v>8215</v>
      </c>
      <c r="I1065" s="106" t="s">
        <v>8215</v>
      </c>
      <c r="J1065" s="114" t="s">
        <v>8463</v>
      </c>
      <c r="K1065" s="114" t="s">
        <v>8311</v>
      </c>
    </row>
    <row r="1066" s="89" customFormat="1" ht="30" spans="1:256">
      <c r="A1066" s="98" t="s">
        <v>84</v>
      </c>
      <c r="B1066" s="99" t="s">
        <v>10171</v>
      </c>
      <c r="C1066" s="99" t="s">
        <v>8272</v>
      </c>
      <c r="D1066" s="99" t="s">
        <v>4</v>
      </c>
      <c r="E1066" s="99" t="s">
        <v>10170</v>
      </c>
      <c r="F1066" s="99"/>
      <c r="G1066" s="99" t="s">
        <v>209</v>
      </c>
      <c r="H1066" s="99" t="s">
        <v>8215</v>
      </c>
      <c r="I1066" s="99" t="s">
        <v>8215</v>
      </c>
      <c r="J1066" s="99" t="s">
        <v>8725</v>
      </c>
      <c r="K1066" s="99" t="s">
        <v>10172</v>
      </c>
      <c r="L1066" s="126"/>
      <c r="M1066" s="127"/>
      <c r="N1066" s="127"/>
      <c r="O1066" s="127"/>
      <c r="P1066" s="127"/>
      <c r="Q1066" s="127"/>
      <c r="R1066" s="127"/>
      <c r="S1066" s="127"/>
      <c r="T1066" s="127"/>
      <c r="U1066" s="127"/>
      <c r="V1066" s="127"/>
      <c r="W1066" s="127"/>
      <c r="X1066" s="127"/>
      <c r="Y1066" s="127"/>
      <c r="Z1066" s="127"/>
      <c r="AA1066" s="127"/>
      <c r="AB1066" s="127"/>
      <c r="AC1066" s="127"/>
      <c r="AD1066" s="127"/>
      <c r="AE1066" s="127"/>
      <c r="AF1066" s="127"/>
      <c r="AG1066" s="127"/>
      <c r="AH1066" s="127"/>
      <c r="AI1066" s="127"/>
      <c r="AJ1066" s="127"/>
      <c r="AK1066" s="127"/>
      <c r="AL1066" s="127"/>
      <c r="AM1066" s="127"/>
      <c r="AN1066" s="127"/>
      <c r="AO1066" s="127"/>
      <c r="AP1066" s="127"/>
      <c r="AQ1066" s="127"/>
      <c r="AR1066" s="127"/>
      <c r="AS1066" s="127"/>
      <c r="AT1066" s="127"/>
      <c r="AU1066" s="127"/>
      <c r="AV1066" s="127"/>
      <c r="AW1066" s="127"/>
      <c r="AX1066" s="127"/>
      <c r="AY1066" s="127"/>
      <c r="AZ1066" s="127"/>
      <c r="BA1066" s="127"/>
      <c r="BB1066" s="127"/>
      <c r="BC1066" s="127"/>
      <c r="BD1066" s="127"/>
      <c r="BE1066" s="127"/>
      <c r="BF1066" s="127"/>
      <c r="BG1066" s="127"/>
      <c r="BH1066" s="127"/>
      <c r="BI1066" s="127"/>
      <c r="BJ1066" s="127"/>
      <c r="BK1066" s="127"/>
      <c r="BL1066" s="127"/>
      <c r="BM1066" s="127"/>
      <c r="BN1066" s="127"/>
      <c r="BO1066" s="127"/>
      <c r="BP1066" s="127"/>
      <c r="BQ1066" s="127"/>
      <c r="BR1066" s="127"/>
      <c r="BS1066" s="127"/>
      <c r="BT1066" s="127"/>
      <c r="BU1066" s="127"/>
      <c r="BV1066" s="127"/>
      <c r="BW1066" s="127"/>
      <c r="BX1066" s="127"/>
      <c r="BY1066" s="127"/>
      <c r="BZ1066" s="127"/>
      <c r="CA1066" s="127"/>
      <c r="CB1066" s="127"/>
      <c r="CC1066" s="127"/>
      <c r="CD1066" s="127"/>
      <c r="CE1066" s="127"/>
      <c r="CF1066" s="127"/>
      <c r="CG1066" s="127"/>
      <c r="CH1066" s="127"/>
      <c r="CI1066" s="127"/>
      <c r="CJ1066" s="127"/>
      <c r="CK1066" s="127"/>
      <c r="CL1066" s="127"/>
      <c r="CM1066" s="127"/>
      <c r="CN1066" s="127"/>
      <c r="CO1066" s="127"/>
      <c r="CP1066" s="127"/>
      <c r="CQ1066" s="127"/>
      <c r="CR1066" s="127"/>
      <c r="CS1066" s="127"/>
      <c r="CT1066" s="127"/>
      <c r="CU1066" s="127"/>
      <c r="CV1066" s="127"/>
      <c r="CW1066" s="127"/>
      <c r="CX1066" s="127"/>
      <c r="CY1066" s="127"/>
      <c r="CZ1066" s="127"/>
      <c r="DA1066" s="127"/>
      <c r="DB1066" s="127"/>
      <c r="DC1066" s="127"/>
      <c r="DD1066" s="127"/>
      <c r="DE1066" s="127"/>
      <c r="DF1066" s="127"/>
      <c r="DG1066" s="127"/>
      <c r="DH1066" s="127"/>
      <c r="DI1066" s="127"/>
      <c r="DJ1066" s="127"/>
      <c r="DK1066" s="127"/>
      <c r="DL1066" s="127"/>
      <c r="DM1066" s="127"/>
      <c r="DN1066" s="127"/>
      <c r="DO1066" s="127"/>
      <c r="DP1066" s="127"/>
      <c r="DQ1066" s="127"/>
      <c r="DR1066" s="127"/>
      <c r="DS1066" s="127"/>
      <c r="DT1066" s="127"/>
      <c r="DU1066" s="127"/>
      <c r="DV1066" s="127"/>
      <c r="DW1066" s="127"/>
      <c r="DX1066" s="127"/>
      <c r="DY1066" s="127"/>
      <c r="DZ1066" s="127"/>
      <c r="EA1066" s="127"/>
      <c r="EB1066" s="127"/>
      <c r="EC1066" s="127"/>
      <c r="ED1066" s="127"/>
      <c r="EE1066" s="127"/>
      <c r="EF1066" s="127"/>
      <c r="EG1066" s="127"/>
      <c r="EH1066" s="127"/>
      <c r="EI1066" s="127"/>
      <c r="EJ1066" s="127"/>
      <c r="EK1066" s="127"/>
      <c r="EL1066" s="127"/>
      <c r="EM1066" s="127"/>
      <c r="EN1066" s="127"/>
      <c r="EO1066" s="127"/>
      <c r="EP1066" s="127"/>
      <c r="EQ1066" s="127"/>
      <c r="ER1066" s="127"/>
      <c r="ES1066" s="127"/>
      <c r="ET1066" s="127"/>
      <c r="EU1066" s="127"/>
      <c r="EV1066" s="127"/>
      <c r="EW1066" s="127"/>
      <c r="EX1066" s="127"/>
      <c r="EY1066" s="127"/>
      <c r="EZ1066" s="127"/>
      <c r="FA1066" s="127"/>
      <c r="FB1066" s="127"/>
      <c r="FC1066" s="127"/>
      <c r="FD1066" s="127"/>
      <c r="FE1066" s="127"/>
      <c r="FF1066" s="127"/>
      <c r="FG1066" s="127"/>
      <c r="FH1066" s="127"/>
      <c r="FI1066" s="127"/>
      <c r="FJ1066" s="127"/>
      <c r="FK1066" s="127"/>
      <c r="FL1066" s="127"/>
      <c r="FM1066" s="127"/>
      <c r="FN1066" s="127"/>
      <c r="FO1066" s="127"/>
      <c r="FP1066" s="127"/>
      <c r="FQ1066" s="127"/>
      <c r="FR1066" s="127"/>
      <c r="FS1066" s="127"/>
      <c r="FT1066" s="127"/>
      <c r="FU1066" s="127"/>
      <c r="FV1066" s="127"/>
      <c r="FW1066" s="127"/>
      <c r="FX1066" s="127"/>
      <c r="FY1066" s="127"/>
      <c r="FZ1066" s="127"/>
      <c r="GA1066" s="127"/>
      <c r="GB1066" s="127"/>
      <c r="GC1066" s="127"/>
      <c r="GD1066" s="127"/>
      <c r="GE1066" s="127"/>
      <c r="GF1066" s="127"/>
      <c r="GG1066" s="127"/>
      <c r="GH1066" s="127"/>
      <c r="GI1066" s="127"/>
      <c r="GJ1066" s="127"/>
      <c r="GK1066" s="127"/>
      <c r="GL1066" s="127"/>
      <c r="GM1066" s="127"/>
      <c r="GN1066" s="127"/>
      <c r="GO1066" s="127"/>
      <c r="GP1066" s="127"/>
      <c r="GQ1066" s="127"/>
      <c r="GR1066" s="127"/>
      <c r="GS1066" s="127"/>
      <c r="GT1066" s="127"/>
      <c r="GU1066" s="127"/>
      <c r="GV1066" s="127"/>
      <c r="GW1066" s="127"/>
      <c r="GX1066" s="127"/>
      <c r="GY1066" s="127"/>
      <c r="GZ1066" s="127"/>
      <c r="HA1066" s="127"/>
      <c r="HB1066" s="127"/>
      <c r="HC1066" s="127"/>
      <c r="HD1066" s="127"/>
      <c r="HE1066" s="127"/>
      <c r="HF1066" s="127"/>
      <c r="HG1066" s="127"/>
      <c r="HH1066" s="127"/>
      <c r="HI1066" s="127"/>
      <c r="HJ1066" s="127"/>
      <c r="HK1066" s="127"/>
      <c r="HL1066" s="127"/>
      <c r="HM1066" s="127"/>
      <c r="HN1066" s="127"/>
      <c r="HO1066" s="127"/>
      <c r="HP1066" s="127"/>
      <c r="HQ1066" s="127"/>
      <c r="HR1066" s="127"/>
      <c r="HS1066" s="127"/>
      <c r="HT1066" s="127"/>
      <c r="HU1066" s="127"/>
      <c r="HV1066" s="127"/>
      <c r="HW1066" s="127"/>
      <c r="HX1066" s="127"/>
      <c r="HY1066" s="127"/>
      <c r="HZ1066" s="127"/>
      <c r="IA1066" s="127"/>
      <c r="IB1066" s="127"/>
      <c r="IC1066" s="127"/>
      <c r="ID1066" s="127"/>
      <c r="IE1066" s="127"/>
      <c r="IF1066" s="127"/>
      <c r="IG1066" s="127"/>
      <c r="IH1066" s="127"/>
      <c r="II1066" s="127"/>
      <c r="IJ1066" s="127"/>
      <c r="IK1066" s="127"/>
      <c r="IL1066" s="127"/>
      <c r="IM1066" s="127"/>
      <c r="IN1066" s="127"/>
      <c r="IO1066" s="127"/>
      <c r="IP1066" s="127"/>
      <c r="IQ1066" s="127"/>
      <c r="IR1066" s="127"/>
      <c r="IS1066" s="127"/>
      <c r="IT1066" s="127"/>
      <c r="IU1066" s="127"/>
      <c r="IV1066" s="127"/>
    </row>
    <row r="1067" s="91" customFormat="1" ht="15" spans="1:11">
      <c r="A1067" s="98" t="s">
        <v>84</v>
      </c>
      <c r="B1067" s="129" t="s">
        <v>10173</v>
      </c>
      <c r="C1067" s="129" t="s">
        <v>8272</v>
      </c>
      <c r="D1067" s="129" t="s">
        <v>4</v>
      </c>
      <c r="E1067" s="129" t="s">
        <v>10174</v>
      </c>
      <c r="F1067" s="129"/>
      <c r="G1067" s="129" t="s">
        <v>209</v>
      </c>
      <c r="H1067" s="130" t="s">
        <v>9715</v>
      </c>
      <c r="I1067" s="130" t="s">
        <v>9485</v>
      </c>
      <c r="J1067" s="130" t="s">
        <v>8463</v>
      </c>
      <c r="K1067" s="114" t="s">
        <v>9717</v>
      </c>
    </row>
    <row r="1068" s="91" customFormat="1" ht="15" spans="1:11">
      <c r="A1068" s="98" t="s">
        <v>84</v>
      </c>
      <c r="B1068" s="129" t="s">
        <v>10175</v>
      </c>
      <c r="C1068" s="129" t="s">
        <v>8272</v>
      </c>
      <c r="D1068" s="129" t="s">
        <v>4</v>
      </c>
      <c r="E1068" s="129" t="s">
        <v>10174</v>
      </c>
      <c r="F1068" s="129"/>
      <c r="G1068" s="129" t="s">
        <v>209</v>
      </c>
      <c r="H1068" s="130" t="s">
        <v>9715</v>
      </c>
      <c r="I1068" s="130" t="s">
        <v>9485</v>
      </c>
      <c r="J1068" s="130" t="s">
        <v>8463</v>
      </c>
      <c r="K1068" s="114" t="s">
        <v>9717</v>
      </c>
    </row>
    <row r="1069" s="91" customFormat="1" ht="15" spans="1:11">
      <c r="A1069" s="98" t="s">
        <v>84</v>
      </c>
      <c r="B1069" s="129" t="s">
        <v>10176</v>
      </c>
      <c r="C1069" s="129" t="s">
        <v>8272</v>
      </c>
      <c r="D1069" s="129" t="s">
        <v>4</v>
      </c>
      <c r="E1069" s="129" t="s">
        <v>10177</v>
      </c>
      <c r="F1069" s="129"/>
      <c r="G1069" s="129" t="s">
        <v>209</v>
      </c>
      <c r="H1069" s="130" t="s">
        <v>9715</v>
      </c>
      <c r="I1069" s="130" t="s">
        <v>9485</v>
      </c>
      <c r="J1069" s="130" t="s">
        <v>8463</v>
      </c>
      <c r="K1069" s="114" t="s">
        <v>9717</v>
      </c>
    </row>
    <row r="1070" ht="15" spans="1:11">
      <c r="A1070" s="98" t="s">
        <v>56</v>
      </c>
      <c r="B1070" s="99" t="s">
        <v>10178</v>
      </c>
      <c r="C1070" s="98" t="s">
        <v>8258</v>
      </c>
      <c r="D1070" s="101" t="s">
        <v>4</v>
      </c>
      <c r="E1070" s="101" t="s">
        <v>10179</v>
      </c>
      <c r="F1070" s="98"/>
      <c r="G1070" s="98" t="s">
        <v>206</v>
      </c>
      <c r="H1070" s="100" t="s">
        <v>8215</v>
      </c>
      <c r="I1070" s="100" t="s">
        <v>8247</v>
      </c>
      <c r="J1070" s="100"/>
      <c r="K1070" s="107"/>
    </row>
    <row r="1071" ht="15" spans="1:11">
      <c r="A1071" s="98" t="s">
        <v>56</v>
      </c>
      <c r="B1071" s="99" t="s">
        <v>10180</v>
      </c>
      <c r="C1071" s="98" t="s">
        <v>8258</v>
      </c>
      <c r="D1071" s="101" t="s">
        <v>4</v>
      </c>
      <c r="E1071" s="101" t="s">
        <v>10181</v>
      </c>
      <c r="F1071" s="98"/>
      <c r="G1071" s="98" t="s">
        <v>206</v>
      </c>
      <c r="H1071" s="118" t="s">
        <v>8215</v>
      </c>
      <c r="I1071" s="100" t="s">
        <v>8320</v>
      </c>
      <c r="J1071" s="118" t="s">
        <v>9973</v>
      </c>
      <c r="K1071" s="107"/>
    </row>
    <row r="1072" ht="15" spans="1:11">
      <c r="A1072" s="98" t="s">
        <v>56</v>
      </c>
      <c r="B1072" s="99" t="s">
        <v>10182</v>
      </c>
      <c r="C1072" s="98" t="s">
        <v>8514</v>
      </c>
      <c r="D1072" s="101" t="s">
        <v>4</v>
      </c>
      <c r="E1072" s="101" t="s">
        <v>10181</v>
      </c>
      <c r="F1072" s="98"/>
      <c r="G1072" s="98" t="s">
        <v>206</v>
      </c>
      <c r="H1072" s="118" t="s">
        <v>8215</v>
      </c>
      <c r="I1072" s="100" t="s">
        <v>8215</v>
      </c>
      <c r="J1072" s="118" t="s">
        <v>9973</v>
      </c>
      <c r="K1072" s="107"/>
    </row>
    <row r="1073" ht="15" spans="1:11">
      <c r="A1073" s="98" t="s">
        <v>56</v>
      </c>
      <c r="B1073" s="99" t="s">
        <v>10183</v>
      </c>
      <c r="C1073" s="98" t="s">
        <v>8218</v>
      </c>
      <c r="D1073" s="101" t="s">
        <v>4</v>
      </c>
      <c r="E1073" s="101" t="s">
        <v>10184</v>
      </c>
      <c r="F1073" s="98"/>
      <c r="G1073" s="98" t="s">
        <v>206</v>
      </c>
      <c r="H1073" s="118" t="s">
        <v>8215</v>
      </c>
      <c r="I1073" s="100" t="s">
        <v>8247</v>
      </c>
      <c r="J1073" s="118">
        <v>5</v>
      </c>
      <c r="K1073" s="107"/>
    </row>
    <row r="1074" ht="15" spans="1:11">
      <c r="A1074" s="98" t="s">
        <v>56</v>
      </c>
      <c r="B1074" s="99" t="s">
        <v>10185</v>
      </c>
      <c r="C1074" s="98" t="s">
        <v>8218</v>
      </c>
      <c r="D1074" s="101" t="s">
        <v>4</v>
      </c>
      <c r="E1074" s="101" t="s">
        <v>10186</v>
      </c>
      <c r="F1074" s="98"/>
      <c r="G1074" s="98" t="s">
        <v>206</v>
      </c>
      <c r="H1074" s="118" t="s">
        <v>8215</v>
      </c>
      <c r="I1074" s="100" t="s">
        <v>8215</v>
      </c>
      <c r="J1074" s="118" t="s">
        <v>1258</v>
      </c>
      <c r="K1074" s="107"/>
    </row>
    <row r="1075" ht="15" spans="1:11">
      <c r="A1075" s="98" t="s">
        <v>56</v>
      </c>
      <c r="B1075" s="99" t="s">
        <v>10187</v>
      </c>
      <c r="C1075" s="98" t="s">
        <v>8218</v>
      </c>
      <c r="D1075" s="101" t="s">
        <v>4</v>
      </c>
      <c r="E1075" s="101" t="s">
        <v>10186</v>
      </c>
      <c r="F1075" s="98"/>
      <c r="G1075" s="98" t="s">
        <v>206</v>
      </c>
      <c r="H1075" s="118" t="s">
        <v>8215</v>
      </c>
      <c r="I1075" s="123" t="s">
        <v>8215</v>
      </c>
      <c r="J1075" s="118" t="s">
        <v>10188</v>
      </c>
      <c r="K1075" s="107"/>
    </row>
    <row r="1076" ht="15" spans="1:11">
      <c r="A1076" s="98" t="s">
        <v>56</v>
      </c>
      <c r="B1076" s="100" t="s">
        <v>10189</v>
      </c>
      <c r="C1076" s="98" t="s">
        <v>8218</v>
      </c>
      <c r="D1076" s="101" t="s">
        <v>4</v>
      </c>
      <c r="E1076" s="101" t="s">
        <v>10186</v>
      </c>
      <c r="F1076" s="98"/>
      <c r="G1076" s="98" t="s">
        <v>206</v>
      </c>
      <c r="H1076" s="118" t="s">
        <v>8215</v>
      </c>
      <c r="I1076" s="100" t="s">
        <v>8215</v>
      </c>
      <c r="J1076" s="118" t="s">
        <v>10190</v>
      </c>
      <c r="K1076" s="107"/>
    </row>
    <row r="1077" ht="15" spans="1:11">
      <c r="A1077" s="98" t="s">
        <v>56</v>
      </c>
      <c r="B1077" s="100" t="s">
        <v>10191</v>
      </c>
      <c r="C1077" s="98" t="s">
        <v>9590</v>
      </c>
      <c r="D1077" s="101" t="s">
        <v>4</v>
      </c>
      <c r="E1077" s="101" t="s">
        <v>10186</v>
      </c>
      <c r="F1077" s="98"/>
      <c r="G1077" s="98" t="s">
        <v>206</v>
      </c>
      <c r="H1077" s="118"/>
      <c r="I1077" s="100"/>
      <c r="J1077" s="118" t="s">
        <v>9573</v>
      </c>
      <c r="K1077" s="107"/>
    </row>
    <row r="1078" ht="15" spans="1:11">
      <c r="A1078" s="98" t="s">
        <v>56</v>
      </c>
      <c r="B1078" s="100" t="s">
        <v>10192</v>
      </c>
      <c r="C1078" s="98" t="s">
        <v>9590</v>
      </c>
      <c r="D1078" s="101" t="s">
        <v>4</v>
      </c>
      <c r="E1078" s="101" t="s">
        <v>10186</v>
      </c>
      <c r="F1078" s="98"/>
      <c r="G1078" s="98" t="s">
        <v>206</v>
      </c>
      <c r="H1078" s="118"/>
      <c r="I1078" s="100"/>
      <c r="J1078" s="118"/>
      <c r="K1078" s="107"/>
    </row>
    <row r="1079" ht="15" spans="1:11">
      <c r="A1079" s="98" t="s">
        <v>56</v>
      </c>
      <c r="B1079" s="99" t="s">
        <v>10193</v>
      </c>
      <c r="C1079" s="98" t="s">
        <v>8240</v>
      </c>
      <c r="D1079" s="101" t="s">
        <v>4</v>
      </c>
      <c r="E1079" s="101" t="s">
        <v>10194</v>
      </c>
      <c r="F1079" s="98"/>
      <c r="G1079" s="98" t="s">
        <v>206</v>
      </c>
      <c r="H1079" s="118" t="s">
        <v>8215</v>
      </c>
      <c r="I1079" s="100" t="s">
        <v>8247</v>
      </c>
      <c r="J1079" s="118" t="s">
        <v>1258</v>
      </c>
      <c r="K1079" s="107"/>
    </row>
    <row r="1080" ht="15" spans="1:11">
      <c r="A1080" s="98" t="s">
        <v>56</v>
      </c>
      <c r="B1080" s="99" t="s">
        <v>10195</v>
      </c>
      <c r="C1080" s="98" t="s">
        <v>8218</v>
      </c>
      <c r="D1080" s="101" t="s">
        <v>4</v>
      </c>
      <c r="E1080" s="101" t="s">
        <v>10194</v>
      </c>
      <c r="F1080" s="98"/>
      <c r="G1080" s="98" t="s">
        <v>206</v>
      </c>
      <c r="H1080" s="118" t="s">
        <v>8215</v>
      </c>
      <c r="I1080" s="100" t="s">
        <v>8215</v>
      </c>
      <c r="J1080" s="118" t="s">
        <v>8988</v>
      </c>
      <c r="K1080" s="107"/>
    </row>
    <row r="1081" ht="15" spans="1:11">
      <c r="A1081" s="98" t="s">
        <v>56</v>
      </c>
      <c r="B1081" s="99" t="s">
        <v>10196</v>
      </c>
      <c r="C1081" s="98" t="s">
        <v>8218</v>
      </c>
      <c r="D1081" s="101" t="s">
        <v>4</v>
      </c>
      <c r="E1081" s="101" t="s">
        <v>10194</v>
      </c>
      <c r="F1081" s="98"/>
      <c r="G1081" s="98" t="s">
        <v>206</v>
      </c>
      <c r="H1081" s="118" t="s">
        <v>8215</v>
      </c>
      <c r="I1081" s="100" t="s">
        <v>8215</v>
      </c>
      <c r="J1081" s="118" t="s">
        <v>10197</v>
      </c>
      <c r="K1081" s="107"/>
    </row>
    <row r="1082" ht="15" spans="1:11">
      <c r="A1082" s="98" t="s">
        <v>56</v>
      </c>
      <c r="B1082" s="99" t="s">
        <v>10198</v>
      </c>
      <c r="C1082" s="98" t="s">
        <v>8258</v>
      </c>
      <c r="D1082" s="101" t="s">
        <v>4</v>
      </c>
      <c r="E1082" s="101" t="s">
        <v>10194</v>
      </c>
      <c r="F1082" s="98" t="s">
        <v>8455</v>
      </c>
      <c r="G1082" s="98" t="s">
        <v>206</v>
      </c>
      <c r="H1082" s="118" t="s">
        <v>1258</v>
      </c>
      <c r="I1082" s="100" t="s">
        <v>8215</v>
      </c>
      <c r="J1082" s="118" t="s">
        <v>1258</v>
      </c>
      <c r="K1082" s="107"/>
    </row>
    <row r="1083" s="91" customFormat="1" ht="15" spans="1:11">
      <c r="A1083" s="106" t="s">
        <v>56</v>
      </c>
      <c r="B1083" s="106" t="s">
        <v>10199</v>
      </c>
      <c r="C1083" s="106" t="s">
        <v>8293</v>
      </c>
      <c r="D1083" s="106" t="s">
        <v>4</v>
      </c>
      <c r="E1083" s="106" t="s">
        <v>10194</v>
      </c>
      <c r="F1083" s="106"/>
      <c r="G1083" s="106" t="s">
        <v>206</v>
      </c>
      <c r="H1083" s="106" t="s">
        <v>8215</v>
      </c>
      <c r="I1083" s="106" t="s">
        <v>8674</v>
      </c>
      <c r="J1083" s="106" t="s">
        <v>10200</v>
      </c>
      <c r="K1083" s="106">
        <v>2024.9</v>
      </c>
    </row>
    <row r="1084" ht="15" spans="1:11">
      <c r="A1084" s="98" t="s">
        <v>56</v>
      </c>
      <c r="B1084" s="99" t="s">
        <v>10201</v>
      </c>
      <c r="C1084" s="98" t="s">
        <v>8218</v>
      </c>
      <c r="D1084" s="101" t="s">
        <v>4</v>
      </c>
      <c r="E1084" s="101" t="s">
        <v>10202</v>
      </c>
      <c r="F1084" s="98"/>
      <c r="G1084" s="98" t="s">
        <v>206</v>
      </c>
      <c r="H1084" s="118" t="s">
        <v>8215</v>
      </c>
      <c r="I1084" s="100" t="s">
        <v>8215</v>
      </c>
      <c r="J1084" s="118" t="s">
        <v>10203</v>
      </c>
      <c r="K1084" s="107"/>
    </row>
    <row r="1085" ht="15" spans="1:11">
      <c r="A1085" s="98" t="s">
        <v>56</v>
      </c>
      <c r="B1085" s="99" t="s">
        <v>10204</v>
      </c>
      <c r="C1085" s="98" t="s">
        <v>8218</v>
      </c>
      <c r="D1085" s="101" t="s">
        <v>4</v>
      </c>
      <c r="E1085" s="101" t="s">
        <v>10202</v>
      </c>
      <c r="F1085" s="98"/>
      <c r="G1085" s="98" t="s">
        <v>206</v>
      </c>
      <c r="H1085" s="118" t="s">
        <v>8215</v>
      </c>
      <c r="I1085" s="100" t="s">
        <v>8247</v>
      </c>
      <c r="J1085" s="118" t="s">
        <v>8974</v>
      </c>
      <c r="K1085" s="107"/>
    </row>
    <row r="1086" ht="15" spans="1:11">
      <c r="A1086" s="98" t="s">
        <v>56</v>
      </c>
      <c r="B1086" s="99" t="s">
        <v>10205</v>
      </c>
      <c r="C1086" s="98" t="s">
        <v>8218</v>
      </c>
      <c r="D1086" s="101" t="s">
        <v>4</v>
      </c>
      <c r="E1086" s="101" t="s">
        <v>10206</v>
      </c>
      <c r="F1086" s="98"/>
      <c r="G1086" s="98" t="s">
        <v>206</v>
      </c>
      <c r="H1086" s="118" t="s">
        <v>8215</v>
      </c>
      <c r="I1086" s="100" t="s">
        <v>8247</v>
      </c>
      <c r="J1086" s="118" t="s">
        <v>10207</v>
      </c>
      <c r="K1086" s="107"/>
    </row>
    <row r="1087" ht="15" spans="1:11">
      <c r="A1087" s="98" t="s">
        <v>56</v>
      </c>
      <c r="B1087" s="99" t="s">
        <v>10208</v>
      </c>
      <c r="C1087" s="98" t="s">
        <v>8218</v>
      </c>
      <c r="D1087" s="101" t="s">
        <v>4</v>
      </c>
      <c r="E1087" s="101" t="s">
        <v>5024</v>
      </c>
      <c r="F1087" s="98"/>
      <c r="G1087" s="98" t="s">
        <v>206</v>
      </c>
      <c r="H1087" s="118" t="s">
        <v>8215</v>
      </c>
      <c r="I1087" s="100" t="s">
        <v>8215</v>
      </c>
      <c r="J1087" s="118" t="s">
        <v>10209</v>
      </c>
      <c r="K1087" s="107"/>
    </row>
    <row r="1088" ht="15" spans="1:11">
      <c r="A1088" s="98" t="s">
        <v>56</v>
      </c>
      <c r="B1088" s="99" t="s">
        <v>10210</v>
      </c>
      <c r="C1088" s="98" t="s">
        <v>8218</v>
      </c>
      <c r="D1088" s="101" t="s">
        <v>4</v>
      </c>
      <c r="E1088" s="101" t="s">
        <v>2901</v>
      </c>
      <c r="F1088" s="98"/>
      <c r="G1088" s="98" t="s">
        <v>206</v>
      </c>
      <c r="H1088" s="118" t="s">
        <v>8215</v>
      </c>
      <c r="I1088" s="100" t="s">
        <v>8215</v>
      </c>
      <c r="J1088" s="118" t="s">
        <v>9293</v>
      </c>
      <c r="K1088" s="107"/>
    </row>
    <row r="1089" ht="15" spans="1:11">
      <c r="A1089" s="98" t="s">
        <v>56</v>
      </c>
      <c r="B1089" s="100" t="s">
        <v>10211</v>
      </c>
      <c r="C1089" s="98" t="s">
        <v>8218</v>
      </c>
      <c r="D1089" s="101" t="s">
        <v>4</v>
      </c>
      <c r="E1089" s="101" t="s">
        <v>10212</v>
      </c>
      <c r="F1089" s="98"/>
      <c r="G1089" s="98" t="s">
        <v>206</v>
      </c>
      <c r="H1089" s="118" t="s">
        <v>8215</v>
      </c>
      <c r="I1089" s="100" t="s">
        <v>8215</v>
      </c>
      <c r="J1089" s="118" t="s">
        <v>9536</v>
      </c>
      <c r="K1089" s="107"/>
    </row>
    <row r="1090" ht="15" spans="1:11">
      <c r="A1090" s="98" t="s">
        <v>56</v>
      </c>
      <c r="B1090" s="100" t="s">
        <v>10213</v>
      </c>
      <c r="C1090" s="119" t="s">
        <v>8240</v>
      </c>
      <c r="D1090" s="101" t="s">
        <v>4</v>
      </c>
      <c r="E1090" s="101" t="s">
        <v>10212</v>
      </c>
      <c r="F1090" s="98"/>
      <c r="G1090" s="98" t="s">
        <v>206</v>
      </c>
      <c r="H1090" s="118" t="s">
        <v>8215</v>
      </c>
      <c r="I1090" s="100" t="s">
        <v>8247</v>
      </c>
      <c r="J1090" s="118">
        <v>4.2</v>
      </c>
      <c r="K1090" s="107"/>
    </row>
    <row r="1091" ht="15" spans="1:11">
      <c r="A1091" s="98" t="s">
        <v>56</v>
      </c>
      <c r="B1091" s="100" t="s">
        <v>10214</v>
      </c>
      <c r="C1091" s="98" t="s">
        <v>8229</v>
      </c>
      <c r="D1091" s="101" t="s">
        <v>4</v>
      </c>
      <c r="E1091" s="101" t="s">
        <v>10212</v>
      </c>
      <c r="F1091" s="98"/>
      <c r="G1091" s="98" t="s">
        <v>206</v>
      </c>
      <c r="H1091" s="118" t="s">
        <v>8215</v>
      </c>
      <c r="I1091" s="100" t="s">
        <v>8215</v>
      </c>
      <c r="J1091" s="118" t="s">
        <v>8921</v>
      </c>
      <c r="K1091" s="107"/>
    </row>
    <row r="1092" ht="15" spans="1:11">
      <c r="A1092" s="98" t="s">
        <v>56</v>
      </c>
      <c r="B1092" s="100" t="s">
        <v>10215</v>
      </c>
      <c r="C1092" s="98" t="s">
        <v>8514</v>
      </c>
      <c r="D1092" s="101" t="s">
        <v>4</v>
      </c>
      <c r="E1092" s="101" t="s">
        <v>10212</v>
      </c>
      <c r="F1092" s="98"/>
      <c r="G1092" s="98" t="s">
        <v>206</v>
      </c>
      <c r="H1092" s="118" t="s">
        <v>8215</v>
      </c>
      <c r="I1092" s="100" t="s">
        <v>8215</v>
      </c>
      <c r="J1092" s="118" t="s">
        <v>10216</v>
      </c>
      <c r="K1092" s="107"/>
    </row>
    <row r="1093" ht="15" spans="1:11">
      <c r="A1093" s="98" t="s">
        <v>56</v>
      </c>
      <c r="B1093" s="100" t="s">
        <v>10217</v>
      </c>
      <c r="C1093" s="98" t="s">
        <v>8218</v>
      </c>
      <c r="D1093" s="101" t="s">
        <v>4</v>
      </c>
      <c r="E1093" s="101" t="s">
        <v>10218</v>
      </c>
      <c r="F1093" s="98"/>
      <c r="G1093" s="98" t="s">
        <v>206</v>
      </c>
      <c r="H1093" s="118" t="s">
        <v>8215</v>
      </c>
      <c r="I1093" s="100" t="s">
        <v>8247</v>
      </c>
      <c r="J1093" s="118" t="s">
        <v>9867</v>
      </c>
      <c r="K1093" s="107"/>
    </row>
    <row r="1094" ht="15" spans="1:11">
      <c r="A1094" s="98" t="s">
        <v>56</v>
      </c>
      <c r="B1094" s="99" t="s">
        <v>10219</v>
      </c>
      <c r="C1094" s="98" t="s">
        <v>8218</v>
      </c>
      <c r="D1094" s="101" t="s">
        <v>4</v>
      </c>
      <c r="E1094" s="101" t="s">
        <v>10220</v>
      </c>
      <c r="F1094" s="98"/>
      <c r="G1094" s="98" t="s">
        <v>206</v>
      </c>
      <c r="H1094" s="118" t="s">
        <v>8215</v>
      </c>
      <c r="I1094" s="100" t="s">
        <v>10221</v>
      </c>
      <c r="J1094" s="118" t="s">
        <v>10222</v>
      </c>
      <c r="K1094" s="107"/>
    </row>
    <row r="1095" ht="15" spans="1:11">
      <c r="A1095" s="98" t="s">
        <v>56</v>
      </c>
      <c r="B1095" s="99" t="s">
        <v>10223</v>
      </c>
      <c r="C1095" s="119" t="s">
        <v>8240</v>
      </c>
      <c r="D1095" s="101" t="s">
        <v>4</v>
      </c>
      <c r="E1095" s="101" t="s">
        <v>10224</v>
      </c>
      <c r="F1095" s="98"/>
      <c r="G1095" s="98" t="s">
        <v>206</v>
      </c>
      <c r="H1095" s="118" t="s">
        <v>8215</v>
      </c>
      <c r="I1095" s="100" t="s">
        <v>8685</v>
      </c>
      <c r="J1095" s="118" t="s">
        <v>9853</v>
      </c>
      <c r="K1095" s="107"/>
    </row>
    <row r="1096" ht="15" spans="1:11">
      <c r="A1096" s="98" t="s">
        <v>56</v>
      </c>
      <c r="B1096" s="99" t="s">
        <v>10225</v>
      </c>
      <c r="C1096" s="98" t="s">
        <v>9590</v>
      </c>
      <c r="D1096" s="101" t="s">
        <v>4</v>
      </c>
      <c r="E1096" s="101" t="s">
        <v>10224</v>
      </c>
      <c r="F1096" s="98"/>
      <c r="G1096" s="98" t="s">
        <v>206</v>
      </c>
      <c r="H1096" s="118" t="s">
        <v>8215</v>
      </c>
      <c r="I1096" s="100" t="s">
        <v>8685</v>
      </c>
      <c r="J1096" s="118" t="s">
        <v>8667</v>
      </c>
      <c r="K1096" s="107"/>
    </row>
    <row r="1097" ht="15" spans="1:11">
      <c r="A1097" s="98" t="s">
        <v>56</v>
      </c>
      <c r="B1097" s="100" t="s">
        <v>10226</v>
      </c>
      <c r="C1097" s="98" t="s">
        <v>8218</v>
      </c>
      <c r="D1097" s="101" t="s">
        <v>4</v>
      </c>
      <c r="E1097" s="101" t="s">
        <v>10227</v>
      </c>
      <c r="F1097" s="98"/>
      <c r="G1097" s="98" t="s">
        <v>206</v>
      </c>
      <c r="H1097" s="118" t="s">
        <v>8320</v>
      </c>
      <c r="I1097" s="100" t="s">
        <v>8320</v>
      </c>
      <c r="J1097" s="118" t="s">
        <v>10228</v>
      </c>
      <c r="K1097" s="107"/>
    </row>
    <row r="1098" ht="15" spans="1:11">
      <c r="A1098" s="98" t="s">
        <v>56</v>
      </c>
      <c r="B1098" s="99" t="s">
        <v>10229</v>
      </c>
      <c r="C1098" s="98" t="s">
        <v>8218</v>
      </c>
      <c r="D1098" s="101" t="s">
        <v>4</v>
      </c>
      <c r="E1098" s="101" t="s">
        <v>10227</v>
      </c>
      <c r="F1098" s="98"/>
      <c r="G1098" s="98" t="s">
        <v>206</v>
      </c>
      <c r="H1098" s="118" t="s">
        <v>8215</v>
      </c>
      <c r="I1098" s="100" t="s">
        <v>8215</v>
      </c>
      <c r="J1098" s="118" t="s">
        <v>10230</v>
      </c>
      <c r="K1098" s="107"/>
    </row>
    <row r="1099" ht="15" spans="1:11">
      <c r="A1099" s="98" t="s">
        <v>56</v>
      </c>
      <c r="B1099" s="99" t="s">
        <v>10231</v>
      </c>
      <c r="C1099" s="98" t="s">
        <v>8218</v>
      </c>
      <c r="D1099" s="101" t="s">
        <v>4</v>
      </c>
      <c r="E1099" s="101" t="s">
        <v>10227</v>
      </c>
      <c r="F1099" s="98"/>
      <c r="G1099" s="98" t="s">
        <v>206</v>
      </c>
      <c r="H1099" s="118" t="s">
        <v>8215</v>
      </c>
      <c r="I1099" s="100" t="s">
        <v>8215</v>
      </c>
      <c r="J1099" s="118" t="s">
        <v>10232</v>
      </c>
      <c r="K1099" s="107"/>
    </row>
    <row r="1100" ht="15" spans="1:11">
      <c r="A1100" s="98" t="s">
        <v>56</v>
      </c>
      <c r="B1100" s="99" t="s">
        <v>10233</v>
      </c>
      <c r="C1100" s="98" t="s">
        <v>8218</v>
      </c>
      <c r="D1100" s="101" t="s">
        <v>4</v>
      </c>
      <c r="E1100" s="101" t="s">
        <v>10227</v>
      </c>
      <c r="F1100" s="98"/>
      <c r="G1100" s="98" t="s">
        <v>206</v>
      </c>
      <c r="H1100" s="118" t="s">
        <v>8215</v>
      </c>
      <c r="I1100" s="100" t="s">
        <v>8215</v>
      </c>
      <c r="J1100" s="118" t="s">
        <v>10230</v>
      </c>
      <c r="K1100" s="107"/>
    </row>
    <row r="1101" ht="15" spans="1:11">
      <c r="A1101" s="98" t="s">
        <v>56</v>
      </c>
      <c r="B1101" s="100" t="s">
        <v>10234</v>
      </c>
      <c r="C1101" s="98" t="s">
        <v>8218</v>
      </c>
      <c r="D1101" s="101" t="s">
        <v>4</v>
      </c>
      <c r="E1101" s="101" t="s">
        <v>10235</v>
      </c>
      <c r="F1101" s="98"/>
      <c r="G1101" s="98" t="s">
        <v>206</v>
      </c>
      <c r="H1101" s="118" t="s">
        <v>8215</v>
      </c>
      <c r="I1101" s="100" t="s">
        <v>8215</v>
      </c>
      <c r="J1101" s="118">
        <v>1.6</v>
      </c>
      <c r="K1101" s="107"/>
    </row>
    <row r="1102" ht="15" spans="1:11">
      <c r="A1102" s="98" t="s">
        <v>56</v>
      </c>
      <c r="B1102" s="99" t="s">
        <v>10236</v>
      </c>
      <c r="C1102" s="101" t="s">
        <v>8240</v>
      </c>
      <c r="D1102" s="101" t="s">
        <v>4</v>
      </c>
      <c r="E1102" s="101" t="s">
        <v>10235</v>
      </c>
      <c r="F1102" s="98"/>
      <c r="G1102" s="98" t="s">
        <v>206</v>
      </c>
      <c r="H1102" s="118" t="s">
        <v>8215</v>
      </c>
      <c r="I1102" s="100" t="s">
        <v>8215</v>
      </c>
      <c r="J1102" s="118" t="s">
        <v>10237</v>
      </c>
      <c r="K1102" s="107"/>
    </row>
    <row r="1103" ht="15" spans="1:11">
      <c r="A1103" s="98" t="s">
        <v>56</v>
      </c>
      <c r="B1103" s="99" t="s">
        <v>10238</v>
      </c>
      <c r="C1103" s="101" t="s">
        <v>8240</v>
      </c>
      <c r="D1103" s="101" t="s">
        <v>4</v>
      </c>
      <c r="E1103" s="101" t="s">
        <v>10235</v>
      </c>
      <c r="F1103" s="98"/>
      <c r="G1103" s="98" t="s">
        <v>206</v>
      </c>
      <c r="H1103" s="118" t="s">
        <v>8215</v>
      </c>
      <c r="I1103" s="100" t="s">
        <v>8215</v>
      </c>
      <c r="J1103" s="118" t="s">
        <v>8829</v>
      </c>
      <c r="K1103" s="107"/>
    </row>
    <row r="1104" ht="15" spans="1:11">
      <c r="A1104" s="98" t="s">
        <v>56</v>
      </c>
      <c r="B1104" s="99" t="s">
        <v>10239</v>
      </c>
      <c r="C1104" s="98" t="s">
        <v>8218</v>
      </c>
      <c r="D1104" s="101" t="s">
        <v>4</v>
      </c>
      <c r="E1104" s="101" t="s">
        <v>10235</v>
      </c>
      <c r="F1104" s="98"/>
      <c r="G1104" s="98" t="s">
        <v>206</v>
      </c>
      <c r="H1104" s="118" t="s">
        <v>8215</v>
      </c>
      <c r="I1104" s="100" t="s">
        <v>8215</v>
      </c>
      <c r="J1104" s="118" t="s">
        <v>10237</v>
      </c>
      <c r="K1104" s="107"/>
    </row>
    <row r="1105" ht="15" spans="1:11">
      <c r="A1105" s="98" t="s">
        <v>56</v>
      </c>
      <c r="B1105" s="99" t="s">
        <v>10240</v>
      </c>
      <c r="C1105" s="98" t="s">
        <v>8218</v>
      </c>
      <c r="D1105" s="101" t="s">
        <v>4</v>
      </c>
      <c r="E1105" s="101" t="s">
        <v>10235</v>
      </c>
      <c r="F1105" s="98"/>
      <c r="G1105" s="98" t="s">
        <v>206</v>
      </c>
      <c r="H1105" s="118" t="s">
        <v>8215</v>
      </c>
      <c r="I1105" s="100" t="s">
        <v>8215</v>
      </c>
      <c r="J1105" s="118" t="s">
        <v>10241</v>
      </c>
      <c r="K1105" s="107"/>
    </row>
    <row r="1106" ht="15" spans="1:11">
      <c r="A1106" s="98" t="s">
        <v>56</v>
      </c>
      <c r="B1106" s="99" t="s">
        <v>10242</v>
      </c>
      <c r="C1106" s="98" t="s">
        <v>8218</v>
      </c>
      <c r="D1106" s="101" t="s">
        <v>4</v>
      </c>
      <c r="E1106" s="101" t="s">
        <v>2909</v>
      </c>
      <c r="F1106" s="98"/>
      <c r="G1106" s="98" t="s">
        <v>206</v>
      </c>
      <c r="H1106" s="118" t="s">
        <v>8215</v>
      </c>
      <c r="I1106" s="100" t="s">
        <v>8215</v>
      </c>
      <c r="J1106" s="118" t="s">
        <v>8983</v>
      </c>
      <c r="K1106" s="107"/>
    </row>
    <row r="1107" ht="15" spans="1:11">
      <c r="A1107" s="98" t="s">
        <v>56</v>
      </c>
      <c r="B1107" s="99" t="s">
        <v>10243</v>
      </c>
      <c r="C1107" s="98" t="s">
        <v>8218</v>
      </c>
      <c r="D1107" s="101" t="s">
        <v>4</v>
      </c>
      <c r="E1107" s="101" t="s">
        <v>2909</v>
      </c>
      <c r="F1107" s="98"/>
      <c r="G1107" s="98" t="s">
        <v>206</v>
      </c>
      <c r="H1107" s="118" t="s">
        <v>8215</v>
      </c>
      <c r="I1107" s="100" t="s">
        <v>8215</v>
      </c>
      <c r="J1107" s="118" t="s">
        <v>8988</v>
      </c>
      <c r="K1107" s="107"/>
    </row>
    <row r="1108" ht="15" spans="1:11">
      <c r="A1108" s="98" t="s">
        <v>56</v>
      </c>
      <c r="B1108" s="100" t="s">
        <v>10244</v>
      </c>
      <c r="C1108" s="98" t="s">
        <v>8218</v>
      </c>
      <c r="D1108" s="101" t="s">
        <v>4</v>
      </c>
      <c r="E1108" s="101" t="s">
        <v>5077</v>
      </c>
      <c r="F1108" s="98"/>
      <c r="G1108" s="98" t="s">
        <v>206</v>
      </c>
      <c r="H1108" s="118" t="s">
        <v>8215</v>
      </c>
      <c r="I1108" s="100" t="s">
        <v>8215</v>
      </c>
      <c r="J1108" s="118" t="s">
        <v>10245</v>
      </c>
      <c r="K1108" s="107"/>
    </row>
    <row r="1109" ht="15" spans="1:11">
      <c r="A1109" s="98" t="s">
        <v>56</v>
      </c>
      <c r="B1109" s="100" t="s">
        <v>10246</v>
      </c>
      <c r="C1109" s="98" t="s">
        <v>8229</v>
      </c>
      <c r="D1109" s="101" t="s">
        <v>4</v>
      </c>
      <c r="E1109" s="101" t="s">
        <v>10247</v>
      </c>
      <c r="F1109" s="98"/>
      <c r="G1109" s="98" t="s">
        <v>206</v>
      </c>
      <c r="H1109" s="118" t="s">
        <v>8215</v>
      </c>
      <c r="I1109" s="100" t="s">
        <v>8625</v>
      </c>
      <c r="J1109" s="134" t="s">
        <v>10248</v>
      </c>
      <c r="K1109" s="107"/>
    </row>
    <row r="1110" ht="15" spans="1:11">
      <c r="A1110" s="98" t="s">
        <v>56</v>
      </c>
      <c r="B1110" s="100" t="s">
        <v>10249</v>
      </c>
      <c r="C1110" s="98" t="s">
        <v>8229</v>
      </c>
      <c r="D1110" s="101" t="s">
        <v>4</v>
      </c>
      <c r="E1110" s="101" t="s">
        <v>10247</v>
      </c>
      <c r="F1110" s="98"/>
      <c r="G1110" s="98" t="s">
        <v>206</v>
      </c>
      <c r="H1110" s="100" t="s">
        <v>8215</v>
      </c>
      <c r="I1110" s="100" t="s">
        <v>8215</v>
      </c>
      <c r="J1110" s="134" t="s">
        <v>10250</v>
      </c>
      <c r="K1110" s="107"/>
    </row>
    <row r="1111" ht="15" spans="1:11">
      <c r="A1111" s="98" t="s">
        <v>56</v>
      </c>
      <c r="B1111" s="99" t="s">
        <v>10251</v>
      </c>
      <c r="C1111" s="98" t="s">
        <v>8229</v>
      </c>
      <c r="D1111" s="101" t="s">
        <v>4</v>
      </c>
      <c r="E1111" s="101" t="s">
        <v>10252</v>
      </c>
      <c r="F1111" s="98"/>
      <c r="G1111" s="98" t="s">
        <v>206</v>
      </c>
      <c r="H1111" s="100" t="s">
        <v>8215</v>
      </c>
      <c r="I1111" s="100" t="s">
        <v>8215</v>
      </c>
      <c r="J1111" s="134" t="s">
        <v>10253</v>
      </c>
      <c r="K1111" s="107"/>
    </row>
    <row r="1112" ht="15" spans="1:11">
      <c r="A1112" s="98" t="s">
        <v>56</v>
      </c>
      <c r="B1112" s="100" t="s">
        <v>10254</v>
      </c>
      <c r="C1112" s="101" t="s">
        <v>8240</v>
      </c>
      <c r="D1112" s="101" t="s">
        <v>4</v>
      </c>
      <c r="E1112" s="101" t="s">
        <v>10255</v>
      </c>
      <c r="F1112" s="98"/>
      <c r="G1112" s="98" t="s">
        <v>206</v>
      </c>
      <c r="H1112" s="100" t="s">
        <v>8215</v>
      </c>
      <c r="I1112" s="100" t="s">
        <v>8625</v>
      </c>
      <c r="J1112" s="134" t="s">
        <v>8220</v>
      </c>
      <c r="K1112" s="107"/>
    </row>
    <row r="1113" ht="15" spans="1:11">
      <c r="A1113" s="98" t="s">
        <v>56</v>
      </c>
      <c r="B1113" s="99" t="s">
        <v>10256</v>
      </c>
      <c r="C1113" s="98" t="s">
        <v>8218</v>
      </c>
      <c r="D1113" s="101" t="s">
        <v>4</v>
      </c>
      <c r="E1113" s="101" t="s">
        <v>5080</v>
      </c>
      <c r="F1113" s="98"/>
      <c r="G1113" s="98" t="s">
        <v>206</v>
      </c>
      <c r="H1113" s="100" t="s">
        <v>8215</v>
      </c>
      <c r="I1113" s="100" t="s">
        <v>8215</v>
      </c>
      <c r="J1113" s="134" t="s">
        <v>10257</v>
      </c>
      <c r="K1113" s="107"/>
    </row>
    <row r="1114" ht="15" spans="1:11">
      <c r="A1114" s="98" t="s">
        <v>56</v>
      </c>
      <c r="B1114" s="99" t="s">
        <v>10258</v>
      </c>
      <c r="C1114" s="98" t="s">
        <v>8229</v>
      </c>
      <c r="D1114" s="101" t="s">
        <v>4</v>
      </c>
      <c r="E1114" s="101" t="s">
        <v>5080</v>
      </c>
      <c r="F1114" s="98"/>
      <c r="G1114" s="98" t="s">
        <v>206</v>
      </c>
      <c r="H1114" s="100" t="s">
        <v>8215</v>
      </c>
      <c r="I1114" s="100" t="s">
        <v>8625</v>
      </c>
      <c r="J1114" s="134" t="s">
        <v>9981</v>
      </c>
      <c r="K1114" s="107"/>
    </row>
    <row r="1115" ht="15" spans="1:11">
      <c r="A1115" s="98" t="s">
        <v>56</v>
      </c>
      <c r="B1115" s="99" t="s">
        <v>10259</v>
      </c>
      <c r="C1115" s="98" t="s">
        <v>8213</v>
      </c>
      <c r="D1115" s="101" t="s">
        <v>4</v>
      </c>
      <c r="E1115" s="101" t="s">
        <v>5080</v>
      </c>
      <c r="F1115" s="98"/>
      <c r="G1115" s="98" t="s">
        <v>206</v>
      </c>
      <c r="H1115" s="100" t="s">
        <v>8215</v>
      </c>
      <c r="I1115" s="100" t="s">
        <v>8625</v>
      </c>
      <c r="J1115" s="134" t="s">
        <v>10260</v>
      </c>
      <c r="K1115" s="107"/>
    </row>
    <row r="1116" ht="15" spans="1:11">
      <c r="A1116" s="98" t="s">
        <v>56</v>
      </c>
      <c r="B1116" s="100" t="s">
        <v>10261</v>
      </c>
      <c r="C1116" s="98" t="s">
        <v>8229</v>
      </c>
      <c r="D1116" s="101" t="s">
        <v>4</v>
      </c>
      <c r="E1116" s="101" t="s">
        <v>3756</v>
      </c>
      <c r="F1116" s="98"/>
      <c r="G1116" s="98" t="s">
        <v>206</v>
      </c>
      <c r="H1116" s="100" t="s">
        <v>8215</v>
      </c>
      <c r="I1116" s="100" t="s">
        <v>8215</v>
      </c>
      <c r="J1116" s="134" t="s">
        <v>8459</v>
      </c>
      <c r="K1116" s="107"/>
    </row>
    <row r="1117" ht="15" spans="1:11">
      <c r="A1117" s="98" t="s">
        <v>56</v>
      </c>
      <c r="B1117" s="100" t="s">
        <v>10262</v>
      </c>
      <c r="C1117" s="98" t="s">
        <v>8229</v>
      </c>
      <c r="D1117" s="101" t="s">
        <v>4</v>
      </c>
      <c r="E1117" s="101" t="s">
        <v>3756</v>
      </c>
      <c r="F1117" s="98"/>
      <c r="G1117" s="98" t="s">
        <v>206</v>
      </c>
      <c r="H1117" s="100" t="s">
        <v>8252</v>
      </c>
      <c r="I1117" s="100" t="s">
        <v>8215</v>
      </c>
      <c r="J1117" s="134" t="s">
        <v>8463</v>
      </c>
      <c r="K1117" s="107"/>
    </row>
    <row r="1118" ht="15" spans="1:11">
      <c r="A1118" s="98" t="s">
        <v>56</v>
      </c>
      <c r="B1118" s="100" t="s">
        <v>10263</v>
      </c>
      <c r="C1118" s="98" t="s">
        <v>8240</v>
      </c>
      <c r="D1118" s="101" t="s">
        <v>4</v>
      </c>
      <c r="E1118" s="101" t="s">
        <v>3756</v>
      </c>
      <c r="F1118" s="98"/>
      <c r="G1118" s="98" t="s">
        <v>206</v>
      </c>
      <c r="H1118" s="100" t="s">
        <v>8215</v>
      </c>
      <c r="I1118" s="100" t="s">
        <v>8674</v>
      </c>
      <c r="J1118" s="134" t="s">
        <v>9685</v>
      </c>
      <c r="K1118" s="107"/>
    </row>
    <row r="1119" ht="15" spans="1:11">
      <c r="A1119" s="98" t="s">
        <v>56</v>
      </c>
      <c r="B1119" s="99" t="s">
        <v>10264</v>
      </c>
      <c r="C1119" s="98" t="s">
        <v>8229</v>
      </c>
      <c r="D1119" s="101" t="s">
        <v>4</v>
      </c>
      <c r="E1119" s="101" t="s">
        <v>3756</v>
      </c>
      <c r="F1119" s="98"/>
      <c r="G1119" s="98" t="s">
        <v>206</v>
      </c>
      <c r="H1119" s="100" t="s">
        <v>8215</v>
      </c>
      <c r="I1119" s="100" t="s">
        <v>8215</v>
      </c>
      <c r="J1119" s="134" t="s">
        <v>9897</v>
      </c>
      <c r="K1119" s="107"/>
    </row>
    <row r="1120" ht="15" spans="1:11">
      <c r="A1120" s="98" t="s">
        <v>56</v>
      </c>
      <c r="B1120" s="99" t="s">
        <v>10265</v>
      </c>
      <c r="C1120" s="98" t="s">
        <v>8240</v>
      </c>
      <c r="D1120" s="101" t="s">
        <v>4</v>
      </c>
      <c r="E1120" s="101" t="s">
        <v>3756</v>
      </c>
      <c r="F1120" s="98"/>
      <c r="G1120" s="98" t="s">
        <v>206</v>
      </c>
      <c r="H1120" s="100" t="s">
        <v>8215</v>
      </c>
      <c r="I1120" s="100" t="s">
        <v>8215</v>
      </c>
      <c r="J1120" s="134" t="s">
        <v>8463</v>
      </c>
      <c r="K1120" s="107"/>
    </row>
    <row r="1121" ht="15" spans="1:11">
      <c r="A1121" s="98" t="s">
        <v>32</v>
      </c>
      <c r="B1121" s="99" t="s">
        <v>10266</v>
      </c>
      <c r="C1121" s="98" t="s">
        <v>8218</v>
      </c>
      <c r="D1121" s="101" t="s">
        <v>4</v>
      </c>
      <c r="E1121" s="101" t="s">
        <v>10267</v>
      </c>
      <c r="F1121" s="98"/>
      <c r="G1121" s="98" t="s">
        <v>117</v>
      </c>
      <c r="H1121" s="100" t="s">
        <v>8215</v>
      </c>
      <c r="I1121" s="100" t="s">
        <v>8215</v>
      </c>
      <c r="J1121" s="100">
        <v>3.2</v>
      </c>
      <c r="K1121" s="107"/>
    </row>
    <row r="1122" ht="15" spans="1:11">
      <c r="A1122" s="98" t="s">
        <v>32</v>
      </c>
      <c r="B1122" s="99" t="s">
        <v>10268</v>
      </c>
      <c r="C1122" s="98" t="s">
        <v>9590</v>
      </c>
      <c r="D1122" s="101" t="s">
        <v>4</v>
      </c>
      <c r="E1122" s="101" t="s">
        <v>10267</v>
      </c>
      <c r="F1122" s="98"/>
      <c r="G1122" s="98" t="s">
        <v>117</v>
      </c>
      <c r="H1122" s="100" t="s">
        <v>8215</v>
      </c>
      <c r="I1122" s="100" t="s">
        <v>8685</v>
      </c>
      <c r="J1122" s="100" t="s">
        <v>8463</v>
      </c>
      <c r="K1122" s="107"/>
    </row>
    <row r="1123" ht="15" spans="1:11">
      <c r="A1123" s="98" t="s">
        <v>32</v>
      </c>
      <c r="B1123" s="99" t="s">
        <v>10269</v>
      </c>
      <c r="C1123" s="98" t="s">
        <v>8240</v>
      </c>
      <c r="D1123" s="101" t="s">
        <v>4</v>
      </c>
      <c r="E1123" s="101" t="s">
        <v>10270</v>
      </c>
      <c r="F1123" s="98"/>
      <c r="G1123" s="98" t="s">
        <v>117</v>
      </c>
      <c r="H1123" s="100" t="s">
        <v>8215</v>
      </c>
      <c r="I1123" s="100" t="s">
        <v>8215</v>
      </c>
      <c r="J1123" s="100" t="s">
        <v>10271</v>
      </c>
      <c r="K1123" s="107"/>
    </row>
    <row r="1124" ht="15" spans="1:11">
      <c r="A1124" s="98" t="s">
        <v>32</v>
      </c>
      <c r="B1124" s="99" t="s">
        <v>10272</v>
      </c>
      <c r="C1124" s="98" t="s">
        <v>8514</v>
      </c>
      <c r="D1124" s="101" t="s">
        <v>4</v>
      </c>
      <c r="E1124" s="101" t="s">
        <v>10273</v>
      </c>
      <c r="F1124" s="98"/>
      <c r="G1124" s="98" t="s">
        <v>117</v>
      </c>
      <c r="H1124" s="100" t="s">
        <v>8215</v>
      </c>
      <c r="I1124" s="100" t="s">
        <v>8326</v>
      </c>
      <c r="J1124" s="100" t="s">
        <v>8708</v>
      </c>
      <c r="K1124" s="107"/>
    </row>
    <row r="1125" ht="15" spans="1:11">
      <c r="A1125" s="98" t="s">
        <v>67</v>
      </c>
      <c r="B1125" s="100" t="s">
        <v>10274</v>
      </c>
      <c r="C1125" s="98" t="s">
        <v>8213</v>
      </c>
      <c r="D1125" s="118" t="s">
        <v>4</v>
      </c>
      <c r="E1125" s="118" t="s">
        <v>9993</v>
      </c>
      <c r="F1125" s="98"/>
      <c r="G1125" s="118" t="s">
        <v>206</v>
      </c>
      <c r="H1125" s="118" t="s">
        <v>8320</v>
      </c>
      <c r="I1125" s="100" t="s">
        <v>8300</v>
      </c>
      <c r="J1125" s="49" t="s">
        <v>10014</v>
      </c>
      <c r="K1125" s="107"/>
    </row>
    <row r="1126" ht="15" spans="1:11">
      <c r="A1126" s="98" t="s">
        <v>67</v>
      </c>
      <c r="B1126" s="101" t="s">
        <v>10275</v>
      </c>
      <c r="C1126" s="98" t="s">
        <v>8514</v>
      </c>
      <c r="D1126" s="118" t="s">
        <v>5</v>
      </c>
      <c r="E1126" s="118" t="s">
        <v>10276</v>
      </c>
      <c r="F1126" s="98"/>
      <c r="G1126" s="118" t="s">
        <v>206</v>
      </c>
      <c r="H1126" s="118" t="s">
        <v>8215</v>
      </c>
      <c r="I1126" s="118" t="s">
        <v>8215</v>
      </c>
      <c r="J1126" s="118" t="s">
        <v>10277</v>
      </c>
      <c r="K1126" s="107"/>
    </row>
    <row r="1127" ht="15" spans="1:11">
      <c r="A1127" s="98" t="s">
        <v>67</v>
      </c>
      <c r="B1127" s="101" t="s">
        <v>10278</v>
      </c>
      <c r="C1127" s="98" t="s">
        <v>8213</v>
      </c>
      <c r="D1127" s="118" t="s">
        <v>4</v>
      </c>
      <c r="E1127" s="118" t="s">
        <v>10279</v>
      </c>
      <c r="F1127" s="98"/>
      <c r="G1127" s="118" t="s">
        <v>206</v>
      </c>
      <c r="H1127" s="118" t="s">
        <v>8215</v>
      </c>
      <c r="I1127" s="118" t="s">
        <v>8215</v>
      </c>
      <c r="J1127" s="118" t="s">
        <v>9844</v>
      </c>
      <c r="K1127" s="107"/>
    </row>
    <row r="1128" ht="15" spans="1:11">
      <c r="A1128" s="98" t="s">
        <v>67</v>
      </c>
      <c r="B1128" s="101" t="s">
        <v>10280</v>
      </c>
      <c r="C1128" s="98" t="s">
        <v>8213</v>
      </c>
      <c r="D1128" s="118" t="s">
        <v>4</v>
      </c>
      <c r="E1128" s="118" t="s">
        <v>10279</v>
      </c>
      <c r="F1128" s="98"/>
      <c r="G1128" s="118" t="s">
        <v>206</v>
      </c>
      <c r="H1128" s="118" t="s">
        <v>8215</v>
      </c>
      <c r="I1128" s="118" t="s">
        <v>8215</v>
      </c>
      <c r="J1128" s="118" t="s">
        <v>10281</v>
      </c>
      <c r="K1128" s="107"/>
    </row>
    <row r="1129" ht="15" spans="1:11">
      <c r="A1129" s="98" t="s">
        <v>67</v>
      </c>
      <c r="B1129" s="101" t="s">
        <v>10282</v>
      </c>
      <c r="C1129" s="98" t="s">
        <v>8213</v>
      </c>
      <c r="D1129" s="118" t="s">
        <v>4</v>
      </c>
      <c r="E1129" s="118" t="s">
        <v>10283</v>
      </c>
      <c r="F1129" s="118"/>
      <c r="G1129" s="118" t="s">
        <v>206</v>
      </c>
      <c r="H1129" s="118" t="s">
        <v>8215</v>
      </c>
      <c r="I1129" s="118" t="s">
        <v>8215</v>
      </c>
      <c r="J1129" s="49"/>
      <c r="K1129" s="107"/>
    </row>
    <row r="1130" ht="15" spans="1:11">
      <c r="A1130" s="98" t="s">
        <v>67</v>
      </c>
      <c r="B1130" s="101" t="s">
        <v>10284</v>
      </c>
      <c r="C1130" s="98" t="s">
        <v>8213</v>
      </c>
      <c r="D1130" s="118" t="s">
        <v>4</v>
      </c>
      <c r="E1130" s="118" t="s">
        <v>10285</v>
      </c>
      <c r="F1130" s="98"/>
      <c r="G1130" s="118" t="s">
        <v>206</v>
      </c>
      <c r="H1130" s="118" t="s">
        <v>8215</v>
      </c>
      <c r="I1130" s="118" t="s">
        <v>8215</v>
      </c>
      <c r="J1130" s="118" t="s">
        <v>10286</v>
      </c>
      <c r="K1130" s="107"/>
    </row>
    <row r="1131" ht="15" spans="1:11">
      <c r="A1131" s="98" t="s">
        <v>67</v>
      </c>
      <c r="B1131" s="101" t="s">
        <v>10287</v>
      </c>
      <c r="C1131" s="98" t="s">
        <v>8213</v>
      </c>
      <c r="D1131" s="118" t="s">
        <v>4</v>
      </c>
      <c r="E1131" s="118" t="s">
        <v>10285</v>
      </c>
      <c r="F1131" s="98"/>
      <c r="G1131" s="118" t="s">
        <v>206</v>
      </c>
      <c r="H1131" s="118"/>
      <c r="I1131" s="118"/>
      <c r="J1131" s="118"/>
      <c r="K1131" s="107"/>
    </row>
    <row r="1132" ht="15" spans="1:11">
      <c r="A1132" s="98" t="s">
        <v>67</v>
      </c>
      <c r="B1132" s="101" t="s">
        <v>10288</v>
      </c>
      <c r="C1132" s="98" t="s">
        <v>8213</v>
      </c>
      <c r="D1132" s="118" t="s">
        <v>4</v>
      </c>
      <c r="E1132" s="118" t="s">
        <v>10285</v>
      </c>
      <c r="F1132" s="98"/>
      <c r="G1132" s="118" t="s">
        <v>206</v>
      </c>
      <c r="H1132" s="118" t="s">
        <v>8215</v>
      </c>
      <c r="I1132" s="118" t="s">
        <v>8215</v>
      </c>
      <c r="J1132" s="118" t="s">
        <v>10289</v>
      </c>
      <c r="K1132" s="107"/>
    </row>
    <row r="1133" ht="15" spans="1:11">
      <c r="A1133" s="98" t="s">
        <v>67</v>
      </c>
      <c r="B1133" s="101" t="s">
        <v>10290</v>
      </c>
      <c r="C1133" s="98" t="s">
        <v>8213</v>
      </c>
      <c r="D1133" s="118" t="s">
        <v>4</v>
      </c>
      <c r="E1133" s="118" t="s">
        <v>10291</v>
      </c>
      <c r="F1133" s="98"/>
      <c r="G1133" s="118" t="s">
        <v>206</v>
      </c>
      <c r="H1133" s="118" t="s">
        <v>8215</v>
      </c>
      <c r="I1133" s="118" t="s">
        <v>8215</v>
      </c>
      <c r="J1133" s="118" t="s">
        <v>10292</v>
      </c>
      <c r="K1133" s="107"/>
    </row>
    <row r="1134" ht="15" spans="1:11">
      <c r="A1134" s="98" t="s">
        <v>67</v>
      </c>
      <c r="B1134" s="101" t="s">
        <v>10293</v>
      </c>
      <c r="C1134" s="98" t="s">
        <v>8213</v>
      </c>
      <c r="D1134" s="118" t="s">
        <v>4</v>
      </c>
      <c r="E1134" s="118" t="s">
        <v>10291</v>
      </c>
      <c r="F1134" s="98"/>
      <c r="G1134" s="118" t="s">
        <v>206</v>
      </c>
      <c r="H1134" s="118" t="s">
        <v>8215</v>
      </c>
      <c r="I1134" s="118" t="s">
        <v>8215</v>
      </c>
      <c r="J1134" s="118" t="s">
        <v>10294</v>
      </c>
      <c r="K1134" s="107"/>
    </row>
    <row r="1135" s="89" customFormat="1" ht="15" spans="1:255">
      <c r="A1135" s="98" t="s">
        <v>67</v>
      </c>
      <c r="B1135" s="101" t="s">
        <v>10295</v>
      </c>
      <c r="C1135" s="98" t="s">
        <v>8272</v>
      </c>
      <c r="D1135" s="118" t="s">
        <v>4</v>
      </c>
      <c r="E1135" s="118" t="s">
        <v>10291</v>
      </c>
      <c r="F1135" s="98"/>
      <c r="G1135" s="118" t="s">
        <v>206</v>
      </c>
      <c r="H1135" s="118" t="s">
        <v>8215</v>
      </c>
      <c r="I1135" s="118" t="s">
        <v>8215</v>
      </c>
      <c r="J1135" s="118" t="s">
        <v>9055</v>
      </c>
      <c r="K1135" s="107" t="s">
        <v>9056</v>
      </c>
      <c r="L1135" s="90"/>
      <c r="M1135" s="90"/>
      <c r="N1135" s="90"/>
      <c r="O1135" s="90"/>
      <c r="P1135" s="90"/>
      <c r="Q1135" s="90"/>
      <c r="R1135" s="90"/>
      <c r="S1135" s="90"/>
      <c r="T1135" s="90"/>
      <c r="U1135" s="90"/>
      <c r="V1135" s="90"/>
      <c r="W1135" s="90"/>
      <c r="X1135" s="90"/>
      <c r="Y1135" s="90"/>
      <c r="Z1135" s="90"/>
      <c r="AA1135" s="90"/>
      <c r="AB1135" s="90"/>
      <c r="AC1135" s="90"/>
      <c r="AD1135" s="90"/>
      <c r="AE1135" s="90"/>
      <c r="AF1135" s="90"/>
      <c r="AG1135" s="90"/>
      <c r="AH1135" s="90"/>
      <c r="AI1135" s="90"/>
      <c r="AJ1135" s="90"/>
      <c r="AK1135" s="90"/>
      <c r="AL1135" s="90"/>
      <c r="AM1135" s="90"/>
      <c r="AN1135" s="90"/>
      <c r="AO1135" s="90"/>
      <c r="AP1135" s="90"/>
      <c r="AQ1135" s="90"/>
      <c r="AR1135" s="90"/>
      <c r="AS1135" s="90"/>
      <c r="AT1135" s="90"/>
      <c r="AU1135" s="90"/>
      <c r="AV1135" s="90"/>
      <c r="AW1135" s="90"/>
      <c r="AX1135" s="90"/>
      <c r="AY1135" s="90"/>
      <c r="AZ1135" s="90"/>
      <c r="BA1135" s="90"/>
      <c r="BB1135" s="90"/>
      <c r="BC1135" s="90"/>
      <c r="BD1135" s="90"/>
      <c r="BE1135" s="90"/>
      <c r="BF1135" s="90"/>
      <c r="BG1135" s="90"/>
      <c r="BH1135" s="90"/>
      <c r="BI1135" s="90"/>
      <c r="BJ1135" s="90"/>
      <c r="BK1135" s="90"/>
      <c r="BL1135" s="90"/>
      <c r="BM1135" s="90"/>
      <c r="BN1135" s="90"/>
      <c r="BO1135" s="90"/>
      <c r="BP1135" s="90"/>
      <c r="BQ1135" s="90"/>
      <c r="BR1135" s="90"/>
      <c r="BS1135" s="90"/>
      <c r="BT1135" s="90"/>
      <c r="BU1135" s="90"/>
      <c r="BV1135" s="90"/>
      <c r="BW1135" s="90"/>
      <c r="BX1135" s="90"/>
      <c r="BY1135" s="90"/>
      <c r="BZ1135" s="90"/>
      <c r="CA1135" s="90"/>
      <c r="CB1135" s="90"/>
      <c r="CC1135" s="90"/>
      <c r="CD1135" s="90"/>
      <c r="CE1135" s="90"/>
      <c r="CF1135" s="90"/>
      <c r="CG1135" s="90"/>
      <c r="CH1135" s="90"/>
      <c r="CI1135" s="90"/>
      <c r="CJ1135" s="90"/>
      <c r="CK1135" s="90"/>
      <c r="CL1135" s="90"/>
      <c r="CM1135" s="90"/>
      <c r="CN1135" s="90"/>
      <c r="CO1135" s="90"/>
      <c r="CP1135" s="90"/>
      <c r="CQ1135" s="90"/>
      <c r="CR1135" s="90"/>
      <c r="CS1135" s="90"/>
      <c r="CT1135" s="90"/>
      <c r="CU1135" s="90"/>
      <c r="CV1135" s="90"/>
      <c r="CW1135" s="90"/>
      <c r="CX1135" s="90"/>
      <c r="CY1135" s="90"/>
      <c r="CZ1135" s="90"/>
      <c r="DA1135" s="90"/>
      <c r="DB1135" s="90"/>
      <c r="DC1135" s="90"/>
      <c r="DD1135" s="90"/>
      <c r="DE1135" s="90"/>
      <c r="DF1135" s="90"/>
      <c r="DG1135" s="90"/>
      <c r="DH1135" s="90"/>
      <c r="DI1135" s="90"/>
      <c r="DJ1135" s="90"/>
      <c r="DK1135" s="90"/>
      <c r="DL1135" s="90"/>
      <c r="DM1135" s="90"/>
      <c r="DN1135" s="90"/>
      <c r="DO1135" s="90"/>
      <c r="DP1135" s="90"/>
      <c r="DQ1135" s="90"/>
      <c r="DR1135" s="90"/>
      <c r="DS1135" s="90"/>
      <c r="DT1135" s="90"/>
      <c r="DU1135" s="90"/>
      <c r="DV1135" s="90"/>
      <c r="DW1135" s="90"/>
      <c r="DX1135" s="90"/>
      <c r="DY1135" s="90"/>
      <c r="DZ1135" s="90"/>
      <c r="EA1135" s="90"/>
      <c r="EB1135" s="90"/>
      <c r="EC1135" s="90"/>
      <c r="ED1135" s="90"/>
      <c r="EE1135" s="90"/>
      <c r="EF1135" s="90"/>
      <c r="EG1135" s="90"/>
      <c r="EH1135" s="90"/>
      <c r="EI1135" s="90"/>
      <c r="EJ1135" s="90"/>
      <c r="EK1135" s="90"/>
      <c r="EL1135" s="90"/>
      <c r="EM1135" s="90"/>
      <c r="EN1135" s="90"/>
      <c r="EO1135" s="90"/>
      <c r="EP1135" s="90"/>
      <c r="EQ1135" s="90"/>
      <c r="ER1135" s="90"/>
      <c r="ES1135" s="90"/>
      <c r="ET1135" s="90"/>
      <c r="EU1135" s="90"/>
      <c r="EV1135" s="90"/>
      <c r="EW1135" s="90"/>
      <c r="EX1135" s="90"/>
      <c r="EY1135" s="90"/>
      <c r="EZ1135" s="90"/>
      <c r="FA1135" s="90"/>
      <c r="FB1135" s="90"/>
      <c r="FC1135" s="90"/>
      <c r="FD1135" s="90"/>
      <c r="FE1135" s="90"/>
      <c r="FF1135" s="90"/>
      <c r="FG1135" s="90"/>
      <c r="FH1135" s="90"/>
      <c r="FI1135" s="90"/>
      <c r="FJ1135" s="90"/>
      <c r="FK1135" s="90"/>
      <c r="FL1135" s="90"/>
      <c r="FM1135" s="90"/>
      <c r="FN1135" s="90"/>
      <c r="FO1135" s="90"/>
      <c r="FP1135" s="90"/>
      <c r="FQ1135" s="90"/>
      <c r="FR1135" s="90"/>
      <c r="FS1135" s="90"/>
      <c r="FT1135" s="90"/>
      <c r="FU1135" s="90"/>
      <c r="FV1135" s="90"/>
      <c r="FW1135" s="90"/>
      <c r="FX1135" s="90"/>
      <c r="FY1135" s="90"/>
      <c r="FZ1135" s="90"/>
      <c r="GA1135" s="90"/>
      <c r="GB1135" s="90"/>
      <c r="GC1135" s="90"/>
      <c r="GD1135" s="90"/>
      <c r="GE1135" s="90"/>
      <c r="GF1135" s="90"/>
      <c r="GG1135" s="90"/>
      <c r="GH1135" s="90"/>
      <c r="GI1135" s="90"/>
      <c r="GJ1135" s="90"/>
      <c r="GK1135" s="90"/>
      <c r="GL1135" s="90"/>
      <c r="GM1135" s="90"/>
      <c r="GN1135" s="90"/>
      <c r="GO1135" s="90"/>
      <c r="GP1135" s="90"/>
      <c r="GQ1135" s="90"/>
      <c r="GR1135" s="90"/>
      <c r="GS1135" s="90"/>
      <c r="GT1135" s="90"/>
      <c r="GU1135" s="90"/>
      <c r="GV1135" s="90"/>
      <c r="GW1135" s="90"/>
      <c r="GX1135" s="90"/>
      <c r="GY1135" s="90"/>
      <c r="GZ1135" s="90"/>
      <c r="HA1135" s="90"/>
      <c r="HB1135" s="90"/>
      <c r="HC1135" s="90"/>
      <c r="HD1135" s="90"/>
      <c r="HE1135" s="90"/>
      <c r="HF1135" s="90"/>
      <c r="HG1135" s="90"/>
      <c r="HH1135" s="90"/>
      <c r="HI1135" s="90"/>
      <c r="HJ1135" s="90"/>
      <c r="HK1135" s="90"/>
      <c r="HL1135" s="90"/>
      <c r="HM1135" s="90"/>
      <c r="HN1135" s="90"/>
      <c r="HO1135" s="90"/>
      <c r="HP1135" s="90"/>
      <c r="HQ1135" s="90"/>
      <c r="HR1135" s="90"/>
      <c r="HS1135" s="90"/>
      <c r="HT1135" s="90"/>
      <c r="HU1135" s="90"/>
      <c r="HV1135" s="90"/>
      <c r="HW1135" s="90"/>
      <c r="HX1135" s="90"/>
      <c r="HY1135" s="90"/>
      <c r="HZ1135" s="90"/>
      <c r="IA1135" s="90"/>
      <c r="IB1135" s="90"/>
      <c r="IC1135" s="90"/>
      <c r="ID1135" s="90"/>
      <c r="IE1135" s="90"/>
      <c r="IF1135" s="90"/>
      <c r="IG1135" s="90"/>
      <c r="IH1135" s="90"/>
      <c r="II1135" s="90"/>
      <c r="IJ1135" s="90"/>
      <c r="IK1135" s="90"/>
      <c r="IL1135" s="90"/>
      <c r="IM1135" s="90"/>
      <c r="IN1135" s="90"/>
      <c r="IO1135" s="90"/>
      <c r="IP1135" s="90"/>
      <c r="IQ1135" s="90"/>
      <c r="IR1135" s="90"/>
      <c r="IS1135" s="90"/>
      <c r="IT1135" s="90"/>
      <c r="IU1135" s="90"/>
    </row>
    <row r="1136" ht="15" spans="1:11">
      <c r="A1136" s="98" t="s">
        <v>67</v>
      </c>
      <c r="B1136" s="101" t="s">
        <v>10296</v>
      </c>
      <c r="C1136" s="98" t="s">
        <v>8514</v>
      </c>
      <c r="D1136" s="118" t="s">
        <v>4</v>
      </c>
      <c r="E1136" s="118" t="s">
        <v>10186</v>
      </c>
      <c r="F1136" s="98"/>
      <c r="G1136" s="118" t="s">
        <v>206</v>
      </c>
      <c r="H1136" s="118" t="s">
        <v>8215</v>
      </c>
      <c r="I1136" s="118" t="s">
        <v>8215</v>
      </c>
      <c r="J1136" s="118" t="s">
        <v>10297</v>
      </c>
      <c r="K1136" s="107"/>
    </row>
    <row r="1137" ht="15" spans="1:11">
      <c r="A1137" s="98" t="s">
        <v>67</v>
      </c>
      <c r="B1137" s="101" t="s">
        <v>10298</v>
      </c>
      <c r="C1137" s="98" t="s">
        <v>8514</v>
      </c>
      <c r="D1137" s="118" t="s">
        <v>4</v>
      </c>
      <c r="E1137" s="118" t="s">
        <v>10186</v>
      </c>
      <c r="F1137" s="98"/>
      <c r="G1137" s="118" t="s">
        <v>206</v>
      </c>
      <c r="H1137" s="118" t="s">
        <v>8215</v>
      </c>
      <c r="I1137" s="118" t="s">
        <v>8215</v>
      </c>
      <c r="J1137" s="118" t="s">
        <v>10299</v>
      </c>
      <c r="K1137" s="107"/>
    </row>
    <row r="1138" ht="15" spans="1:11">
      <c r="A1138" s="98" t="s">
        <v>67</v>
      </c>
      <c r="B1138" s="101" t="s">
        <v>10198</v>
      </c>
      <c r="C1138" s="98" t="s">
        <v>8213</v>
      </c>
      <c r="D1138" s="118" t="s">
        <v>4</v>
      </c>
      <c r="E1138" s="118" t="s">
        <v>10194</v>
      </c>
      <c r="F1138" s="98"/>
      <c r="G1138" s="118" t="s">
        <v>206</v>
      </c>
      <c r="H1138" s="118" t="s">
        <v>8215</v>
      </c>
      <c r="I1138" s="118" t="s">
        <v>8215</v>
      </c>
      <c r="J1138" s="118" t="s">
        <v>8898</v>
      </c>
      <c r="K1138" s="107"/>
    </row>
    <row r="1139" ht="15" spans="1:11">
      <c r="A1139" s="98" t="s">
        <v>67</v>
      </c>
      <c r="B1139" s="101" t="s">
        <v>10300</v>
      </c>
      <c r="C1139" s="98" t="s">
        <v>8213</v>
      </c>
      <c r="D1139" s="118" t="s">
        <v>4</v>
      </c>
      <c r="E1139" s="118" t="s">
        <v>10194</v>
      </c>
      <c r="F1139" s="98"/>
      <c r="G1139" s="118" t="s">
        <v>206</v>
      </c>
      <c r="H1139" s="118" t="s">
        <v>8215</v>
      </c>
      <c r="I1139" s="118" t="s">
        <v>8215</v>
      </c>
      <c r="J1139" s="118" t="s">
        <v>10301</v>
      </c>
      <c r="K1139" s="107"/>
    </row>
    <row r="1140" ht="15" spans="1:11">
      <c r="A1140" s="98" t="s">
        <v>67</v>
      </c>
      <c r="B1140" s="101" t="s">
        <v>10302</v>
      </c>
      <c r="C1140" s="98" t="s">
        <v>8213</v>
      </c>
      <c r="D1140" s="118" t="s">
        <v>4</v>
      </c>
      <c r="E1140" s="118" t="s">
        <v>10194</v>
      </c>
      <c r="F1140" s="98"/>
      <c r="G1140" s="118" t="s">
        <v>206</v>
      </c>
      <c r="H1140" s="118" t="s">
        <v>8215</v>
      </c>
      <c r="I1140" s="118" t="s">
        <v>8215</v>
      </c>
      <c r="J1140" s="118" t="s">
        <v>10303</v>
      </c>
      <c r="K1140" s="107"/>
    </row>
    <row r="1141" ht="15" spans="1:11">
      <c r="A1141" s="98" t="s">
        <v>67</v>
      </c>
      <c r="B1141" s="101" t="s">
        <v>10304</v>
      </c>
      <c r="C1141" s="98" t="s">
        <v>8514</v>
      </c>
      <c r="D1141" s="118" t="s">
        <v>4</v>
      </c>
      <c r="E1141" s="118" t="s">
        <v>10305</v>
      </c>
      <c r="F1141" s="98"/>
      <c r="G1141" s="118" t="s">
        <v>206</v>
      </c>
      <c r="H1141" s="101" t="s">
        <v>8215</v>
      </c>
      <c r="I1141" s="101" t="s">
        <v>8215</v>
      </c>
      <c r="J1141" s="101" t="s">
        <v>10306</v>
      </c>
      <c r="K1141" s="107"/>
    </row>
    <row r="1142" ht="15" spans="1:11">
      <c r="A1142" s="98" t="s">
        <v>67</v>
      </c>
      <c r="B1142" s="101" t="s">
        <v>10307</v>
      </c>
      <c r="C1142" s="98" t="s">
        <v>8514</v>
      </c>
      <c r="D1142" s="118" t="s">
        <v>4</v>
      </c>
      <c r="E1142" s="118" t="s">
        <v>10305</v>
      </c>
      <c r="F1142" s="98"/>
      <c r="G1142" s="118" t="s">
        <v>206</v>
      </c>
      <c r="H1142" s="101" t="s">
        <v>8320</v>
      </c>
      <c r="I1142" s="101" t="s">
        <v>8320</v>
      </c>
      <c r="J1142" s="101" t="s">
        <v>10299</v>
      </c>
      <c r="K1142" s="107"/>
    </row>
    <row r="1143" s="90" customFormat="1" ht="15" spans="1:11">
      <c r="A1143" s="98" t="s">
        <v>67</v>
      </c>
      <c r="B1143" s="101" t="s">
        <v>10308</v>
      </c>
      <c r="C1143" s="98" t="s">
        <v>8293</v>
      </c>
      <c r="D1143" s="118" t="s">
        <v>5</v>
      </c>
      <c r="E1143" s="118" t="s">
        <v>10309</v>
      </c>
      <c r="F1143" s="98"/>
      <c r="G1143" s="118" t="s">
        <v>206</v>
      </c>
      <c r="H1143" s="101" t="s">
        <v>8247</v>
      </c>
      <c r="I1143" s="101" t="s">
        <v>8625</v>
      </c>
      <c r="J1143" s="101" t="s">
        <v>10014</v>
      </c>
      <c r="K1143" s="107">
        <v>2024.5</v>
      </c>
    </row>
    <row r="1144" ht="15" spans="1:11">
      <c r="A1144" s="98" t="s">
        <v>67</v>
      </c>
      <c r="B1144" s="101" t="s">
        <v>10310</v>
      </c>
      <c r="C1144" s="98" t="s">
        <v>8514</v>
      </c>
      <c r="D1144" s="118" t="s">
        <v>4</v>
      </c>
      <c r="E1144" s="118" t="s">
        <v>10218</v>
      </c>
      <c r="F1144" s="98"/>
      <c r="G1144" s="118" t="s">
        <v>206</v>
      </c>
      <c r="H1144" s="118" t="s">
        <v>8215</v>
      </c>
      <c r="I1144" s="118" t="s">
        <v>8215</v>
      </c>
      <c r="J1144" s="118" t="s">
        <v>10299</v>
      </c>
      <c r="K1144" s="107"/>
    </row>
    <row r="1145" ht="15" spans="1:11">
      <c r="A1145" s="98" t="s">
        <v>67</v>
      </c>
      <c r="B1145" s="101" t="s">
        <v>10311</v>
      </c>
      <c r="C1145" s="98" t="s">
        <v>8213</v>
      </c>
      <c r="D1145" s="118" t="s">
        <v>4</v>
      </c>
      <c r="E1145" s="118" t="s">
        <v>10181</v>
      </c>
      <c r="F1145" s="98"/>
      <c r="G1145" s="118" t="s">
        <v>206</v>
      </c>
      <c r="H1145" s="118" t="s">
        <v>8215</v>
      </c>
      <c r="I1145" s="118" t="s">
        <v>8215</v>
      </c>
      <c r="J1145" s="118" t="s">
        <v>10312</v>
      </c>
      <c r="K1145" s="107"/>
    </row>
    <row r="1146" ht="15" spans="1:11">
      <c r="A1146" s="98" t="s">
        <v>67</v>
      </c>
      <c r="B1146" s="101" t="s">
        <v>10313</v>
      </c>
      <c r="C1146" s="98" t="s">
        <v>8213</v>
      </c>
      <c r="D1146" s="118" t="s">
        <v>4</v>
      </c>
      <c r="E1146" s="118" t="s">
        <v>10212</v>
      </c>
      <c r="F1146" s="98"/>
      <c r="G1146" s="118" t="s">
        <v>206</v>
      </c>
      <c r="H1146" s="118" t="s">
        <v>8300</v>
      </c>
      <c r="I1146" s="118" t="s">
        <v>8300</v>
      </c>
      <c r="J1146" s="118" t="s">
        <v>10299</v>
      </c>
      <c r="K1146" s="107"/>
    </row>
    <row r="1147" ht="15" spans="1:11">
      <c r="A1147" s="98" t="s">
        <v>67</v>
      </c>
      <c r="B1147" s="101" t="s">
        <v>10314</v>
      </c>
      <c r="C1147" s="98" t="s">
        <v>8213</v>
      </c>
      <c r="D1147" s="118" t="s">
        <v>4</v>
      </c>
      <c r="E1147" s="118" t="s">
        <v>10315</v>
      </c>
      <c r="F1147" s="98"/>
      <c r="G1147" s="118" t="s">
        <v>206</v>
      </c>
      <c r="H1147" s="101" t="s">
        <v>8215</v>
      </c>
      <c r="I1147" s="101" t="s">
        <v>8215</v>
      </c>
      <c r="J1147" s="101" t="s">
        <v>10299</v>
      </c>
      <c r="K1147" s="107"/>
    </row>
    <row r="1148" ht="15" spans="1:11">
      <c r="A1148" s="98" t="s">
        <v>67</v>
      </c>
      <c r="B1148" s="101" t="s">
        <v>10316</v>
      </c>
      <c r="C1148" s="98" t="s">
        <v>8514</v>
      </c>
      <c r="D1148" s="118" t="s">
        <v>4</v>
      </c>
      <c r="E1148" s="118" t="s">
        <v>10317</v>
      </c>
      <c r="F1148" s="98"/>
      <c r="G1148" s="118" t="s">
        <v>206</v>
      </c>
      <c r="H1148" s="135" t="s">
        <v>8215</v>
      </c>
      <c r="I1148" s="101" t="s">
        <v>8215</v>
      </c>
      <c r="J1148" s="101" t="s">
        <v>10299</v>
      </c>
      <c r="K1148" s="107"/>
    </row>
    <row r="1149" ht="15" spans="1:11">
      <c r="A1149" s="98" t="s">
        <v>67</v>
      </c>
      <c r="B1149" s="101" t="s">
        <v>10318</v>
      </c>
      <c r="C1149" s="98" t="s">
        <v>8514</v>
      </c>
      <c r="D1149" s="118" t="s">
        <v>4</v>
      </c>
      <c r="E1149" s="118" t="s">
        <v>10317</v>
      </c>
      <c r="F1149" s="98"/>
      <c r="G1149" s="118" t="s">
        <v>206</v>
      </c>
      <c r="H1149" s="135" t="s">
        <v>8215</v>
      </c>
      <c r="I1149" s="101" t="s">
        <v>8215</v>
      </c>
      <c r="J1149" s="101" t="s">
        <v>8907</v>
      </c>
      <c r="K1149" s="107"/>
    </row>
    <row r="1150" ht="15" spans="1:11">
      <c r="A1150" s="98" t="s">
        <v>67</v>
      </c>
      <c r="B1150" s="101" t="s">
        <v>10319</v>
      </c>
      <c r="C1150" s="98" t="s">
        <v>8514</v>
      </c>
      <c r="D1150" s="118" t="s">
        <v>4</v>
      </c>
      <c r="E1150" s="118" t="s">
        <v>5077</v>
      </c>
      <c r="F1150" s="98"/>
      <c r="G1150" s="118" t="s">
        <v>206</v>
      </c>
      <c r="H1150" s="101" t="s">
        <v>8215</v>
      </c>
      <c r="I1150" s="101" t="s">
        <v>8215</v>
      </c>
      <c r="J1150" s="101" t="s">
        <v>10303</v>
      </c>
      <c r="K1150" s="107"/>
    </row>
    <row r="1151" ht="15" spans="1:11">
      <c r="A1151" s="98" t="s">
        <v>67</v>
      </c>
      <c r="B1151" s="101" t="s">
        <v>10320</v>
      </c>
      <c r="C1151" s="98" t="s">
        <v>8514</v>
      </c>
      <c r="D1151" s="118" t="s">
        <v>4</v>
      </c>
      <c r="E1151" s="118" t="s">
        <v>10321</v>
      </c>
      <c r="F1151" s="98"/>
      <c r="G1151" s="118" t="s">
        <v>206</v>
      </c>
      <c r="H1151" s="101" t="s">
        <v>8215</v>
      </c>
      <c r="I1151" s="101" t="s">
        <v>8215</v>
      </c>
      <c r="J1151" s="101" t="s">
        <v>10299</v>
      </c>
      <c r="K1151" s="107"/>
    </row>
    <row r="1152" ht="15" spans="1:11">
      <c r="A1152" s="98" t="s">
        <v>67</v>
      </c>
      <c r="B1152" s="101" t="s">
        <v>10322</v>
      </c>
      <c r="C1152" s="98" t="s">
        <v>8514</v>
      </c>
      <c r="D1152" s="118" t="s">
        <v>4</v>
      </c>
      <c r="E1152" s="118" t="s">
        <v>10323</v>
      </c>
      <c r="F1152" s="118"/>
      <c r="G1152" s="118" t="s">
        <v>206</v>
      </c>
      <c r="H1152" s="49" t="s">
        <v>1258</v>
      </c>
      <c r="I1152" s="137" t="s">
        <v>1258</v>
      </c>
      <c r="J1152" s="49" t="s">
        <v>1258</v>
      </c>
      <c r="K1152" s="107"/>
    </row>
    <row r="1153" ht="15" spans="1:11">
      <c r="A1153" s="98" t="s">
        <v>67</v>
      </c>
      <c r="B1153" s="101" t="s">
        <v>10324</v>
      </c>
      <c r="C1153" s="98" t="s">
        <v>8213</v>
      </c>
      <c r="D1153" s="118" t="s">
        <v>4</v>
      </c>
      <c r="E1153" s="118" t="s">
        <v>10325</v>
      </c>
      <c r="F1153" s="98"/>
      <c r="G1153" s="118" t="s">
        <v>206</v>
      </c>
      <c r="H1153" s="118" t="s">
        <v>8215</v>
      </c>
      <c r="I1153" s="118" t="s">
        <v>8215</v>
      </c>
      <c r="J1153" s="118" t="s">
        <v>10326</v>
      </c>
      <c r="K1153" s="107"/>
    </row>
    <row r="1154" ht="15" spans="1:11">
      <c r="A1154" s="98" t="s">
        <v>67</v>
      </c>
      <c r="B1154" s="101" t="s">
        <v>10327</v>
      </c>
      <c r="C1154" s="98" t="s">
        <v>8213</v>
      </c>
      <c r="D1154" s="118" t="s">
        <v>4</v>
      </c>
      <c r="E1154" s="118" t="s">
        <v>2950</v>
      </c>
      <c r="F1154" s="98"/>
      <c r="G1154" s="118" t="s">
        <v>206</v>
      </c>
      <c r="H1154" s="118" t="s">
        <v>8215</v>
      </c>
      <c r="I1154" s="118" t="s">
        <v>8215</v>
      </c>
      <c r="J1154" s="118" t="s">
        <v>9317</v>
      </c>
      <c r="K1154" s="107"/>
    </row>
    <row r="1155" ht="15" spans="1:11">
      <c r="A1155" s="98" t="s">
        <v>67</v>
      </c>
      <c r="B1155" s="101" t="s">
        <v>10328</v>
      </c>
      <c r="C1155" s="98" t="s">
        <v>8213</v>
      </c>
      <c r="D1155" s="118" t="s">
        <v>4</v>
      </c>
      <c r="E1155" s="118" t="s">
        <v>2950</v>
      </c>
      <c r="F1155" s="98"/>
      <c r="G1155" s="118" t="s">
        <v>206</v>
      </c>
      <c r="H1155" s="118" t="s">
        <v>8215</v>
      </c>
      <c r="I1155" s="118" t="s">
        <v>8215</v>
      </c>
      <c r="J1155" s="118" t="s">
        <v>10329</v>
      </c>
      <c r="K1155" s="107"/>
    </row>
    <row r="1156" ht="15" spans="1:11">
      <c r="A1156" s="98" t="s">
        <v>67</v>
      </c>
      <c r="B1156" s="101" t="s">
        <v>10330</v>
      </c>
      <c r="C1156" s="98" t="s">
        <v>8514</v>
      </c>
      <c r="D1156" s="118" t="s">
        <v>5</v>
      </c>
      <c r="E1156" s="118" t="s">
        <v>10331</v>
      </c>
      <c r="F1156" s="98"/>
      <c r="G1156" s="118" t="s">
        <v>206</v>
      </c>
      <c r="H1156" s="118" t="s">
        <v>8974</v>
      </c>
      <c r="I1156" s="118" t="s">
        <v>8974</v>
      </c>
      <c r="J1156" s="118" t="s">
        <v>10332</v>
      </c>
      <c r="K1156" s="107"/>
    </row>
    <row r="1157" ht="15" spans="1:11">
      <c r="A1157" s="98" t="s">
        <v>67</v>
      </c>
      <c r="B1157" s="101" t="s">
        <v>10333</v>
      </c>
      <c r="C1157" s="98" t="s">
        <v>8514</v>
      </c>
      <c r="D1157" s="118" t="s">
        <v>5</v>
      </c>
      <c r="E1157" s="118" t="s">
        <v>8645</v>
      </c>
      <c r="F1157" s="138"/>
      <c r="G1157" s="118" t="s">
        <v>206</v>
      </c>
      <c r="H1157" s="49" t="s">
        <v>8974</v>
      </c>
      <c r="I1157" s="137" t="s">
        <v>8974</v>
      </c>
      <c r="J1157" s="49" t="s">
        <v>10334</v>
      </c>
      <c r="K1157" s="107"/>
    </row>
    <row r="1158" ht="15" spans="1:11">
      <c r="A1158" s="98" t="s">
        <v>67</v>
      </c>
      <c r="B1158" s="101" t="s">
        <v>10335</v>
      </c>
      <c r="C1158" s="98" t="s">
        <v>8213</v>
      </c>
      <c r="D1158" s="118" t="s">
        <v>4</v>
      </c>
      <c r="E1158" s="118" t="s">
        <v>10336</v>
      </c>
      <c r="F1158" s="98"/>
      <c r="G1158" s="118" t="s">
        <v>206</v>
      </c>
      <c r="H1158" s="118" t="s">
        <v>8215</v>
      </c>
      <c r="I1158" s="118" t="s">
        <v>8215</v>
      </c>
      <c r="J1158" s="118" t="s">
        <v>10337</v>
      </c>
      <c r="K1158" s="107"/>
    </row>
    <row r="1159" ht="15" spans="1:11">
      <c r="A1159" s="98" t="s">
        <v>67</v>
      </c>
      <c r="B1159" s="101" t="s">
        <v>10338</v>
      </c>
      <c r="C1159" s="98" t="s">
        <v>8213</v>
      </c>
      <c r="D1159" s="118" t="s">
        <v>4</v>
      </c>
      <c r="E1159" s="118" t="s">
        <v>10336</v>
      </c>
      <c r="F1159" s="98"/>
      <c r="G1159" s="118" t="s">
        <v>206</v>
      </c>
      <c r="H1159" s="118" t="s">
        <v>8215</v>
      </c>
      <c r="I1159" s="118" t="s">
        <v>8215</v>
      </c>
      <c r="J1159" s="118" t="s">
        <v>10072</v>
      </c>
      <c r="K1159" s="107"/>
    </row>
    <row r="1160" ht="15" spans="1:11">
      <c r="A1160" s="98" t="s">
        <v>67</v>
      </c>
      <c r="B1160" s="101" t="s">
        <v>10339</v>
      </c>
      <c r="C1160" s="98" t="s">
        <v>8213</v>
      </c>
      <c r="D1160" s="118" t="s">
        <v>4</v>
      </c>
      <c r="E1160" s="118" t="s">
        <v>10336</v>
      </c>
      <c r="F1160" s="98"/>
      <c r="G1160" s="118" t="s">
        <v>206</v>
      </c>
      <c r="H1160" s="118" t="s">
        <v>8215</v>
      </c>
      <c r="I1160" s="118" t="s">
        <v>8215</v>
      </c>
      <c r="J1160" s="118" t="s">
        <v>10072</v>
      </c>
      <c r="K1160" s="107"/>
    </row>
    <row r="1161" ht="15" spans="1:11">
      <c r="A1161" s="98" t="s">
        <v>67</v>
      </c>
      <c r="B1161" s="101" t="s">
        <v>10340</v>
      </c>
      <c r="C1161" s="98" t="s">
        <v>8213</v>
      </c>
      <c r="D1161" s="118" t="s">
        <v>4</v>
      </c>
      <c r="E1161" s="118" t="s">
        <v>10336</v>
      </c>
      <c r="F1161" s="138"/>
      <c r="G1161" s="118" t="s">
        <v>206</v>
      </c>
      <c r="H1161" s="118" t="s">
        <v>8215</v>
      </c>
      <c r="I1161" s="118" t="s">
        <v>8215</v>
      </c>
      <c r="J1161" s="49"/>
      <c r="K1161" s="107"/>
    </row>
    <row r="1162" ht="15" spans="1:11">
      <c r="A1162" s="98" t="s">
        <v>67</v>
      </c>
      <c r="B1162" s="101" t="s">
        <v>10341</v>
      </c>
      <c r="C1162" s="98" t="s">
        <v>8514</v>
      </c>
      <c r="D1162" s="118" t="s">
        <v>4</v>
      </c>
      <c r="E1162" s="118" t="s">
        <v>8629</v>
      </c>
      <c r="F1162" s="98"/>
      <c r="G1162" s="118" t="s">
        <v>206</v>
      </c>
      <c r="H1162" s="118" t="s">
        <v>8215</v>
      </c>
      <c r="I1162" s="118" t="s">
        <v>8215</v>
      </c>
      <c r="J1162" s="118" t="s">
        <v>8463</v>
      </c>
      <c r="K1162" s="107"/>
    </row>
    <row r="1163" ht="15" spans="1:11">
      <c r="A1163" s="98" t="s">
        <v>67</v>
      </c>
      <c r="B1163" s="101" t="s">
        <v>10342</v>
      </c>
      <c r="C1163" s="98" t="s">
        <v>8213</v>
      </c>
      <c r="D1163" s="118" t="s">
        <v>4</v>
      </c>
      <c r="E1163" s="118" t="s">
        <v>1877</v>
      </c>
      <c r="F1163" s="98"/>
      <c r="G1163" s="118" t="s">
        <v>206</v>
      </c>
      <c r="H1163" s="118" t="s">
        <v>8252</v>
      </c>
      <c r="I1163" s="118" t="s">
        <v>8252</v>
      </c>
      <c r="J1163" s="118" t="s">
        <v>8708</v>
      </c>
      <c r="K1163" s="107"/>
    </row>
    <row r="1164" ht="15" spans="1:11">
      <c r="A1164" s="98" t="s">
        <v>67</v>
      </c>
      <c r="B1164" s="101" t="s">
        <v>10343</v>
      </c>
      <c r="C1164" s="98" t="s">
        <v>8213</v>
      </c>
      <c r="D1164" s="118" t="s">
        <v>4</v>
      </c>
      <c r="E1164" s="118" t="s">
        <v>10344</v>
      </c>
      <c r="F1164" s="98"/>
      <c r="G1164" s="118" t="s">
        <v>206</v>
      </c>
      <c r="H1164" s="118" t="s">
        <v>8252</v>
      </c>
      <c r="I1164" s="118" t="s">
        <v>8252</v>
      </c>
      <c r="J1164" s="118" t="s">
        <v>10345</v>
      </c>
      <c r="K1164" s="107"/>
    </row>
    <row r="1165" ht="15" spans="1:11">
      <c r="A1165" s="98" t="s">
        <v>67</v>
      </c>
      <c r="B1165" s="101" t="s">
        <v>10346</v>
      </c>
      <c r="C1165" s="98" t="s">
        <v>8514</v>
      </c>
      <c r="D1165" s="118" t="s">
        <v>4</v>
      </c>
      <c r="E1165" s="118" t="s">
        <v>8624</v>
      </c>
      <c r="F1165" s="98"/>
      <c r="G1165" s="118" t="s">
        <v>206</v>
      </c>
      <c r="H1165" s="118" t="s">
        <v>8215</v>
      </c>
      <c r="I1165" s="118" t="s">
        <v>8215</v>
      </c>
      <c r="J1165" s="118" t="s">
        <v>10347</v>
      </c>
      <c r="K1165" s="107"/>
    </row>
    <row r="1166" ht="15" spans="1:11">
      <c r="A1166" s="98" t="s">
        <v>67</v>
      </c>
      <c r="B1166" s="101" t="s">
        <v>10348</v>
      </c>
      <c r="C1166" s="98" t="s">
        <v>8514</v>
      </c>
      <c r="D1166" s="118" t="s">
        <v>4</v>
      </c>
      <c r="E1166" s="118" t="s">
        <v>10349</v>
      </c>
      <c r="F1166" s="98"/>
      <c r="G1166" s="118" t="s">
        <v>206</v>
      </c>
      <c r="H1166" s="118" t="s">
        <v>8215</v>
      </c>
      <c r="I1166" s="118" t="s">
        <v>8215</v>
      </c>
      <c r="J1166" s="118" t="s">
        <v>10350</v>
      </c>
      <c r="K1166" s="107"/>
    </row>
    <row r="1167" ht="15" spans="1:11">
      <c r="A1167" s="98" t="s">
        <v>67</v>
      </c>
      <c r="B1167" s="101" t="s">
        <v>10351</v>
      </c>
      <c r="C1167" s="98" t="s">
        <v>8514</v>
      </c>
      <c r="D1167" s="118" t="s">
        <v>4</v>
      </c>
      <c r="E1167" s="118" t="s">
        <v>10352</v>
      </c>
      <c r="F1167" s="98"/>
      <c r="G1167" s="118" t="s">
        <v>206</v>
      </c>
      <c r="H1167" s="101" t="s">
        <v>8326</v>
      </c>
      <c r="I1167" s="101" t="s">
        <v>8326</v>
      </c>
      <c r="J1167" s="101" t="s">
        <v>9576</v>
      </c>
      <c r="K1167" s="107"/>
    </row>
    <row r="1168" ht="15" spans="1:11">
      <c r="A1168" s="98" t="s">
        <v>67</v>
      </c>
      <c r="B1168" s="101" t="s">
        <v>10353</v>
      </c>
      <c r="C1168" s="98" t="s">
        <v>8213</v>
      </c>
      <c r="D1168" s="118" t="s">
        <v>4</v>
      </c>
      <c r="E1168" s="118" t="s">
        <v>10354</v>
      </c>
      <c r="F1168" s="98"/>
      <c r="G1168" s="118" t="s">
        <v>206</v>
      </c>
      <c r="H1168" s="101" t="s">
        <v>8215</v>
      </c>
      <c r="I1168" s="49" t="s">
        <v>8215</v>
      </c>
      <c r="J1168" s="101" t="s">
        <v>8388</v>
      </c>
      <c r="K1168" s="107"/>
    </row>
    <row r="1169" ht="30" spans="1:11">
      <c r="A1169" s="98" t="s">
        <v>67</v>
      </c>
      <c r="B1169" s="101" t="s">
        <v>10355</v>
      </c>
      <c r="C1169" s="98" t="s">
        <v>8213</v>
      </c>
      <c r="D1169" s="118" t="s">
        <v>4</v>
      </c>
      <c r="E1169" s="118" t="s">
        <v>10354</v>
      </c>
      <c r="F1169" s="98"/>
      <c r="G1169" s="118" t="s">
        <v>206</v>
      </c>
      <c r="H1169" s="101" t="s">
        <v>8215</v>
      </c>
      <c r="I1169" s="101" t="s">
        <v>8215</v>
      </c>
      <c r="J1169" s="101" t="s">
        <v>10356</v>
      </c>
      <c r="K1169" s="107"/>
    </row>
    <row r="1170" ht="30" spans="1:11">
      <c r="A1170" s="98" t="s">
        <v>67</v>
      </c>
      <c r="B1170" s="101" t="s">
        <v>10357</v>
      </c>
      <c r="C1170" s="98" t="s">
        <v>8213</v>
      </c>
      <c r="D1170" s="118" t="s">
        <v>4</v>
      </c>
      <c r="E1170" s="118" t="s">
        <v>10354</v>
      </c>
      <c r="F1170" s="98"/>
      <c r="G1170" s="118" t="s">
        <v>206</v>
      </c>
      <c r="H1170" s="101" t="s">
        <v>8215</v>
      </c>
      <c r="I1170" s="101" t="s">
        <v>8215</v>
      </c>
      <c r="J1170" s="101" t="s">
        <v>10358</v>
      </c>
      <c r="K1170" s="107"/>
    </row>
    <row r="1171" ht="15" spans="1:11">
      <c r="A1171" s="98" t="s">
        <v>67</v>
      </c>
      <c r="B1171" s="101" t="s">
        <v>10359</v>
      </c>
      <c r="C1171" s="98" t="s">
        <v>8514</v>
      </c>
      <c r="D1171" s="118" t="s">
        <v>5</v>
      </c>
      <c r="E1171" s="118" t="s">
        <v>10360</v>
      </c>
      <c r="F1171" s="98"/>
      <c r="G1171" s="118" t="s">
        <v>206</v>
      </c>
      <c r="H1171" s="118" t="s">
        <v>8215</v>
      </c>
      <c r="I1171" s="101" t="s">
        <v>8215</v>
      </c>
      <c r="J1171" s="101" t="s">
        <v>10361</v>
      </c>
      <c r="K1171" s="107"/>
    </row>
    <row r="1172" ht="15" spans="1:11">
      <c r="A1172" s="98" t="s">
        <v>67</v>
      </c>
      <c r="B1172" s="101" t="s">
        <v>10362</v>
      </c>
      <c r="C1172" s="98" t="s">
        <v>8213</v>
      </c>
      <c r="D1172" s="118" t="s">
        <v>4</v>
      </c>
      <c r="E1172" s="118" t="s">
        <v>10363</v>
      </c>
      <c r="F1172" s="98"/>
      <c r="G1172" s="118" t="s">
        <v>206</v>
      </c>
      <c r="H1172" s="101" t="s">
        <v>8215</v>
      </c>
      <c r="I1172" s="101" t="s">
        <v>8215</v>
      </c>
      <c r="J1172" s="101" t="s">
        <v>10364</v>
      </c>
      <c r="K1172" s="107"/>
    </row>
    <row r="1173" ht="15" spans="1:11">
      <c r="A1173" s="98" t="s">
        <v>67</v>
      </c>
      <c r="B1173" s="101" t="s">
        <v>10365</v>
      </c>
      <c r="C1173" s="98" t="s">
        <v>8213</v>
      </c>
      <c r="D1173" s="118" t="s">
        <v>4</v>
      </c>
      <c r="E1173" s="118" t="s">
        <v>10366</v>
      </c>
      <c r="F1173" s="98"/>
      <c r="G1173" s="118" t="s">
        <v>206</v>
      </c>
      <c r="H1173" s="118" t="s">
        <v>8215</v>
      </c>
      <c r="I1173" s="118" t="s">
        <v>8215</v>
      </c>
      <c r="J1173" s="118" t="s">
        <v>8885</v>
      </c>
      <c r="K1173" s="107"/>
    </row>
    <row r="1174" ht="15" spans="1:11">
      <c r="A1174" s="98" t="s">
        <v>67</v>
      </c>
      <c r="B1174" s="101" t="s">
        <v>10367</v>
      </c>
      <c r="C1174" s="98" t="s">
        <v>8213</v>
      </c>
      <c r="D1174" s="118" t="s">
        <v>4</v>
      </c>
      <c r="E1174" s="118" t="s">
        <v>10366</v>
      </c>
      <c r="F1174" s="98"/>
      <c r="G1174" s="118" t="s">
        <v>206</v>
      </c>
      <c r="H1174" s="101" t="s">
        <v>8215</v>
      </c>
      <c r="I1174" s="101" t="s">
        <v>8215</v>
      </c>
      <c r="J1174" s="101" t="s">
        <v>9690</v>
      </c>
      <c r="K1174" s="107"/>
    </row>
    <row r="1175" ht="15" spans="1:11">
      <c r="A1175" s="98" t="s">
        <v>67</v>
      </c>
      <c r="B1175" s="101" t="s">
        <v>10368</v>
      </c>
      <c r="C1175" s="98" t="s">
        <v>8213</v>
      </c>
      <c r="D1175" s="118" t="s">
        <v>4</v>
      </c>
      <c r="E1175" s="118" t="s">
        <v>10366</v>
      </c>
      <c r="F1175" s="98"/>
      <c r="G1175" s="118" t="s">
        <v>206</v>
      </c>
      <c r="H1175" s="101" t="s">
        <v>8300</v>
      </c>
      <c r="I1175" s="101" t="s">
        <v>8300</v>
      </c>
      <c r="J1175" s="101" t="s">
        <v>9690</v>
      </c>
      <c r="K1175" s="107"/>
    </row>
    <row r="1176" ht="15.5" spans="1:11">
      <c r="A1176" s="98" t="s">
        <v>67</v>
      </c>
      <c r="B1176" s="101" t="s">
        <v>10369</v>
      </c>
      <c r="C1176" s="118" t="s">
        <v>8213</v>
      </c>
      <c r="D1176" s="118" t="s">
        <v>4</v>
      </c>
      <c r="E1176" s="118" t="s">
        <v>10366</v>
      </c>
      <c r="F1176" s="139"/>
      <c r="G1176" s="140" t="s">
        <v>206</v>
      </c>
      <c r="I1176" s="101"/>
      <c r="J1176" s="101"/>
      <c r="K1176" s="107"/>
    </row>
    <row r="1177" ht="15" spans="1:11">
      <c r="A1177" s="98" t="s">
        <v>67</v>
      </c>
      <c r="B1177" s="101" t="s">
        <v>10370</v>
      </c>
      <c r="C1177" s="98" t="s">
        <v>8514</v>
      </c>
      <c r="D1177" s="118" t="s">
        <v>4</v>
      </c>
      <c r="E1177" s="118" t="s">
        <v>10371</v>
      </c>
      <c r="F1177" s="98"/>
      <c r="G1177" s="118" t="s">
        <v>206</v>
      </c>
      <c r="H1177" s="101" t="s">
        <v>8215</v>
      </c>
      <c r="I1177" s="101" t="s">
        <v>8215</v>
      </c>
      <c r="J1177" s="101" t="s">
        <v>10372</v>
      </c>
      <c r="K1177" s="107"/>
    </row>
    <row r="1178" ht="15" spans="1:11">
      <c r="A1178" s="98" t="s">
        <v>67</v>
      </c>
      <c r="B1178" s="101" t="s">
        <v>10373</v>
      </c>
      <c r="C1178" s="98" t="s">
        <v>8514</v>
      </c>
      <c r="D1178" s="118" t="s">
        <v>4</v>
      </c>
      <c r="E1178" s="118" t="s">
        <v>10371</v>
      </c>
      <c r="F1178" s="98"/>
      <c r="G1178" s="118" t="s">
        <v>206</v>
      </c>
      <c r="H1178" s="101" t="s">
        <v>8215</v>
      </c>
      <c r="I1178" s="101" t="s">
        <v>8674</v>
      </c>
      <c r="J1178" s="101" t="s">
        <v>10374</v>
      </c>
      <c r="K1178" s="107"/>
    </row>
    <row r="1179" ht="15" spans="1:11">
      <c r="A1179" s="98" t="s">
        <v>67</v>
      </c>
      <c r="B1179" s="101" t="s">
        <v>10375</v>
      </c>
      <c r="C1179" s="98" t="s">
        <v>8514</v>
      </c>
      <c r="D1179" s="118" t="s">
        <v>4</v>
      </c>
      <c r="E1179" s="118" t="s">
        <v>10371</v>
      </c>
      <c r="F1179" s="98"/>
      <c r="G1179" s="118" t="s">
        <v>206</v>
      </c>
      <c r="H1179" s="118" t="s">
        <v>8215</v>
      </c>
      <c r="I1179" s="101" t="s">
        <v>8215</v>
      </c>
      <c r="J1179" s="101" t="s">
        <v>9494</v>
      </c>
      <c r="K1179" s="107"/>
    </row>
    <row r="1180" ht="15" spans="1:11">
      <c r="A1180" s="98" t="s">
        <v>67</v>
      </c>
      <c r="B1180" s="101" t="s">
        <v>10376</v>
      </c>
      <c r="C1180" s="98" t="s">
        <v>8213</v>
      </c>
      <c r="D1180" s="118" t="s">
        <v>4</v>
      </c>
      <c r="E1180" s="118" t="s">
        <v>9904</v>
      </c>
      <c r="F1180" s="98"/>
      <c r="G1180" s="118" t="s">
        <v>206</v>
      </c>
      <c r="H1180" s="101" t="s">
        <v>8252</v>
      </c>
      <c r="I1180" s="101" t="s">
        <v>8252</v>
      </c>
      <c r="J1180" s="101" t="s">
        <v>9835</v>
      </c>
      <c r="K1180" s="107"/>
    </row>
    <row r="1181" ht="15" spans="1:11">
      <c r="A1181" s="98" t="s">
        <v>67</v>
      </c>
      <c r="B1181" s="101" t="s">
        <v>10377</v>
      </c>
      <c r="C1181" s="98" t="s">
        <v>8213</v>
      </c>
      <c r="D1181" s="118" t="s">
        <v>4</v>
      </c>
      <c r="E1181" s="118" t="s">
        <v>9904</v>
      </c>
      <c r="F1181" s="98"/>
      <c r="G1181" s="118" t="s">
        <v>206</v>
      </c>
      <c r="H1181" s="101" t="s">
        <v>8215</v>
      </c>
      <c r="I1181" s="101" t="s">
        <v>8215</v>
      </c>
      <c r="J1181" s="101" t="s">
        <v>10378</v>
      </c>
      <c r="K1181" s="107"/>
    </row>
    <row r="1182" s="89" customFormat="1" ht="15" spans="1:11">
      <c r="A1182" s="98" t="s">
        <v>67</v>
      </c>
      <c r="B1182" s="106" t="s">
        <v>10379</v>
      </c>
      <c r="C1182" s="106" t="s">
        <v>8293</v>
      </c>
      <c r="D1182" s="106" t="s">
        <v>5</v>
      </c>
      <c r="E1182" s="106" t="s">
        <v>6483</v>
      </c>
      <c r="F1182" s="106"/>
      <c r="G1182" s="106" t="s">
        <v>206</v>
      </c>
      <c r="H1182" s="106" t="s">
        <v>8215</v>
      </c>
      <c r="I1182" s="106" t="s">
        <v>8215</v>
      </c>
      <c r="J1182" s="106" t="s">
        <v>8463</v>
      </c>
      <c r="K1182" s="114" t="s">
        <v>8311</v>
      </c>
    </row>
    <row r="1183" s="89" customFormat="1" ht="15" spans="1:11">
      <c r="A1183" s="98" t="s">
        <v>67</v>
      </c>
      <c r="B1183" s="106" t="s">
        <v>10380</v>
      </c>
      <c r="C1183" s="106" t="s">
        <v>8293</v>
      </c>
      <c r="D1183" s="106" t="s">
        <v>4</v>
      </c>
      <c r="E1183" s="106" t="s">
        <v>10381</v>
      </c>
      <c r="F1183" s="106"/>
      <c r="G1183" s="106" t="s">
        <v>206</v>
      </c>
      <c r="H1183" s="106" t="s">
        <v>9522</v>
      </c>
      <c r="I1183" s="106" t="s">
        <v>9522</v>
      </c>
      <c r="J1183" s="106" t="s">
        <v>8459</v>
      </c>
      <c r="K1183" s="114" t="s">
        <v>8490</v>
      </c>
    </row>
    <row r="1184" s="91" customFormat="1" ht="15" spans="1:11">
      <c r="A1184" s="98" t="s">
        <v>67</v>
      </c>
      <c r="B1184" s="106" t="s">
        <v>10382</v>
      </c>
      <c r="C1184" s="106" t="s">
        <v>8293</v>
      </c>
      <c r="D1184" s="106" t="s">
        <v>4</v>
      </c>
      <c r="E1184" s="106" t="s">
        <v>10383</v>
      </c>
      <c r="F1184" s="106"/>
      <c r="G1184" s="106" t="s">
        <v>206</v>
      </c>
      <c r="H1184" s="106" t="s">
        <v>8215</v>
      </c>
      <c r="I1184" s="106" t="s">
        <v>8215</v>
      </c>
      <c r="J1184" s="106" t="s">
        <v>8316</v>
      </c>
      <c r="K1184" s="114" t="s">
        <v>8308</v>
      </c>
    </row>
    <row r="1185" s="91" customFormat="1" ht="15" spans="1:11">
      <c r="A1185" s="98" t="s">
        <v>67</v>
      </c>
      <c r="B1185" s="106" t="s">
        <v>10384</v>
      </c>
      <c r="C1185" s="106" t="s">
        <v>8293</v>
      </c>
      <c r="D1185" s="106" t="s">
        <v>4</v>
      </c>
      <c r="E1185" s="106" t="s">
        <v>10383</v>
      </c>
      <c r="F1185" s="106"/>
      <c r="G1185" s="106" t="s">
        <v>206</v>
      </c>
      <c r="H1185" s="106" t="s">
        <v>8215</v>
      </c>
      <c r="I1185" s="106" t="s">
        <v>8215</v>
      </c>
      <c r="J1185" s="106" t="s">
        <v>9605</v>
      </c>
      <c r="K1185" s="114" t="s">
        <v>8308</v>
      </c>
    </row>
    <row r="1186" s="91" customFormat="1" ht="15" spans="1:11">
      <c r="A1186" s="98" t="s">
        <v>67</v>
      </c>
      <c r="B1186" s="129" t="s">
        <v>10385</v>
      </c>
      <c r="C1186" s="129" t="s">
        <v>8272</v>
      </c>
      <c r="D1186" s="129" t="s">
        <v>4</v>
      </c>
      <c r="E1186" s="129" t="s">
        <v>10386</v>
      </c>
      <c r="F1186" s="129"/>
      <c r="G1186" s="129" t="s">
        <v>206</v>
      </c>
      <c r="H1186" s="130" t="s">
        <v>9715</v>
      </c>
      <c r="I1186" s="130" t="s">
        <v>9485</v>
      </c>
      <c r="J1186" s="130" t="s">
        <v>8907</v>
      </c>
      <c r="K1186" s="114" t="s">
        <v>10387</v>
      </c>
    </row>
    <row r="1187" s="91" customFormat="1" ht="15" spans="1:11">
      <c r="A1187" s="98" t="s">
        <v>67</v>
      </c>
      <c r="B1187" s="129" t="s">
        <v>10388</v>
      </c>
      <c r="C1187" s="129" t="s">
        <v>8272</v>
      </c>
      <c r="D1187" s="129" t="s">
        <v>5</v>
      </c>
      <c r="E1187" s="129" t="s">
        <v>6690</v>
      </c>
      <c r="F1187" s="129"/>
      <c r="G1187" s="129" t="s">
        <v>206</v>
      </c>
      <c r="H1187" s="130" t="s">
        <v>9715</v>
      </c>
      <c r="I1187" s="130" t="s">
        <v>9485</v>
      </c>
      <c r="J1187" s="130" t="s">
        <v>10389</v>
      </c>
      <c r="K1187" s="114" t="s">
        <v>10387</v>
      </c>
    </row>
    <row r="1188" s="89" customFormat="1" ht="30" spans="1:256">
      <c r="A1188" s="98" t="s">
        <v>67</v>
      </c>
      <c r="B1188" s="99" t="s">
        <v>10390</v>
      </c>
      <c r="C1188" s="99" t="s">
        <v>8272</v>
      </c>
      <c r="D1188" s="99" t="s">
        <v>4</v>
      </c>
      <c r="E1188" s="99" t="s">
        <v>737</v>
      </c>
      <c r="F1188" s="99"/>
      <c r="G1188" s="99" t="s">
        <v>206</v>
      </c>
      <c r="H1188" s="99" t="s">
        <v>8247</v>
      </c>
      <c r="I1188" s="99" t="s">
        <v>8247</v>
      </c>
      <c r="J1188" s="99" t="s">
        <v>10391</v>
      </c>
      <c r="K1188" s="99" t="s">
        <v>10392</v>
      </c>
      <c r="L1188" s="126"/>
      <c r="M1188" s="127"/>
      <c r="N1188" s="127"/>
      <c r="O1188" s="127"/>
      <c r="P1188" s="127"/>
      <c r="Q1188" s="127"/>
      <c r="R1188" s="127"/>
      <c r="S1188" s="127"/>
      <c r="T1188" s="127"/>
      <c r="U1188" s="127"/>
      <c r="V1188" s="127"/>
      <c r="W1188" s="127"/>
      <c r="X1188" s="127"/>
      <c r="Y1188" s="127"/>
      <c r="Z1188" s="127"/>
      <c r="AA1188" s="127"/>
      <c r="AB1188" s="127"/>
      <c r="AC1188" s="127"/>
      <c r="AD1188" s="127"/>
      <c r="AE1188" s="127"/>
      <c r="AF1188" s="127"/>
      <c r="AG1188" s="127"/>
      <c r="AH1188" s="127"/>
      <c r="AI1188" s="127"/>
      <c r="AJ1188" s="127"/>
      <c r="AK1188" s="127"/>
      <c r="AL1188" s="127"/>
      <c r="AM1188" s="127"/>
      <c r="AN1188" s="127"/>
      <c r="AO1188" s="127"/>
      <c r="AP1188" s="127"/>
      <c r="AQ1188" s="127"/>
      <c r="AR1188" s="127"/>
      <c r="AS1188" s="127"/>
      <c r="AT1188" s="127"/>
      <c r="AU1188" s="127"/>
      <c r="AV1188" s="127"/>
      <c r="AW1188" s="127"/>
      <c r="AX1188" s="127"/>
      <c r="AY1188" s="127"/>
      <c r="AZ1188" s="127"/>
      <c r="BA1188" s="127"/>
      <c r="BB1188" s="127"/>
      <c r="BC1188" s="127"/>
      <c r="BD1188" s="127"/>
      <c r="BE1188" s="127"/>
      <c r="BF1188" s="127"/>
      <c r="BG1188" s="127"/>
      <c r="BH1188" s="127"/>
      <c r="BI1188" s="127"/>
      <c r="BJ1188" s="127"/>
      <c r="BK1188" s="127"/>
      <c r="BL1188" s="127"/>
      <c r="BM1188" s="127"/>
      <c r="BN1188" s="127"/>
      <c r="BO1188" s="127"/>
      <c r="BP1188" s="127"/>
      <c r="BQ1188" s="127"/>
      <c r="BR1188" s="127"/>
      <c r="BS1188" s="127"/>
      <c r="BT1188" s="127"/>
      <c r="BU1188" s="127"/>
      <c r="BV1188" s="127"/>
      <c r="BW1188" s="127"/>
      <c r="BX1188" s="127"/>
      <c r="BY1188" s="127"/>
      <c r="BZ1188" s="127"/>
      <c r="CA1188" s="127"/>
      <c r="CB1188" s="127"/>
      <c r="CC1188" s="127"/>
      <c r="CD1188" s="127"/>
      <c r="CE1188" s="127"/>
      <c r="CF1188" s="127"/>
      <c r="CG1188" s="127"/>
      <c r="CH1188" s="127"/>
      <c r="CI1188" s="127"/>
      <c r="CJ1188" s="127"/>
      <c r="CK1188" s="127"/>
      <c r="CL1188" s="127"/>
      <c r="CM1188" s="127"/>
      <c r="CN1188" s="127"/>
      <c r="CO1188" s="127"/>
      <c r="CP1188" s="127"/>
      <c r="CQ1188" s="127"/>
      <c r="CR1188" s="127"/>
      <c r="CS1188" s="127"/>
      <c r="CT1188" s="127"/>
      <c r="CU1188" s="127"/>
      <c r="CV1188" s="127"/>
      <c r="CW1188" s="127"/>
      <c r="CX1188" s="127"/>
      <c r="CY1188" s="127"/>
      <c r="CZ1188" s="127"/>
      <c r="DA1188" s="127"/>
      <c r="DB1188" s="127"/>
      <c r="DC1188" s="127"/>
      <c r="DD1188" s="127"/>
      <c r="DE1188" s="127"/>
      <c r="DF1188" s="127"/>
      <c r="DG1188" s="127"/>
      <c r="DH1188" s="127"/>
      <c r="DI1188" s="127"/>
      <c r="DJ1188" s="127"/>
      <c r="DK1188" s="127"/>
      <c r="DL1188" s="127"/>
      <c r="DM1188" s="127"/>
      <c r="DN1188" s="127"/>
      <c r="DO1188" s="127"/>
      <c r="DP1188" s="127"/>
      <c r="DQ1188" s="127"/>
      <c r="DR1188" s="127"/>
      <c r="DS1188" s="127"/>
      <c r="DT1188" s="127"/>
      <c r="DU1188" s="127"/>
      <c r="DV1188" s="127"/>
      <c r="DW1188" s="127"/>
      <c r="DX1188" s="127"/>
      <c r="DY1188" s="127"/>
      <c r="DZ1188" s="127"/>
      <c r="EA1188" s="127"/>
      <c r="EB1188" s="127"/>
      <c r="EC1188" s="127"/>
      <c r="ED1188" s="127"/>
      <c r="EE1188" s="127"/>
      <c r="EF1188" s="127"/>
      <c r="EG1188" s="127"/>
      <c r="EH1188" s="127"/>
      <c r="EI1188" s="127"/>
      <c r="EJ1188" s="127"/>
      <c r="EK1188" s="127"/>
      <c r="EL1188" s="127"/>
      <c r="EM1188" s="127"/>
      <c r="EN1188" s="127"/>
      <c r="EO1188" s="127"/>
      <c r="EP1188" s="127"/>
      <c r="EQ1188" s="127"/>
      <c r="ER1188" s="127"/>
      <c r="ES1188" s="127"/>
      <c r="ET1188" s="127"/>
      <c r="EU1188" s="127"/>
      <c r="EV1188" s="127"/>
      <c r="EW1188" s="127"/>
      <c r="EX1188" s="127"/>
      <c r="EY1188" s="127"/>
      <c r="EZ1188" s="127"/>
      <c r="FA1188" s="127"/>
      <c r="FB1188" s="127"/>
      <c r="FC1188" s="127"/>
      <c r="FD1188" s="127"/>
      <c r="FE1188" s="127"/>
      <c r="FF1188" s="127"/>
      <c r="FG1188" s="127"/>
      <c r="FH1188" s="127"/>
      <c r="FI1188" s="127"/>
      <c r="FJ1188" s="127"/>
      <c r="FK1188" s="127"/>
      <c r="FL1188" s="127"/>
      <c r="FM1188" s="127"/>
      <c r="FN1188" s="127"/>
      <c r="FO1188" s="127"/>
      <c r="FP1188" s="127"/>
      <c r="FQ1188" s="127"/>
      <c r="FR1188" s="127"/>
      <c r="FS1188" s="127"/>
      <c r="FT1188" s="127"/>
      <c r="FU1188" s="127"/>
      <c r="FV1188" s="127"/>
      <c r="FW1188" s="127"/>
      <c r="FX1188" s="127"/>
      <c r="FY1188" s="127"/>
      <c r="FZ1188" s="127"/>
      <c r="GA1188" s="127"/>
      <c r="GB1188" s="127"/>
      <c r="GC1188" s="127"/>
      <c r="GD1188" s="127"/>
      <c r="GE1188" s="127"/>
      <c r="GF1188" s="127"/>
      <c r="GG1188" s="127"/>
      <c r="GH1188" s="127"/>
      <c r="GI1188" s="127"/>
      <c r="GJ1188" s="127"/>
      <c r="GK1188" s="127"/>
      <c r="GL1188" s="127"/>
      <c r="GM1188" s="127"/>
      <c r="GN1188" s="127"/>
      <c r="GO1188" s="127"/>
      <c r="GP1188" s="127"/>
      <c r="GQ1188" s="127"/>
      <c r="GR1188" s="127"/>
      <c r="GS1188" s="127"/>
      <c r="GT1188" s="127"/>
      <c r="GU1188" s="127"/>
      <c r="GV1188" s="127"/>
      <c r="GW1188" s="127"/>
      <c r="GX1188" s="127"/>
      <c r="GY1188" s="127"/>
      <c r="GZ1188" s="127"/>
      <c r="HA1188" s="127"/>
      <c r="HB1188" s="127"/>
      <c r="HC1188" s="127"/>
      <c r="HD1188" s="127"/>
      <c r="HE1188" s="127"/>
      <c r="HF1188" s="127"/>
      <c r="HG1188" s="127"/>
      <c r="HH1188" s="127"/>
      <c r="HI1188" s="127"/>
      <c r="HJ1188" s="127"/>
      <c r="HK1188" s="127"/>
      <c r="HL1188" s="127"/>
      <c r="HM1188" s="127"/>
      <c r="HN1188" s="127"/>
      <c r="HO1188" s="127"/>
      <c r="HP1188" s="127"/>
      <c r="HQ1188" s="127"/>
      <c r="HR1188" s="127"/>
      <c r="HS1188" s="127"/>
      <c r="HT1188" s="127"/>
      <c r="HU1188" s="127"/>
      <c r="HV1188" s="127"/>
      <c r="HW1188" s="127"/>
      <c r="HX1188" s="127"/>
      <c r="HY1188" s="127"/>
      <c r="HZ1188" s="127"/>
      <c r="IA1188" s="127"/>
      <c r="IB1188" s="127"/>
      <c r="IC1188" s="127"/>
      <c r="ID1188" s="127"/>
      <c r="IE1188" s="127"/>
      <c r="IF1188" s="127"/>
      <c r="IG1188" s="127"/>
      <c r="IH1188" s="127"/>
      <c r="II1188" s="127"/>
      <c r="IJ1188" s="127"/>
      <c r="IK1188" s="127"/>
      <c r="IL1188" s="127"/>
      <c r="IM1188" s="127"/>
      <c r="IN1188" s="127"/>
      <c r="IO1188" s="127"/>
      <c r="IP1188" s="127"/>
      <c r="IQ1188" s="127"/>
      <c r="IR1188" s="127"/>
      <c r="IS1188" s="127"/>
      <c r="IT1188" s="127"/>
      <c r="IU1188" s="127"/>
      <c r="IV1188" s="127"/>
    </row>
    <row r="1189" ht="15" spans="1:11">
      <c r="A1189" s="49" t="s">
        <v>77</v>
      </c>
      <c r="B1189" s="101" t="s">
        <v>10393</v>
      </c>
      <c r="C1189" s="98" t="s">
        <v>8514</v>
      </c>
      <c r="D1189" s="49" t="s">
        <v>4</v>
      </c>
      <c r="E1189" s="49" t="s">
        <v>10394</v>
      </c>
      <c r="F1189" s="49"/>
      <c r="G1189" s="118" t="s">
        <v>206</v>
      </c>
      <c r="H1189" s="100" t="s">
        <v>8215</v>
      </c>
      <c r="I1189" s="49"/>
      <c r="J1189" s="49" t="s">
        <v>8459</v>
      </c>
      <c r="K1189" s="107"/>
    </row>
    <row r="1190" ht="15" spans="1:11">
      <c r="A1190" s="49" t="s">
        <v>77</v>
      </c>
      <c r="B1190" s="101" t="s">
        <v>10395</v>
      </c>
      <c r="C1190" s="98" t="s">
        <v>8514</v>
      </c>
      <c r="D1190" s="49" t="s">
        <v>4</v>
      </c>
      <c r="E1190" s="49" t="s">
        <v>10394</v>
      </c>
      <c r="F1190" s="137"/>
      <c r="G1190" s="118" t="s">
        <v>206</v>
      </c>
      <c r="H1190" s="49"/>
      <c r="I1190" s="137"/>
      <c r="J1190" s="49"/>
      <c r="K1190" s="107"/>
    </row>
    <row r="1191" ht="15" spans="1:11">
      <c r="A1191" s="49" t="s">
        <v>77</v>
      </c>
      <c r="B1191" s="101" t="s">
        <v>10396</v>
      </c>
      <c r="C1191" s="98" t="s">
        <v>8514</v>
      </c>
      <c r="D1191" s="49" t="s">
        <v>4</v>
      </c>
      <c r="E1191" s="49" t="s">
        <v>10394</v>
      </c>
      <c r="F1191" s="49"/>
      <c r="G1191" s="118" t="s">
        <v>206</v>
      </c>
      <c r="H1191" s="100" t="s">
        <v>8215</v>
      </c>
      <c r="I1191" s="49"/>
      <c r="J1191" s="49" t="s">
        <v>8459</v>
      </c>
      <c r="K1191" s="107"/>
    </row>
    <row r="1192" ht="15" spans="1:11">
      <c r="A1192" s="49" t="s">
        <v>77</v>
      </c>
      <c r="B1192" s="101" t="s">
        <v>10397</v>
      </c>
      <c r="C1192" s="98" t="s">
        <v>9590</v>
      </c>
      <c r="D1192" s="49" t="s">
        <v>4</v>
      </c>
      <c r="E1192" s="49" t="s">
        <v>10394</v>
      </c>
      <c r="F1192" s="49"/>
      <c r="G1192" s="118" t="s">
        <v>206</v>
      </c>
      <c r="H1192" s="100"/>
      <c r="I1192" s="49"/>
      <c r="J1192" s="49" t="s">
        <v>9490</v>
      </c>
      <c r="K1192" s="107"/>
    </row>
    <row r="1193" ht="15" spans="1:11">
      <c r="A1193" s="49" t="s">
        <v>77</v>
      </c>
      <c r="B1193" s="101" t="s">
        <v>10398</v>
      </c>
      <c r="C1193" s="98" t="s">
        <v>8514</v>
      </c>
      <c r="D1193" s="137" t="s">
        <v>4</v>
      </c>
      <c r="E1193" s="137" t="s">
        <v>787</v>
      </c>
      <c r="F1193" s="137"/>
      <c r="G1193" s="118" t="s">
        <v>206</v>
      </c>
      <c r="H1193" s="49"/>
      <c r="I1193" s="137"/>
      <c r="J1193" s="49"/>
      <c r="K1193" s="107"/>
    </row>
    <row r="1194" ht="15" spans="1:11">
      <c r="A1194" s="49" t="s">
        <v>77</v>
      </c>
      <c r="B1194" s="101" t="s">
        <v>10399</v>
      </c>
      <c r="C1194" s="98" t="s">
        <v>8514</v>
      </c>
      <c r="D1194" s="49" t="s">
        <v>5</v>
      </c>
      <c r="E1194" s="49" t="s">
        <v>10400</v>
      </c>
      <c r="F1194" s="49"/>
      <c r="G1194" s="49" t="s">
        <v>206</v>
      </c>
      <c r="H1194" s="49"/>
      <c r="I1194" s="137"/>
      <c r="J1194" s="49" t="s">
        <v>9337</v>
      </c>
      <c r="K1194" s="107"/>
    </row>
    <row r="1195" ht="15" spans="1:11">
      <c r="A1195" s="49" t="s">
        <v>70</v>
      </c>
      <c r="B1195" s="101" t="s">
        <v>10401</v>
      </c>
      <c r="C1195" s="98" t="s">
        <v>8514</v>
      </c>
      <c r="D1195" s="101" t="s">
        <v>4</v>
      </c>
      <c r="E1195" s="49" t="s">
        <v>10402</v>
      </c>
      <c r="F1195" s="98"/>
      <c r="G1195" s="98" t="s">
        <v>117</v>
      </c>
      <c r="H1195" s="100" t="s">
        <v>10403</v>
      </c>
      <c r="I1195" s="100" t="s">
        <v>10403</v>
      </c>
      <c r="J1195" s="100" t="s">
        <v>9232</v>
      </c>
      <c r="K1195" s="107"/>
    </row>
    <row r="1196" ht="15" spans="1:11">
      <c r="A1196" s="49" t="s">
        <v>70</v>
      </c>
      <c r="B1196" s="101" t="s">
        <v>10404</v>
      </c>
      <c r="C1196" s="98" t="s">
        <v>8514</v>
      </c>
      <c r="D1196" s="49"/>
      <c r="E1196" s="49" t="s">
        <v>10405</v>
      </c>
      <c r="F1196" s="49"/>
      <c r="G1196" s="49" t="s">
        <v>117</v>
      </c>
      <c r="H1196" s="49" t="s">
        <v>10406</v>
      </c>
      <c r="I1196" s="137" t="s">
        <v>8734</v>
      </c>
      <c r="J1196" s="49" t="s">
        <v>10407</v>
      </c>
      <c r="K1196" s="107"/>
    </row>
    <row r="1197" ht="30" spans="1:11">
      <c r="A1197" s="49" t="s">
        <v>70</v>
      </c>
      <c r="B1197" s="101" t="s">
        <v>10408</v>
      </c>
      <c r="C1197" s="98" t="s">
        <v>8514</v>
      </c>
      <c r="D1197" s="101" t="s">
        <v>5</v>
      </c>
      <c r="E1197" s="49" t="s">
        <v>10409</v>
      </c>
      <c r="F1197" s="98"/>
      <c r="G1197" s="98" t="s">
        <v>117</v>
      </c>
      <c r="H1197" s="100" t="s">
        <v>10406</v>
      </c>
      <c r="I1197" s="100" t="s">
        <v>8734</v>
      </c>
      <c r="J1197" s="100" t="s">
        <v>10410</v>
      </c>
      <c r="K1197" s="107"/>
    </row>
    <row r="1198" ht="30" spans="1:11">
      <c r="A1198" s="49" t="s">
        <v>70</v>
      </c>
      <c r="B1198" s="101" t="s">
        <v>10411</v>
      </c>
      <c r="C1198" s="98" t="s">
        <v>8514</v>
      </c>
      <c r="D1198" s="101" t="s">
        <v>5</v>
      </c>
      <c r="E1198" s="49" t="s">
        <v>10412</v>
      </c>
      <c r="F1198" s="98"/>
      <c r="G1198" s="98" t="s">
        <v>117</v>
      </c>
      <c r="H1198" s="100" t="s">
        <v>10406</v>
      </c>
      <c r="I1198" s="100" t="s">
        <v>8215</v>
      </c>
      <c r="J1198" s="49" t="s">
        <v>9035</v>
      </c>
      <c r="K1198" s="107"/>
    </row>
    <row r="1199" ht="15" spans="1:11">
      <c r="A1199" s="49" t="s">
        <v>70</v>
      </c>
      <c r="B1199" s="101" t="s">
        <v>10413</v>
      </c>
      <c r="C1199" s="98" t="s">
        <v>8514</v>
      </c>
      <c r="D1199" s="101" t="s">
        <v>4</v>
      </c>
      <c r="E1199" s="49" t="s">
        <v>10414</v>
      </c>
      <c r="F1199" s="98"/>
      <c r="G1199" s="98" t="s">
        <v>117</v>
      </c>
      <c r="H1199" s="49" t="s">
        <v>8215</v>
      </c>
      <c r="I1199" s="100" t="s">
        <v>8734</v>
      </c>
      <c r="J1199" s="49" t="s">
        <v>9035</v>
      </c>
      <c r="K1199" s="107"/>
    </row>
    <row r="1200" ht="15" spans="1:11">
      <c r="A1200" s="49" t="s">
        <v>70</v>
      </c>
      <c r="B1200" s="101" t="s">
        <v>10415</v>
      </c>
      <c r="C1200" s="98" t="s">
        <v>8514</v>
      </c>
      <c r="D1200" s="101" t="s">
        <v>4</v>
      </c>
      <c r="E1200" s="49" t="s">
        <v>10414</v>
      </c>
      <c r="F1200" s="98"/>
      <c r="G1200" s="98" t="s">
        <v>117</v>
      </c>
      <c r="H1200" s="49" t="s">
        <v>8215</v>
      </c>
      <c r="I1200" s="100" t="s">
        <v>8215</v>
      </c>
      <c r="J1200" s="49" t="s">
        <v>10416</v>
      </c>
      <c r="K1200" s="107"/>
    </row>
    <row r="1201" ht="15" spans="1:11">
      <c r="A1201" s="49" t="s">
        <v>70</v>
      </c>
      <c r="B1201" s="101" t="s">
        <v>10417</v>
      </c>
      <c r="C1201" s="98" t="s">
        <v>8514</v>
      </c>
      <c r="D1201" s="101" t="s">
        <v>4</v>
      </c>
      <c r="E1201" s="49" t="s">
        <v>10418</v>
      </c>
      <c r="F1201" s="98"/>
      <c r="G1201" s="98" t="s">
        <v>117</v>
      </c>
      <c r="H1201" s="49" t="s">
        <v>8215</v>
      </c>
      <c r="I1201" s="100" t="s">
        <v>8215</v>
      </c>
      <c r="J1201" s="49" t="s">
        <v>10419</v>
      </c>
      <c r="K1201" s="107"/>
    </row>
    <row r="1202" ht="15" spans="1:11">
      <c r="A1202" s="49" t="s">
        <v>70</v>
      </c>
      <c r="B1202" s="101" t="s">
        <v>10420</v>
      </c>
      <c r="C1202" s="98" t="s">
        <v>8514</v>
      </c>
      <c r="D1202" s="101" t="s">
        <v>4</v>
      </c>
      <c r="E1202" s="49" t="s">
        <v>10421</v>
      </c>
      <c r="F1202" s="98"/>
      <c r="G1202" s="98" t="s">
        <v>117</v>
      </c>
      <c r="H1202" s="49" t="s">
        <v>8215</v>
      </c>
      <c r="I1202" s="100" t="s">
        <v>8215</v>
      </c>
      <c r="J1202" s="49" t="s">
        <v>10422</v>
      </c>
      <c r="K1202" s="107"/>
    </row>
    <row r="1203" ht="45" spans="1:11">
      <c r="A1203" s="49" t="s">
        <v>70</v>
      </c>
      <c r="B1203" s="101" t="s">
        <v>10423</v>
      </c>
      <c r="C1203" s="98" t="s">
        <v>8514</v>
      </c>
      <c r="D1203" s="101" t="s">
        <v>4</v>
      </c>
      <c r="E1203" s="49" t="s">
        <v>10424</v>
      </c>
      <c r="F1203" s="98"/>
      <c r="G1203" s="98" t="s">
        <v>117</v>
      </c>
      <c r="H1203" s="100" t="s">
        <v>10406</v>
      </c>
      <c r="I1203" s="100" t="s">
        <v>10406</v>
      </c>
      <c r="J1203" s="49" t="s">
        <v>10425</v>
      </c>
      <c r="K1203" s="107"/>
    </row>
    <row r="1204" s="93" customFormat="1" ht="30" spans="1:256">
      <c r="A1204" s="99" t="s">
        <v>70</v>
      </c>
      <c r="B1204" s="99" t="s">
        <v>10426</v>
      </c>
      <c r="C1204" s="99" t="s">
        <v>8272</v>
      </c>
      <c r="D1204" s="99" t="s">
        <v>5</v>
      </c>
      <c r="E1204" s="99" t="s">
        <v>6777</v>
      </c>
      <c r="F1204" s="99"/>
      <c r="G1204" s="99" t="s">
        <v>117</v>
      </c>
      <c r="H1204" s="99" t="s">
        <v>8215</v>
      </c>
      <c r="I1204" s="99" t="s">
        <v>8215</v>
      </c>
      <c r="J1204" s="99" t="s">
        <v>8463</v>
      </c>
      <c r="K1204" s="99" t="s">
        <v>10066</v>
      </c>
      <c r="L1204" s="126"/>
      <c r="M1204" s="127"/>
      <c r="N1204" s="127"/>
      <c r="O1204" s="127"/>
      <c r="P1204" s="127"/>
      <c r="Q1204" s="127"/>
      <c r="R1204" s="127"/>
      <c r="S1204" s="127"/>
      <c r="T1204" s="127"/>
      <c r="U1204" s="127"/>
      <c r="V1204" s="127"/>
      <c r="W1204" s="127"/>
      <c r="X1204" s="127"/>
      <c r="Y1204" s="127"/>
      <c r="Z1204" s="127"/>
      <c r="AA1204" s="127"/>
      <c r="AB1204" s="127"/>
      <c r="AC1204" s="127"/>
      <c r="AD1204" s="127"/>
      <c r="AE1204" s="127"/>
      <c r="AF1204" s="127"/>
      <c r="AG1204" s="127"/>
      <c r="AH1204" s="127"/>
      <c r="AI1204" s="127"/>
      <c r="AJ1204" s="127"/>
      <c r="AK1204" s="127"/>
      <c r="AL1204" s="127"/>
      <c r="AM1204" s="127"/>
      <c r="AN1204" s="127"/>
      <c r="AO1204" s="127"/>
      <c r="AP1204" s="127"/>
      <c r="AQ1204" s="127"/>
      <c r="AR1204" s="127"/>
      <c r="AS1204" s="127"/>
      <c r="AT1204" s="127"/>
      <c r="AU1204" s="127"/>
      <c r="AV1204" s="127"/>
      <c r="AW1204" s="127"/>
      <c r="AX1204" s="127"/>
      <c r="AY1204" s="127"/>
      <c r="AZ1204" s="127"/>
      <c r="BA1204" s="127"/>
      <c r="BB1204" s="127"/>
      <c r="BC1204" s="127"/>
      <c r="BD1204" s="127"/>
      <c r="BE1204" s="127"/>
      <c r="BF1204" s="127"/>
      <c r="BG1204" s="127"/>
      <c r="BH1204" s="127"/>
      <c r="BI1204" s="127"/>
      <c r="BJ1204" s="127"/>
      <c r="BK1204" s="127"/>
      <c r="BL1204" s="127"/>
      <c r="BM1204" s="127"/>
      <c r="BN1204" s="127"/>
      <c r="BO1204" s="127"/>
      <c r="BP1204" s="127"/>
      <c r="BQ1204" s="127"/>
      <c r="BR1204" s="127"/>
      <c r="BS1204" s="127"/>
      <c r="BT1204" s="127"/>
      <c r="BU1204" s="127"/>
      <c r="BV1204" s="127"/>
      <c r="BW1204" s="127"/>
      <c r="BX1204" s="127"/>
      <c r="BY1204" s="127"/>
      <c r="BZ1204" s="127"/>
      <c r="CA1204" s="127"/>
      <c r="CB1204" s="127"/>
      <c r="CC1204" s="127"/>
      <c r="CD1204" s="127"/>
      <c r="CE1204" s="127"/>
      <c r="CF1204" s="127"/>
      <c r="CG1204" s="127"/>
      <c r="CH1204" s="127"/>
      <c r="CI1204" s="127"/>
      <c r="CJ1204" s="127"/>
      <c r="CK1204" s="127"/>
      <c r="CL1204" s="127"/>
      <c r="CM1204" s="127"/>
      <c r="CN1204" s="127"/>
      <c r="CO1204" s="127"/>
      <c r="CP1204" s="127"/>
      <c r="CQ1204" s="127"/>
      <c r="CR1204" s="127"/>
      <c r="CS1204" s="127"/>
      <c r="CT1204" s="127"/>
      <c r="CU1204" s="127"/>
      <c r="CV1204" s="127"/>
      <c r="CW1204" s="127"/>
      <c r="CX1204" s="127"/>
      <c r="CY1204" s="127"/>
      <c r="CZ1204" s="127"/>
      <c r="DA1204" s="127"/>
      <c r="DB1204" s="127"/>
      <c r="DC1204" s="127"/>
      <c r="DD1204" s="127"/>
      <c r="DE1204" s="127"/>
      <c r="DF1204" s="127"/>
      <c r="DG1204" s="127"/>
      <c r="DH1204" s="127"/>
      <c r="DI1204" s="127"/>
      <c r="DJ1204" s="127"/>
      <c r="DK1204" s="127"/>
      <c r="DL1204" s="127"/>
      <c r="DM1204" s="127"/>
      <c r="DN1204" s="127"/>
      <c r="DO1204" s="127"/>
      <c r="DP1204" s="127"/>
      <c r="DQ1204" s="127"/>
      <c r="DR1204" s="127"/>
      <c r="DS1204" s="127"/>
      <c r="DT1204" s="127"/>
      <c r="DU1204" s="127"/>
      <c r="DV1204" s="127"/>
      <c r="DW1204" s="127"/>
      <c r="DX1204" s="127"/>
      <c r="DY1204" s="127"/>
      <c r="DZ1204" s="127"/>
      <c r="EA1204" s="127"/>
      <c r="EB1204" s="127"/>
      <c r="EC1204" s="127"/>
      <c r="ED1204" s="127"/>
      <c r="EE1204" s="127"/>
      <c r="EF1204" s="127"/>
      <c r="EG1204" s="127"/>
      <c r="EH1204" s="127"/>
      <c r="EI1204" s="127"/>
      <c r="EJ1204" s="127"/>
      <c r="EK1204" s="127"/>
      <c r="EL1204" s="127"/>
      <c r="EM1204" s="127"/>
      <c r="EN1204" s="127"/>
      <c r="EO1204" s="127"/>
      <c r="EP1204" s="127"/>
      <c r="EQ1204" s="127"/>
      <c r="ER1204" s="127"/>
      <c r="ES1204" s="127"/>
      <c r="ET1204" s="127"/>
      <c r="EU1204" s="127"/>
      <c r="EV1204" s="127"/>
      <c r="EW1204" s="127"/>
      <c r="EX1204" s="127"/>
      <c r="EY1204" s="127"/>
      <c r="EZ1204" s="127"/>
      <c r="FA1204" s="127"/>
      <c r="FB1204" s="127"/>
      <c r="FC1204" s="127"/>
      <c r="FD1204" s="127"/>
      <c r="FE1204" s="127"/>
      <c r="FF1204" s="127"/>
      <c r="FG1204" s="127"/>
      <c r="FH1204" s="127"/>
      <c r="FI1204" s="127"/>
      <c r="FJ1204" s="127"/>
      <c r="FK1204" s="127"/>
      <c r="FL1204" s="127"/>
      <c r="FM1204" s="127"/>
      <c r="FN1204" s="127"/>
      <c r="FO1204" s="127"/>
      <c r="FP1204" s="127"/>
      <c r="FQ1204" s="127"/>
      <c r="FR1204" s="127"/>
      <c r="FS1204" s="127"/>
      <c r="FT1204" s="127"/>
      <c r="FU1204" s="127"/>
      <c r="FV1204" s="127"/>
      <c r="FW1204" s="127"/>
      <c r="FX1204" s="127"/>
      <c r="FY1204" s="127"/>
      <c r="FZ1204" s="127"/>
      <c r="GA1204" s="127"/>
      <c r="GB1204" s="127"/>
      <c r="GC1204" s="127"/>
      <c r="GD1204" s="127"/>
      <c r="GE1204" s="127"/>
      <c r="GF1204" s="127"/>
      <c r="GG1204" s="127"/>
      <c r="GH1204" s="127"/>
      <c r="GI1204" s="127"/>
      <c r="GJ1204" s="127"/>
      <c r="GK1204" s="127"/>
      <c r="GL1204" s="127"/>
      <c r="GM1204" s="127"/>
      <c r="GN1204" s="127"/>
      <c r="GO1204" s="127"/>
      <c r="GP1204" s="127"/>
      <c r="GQ1204" s="127"/>
      <c r="GR1204" s="127"/>
      <c r="GS1204" s="127"/>
      <c r="GT1204" s="127"/>
      <c r="GU1204" s="127"/>
      <c r="GV1204" s="127"/>
      <c r="GW1204" s="127"/>
      <c r="GX1204" s="127"/>
      <c r="GY1204" s="127"/>
      <c r="GZ1204" s="127"/>
      <c r="HA1204" s="127"/>
      <c r="HB1204" s="127"/>
      <c r="HC1204" s="127"/>
      <c r="HD1204" s="127"/>
      <c r="HE1204" s="127"/>
      <c r="HF1204" s="127"/>
      <c r="HG1204" s="127"/>
      <c r="HH1204" s="127"/>
      <c r="HI1204" s="127"/>
      <c r="HJ1204" s="127"/>
      <c r="HK1204" s="127"/>
      <c r="HL1204" s="127"/>
      <c r="HM1204" s="127"/>
      <c r="HN1204" s="127"/>
      <c r="HO1204" s="127"/>
      <c r="HP1204" s="127"/>
      <c r="HQ1204" s="127"/>
      <c r="HR1204" s="127"/>
      <c r="HS1204" s="127"/>
      <c r="HT1204" s="127"/>
      <c r="HU1204" s="127"/>
      <c r="HV1204" s="127"/>
      <c r="HW1204" s="127"/>
      <c r="HX1204" s="127"/>
      <c r="HY1204" s="127"/>
      <c r="HZ1204" s="127"/>
      <c r="IA1204" s="127"/>
      <c r="IB1204" s="127"/>
      <c r="IC1204" s="127"/>
      <c r="ID1204" s="127"/>
      <c r="IE1204" s="127"/>
      <c r="IF1204" s="127"/>
      <c r="IG1204" s="127"/>
      <c r="IH1204" s="127"/>
      <c r="II1204" s="127"/>
      <c r="IJ1204" s="127"/>
      <c r="IK1204" s="127"/>
      <c r="IL1204" s="127"/>
      <c r="IM1204" s="127"/>
      <c r="IN1204" s="127"/>
      <c r="IO1204" s="127"/>
      <c r="IP1204" s="127"/>
      <c r="IQ1204" s="127"/>
      <c r="IR1204" s="127"/>
      <c r="IS1204" s="127"/>
      <c r="IT1204" s="127"/>
      <c r="IU1204" s="127"/>
      <c r="IV1204" s="127"/>
    </row>
    <row r="1205" ht="30" spans="1:11">
      <c r="A1205" s="49" t="s">
        <v>70</v>
      </c>
      <c r="B1205" s="101" t="s">
        <v>10427</v>
      </c>
      <c r="C1205" s="98" t="s">
        <v>8514</v>
      </c>
      <c r="D1205" s="101" t="s">
        <v>5</v>
      </c>
      <c r="E1205" s="49" t="s">
        <v>10428</v>
      </c>
      <c r="F1205" s="98"/>
      <c r="G1205" s="98" t="s">
        <v>117</v>
      </c>
      <c r="H1205" s="100" t="s">
        <v>10406</v>
      </c>
      <c r="I1205" s="100" t="s">
        <v>8734</v>
      </c>
      <c r="J1205" s="49" t="s">
        <v>10245</v>
      </c>
      <c r="K1205" s="107"/>
    </row>
    <row r="1206" ht="15" spans="1:11">
      <c r="A1206" s="49" t="s">
        <v>70</v>
      </c>
      <c r="B1206" s="101" t="s">
        <v>10429</v>
      </c>
      <c r="C1206" s="98" t="s">
        <v>8514</v>
      </c>
      <c r="D1206" s="138"/>
      <c r="E1206" s="98" t="s">
        <v>10430</v>
      </c>
      <c r="F1206" s="138"/>
      <c r="G1206" s="98" t="s">
        <v>117</v>
      </c>
      <c r="H1206" s="49" t="s">
        <v>8215</v>
      </c>
      <c r="I1206" s="137" t="s">
        <v>8215</v>
      </c>
      <c r="J1206" s="49"/>
      <c r="K1206" s="107"/>
    </row>
    <row r="1207" ht="15" spans="1:11">
      <c r="A1207" s="49" t="s">
        <v>70</v>
      </c>
      <c r="B1207" s="101" t="s">
        <v>10431</v>
      </c>
      <c r="C1207" s="98" t="s">
        <v>8514</v>
      </c>
      <c r="D1207" s="101" t="s">
        <v>4</v>
      </c>
      <c r="E1207" s="98" t="s">
        <v>10430</v>
      </c>
      <c r="F1207" s="98"/>
      <c r="G1207" s="98" t="s">
        <v>117</v>
      </c>
      <c r="H1207" s="49" t="s">
        <v>8215</v>
      </c>
      <c r="I1207" s="100" t="s">
        <v>8215</v>
      </c>
      <c r="J1207" s="49" t="s">
        <v>9317</v>
      </c>
      <c r="K1207" s="107"/>
    </row>
    <row r="1208" ht="15" spans="1:11">
      <c r="A1208" s="49" t="s">
        <v>70</v>
      </c>
      <c r="B1208" s="101" t="s">
        <v>10432</v>
      </c>
      <c r="C1208" s="98" t="s">
        <v>8514</v>
      </c>
      <c r="D1208" s="98"/>
      <c r="E1208" s="98" t="s">
        <v>4</v>
      </c>
      <c r="F1208" s="49" t="s">
        <v>10430</v>
      </c>
      <c r="G1208" s="98" t="s">
        <v>117</v>
      </c>
      <c r="H1208" s="100" t="s">
        <v>8215</v>
      </c>
      <c r="I1208" s="98" t="s">
        <v>8215</v>
      </c>
      <c r="J1208" s="49">
        <v>600</v>
      </c>
      <c r="K1208" s="107"/>
    </row>
    <row r="1209" ht="15" spans="1:11">
      <c r="A1209" s="49" t="s">
        <v>70</v>
      </c>
      <c r="B1209" s="101" t="s">
        <v>10433</v>
      </c>
      <c r="C1209" s="98" t="s">
        <v>8514</v>
      </c>
      <c r="D1209" s="101" t="s">
        <v>4</v>
      </c>
      <c r="E1209" s="98" t="s">
        <v>10430</v>
      </c>
      <c r="F1209" s="98"/>
      <c r="G1209" s="98" t="s">
        <v>117</v>
      </c>
      <c r="H1209" s="49" t="s">
        <v>8215</v>
      </c>
      <c r="I1209" s="100" t="s">
        <v>8734</v>
      </c>
      <c r="J1209" s="49" t="s">
        <v>10434</v>
      </c>
      <c r="K1209" s="107"/>
    </row>
    <row r="1210" ht="15" spans="1:11">
      <c r="A1210" s="49" t="s">
        <v>70</v>
      </c>
      <c r="B1210" s="101" t="s">
        <v>10435</v>
      </c>
      <c r="C1210" s="98" t="s">
        <v>8514</v>
      </c>
      <c r="D1210" s="101" t="s">
        <v>4</v>
      </c>
      <c r="E1210" s="98" t="s">
        <v>10430</v>
      </c>
      <c r="F1210" s="98"/>
      <c r="G1210" s="98" t="s">
        <v>117</v>
      </c>
      <c r="H1210" s="49" t="s">
        <v>8215</v>
      </c>
      <c r="I1210" s="100" t="s">
        <v>8215</v>
      </c>
      <c r="J1210" s="49" t="s">
        <v>10436</v>
      </c>
      <c r="K1210" s="107"/>
    </row>
    <row r="1211" ht="15" spans="1:11">
      <c r="A1211" s="49" t="s">
        <v>70</v>
      </c>
      <c r="B1211" s="101" t="s">
        <v>10437</v>
      </c>
      <c r="C1211" s="98" t="s">
        <v>8514</v>
      </c>
      <c r="D1211" s="101" t="s">
        <v>4</v>
      </c>
      <c r="E1211" s="98" t="s">
        <v>10430</v>
      </c>
      <c r="F1211" s="98"/>
      <c r="G1211" s="98" t="s">
        <v>117</v>
      </c>
      <c r="H1211" s="49" t="s">
        <v>8215</v>
      </c>
      <c r="I1211" s="100" t="s">
        <v>8215</v>
      </c>
      <c r="J1211" s="49" t="s">
        <v>10436</v>
      </c>
      <c r="K1211" s="107"/>
    </row>
    <row r="1212" ht="15" spans="1:11">
      <c r="A1212" s="49" t="s">
        <v>70</v>
      </c>
      <c r="B1212" s="101" t="s">
        <v>10438</v>
      </c>
      <c r="C1212" s="98" t="s">
        <v>9590</v>
      </c>
      <c r="D1212" s="101" t="s">
        <v>5</v>
      </c>
      <c r="E1212" s="98" t="s">
        <v>10439</v>
      </c>
      <c r="F1212" s="98"/>
      <c r="G1212" s="98" t="s">
        <v>117</v>
      </c>
      <c r="H1212" s="49"/>
      <c r="I1212" s="100"/>
      <c r="J1212" s="49" t="s">
        <v>8667</v>
      </c>
      <c r="K1212" s="107"/>
    </row>
    <row r="1213" ht="45" spans="1:11">
      <c r="A1213" s="49" t="s">
        <v>70</v>
      </c>
      <c r="B1213" s="101" t="s">
        <v>10440</v>
      </c>
      <c r="C1213" s="98" t="s">
        <v>8514</v>
      </c>
      <c r="D1213" s="101" t="s">
        <v>5</v>
      </c>
      <c r="E1213" s="98" t="s">
        <v>10441</v>
      </c>
      <c r="F1213" s="98"/>
      <c r="G1213" s="98" t="s">
        <v>117</v>
      </c>
      <c r="H1213" s="49" t="s">
        <v>10406</v>
      </c>
      <c r="I1213" s="100" t="s">
        <v>10406</v>
      </c>
      <c r="J1213" s="49" t="s">
        <v>8220</v>
      </c>
      <c r="K1213" s="107"/>
    </row>
    <row r="1214" ht="15" spans="1:11">
      <c r="A1214" s="49" t="s">
        <v>70</v>
      </c>
      <c r="B1214" s="101" t="s">
        <v>10442</v>
      </c>
      <c r="C1214" s="98" t="s">
        <v>8514</v>
      </c>
      <c r="D1214" s="101" t="s">
        <v>4</v>
      </c>
      <c r="E1214" s="98" t="s">
        <v>10443</v>
      </c>
      <c r="F1214" s="98"/>
      <c r="G1214" s="98" t="s">
        <v>117</v>
      </c>
      <c r="H1214" s="49" t="s">
        <v>8215</v>
      </c>
      <c r="I1214" s="100" t="s">
        <v>8734</v>
      </c>
      <c r="J1214" s="49">
        <v>6.5</v>
      </c>
      <c r="K1214" s="107"/>
    </row>
    <row r="1215" ht="15" spans="1:11">
      <c r="A1215" s="49" t="s">
        <v>70</v>
      </c>
      <c r="B1215" s="101" t="s">
        <v>10444</v>
      </c>
      <c r="C1215" s="98" t="s">
        <v>8514</v>
      </c>
      <c r="D1215" s="101" t="s">
        <v>4</v>
      </c>
      <c r="E1215" s="98" t="s">
        <v>10443</v>
      </c>
      <c r="F1215" s="98"/>
      <c r="G1215" s="98" t="s">
        <v>117</v>
      </c>
      <c r="H1215" s="49" t="s">
        <v>8215</v>
      </c>
      <c r="I1215" s="100" t="s">
        <v>8215</v>
      </c>
      <c r="J1215" s="49">
        <v>3</v>
      </c>
      <c r="K1215" s="107"/>
    </row>
    <row r="1216" ht="15" spans="1:11">
      <c r="A1216" s="49" t="s">
        <v>70</v>
      </c>
      <c r="B1216" s="101" t="s">
        <v>10445</v>
      </c>
      <c r="C1216" s="98" t="s">
        <v>8514</v>
      </c>
      <c r="D1216" s="138"/>
      <c r="E1216" s="98" t="s">
        <v>10446</v>
      </c>
      <c r="F1216" s="138"/>
      <c r="G1216" s="98" t="s">
        <v>117</v>
      </c>
      <c r="H1216" s="49" t="s">
        <v>8215</v>
      </c>
      <c r="I1216" s="137" t="s">
        <v>8215</v>
      </c>
      <c r="J1216" s="49"/>
      <c r="K1216" s="107"/>
    </row>
    <row r="1217" ht="15" spans="1:11">
      <c r="A1217" s="49" t="s">
        <v>70</v>
      </c>
      <c r="B1217" s="101" t="s">
        <v>10447</v>
      </c>
      <c r="C1217" s="98" t="s">
        <v>8514</v>
      </c>
      <c r="D1217" s="101" t="s">
        <v>4</v>
      </c>
      <c r="E1217" s="49" t="s">
        <v>10446</v>
      </c>
      <c r="F1217" s="98"/>
      <c r="G1217" s="98" t="s">
        <v>117</v>
      </c>
      <c r="H1217" s="100" t="s">
        <v>8215</v>
      </c>
      <c r="I1217" s="100" t="s">
        <v>8215</v>
      </c>
      <c r="J1217" s="49" t="s">
        <v>10448</v>
      </c>
      <c r="K1217" s="107"/>
    </row>
    <row r="1218" ht="15" spans="1:11">
      <c r="A1218" s="49" t="s">
        <v>70</v>
      </c>
      <c r="B1218" s="101" t="s">
        <v>10449</v>
      </c>
      <c r="C1218" s="98" t="s">
        <v>8514</v>
      </c>
      <c r="D1218" s="101" t="s">
        <v>4</v>
      </c>
      <c r="E1218" s="49" t="s">
        <v>10446</v>
      </c>
      <c r="F1218" s="98"/>
      <c r="G1218" s="98" t="s">
        <v>117</v>
      </c>
      <c r="H1218" s="100" t="s">
        <v>8215</v>
      </c>
      <c r="I1218" s="100" t="s">
        <v>8215</v>
      </c>
      <c r="J1218" s="49" t="s">
        <v>10450</v>
      </c>
      <c r="K1218" s="107"/>
    </row>
    <row r="1219" ht="15" spans="1:11">
      <c r="A1219" s="49" t="s">
        <v>70</v>
      </c>
      <c r="B1219" s="101" t="s">
        <v>10451</v>
      </c>
      <c r="C1219" s="98" t="s">
        <v>8514</v>
      </c>
      <c r="D1219" s="101" t="s">
        <v>4</v>
      </c>
      <c r="E1219" s="49" t="s">
        <v>10446</v>
      </c>
      <c r="F1219" s="98"/>
      <c r="G1219" s="98" t="s">
        <v>117</v>
      </c>
      <c r="H1219" s="100" t="s">
        <v>8215</v>
      </c>
      <c r="I1219" s="100" t="s">
        <v>8215</v>
      </c>
      <c r="J1219" s="49" t="s">
        <v>8766</v>
      </c>
      <c r="K1219" s="107"/>
    </row>
    <row r="1220" ht="15" spans="1:11">
      <c r="A1220" s="49" t="s">
        <v>70</v>
      </c>
      <c r="B1220" s="101" t="s">
        <v>10452</v>
      </c>
      <c r="C1220" s="98" t="s">
        <v>8514</v>
      </c>
      <c r="D1220" s="101" t="s">
        <v>4</v>
      </c>
      <c r="E1220" s="49" t="s">
        <v>10446</v>
      </c>
      <c r="F1220" s="98"/>
      <c r="G1220" s="98" t="s">
        <v>117</v>
      </c>
      <c r="H1220" s="100" t="s">
        <v>8215</v>
      </c>
      <c r="I1220" s="100" t="s">
        <v>8247</v>
      </c>
      <c r="J1220" s="49" t="s">
        <v>10453</v>
      </c>
      <c r="K1220" s="107"/>
    </row>
    <row r="1221" ht="45" spans="1:11">
      <c r="A1221" s="49" t="s">
        <v>70</v>
      </c>
      <c r="B1221" s="101" t="s">
        <v>10454</v>
      </c>
      <c r="C1221" s="98" t="s">
        <v>8514</v>
      </c>
      <c r="D1221" s="101" t="s">
        <v>5</v>
      </c>
      <c r="E1221" s="49" t="s">
        <v>10455</v>
      </c>
      <c r="F1221" s="98"/>
      <c r="G1221" s="98" t="s">
        <v>117</v>
      </c>
      <c r="H1221" s="100" t="s">
        <v>10406</v>
      </c>
      <c r="I1221" s="100" t="s">
        <v>10406</v>
      </c>
      <c r="J1221" s="100" t="s">
        <v>8967</v>
      </c>
      <c r="K1221" s="107"/>
    </row>
    <row r="1222" ht="15" spans="1:11">
      <c r="A1222" s="49" t="s">
        <v>70</v>
      </c>
      <c r="B1222" s="101" t="s">
        <v>10456</v>
      </c>
      <c r="C1222" s="98" t="s">
        <v>8514</v>
      </c>
      <c r="D1222" s="101" t="s">
        <v>4</v>
      </c>
      <c r="E1222" s="49" t="s">
        <v>10457</v>
      </c>
      <c r="F1222" s="98"/>
      <c r="G1222" s="98" t="s">
        <v>117</v>
      </c>
      <c r="H1222" s="100" t="s">
        <v>8320</v>
      </c>
      <c r="I1222" s="100" t="s">
        <v>8320</v>
      </c>
      <c r="J1222" s="100" t="s">
        <v>9897</v>
      </c>
      <c r="K1222" s="107"/>
    </row>
    <row r="1223" ht="15" spans="1:11">
      <c r="A1223" s="49" t="s">
        <v>70</v>
      </c>
      <c r="B1223" s="101" t="s">
        <v>10458</v>
      </c>
      <c r="C1223" s="98" t="s">
        <v>8514</v>
      </c>
      <c r="D1223" s="101" t="s">
        <v>5</v>
      </c>
      <c r="E1223" s="49" t="s">
        <v>10459</v>
      </c>
      <c r="F1223" s="98"/>
      <c r="G1223" s="98" t="s">
        <v>117</v>
      </c>
      <c r="H1223" s="100" t="s">
        <v>10460</v>
      </c>
      <c r="I1223" s="100" t="s">
        <v>10460</v>
      </c>
      <c r="J1223" s="100"/>
      <c r="K1223" s="107"/>
    </row>
    <row r="1224" ht="15" spans="1:11">
      <c r="A1224" s="49" t="s">
        <v>70</v>
      </c>
      <c r="B1224" s="101" t="s">
        <v>10461</v>
      </c>
      <c r="C1224" s="98" t="s">
        <v>8514</v>
      </c>
      <c r="D1224" s="101" t="s">
        <v>4</v>
      </c>
      <c r="E1224" s="49" t="s">
        <v>10462</v>
      </c>
      <c r="F1224" s="98"/>
      <c r="G1224" s="98" t="s">
        <v>117</v>
      </c>
      <c r="H1224" s="100" t="s">
        <v>8215</v>
      </c>
      <c r="I1224" s="100" t="s">
        <v>8215</v>
      </c>
      <c r="J1224" s="49" t="s">
        <v>8556</v>
      </c>
      <c r="K1224" s="107"/>
    </row>
    <row r="1225" ht="15" spans="1:11">
      <c r="A1225" s="49" t="s">
        <v>70</v>
      </c>
      <c r="B1225" s="101" t="s">
        <v>10463</v>
      </c>
      <c r="C1225" s="98" t="s">
        <v>8514</v>
      </c>
      <c r="D1225" s="101" t="s">
        <v>4</v>
      </c>
      <c r="E1225" s="49" t="s">
        <v>10462</v>
      </c>
      <c r="F1225" s="98"/>
      <c r="G1225" s="98" t="s">
        <v>117</v>
      </c>
      <c r="H1225" s="100" t="s">
        <v>8215</v>
      </c>
      <c r="I1225" s="100" t="s">
        <v>8215</v>
      </c>
      <c r="J1225" s="49" t="s">
        <v>10450</v>
      </c>
      <c r="K1225" s="107"/>
    </row>
    <row r="1226" ht="15" spans="1:11">
      <c r="A1226" s="49" t="s">
        <v>70</v>
      </c>
      <c r="B1226" s="101" t="s">
        <v>10464</v>
      </c>
      <c r="C1226" s="98" t="s">
        <v>9590</v>
      </c>
      <c r="D1226" s="101" t="s">
        <v>5</v>
      </c>
      <c r="E1226" s="49" t="s">
        <v>10465</v>
      </c>
      <c r="F1226" s="98"/>
      <c r="G1226" s="98" t="s">
        <v>117</v>
      </c>
      <c r="H1226" s="100"/>
      <c r="I1226" s="100"/>
      <c r="J1226" s="49" t="s">
        <v>8667</v>
      </c>
      <c r="K1226" s="107"/>
    </row>
    <row r="1227" ht="15" spans="1:11">
      <c r="A1227" s="49" t="s">
        <v>70</v>
      </c>
      <c r="B1227" s="101" t="s">
        <v>10466</v>
      </c>
      <c r="C1227" s="98" t="s">
        <v>8514</v>
      </c>
      <c r="D1227" s="101" t="s">
        <v>4</v>
      </c>
      <c r="E1227" s="49" t="s">
        <v>9161</v>
      </c>
      <c r="F1227" s="98"/>
      <c r="G1227" s="98" t="s">
        <v>117</v>
      </c>
      <c r="H1227" s="49" t="s">
        <v>8215</v>
      </c>
      <c r="I1227" s="100" t="s">
        <v>8215</v>
      </c>
      <c r="J1227" s="49">
        <v>3.6</v>
      </c>
      <c r="K1227" s="107"/>
    </row>
    <row r="1228" ht="15" spans="1:11">
      <c r="A1228" s="49" t="s">
        <v>70</v>
      </c>
      <c r="B1228" s="101" t="s">
        <v>10467</v>
      </c>
      <c r="C1228" s="98" t="s">
        <v>8514</v>
      </c>
      <c r="D1228" s="101" t="s">
        <v>4</v>
      </c>
      <c r="E1228" s="49" t="s">
        <v>9161</v>
      </c>
      <c r="F1228" s="98"/>
      <c r="G1228" s="98" t="s">
        <v>117</v>
      </c>
      <c r="H1228" s="49" t="s">
        <v>8215</v>
      </c>
      <c r="I1228" s="100" t="s">
        <v>8734</v>
      </c>
      <c r="J1228" s="49">
        <v>4.7</v>
      </c>
      <c r="K1228" s="107"/>
    </row>
    <row r="1229" ht="15" spans="1:11">
      <c r="A1229" s="49" t="s">
        <v>70</v>
      </c>
      <c r="B1229" s="101" t="s">
        <v>10468</v>
      </c>
      <c r="C1229" s="98" t="s">
        <v>8514</v>
      </c>
      <c r="D1229" s="101" t="s">
        <v>5</v>
      </c>
      <c r="E1229" s="49" t="s">
        <v>6845</v>
      </c>
      <c r="F1229" s="98"/>
      <c r="G1229" s="98" t="s">
        <v>117</v>
      </c>
      <c r="H1229" s="49" t="s">
        <v>8215</v>
      </c>
      <c r="I1229" s="100" t="s">
        <v>8734</v>
      </c>
      <c r="J1229" s="49">
        <v>4.7</v>
      </c>
      <c r="K1229" s="107"/>
    </row>
    <row r="1230" ht="15" spans="1:11">
      <c r="A1230" s="49" t="s">
        <v>70</v>
      </c>
      <c r="B1230" s="101" t="s">
        <v>10469</v>
      </c>
      <c r="C1230" s="98" t="s">
        <v>8514</v>
      </c>
      <c r="D1230" s="101" t="s">
        <v>4</v>
      </c>
      <c r="E1230" s="49" t="s">
        <v>10470</v>
      </c>
      <c r="F1230" s="98"/>
      <c r="G1230" s="98" t="s">
        <v>117</v>
      </c>
      <c r="H1230" s="49" t="s">
        <v>8300</v>
      </c>
      <c r="I1230" s="100" t="s">
        <v>8215</v>
      </c>
      <c r="J1230" s="49" t="s">
        <v>10471</v>
      </c>
      <c r="K1230" s="107"/>
    </row>
    <row r="1231" ht="15" spans="1:11">
      <c r="A1231" s="49" t="s">
        <v>70</v>
      </c>
      <c r="B1231" s="101" t="s">
        <v>10472</v>
      </c>
      <c r="C1231" s="98" t="s">
        <v>8514</v>
      </c>
      <c r="D1231" s="101" t="s">
        <v>5</v>
      </c>
      <c r="E1231" s="49" t="s">
        <v>10473</v>
      </c>
      <c r="F1231" s="98"/>
      <c r="G1231" s="98" t="s">
        <v>117</v>
      </c>
      <c r="H1231" s="49" t="s">
        <v>8320</v>
      </c>
      <c r="I1231" s="100" t="s">
        <v>8320</v>
      </c>
      <c r="J1231" s="49">
        <v>3.8</v>
      </c>
      <c r="K1231" s="107"/>
    </row>
    <row r="1232" ht="15" spans="1:11">
      <c r="A1232" s="49" t="s">
        <v>70</v>
      </c>
      <c r="B1232" s="101" t="s">
        <v>10474</v>
      </c>
      <c r="C1232" s="98" t="s">
        <v>8514</v>
      </c>
      <c r="D1232" s="101" t="s">
        <v>5</v>
      </c>
      <c r="E1232" s="49" t="s">
        <v>10475</v>
      </c>
      <c r="F1232" s="98"/>
      <c r="G1232" s="98" t="s">
        <v>117</v>
      </c>
      <c r="H1232" s="49" t="s">
        <v>8215</v>
      </c>
      <c r="I1232" s="100" t="s">
        <v>8734</v>
      </c>
      <c r="J1232" s="49">
        <v>3.4</v>
      </c>
      <c r="K1232" s="107"/>
    </row>
    <row r="1233" ht="15" spans="1:11">
      <c r="A1233" s="49" t="s">
        <v>70</v>
      </c>
      <c r="B1233" s="101" t="s">
        <v>10476</v>
      </c>
      <c r="C1233" s="98" t="s">
        <v>8514</v>
      </c>
      <c r="D1233" s="101" t="s">
        <v>5</v>
      </c>
      <c r="E1233" s="49" t="s">
        <v>10475</v>
      </c>
      <c r="F1233" s="98"/>
      <c r="G1233" s="98" t="s">
        <v>117</v>
      </c>
      <c r="H1233" s="49" t="s">
        <v>8215</v>
      </c>
      <c r="I1233" s="100" t="s">
        <v>8734</v>
      </c>
      <c r="J1233" s="49">
        <v>6.3</v>
      </c>
      <c r="K1233" s="107"/>
    </row>
    <row r="1234" ht="15" spans="1:11">
      <c r="A1234" s="49" t="s">
        <v>70</v>
      </c>
      <c r="B1234" s="101" t="s">
        <v>10477</v>
      </c>
      <c r="C1234" s="98" t="s">
        <v>8514</v>
      </c>
      <c r="D1234" s="101" t="s">
        <v>5</v>
      </c>
      <c r="E1234" s="49" t="s">
        <v>10478</v>
      </c>
      <c r="F1234" s="98"/>
      <c r="G1234" s="98" t="s">
        <v>117</v>
      </c>
      <c r="H1234" s="49" t="s">
        <v>8215</v>
      </c>
      <c r="I1234" s="100" t="s">
        <v>8215</v>
      </c>
      <c r="J1234" s="49">
        <v>4</v>
      </c>
      <c r="K1234" s="107"/>
    </row>
    <row r="1235" ht="15" spans="1:11">
      <c r="A1235" s="49" t="s">
        <v>70</v>
      </c>
      <c r="B1235" s="101" t="s">
        <v>10479</v>
      </c>
      <c r="C1235" s="98"/>
      <c r="D1235" s="101" t="s">
        <v>5</v>
      </c>
      <c r="E1235" s="49" t="s">
        <v>10480</v>
      </c>
      <c r="F1235" s="98"/>
      <c r="G1235" s="98" t="s">
        <v>117</v>
      </c>
      <c r="H1235" s="49"/>
      <c r="I1235" s="100"/>
      <c r="J1235" s="49" t="s">
        <v>8459</v>
      </c>
      <c r="K1235" s="107">
        <v>2024.2</v>
      </c>
    </row>
    <row r="1236" ht="15" spans="1:11">
      <c r="A1236" s="49" t="s">
        <v>70</v>
      </c>
      <c r="B1236" s="101" t="s">
        <v>10481</v>
      </c>
      <c r="C1236" s="98" t="s">
        <v>8514</v>
      </c>
      <c r="D1236" s="101" t="s">
        <v>4</v>
      </c>
      <c r="E1236" s="49" t="s">
        <v>10482</v>
      </c>
      <c r="F1236" s="98"/>
      <c r="G1236" s="98" t="s">
        <v>117</v>
      </c>
      <c r="H1236" s="49" t="s">
        <v>8215</v>
      </c>
      <c r="I1236" s="100" t="s">
        <v>8215</v>
      </c>
      <c r="J1236" s="49">
        <v>3.5</v>
      </c>
      <c r="K1236" s="107"/>
    </row>
    <row r="1237" s="91" customFormat="1" ht="15" spans="1:11">
      <c r="A1237" s="106" t="s">
        <v>70</v>
      </c>
      <c r="B1237" s="106" t="s">
        <v>10483</v>
      </c>
      <c r="C1237" s="106" t="s">
        <v>8293</v>
      </c>
      <c r="D1237" s="106" t="s">
        <v>4</v>
      </c>
      <c r="E1237" s="106" t="s">
        <v>10443</v>
      </c>
      <c r="F1237" s="106"/>
      <c r="G1237" s="106" t="s">
        <v>117</v>
      </c>
      <c r="H1237" s="106" t="s">
        <v>9246</v>
      </c>
      <c r="I1237" s="106" t="s">
        <v>9247</v>
      </c>
      <c r="J1237" s="106" t="s">
        <v>8725</v>
      </c>
      <c r="K1237" s="114" t="s">
        <v>8308</v>
      </c>
    </row>
    <row r="1238" s="89" customFormat="1" ht="45" spans="1:256">
      <c r="A1238" s="106" t="s">
        <v>70</v>
      </c>
      <c r="B1238" s="99" t="s">
        <v>10484</v>
      </c>
      <c r="C1238" s="99" t="s">
        <v>8272</v>
      </c>
      <c r="D1238" s="99" t="s">
        <v>4</v>
      </c>
      <c r="E1238" s="99" t="s">
        <v>10457</v>
      </c>
      <c r="F1238" s="99"/>
      <c r="G1238" s="99" t="s">
        <v>117</v>
      </c>
      <c r="H1238" s="99" t="s">
        <v>8215</v>
      </c>
      <c r="I1238" s="99" t="s">
        <v>8215</v>
      </c>
      <c r="J1238" s="99" t="s">
        <v>10485</v>
      </c>
      <c r="K1238" s="109">
        <v>45868</v>
      </c>
      <c r="L1238" s="92"/>
      <c r="M1238" s="92"/>
      <c r="N1238" s="92"/>
      <c r="O1238" s="92"/>
      <c r="P1238" s="92"/>
      <c r="Q1238" s="92"/>
      <c r="R1238" s="92"/>
      <c r="S1238" s="92"/>
      <c r="T1238" s="92"/>
      <c r="U1238" s="92"/>
      <c r="V1238" s="92"/>
      <c r="W1238" s="92"/>
      <c r="X1238" s="92"/>
      <c r="Y1238" s="92"/>
      <c r="Z1238" s="92"/>
      <c r="AA1238" s="92"/>
      <c r="AB1238" s="92"/>
      <c r="AC1238" s="92"/>
      <c r="AD1238" s="92"/>
      <c r="AE1238" s="92"/>
      <c r="AF1238" s="92"/>
      <c r="AG1238" s="92"/>
      <c r="AH1238" s="92"/>
      <c r="AI1238" s="92"/>
      <c r="AJ1238" s="92"/>
      <c r="AK1238" s="92"/>
      <c r="AL1238" s="92"/>
      <c r="AM1238" s="92"/>
      <c r="AN1238" s="92"/>
      <c r="AO1238" s="92"/>
      <c r="AP1238" s="92"/>
      <c r="AQ1238" s="92"/>
      <c r="AR1238" s="92"/>
      <c r="AS1238" s="92"/>
      <c r="AT1238" s="92"/>
      <c r="AU1238" s="92"/>
      <c r="AV1238" s="92"/>
      <c r="AW1238" s="92"/>
      <c r="AX1238" s="92"/>
      <c r="AY1238" s="92"/>
      <c r="AZ1238" s="92"/>
      <c r="BA1238" s="92"/>
      <c r="BB1238" s="92"/>
      <c r="BC1238" s="92"/>
      <c r="BD1238" s="92"/>
      <c r="BE1238" s="92"/>
      <c r="BF1238" s="92"/>
      <c r="BG1238" s="92"/>
      <c r="BH1238" s="92"/>
      <c r="BI1238" s="92"/>
      <c r="BJ1238" s="92"/>
      <c r="BK1238" s="92"/>
      <c r="BL1238" s="92"/>
      <c r="BM1238" s="92"/>
      <c r="BN1238" s="92"/>
      <c r="BO1238" s="92"/>
      <c r="BP1238" s="92"/>
      <c r="BQ1238" s="92"/>
      <c r="BR1238" s="92"/>
      <c r="BS1238" s="92"/>
      <c r="BT1238" s="92"/>
      <c r="BU1238" s="92"/>
      <c r="BV1238" s="92"/>
      <c r="BW1238" s="92"/>
      <c r="BX1238" s="92"/>
      <c r="BY1238" s="92"/>
      <c r="BZ1238" s="92"/>
      <c r="CA1238" s="92"/>
      <c r="CB1238" s="92"/>
      <c r="CC1238" s="92"/>
      <c r="CD1238" s="92"/>
      <c r="CE1238" s="92"/>
      <c r="CF1238" s="92"/>
      <c r="CG1238" s="92"/>
      <c r="CH1238" s="92"/>
      <c r="CI1238" s="92"/>
      <c r="CJ1238" s="92"/>
      <c r="CK1238" s="92"/>
      <c r="CL1238" s="92"/>
      <c r="CM1238" s="92"/>
      <c r="CN1238" s="92"/>
      <c r="CO1238" s="92"/>
      <c r="CP1238" s="92"/>
      <c r="CQ1238" s="92"/>
      <c r="CR1238" s="92"/>
      <c r="CS1238" s="92"/>
      <c r="CT1238" s="92"/>
      <c r="CU1238" s="92"/>
      <c r="CV1238" s="92"/>
      <c r="CW1238" s="92"/>
      <c r="CX1238" s="92"/>
      <c r="CY1238" s="92"/>
      <c r="CZ1238" s="92"/>
      <c r="DA1238" s="92"/>
      <c r="DB1238" s="92"/>
      <c r="DC1238" s="92"/>
      <c r="DD1238" s="92"/>
      <c r="DE1238" s="92"/>
      <c r="DF1238" s="92"/>
      <c r="DG1238" s="92"/>
      <c r="DH1238" s="92"/>
      <c r="DI1238" s="92"/>
      <c r="DJ1238" s="92"/>
      <c r="DK1238" s="92"/>
      <c r="DL1238" s="92"/>
      <c r="DM1238" s="92"/>
      <c r="DN1238" s="92"/>
      <c r="DO1238" s="92"/>
      <c r="DP1238" s="92"/>
      <c r="DQ1238" s="92"/>
      <c r="DR1238" s="92"/>
      <c r="DS1238" s="92"/>
      <c r="DT1238" s="92"/>
      <c r="DU1238" s="92"/>
      <c r="DV1238" s="92"/>
      <c r="DW1238" s="92"/>
      <c r="DX1238" s="92"/>
      <c r="DY1238" s="92"/>
      <c r="DZ1238" s="92"/>
      <c r="EA1238" s="92"/>
      <c r="EB1238" s="92"/>
      <c r="EC1238" s="92"/>
      <c r="ED1238" s="92"/>
      <c r="EE1238" s="92"/>
      <c r="EF1238" s="92"/>
      <c r="EG1238" s="92"/>
      <c r="EH1238" s="92"/>
      <c r="EI1238" s="92"/>
      <c r="EJ1238" s="92"/>
      <c r="EK1238" s="92"/>
      <c r="EL1238" s="92"/>
      <c r="EM1238" s="92"/>
      <c r="EN1238" s="92"/>
      <c r="EO1238" s="92"/>
      <c r="EP1238" s="92"/>
      <c r="EQ1238" s="92"/>
      <c r="ER1238" s="92"/>
      <c r="ES1238" s="92"/>
      <c r="ET1238" s="92"/>
      <c r="EU1238" s="92"/>
      <c r="EV1238" s="92"/>
      <c r="EW1238" s="92"/>
      <c r="EX1238" s="92"/>
      <c r="EY1238" s="92"/>
      <c r="EZ1238" s="92"/>
      <c r="FA1238" s="92"/>
      <c r="FB1238" s="92"/>
      <c r="FC1238" s="92"/>
      <c r="FD1238" s="92"/>
      <c r="FE1238" s="92"/>
      <c r="FF1238" s="92"/>
      <c r="FG1238" s="92"/>
      <c r="FH1238" s="92"/>
      <c r="FI1238" s="92"/>
      <c r="FJ1238" s="92"/>
      <c r="FK1238" s="92"/>
      <c r="FL1238" s="92"/>
      <c r="FM1238" s="92"/>
      <c r="FN1238" s="92"/>
      <c r="FO1238" s="92"/>
      <c r="FP1238" s="92"/>
      <c r="FQ1238" s="92"/>
      <c r="FR1238" s="92"/>
      <c r="FS1238" s="92"/>
      <c r="FT1238" s="92"/>
      <c r="FU1238" s="92"/>
      <c r="FV1238" s="92"/>
      <c r="FW1238" s="92"/>
      <c r="FX1238" s="92"/>
      <c r="FY1238" s="92"/>
      <c r="FZ1238" s="92"/>
      <c r="GA1238" s="92"/>
      <c r="GB1238" s="92"/>
      <c r="GC1238" s="92"/>
      <c r="GD1238" s="92"/>
      <c r="GE1238" s="92"/>
      <c r="GF1238" s="92"/>
      <c r="GG1238" s="92"/>
      <c r="GH1238" s="92"/>
      <c r="GI1238" s="92"/>
      <c r="GJ1238" s="92"/>
      <c r="GK1238" s="92"/>
      <c r="GL1238" s="92"/>
      <c r="GM1238" s="92"/>
      <c r="GN1238" s="92"/>
      <c r="GO1238" s="92"/>
      <c r="GP1238" s="92"/>
      <c r="GQ1238" s="92"/>
      <c r="GR1238" s="92"/>
      <c r="GS1238" s="92"/>
      <c r="GT1238" s="92"/>
      <c r="GU1238" s="92"/>
      <c r="GV1238" s="92"/>
      <c r="GW1238" s="92"/>
      <c r="GX1238" s="92"/>
      <c r="GY1238" s="92"/>
      <c r="GZ1238" s="92"/>
      <c r="HA1238" s="92"/>
      <c r="HB1238" s="92"/>
      <c r="HC1238" s="92"/>
      <c r="HD1238" s="92"/>
      <c r="HE1238" s="92"/>
      <c r="HF1238" s="92"/>
      <c r="HG1238" s="92"/>
      <c r="HH1238" s="92"/>
      <c r="HI1238" s="92"/>
      <c r="HJ1238" s="92"/>
      <c r="HK1238" s="92"/>
      <c r="HL1238" s="92"/>
      <c r="HM1238" s="92"/>
      <c r="HN1238" s="92"/>
      <c r="HO1238" s="92"/>
      <c r="HP1238" s="92"/>
      <c r="HQ1238" s="92"/>
      <c r="HR1238" s="92"/>
      <c r="HS1238" s="92"/>
      <c r="HT1238" s="92"/>
      <c r="HU1238" s="92"/>
      <c r="HV1238" s="92"/>
      <c r="HW1238" s="92"/>
      <c r="HX1238" s="92"/>
      <c r="HY1238" s="92"/>
      <c r="HZ1238" s="92"/>
      <c r="IA1238" s="92"/>
      <c r="IB1238" s="92"/>
      <c r="IC1238" s="92"/>
      <c r="ID1238" s="92"/>
      <c r="IE1238" s="92"/>
      <c r="IF1238" s="92"/>
      <c r="IG1238" s="92"/>
      <c r="IH1238" s="92"/>
      <c r="II1238" s="92"/>
      <c r="IJ1238" s="92"/>
      <c r="IK1238" s="92"/>
      <c r="IL1238" s="92"/>
      <c r="IM1238" s="92"/>
      <c r="IN1238" s="92"/>
      <c r="IO1238" s="92"/>
      <c r="IP1238" s="92"/>
      <c r="IQ1238" s="92"/>
      <c r="IR1238" s="92"/>
      <c r="IS1238" s="92"/>
      <c r="IT1238" s="92"/>
      <c r="IU1238" s="92"/>
      <c r="IV1238" s="92"/>
    </row>
    <row r="1239" ht="15" spans="1:11">
      <c r="A1239" s="49" t="s">
        <v>66</v>
      </c>
      <c r="B1239" s="101" t="s">
        <v>10486</v>
      </c>
      <c r="C1239" s="98" t="s">
        <v>9590</v>
      </c>
      <c r="D1239" s="101" t="s">
        <v>5</v>
      </c>
      <c r="E1239" s="49" t="s">
        <v>10487</v>
      </c>
      <c r="F1239" s="98"/>
      <c r="G1239" s="98" t="s">
        <v>353</v>
      </c>
      <c r="H1239" s="49"/>
      <c r="I1239" s="100"/>
      <c r="J1239" s="49" t="s">
        <v>9337</v>
      </c>
      <c r="K1239" s="107"/>
    </row>
    <row r="1240" ht="15" spans="1:11">
      <c r="A1240" s="49" t="s">
        <v>66</v>
      </c>
      <c r="B1240" s="101" t="s">
        <v>10488</v>
      </c>
      <c r="C1240" s="98" t="s">
        <v>9590</v>
      </c>
      <c r="D1240" s="101" t="s">
        <v>4</v>
      </c>
      <c r="E1240" s="101" t="s">
        <v>10489</v>
      </c>
      <c r="F1240" s="101"/>
      <c r="G1240" s="101" t="s">
        <v>353</v>
      </c>
      <c r="H1240" s="49"/>
      <c r="I1240" s="100"/>
      <c r="J1240" s="49" t="s">
        <v>8667</v>
      </c>
      <c r="K1240" s="107"/>
    </row>
    <row r="1241" ht="15" spans="1:11">
      <c r="A1241" s="49" t="s">
        <v>66</v>
      </c>
      <c r="B1241" s="101" t="s">
        <v>10488</v>
      </c>
      <c r="C1241" s="98" t="s">
        <v>8514</v>
      </c>
      <c r="D1241" s="101" t="s">
        <v>4</v>
      </c>
      <c r="E1241" s="101" t="s">
        <v>10489</v>
      </c>
      <c r="F1241" s="101"/>
      <c r="G1241" s="101" t="s">
        <v>353</v>
      </c>
      <c r="H1241" s="101" t="s">
        <v>8215</v>
      </c>
      <c r="I1241" s="101" t="s">
        <v>8215</v>
      </c>
      <c r="J1241" s="101" t="s">
        <v>10490</v>
      </c>
      <c r="K1241" s="107"/>
    </row>
    <row r="1242" ht="15" spans="1:11">
      <c r="A1242" s="49" t="s">
        <v>66</v>
      </c>
      <c r="B1242" s="101" t="s">
        <v>10491</v>
      </c>
      <c r="C1242" s="98" t="s">
        <v>8514</v>
      </c>
      <c r="D1242" s="101" t="s">
        <v>4</v>
      </c>
      <c r="E1242" s="101" t="s">
        <v>10489</v>
      </c>
      <c r="F1242" s="101"/>
      <c r="G1242" s="101" t="s">
        <v>353</v>
      </c>
      <c r="H1242" s="101" t="s">
        <v>8215</v>
      </c>
      <c r="I1242" s="101" t="s">
        <v>8215</v>
      </c>
      <c r="J1242" s="101" t="s">
        <v>10490</v>
      </c>
      <c r="K1242" s="107"/>
    </row>
    <row r="1243" ht="15" spans="1:11">
      <c r="A1243" s="49" t="s">
        <v>66</v>
      </c>
      <c r="B1243" s="101" t="s">
        <v>10492</v>
      </c>
      <c r="C1243" s="98" t="s">
        <v>8514</v>
      </c>
      <c r="D1243" s="101" t="s">
        <v>4</v>
      </c>
      <c r="E1243" s="101" t="s">
        <v>10489</v>
      </c>
      <c r="F1243" s="101"/>
      <c r="G1243" s="101" t="s">
        <v>353</v>
      </c>
      <c r="H1243" s="101" t="s">
        <v>8215</v>
      </c>
      <c r="I1243" s="101" t="s">
        <v>8215</v>
      </c>
      <c r="J1243" s="101" t="s">
        <v>9055</v>
      </c>
      <c r="K1243" s="107"/>
    </row>
    <row r="1244" ht="15" spans="1:11">
      <c r="A1244" s="49" t="s">
        <v>66</v>
      </c>
      <c r="B1244" s="101" t="s">
        <v>10493</v>
      </c>
      <c r="C1244" s="98" t="s">
        <v>8514</v>
      </c>
      <c r="D1244" s="101" t="s">
        <v>5</v>
      </c>
      <c r="E1244" s="101" t="s">
        <v>10494</v>
      </c>
      <c r="F1244" s="101"/>
      <c r="G1244" s="101" t="s">
        <v>353</v>
      </c>
      <c r="H1244" s="101" t="s">
        <v>8215</v>
      </c>
      <c r="I1244" s="101" t="s">
        <v>8247</v>
      </c>
      <c r="J1244" s="101" t="s">
        <v>10490</v>
      </c>
      <c r="K1244" s="107"/>
    </row>
    <row r="1245" s="90" customFormat="1" ht="15" spans="1:11">
      <c r="A1245" s="49" t="s">
        <v>66</v>
      </c>
      <c r="B1245" s="101" t="s">
        <v>10495</v>
      </c>
      <c r="C1245" s="98" t="s">
        <v>8293</v>
      </c>
      <c r="D1245" s="101" t="s">
        <v>5</v>
      </c>
      <c r="E1245" s="101" t="s">
        <v>10494</v>
      </c>
      <c r="F1245" s="101"/>
      <c r="G1245" s="101" t="s">
        <v>353</v>
      </c>
      <c r="H1245" s="101" t="s">
        <v>8215</v>
      </c>
      <c r="I1245" s="101" t="s">
        <v>8215</v>
      </c>
      <c r="J1245" s="101" t="s">
        <v>9984</v>
      </c>
      <c r="K1245" s="107">
        <v>2024.4</v>
      </c>
    </row>
    <row r="1246" ht="15" spans="1:11">
      <c r="A1246" s="49" t="s">
        <v>66</v>
      </c>
      <c r="B1246" s="101" t="s">
        <v>10496</v>
      </c>
      <c r="C1246" s="98" t="s">
        <v>8514</v>
      </c>
      <c r="D1246" s="101" t="s">
        <v>5</v>
      </c>
      <c r="E1246" s="101" t="s">
        <v>9146</v>
      </c>
      <c r="F1246" s="101"/>
      <c r="G1246" s="101" t="s">
        <v>353</v>
      </c>
      <c r="H1246" s="101" t="s">
        <v>8215</v>
      </c>
      <c r="I1246" s="101" t="s">
        <v>8247</v>
      </c>
      <c r="J1246" s="101" t="s">
        <v>10490</v>
      </c>
      <c r="K1246" s="107"/>
    </row>
    <row r="1247" ht="15" spans="1:11">
      <c r="A1247" s="49" t="s">
        <v>66</v>
      </c>
      <c r="B1247" s="101" t="s">
        <v>10497</v>
      </c>
      <c r="C1247" s="98" t="s">
        <v>8514</v>
      </c>
      <c r="D1247" s="101" t="s">
        <v>4</v>
      </c>
      <c r="E1247" s="101" t="s">
        <v>9125</v>
      </c>
      <c r="F1247" s="101"/>
      <c r="G1247" s="101" t="s">
        <v>353</v>
      </c>
      <c r="H1247" s="101" t="s">
        <v>8215</v>
      </c>
      <c r="I1247" s="101" t="s">
        <v>8215</v>
      </c>
      <c r="J1247" s="101" t="s">
        <v>10490</v>
      </c>
      <c r="K1247" s="107"/>
    </row>
    <row r="1248" s="91" customFormat="1" ht="15" spans="1:11">
      <c r="A1248" s="106" t="s">
        <v>66</v>
      </c>
      <c r="B1248" s="106" t="s">
        <v>10498</v>
      </c>
      <c r="C1248" s="106" t="s">
        <v>8293</v>
      </c>
      <c r="D1248" s="106" t="s">
        <v>4</v>
      </c>
      <c r="E1248" s="106" t="s">
        <v>9161</v>
      </c>
      <c r="F1248" s="106"/>
      <c r="G1248" s="106" t="s">
        <v>353</v>
      </c>
      <c r="H1248" s="106" t="s">
        <v>8252</v>
      </c>
      <c r="I1248" s="106" t="s">
        <v>8247</v>
      </c>
      <c r="J1248" s="106" t="s">
        <v>8556</v>
      </c>
      <c r="K1248" s="106">
        <v>2024.9</v>
      </c>
    </row>
    <row r="1249" ht="15" spans="1:11">
      <c r="A1249" s="49" t="s">
        <v>66</v>
      </c>
      <c r="B1249" s="101" t="s">
        <v>10499</v>
      </c>
      <c r="C1249" s="98" t="s">
        <v>8514</v>
      </c>
      <c r="D1249" s="101" t="s">
        <v>5</v>
      </c>
      <c r="E1249" s="101" t="s">
        <v>10500</v>
      </c>
      <c r="F1249" s="101"/>
      <c r="G1249" s="101" t="s">
        <v>353</v>
      </c>
      <c r="H1249" s="101" t="s">
        <v>8215</v>
      </c>
      <c r="I1249" s="101" t="s">
        <v>8247</v>
      </c>
      <c r="J1249" s="101" t="s">
        <v>10490</v>
      </c>
      <c r="K1249" s="107"/>
    </row>
    <row r="1250" ht="15" spans="1:11">
      <c r="A1250" s="49" t="s">
        <v>66</v>
      </c>
      <c r="B1250" s="101" t="s">
        <v>10501</v>
      </c>
      <c r="C1250" s="98" t="s">
        <v>8514</v>
      </c>
      <c r="D1250" s="101" t="s">
        <v>5</v>
      </c>
      <c r="E1250" s="101" t="s">
        <v>10500</v>
      </c>
      <c r="F1250" s="101"/>
      <c r="G1250" s="101" t="s">
        <v>353</v>
      </c>
      <c r="H1250" s="101" t="s">
        <v>8215</v>
      </c>
      <c r="I1250" s="101" t="s">
        <v>8247</v>
      </c>
      <c r="J1250" s="101" t="s">
        <v>10490</v>
      </c>
      <c r="K1250" s="107"/>
    </row>
    <row r="1251" ht="15" spans="1:11">
      <c r="A1251" s="49" t="s">
        <v>66</v>
      </c>
      <c r="B1251" s="101" t="s">
        <v>10502</v>
      </c>
      <c r="C1251" s="98" t="s">
        <v>8514</v>
      </c>
      <c r="D1251" s="101" t="s">
        <v>5</v>
      </c>
      <c r="E1251" s="101" t="s">
        <v>10503</v>
      </c>
      <c r="F1251" s="101"/>
      <c r="G1251" s="101" t="s">
        <v>353</v>
      </c>
      <c r="H1251" s="141" t="s">
        <v>8215</v>
      </c>
      <c r="I1251" s="101" t="s">
        <v>8247</v>
      </c>
      <c r="J1251" s="101" t="s">
        <v>10490</v>
      </c>
      <c r="K1251" s="107"/>
    </row>
    <row r="1252" ht="15" spans="1:11">
      <c r="A1252" s="49" t="s">
        <v>66</v>
      </c>
      <c r="B1252" s="101" t="s">
        <v>10504</v>
      </c>
      <c r="C1252" s="98" t="s">
        <v>8514</v>
      </c>
      <c r="D1252" s="101" t="s">
        <v>5</v>
      </c>
      <c r="E1252" s="101" t="s">
        <v>10505</v>
      </c>
      <c r="F1252" s="101"/>
      <c r="G1252" s="101" t="s">
        <v>353</v>
      </c>
      <c r="H1252" s="141" t="s">
        <v>8215</v>
      </c>
      <c r="I1252" s="101" t="s">
        <v>8247</v>
      </c>
      <c r="J1252" s="101" t="s">
        <v>10490</v>
      </c>
      <c r="K1252" s="107"/>
    </row>
    <row r="1253" ht="15" spans="1:11">
      <c r="A1253" s="49" t="s">
        <v>66</v>
      </c>
      <c r="B1253" s="101" t="s">
        <v>10506</v>
      </c>
      <c r="C1253" s="98" t="s">
        <v>8514</v>
      </c>
      <c r="D1253" s="101" t="s">
        <v>5</v>
      </c>
      <c r="E1253" s="101" t="s">
        <v>10507</v>
      </c>
      <c r="F1253" s="101"/>
      <c r="G1253" s="101" t="s">
        <v>353</v>
      </c>
      <c r="H1253" s="141" t="s">
        <v>8215</v>
      </c>
      <c r="I1253" s="101" t="s">
        <v>8247</v>
      </c>
      <c r="J1253" s="101" t="s">
        <v>10490</v>
      </c>
      <c r="K1253" s="107"/>
    </row>
    <row r="1254" ht="15" spans="1:11">
      <c r="A1254" s="49" t="s">
        <v>66</v>
      </c>
      <c r="B1254" s="101" t="s">
        <v>10508</v>
      </c>
      <c r="C1254" s="98" t="s">
        <v>8514</v>
      </c>
      <c r="D1254" s="101" t="s">
        <v>5</v>
      </c>
      <c r="E1254" s="101" t="s">
        <v>10507</v>
      </c>
      <c r="F1254" s="101"/>
      <c r="G1254" s="101" t="s">
        <v>353</v>
      </c>
      <c r="H1254" s="141" t="s">
        <v>8320</v>
      </c>
      <c r="I1254" s="101" t="s">
        <v>8247</v>
      </c>
      <c r="J1254" s="101" t="s">
        <v>10490</v>
      </c>
      <c r="K1254" s="107"/>
    </row>
    <row r="1255" ht="15" spans="1:11">
      <c r="A1255" s="49" t="s">
        <v>66</v>
      </c>
      <c r="B1255" s="101" t="s">
        <v>10509</v>
      </c>
      <c r="C1255" s="98" t="s">
        <v>8514</v>
      </c>
      <c r="D1255" s="101" t="s">
        <v>4</v>
      </c>
      <c r="E1255" s="101" t="s">
        <v>10510</v>
      </c>
      <c r="F1255" s="101"/>
      <c r="G1255" s="101" t="s">
        <v>353</v>
      </c>
      <c r="H1255" s="141" t="s">
        <v>8215</v>
      </c>
      <c r="I1255" s="141" t="s">
        <v>8215</v>
      </c>
      <c r="J1255" s="101" t="s">
        <v>10490</v>
      </c>
      <c r="K1255" s="107"/>
    </row>
    <row r="1256" ht="15" spans="1:11">
      <c r="A1256" s="49" t="s">
        <v>66</v>
      </c>
      <c r="B1256" s="101" t="s">
        <v>10511</v>
      </c>
      <c r="C1256" s="98" t="s">
        <v>8514</v>
      </c>
      <c r="D1256" s="101" t="s">
        <v>4</v>
      </c>
      <c r="E1256" s="101" t="s">
        <v>10510</v>
      </c>
      <c r="F1256" s="101"/>
      <c r="G1256" s="101" t="s">
        <v>353</v>
      </c>
      <c r="H1256" s="141" t="s">
        <v>8215</v>
      </c>
      <c r="I1256" s="141" t="s">
        <v>8215</v>
      </c>
      <c r="J1256" s="101" t="s">
        <v>10490</v>
      </c>
      <c r="K1256" s="107"/>
    </row>
    <row r="1257" ht="15" spans="1:11">
      <c r="A1257" s="49" t="s">
        <v>66</v>
      </c>
      <c r="B1257" s="101" t="s">
        <v>10512</v>
      </c>
      <c r="C1257" s="98" t="s">
        <v>8514</v>
      </c>
      <c r="D1257" s="101" t="s">
        <v>4</v>
      </c>
      <c r="E1257" s="101" t="s">
        <v>10510</v>
      </c>
      <c r="F1257" s="101"/>
      <c r="G1257" s="101" t="s">
        <v>353</v>
      </c>
      <c r="H1257" s="141" t="s">
        <v>8215</v>
      </c>
      <c r="I1257" s="141" t="s">
        <v>8215</v>
      </c>
      <c r="J1257" s="101" t="s">
        <v>10490</v>
      </c>
      <c r="K1257" s="107"/>
    </row>
    <row r="1258" ht="15" spans="1:11">
      <c r="A1258" s="49" t="s">
        <v>66</v>
      </c>
      <c r="B1258" s="101" t="s">
        <v>10513</v>
      </c>
      <c r="C1258" s="98" t="s">
        <v>8514</v>
      </c>
      <c r="D1258" s="101" t="s">
        <v>5</v>
      </c>
      <c r="E1258" s="101" t="s">
        <v>10514</v>
      </c>
      <c r="F1258" s="101"/>
      <c r="G1258" s="101" t="s">
        <v>353</v>
      </c>
      <c r="H1258" s="141" t="s">
        <v>8215</v>
      </c>
      <c r="I1258" s="141"/>
      <c r="J1258" s="101" t="s">
        <v>10490</v>
      </c>
      <c r="K1258" s="107"/>
    </row>
    <row r="1259" ht="15" spans="1:11">
      <c r="A1259" s="49" t="s">
        <v>66</v>
      </c>
      <c r="B1259" s="101" t="s">
        <v>10515</v>
      </c>
      <c r="C1259" s="98" t="s">
        <v>8514</v>
      </c>
      <c r="D1259" s="101" t="s">
        <v>5</v>
      </c>
      <c r="E1259" s="101" t="s">
        <v>10514</v>
      </c>
      <c r="F1259" s="101"/>
      <c r="G1259" s="101" t="s">
        <v>353</v>
      </c>
      <c r="H1259" s="141" t="s">
        <v>8215</v>
      </c>
      <c r="I1259" s="141" t="s">
        <v>8320</v>
      </c>
      <c r="J1259" s="101" t="s">
        <v>10490</v>
      </c>
      <c r="K1259" s="107"/>
    </row>
    <row r="1260" ht="15" spans="1:11">
      <c r="A1260" s="49" t="s">
        <v>66</v>
      </c>
      <c r="B1260" s="101" t="s">
        <v>10516</v>
      </c>
      <c r="C1260" s="98" t="s">
        <v>8514</v>
      </c>
      <c r="D1260" s="101" t="s">
        <v>5</v>
      </c>
      <c r="E1260" s="101" t="s">
        <v>10517</v>
      </c>
      <c r="F1260" s="101"/>
      <c r="G1260" s="101" t="s">
        <v>353</v>
      </c>
      <c r="H1260" s="141" t="s">
        <v>8320</v>
      </c>
      <c r="I1260" s="141" t="s">
        <v>8247</v>
      </c>
      <c r="J1260" s="101" t="s">
        <v>10490</v>
      </c>
      <c r="K1260" s="107"/>
    </row>
    <row r="1261" s="89" customFormat="1" ht="15" spans="1:255">
      <c r="A1261" s="49" t="s">
        <v>66</v>
      </c>
      <c r="B1261" s="101" t="s">
        <v>10518</v>
      </c>
      <c r="C1261" s="98" t="s">
        <v>8272</v>
      </c>
      <c r="D1261" s="101" t="s">
        <v>4</v>
      </c>
      <c r="E1261" s="101" t="s">
        <v>10517</v>
      </c>
      <c r="F1261" s="101" t="s">
        <v>10519</v>
      </c>
      <c r="G1261" s="101" t="s">
        <v>353</v>
      </c>
      <c r="H1261" s="141" t="s">
        <v>8215</v>
      </c>
      <c r="I1261" s="141" t="s">
        <v>8215</v>
      </c>
      <c r="J1261" s="101" t="s">
        <v>9576</v>
      </c>
      <c r="K1261" s="107" t="s">
        <v>8469</v>
      </c>
      <c r="L1261" s="90"/>
      <c r="M1261" s="90"/>
      <c r="N1261" s="90"/>
      <c r="O1261" s="90"/>
      <c r="P1261" s="90"/>
      <c r="Q1261" s="90"/>
      <c r="R1261" s="90"/>
      <c r="S1261" s="90"/>
      <c r="T1261" s="90"/>
      <c r="U1261" s="90"/>
      <c r="V1261" s="90"/>
      <c r="W1261" s="90"/>
      <c r="X1261" s="90"/>
      <c r="Y1261" s="90"/>
      <c r="Z1261" s="90"/>
      <c r="AA1261" s="90"/>
      <c r="AB1261" s="90"/>
      <c r="AC1261" s="90"/>
      <c r="AD1261" s="90"/>
      <c r="AE1261" s="90"/>
      <c r="AF1261" s="90"/>
      <c r="AG1261" s="90"/>
      <c r="AH1261" s="90"/>
      <c r="AI1261" s="90"/>
      <c r="AJ1261" s="90"/>
      <c r="AK1261" s="90"/>
      <c r="AL1261" s="90"/>
      <c r="AM1261" s="90"/>
      <c r="AN1261" s="90"/>
      <c r="AO1261" s="90"/>
      <c r="AP1261" s="90"/>
      <c r="AQ1261" s="90"/>
      <c r="AR1261" s="90"/>
      <c r="AS1261" s="90"/>
      <c r="AT1261" s="90"/>
      <c r="AU1261" s="90"/>
      <c r="AV1261" s="90"/>
      <c r="AW1261" s="90"/>
      <c r="AX1261" s="90"/>
      <c r="AY1261" s="90"/>
      <c r="AZ1261" s="90"/>
      <c r="BA1261" s="90"/>
      <c r="BB1261" s="90"/>
      <c r="BC1261" s="90"/>
      <c r="BD1261" s="90"/>
      <c r="BE1261" s="90"/>
      <c r="BF1261" s="90"/>
      <c r="BG1261" s="90"/>
      <c r="BH1261" s="90"/>
      <c r="BI1261" s="90"/>
      <c r="BJ1261" s="90"/>
      <c r="BK1261" s="90"/>
      <c r="BL1261" s="90"/>
      <c r="BM1261" s="90"/>
      <c r="BN1261" s="90"/>
      <c r="BO1261" s="90"/>
      <c r="BP1261" s="90"/>
      <c r="BQ1261" s="90"/>
      <c r="BR1261" s="90"/>
      <c r="BS1261" s="90"/>
      <c r="BT1261" s="90"/>
      <c r="BU1261" s="90"/>
      <c r="BV1261" s="90"/>
      <c r="BW1261" s="90"/>
      <c r="BX1261" s="90"/>
      <c r="BY1261" s="90"/>
      <c r="BZ1261" s="90"/>
      <c r="CA1261" s="90"/>
      <c r="CB1261" s="90"/>
      <c r="CC1261" s="90"/>
      <c r="CD1261" s="90"/>
      <c r="CE1261" s="90"/>
      <c r="CF1261" s="90"/>
      <c r="CG1261" s="90"/>
      <c r="CH1261" s="90"/>
      <c r="CI1261" s="90"/>
      <c r="CJ1261" s="90"/>
      <c r="CK1261" s="90"/>
      <c r="CL1261" s="90"/>
      <c r="CM1261" s="90"/>
      <c r="CN1261" s="90"/>
      <c r="CO1261" s="90"/>
      <c r="CP1261" s="90"/>
      <c r="CQ1261" s="90"/>
      <c r="CR1261" s="90"/>
      <c r="CS1261" s="90"/>
      <c r="CT1261" s="90"/>
      <c r="CU1261" s="90"/>
      <c r="CV1261" s="90"/>
      <c r="CW1261" s="90"/>
      <c r="CX1261" s="90"/>
      <c r="CY1261" s="90"/>
      <c r="CZ1261" s="90"/>
      <c r="DA1261" s="90"/>
      <c r="DB1261" s="90"/>
      <c r="DC1261" s="90"/>
      <c r="DD1261" s="90"/>
      <c r="DE1261" s="90"/>
      <c r="DF1261" s="90"/>
      <c r="DG1261" s="90"/>
      <c r="DH1261" s="90"/>
      <c r="DI1261" s="90"/>
      <c r="DJ1261" s="90"/>
      <c r="DK1261" s="90"/>
      <c r="DL1261" s="90"/>
      <c r="DM1261" s="90"/>
      <c r="DN1261" s="90"/>
      <c r="DO1261" s="90"/>
      <c r="DP1261" s="90"/>
      <c r="DQ1261" s="90"/>
      <c r="DR1261" s="90"/>
      <c r="DS1261" s="90"/>
      <c r="DT1261" s="90"/>
      <c r="DU1261" s="90"/>
      <c r="DV1261" s="90"/>
      <c r="DW1261" s="90"/>
      <c r="DX1261" s="90"/>
      <c r="DY1261" s="90"/>
      <c r="DZ1261" s="90"/>
      <c r="EA1261" s="90"/>
      <c r="EB1261" s="90"/>
      <c r="EC1261" s="90"/>
      <c r="ED1261" s="90"/>
      <c r="EE1261" s="90"/>
      <c r="EF1261" s="90"/>
      <c r="EG1261" s="90"/>
      <c r="EH1261" s="90"/>
      <c r="EI1261" s="90"/>
      <c r="EJ1261" s="90"/>
      <c r="EK1261" s="90"/>
      <c r="EL1261" s="90"/>
      <c r="EM1261" s="90"/>
      <c r="EN1261" s="90"/>
      <c r="EO1261" s="90"/>
      <c r="EP1261" s="90"/>
      <c r="EQ1261" s="90"/>
      <c r="ER1261" s="90"/>
      <c r="ES1261" s="90"/>
      <c r="ET1261" s="90"/>
      <c r="EU1261" s="90"/>
      <c r="EV1261" s="90"/>
      <c r="EW1261" s="90"/>
      <c r="EX1261" s="90"/>
      <c r="EY1261" s="90"/>
      <c r="EZ1261" s="90"/>
      <c r="FA1261" s="90"/>
      <c r="FB1261" s="90"/>
      <c r="FC1261" s="90"/>
      <c r="FD1261" s="90"/>
      <c r="FE1261" s="90"/>
      <c r="FF1261" s="90"/>
      <c r="FG1261" s="90"/>
      <c r="FH1261" s="90"/>
      <c r="FI1261" s="90"/>
      <c r="FJ1261" s="90"/>
      <c r="FK1261" s="90"/>
      <c r="FL1261" s="90"/>
      <c r="FM1261" s="90"/>
      <c r="FN1261" s="90"/>
      <c r="FO1261" s="90"/>
      <c r="FP1261" s="90"/>
      <c r="FQ1261" s="90"/>
      <c r="FR1261" s="90"/>
      <c r="FS1261" s="90"/>
      <c r="FT1261" s="90"/>
      <c r="FU1261" s="90"/>
      <c r="FV1261" s="90"/>
      <c r="FW1261" s="90"/>
      <c r="FX1261" s="90"/>
      <c r="FY1261" s="90"/>
      <c r="FZ1261" s="90"/>
      <c r="GA1261" s="90"/>
      <c r="GB1261" s="90"/>
      <c r="GC1261" s="90"/>
      <c r="GD1261" s="90"/>
      <c r="GE1261" s="90"/>
      <c r="GF1261" s="90"/>
      <c r="GG1261" s="90"/>
      <c r="GH1261" s="90"/>
      <c r="GI1261" s="90"/>
      <c r="GJ1261" s="90"/>
      <c r="GK1261" s="90"/>
      <c r="GL1261" s="90"/>
      <c r="GM1261" s="90"/>
      <c r="GN1261" s="90"/>
      <c r="GO1261" s="90"/>
      <c r="GP1261" s="90"/>
      <c r="GQ1261" s="90"/>
      <c r="GR1261" s="90"/>
      <c r="GS1261" s="90"/>
      <c r="GT1261" s="90"/>
      <c r="GU1261" s="90"/>
      <c r="GV1261" s="90"/>
      <c r="GW1261" s="90"/>
      <c r="GX1261" s="90"/>
      <c r="GY1261" s="90"/>
      <c r="GZ1261" s="90"/>
      <c r="HA1261" s="90"/>
      <c r="HB1261" s="90"/>
      <c r="HC1261" s="90"/>
      <c r="HD1261" s="90"/>
      <c r="HE1261" s="90"/>
      <c r="HF1261" s="90"/>
      <c r="HG1261" s="90"/>
      <c r="HH1261" s="90"/>
      <c r="HI1261" s="90"/>
      <c r="HJ1261" s="90"/>
      <c r="HK1261" s="90"/>
      <c r="HL1261" s="90"/>
      <c r="HM1261" s="90"/>
      <c r="HN1261" s="90"/>
      <c r="HO1261" s="90"/>
      <c r="HP1261" s="90"/>
      <c r="HQ1261" s="90"/>
      <c r="HR1261" s="90"/>
      <c r="HS1261" s="90"/>
      <c r="HT1261" s="90"/>
      <c r="HU1261" s="90"/>
      <c r="HV1261" s="90"/>
      <c r="HW1261" s="90"/>
      <c r="HX1261" s="90"/>
      <c r="HY1261" s="90"/>
      <c r="HZ1261" s="90"/>
      <c r="IA1261" s="90"/>
      <c r="IB1261" s="90"/>
      <c r="IC1261" s="90"/>
      <c r="ID1261" s="90"/>
      <c r="IE1261" s="90"/>
      <c r="IF1261" s="90"/>
      <c r="IG1261" s="90"/>
      <c r="IH1261" s="90"/>
      <c r="II1261" s="90"/>
      <c r="IJ1261" s="90"/>
      <c r="IK1261" s="90"/>
      <c r="IL1261" s="90"/>
      <c r="IM1261" s="90"/>
      <c r="IN1261" s="90"/>
      <c r="IO1261" s="90"/>
      <c r="IP1261" s="90"/>
      <c r="IQ1261" s="90"/>
      <c r="IR1261" s="90"/>
      <c r="IS1261" s="90"/>
      <c r="IT1261" s="90"/>
      <c r="IU1261" s="90"/>
    </row>
    <row r="1262" ht="15" spans="1:11">
      <c r="A1262" s="49" t="s">
        <v>66</v>
      </c>
      <c r="B1262" s="101" t="s">
        <v>10520</v>
      </c>
      <c r="C1262" s="98" t="s">
        <v>8514</v>
      </c>
      <c r="D1262" s="101" t="s">
        <v>4</v>
      </c>
      <c r="E1262" s="101" t="s">
        <v>10521</v>
      </c>
      <c r="F1262" s="101"/>
      <c r="G1262" s="101" t="s">
        <v>353</v>
      </c>
      <c r="H1262" s="141" t="s">
        <v>8215</v>
      </c>
      <c r="I1262" s="141" t="s">
        <v>8215</v>
      </c>
      <c r="J1262" s="101" t="s">
        <v>10490</v>
      </c>
      <c r="K1262" s="107"/>
    </row>
    <row r="1263" ht="15" spans="1:11">
      <c r="A1263" s="49" t="s">
        <v>66</v>
      </c>
      <c r="B1263" s="101" t="s">
        <v>10522</v>
      </c>
      <c r="C1263" s="98" t="s">
        <v>8514</v>
      </c>
      <c r="D1263" s="101" t="s">
        <v>4</v>
      </c>
      <c r="E1263" s="101" t="s">
        <v>10521</v>
      </c>
      <c r="F1263" s="101"/>
      <c r="G1263" s="101" t="s">
        <v>353</v>
      </c>
      <c r="H1263" s="141" t="s">
        <v>8320</v>
      </c>
      <c r="I1263" s="141" t="s">
        <v>8247</v>
      </c>
      <c r="J1263" s="101" t="s">
        <v>10523</v>
      </c>
      <c r="K1263" s="107"/>
    </row>
    <row r="1264" ht="15" spans="1:11">
      <c r="A1264" s="49" t="s">
        <v>66</v>
      </c>
      <c r="B1264" s="101" t="s">
        <v>10524</v>
      </c>
      <c r="C1264" s="98" t="s">
        <v>8514</v>
      </c>
      <c r="D1264" s="101" t="s">
        <v>4</v>
      </c>
      <c r="E1264" s="101" t="s">
        <v>10521</v>
      </c>
      <c r="F1264" s="101"/>
      <c r="G1264" s="101" t="s">
        <v>353</v>
      </c>
      <c r="H1264" s="141" t="s">
        <v>8215</v>
      </c>
      <c r="I1264" s="141" t="s">
        <v>8215</v>
      </c>
      <c r="J1264" s="101" t="s">
        <v>10525</v>
      </c>
      <c r="K1264" s="107"/>
    </row>
    <row r="1265" ht="15" spans="1:11">
      <c r="A1265" s="49" t="s">
        <v>66</v>
      </c>
      <c r="B1265" s="101" t="s">
        <v>10526</v>
      </c>
      <c r="C1265" s="98" t="s">
        <v>8514</v>
      </c>
      <c r="D1265" s="101" t="s">
        <v>5</v>
      </c>
      <c r="E1265" s="101" t="s">
        <v>10527</v>
      </c>
      <c r="F1265" s="101"/>
      <c r="G1265" s="101" t="s">
        <v>353</v>
      </c>
      <c r="H1265" s="141" t="s">
        <v>8320</v>
      </c>
      <c r="I1265" s="141" t="s">
        <v>8247</v>
      </c>
      <c r="J1265" s="101" t="s">
        <v>10490</v>
      </c>
      <c r="K1265" s="107"/>
    </row>
    <row r="1266" ht="15" spans="1:11">
      <c r="A1266" s="49" t="s">
        <v>66</v>
      </c>
      <c r="B1266" s="101" t="s">
        <v>10528</v>
      </c>
      <c r="C1266" s="98" t="s">
        <v>8514</v>
      </c>
      <c r="D1266" s="101" t="s">
        <v>5</v>
      </c>
      <c r="E1266" s="101" t="s">
        <v>10529</v>
      </c>
      <c r="F1266" s="101"/>
      <c r="G1266" s="101" t="s">
        <v>353</v>
      </c>
      <c r="H1266" s="101" t="s">
        <v>8215</v>
      </c>
      <c r="I1266" s="101" t="s">
        <v>8215</v>
      </c>
      <c r="J1266" s="101" t="s">
        <v>10490</v>
      </c>
      <c r="K1266" s="107"/>
    </row>
    <row r="1267" ht="15" spans="1:11">
      <c r="A1267" s="49" t="s">
        <v>66</v>
      </c>
      <c r="B1267" s="101" t="s">
        <v>10530</v>
      </c>
      <c r="C1267" s="98" t="s">
        <v>8514</v>
      </c>
      <c r="D1267" s="101" t="s">
        <v>4</v>
      </c>
      <c r="E1267" s="101" t="s">
        <v>10531</v>
      </c>
      <c r="F1267" s="101"/>
      <c r="G1267" s="101" t="s">
        <v>353</v>
      </c>
      <c r="H1267" s="49"/>
      <c r="I1267" s="137"/>
      <c r="J1267" s="49"/>
      <c r="K1267" s="107"/>
    </row>
    <row r="1268" ht="15" spans="1:11">
      <c r="A1268" s="49" t="s">
        <v>66</v>
      </c>
      <c r="B1268" s="101" t="s">
        <v>10532</v>
      </c>
      <c r="C1268" s="98" t="s">
        <v>8514</v>
      </c>
      <c r="D1268" s="101" t="s">
        <v>4</v>
      </c>
      <c r="E1268" s="101" t="s">
        <v>10533</v>
      </c>
      <c r="F1268" s="101"/>
      <c r="G1268" s="101" t="s">
        <v>353</v>
      </c>
      <c r="H1268" s="101" t="s">
        <v>8215</v>
      </c>
      <c r="I1268" s="101" t="s">
        <v>8215</v>
      </c>
      <c r="J1268" s="101" t="s">
        <v>10490</v>
      </c>
      <c r="K1268" s="107"/>
    </row>
    <row r="1269" ht="15" spans="1:11">
      <c r="A1269" s="49" t="s">
        <v>66</v>
      </c>
      <c r="B1269" s="101" t="s">
        <v>10534</v>
      </c>
      <c r="C1269" s="98" t="s">
        <v>8514</v>
      </c>
      <c r="D1269" s="101" t="s">
        <v>4</v>
      </c>
      <c r="E1269" s="101" t="s">
        <v>10533</v>
      </c>
      <c r="F1269" s="101"/>
      <c r="G1269" s="101" t="s">
        <v>353</v>
      </c>
      <c r="H1269" s="101" t="s">
        <v>8215</v>
      </c>
      <c r="I1269" s="101" t="s">
        <v>8215</v>
      </c>
      <c r="J1269" s="101" t="s">
        <v>10490</v>
      </c>
      <c r="K1269" s="107"/>
    </row>
    <row r="1270" ht="15" spans="1:11">
      <c r="A1270" s="49" t="s">
        <v>66</v>
      </c>
      <c r="B1270" s="101" t="s">
        <v>10535</v>
      </c>
      <c r="C1270" s="98" t="s">
        <v>8514</v>
      </c>
      <c r="D1270" s="101" t="s">
        <v>4</v>
      </c>
      <c r="E1270" s="101" t="s">
        <v>10533</v>
      </c>
      <c r="F1270" s="101"/>
      <c r="G1270" s="101" t="s">
        <v>353</v>
      </c>
      <c r="H1270" s="101"/>
      <c r="I1270" s="101"/>
      <c r="J1270" s="101" t="s">
        <v>10299</v>
      </c>
      <c r="K1270" s="107"/>
    </row>
    <row r="1271" s="89" customFormat="1" ht="30" spans="1:255">
      <c r="A1271" s="49" t="s">
        <v>66</v>
      </c>
      <c r="B1271" s="101" t="s">
        <v>10536</v>
      </c>
      <c r="C1271" s="98" t="s">
        <v>8272</v>
      </c>
      <c r="D1271" s="101" t="s">
        <v>4</v>
      </c>
      <c r="E1271" s="101" t="s">
        <v>10533</v>
      </c>
      <c r="F1271" s="101"/>
      <c r="G1271" s="101" t="s">
        <v>353</v>
      </c>
      <c r="H1271" s="101" t="s">
        <v>8252</v>
      </c>
      <c r="I1271" s="101" t="s">
        <v>8252</v>
      </c>
      <c r="J1271" s="101" t="s">
        <v>8905</v>
      </c>
      <c r="K1271" s="107" t="s">
        <v>10537</v>
      </c>
      <c r="L1271" s="90"/>
      <c r="M1271" s="90"/>
      <c r="N1271" s="90"/>
      <c r="O1271" s="90"/>
      <c r="P1271" s="90"/>
      <c r="Q1271" s="90"/>
      <c r="R1271" s="90"/>
      <c r="S1271" s="90"/>
      <c r="T1271" s="90"/>
      <c r="U1271" s="90"/>
      <c r="V1271" s="90"/>
      <c r="W1271" s="90"/>
      <c r="X1271" s="90"/>
      <c r="Y1271" s="90"/>
      <c r="Z1271" s="90"/>
      <c r="AA1271" s="90"/>
      <c r="AB1271" s="90"/>
      <c r="AC1271" s="90"/>
      <c r="AD1271" s="90"/>
      <c r="AE1271" s="90"/>
      <c r="AF1271" s="90"/>
      <c r="AG1271" s="90"/>
      <c r="AH1271" s="90"/>
      <c r="AI1271" s="90"/>
      <c r="AJ1271" s="90"/>
      <c r="AK1271" s="90"/>
      <c r="AL1271" s="90"/>
      <c r="AM1271" s="90"/>
      <c r="AN1271" s="90"/>
      <c r="AO1271" s="90"/>
      <c r="AP1271" s="90"/>
      <c r="AQ1271" s="90"/>
      <c r="AR1271" s="90"/>
      <c r="AS1271" s="90"/>
      <c r="AT1271" s="90"/>
      <c r="AU1271" s="90"/>
      <c r="AV1271" s="90"/>
      <c r="AW1271" s="90"/>
      <c r="AX1271" s="90"/>
      <c r="AY1271" s="90"/>
      <c r="AZ1271" s="90"/>
      <c r="BA1271" s="90"/>
      <c r="BB1271" s="90"/>
      <c r="BC1271" s="90"/>
      <c r="BD1271" s="90"/>
      <c r="BE1271" s="90"/>
      <c r="BF1271" s="90"/>
      <c r="BG1271" s="90"/>
      <c r="BH1271" s="90"/>
      <c r="BI1271" s="90"/>
      <c r="BJ1271" s="90"/>
      <c r="BK1271" s="90"/>
      <c r="BL1271" s="90"/>
      <c r="BM1271" s="90"/>
      <c r="BN1271" s="90"/>
      <c r="BO1271" s="90"/>
      <c r="BP1271" s="90"/>
      <c r="BQ1271" s="90"/>
      <c r="BR1271" s="90"/>
      <c r="BS1271" s="90"/>
      <c r="BT1271" s="90"/>
      <c r="BU1271" s="90"/>
      <c r="BV1271" s="90"/>
      <c r="BW1271" s="90"/>
      <c r="BX1271" s="90"/>
      <c r="BY1271" s="90"/>
      <c r="BZ1271" s="90"/>
      <c r="CA1271" s="90"/>
      <c r="CB1271" s="90"/>
      <c r="CC1271" s="90"/>
      <c r="CD1271" s="90"/>
      <c r="CE1271" s="90"/>
      <c r="CF1271" s="90"/>
      <c r="CG1271" s="90"/>
      <c r="CH1271" s="90"/>
      <c r="CI1271" s="90"/>
      <c r="CJ1271" s="90"/>
      <c r="CK1271" s="90"/>
      <c r="CL1271" s="90"/>
      <c r="CM1271" s="90"/>
      <c r="CN1271" s="90"/>
      <c r="CO1271" s="90"/>
      <c r="CP1271" s="90"/>
      <c r="CQ1271" s="90"/>
      <c r="CR1271" s="90"/>
      <c r="CS1271" s="90"/>
      <c r="CT1271" s="90"/>
      <c r="CU1271" s="90"/>
      <c r="CV1271" s="90"/>
      <c r="CW1271" s="90"/>
      <c r="CX1271" s="90"/>
      <c r="CY1271" s="90"/>
      <c r="CZ1271" s="90"/>
      <c r="DA1271" s="90"/>
      <c r="DB1271" s="90"/>
      <c r="DC1271" s="90"/>
      <c r="DD1271" s="90"/>
      <c r="DE1271" s="90"/>
      <c r="DF1271" s="90"/>
      <c r="DG1271" s="90"/>
      <c r="DH1271" s="90"/>
      <c r="DI1271" s="90"/>
      <c r="DJ1271" s="90"/>
      <c r="DK1271" s="90"/>
      <c r="DL1271" s="90"/>
      <c r="DM1271" s="90"/>
      <c r="DN1271" s="90"/>
      <c r="DO1271" s="90"/>
      <c r="DP1271" s="90"/>
      <c r="DQ1271" s="90"/>
      <c r="DR1271" s="90"/>
      <c r="DS1271" s="90"/>
      <c r="DT1271" s="90"/>
      <c r="DU1271" s="90"/>
      <c r="DV1271" s="90"/>
      <c r="DW1271" s="90"/>
      <c r="DX1271" s="90"/>
      <c r="DY1271" s="90"/>
      <c r="DZ1271" s="90"/>
      <c r="EA1271" s="90"/>
      <c r="EB1271" s="90"/>
      <c r="EC1271" s="90"/>
      <c r="ED1271" s="90"/>
      <c r="EE1271" s="90"/>
      <c r="EF1271" s="90"/>
      <c r="EG1271" s="90"/>
      <c r="EH1271" s="90"/>
      <c r="EI1271" s="90"/>
      <c r="EJ1271" s="90"/>
      <c r="EK1271" s="90"/>
      <c r="EL1271" s="90"/>
      <c r="EM1271" s="90"/>
      <c r="EN1271" s="90"/>
      <c r="EO1271" s="90"/>
      <c r="EP1271" s="90"/>
      <c r="EQ1271" s="90"/>
      <c r="ER1271" s="90"/>
      <c r="ES1271" s="90"/>
      <c r="ET1271" s="90"/>
      <c r="EU1271" s="90"/>
      <c r="EV1271" s="90"/>
      <c r="EW1271" s="90"/>
      <c r="EX1271" s="90"/>
      <c r="EY1271" s="90"/>
      <c r="EZ1271" s="90"/>
      <c r="FA1271" s="90"/>
      <c r="FB1271" s="90"/>
      <c r="FC1271" s="90"/>
      <c r="FD1271" s="90"/>
      <c r="FE1271" s="90"/>
      <c r="FF1271" s="90"/>
      <c r="FG1271" s="90"/>
      <c r="FH1271" s="90"/>
      <c r="FI1271" s="90"/>
      <c r="FJ1271" s="90"/>
      <c r="FK1271" s="90"/>
      <c r="FL1271" s="90"/>
      <c r="FM1271" s="90"/>
      <c r="FN1271" s="90"/>
      <c r="FO1271" s="90"/>
      <c r="FP1271" s="90"/>
      <c r="FQ1271" s="90"/>
      <c r="FR1271" s="90"/>
      <c r="FS1271" s="90"/>
      <c r="FT1271" s="90"/>
      <c r="FU1271" s="90"/>
      <c r="FV1271" s="90"/>
      <c r="FW1271" s="90"/>
      <c r="FX1271" s="90"/>
      <c r="FY1271" s="90"/>
      <c r="FZ1271" s="90"/>
      <c r="GA1271" s="90"/>
      <c r="GB1271" s="90"/>
      <c r="GC1271" s="90"/>
      <c r="GD1271" s="90"/>
      <c r="GE1271" s="90"/>
      <c r="GF1271" s="90"/>
      <c r="GG1271" s="90"/>
      <c r="GH1271" s="90"/>
      <c r="GI1271" s="90"/>
      <c r="GJ1271" s="90"/>
      <c r="GK1271" s="90"/>
      <c r="GL1271" s="90"/>
      <c r="GM1271" s="90"/>
      <c r="GN1271" s="90"/>
      <c r="GO1271" s="90"/>
      <c r="GP1271" s="90"/>
      <c r="GQ1271" s="90"/>
      <c r="GR1271" s="90"/>
      <c r="GS1271" s="90"/>
      <c r="GT1271" s="90"/>
      <c r="GU1271" s="90"/>
      <c r="GV1271" s="90"/>
      <c r="GW1271" s="90"/>
      <c r="GX1271" s="90"/>
      <c r="GY1271" s="90"/>
      <c r="GZ1271" s="90"/>
      <c r="HA1271" s="90"/>
      <c r="HB1271" s="90"/>
      <c r="HC1271" s="90"/>
      <c r="HD1271" s="90"/>
      <c r="HE1271" s="90"/>
      <c r="HF1271" s="90"/>
      <c r="HG1271" s="90"/>
      <c r="HH1271" s="90"/>
      <c r="HI1271" s="90"/>
      <c r="HJ1271" s="90"/>
      <c r="HK1271" s="90"/>
      <c r="HL1271" s="90"/>
      <c r="HM1271" s="90"/>
      <c r="HN1271" s="90"/>
      <c r="HO1271" s="90"/>
      <c r="HP1271" s="90"/>
      <c r="HQ1271" s="90"/>
      <c r="HR1271" s="90"/>
      <c r="HS1271" s="90"/>
      <c r="HT1271" s="90"/>
      <c r="HU1271" s="90"/>
      <c r="HV1271" s="90"/>
      <c r="HW1271" s="90"/>
      <c r="HX1271" s="90"/>
      <c r="HY1271" s="90"/>
      <c r="HZ1271" s="90"/>
      <c r="IA1271" s="90"/>
      <c r="IB1271" s="90"/>
      <c r="IC1271" s="90"/>
      <c r="ID1271" s="90"/>
      <c r="IE1271" s="90"/>
      <c r="IF1271" s="90"/>
      <c r="IG1271" s="90"/>
      <c r="IH1271" s="90"/>
      <c r="II1271" s="90"/>
      <c r="IJ1271" s="90"/>
      <c r="IK1271" s="90"/>
      <c r="IL1271" s="90"/>
      <c r="IM1271" s="90"/>
      <c r="IN1271" s="90"/>
      <c r="IO1271" s="90"/>
      <c r="IP1271" s="90"/>
      <c r="IQ1271" s="90"/>
      <c r="IR1271" s="90"/>
      <c r="IS1271" s="90"/>
      <c r="IT1271" s="90"/>
      <c r="IU1271" s="90"/>
    </row>
    <row r="1272" ht="15" spans="1:11">
      <c r="A1272" s="49" t="s">
        <v>66</v>
      </c>
      <c r="B1272" s="101" t="s">
        <v>10538</v>
      </c>
      <c r="C1272" s="101" t="s">
        <v>8514</v>
      </c>
      <c r="D1272" s="101" t="s">
        <v>5</v>
      </c>
      <c r="E1272" s="101" t="s">
        <v>10539</v>
      </c>
      <c r="F1272" s="138"/>
      <c r="G1272" s="101" t="s">
        <v>353</v>
      </c>
      <c r="H1272" s="49" t="s">
        <v>8215</v>
      </c>
      <c r="I1272" s="137" t="s">
        <v>8215</v>
      </c>
      <c r="J1272" s="49"/>
      <c r="K1272" s="107"/>
    </row>
    <row r="1273" ht="15" spans="1:11">
      <c r="A1273" s="49" t="s">
        <v>66</v>
      </c>
      <c r="B1273" s="101" t="s">
        <v>10540</v>
      </c>
      <c r="C1273" s="98" t="s">
        <v>8514</v>
      </c>
      <c r="D1273" s="101" t="s">
        <v>4</v>
      </c>
      <c r="E1273" s="101" t="s">
        <v>10541</v>
      </c>
      <c r="F1273" s="98"/>
      <c r="G1273" s="98" t="s">
        <v>117</v>
      </c>
      <c r="H1273" s="117" t="s">
        <v>8215</v>
      </c>
      <c r="I1273" s="100" t="s">
        <v>8215</v>
      </c>
      <c r="J1273" s="117" t="s">
        <v>8556</v>
      </c>
      <c r="K1273" s="107"/>
    </row>
    <row r="1274" ht="15" spans="1:11">
      <c r="A1274" s="49" t="s">
        <v>66</v>
      </c>
      <c r="B1274" s="101" t="s">
        <v>10542</v>
      </c>
      <c r="C1274" s="98" t="s">
        <v>8514</v>
      </c>
      <c r="D1274" s="101" t="s">
        <v>4</v>
      </c>
      <c r="E1274" s="101" t="s">
        <v>10541</v>
      </c>
      <c r="F1274" s="98"/>
      <c r="G1274" s="98" t="s">
        <v>117</v>
      </c>
      <c r="H1274" s="117" t="s">
        <v>8215</v>
      </c>
      <c r="I1274" s="100" t="s">
        <v>8215</v>
      </c>
      <c r="J1274" s="117" t="s">
        <v>9317</v>
      </c>
      <c r="K1274" s="107"/>
    </row>
    <row r="1275" ht="15" spans="1:11">
      <c r="A1275" s="49" t="s">
        <v>66</v>
      </c>
      <c r="B1275" s="100" t="s">
        <v>10543</v>
      </c>
      <c r="C1275" s="98" t="s">
        <v>8514</v>
      </c>
      <c r="D1275" s="98" t="s">
        <v>4</v>
      </c>
      <c r="E1275" s="98" t="s">
        <v>10541</v>
      </c>
      <c r="F1275" s="98"/>
      <c r="G1275" s="98" t="s">
        <v>117</v>
      </c>
      <c r="H1275" s="118" t="s">
        <v>8215</v>
      </c>
      <c r="I1275" s="100" t="s">
        <v>8215</v>
      </c>
      <c r="J1275" s="100"/>
      <c r="K1275" s="107"/>
    </row>
    <row r="1276" ht="30" spans="1:11">
      <c r="A1276" s="49" t="s">
        <v>66</v>
      </c>
      <c r="B1276" s="101" t="s">
        <v>10544</v>
      </c>
      <c r="C1276" s="98" t="s">
        <v>8514</v>
      </c>
      <c r="D1276" s="101" t="s">
        <v>5</v>
      </c>
      <c r="E1276" s="101" t="s">
        <v>10545</v>
      </c>
      <c r="F1276" s="98"/>
      <c r="G1276" s="98" t="s">
        <v>117</v>
      </c>
      <c r="H1276" s="117" t="s">
        <v>10406</v>
      </c>
      <c r="I1276" s="100" t="s">
        <v>8247</v>
      </c>
      <c r="J1276" s="117" t="s">
        <v>10546</v>
      </c>
      <c r="K1276" s="107"/>
    </row>
    <row r="1277" s="90" customFormat="1" ht="15" spans="1:11">
      <c r="A1277" s="49" t="s">
        <v>81</v>
      </c>
      <c r="B1277" s="101" t="s">
        <v>10547</v>
      </c>
      <c r="C1277" s="98" t="s">
        <v>8293</v>
      </c>
      <c r="D1277" s="101" t="s">
        <v>4</v>
      </c>
      <c r="E1277" s="101" t="s">
        <v>10548</v>
      </c>
      <c r="F1277" s="98"/>
      <c r="G1277" s="98" t="s">
        <v>353</v>
      </c>
      <c r="H1277" s="117" t="s">
        <v>8215</v>
      </c>
      <c r="I1277" s="100" t="s">
        <v>8215</v>
      </c>
      <c r="J1277" s="117" t="s">
        <v>8888</v>
      </c>
      <c r="K1277" s="107">
        <v>2024.4</v>
      </c>
    </row>
    <row r="1278" s="90" customFormat="1" ht="15" spans="1:11">
      <c r="A1278" s="49" t="s">
        <v>81</v>
      </c>
      <c r="B1278" s="101" t="s">
        <v>10549</v>
      </c>
      <c r="C1278" s="98" t="s">
        <v>8293</v>
      </c>
      <c r="D1278" s="101" t="s">
        <v>4</v>
      </c>
      <c r="E1278" s="101" t="s">
        <v>10548</v>
      </c>
      <c r="F1278" s="98"/>
      <c r="G1278" s="98" t="s">
        <v>353</v>
      </c>
      <c r="H1278" s="117" t="s">
        <v>8215</v>
      </c>
      <c r="I1278" s="100" t="s">
        <v>8215</v>
      </c>
      <c r="J1278" s="117" t="s">
        <v>8459</v>
      </c>
      <c r="K1278" s="107">
        <v>2024.6</v>
      </c>
    </row>
    <row r="1279" s="90" customFormat="1" ht="15" spans="1:11">
      <c r="A1279" s="49" t="s">
        <v>81</v>
      </c>
      <c r="B1279" s="101" t="s">
        <v>10550</v>
      </c>
      <c r="C1279" s="98" t="s">
        <v>8272</v>
      </c>
      <c r="D1279" s="101" t="s">
        <v>4</v>
      </c>
      <c r="E1279" s="101" t="s">
        <v>10548</v>
      </c>
      <c r="F1279" s="98"/>
      <c r="G1279" s="98" t="s">
        <v>353</v>
      </c>
      <c r="H1279" s="117" t="s">
        <v>8215</v>
      </c>
      <c r="I1279" s="100" t="s">
        <v>8215</v>
      </c>
      <c r="J1279" s="117" t="s">
        <v>10032</v>
      </c>
      <c r="K1279" s="107" t="s">
        <v>8469</v>
      </c>
    </row>
    <row r="1280" s="91" customFormat="1" ht="15" spans="1:11">
      <c r="A1280" s="106" t="s">
        <v>81</v>
      </c>
      <c r="B1280" s="106" t="s">
        <v>10551</v>
      </c>
      <c r="C1280" s="106" t="s">
        <v>8293</v>
      </c>
      <c r="D1280" s="106" t="s">
        <v>4</v>
      </c>
      <c r="E1280" s="106" t="s">
        <v>10552</v>
      </c>
      <c r="F1280" s="106"/>
      <c r="G1280" s="106" t="s">
        <v>353</v>
      </c>
      <c r="H1280" s="106" t="s">
        <v>8215</v>
      </c>
      <c r="I1280" s="106" t="s">
        <v>8215</v>
      </c>
      <c r="J1280" s="106" t="s">
        <v>10553</v>
      </c>
      <c r="K1280" s="106">
        <v>2024.7</v>
      </c>
    </row>
    <row r="1281" ht="15" spans="1:11">
      <c r="A1281" s="49" t="s">
        <v>76</v>
      </c>
      <c r="B1281" s="101" t="s">
        <v>10554</v>
      </c>
      <c r="C1281" s="98" t="s">
        <v>8514</v>
      </c>
      <c r="D1281" s="101" t="s">
        <v>4</v>
      </c>
      <c r="E1281" s="101" t="s">
        <v>10555</v>
      </c>
      <c r="F1281" s="98"/>
      <c r="G1281" s="98" t="s">
        <v>117</v>
      </c>
      <c r="H1281" s="117" t="s">
        <v>8215</v>
      </c>
      <c r="I1281" s="100" t="s">
        <v>8215</v>
      </c>
      <c r="J1281" s="117" t="s">
        <v>10197</v>
      </c>
      <c r="K1281" s="107"/>
    </row>
    <row r="1282" ht="15" spans="1:11">
      <c r="A1282" s="49" t="s">
        <v>76</v>
      </c>
      <c r="B1282" s="101" t="s">
        <v>10556</v>
      </c>
      <c r="C1282" s="98" t="s">
        <v>8514</v>
      </c>
      <c r="D1282" s="101" t="s">
        <v>4</v>
      </c>
      <c r="E1282" s="101" t="s">
        <v>10555</v>
      </c>
      <c r="F1282" s="98"/>
      <c r="G1282" s="98" t="s">
        <v>117</v>
      </c>
      <c r="H1282" s="49" t="s">
        <v>8215</v>
      </c>
      <c r="I1282" s="100" t="s">
        <v>8215</v>
      </c>
      <c r="J1282" s="49"/>
      <c r="K1282" s="107"/>
    </row>
    <row r="1283" ht="15" spans="1:11">
      <c r="A1283" s="49" t="s">
        <v>76</v>
      </c>
      <c r="B1283" s="101" t="s">
        <v>10557</v>
      </c>
      <c r="C1283" s="98" t="s">
        <v>8514</v>
      </c>
      <c r="D1283" s="101" t="s">
        <v>4</v>
      </c>
      <c r="E1283" s="101" t="s">
        <v>10555</v>
      </c>
      <c r="F1283" s="98"/>
      <c r="G1283" s="98" t="s">
        <v>117</v>
      </c>
      <c r="H1283" s="117" t="s">
        <v>8215</v>
      </c>
      <c r="I1283" s="100" t="s">
        <v>8215</v>
      </c>
      <c r="J1283" s="117" t="s">
        <v>8730</v>
      </c>
      <c r="K1283" s="107"/>
    </row>
    <row r="1284" ht="15" spans="1:11">
      <c r="A1284" s="49" t="s">
        <v>76</v>
      </c>
      <c r="B1284" s="101" t="s">
        <v>10558</v>
      </c>
      <c r="C1284" s="98" t="s">
        <v>8514</v>
      </c>
      <c r="D1284" s="101" t="s">
        <v>4</v>
      </c>
      <c r="E1284" s="101" t="s">
        <v>10555</v>
      </c>
      <c r="F1284" s="98"/>
      <c r="G1284" s="98" t="s">
        <v>117</v>
      </c>
      <c r="H1284" s="117" t="s">
        <v>8215</v>
      </c>
      <c r="I1284" s="100" t="s">
        <v>8215</v>
      </c>
      <c r="J1284" s="117" t="s">
        <v>9174</v>
      </c>
      <c r="K1284" s="107"/>
    </row>
    <row r="1285" ht="15" spans="1:11">
      <c r="A1285" s="49" t="s">
        <v>76</v>
      </c>
      <c r="B1285" s="101" t="s">
        <v>10559</v>
      </c>
      <c r="C1285" s="98" t="s">
        <v>8514</v>
      </c>
      <c r="D1285" s="101" t="s">
        <v>4</v>
      </c>
      <c r="E1285" s="101" t="s">
        <v>10036</v>
      </c>
      <c r="F1285" s="98"/>
      <c r="G1285" s="98" t="s">
        <v>117</v>
      </c>
      <c r="H1285" s="117" t="s">
        <v>8215</v>
      </c>
      <c r="I1285" s="100" t="s">
        <v>8215</v>
      </c>
      <c r="J1285" s="117" t="s">
        <v>10560</v>
      </c>
      <c r="K1285" s="107"/>
    </row>
    <row r="1286" ht="15" spans="1:11">
      <c r="A1286" s="49" t="s">
        <v>76</v>
      </c>
      <c r="B1286" s="101" t="s">
        <v>10561</v>
      </c>
      <c r="C1286" s="98"/>
      <c r="D1286" s="101" t="s">
        <v>4</v>
      </c>
      <c r="E1286" s="101" t="s">
        <v>10036</v>
      </c>
      <c r="F1286" s="98"/>
      <c r="G1286" s="98" t="s">
        <v>117</v>
      </c>
      <c r="H1286" s="100" t="s">
        <v>8215</v>
      </c>
      <c r="I1286" s="100" t="s">
        <v>8215</v>
      </c>
      <c r="J1286" s="117" t="s">
        <v>8314</v>
      </c>
      <c r="K1286" s="107">
        <v>2024.1</v>
      </c>
    </row>
    <row r="1287" ht="15" spans="1:11">
      <c r="A1287" s="49" t="s">
        <v>76</v>
      </c>
      <c r="B1287" s="101" t="s">
        <v>10031</v>
      </c>
      <c r="C1287" s="98" t="s">
        <v>8514</v>
      </c>
      <c r="D1287" s="101" t="s">
        <v>4</v>
      </c>
      <c r="E1287" s="101" t="s">
        <v>10030</v>
      </c>
      <c r="F1287" s="98"/>
      <c r="G1287" s="98" t="s">
        <v>117</v>
      </c>
      <c r="H1287" s="117" t="s">
        <v>8215</v>
      </c>
      <c r="I1287" s="100" t="s">
        <v>8215</v>
      </c>
      <c r="J1287" s="117" t="s">
        <v>10562</v>
      </c>
      <c r="K1287" s="107"/>
    </row>
    <row r="1288" ht="15" spans="1:11">
      <c r="A1288" s="49" t="s">
        <v>76</v>
      </c>
      <c r="B1288" s="101" t="s">
        <v>10563</v>
      </c>
      <c r="C1288" s="98" t="s">
        <v>8514</v>
      </c>
      <c r="D1288" s="101" t="s">
        <v>4</v>
      </c>
      <c r="E1288" s="101" t="s">
        <v>10030</v>
      </c>
      <c r="F1288" s="98"/>
      <c r="G1288" s="98" t="s">
        <v>117</v>
      </c>
      <c r="H1288" s="117" t="s">
        <v>8215</v>
      </c>
      <c r="I1288" s="100" t="s">
        <v>8215</v>
      </c>
      <c r="J1288" s="117" t="s">
        <v>10347</v>
      </c>
      <c r="K1288" s="107"/>
    </row>
    <row r="1289" ht="15" spans="1:11">
      <c r="A1289" s="49" t="s">
        <v>76</v>
      </c>
      <c r="B1289" s="101" t="s">
        <v>10564</v>
      </c>
      <c r="C1289" s="98" t="s">
        <v>8514</v>
      </c>
      <c r="D1289" s="101" t="s">
        <v>4</v>
      </c>
      <c r="E1289" s="101" t="s">
        <v>10030</v>
      </c>
      <c r="F1289" s="98"/>
      <c r="G1289" s="98" t="s">
        <v>117</v>
      </c>
      <c r="H1289" s="117" t="s">
        <v>8215</v>
      </c>
      <c r="I1289" s="100" t="s">
        <v>8215</v>
      </c>
      <c r="J1289" s="117" t="s">
        <v>10565</v>
      </c>
      <c r="K1289" s="107"/>
    </row>
    <row r="1290" ht="15" spans="1:11">
      <c r="A1290" s="49" t="s">
        <v>76</v>
      </c>
      <c r="B1290" s="101" t="s">
        <v>10566</v>
      </c>
      <c r="C1290" s="98" t="s">
        <v>8514</v>
      </c>
      <c r="D1290" s="101" t="s">
        <v>4</v>
      </c>
      <c r="E1290" s="101" t="s">
        <v>10030</v>
      </c>
      <c r="F1290" s="98"/>
      <c r="G1290" s="98" t="s">
        <v>117</v>
      </c>
      <c r="H1290" s="117" t="s">
        <v>8215</v>
      </c>
      <c r="I1290" s="100" t="s">
        <v>8215</v>
      </c>
      <c r="J1290" s="117" t="s">
        <v>10567</v>
      </c>
      <c r="K1290" s="107"/>
    </row>
    <row r="1291" ht="15" spans="1:11">
      <c r="A1291" s="49" t="s">
        <v>76</v>
      </c>
      <c r="B1291" s="101" t="s">
        <v>10568</v>
      </c>
      <c r="C1291" s="98" t="s">
        <v>8514</v>
      </c>
      <c r="D1291" s="117" t="s">
        <v>4</v>
      </c>
      <c r="E1291" s="117" t="s">
        <v>10569</v>
      </c>
      <c r="F1291" s="98"/>
      <c r="G1291" s="98" t="s">
        <v>117</v>
      </c>
      <c r="H1291" s="117" t="s">
        <v>8215</v>
      </c>
      <c r="I1291" s="100" t="s">
        <v>8215</v>
      </c>
      <c r="J1291" s="117" t="s">
        <v>10253</v>
      </c>
      <c r="K1291" s="107"/>
    </row>
    <row r="1292" ht="15" spans="1:11">
      <c r="A1292" s="49" t="s">
        <v>76</v>
      </c>
      <c r="B1292" s="101" t="s">
        <v>10570</v>
      </c>
      <c r="C1292" s="98" t="s">
        <v>8514</v>
      </c>
      <c r="D1292" s="117" t="s">
        <v>4</v>
      </c>
      <c r="E1292" s="117" t="s">
        <v>10571</v>
      </c>
      <c r="F1292" s="98"/>
      <c r="G1292" s="98" t="s">
        <v>117</v>
      </c>
      <c r="H1292" s="117" t="s">
        <v>8215</v>
      </c>
      <c r="I1292" s="100" t="s">
        <v>8215</v>
      </c>
      <c r="J1292" s="117" t="s">
        <v>9762</v>
      </c>
      <c r="K1292" s="107"/>
    </row>
    <row r="1293" ht="15" spans="1:11">
      <c r="A1293" s="49" t="s">
        <v>76</v>
      </c>
      <c r="B1293" s="117" t="s">
        <v>10572</v>
      </c>
      <c r="C1293" s="98" t="s">
        <v>8514</v>
      </c>
      <c r="D1293" s="98" t="s">
        <v>4</v>
      </c>
      <c r="E1293" s="98" t="s">
        <v>10571</v>
      </c>
      <c r="F1293" s="98"/>
      <c r="G1293" s="98" t="s">
        <v>117</v>
      </c>
      <c r="H1293" s="118" t="s">
        <v>8215</v>
      </c>
      <c r="I1293" s="100" t="s">
        <v>8215</v>
      </c>
      <c r="J1293" s="100"/>
      <c r="K1293" s="107"/>
    </row>
    <row r="1294" s="89" customFormat="1" ht="15" spans="1:256">
      <c r="A1294" s="49" t="s">
        <v>76</v>
      </c>
      <c r="B1294" s="99" t="s">
        <v>10573</v>
      </c>
      <c r="C1294" s="99" t="s">
        <v>8272</v>
      </c>
      <c r="D1294" s="99" t="s">
        <v>4</v>
      </c>
      <c r="E1294" s="99" t="s">
        <v>10555</v>
      </c>
      <c r="F1294" s="99" t="s">
        <v>10574</v>
      </c>
      <c r="G1294" s="99" t="s">
        <v>117</v>
      </c>
      <c r="H1294" s="99" t="s">
        <v>8215</v>
      </c>
      <c r="I1294" s="99" t="s">
        <v>8215</v>
      </c>
      <c r="J1294" s="99" t="s">
        <v>10575</v>
      </c>
      <c r="K1294" s="109">
        <v>45869</v>
      </c>
      <c r="L1294" s="92"/>
      <c r="M1294" s="92"/>
      <c r="N1294" s="92"/>
      <c r="O1294" s="92"/>
      <c r="P1294" s="92"/>
      <c r="Q1294" s="92"/>
      <c r="R1294" s="92"/>
      <c r="S1294" s="92"/>
      <c r="T1294" s="92"/>
      <c r="U1294" s="92"/>
      <c r="V1294" s="92"/>
      <c r="W1294" s="92"/>
      <c r="X1294" s="92"/>
      <c r="Y1294" s="92"/>
      <c r="Z1294" s="92"/>
      <c r="AA1294" s="92"/>
      <c r="AB1294" s="92"/>
      <c r="AC1294" s="92"/>
      <c r="AD1294" s="92"/>
      <c r="AE1294" s="92"/>
      <c r="AF1294" s="92"/>
      <c r="AG1294" s="92"/>
      <c r="AH1294" s="92"/>
      <c r="AI1294" s="92"/>
      <c r="AJ1294" s="92"/>
      <c r="AK1294" s="92"/>
      <c r="AL1294" s="92"/>
      <c r="AM1294" s="92"/>
      <c r="AN1294" s="92"/>
      <c r="AO1294" s="92"/>
      <c r="AP1294" s="92"/>
      <c r="AQ1294" s="92"/>
      <c r="AR1294" s="92"/>
      <c r="AS1294" s="92"/>
      <c r="AT1294" s="92"/>
      <c r="AU1294" s="92"/>
      <c r="AV1294" s="92"/>
      <c r="AW1294" s="92"/>
      <c r="AX1294" s="92"/>
      <c r="AY1294" s="92"/>
      <c r="AZ1294" s="92"/>
      <c r="BA1294" s="92"/>
      <c r="BB1294" s="92"/>
      <c r="BC1294" s="92"/>
      <c r="BD1294" s="92"/>
      <c r="BE1294" s="92"/>
      <c r="BF1294" s="92"/>
      <c r="BG1294" s="92"/>
      <c r="BH1294" s="92"/>
      <c r="BI1294" s="92"/>
      <c r="BJ1294" s="92"/>
      <c r="BK1294" s="92"/>
      <c r="BL1294" s="92"/>
      <c r="BM1294" s="92"/>
      <c r="BN1294" s="92"/>
      <c r="BO1294" s="92"/>
      <c r="BP1294" s="92"/>
      <c r="BQ1294" s="92"/>
      <c r="BR1294" s="92"/>
      <c r="BS1294" s="92"/>
      <c r="BT1294" s="92"/>
      <c r="BU1294" s="92"/>
      <c r="BV1294" s="92"/>
      <c r="BW1294" s="92"/>
      <c r="BX1294" s="92"/>
      <c r="BY1294" s="92"/>
      <c r="BZ1294" s="92"/>
      <c r="CA1294" s="92"/>
      <c r="CB1294" s="92"/>
      <c r="CC1294" s="92"/>
      <c r="CD1294" s="92"/>
      <c r="CE1294" s="92"/>
      <c r="CF1294" s="92"/>
      <c r="CG1294" s="92"/>
      <c r="CH1294" s="92"/>
      <c r="CI1294" s="92"/>
      <c r="CJ1294" s="92"/>
      <c r="CK1294" s="92"/>
      <c r="CL1294" s="92"/>
      <c r="CM1294" s="92"/>
      <c r="CN1294" s="92"/>
      <c r="CO1294" s="92"/>
      <c r="CP1294" s="92"/>
      <c r="CQ1294" s="92"/>
      <c r="CR1294" s="92"/>
      <c r="CS1294" s="92"/>
      <c r="CT1294" s="92"/>
      <c r="CU1294" s="92"/>
      <c r="CV1294" s="92"/>
      <c r="CW1294" s="92"/>
      <c r="CX1294" s="92"/>
      <c r="CY1294" s="92"/>
      <c r="CZ1294" s="92"/>
      <c r="DA1294" s="92"/>
      <c r="DB1294" s="92"/>
      <c r="DC1294" s="92"/>
      <c r="DD1294" s="92"/>
      <c r="DE1294" s="92"/>
      <c r="DF1294" s="92"/>
      <c r="DG1294" s="92"/>
      <c r="DH1294" s="92"/>
      <c r="DI1294" s="92"/>
      <c r="DJ1294" s="92"/>
      <c r="DK1294" s="92"/>
      <c r="DL1294" s="92"/>
      <c r="DM1294" s="92"/>
      <c r="DN1294" s="92"/>
      <c r="DO1294" s="92"/>
      <c r="DP1294" s="92"/>
      <c r="DQ1294" s="92"/>
      <c r="DR1294" s="92"/>
      <c r="DS1294" s="92"/>
      <c r="DT1294" s="92"/>
      <c r="DU1294" s="92"/>
      <c r="DV1294" s="92"/>
      <c r="DW1294" s="92"/>
      <c r="DX1294" s="92"/>
      <c r="DY1294" s="92"/>
      <c r="DZ1294" s="92"/>
      <c r="EA1294" s="92"/>
      <c r="EB1294" s="92"/>
      <c r="EC1294" s="92"/>
      <c r="ED1294" s="92"/>
      <c r="EE1294" s="92"/>
      <c r="EF1294" s="92"/>
      <c r="EG1294" s="92"/>
      <c r="EH1294" s="92"/>
      <c r="EI1294" s="92"/>
      <c r="EJ1294" s="92"/>
      <c r="EK1294" s="92"/>
      <c r="EL1294" s="92"/>
      <c r="EM1294" s="92"/>
      <c r="EN1294" s="92"/>
      <c r="EO1294" s="92"/>
      <c r="EP1294" s="92"/>
      <c r="EQ1294" s="92"/>
      <c r="ER1294" s="92"/>
      <c r="ES1294" s="92"/>
      <c r="ET1294" s="92"/>
      <c r="EU1294" s="92"/>
      <c r="EV1294" s="92"/>
      <c r="EW1294" s="92"/>
      <c r="EX1294" s="92"/>
      <c r="EY1294" s="92"/>
      <c r="EZ1294" s="92"/>
      <c r="FA1294" s="92"/>
      <c r="FB1294" s="92"/>
      <c r="FC1294" s="92"/>
      <c r="FD1294" s="92"/>
      <c r="FE1294" s="92"/>
      <c r="FF1294" s="92"/>
      <c r="FG1294" s="92"/>
      <c r="FH1294" s="92"/>
      <c r="FI1294" s="92"/>
      <c r="FJ1294" s="92"/>
      <c r="FK1294" s="92"/>
      <c r="FL1294" s="92"/>
      <c r="FM1294" s="92"/>
      <c r="FN1294" s="92"/>
      <c r="FO1294" s="92"/>
      <c r="FP1294" s="92"/>
      <c r="FQ1294" s="92"/>
      <c r="FR1294" s="92"/>
      <c r="FS1294" s="92"/>
      <c r="FT1294" s="92"/>
      <c r="FU1294" s="92"/>
      <c r="FV1294" s="92"/>
      <c r="FW1294" s="92"/>
      <c r="FX1294" s="92"/>
      <c r="FY1294" s="92"/>
      <c r="FZ1294" s="92"/>
      <c r="GA1294" s="92"/>
      <c r="GB1294" s="92"/>
      <c r="GC1294" s="92"/>
      <c r="GD1294" s="92"/>
      <c r="GE1294" s="92"/>
      <c r="GF1294" s="92"/>
      <c r="GG1294" s="92"/>
      <c r="GH1294" s="92"/>
      <c r="GI1294" s="92"/>
      <c r="GJ1294" s="92"/>
      <c r="GK1294" s="92"/>
      <c r="GL1294" s="92"/>
      <c r="GM1294" s="92"/>
      <c r="GN1294" s="92"/>
      <c r="GO1294" s="92"/>
      <c r="GP1294" s="92"/>
      <c r="GQ1294" s="92"/>
      <c r="GR1294" s="92"/>
      <c r="GS1294" s="92"/>
      <c r="GT1294" s="92"/>
      <c r="GU1294" s="92"/>
      <c r="GV1294" s="92"/>
      <c r="GW1294" s="92"/>
      <c r="GX1294" s="92"/>
      <c r="GY1294" s="92"/>
      <c r="GZ1294" s="92"/>
      <c r="HA1294" s="92"/>
      <c r="HB1294" s="92"/>
      <c r="HC1294" s="92"/>
      <c r="HD1294" s="92"/>
      <c r="HE1294" s="92"/>
      <c r="HF1294" s="92"/>
      <c r="HG1294" s="92"/>
      <c r="HH1294" s="92"/>
      <c r="HI1294" s="92"/>
      <c r="HJ1294" s="92"/>
      <c r="HK1294" s="92"/>
      <c r="HL1294" s="92"/>
      <c r="HM1294" s="92"/>
      <c r="HN1294" s="92"/>
      <c r="HO1294" s="92"/>
      <c r="HP1294" s="92"/>
      <c r="HQ1294" s="92"/>
      <c r="HR1294" s="92"/>
      <c r="HS1294" s="92"/>
      <c r="HT1294" s="92"/>
      <c r="HU1294" s="92"/>
      <c r="HV1294" s="92"/>
      <c r="HW1294" s="92"/>
      <c r="HX1294" s="92"/>
      <c r="HY1294" s="92"/>
      <c r="HZ1294" s="92"/>
      <c r="IA1294" s="92"/>
      <c r="IB1294" s="92"/>
      <c r="IC1294" s="92"/>
      <c r="ID1294" s="92"/>
      <c r="IE1294" s="92"/>
      <c r="IF1294" s="92"/>
      <c r="IG1294" s="92"/>
      <c r="IH1294" s="92"/>
      <c r="II1294" s="92"/>
      <c r="IJ1294" s="92"/>
      <c r="IK1294" s="92"/>
      <c r="IL1294" s="92"/>
      <c r="IM1294" s="92"/>
      <c r="IN1294" s="92"/>
      <c r="IO1294" s="92"/>
      <c r="IP1294" s="92"/>
      <c r="IQ1294" s="92"/>
      <c r="IR1294" s="92"/>
      <c r="IS1294" s="92"/>
      <c r="IT1294" s="92"/>
      <c r="IU1294" s="92"/>
      <c r="IV1294" s="92"/>
    </row>
    <row r="1295" ht="45" spans="1:11">
      <c r="A1295" s="49" t="s">
        <v>74</v>
      </c>
      <c r="B1295" s="101" t="s">
        <v>10576</v>
      </c>
      <c r="C1295" s="98" t="s">
        <v>8514</v>
      </c>
      <c r="D1295" s="142" t="s">
        <v>5</v>
      </c>
      <c r="E1295" s="101" t="s">
        <v>10577</v>
      </c>
      <c r="F1295" s="98"/>
      <c r="G1295" s="101" t="s">
        <v>353</v>
      </c>
      <c r="H1295" s="142" t="s">
        <v>10578</v>
      </c>
      <c r="I1295" s="100" t="s">
        <v>10578</v>
      </c>
      <c r="J1295" s="102" t="s">
        <v>10579</v>
      </c>
      <c r="K1295" s="107"/>
    </row>
    <row r="1296" ht="45" spans="1:11">
      <c r="A1296" s="49" t="s">
        <v>74</v>
      </c>
      <c r="B1296" s="101" t="s">
        <v>10580</v>
      </c>
      <c r="C1296" s="98" t="s">
        <v>8514</v>
      </c>
      <c r="D1296" s="142" t="s">
        <v>5</v>
      </c>
      <c r="E1296" s="101" t="s">
        <v>10581</v>
      </c>
      <c r="F1296" s="98"/>
      <c r="G1296" s="101" t="s">
        <v>353</v>
      </c>
      <c r="H1296" s="142" t="s">
        <v>10578</v>
      </c>
      <c r="I1296" s="100" t="s">
        <v>10578</v>
      </c>
      <c r="J1296" s="102" t="s">
        <v>9448</v>
      </c>
      <c r="K1296" s="107"/>
    </row>
    <row r="1297" ht="45" spans="1:11">
      <c r="A1297" s="49" t="s">
        <v>74</v>
      </c>
      <c r="B1297" s="101" t="s">
        <v>10582</v>
      </c>
      <c r="C1297" s="98" t="s">
        <v>8514</v>
      </c>
      <c r="D1297" s="142" t="s">
        <v>5</v>
      </c>
      <c r="E1297" s="101" t="s">
        <v>10581</v>
      </c>
      <c r="F1297" s="98"/>
      <c r="G1297" s="101" t="s">
        <v>353</v>
      </c>
      <c r="H1297" s="142" t="s">
        <v>10578</v>
      </c>
      <c r="I1297" s="100" t="s">
        <v>10578</v>
      </c>
      <c r="J1297" s="102" t="s">
        <v>9448</v>
      </c>
      <c r="K1297" s="107"/>
    </row>
    <row r="1298" ht="45" spans="1:11">
      <c r="A1298" s="49" t="s">
        <v>74</v>
      </c>
      <c r="B1298" s="101" t="s">
        <v>10583</v>
      </c>
      <c r="C1298" s="98" t="s">
        <v>8213</v>
      </c>
      <c r="D1298" s="142" t="s">
        <v>4</v>
      </c>
      <c r="E1298" s="101" t="s">
        <v>10584</v>
      </c>
      <c r="F1298" s="98"/>
      <c r="G1298" s="101" t="s">
        <v>353</v>
      </c>
      <c r="H1298" s="142" t="s">
        <v>10578</v>
      </c>
      <c r="I1298" s="100" t="s">
        <v>10578</v>
      </c>
      <c r="J1298" s="100" t="s">
        <v>10585</v>
      </c>
      <c r="K1298" s="107"/>
    </row>
    <row r="1299" ht="45" spans="1:11">
      <c r="A1299" s="49" t="s">
        <v>74</v>
      </c>
      <c r="B1299" s="101" t="s">
        <v>10586</v>
      </c>
      <c r="C1299" s="98" t="s">
        <v>8514</v>
      </c>
      <c r="D1299" s="142" t="s">
        <v>5</v>
      </c>
      <c r="E1299" s="101" t="s">
        <v>10587</v>
      </c>
      <c r="F1299" s="98"/>
      <c r="G1299" s="101" t="s">
        <v>353</v>
      </c>
      <c r="H1299" s="142" t="s">
        <v>10578</v>
      </c>
      <c r="I1299" s="100" t="s">
        <v>10578</v>
      </c>
      <c r="J1299" s="100" t="s">
        <v>8516</v>
      </c>
      <c r="K1299" s="107"/>
    </row>
    <row r="1300" s="91" customFormat="1" ht="15" spans="1:11">
      <c r="A1300" s="106" t="s">
        <v>74</v>
      </c>
      <c r="B1300" s="106" t="s">
        <v>10588</v>
      </c>
      <c r="C1300" s="106" t="s">
        <v>8293</v>
      </c>
      <c r="D1300" s="106" t="s">
        <v>4</v>
      </c>
      <c r="E1300" s="106" t="s">
        <v>10589</v>
      </c>
      <c r="F1300" s="106"/>
      <c r="G1300" s="106" t="s">
        <v>353</v>
      </c>
      <c r="H1300" s="106"/>
      <c r="I1300" s="106"/>
      <c r="J1300" s="106" t="s">
        <v>10590</v>
      </c>
      <c r="K1300" s="106">
        <v>2024.8</v>
      </c>
    </row>
    <row r="1301" ht="30" spans="1:11">
      <c r="A1301" s="49" t="s">
        <v>74</v>
      </c>
      <c r="B1301" s="101" t="s">
        <v>10591</v>
      </c>
      <c r="C1301" s="98" t="s">
        <v>8514</v>
      </c>
      <c r="D1301" s="142" t="s">
        <v>4</v>
      </c>
      <c r="E1301" s="101" t="s">
        <v>10592</v>
      </c>
      <c r="F1301" s="138"/>
      <c r="G1301" s="138" t="s">
        <v>353</v>
      </c>
      <c r="H1301" s="101" t="s">
        <v>10578</v>
      </c>
      <c r="I1301" s="100" t="s">
        <v>8247</v>
      </c>
      <c r="J1301" s="49"/>
      <c r="K1301" s="107"/>
    </row>
    <row r="1302" ht="45" spans="1:11">
      <c r="A1302" s="49" t="s">
        <v>74</v>
      </c>
      <c r="B1302" s="101" t="s">
        <v>10593</v>
      </c>
      <c r="C1302" s="98" t="s">
        <v>8514</v>
      </c>
      <c r="D1302" s="142" t="s">
        <v>4</v>
      </c>
      <c r="E1302" s="101" t="s">
        <v>10592</v>
      </c>
      <c r="F1302" s="138"/>
      <c r="G1302" s="138" t="s">
        <v>353</v>
      </c>
      <c r="H1302" s="101" t="s">
        <v>10578</v>
      </c>
      <c r="I1302" s="100" t="s">
        <v>10578</v>
      </c>
      <c r="J1302" s="49"/>
      <c r="K1302" s="107"/>
    </row>
    <row r="1303" ht="45" spans="1:11">
      <c r="A1303" s="49" t="s">
        <v>74</v>
      </c>
      <c r="B1303" s="101" t="s">
        <v>10594</v>
      </c>
      <c r="C1303" s="98" t="s">
        <v>8514</v>
      </c>
      <c r="D1303" s="142" t="s">
        <v>5</v>
      </c>
      <c r="E1303" s="101" t="s">
        <v>10595</v>
      </c>
      <c r="F1303" s="98"/>
      <c r="G1303" s="101" t="s">
        <v>353</v>
      </c>
      <c r="H1303" s="142" t="s">
        <v>10578</v>
      </c>
      <c r="I1303" s="100" t="s">
        <v>10578</v>
      </c>
      <c r="J1303" s="102" t="s">
        <v>10590</v>
      </c>
      <c r="K1303" s="107"/>
    </row>
    <row r="1304" ht="45" spans="1:11">
      <c r="A1304" s="49" t="s">
        <v>74</v>
      </c>
      <c r="B1304" s="101" t="s">
        <v>10596</v>
      </c>
      <c r="C1304" s="98" t="s">
        <v>8213</v>
      </c>
      <c r="D1304" s="142" t="s">
        <v>4</v>
      </c>
      <c r="E1304" s="101" t="s">
        <v>10597</v>
      </c>
      <c r="F1304" s="98"/>
      <c r="G1304" s="101" t="s">
        <v>353</v>
      </c>
      <c r="H1304" s="142" t="s">
        <v>10578</v>
      </c>
      <c r="I1304" s="100" t="s">
        <v>10578</v>
      </c>
      <c r="J1304" s="102"/>
      <c r="K1304" s="107"/>
    </row>
    <row r="1305" ht="15" spans="1:11">
      <c r="A1305" s="49" t="s">
        <v>74</v>
      </c>
      <c r="B1305" s="101" t="s">
        <v>10598</v>
      </c>
      <c r="C1305" s="98" t="s">
        <v>8514</v>
      </c>
      <c r="D1305" s="142" t="s">
        <v>5</v>
      </c>
      <c r="E1305" s="101" t="s">
        <v>10599</v>
      </c>
      <c r="F1305" s="98"/>
      <c r="G1305" s="101" t="s">
        <v>353</v>
      </c>
      <c r="H1305" s="142" t="s">
        <v>8685</v>
      </c>
      <c r="I1305" s="100" t="s">
        <v>8685</v>
      </c>
      <c r="J1305" s="102" t="s">
        <v>8314</v>
      </c>
      <c r="K1305" s="107"/>
    </row>
    <row r="1306" ht="15" spans="1:11">
      <c r="A1306" s="49" t="s">
        <v>74</v>
      </c>
      <c r="B1306" s="101" t="s">
        <v>10600</v>
      </c>
      <c r="C1306" s="98" t="s">
        <v>8213</v>
      </c>
      <c r="D1306" s="142" t="s">
        <v>4</v>
      </c>
      <c r="E1306" s="101" t="s">
        <v>10601</v>
      </c>
      <c r="F1306" s="98"/>
      <c r="G1306" s="101" t="s">
        <v>353</v>
      </c>
      <c r="H1306" s="142" t="s">
        <v>9010</v>
      </c>
      <c r="I1306" s="100" t="s">
        <v>9247</v>
      </c>
      <c r="J1306" s="102" t="s">
        <v>8725</v>
      </c>
      <c r="K1306" s="107">
        <v>2016.12</v>
      </c>
    </row>
    <row r="1307" ht="45" spans="1:11">
      <c r="A1307" s="49" t="s">
        <v>74</v>
      </c>
      <c r="B1307" s="101" t="s">
        <v>10602</v>
      </c>
      <c r="C1307" s="98" t="s">
        <v>8514</v>
      </c>
      <c r="D1307" s="138"/>
      <c r="E1307" s="138" t="s">
        <v>10603</v>
      </c>
      <c r="F1307" s="138" t="s">
        <v>1025</v>
      </c>
      <c r="G1307" s="138"/>
      <c r="H1307" s="49" t="s">
        <v>10578</v>
      </c>
      <c r="I1307" s="100" t="s">
        <v>10578</v>
      </c>
      <c r="J1307" s="49"/>
      <c r="K1307" s="107"/>
    </row>
    <row r="1308" ht="45" spans="1:11">
      <c r="A1308" s="49" t="s">
        <v>74</v>
      </c>
      <c r="B1308" s="101" t="s">
        <v>10604</v>
      </c>
      <c r="C1308" s="98" t="s">
        <v>8213</v>
      </c>
      <c r="D1308" s="142" t="s">
        <v>4</v>
      </c>
      <c r="E1308" s="101" t="s">
        <v>10605</v>
      </c>
      <c r="F1308" s="98"/>
      <c r="G1308" s="101" t="s">
        <v>353</v>
      </c>
      <c r="H1308" s="142" t="s">
        <v>10578</v>
      </c>
      <c r="I1308" s="100" t="s">
        <v>10578</v>
      </c>
      <c r="J1308" s="102" t="s">
        <v>10606</v>
      </c>
      <c r="K1308" s="107"/>
    </row>
    <row r="1309" ht="45" spans="1:11">
      <c r="A1309" s="49" t="s">
        <v>74</v>
      </c>
      <c r="B1309" s="101" t="s">
        <v>10607</v>
      </c>
      <c r="C1309" s="98" t="s">
        <v>8213</v>
      </c>
      <c r="D1309" s="142" t="s">
        <v>4</v>
      </c>
      <c r="E1309" s="101" t="s">
        <v>10608</v>
      </c>
      <c r="F1309" s="98"/>
      <c r="G1309" s="101" t="s">
        <v>353</v>
      </c>
      <c r="H1309" s="142" t="s">
        <v>10578</v>
      </c>
      <c r="I1309" s="100" t="s">
        <v>10578</v>
      </c>
      <c r="J1309" s="102" t="s">
        <v>9838</v>
      </c>
      <c r="K1309" s="107"/>
    </row>
    <row r="1310" ht="45" spans="1:11">
      <c r="A1310" s="49" t="s">
        <v>74</v>
      </c>
      <c r="B1310" s="101" t="s">
        <v>10609</v>
      </c>
      <c r="C1310" s="98" t="s">
        <v>8514</v>
      </c>
      <c r="D1310" s="142" t="s">
        <v>5</v>
      </c>
      <c r="E1310" s="101" t="s">
        <v>10610</v>
      </c>
      <c r="F1310" s="98"/>
      <c r="G1310" s="101" t="s">
        <v>353</v>
      </c>
      <c r="H1310" s="142" t="s">
        <v>10611</v>
      </c>
      <c r="I1310" s="100" t="s">
        <v>10611</v>
      </c>
      <c r="J1310" s="102" t="s">
        <v>10612</v>
      </c>
      <c r="K1310" s="107"/>
    </row>
    <row r="1311" ht="45" spans="1:11">
      <c r="A1311" s="49" t="s">
        <v>74</v>
      </c>
      <c r="B1311" s="101" t="s">
        <v>10613</v>
      </c>
      <c r="C1311" s="98" t="s">
        <v>8514</v>
      </c>
      <c r="D1311" s="142" t="s">
        <v>5</v>
      </c>
      <c r="E1311" s="101" t="s">
        <v>10614</v>
      </c>
      <c r="F1311" s="98"/>
      <c r="G1311" s="101" t="s">
        <v>353</v>
      </c>
      <c r="H1311" s="142" t="s">
        <v>10615</v>
      </c>
      <c r="I1311" s="142" t="s">
        <v>10615</v>
      </c>
      <c r="J1311" s="100" t="s">
        <v>10616</v>
      </c>
      <c r="K1311" s="107"/>
    </row>
    <row r="1312" ht="15" spans="1:11">
      <c r="A1312" s="49" t="s">
        <v>74</v>
      </c>
      <c r="B1312" s="101" t="s">
        <v>10617</v>
      </c>
      <c r="C1312" s="98" t="s">
        <v>8514</v>
      </c>
      <c r="D1312" s="142" t="s">
        <v>5</v>
      </c>
      <c r="E1312" s="101" t="s">
        <v>10618</v>
      </c>
      <c r="F1312" s="98"/>
      <c r="G1312" s="101" t="s">
        <v>353</v>
      </c>
      <c r="H1312" s="142" t="s">
        <v>10619</v>
      </c>
      <c r="I1312" s="100" t="s">
        <v>8247</v>
      </c>
      <c r="J1312" s="100" t="s">
        <v>10590</v>
      </c>
      <c r="K1312" s="107"/>
    </row>
    <row r="1313" ht="45" spans="1:11">
      <c r="A1313" s="49" t="s">
        <v>74</v>
      </c>
      <c r="B1313" s="101" t="s">
        <v>10620</v>
      </c>
      <c r="C1313" s="98" t="s">
        <v>8514</v>
      </c>
      <c r="D1313" s="142" t="s">
        <v>5</v>
      </c>
      <c r="E1313" s="101" t="s">
        <v>10621</v>
      </c>
      <c r="F1313" s="98"/>
      <c r="G1313" s="101" t="s">
        <v>353</v>
      </c>
      <c r="H1313" s="142" t="s">
        <v>10578</v>
      </c>
      <c r="I1313" s="142" t="s">
        <v>10578</v>
      </c>
      <c r="J1313" s="100" t="s">
        <v>10622</v>
      </c>
      <c r="K1313" s="107"/>
    </row>
    <row r="1314" ht="45" spans="1:11">
      <c r="A1314" s="49" t="s">
        <v>74</v>
      </c>
      <c r="B1314" s="101" t="s">
        <v>10623</v>
      </c>
      <c r="C1314" s="98" t="s">
        <v>8514</v>
      </c>
      <c r="D1314" s="142" t="s">
        <v>5</v>
      </c>
      <c r="E1314" s="101" t="s">
        <v>10624</v>
      </c>
      <c r="F1314" s="98"/>
      <c r="G1314" s="101" t="s">
        <v>353</v>
      </c>
      <c r="H1314" s="142" t="s">
        <v>10625</v>
      </c>
      <c r="I1314" s="142" t="s">
        <v>10625</v>
      </c>
      <c r="J1314" s="100" t="s">
        <v>8556</v>
      </c>
      <c r="K1314" s="107"/>
    </row>
    <row r="1315" ht="45" spans="1:11">
      <c r="A1315" s="49" t="s">
        <v>74</v>
      </c>
      <c r="B1315" s="101" t="s">
        <v>10626</v>
      </c>
      <c r="C1315" s="98" t="s">
        <v>8213</v>
      </c>
      <c r="D1315" s="142" t="s">
        <v>4</v>
      </c>
      <c r="E1315" s="101" t="s">
        <v>10627</v>
      </c>
      <c r="F1315" s="98"/>
      <c r="G1315" s="101" t="s">
        <v>353</v>
      </c>
      <c r="H1315" s="142" t="s">
        <v>10578</v>
      </c>
      <c r="I1315" s="142" t="s">
        <v>10578</v>
      </c>
      <c r="J1315" s="100" t="s">
        <v>10628</v>
      </c>
      <c r="K1315" s="107"/>
    </row>
    <row r="1316" ht="45" spans="1:11">
      <c r="A1316" s="49" t="s">
        <v>74</v>
      </c>
      <c r="B1316" s="101" t="s">
        <v>10629</v>
      </c>
      <c r="C1316" s="98" t="s">
        <v>8213</v>
      </c>
      <c r="D1316" s="142" t="s">
        <v>4</v>
      </c>
      <c r="E1316" s="101" t="s">
        <v>10627</v>
      </c>
      <c r="F1316" s="98"/>
      <c r="G1316" s="101" t="s">
        <v>353</v>
      </c>
      <c r="H1316" s="142" t="s">
        <v>10578</v>
      </c>
      <c r="I1316" s="142" t="s">
        <v>10578</v>
      </c>
      <c r="J1316" s="100" t="s">
        <v>8888</v>
      </c>
      <c r="K1316" s="107"/>
    </row>
    <row r="1317" s="93" customFormat="1" ht="30" spans="1:256">
      <c r="A1317" s="99" t="s">
        <v>74</v>
      </c>
      <c r="B1317" s="99" t="s">
        <v>10630</v>
      </c>
      <c r="C1317" s="99" t="s">
        <v>8272</v>
      </c>
      <c r="D1317" s="99" t="s">
        <v>4</v>
      </c>
      <c r="E1317" s="99" t="s">
        <v>9195</v>
      </c>
      <c r="F1317" s="99"/>
      <c r="G1317" s="99" t="s">
        <v>353</v>
      </c>
      <c r="H1317" s="99" t="s">
        <v>8215</v>
      </c>
      <c r="I1317" s="99" t="s">
        <v>8215</v>
      </c>
      <c r="J1317" s="99" t="s">
        <v>10631</v>
      </c>
      <c r="K1317" s="99" t="s">
        <v>9110</v>
      </c>
      <c r="L1317" s="126"/>
      <c r="M1317" s="127"/>
      <c r="N1317" s="127"/>
      <c r="O1317" s="127"/>
      <c r="P1317" s="127"/>
      <c r="Q1317" s="127"/>
      <c r="R1317" s="127"/>
      <c r="S1317" s="127"/>
      <c r="T1317" s="127"/>
      <c r="U1317" s="127"/>
      <c r="V1317" s="127"/>
      <c r="W1317" s="127"/>
      <c r="X1317" s="127"/>
      <c r="Y1317" s="127"/>
      <c r="Z1317" s="127"/>
      <c r="AA1317" s="127"/>
      <c r="AB1317" s="127"/>
      <c r="AC1317" s="127"/>
      <c r="AD1317" s="127"/>
      <c r="AE1317" s="127"/>
      <c r="AF1317" s="127"/>
      <c r="AG1317" s="127"/>
      <c r="AH1317" s="127"/>
      <c r="AI1317" s="127"/>
      <c r="AJ1317" s="127"/>
      <c r="AK1317" s="127"/>
      <c r="AL1317" s="127"/>
      <c r="AM1317" s="127"/>
      <c r="AN1317" s="127"/>
      <c r="AO1317" s="127"/>
      <c r="AP1317" s="127"/>
      <c r="AQ1317" s="127"/>
      <c r="AR1317" s="127"/>
      <c r="AS1317" s="127"/>
      <c r="AT1317" s="127"/>
      <c r="AU1317" s="127"/>
      <c r="AV1317" s="127"/>
      <c r="AW1317" s="127"/>
      <c r="AX1317" s="127"/>
      <c r="AY1317" s="127"/>
      <c r="AZ1317" s="127"/>
      <c r="BA1317" s="127"/>
      <c r="BB1317" s="127"/>
      <c r="BC1317" s="127"/>
      <c r="BD1317" s="127"/>
      <c r="BE1317" s="127"/>
      <c r="BF1317" s="127"/>
      <c r="BG1317" s="127"/>
      <c r="BH1317" s="127"/>
      <c r="BI1317" s="127"/>
      <c r="BJ1317" s="127"/>
      <c r="BK1317" s="127"/>
      <c r="BL1317" s="127"/>
      <c r="BM1317" s="127"/>
      <c r="BN1317" s="127"/>
      <c r="BO1317" s="127"/>
      <c r="BP1317" s="127"/>
      <c r="BQ1317" s="127"/>
      <c r="BR1317" s="127"/>
      <c r="BS1317" s="127"/>
      <c r="BT1317" s="127"/>
      <c r="BU1317" s="127"/>
      <c r="BV1317" s="127"/>
      <c r="BW1317" s="127"/>
      <c r="BX1317" s="127"/>
      <c r="BY1317" s="127"/>
      <c r="BZ1317" s="127"/>
      <c r="CA1317" s="127"/>
      <c r="CB1317" s="127"/>
      <c r="CC1317" s="127"/>
      <c r="CD1317" s="127"/>
      <c r="CE1317" s="127"/>
      <c r="CF1317" s="127"/>
      <c r="CG1317" s="127"/>
      <c r="CH1317" s="127"/>
      <c r="CI1317" s="127"/>
      <c r="CJ1317" s="127"/>
      <c r="CK1317" s="127"/>
      <c r="CL1317" s="127"/>
      <c r="CM1317" s="127"/>
      <c r="CN1317" s="127"/>
      <c r="CO1317" s="127"/>
      <c r="CP1317" s="127"/>
      <c r="CQ1317" s="127"/>
      <c r="CR1317" s="127"/>
      <c r="CS1317" s="127"/>
      <c r="CT1317" s="127"/>
      <c r="CU1317" s="127"/>
      <c r="CV1317" s="127"/>
      <c r="CW1317" s="127"/>
      <c r="CX1317" s="127"/>
      <c r="CY1317" s="127"/>
      <c r="CZ1317" s="127"/>
      <c r="DA1317" s="127"/>
      <c r="DB1317" s="127"/>
      <c r="DC1317" s="127"/>
      <c r="DD1317" s="127"/>
      <c r="DE1317" s="127"/>
      <c r="DF1317" s="127"/>
      <c r="DG1317" s="127"/>
      <c r="DH1317" s="127"/>
      <c r="DI1317" s="127"/>
      <c r="DJ1317" s="127"/>
      <c r="DK1317" s="127"/>
      <c r="DL1317" s="127"/>
      <c r="DM1317" s="127"/>
      <c r="DN1317" s="127"/>
      <c r="DO1317" s="127"/>
      <c r="DP1317" s="127"/>
      <c r="DQ1317" s="127"/>
      <c r="DR1317" s="127"/>
      <c r="DS1317" s="127"/>
      <c r="DT1317" s="127"/>
      <c r="DU1317" s="127"/>
      <c r="DV1317" s="127"/>
      <c r="DW1317" s="127"/>
      <c r="DX1317" s="127"/>
      <c r="DY1317" s="127"/>
      <c r="DZ1317" s="127"/>
      <c r="EA1317" s="127"/>
      <c r="EB1317" s="127"/>
      <c r="EC1317" s="127"/>
      <c r="ED1317" s="127"/>
      <c r="EE1317" s="127"/>
      <c r="EF1317" s="127"/>
      <c r="EG1317" s="127"/>
      <c r="EH1317" s="127"/>
      <c r="EI1317" s="127"/>
      <c r="EJ1317" s="127"/>
      <c r="EK1317" s="127"/>
      <c r="EL1317" s="127"/>
      <c r="EM1317" s="127"/>
      <c r="EN1317" s="127"/>
      <c r="EO1317" s="127"/>
      <c r="EP1317" s="127"/>
      <c r="EQ1317" s="127"/>
      <c r="ER1317" s="127"/>
      <c r="ES1317" s="127"/>
      <c r="ET1317" s="127"/>
      <c r="EU1317" s="127"/>
      <c r="EV1317" s="127"/>
      <c r="EW1317" s="127"/>
      <c r="EX1317" s="127"/>
      <c r="EY1317" s="127"/>
      <c r="EZ1317" s="127"/>
      <c r="FA1317" s="127"/>
      <c r="FB1317" s="127"/>
      <c r="FC1317" s="127"/>
      <c r="FD1317" s="127"/>
      <c r="FE1317" s="127"/>
      <c r="FF1317" s="127"/>
      <c r="FG1317" s="127"/>
      <c r="FH1317" s="127"/>
      <c r="FI1317" s="127"/>
      <c r="FJ1317" s="127"/>
      <c r="FK1317" s="127"/>
      <c r="FL1317" s="127"/>
      <c r="FM1317" s="127"/>
      <c r="FN1317" s="127"/>
      <c r="FO1317" s="127"/>
      <c r="FP1317" s="127"/>
      <c r="FQ1317" s="127"/>
      <c r="FR1317" s="127"/>
      <c r="FS1317" s="127"/>
      <c r="FT1317" s="127"/>
      <c r="FU1317" s="127"/>
      <c r="FV1317" s="127"/>
      <c r="FW1317" s="127"/>
      <c r="FX1317" s="127"/>
      <c r="FY1317" s="127"/>
      <c r="FZ1317" s="127"/>
      <c r="GA1317" s="127"/>
      <c r="GB1317" s="127"/>
      <c r="GC1317" s="127"/>
      <c r="GD1317" s="127"/>
      <c r="GE1317" s="127"/>
      <c r="GF1317" s="127"/>
      <c r="GG1317" s="127"/>
      <c r="GH1317" s="127"/>
      <c r="GI1317" s="127"/>
      <c r="GJ1317" s="127"/>
      <c r="GK1317" s="127"/>
      <c r="GL1317" s="127"/>
      <c r="GM1317" s="127"/>
      <c r="GN1317" s="127"/>
      <c r="GO1317" s="127"/>
      <c r="GP1317" s="127"/>
      <c r="GQ1317" s="127"/>
      <c r="GR1317" s="127"/>
      <c r="GS1317" s="127"/>
      <c r="GT1317" s="127"/>
      <c r="GU1317" s="127"/>
      <c r="GV1317" s="127"/>
      <c r="GW1317" s="127"/>
      <c r="GX1317" s="127"/>
      <c r="GY1317" s="127"/>
      <c r="GZ1317" s="127"/>
      <c r="HA1317" s="127"/>
      <c r="HB1317" s="127"/>
      <c r="HC1317" s="127"/>
      <c r="HD1317" s="127"/>
      <c r="HE1317" s="127"/>
      <c r="HF1317" s="127"/>
      <c r="HG1317" s="127"/>
      <c r="HH1317" s="127"/>
      <c r="HI1317" s="127"/>
      <c r="HJ1317" s="127"/>
      <c r="HK1317" s="127"/>
      <c r="HL1317" s="127"/>
      <c r="HM1317" s="127"/>
      <c r="HN1317" s="127"/>
      <c r="HO1317" s="127"/>
      <c r="HP1317" s="127"/>
      <c r="HQ1317" s="127"/>
      <c r="HR1317" s="127"/>
      <c r="HS1317" s="127"/>
      <c r="HT1317" s="127"/>
      <c r="HU1317" s="127"/>
      <c r="HV1317" s="127"/>
      <c r="HW1317" s="127"/>
      <c r="HX1317" s="127"/>
      <c r="HY1317" s="127"/>
      <c r="HZ1317" s="127"/>
      <c r="IA1317" s="127"/>
      <c r="IB1317" s="127"/>
      <c r="IC1317" s="127"/>
      <c r="ID1317" s="127"/>
      <c r="IE1317" s="127"/>
      <c r="IF1317" s="127"/>
      <c r="IG1317" s="127"/>
      <c r="IH1317" s="127"/>
      <c r="II1317" s="127"/>
      <c r="IJ1317" s="127"/>
      <c r="IK1317" s="127"/>
      <c r="IL1317" s="127"/>
      <c r="IM1317" s="127"/>
      <c r="IN1317" s="127"/>
      <c r="IO1317" s="127"/>
      <c r="IP1317" s="127"/>
      <c r="IQ1317" s="127"/>
      <c r="IR1317" s="127"/>
      <c r="IS1317" s="127"/>
      <c r="IT1317" s="127"/>
      <c r="IU1317" s="127"/>
      <c r="IV1317" s="127"/>
    </row>
    <row r="1318" ht="45" spans="1:11">
      <c r="A1318" s="49" t="s">
        <v>74</v>
      </c>
      <c r="B1318" s="101" t="s">
        <v>10632</v>
      </c>
      <c r="C1318" s="98" t="s">
        <v>8213</v>
      </c>
      <c r="D1318" s="142" t="s">
        <v>4</v>
      </c>
      <c r="E1318" s="101" t="s">
        <v>10633</v>
      </c>
      <c r="F1318" s="98"/>
      <c r="G1318" s="101" t="s">
        <v>353</v>
      </c>
      <c r="H1318" s="142" t="s">
        <v>10578</v>
      </c>
      <c r="I1318" s="142" t="s">
        <v>10578</v>
      </c>
      <c r="J1318" s="100" t="s">
        <v>10634</v>
      </c>
      <c r="K1318" s="107"/>
    </row>
    <row r="1319" s="89" customFormat="1" ht="15" spans="1:11">
      <c r="A1319" s="106" t="s">
        <v>74</v>
      </c>
      <c r="B1319" s="106" t="s">
        <v>10635</v>
      </c>
      <c r="C1319" s="106" t="s">
        <v>8293</v>
      </c>
      <c r="D1319" s="106" t="s">
        <v>4</v>
      </c>
      <c r="E1319" s="106" t="s">
        <v>10636</v>
      </c>
      <c r="F1319" s="106"/>
      <c r="G1319" s="106" t="s">
        <v>353</v>
      </c>
      <c r="H1319" s="117" t="s">
        <v>8215</v>
      </c>
      <c r="I1319" s="106" t="s">
        <v>8215</v>
      </c>
      <c r="J1319" s="106" t="s">
        <v>10590</v>
      </c>
      <c r="K1319" s="114" t="s">
        <v>8308</v>
      </c>
    </row>
    <row r="1320" s="89" customFormat="1" ht="15" spans="1:256">
      <c r="A1320" s="106" t="s">
        <v>75</v>
      </c>
      <c r="B1320" s="99" t="s">
        <v>10637</v>
      </c>
      <c r="C1320" s="99" t="s">
        <v>8272</v>
      </c>
      <c r="D1320" s="99" t="s">
        <v>4</v>
      </c>
      <c r="E1320" s="99" t="s">
        <v>10638</v>
      </c>
      <c r="F1320" s="99"/>
      <c r="G1320" s="99" t="s">
        <v>353</v>
      </c>
      <c r="H1320" s="99" t="s">
        <v>8215</v>
      </c>
      <c r="I1320" s="99" t="s">
        <v>8215</v>
      </c>
      <c r="J1320" s="99" t="s">
        <v>10448</v>
      </c>
      <c r="K1320" s="109">
        <v>45852</v>
      </c>
      <c r="L1320" s="92"/>
      <c r="M1320" s="92"/>
      <c r="N1320" s="92"/>
      <c r="O1320" s="92"/>
      <c r="P1320" s="92"/>
      <c r="Q1320" s="92"/>
      <c r="R1320" s="92"/>
      <c r="S1320" s="92"/>
      <c r="T1320" s="92"/>
      <c r="U1320" s="92"/>
      <c r="V1320" s="92"/>
      <c r="W1320" s="92"/>
      <c r="X1320" s="92"/>
      <c r="Y1320" s="92"/>
      <c r="Z1320" s="92"/>
      <c r="AA1320" s="92"/>
      <c r="AB1320" s="92"/>
      <c r="AC1320" s="92"/>
      <c r="AD1320" s="92"/>
      <c r="AE1320" s="92"/>
      <c r="AF1320" s="92"/>
      <c r="AG1320" s="92"/>
      <c r="AH1320" s="92"/>
      <c r="AI1320" s="92"/>
      <c r="AJ1320" s="92"/>
      <c r="AK1320" s="92"/>
      <c r="AL1320" s="92"/>
      <c r="AM1320" s="92"/>
      <c r="AN1320" s="92"/>
      <c r="AO1320" s="92"/>
      <c r="AP1320" s="92"/>
      <c r="AQ1320" s="92"/>
      <c r="AR1320" s="92"/>
      <c r="AS1320" s="92"/>
      <c r="AT1320" s="92"/>
      <c r="AU1320" s="92"/>
      <c r="AV1320" s="92"/>
      <c r="AW1320" s="92"/>
      <c r="AX1320" s="92"/>
      <c r="AY1320" s="92"/>
      <c r="AZ1320" s="92"/>
      <c r="BA1320" s="92"/>
      <c r="BB1320" s="92"/>
      <c r="BC1320" s="92"/>
      <c r="BD1320" s="92"/>
      <c r="BE1320" s="92"/>
      <c r="BF1320" s="92"/>
      <c r="BG1320" s="92"/>
      <c r="BH1320" s="92"/>
      <c r="BI1320" s="92"/>
      <c r="BJ1320" s="92"/>
      <c r="BK1320" s="92"/>
      <c r="BL1320" s="92"/>
      <c r="BM1320" s="92"/>
      <c r="BN1320" s="92"/>
      <c r="BO1320" s="92"/>
      <c r="BP1320" s="92"/>
      <c r="BQ1320" s="92"/>
      <c r="BR1320" s="92"/>
      <c r="BS1320" s="92"/>
      <c r="BT1320" s="92"/>
      <c r="BU1320" s="92"/>
      <c r="BV1320" s="92"/>
      <c r="BW1320" s="92"/>
      <c r="BX1320" s="92"/>
      <c r="BY1320" s="92"/>
      <c r="BZ1320" s="92"/>
      <c r="CA1320" s="92"/>
      <c r="CB1320" s="92"/>
      <c r="CC1320" s="92"/>
      <c r="CD1320" s="92"/>
      <c r="CE1320" s="92"/>
      <c r="CF1320" s="92"/>
      <c r="CG1320" s="92"/>
      <c r="CH1320" s="92"/>
      <c r="CI1320" s="92"/>
      <c r="CJ1320" s="92"/>
      <c r="CK1320" s="92"/>
      <c r="CL1320" s="92"/>
      <c r="CM1320" s="92"/>
      <c r="CN1320" s="92"/>
      <c r="CO1320" s="92"/>
      <c r="CP1320" s="92"/>
      <c r="CQ1320" s="92"/>
      <c r="CR1320" s="92"/>
      <c r="CS1320" s="92"/>
      <c r="CT1320" s="92"/>
      <c r="CU1320" s="92"/>
      <c r="CV1320" s="92"/>
      <c r="CW1320" s="92"/>
      <c r="CX1320" s="92"/>
      <c r="CY1320" s="92"/>
      <c r="CZ1320" s="92"/>
      <c r="DA1320" s="92"/>
      <c r="DB1320" s="92"/>
      <c r="DC1320" s="92"/>
      <c r="DD1320" s="92"/>
      <c r="DE1320" s="92"/>
      <c r="DF1320" s="92"/>
      <c r="DG1320" s="92"/>
      <c r="DH1320" s="92"/>
      <c r="DI1320" s="92"/>
      <c r="DJ1320" s="92"/>
      <c r="DK1320" s="92"/>
      <c r="DL1320" s="92"/>
      <c r="DM1320" s="92"/>
      <c r="DN1320" s="92"/>
      <c r="DO1320" s="92"/>
      <c r="DP1320" s="92"/>
      <c r="DQ1320" s="92"/>
      <c r="DR1320" s="92"/>
      <c r="DS1320" s="92"/>
      <c r="DT1320" s="92"/>
      <c r="DU1320" s="92"/>
      <c r="DV1320" s="92"/>
      <c r="DW1320" s="92"/>
      <c r="DX1320" s="92"/>
      <c r="DY1320" s="92"/>
      <c r="DZ1320" s="92"/>
      <c r="EA1320" s="92"/>
      <c r="EB1320" s="92"/>
      <c r="EC1320" s="92"/>
      <c r="ED1320" s="92"/>
      <c r="EE1320" s="92"/>
      <c r="EF1320" s="92"/>
      <c r="EG1320" s="92"/>
      <c r="EH1320" s="92"/>
      <c r="EI1320" s="92"/>
      <c r="EJ1320" s="92"/>
      <c r="EK1320" s="92"/>
      <c r="EL1320" s="92"/>
      <c r="EM1320" s="92"/>
      <c r="EN1320" s="92"/>
      <c r="EO1320" s="92"/>
      <c r="EP1320" s="92"/>
      <c r="EQ1320" s="92"/>
      <c r="ER1320" s="92"/>
      <c r="ES1320" s="92"/>
      <c r="ET1320" s="92"/>
      <c r="EU1320" s="92"/>
      <c r="EV1320" s="92"/>
      <c r="EW1320" s="92"/>
      <c r="EX1320" s="92"/>
      <c r="EY1320" s="92"/>
      <c r="EZ1320" s="92"/>
      <c r="FA1320" s="92"/>
      <c r="FB1320" s="92"/>
      <c r="FC1320" s="92"/>
      <c r="FD1320" s="92"/>
      <c r="FE1320" s="92"/>
      <c r="FF1320" s="92"/>
      <c r="FG1320" s="92"/>
      <c r="FH1320" s="92"/>
      <c r="FI1320" s="92"/>
      <c r="FJ1320" s="92"/>
      <c r="FK1320" s="92"/>
      <c r="FL1320" s="92"/>
      <c r="FM1320" s="92"/>
      <c r="FN1320" s="92"/>
      <c r="FO1320" s="92"/>
      <c r="FP1320" s="92"/>
      <c r="FQ1320" s="92"/>
      <c r="FR1320" s="92"/>
      <c r="FS1320" s="92"/>
      <c r="FT1320" s="92"/>
      <c r="FU1320" s="92"/>
      <c r="FV1320" s="92"/>
      <c r="FW1320" s="92"/>
      <c r="FX1320" s="92"/>
      <c r="FY1320" s="92"/>
      <c r="FZ1320" s="92"/>
      <c r="GA1320" s="92"/>
      <c r="GB1320" s="92"/>
      <c r="GC1320" s="92"/>
      <c r="GD1320" s="92"/>
      <c r="GE1320" s="92"/>
      <c r="GF1320" s="92"/>
      <c r="GG1320" s="92"/>
      <c r="GH1320" s="92"/>
      <c r="GI1320" s="92"/>
      <c r="GJ1320" s="92"/>
      <c r="GK1320" s="92"/>
      <c r="GL1320" s="92"/>
      <c r="GM1320" s="92"/>
      <c r="GN1320" s="92"/>
      <c r="GO1320" s="92"/>
      <c r="GP1320" s="92"/>
      <c r="GQ1320" s="92"/>
      <c r="GR1320" s="92"/>
      <c r="GS1320" s="92"/>
      <c r="GT1320" s="92"/>
      <c r="GU1320" s="92"/>
      <c r="GV1320" s="92"/>
      <c r="GW1320" s="92"/>
      <c r="GX1320" s="92"/>
      <c r="GY1320" s="92"/>
      <c r="GZ1320" s="92"/>
      <c r="HA1320" s="92"/>
      <c r="HB1320" s="92"/>
      <c r="HC1320" s="92"/>
      <c r="HD1320" s="92"/>
      <c r="HE1320" s="92"/>
      <c r="HF1320" s="92"/>
      <c r="HG1320" s="92"/>
      <c r="HH1320" s="92"/>
      <c r="HI1320" s="92"/>
      <c r="HJ1320" s="92"/>
      <c r="HK1320" s="92"/>
      <c r="HL1320" s="92"/>
      <c r="HM1320" s="92"/>
      <c r="HN1320" s="92"/>
      <c r="HO1320" s="92"/>
      <c r="HP1320" s="92"/>
      <c r="HQ1320" s="92"/>
      <c r="HR1320" s="92"/>
      <c r="HS1320" s="92"/>
      <c r="HT1320" s="92"/>
      <c r="HU1320" s="92"/>
      <c r="HV1320" s="92"/>
      <c r="HW1320" s="92"/>
      <c r="HX1320" s="92"/>
      <c r="HY1320" s="92"/>
      <c r="HZ1320" s="92"/>
      <c r="IA1320" s="92"/>
      <c r="IB1320" s="92"/>
      <c r="IC1320" s="92"/>
      <c r="ID1320" s="92"/>
      <c r="IE1320" s="92"/>
      <c r="IF1320" s="92"/>
      <c r="IG1320" s="92"/>
      <c r="IH1320" s="92"/>
      <c r="II1320" s="92"/>
      <c r="IJ1320" s="92"/>
      <c r="IK1320" s="92"/>
      <c r="IL1320" s="92"/>
      <c r="IM1320" s="92"/>
      <c r="IN1320" s="92"/>
      <c r="IO1320" s="92"/>
      <c r="IP1320" s="92"/>
      <c r="IQ1320" s="92"/>
      <c r="IR1320" s="92"/>
      <c r="IS1320" s="92"/>
      <c r="IT1320" s="92"/>
      <c r="IU1320" s="92"/>
      <c r="IV1320" s="92"/>
    </row>
    <row r="1321" s="92" customFormat="1" ht="15" spans="1:11">
      <c r="A1321" s="106" t="s">
        <v>75</v>
      </c>
      <c r="B1321" s="99" t="s">
        <v>10639</v>
      </c>
      <c r="C1321" s="99" t="s">
        <v>8272</v>
      </c>
      <c r="D1321" s="99" t="s">
        <v>4</v>
      </c>
      <c r="E1321" s="99" t="s">
        <v>10638</v>
      </c>
      <c r="F1321" s="99"/>
      <c r="G1321" s="99" t="s">
        <v>353</v>
      </c>
      <c r="H1321" s="99" t="s">
        <v>8215</v>
      </c>
      <c r="I1321" s="99" t="s">
        <v>8215</v>
      </c>
      <c r="J1321" s="99" t="s">
        <v>10032</v>
      </c>
      <c r="K1321" s="109">
        <v>45852</v>
      </c>
    </row>
    <row r="1322" ht="15" spans="1:11">
      <c r="A1322" s="49" t="s">
        <v>72</v>
      </c>
      <c r="B1322" s="101" t="s">
        <v>10640</v>
      </c>
      <c r="C1322" s="98" t="s">
        <v>8514</v>
      </c>
      <c r="D1322" s="101" t="s">
        <v>4</v>
      </c>
      <c r="E1322" s="49" t="s">
        <v>10641</v>
      </c>
      <c r="F1322" s="101"/>
      <c r="G1322" s="98" t="s">
        <v>117</v>
      </c>
      <c r="H1322" s="49" t="s">
        <v>8215</v>
      </c>
      <c r="I1322" s="100" t="s">
        <v>8215</v>
      </c>
      <c r="J1322" s="49">
        <v>3.4</v>
      </c>
      <c r="K1322" s="107"/>
    </row>
    <row r="1323" ht="15" spans="1:11">
      <c r="A1323" s="49" t="s">
        <v>72</v>
      </c>
      <c r="B1323" s="101" t="s">
        <v>10642</v>
      </c>
      <c r="C1323" s="98" t="s">
        <v>8514</v>
      </c>
      <c r="D1323" s="101" t="s">
        <v>4</v>
      </c>
      <c r="E1323" s="49" t="s">
        <v>10641</v>
      </c>
      <c r="F1323" s="138"/>
      <c r="G1323" s="138" t="s">
        <v>117</v>
      </c>
      <c r="H1323" s="49"/>
      <c r="I1323" s="100"/>
      <c r="J1323" s="49"/>
      <c r="K1323" s="107"/>
    </row>
    <row r="1324" ht="15" spans="1:11">
      <c r="A1324" s="49" t="s">
        <v>72</v>
      </c>
      <c r="B1324" s="101" t="s">
        <v>10643</v>
      </c>
      <c r="C1324" s="98" t="s">
        <v>8514</v>
      </c>
      <c r="D1324" s="101" t="s">
        <v>4</v>
      </c>
      <c r="E1324" s="49" t="s">
        <v>10641</v>
      </c>
      <c r="F1324" s="98"/>
      <c r="G1324" s="98" t="s">
        <v>117</v>
      </c>
      <c r="H1324" s="49" t="s">
        <v>8215</v>
      </c>
      <c r="I1324" s="100" t="s">
        <v>8215</v>
      </c>
      <c r="J1324" s="49" t="s">
        <v>10081</v>
      </c>
      <c r="K1324" s="107"/>
    </row>
    <row r="1325" ht="15" spans="1:11">
      <c r="A1325" s="49" t="s">
        <v>72</v>
      </c>
      <c r="B1325" s="101" t="s">
        <v>10644</v>
      </c>
      <c r="C1325" s="98" t="s">
        <v>8514</v>
      </c>
      <c r="D1325" s="101" t="s">
        <v>4</v>
      </c>
      <c r="E1325" s="49" t="s">
        <v>10641</v>
      </c>
      <c r="F1325" s="101"/>
      <c r="G1325" s="98" t="s">
        <v>117</v>
      </c>
      <c r="H1325" s="49" t="s">
        <v>8215</v>
      </c>
      <c r="I1325" s="100" t="s">
        <v>8215</v>
      </c>
      <c r="J1325" s="49">
        <v>3.2</v>
      </c>
      <c r="K1325" s="107"/>
    </row>
    <row r="1326" ht="15" spans="1:11">
      <c r="A1326" s="49" t="s">
        <v>72</v>
      </c>
      <c r="B1326" s="101" t="s">
        <v>10645</v>
      </c>
      <c r="C1326" s="98" t="s">
        <v>8514</v>
      </c>
      <c r="D1326" s="101" t="s">
        <v>4</v>
      </c>
      <c r="E1326" s="49" t="s">
        <v>10641</v>
      </c>
      <c r="F1326" s="98"/>
      <c r="G1326" s="98" t="s">
        <v>117</v>
      </c>
      <c r="H1326" s="49" t="s">
        <v>8215</v>
      </c>
      <c r="I1326" s="100" t="s">
        <v>8215</v>
      </c>
      <c r="J1326" s="49">
        <v>3.2</v>
      </c>
      <c r="K1326" s="107"/>
    </row>
    <row r="1327" ht="15" spans="1:11">
      <c r="A1327" s="49" t="s">
        <v>72</v>
      </c>
      <c r="B1327" s="101" t="s">
        <v>10646</v>
      </c>
      <c r="C1327" s="98" t="s">
        <v>8514</v>
      </c>
      <c r="D1327" s="101" t="s">
        <v>4</v>
      </c>
      <c r="E1327" s="49" t="s">
        <v>10641</v>
      </c>
      <c r="F1327" s="98"/>
      <c r="G1327" s="98" t="s">
        <v>117</v>
      </c>
      <c r="H1327" s="49" t="s">
        <v>8215</v>
      </c>
      <c r="I1327" s="100" t="s">
        <v>8215</v>
      </c>
      <c r="J1327" s="49">
        <v>3.2</v>
      </c>
      <c r="K1327" s="107"/>
    </row>
    <row r="1328" ht="15" spans="1:11">
      <c r="A1328" s="49" t="s">
        <v>72</v>
      </c>
      <c r="B1328" s="101" t="s">
        <v>10647</v>
      </c>
      <c r="C1328" s="98" t="s">
        <v>8514</v>
      </c>
      <c r="D1328" s="101" t="s">
        <v>4</v>
      </c>
      <c r="E1328" s="49" t="s">
        <v>10446</v>
      </c>
      <c r="F1328" s="138"/>
      <c r="G1328" s="98" t="s">
        <v>117</v>
      </c>
      <c r="H1328" s="49" t="s">
        <v>8252</v>
      </c>
      <c r="I1328" s="137" t="s">
        <v>8734</v>
      </c>
      <c r="J1328" s="49"/>
      <c r="K1328" s="107"/>
    </row>
    <row r="1329" ht="15" spans="1:11">
      <c r="A1329" s="49" t="s">
        <v>72</v>
      </c>
      <c r="B1329" s="101" t="s">
        <v>10648</v>
      </c>
      <c r="C1329" s="98" t="s">
        <v>8514</v>
      </c>
      <c r="D1329" s="101" t="s">
        <v>4</v>
      </c>
      <c r="E1329" s="49" t="s">
        <v>10649</v>
      </c>
      <c r="F1329" s="98"/>
      <c r="G1329" s="98" t="s">
        <v>117</v>
      </c>
      <c r="H1329" s="49" t="s">
        <v>8215</v>
      </c>
      <c r="I1329" s="100" t="s">
        <v>8215</v>
      </c>
      <c r="J1329" s="49">
        <v>3.5</v>
      </c>
      <c r="K1329" s="107"/>
    </row>
    <row r="1330" ht="15" spans="1:11">
      <c r="A1330" s="49" t="s">
        <v>72</v>
      </c>
      <c r="B1330" s="101" t="s">
        <v>10650</v>
      </c>
      <c r="C1330" s="98" t="s">
        <v>8514</v>
      </c>
      <c r="D1330" s="101" t="s">
        <v>4</v>
      </c>
      <c r="E1330" s="49" t="s">
        <v>10649</v>
      </c>
      <c r="F1330" s="138"/>
      <c r="G1330" s="98" t="s">
        <v>117</v>
      </c>
      <c r="H1330" s="49" t="s">
        <v>8215</v>
      </c>
      <c r="I1330" s="137" t="s">
        <v>8215</v>
      </c>
      <c r="J1330" s="49" t="s">
        <v>10299</v>
      </c>
      <c r="K1330" s="107"/>
    </row>
    <row r="1331" ht="15" spans="1:11">
      <c r="A1331" s="49" t="s">
        <v>72</v>
      </c>
      <c r="B1331" s="101" t="s">
        <v>10651</v>
      </c>
      <c r="C1331" s="98" t="s">
        <v>8514</v>
      </c>
      <c r="D1331" s="101" t="s">
        <v>4</v>
      </c>
      <c r="E1331" s="49" t="s">
        <v>10652</v>
      </c>
      <c r="F1331" s="138"/>
      <c r="G1331" s="98" t="s">
        <v>117</v>
      </c>
      <c r="H1331" s="49" t="s">
        <v>8320</v>
      </c>
      <c r="I1331" s="100" t="s">
        <v>8734</v>
      </c>
      <c r="J1331" s="49"/>
      <c r="K1331" s="107"/>
    </row>
    <row r="1332" ht="15" spans="1:11">
      <c r="A1332" s="49" t="s">
        <v>72</v>
      </c>
      <c r="B1332" s="101" t="s">
        <v>10653</v>
      </c>
      <c r="C1332" s="98" t="s">
        <v>8514</v>
      </c>
      <c r="D1332" s="101" t="s">
        <v>4</v>
      </c>
      <c r="E1332" s="49" t="s">
        <v>10654</v>
      </c>
      <c r="F1332" s="98"/>
      <c r="G1332" s="98" t="s">
        <v>117</v>
      </c>
      <c r="H1332" s="49" t="s">
        <v>8215</v>
      </c>
      <c r="I1332" s="100" t="s">
        <v>8215</v>
      </c>
      <c r="J1332" s="49">
        <v>3.75</v>
      </c>
      <c r="K1332" s="107"/>
    </row>
    <row r="1333" ht="15" spans="1:11">
      <c r="A1333" s="49" t="s">
        <v>72</v>
      </c>
      <c r="B1333" s="101" t="s">
        <v>10655</v>
      </c>
      <c r="C1333" s="98" t="s">
        <v>8514</v>
      </c>
      <c r="D1333" s="101" t="s">
        <v>4</v>
      </c>
      <c r="E1333" s="49" t="s">
        <v>10654</v>
      </c>
      <c r="F1333" s="98"/>
      <c r="G1333" s="98" t="s">
        <v>117</v>
      </c>
      <c r="H1333" s="49" t="s">
        <v>8215</v>
      </c>
      <c r="I1333" s="100" t="s">
        <v>8215</v>
      </c>
      <c r="J1333" s="49">
        <v>3.75</v>
      </c>
      <c r="K1333" s="107"/>
    </row>
    <row r="1334" ht="15" spans="1:11">
      <c r="A1334" s="49" t="s">
        <v>72</v>
      </c>
      <c r="B1334" s="101" t="s">
        <v>10656</v>
      </c>
      <c r="C1334" s="98" t="s">
        <v>8514</v>
      </c>
      <c r="D1334" s="101" t="s">
        <v>4</v>
      </c>
      <c r="E1334" s="49" t="s">
        <v>10654</v>
      </c>
      <c r="F1334" s="98"/>
      <c r="G1334" s="98" t="s">
        <v>117</v>
      </c>
      <c r="H1334" s="49" t="s">
        <v>8215</v>
      </c>
      <c r="I1334" s="100" t="s">
        <v>8215</v>
      </c>
      <c r="J1334" s="49">
        <v>3.75</v>
      </c>
      <c r="K1334" s="107"/>
    </row>
    <row r="1335" ht="15" spans="1:11">
      <c r="A1335" s="49" t="s">
        <v>72</v>
      </c>
      <c r="B1335" s="101" t="s">
        <v>10657</v>
      </c>
      <c r="C1335" s="98" t="s">
        <v>8514</v>
      </c>
      <c r="D1335" s="101" t="s">
        <v>4</v>
      </c>
      <c r="E1335" s="49" t="s">
        <v>10658</v>
      </c>
      <c r="F1335" s="101"/>
      <c r="G1335" s="98" t="s">
        <v>117</v>
      </c>
      <c r="H1335" s="49" t="s">
        <v>8215</v>
      </c>
      <c r="I1335" s="100" t="s">
        <v>8215</v>
      </c>
      <c r="J1335" s="49">
        <v>4</v>
      </c>
      <c r="K1335" s="107"/>
    </row>
    <row r="1336" ht="15" spans="1:11">
      <c r="A1336" s="49" t="s">
        <v>72</v>
      </c>
      <c r="B1336" s="101" t="s">
        <v>10659</v>
      </c>
      <c r="C1336" s="98" t="s">
        <v>8514</v>
      </c>
      <c r="D1336" s="101" t="s">
        <v>4</v>
      </c>
      <c r="E1336" s="49" t="s">
        <v>10658</v>
      </c>
      <c r="F1336" s="101"/>
      <c r="G1336" s="98" t="s">
        <v>117</v>
      </c>
      <c r="H1336" s="49" t="s">
        <v>8215</v>
      </c>
      <c r="I1336" s="100" t="s">
        <v>8215</v>
      </c>
      <c r="J1336" s="49">
        <v>4</v>
      </c>
      <c r="K1336" s="107"/>
    </row>
    <row r="1337" ht="15" spans="1:11">
      <c r="A1337" s="49" t="s">
        <v>72</v>
      </c>
      <c r="B1337" s="101" t="s">
        <v>10660</v>
      </c>
      <c r="C1337" s="98" t="s">
        <v>8514</v>
      </c>
      <c r="D1337" s="101" t="s">
        <v>4</v>
      </c>
      <c r="E1337" s="49" t="s">
        <v>10658</v>
      </c>
      <c r="F1337" s="101"/>
      <c r="G1337" s="98" t="s">
        <v>117</v>
      </c>
      <c r="H1337" s="49" t="s">
        <v>8215</v>
      </c>
      <c r="I1337" s="100" t="s">
        <v>8215</v>
      </c>
      <c r="J1337" s="49">
        <v>4</v>
      </c>
      <c r="K1337" s="107"/>
    </row>
    <row r="1338" ht="15" spans="1:11">
      <c r="A1338" s="49" t="s">
        <v>72</v>
      </c>
      <c r="B1338" s="101" t="s">
        <v>10661</v>
      </c>
      <c r="C1338" s="98" t="s">
        <v>8514</v>
      </c>
      <c r="D1338" s="101" t="s">
        <v>5</v>
      </c>
      <c r="E1338" s="49" t="s">
        <v>10662</v>
      </c>
      <c r="F1338" s="101"/>
      <c r="G1338" s="98" t="s">
        <v>117</v>
      </c>
      <c r="H1338" s="49" t="s">
        <v>8252</v>
      </c>
      <c r="I1338" s="100" t="s">
        <v>8252</v>
      </c>
      <c r="J1338" s="49" t="s">
        <v>8220</v>
      </c>
      <c r="K1338" s="107"/>
    </row>
    <row r="1339" ht="15" spans="1:11">
      <c r="A1339" s="49" t="s">
        <v>72</v>
      </c>
      <c r="B1339" s="101" t="s">
        <v>10663</v>
      </c>
      <c r="C1339" s="98" t="s">
        <v>8514</v>
      </c>
      <c r="D1339" s="101" t="s">
        <v>4</v>
      </c>
      <c r="E1339" s="49" t="s">
        <v>10664</v>
      </c>
      <c r="F1339" s="98"/>
      <c r="G1339" s="98" t="s">
        <v>117</v>
      </c>
      <c r="H1339" s="49" t="s">
        <v>8215</v>
      </c>
      <c r="I1339" s="100" t="s">
        <v>8215</v>
      </c>
      <c r="J1339" s="49" t="s">
        <v>9055</v>
      </c>
      <c r="K1339" s="107"/>
    </row>
    <row r="1340" ht="15" spans="1:11">
      <c r="A1340" s="49" t="s">
        <v>72</v>
      </c>
      <c r="B1340" s="101" t="s">
        <v>10665</v>
      </c>
      <c r="C1340" s="98" t="s">
        <v>8514</v>
      </c>
      <c r="D1340" s="101" t="s">
        <v>4</v>
      </c>
      <c r="E1340" s="49" t="s">
        <v>10664</v>
      </c>
      <c r="F1340" s="98"/>
      <c r="G1340" s="98" t="s">
        <v>117</v>
      </c>
      <c r="H1340" s="49" t="s">
        <v>8215</v>
      </c>
      <c r="I1340" s="100" t="s">
        <v>8215</v>
      </c>
      <c r="J1340" s="49" t="s">
        <v>9055</v>
      </c>
      <c r="K1340" s="107"/>
    </row>
    <row r="1341" ht="15" spans="1:11">
      <c r="A1341" s="49" t="s">
        <v>72</v>
      </c>
      <c r="B1341" s="101" t="s">
        <v>10666</v>
      </c>
      <c r="C1341" s="98" t="s">
        <v>8514</v>
      </c>
      <c r="D1341" s="101" t="s">
        <v>4</v>
      </c>
      <c r="E1341" s="49" t="s">
        <v>10664</v>
      </c>
      <c r="F1341" s="98"/>
      <c r="G1341" s="98" t="s">
        <v>117</v>
      </c>
      <c r="H1341" s="49" t="s">
        <v>8215</v>
      </c>
      <c r="I1341" s="100" t="s">
        <v>8215</v>
      </c>
      <c r="J1341" s="49" t="s">
        <v>9055</v>
      </c>
      <c r="K1341" s="107"/>
    </row>
    <row r="1342" ht="15" spans="1:11">
      <c r="A1342" s="49" t="s">
        <v>72</v>
      </c>
      <c r="B1342" s="101" t="s">
        <v>10667</v>
      </c>
      <c r="C1342" s="98"/>
      <c r="D1342" s="101" t="s">
        <v>4</v>
      </c>
      <c r="E1342" s="49" t="s">
        <v>10664</v>
      </c>
      <c r="F1342" s="98"/>
      <c r="G1342" s="98" t="s">
        <v>117</v>
      </c>
      <c r="H1342" s="100" t="s">
        <v>8215</v>
      </c>
      <c r="I1342" s="100" t="s">
        <v>8215</v>
      </c>
      <c r="J1342" s="49" t="s">
        <v>8459</v>
      </c>
      <c r="K1342" s="107">
        <v>2024.3</v>
      </c>
    </row>
    <row r="1343" s="91" customFormat="1" ht="15" spans="1:11">
      <c r="A1343" s="106" t="s">
        <v>72</v>
      </c>
      <c r="B1343" s="106" t="s">
        <v>10668</v>
      </c>
      <c r="C1343" s="106" t="s">
        <v>8293</v>
      </c>
      <c r="D1343" s="106" t="s">
        <v>4</v>
      </c>
      <c r="E1343" s="106" t="s">
        <v>10664</v>
      </c>
      <c r="F1343" s="106"/>
      <c r="G1343" s="106" t="s">
        <v>117</v>
      </c>
      <c r="H1343" s="106" t="s">
        <v>8215</v>
      </c>
      <c r="I1343" s="106" t="s">
        <v>8215</v>
      </c>
      <c r="J1343" s="106" t="s">
        <v>9055</v>
      </c>
      <c r="K1343" s="106">
        <v>2024.7</v>
      </c>
    </row>
    <row r="1344" ht="15" spans="1:11">
      <c r="A1344" s="49" t="s">
        <v>72</v>
      </c>
      <c r="B1344" s="101" t="s">
        <v>10669</v>
      </c>
      <c r="C1344" s="98" t="s">
        <v>8514</v>
      </c>
      <c r="D1344" s="101" t="s">
        <v>4</v>
      </c>
      <c r="E1344" s="49" t="s">
        <v>10670</v>
      </c>
      <c r="F1344" s="98"/>
      <c r="G1344" s="98" t="s">
        <v>117</v>
      </c>
      <c r="H1344" s="49" t="s">
        <v>8252</v>
      </c>
      <c r="I1344" s="100" t="s">
        <v>8252</v>
      </c>
      <c r="J1344" s="49">
        <v>3.5</v>
      </c>
      <c r="K1344" s="107"/>
    </row>
    <row r="1345" ht="15" spans="1:11">
      <c r="A1345" s="49" t="s">
        <v>72</v>
      </c>
      <c r="B1345" s="101" t="s">
        <v>10671</v>
      </c>
      <c r="C1345" s="98" t="s">
        <v>8514</v>
      </c>
      <c r="D1345" s="101" t="s">
        <v>4</v>
      </c>
      <c r="E1345" s="49" t="s">
        <v>10670</v>
      </c>
      <c r="F1345" s="138"/>
      <c r="G1345" s="98" t="s">
        <v>117</v>
      </c>
      <c r="H1345" s="49"/>
      <c r="I1345" s="137" t="s">
        <v>8252</v>
      </c>
      <c r="J1345" s="49" t="s">
        <v>8463</v>
      </c>
      <c r="K1345" s="107"/>
    </row>
    <row r="1346" ht="15" spans="1:11">
      <c r="A1346" s="49" t="s">
        <v>72</v>
      </c>
      <c r="B1346" s="101" t="s">
        <v>10672</v>
      </c>
      <c r="C1346" s="98" t="s">
        <v>8514</v>
      </c>
      <c r="D1346" s="101" t="s">
        <v>4</v>
      </c>
      <c r="E1346" s="49" t="s">
        <v>10670</v>
      </c>
      <c r="F1346" s="98"/>
      <c r="G1346" s="98" t="s">
        <v>117</v>
      </c>
      <c r="H1346" s="49" t="s">
        <v>8215</v>
      </c>
      <c r="I1346" s="100" t="s">
        <v>8215</v>
      </c>
      <c r="J1346" s="49">
        <v>3</v>
      </c>
      <c r="K1346" s="107"/>
    </row>
    <row r="1347" ht="15" spans="1:11">
      <c r="A1347" s="49" t="s">
        <v>72</v>
      </c>
      <c r="B1347" s="101" t="s">
        <v>10673</v>
      </c>
      <c r="C1347" s="98" t="s">
        <v>8514</v>
      </c>
      <c r="D1347" s="101" t="s">
        <v>4</v>
      </c>
      <c r="E1347" s="49" t="s">
        <v>10670</v>
      </c>
      <c r="F1347" s="98"/>
      <c r="G1347" s="98" t="s">
        <v>117</v>
      </c>
      <c r="H1347" s="49" t="s">
        <v>8215</v>
      </c>
      <c r="I1347" s="100" t="s">
        <v>8215</v>
      </c>
      <c r="J1347" s="49">
        <v>3.5</v>
      </c>
      <c r="K1347" s="107"/>
    </row>
    <row r="1348" ht="15" spans="1:11">
      <c r="A1348" s="49" t="s">
        <v>72</v>
      </c>
      <c r="B1348" s="101" t="s">
        <v>10674</v>
      </c>
      <c r="C1348" s="98" t="s">
        <v>8514</v>
      </c>
      <c r="D1348" s="101" t="s">
        <v>4</v>
      </c>
      <c r="E1348" s="49" t="s">
        <v>7503</v>
      </c>
      <c r="F1348" s="98"/>
      <c r="G1348" s="98" t="s">
        <v>117</v>
      </c>
      <c r="H1348" s="49" t="s">
        <v>8215</v>
      </c>
      <c r="I1348" s="100" t="s">
        <v>8215</v>
      </c>
      <c r="J1348" s="49">
        <v>3.5</v>
      </c>
      <c r="K1348" s="107"/>
    </row>
    <row r="1349" ht="15" spans="1:11">
      <c r="A1349" s="49" t="s">
        <v>72</v>
      </c>
      <c r="B1349" s="101" t="s">
        <v>10675</v>
      </c>
      <c r="C1349" s="98" t="s">
        <v>8514</v>
      </c>
      <c r="D1349" s="101" t="s">
        <v>4</v>
      </c>
      <c r="E1349" s="49" t="s">
        <v>7503</v>
      </c>
      <c r="F1349" s="98"/>
      <c r="G1349" s="98" t="s">
        <v>117</v>
      </c>
      <c r="H1349" s="49" t="s">
        <v>8215</v>
      </c>
      <c r="I1349" s="100" t="s">
        <v>8215</v>
      </c>
      <c r="J1349" s="49">
        <v>3.5</v>
      </c>
      <c r="K1349" s="107"/>
    </row>
    <row r="1350" ht="15" spans="1:11">
      <c r="A1350" s="49" t="s">
        <v>72</v>
      </c>
      <c r="B1350" s="101" t="s">
        <v>10676</v>
      </c>
      <c r="C1350" s="98" t="s">
        <v>8514</v>
      </c>
      <c r="D1350" s="101" t="s">
        <v>4</v>
      </c>
      <c r="E1350" s="49" t="s">
        <v>10677</v>
      </c>
      <c r="F1350" s="98"/>
      <c r="G1350" s="98" t="s">
        <v>117</v>
      </c>
      <c r="H1350" s="49" t="s">
        <v>9389</v>
      </c>
      <c r="I1350" s="100" t="s">
        <v>8215</v>
      </c>
      <c r="J1350" s="49">
        <v>3.2</v>
      </c>
      <c r="K1350" s="107"/>
    </row>
    <row r="1351" ht="15" spans="1:11">
      <c r="A1351" s="49" t="s">
        <v>72</v>
      </c>
      <c r="B1351" s="101" t="s">
        <v>10678</v>
      </c>
      <c r="C1351" s="98" t="s">
        <v>8514</v>
      </c>
      <c r="D1351" s="101" t="s">
        <v>4</v>
      </c>
      <c r="E1351" s="49" t="s">
        <v>10677</v>
      </c>
      <c r="F1351" s="98"/>
      <c r="G1351" s="98" t="s">
        <v>117</v>
      </c>
      <c r="H1351" s="49"/>
      <c r="I1351" s="100" t="s">
        <v>8215</v>
      </c>
      <c r="J1351" s="49" t="s">
        <v>10679</v>
      </c>
      <c r="K1351" s="107"/>
    </row>
    <row r="1352" ht="15" spans="1:11">
      <c r="A1352" s="49" t="s">
        <v>72</v>
      </c>
      <c r="B1352" s="101" t="s">
        <v>10680</v>
      </c>
      <c r="C1352" s="98" t="s">
        <v>8514</v>
      </c>
      <c r="D1352" s="101" t="s">
        <v>4</v>
      </c>
      <c r="E1352" s="49" t="s">
        <v>10681</v>
      </c>
      <c r="F1352" s="98"/>
      <c r="G1352" s="98" t="s">
        <v>117</v>
      </c>
      <c r="H1352" s="49" t="s">
        <v>8215</v>
      </c>
      <c r="I1352" s="100" t="s">
        <v>8215</v>
      </c>
      <c r="J1352" s="49" t="s">
        <v>10682</v>
      </c>
      <c r="K1352" s="107"/>
    </row>
    <row r="1353" s="90" customFormat="1" ht="15" spans="1:11">
      <c r="A1353" s="49" t="s">
        <v>72</v>
      </c>
      <c r="B1353" s="101" t="s">
        <v>10683</v>
      </c>
      <c r="C1353" s="98" t="s">
        <v>8293</v>
      </c>
      <c r="D1353" s="101" t="s">
        <v>4</v>
      </c>
      <c r="E1353" s="49" t="s">
        <v>10684</v>
      </c>
      <c r="F1353" s="98"/>
      <c r="G1353" s="98" t="s">
        <v>117</v>
      </c>
      <c r="H1353" s="49" t="s">
        <v>8215</v>
      </c>
      <c r="I1353" s="100" t="s">
        <v>8247</v>
      </c>
      <c r="J1353" s="49">
        <v>4</v>
      </c>
      <c r="K1353" s="107">
        <v>2024.4</v>
      </c>
    </row>
    <row r="1354" ht="15" spans="1:11">
      <c r="A1354" s="49" t="s">
        <v>73</v>
      </c>
      <c r="B1354" s="101" t="s">
        <v>10685</v>
      </c>
      <c r="C1354" s="98" t="s">
        <v>8514</v>
      </c>
      <c r="D1354" s="101" t="s">
        <v>4</v>
      </c>
      <c r="E1354" s="49" t="s">
        <v>10686</v>
      </c>
      <c r="F1354" s="98"/>
      <c r="G1354" s="98" t="s">
        <v>117</v>
      </c>
      <c r="H1354" s="49" t="s">
        <v>8215</v>
      </c>
      <c r="I1354" s="100" t="s">
        <v>8215</v>
      </c>
      <c r="J1354" s="49" t="s">
        <v>10687</v>
      </c>
      <c r="K1354" s="107"/>
    </row>
    <row r="1355" s="91" customFormat="1" ht="15" spans="1:11">
      <c r="A1355" s="106" t="s">
        <v>73</v>
      </c>
      <c r="B1355" s="106" t="s">
        <v>10688</v>
      </c>
      <c r="C1355" s="106" t="s">
        <v>8293</v>
      </c>
      <c r="D1355" s="106" t="s">
        <v>4</v>
      </c>
      <c r="E1355" s="106" t="s">
        <v>10689</v>
      </c>
      <c r="F1355" s="106"/>
      <c r="G1355" s="106" t="s">
        <v>117</v>
      </c>
      <c r="H1355" s="106" t="s">
        <v>8215</v>
      </c>
      <c r="I1355" s="106" t="s">
        <v>8215</v>
      </c>
      <c r="J1355" s="106" t="s">
        <v>10690</v>
      </c>
      <c r="K1355" s="106">
        <v>2024.9</v>
      </c>
    </row>
    <row r="1356" ht="15" spans="1:11">
      <c r="A1356" s="49" t="s">
        <v>78</v>
      </c>
      <c r="B1356" s="101" t="s">
        <v>10691</v>
      </c>
      <c r="C1356" s="98" t="s">
        <v>8213</v>
      </c>
      <c r="D1356" s="118" t="s">
        <v>4</v>
      </c>
      <c r="E1356" s="118" t="s">
        <v>7031</v>
      </c>
      <c r="F1356" s="101"/>
      <c r="G1356" s="118" t="s">
        <v>209</v>
      </c>
      <c r="H1356" s="118" t="s">
        <v>8215</v>
      </c>
      <c r="I1356" s="118" t="s">
        <v>8215</v>
      </c>
      <c r="J1356" s="118"/>
      <c r="K1356" s="107"/>
    </row>
    <row r="1357" ht="15" spans="1:11">
      <c r="A1357" s="49" t="s">
        <v>78</v>
      </c>
      <c r="B1357" s="101" t="s">
        <v>10692</v>
      </c>
      <c r="C1357" s="98" t="s">
        <v>8213</v>
      </c>
      <c r="D1357" s="118" t="s">
        <v>5</v>
      </c>
      <c r="E1357" s="118" t="s">
        <v>10693</v>
      </c>
      <c r="F1357" s="98"/>
      <c r="G1357" s="118" t="s">
        <v>209</v>
      </c>
      <c r="H1357" s="118" t="s">
        <v>8215</v>
      </c>
      <c r="I1357" s="118" t="s">
        <v>8247</v>
      </c>
      <c r="J1357" s="118"/>
      <c r="K1357" s="107"/>
    </row>
    <row r="1358" ht="15" spans="1:11">
      <c r="A1358" s="49" t="s">
        <v>78</v>
      </c>
      <c r="B1358" s="101" t="s">
        <v>10694</v>
      </c>
      <c r="C1358" s="98" t="s">
        <v>8213</v>
      </c>
      <c r="D1358" s="118" t="s">
        <v>5</v>
      </c>
      <c r="E1358" s="118" t="s">
        <v>10695</v>
      </c>
      <c r="F1358" s="98"/>
      <c r="G1358" s="118" t="s">
        <v>209</v>
      </c>
      <c r="H1358" s="118" t="s">
        <v>8215</v>
      </c>
      <c r="I1358" s="118" t="s">
        <v>8247</v>
      </c>
      <c r="J1358" s="118"/>
      <c r="K1358" s="107"/>
    </row>
    <row r="1359" ht="15" spans="1:11">
      <c r="A1359" s="49" t="s">
        <v>78</v>
      </c>
      <c r="B1359" s="101" t="s">
        <v>10696</v>
      </c>
      <c r="C1359" s="98" t="s">
        <v>8213</v>
      </c>
      <c r="D1359" s="118" t="s">
        <v>4</v>
      </c>
      <c r="E1359" s="118" t="s">
        <v>10697</v>
      </c>
      <c r="F1359" s="98"/>
      <c r="G1359" s="118" t="s">
        <v>209</v>
      </c>
      <c r="H1359" s="118" t="s">
        <v>8215</v>
      </c>
      <c r="I1359" s="118" t="s">
        <v>8215</v>
      </c>
      <c r="J1359" s="118"/>
      <c r="K1359" s="107"/>
    </row>
    <row r="1360" ht="15" spans="1:11">
      <c r="A1360" s="49" t="s">
        <v>78</v>
      </c>
      <c r="B1360" s="101" t="s">
        <v>10698</v>
      </c>
      <c r="C1360" s="98" t="s">
        <v>8213</v>
      </c>
      <c r="D1360" s="118" t="s">
        <v>4</v>
      </c>
      <c r="E1360" s="118" t="s">
        <v>10697</v>
      </c>
      <c r="F1360" s="98" t="s">
        <v>10699</v>
      </c>
      <c r="G1360" s="118" t="s">
        <v>209</v>
      </c>
      <c r="H1360" s="118"/>
      <c r="I1360" s="118"/>
      <c r="J1360" s="118"/>
      <c r="K1360" s="107"/>
    </row>
    <row r="1361" s="90" customFormat="1" ht="15" spans="1:11">
      <c r="A1361" s="102" t="s">
        <v>78</v>
      </c>
      <c r="B1361" s="102" t="s">
        <v>10700</v>
      </c>
      <c r="C1361" s="102" t="s">
        <v>8293</v>
      </c>
      <c r="D1361" s="102" t="s">
        <v>4</v>
      </c>
      <c r="E1361" s="102" t="s">
        <v>10697</v>
      </c>
      <c r="F1361" s="102"/>
      <c r="G1361" s="102" t="s">
        <v>209</v>
      </c>
      <c r="H1361" s="102" t="s">
        <v>8215</v>
      </c>
      <c r="I1361" s="102" t="s">
        <v>8215</v>
      </c>
      <c r="J1361" s="102" t="s">
        <v>10701</v>
      </c>
      <c r="K1361" s="102">
        <v>2024.5</v>
      </c>
    </row>
    <row r="1362" ht="15" spans="1:11">
      <c r="A1362" s="49" t="s">
        <v>78</v>
      </c>
      <c r="B1362" s="101" t="s">
        <v>10702</v>
      </c>
      <c r="C1362" s="98" t="s">
        <v>8213</v>
      </c>
      <c r="D1362" s="118" t="s">
        <v>4</v>
      </c>
      <c r="E1362" s="118" t="s">
        <v>10703</v>
      </c>
      <c r="F1362" s="98"/>
      <c r="G1362" s="118" t="s">
        <v>209</v>
      </c>
      <c r="H1362" s="118" t="s">
        <v>8215</v>
      </c>
      <c r="I1362" s="118" t="s">
        <v>8215</v>
      </c>
      <c r="J1362" s="118"/>
      <c r="K1362" s="107"/>
    </row>
    <row r="1363" ht="15" spans="1:11">
      <c r="A1363" s="49" t="s">
        <v>78</v>
      </c>
      <c r="B1363" s="101" t="s">
        <v>10704</v>
      </c>
      <c r="C1363" s="98"/>
      <c r="D1363" s="118" t="s">
        <v>4</v>
      </c>
      <c r="E1363" s="118" t="s">
        <v>10705</v>
      </c>
      <c r="F1363" s="98"/>
      <c r="G1363" s="118" t="s">
        <v>209</v>
      </c>
      <c r="H1363" s="118" t="s">
        <v>8215</v>
      </c>
      <c r="I1363" s="118" t="s">
        <v>8215</v>
      </c>
      <c r="J1363" s="118" t="s">
        <v>8556</v>
      </c>
      <c r="K1363" s="107">
        <v>2024.3</v>
      </c>
    </row>
    <row r="1364" s="91" customFormat="1" ht="15" spans="1:11">
      <c r="A1364" s="106" t="s">
        <v>78</v>
      </c>
      <c r="B1364" s="106" t="s">
        <v>10706</v>
      </c>
      <c r="C1364" s="106" t="s">
        <v>8293</v>
      </c>
      <c r="D1364" s="106" t="s">
        <v>4</v>
      </c>
      <c r="E1364" s="106" t="s">
        <v>10705</v>
      </c>
      <c r="F1364" s="106"/>
      <c r="G1364" s="106" t="s">
        <v>209</v>
      </c>
      <c r="H1364" s="106" t="s">
        <v>8215</v>
      </c>
      <c r="I1364" s="106" t="s">
        <v>8215</v>
      </c>
      <c r="J1364" s="106" t="s">
        <v>8459</v>
      </c>
      <c r="K1364" s="106">
        <v>2024.7</v>
      </c>
    </row>
    <row r="1365" s="90" customFormat="1" ht="15" spans="1:11">
      <c r="A1365" s="102" t="s">
        <v>78</v>
      </c>
      <c r="B1365" s="102" t="s">
        <v>10707</v>
      </c>
      <c r="C1365" s="102" t="s">
        <v>8293</v>
      </c>
      <c r="D1365" s="102" t="s">
        <v>4</v>
      </c>
      <c r="E1365" s="102" t="s">
        <v>10708</v>
      </c>
      <c r="F1365" s="102"/>
      <c r="G1365" s="102" t="s">
        <v>209</v>
      </c>
      <c r="H1365" s="102" t="s">
        <v>8215</v>
      </c>
      <c r="I1365" s="102" t="s">
        <v>8215</v>
      </c>
      <c r="J1365" s="102" t="s">
        <v>10709</v>
      </c>
      <c r="K1365" s="102">
        <v>2024.5</v>
      </c>
    </row>
    <row r="1366" ht="15" spans="1:11">
      <c r="A1366" s="49" t="s">
        <v>78</v>
      </c>
      <c r="B1366" s="101" t="s">
        <v>10710</v>
      </c>
      <c r="C1366" s="98" t="s">
        <v>8213</v>
      </c>
      <c r="D1366" s="118" t="s">
        <v>4</v>
      </c>
      <c r="E1366" s="118" t="s">
        <v>10711</v>
      </c>
      <c r="F1366" s="98"/>
      <c r="G1366" s="118" t="s">
        <v>209</v>
      </c>
      <c r="H1366" s="118" t="s">
        <v>8215</v>
      </c>
      <c r="I1366" s="118" t="s">
        <v>8215</v>
      </c>
      <c r="J1366" s="118" t="s">
        <v>9448</v>
      </c>
      <c r="K1366" s="107"/>
    </row>
    <row r="1367" ht="15" spans="1:11">
      <c r="A1367" s="49" t="s">
        <v>78</v>
      </c>
      <c r="B1367" s="101" t="s">
        <v>10712</v>
      </c>
      <c r="C1367" s="98" t="s">
        <v>8213</v>
      </c>
      <c r="D1367" s="118" t="s">
        <v>4</v>
      </c>
      <c r="E1367" s="118" t="s">
        <v>10713</v>
      </c>
      <c r="F1367" s="98"/>
      <c r="G1367" s="118" t="s">
        <v>209</v>
      </c>
      <c r="H1367" s="118"/>
      <c r="I1367" s="118"/>
      <c r="J1367" s="118" t="s">
        <v>9174</v>
      </c>
      <c r="K1367" s="107"/>
    </row>
    <row r="1368" s="89" customFormat="1" ht="15" spans="1:11">
      <c r="A1368" s="106" t="s">
        <v>78</v>
      </c>
      <c r="B1368" s="106" t="s">
        <v>10714</v>
      </c>
      <c r="C1368" s="106" t="s">
        <v>8293</v>
      </c>
      <c r="D1368" s="106" t="s">
        <v>4</v>
      </c>
      <c r="E1368" s="106" t="s">
        <v>7125</v>
      </c>
      <c r="F1368" s="106"/>
      <c r="G1368" s="106" t="s">
        <v>209</v>
      </c>
      <c r="H1368" s="106" t="s">
        <v>8215</v>
      </c>
      <c r="I1368" s="106" t="s">
        <v>8215</v>
      </c>
      <c r="J1368" s="106" t="s">
        <v>8459</v>
      </c>
      <c r="K1368" s="114" t="s">
        <v>8311</v>
      </c>
    </row>
    <row r="1369" ht="15" spans="1:11">
      <c r="A1369" s="49" t="s">
        <v>82</v>
      </c>
      <c r="B1369" s="101" t="s">
        <v>10219</v>
      </c>
      <c r="C1369" s="98" t="s">
        <v>9590</v>
      </c>
      <c r="D1369" s="118" t="s">
        <v>4</v>
      </c>
      <c r="E1369" s="118" t="s">
        <v>10220</v>
      </c>
      <c r="F1369" s="98"/>
      <c r="G1369" s="118" t="s">
        <v>206</v>
      </c>
      <c r="H1369" s="118"/>
      <c r="I1369" s="118"/>
      <c r="J1369" s="118" t="s">
        <v>10525</v>
      </c>
      <c r="K1369" s="107"/>
    </row>
    <row r="1370" ht="15" spans="1:11">
      <c r="A1370" s="49" t="s">
        <v>82</v>
      </c>
      <c r="B1370" s="101" t="s">
        <v>10715</v>
      </c>
      <c r="C1370" s="101" t="s">
        <v>8240</v>
      </c>
      <c r="D1370" s="118" t="s">
        <v>5</v>
      </c>
      <c r="E1370" s="118" t="s">
        <v>10716</v>
      </c>
      <c r="F1370" s="98"/>
      <c r="G1370" s="118" t="s">
        <v>206</v>
      </c>
      <c r="H1370" s="118" t="s">
        <v>8215</v>
      </c>
      <c r="I1370" s="118" t="s">
        <v>8215</v>
      </c>
      <c r="J1370" s="118" t="s">
        <v>10345</v>
      </c>
      <c r="K1370" s="107"/>
    </row>
    <row r="1371" s="89" customFormat="1" ht="15" spans="1:255">
      <c r="A1371" s="49" t="s">
        <v>82</v>
      </c>
      <c r="B1371" s="101" t="s">
        <v>10717</v>
      </c>
      <c r="C1371" s="101" t="s">
        <v>8272</v>
      </c>
      <c r="D1371" s="118" t="s">
        <v>4</v>
      </c>
      <c r="E1371" s="118" t="s">
        <v>10718</v>
      </c>
      <c r="F1371" s="98"/>
      <c r="G1371" s="118" t="s">
        <v>206</v>
      </c>
      <c r="H1371" s="118" t="s">
        <v>8215</v>
      </c>
      <c r="I1371" s="118" t="s">
        <v>8215</v>
      </c>
      <c r="J1371" s="118" t="s">
        <v>10590</v>
      </c>
      <c r="K1371" s="107" t="s">
        <v>10719</v>
      </c>
      <c r="L1371" s="90"/>
      <c r="M1371" s="90"/>
      <c r="N1371" s="90"/>
      <c r="O1371" s="90"/>
      <c r="P1371" s="90"/>
      <c r="Q1371" s="90"/>
      <c r="R1371" s="90"/>
      <c r="S1371" s="90"/>
      <c r="T1371" s="90"/>
      <c r="U1371" s="90"/>
      <c r="V1371" s="90"/>
      <c r="W1371" s="90"/>
      <c r="X1371" s="90"/>
      <c r="Y1371" s="90"/>
      <c r="Z1371" s="90"/>
      <c r="AA1371" s="90"/>
      <c r="AB1371" s="90"/>
      <c r="AC1371" s="90"/>
      <c r="AD1371" s="90"/>
      <c r="AE1371" s="90"/>
      <c r="AF1371" s="90"/>
      <c r="AG1371" s="90"/>
      <c r="AH1371" s="90"/>
      <c r="AI1371" s="90"/>
      <c r="AJ1371" s="90"/>
      <c r="AK1371" s="90"/>
      <c r="AL1371" s="90"/>
      <c r="AM1371" s="90"/>
      <c r="AN1371" s="90"/>
      <c r="AO1371" s="90"/>
      <c r="AP1371" s="90"/>
      <c r="AQ1371" s="90"/>
      <c r="AR1371" s="90"/>
      <c r="AS1371" s="90"/>
      <c r="AT1371" s="90"/>
      <c r="AU1371" s="90"/>
      <c r="AV1371" s="90"/>
      <c r="AW1371" s="90"/>
      <c r="AX1371" s="90"/>
      <c r="AY1371" s="90"/>
      <c r="AZ1371" s="90"/>
      <c r="BA1371" s="90"/>
      <c r="BB1371" s="90"/>
      <c r="BC1371" s="90"/>
      <c r="BD1371" s="90"/>
      <c r="BE1371" s="90"/>
      <c r="BF1371" s="90"/>
      <c r="BG1371" s="90"/>
      <c r="BH1371" s="90"/>
      <c r="BI1371" s="90"/>
      <c r="BJ1371" s="90"/>
      <c r="BK1371" s="90"/>
      <c r="BL1371" s="90"/>
      <c r="BM1371" s="90"/>
      <c r="BN1371" s="90"/>
      <c r="BO1371" s="90"/>
      <c r="BP1371" s="90"/>
      <c r="BQ1371" s="90"/>
      <c r="BR1371" s="90"/>
      <c r="BS1371" s="90"/>
      <c r="BT1371" s="90"/>
      <c r="BU1371" s="90"/>
      <c r="BV1371" s="90"/>
      <c r="BW1371" s="90"/>
      <c r="BX1371" s="90"/>
      <c r="BY1371" s="90"/>
      <c r="BZ1371" s="90"/>
      <c r="CA1371" s="90"/>
      <c r="CB1371" s="90"/>
      <c r="CC1371" s="90"/>
      <c r="CD1371" s="90"/>
      <c r="CE1371" s="90"/>
      <c r="CF1371" s="90"/>
      <c r="CG1371" s="90"/>
      <c r="CH1371" s="90"/>
      <c r="CI1371" s="90"/>
      <c r="CJ1371" s="90"/>
      <c r="CK1371" s="90"/>
      <c r="CL1371" s="90"/>
      <c r="CM1371" s="90"/>
      <c r="CN1371" s="90"/>
      <c r="CO1371" s="90"/>
      <c r="CP1371" s="90"/>
      <c r="CQ1371" s="90"/>
      <c r="CR1371" s="90"/>
      <c r="CS1371" s="90"/>
      <c r="CT1371" s="90"/>
      <c r="CU1371" s="90"/>
      <c r="CV1371" s="90"/>
      <c r="CW1371" s="90"/>
      <c r="CX1371" s="90"/>
      <c r="CY1371" s="90"/>
      <c r="CZ1371" s="90"/>
      <c r="DA1371" s="90"/>
      <c r="DB1371" s="90"/>
      <c r="DC1371" s="90"/>
      <c r="DD1371" s="90"/>
      <c r="DE1371" s="90"/>
      <c r="DF1371" s="90"/>
      <c r="DG1371" s="90"/>
      <c r="DH1371" s="90"/>
      <c r="DI1371" s="90"/>
      <c r="DJ1371" s="90"/>
      <c r="DK1371" s="90"/>
      <c r="DL1371" s="90"/>
      <c r="DM1371" s="90"/>
      <c r="DN1371" s="90"/>
      <c r="DO1371" s="90"/>
      <c r="DP1371" s="90"/>
      <c r="DQ1371" s="90"/>
      <c r="DR1371" s="90"/>
      <c r="DS1371" s="90"/>
      <c r="DT1371" s="90"/>
      <c r="DU1371" s="90"/>
      <c r="DV1371" s="90"/>
      <c r="DW1371" s="90"/>
      <c r="DX1371" s="90"/>
      <c r="DY1371" s="90"/>
      <c r="DZ1371" s="90"/>
      <c r="EA1371" s="90"/>
      <c r="EB1371" s="90"/>
      <c r="EC1371" s="90"/>
      <c r="ED1371" s="90"/>
      <c r="EE1371" s="90"/>
      <c r="EF1371" s="90"/>
      <c r="EG1371" s="90"/>
      <c r="EH1371" s="90"/>
      <c r="EI1371" s="90"/>
      <c r="EJ1371" s="90"/>
      <c r="EK1371" s="90"/>
      <c r="EL1371" s="90"/>
      <c r="EM1371" s="90"/>
      <c r="EN1371" s="90"/>
      <c r="EO1371" s="90"/>
      <c r="EP1371" s="90"/>
      <c r="EQ1371" s="90"/>
      <c r="ER1371" s="90"/>
      <c r="ES1371" s="90"/>
      <c r="ET1371" s="90"/>
      <c r="EU1371" s="90"/>
      <c r="EV1371" s="90"/>
      <c r="EW1371" s="90"/>
      <c r="EX1371" s="90"/>
      <c r="EY1371" s="90"/>
      <c r="EZ1371" s="90"/>
      <c r="FA1371" s="90"/>
      <c r="FB1371" s="90"/>
      <c r="FC1371" s="90"/>
      <c r="FD1371" s="90"/>
      <c r="FE1371" s="90"/>
      <c r="FF1371" s="90"/>
      <c r="FG1371" s="90"/>
      <c r="FH1371" s="90"/>
      <c r="FI1371" s="90"/>
      <c r="FJ1371" s="90"/>
      <c r="FK1371" s="90"/>
      <c r="FL1371" s="90"/>
      <c r="FM1371" s="90"/>
      <c r="FN1371" s="90"/>
      <c r="FO1371" s="90"/>
      <c r="FP1371" s="90"/>
      <c r="FQ1371" s="90"/>
      <c r="FR1371" s="90"/>
      <c r="FS1371" s="90"/>
      <c r="FT1371" s="90"/>
      <c r="FU1371" s="90"/>
      <c r="FV1371" s="90"/>
      <c r="FW1371" s="90"/>
      <c r="FX1371" s="90"/>
      <c r="FY1371" s="90"/>
      <c r="FZ1371" s="90"/>
      <c r="GA1371" s="90"/>
      <c r="GB1371" s="90"/>
      <c r="GC1371" s="90"/>
      <c r="GD1371" s="90"/>
      <c r="GE1371" s="90"/>
      <c r="GF1371" s="90"/>
      <c r="GG1371" s="90"/>
      <c r="GH1371" s="90"/>
      <c r="GI1371" s="90"/>
      <c r="GJ1371" s="90"/>
      <c r="GK1371" s="90"/>
      <c r="GL1371" s="90"/>
      <c r="GM1371" s="90"/>
      <c r="GN1371" s="90"/>
      <c r="GO1371" s="90"/>
      <c r="GP1371" s="90"/>
      <c r="GQ1371" s="90"/>
      <c r="GR1371" s="90"/>
      <c r="GS1371" s="90"/>
      <c r="GT1371" s="90"/>
      <c r="GU1371" s="90"/>
      <c r="GV1371" s="90"/>
      <c r="GW1371" s="90"/>
      <c r="GX1371" s="90"/>
      <c r="GY1371" s="90"/>
      <c r="GZ1371" s="90"/>
      <c r="HA1371" s="90"/>
      <c r="HB1371" s="90"/>
      <c r="HC1371" s="90"/>
      <c r="HD1371" s="90"/>
      <c r="HE1371" s="90"/>
      <c r="HF1371" s="90"/>
      <c r="HG1371" s="90"/>
      <c r="HH1371" s="90"/>
      <c r="HI1371" s="90"/>
      <c r="HJ1371" s="90"/>
      <c r="HK1371" s="90"/>
      <c r="HL1371" s="90"/>
      <c r="HM1371" s="90"/>
      <c r="HN1371" s="90"/>
      <c r="HO1371" s="90"/>
      <c r="HP1371" s="90"/>
      <c r="HQ1371" s="90"/>
      <c r="HR1371" s="90"/>
      <c r="HS1371" s="90"/>
      <c r="HT1371" s="90"/>
      <c r="HU1371" s="90"/>
      <c r="HV1371" s="90"/>
      <c r="HW1371" s="90"/>
      <c r="HX1371" s="90"/>
      <c r="HY1371" s="90"/>
      <c r="HZ1371" s="90"/>
      <c r="IA1371" s="90"/>
      <c r="IB1371" s="90"/>
      <c r="IC1371" s="90"/>
      <c r="ID1371" s="90"/>
      <c r="IE1371" s="90"/>
      <c r="IF1371" s="90"/>
      <c r="IG1371" s="90"/>
      <c r="IH1371" s="90"/>
      <c r="II1371" s="90"/>
      <c r="IJ1371" s="90"/>
      <c r="IK1371" s="90"/>
      <c r="IL1371" s="90"/>
      <c r="IM1371" s="90"/>
      <c r="IN1371" s="90"/>
      <c r="IO1371" s="90"/>
      <c r="IP1371" s="90"/>
      <c r="IQ1371" s="90"/>
      <c r="IR1371" s="90"/>
      <c r="IS1371" s="90"/>
      <c r="IT1371" s="90"/>
      <c r="IU1371" s="90"/>
    </row>
    <row r="1372" ht="15" spans="1:11">
      <c r="A1372" s="49" t="s">
        <v>82</v>
      </c>
      <c r="B1372" s="101" t="s">
        <v>10720</v>
      </c>
      <c r="C1372" s="101" t="s">
        <v>8240</v>
      </c>
      <c r="D1372" s="118" t="s">
        <v>4</v>
      </c>
      <c r="E1372" s="118" t="s">
        <v>10721</v>
      </c>
      <c r="F1372" s="138"/>
      <c r="G1372" s="118" t="s">
        <v>206</v>
      </c>
      <c r="H1372" s="49" t="s">
        <v>8215</v>
      </c>
      <c r="I1372" s="137" t="s">
        <v>8215</v>
      </c>
      <c r="J1372" s="49" t="s">
        <v>8894</v>
      </c>
      <c r="K1372" s="107"/>
    </row>
    <row r="1373" ht="15" spans="1:11">
      <c r="A1373" s="49" t="s">
        <v>82</v>
      </c>
      <c r="B1373" s="101" t="s">
        <v>10722</v>
      </c>
      <c r="C1373" s="101" t="s">
        <v>8240</v>
      </c>
      <c r="D1373" s="118" t="s">
        <v>4</v>
      </c>
      <c r="E1373" s="137" t="s">
        <v>10723</v>
      </c>
      <c r="F1373" s="138"/>
      <c r="G1373" s="118" t="s">
        <v>206</v>
      </c>
      <c r="H1373" s="49" t="s">
        <v>8215</v>
      </c>
      <c r="I1373" s="137" t="s">
        <v>8215</v>
      </c>
      <c r="J1373" s="49"/>
      <c r="K1373" s="107"/>
    </row>
    <row r="1374" s="91" customFormat="1" ht="15" spans="1:11">
      <c r="A1374" s="106" t="s">
        <v>82</v>
      </c>
      <c r="B1374" s="106" t="s">
        <v>10724</v>
      </c>
      <c r="C1374" s="106" t="s">
        <v>8293</v>
      </c>
      <c r="D1374" s="106" t="s">
        <v>4</v>
      </c>
      <c r="E1374" s="106" t="s">
        <v>10723</v>
      </c>
      <c r="F1374" s="106"/>
      <c r="G1374" s="106" t="s">
        <v>206</v>
      </c>
      <c r="H1374" s="106" t="s">
        <v>8252</v>
      </c>
      <c r="I1374" s="106" t="s">
        <v>1258</v>
      </c>
      <c r="J1374" s="114" t="s">
        <v>10725</v>
      </c>
      <c r="K1374" s="106">
        <v>2024.8</v>
      </c>
    </row>
    <row r="1375" ht="15" spans="1:11">
      <c r="A1375" s="49" t="s">
        <v>82</v>
      </c>
      <c r="B1375" s="101" t="s">
        <v>10726</v>
      </c>
      <c r="C1375" s="101" t="s">
        <v>8240</v>
      </c>
      <c r="D1375" s="118" t="s">
        <v>4</v>
      </c>
      <c r="E1375" s="137" t="s">
        <v>10727</v>
      </c>
      <c r="F1375" s="138"/>
      <c r="G1375" s="118" t="s">
        <v>206</v>
      </c>
      <c r="H1375" s="49" t="s">
        <v>8215</v>
      </c>
      <c r="I1375" s="137" t="s">
        <v>8215</v>
      </c>
      <c r="J1375" s="49" t="s">
        <v>8286</v>
      </c>
      <c r="K1375" s="107"/>
    </row>
    <row r="1376" ht="15" spans="1:11">
      <c r="A1376" s="49" t="s">
        <v>82</v>
      </c>
      <c r="B1376" s="101" t="s">
        <v>10728</v>
      </c>
      <c r="C1376" s="101" t="s">
        <v>8240</v>
      </c>
      <c r="D1376" s="118" t="s">
        <v>4</v>
      </c>
      <c r="E1376" s="137" t="s">
        <v>10729</v>
      </c>
      <c r="F1376" s="138"/>
      <c r="G1376" s="118" t="s">
        <v>206</v>
      </c>
      <c r="H1376" s="49" t="s">
        <v>8215</v>
      </c>
      <c r="I1376" s="137" t="s">
        <v>8215</v>
      </c>
      <c r="J1376" s="49" t="s">
        <v>10345</v>
      </c>
      <c r="K1376" s="107"/>
    </row>
    <row r="1377" ht="15" spans="1:11">
      <c r="A1377" s="49" t="s">
        <v>82</v>
      </c>
      <c r="B1377" s="101" t="s">
        <v>10730</v>
      </c>
      <c r="C1377" s="98" t="s">
        <v>9590</v>
      </c>
      <c r="D1377" s="118" t="s">
        <v>4</v>
      </c>
      <c r="E1377" s="137" t="s">
        <v>10729</v>
      </c>
      <c r="F1377" s="138"/>
      <c r="G1377" s="118" t="s">
        <v>206</v>
      </c>
      <c r="H1377" s="49"/>
      <c r="I1377" s="137"/>
      <c r="J1377" s="49" t="s">
        <v>8708</v>
      </c>
      <c r="K1377" s="107"/>
    </row>
    <row r="1378" ht="15" spans="1:11">
      <c r="A1378" s="49" t="s">
        <v>82</v>
      </c>
      <c r="B1378" s="101" t="s">
        <v>10731</v>
      </c>
      <c r="C1378" s="98" t="s">
        <v>9590</v>
      </c>
      <c r="D1378" s="118" t="s">
        <v>4</v>
      </c>
      <c r="E1378" s="137" t="s">
        <v>10729</v>
      </c>
      <c r="F1378" s="138"/>
      <c r="G1378" s="118" t="s">
        <v>206</v>
      </c>
      <c r="H1378" s="49"/>
      <c r="I1378" s="137"/>
      <c r="J1378" s="49" t="s">
        <v>8459</v>
      </c>
      <c r="K1378" s="107"/>
    </row>
    <row r="1379" ht="15" spans="1:11">
      <c r="A1379" s="49" t="s">
        <v>82</v>
      </c>
      <c r="B1379" s="101" t="s">
        <v>10732</v>
      </c>
      <c r="C1379" s="98"/>
      <c r="D1379" s="118" t="s">
        <v>4</v>
      </c>
      <c r="E1379" s="137" t="s">
        <v>10733</v>
      </c>
      <c r="F1379" s="138"/>
      <c r="G1379" s="118" t="s">
        <v>206</v>
      </c>
      <c r="H1379" s="100" t="s">
        <v>8215</v>
      </c>
      <c r="I1379" s="100" t="s">
        <v>8215</v>
      </c>
      <c r="J1379" s="49" t="s">
        <v>8459</v>
      </c>
      <c r="K1379" s="107">
        <v>2024.3</v>
      </c>
    </row>
    <row r="1380" s="91" customFormat="1" ht="15" spans="1:11">
      <c r="A1380" s="106" t="s">
        <v>82</v>
      </c>
      <c r="B1380" s="106" t="s">
        <v>10734</v>
      </c>
      <c r="C1380" s="106" t="s">
        <v>8293</v>
      </c>
      <c r="D1380" s="106" t="s">
        <v>4</v>
      </c>
      <c r="E1380" s="106" t="s">
        <v>10735</v>
      </c>
      <c r="F1380" s="106"/>
      <c r="G1380" s="106" t="s">
        <v>206</v>
      </c>
      <c r="H1380" s="106" t="s">
        <v>8215</v>
      </c>
      <c r="I1380" s="106" t="s">
        <v>8215</v>
      </c>
      <c r="J1380" s="106" t="s">
        <v>10736</v>
      </c>
      <c r="K1380" s="106">
        <v>2024.8</v>
      </c>
    </row>
    <row r="1381" s="91" customFormat="1" ht="15" spans="1:11">
      <c r="A1381" s="106" t="s">
        <v>82</v>
      </c>
      <c r="B1381" s="106" t="s">
        <v>10737</v>
      </c>
      <c r="C1381" s="106" t="s">
        <v>8293</v>
      </c>
      <c r="D1381" s="106" t="s">
        <v>4</v>
      </c>
      <c r="E1381" s="106" t="s">
        <v>10738</v>
      </c>
      <c r="F1381" s="106"/>
      <c r="G1381" s="106" t="s">
        <v>206</v>
      </c>
      <c r="H1381" s="106" t="s">
        <v>8252</v>
      </c>
      <c r="I1381" s="106" t="s">
        <v>8215</v>
      </c>
      <c r="J1381" s="106" t="s">
        <v>9685</v>
      </c>
      <c r="K1381" s="106">
        <v>2024.9</v>
      </c>
    </row>
    <row r="1382" s="89" customFormat="1" ht="15" spans="1:11">
      <c r="A1382" s="106" t="s">
        <v>82</v>
      </c>
      <c r="B1382" s="106" t="s">
        <v>10739</v>
      </c>
      <c r="C1382" s="106" t="s">
        <v>8293</v>
      </c>
      <c r="D1382" s="106" t="s">
        <v>4</v>
      </c>
      <c r="E1382" s="106" t="s">
        <v>10733</v>
      </c>
      <c r="F1382" s="106"/>
      <c r="G1382" s="106" t="s">
        <v>206</v>
      </c>
      <c r="H1382" s="106" t="s">
        <v>9010</v>
      </c>
      <c r="I1382" s="106" t="s">
        <v>9247</v>
      </c>
      <c r="J1382" s="106" t="s">
        <v>8708</v>
      </c>
      <c r="K1382" s="114" t="s">
        <v>8311</v>
      </c>
    </row>
    <row r="1383" s="89" customFormat="1" ht="15" spans="1:256">
      <c r="A1383" s="106" t="s">
        <v>82</v>
      </c>
      <c r="B1383" s="99" t="s">
        <v>10740</v>
      </c>
      <c r="C1383" s="99" t="s">
        <v>8272</v>
      </c>
      <c r="D1383" s="99" t="s">
        <v>4</v>
      </c>
      <c r="E1383" s="99" t="s">
        <v>10220</v>
      </c>
      <c r="F1383" s="99"/>
      <c r="G1383" s="99" t="s">
        <v>206</v>
      </c>
      <c r="H1383" s="99" t="s">
        <v>8215</v>
      </c>
      <c r="I1383" s="99" t="s">
        <v>8215</v>
      </c>
      <c r="J1383" s="99" t="s">
        <v>10741</v>
      </c>
      <c r="K1383" s="109">
        <v>45861</v>
      </c>
      <c r="L1383" s="92"/>
      <c r="M1383" s="92"/>
      <c r="N1383" s="92"/>
      <c r="O1383" s="92"/>
      <c r="P1383" s="92"/>
      <c r="Q1383" s="92"/>
      <c r="R1383" s="92"/>
      <c r="S1383" s="92"/>
      <c r="T1383" s="92"/>
      <c r="U1383" s="92"/>
      <c r="V1383" s="92"/>
      <c r="W1383" s="92"/>
      <c r="X1383" s="92"/>
      <c r="Y1383" s="92"/>
      <c r="Z1383" s="92"/>
      <c r="AA1383" s="92"/>
      <c r="AB1383" s="92"/>
      <c r="AC1383" s="92"/>
      <c r="AD1383" s="92"/>
      <c r="AE1383" s="92"/>
      <c r="AF1383" s="92"/>
      <c r="AG1383" s="92"/>
      <c r="AH1383" s="92"/>
      <c r="AI1383" s="92"/>
      <c r="AJ1383" s="92"/>
      <c r="AK1383" s="92"/>
      <c r="AL1383" s="92"/>
      <c r="AM1383" s="92"/>
      <c r="AN1383" s="92"/>
      <c r="AO1383" s="92"/>
      <c r="AP1383" s="92"/>
      <c r="AQ1383" s="92"/>
      <c r="AR1383" s="92"/>
      <c r="AS1383" s="92"/>
      <c r="AT1383" s="92"/>
      <c r="AU1383" s="92"/>
      <c r="AV1383" s="92"/>
      <c r="AW1383" s="92"/>
      <c r="AX1383" s="92"/>
      <c r="AY1383" s="92"/>
      <c r="AZ1383" s="92"/>
      <c r="BA1383" s="92"/>
      <c r="BB1383" s="92"/>
      <c r="BC1383" s="92"/>
      <c r="BD1383" s="92"/>
      <c r="BE1383" s="92"/>
      <c r="BF1383" s="92"/>
      <c r="BG1383" s="92"/>
      <c r="BH1383" s="92"/>
      <c r="BI1383" s="92"/>
      <c r="BJ1383" s="92"/>
      <c r="BK1383" s="92"/>
      <c r="BL1383" s="92"/>
      <c r="BM1383" s="92"/>
      <c r="BN1383" s="92"/>
      <c r="BO1383" s="92"/>
      <c r="BP1383" s="92"/>
      <c r="BQ1383" s="92"/>
      <c r="BR1383" s="92"/>
      <c r="BS1383" s="92"/>
      <c r="BT1383" s="92"/>
      <c r="BU1383" s="92"/>
      <c r="BV1383" s="92"/>
      <c r="BW1383" s="92"/>
      <c r="BX1383" s="92"/>
      <c r="BY1383" s="92"/>
      <c r="BZ1383" s="92"/>
      <c r="CA1383" s="92"/>
      <c r="CB1383" s="92"/>
      <c r="CC1383" s="92"/>
      <c r="CD1383" s="92"/>
      <c r="CE1383" s="92"/>
      <c r="CF1383" s="92"/>
      <c r="CG1383" s="92"/>
      <c r="CH1383" s="92"/>
      <c r="CI1383" s="92"/>
      <c r="CJ1383" s="92"/>
      <c r="CK1383" s="92"/>
      <c r="CL1383" s="92"/>
      <c r="CM1383" s="92"/>
      <c r="CN1383" s="92"/>
      <c r="CO1383" s="92"/>
      <c r="CP1383" s="92"/>
      <c r="CQ1383" s="92"/>
      <c r="CR1383" s="92"/>
      <c r="CS1383" s="92"/>
      <c r="CT1383" s="92"/>
      <c r="CU1383" s="92"/>
      <c r="CV1383" s="92"/>
      <c r="CW1383" s="92"/>
      <c r="CX1383" s="92"/>
      <c r="CY1383" s="92"/>
      <c r="CZ1383" s="92"/>
      <c r="DA1383" s="92"/>
      <c r="DB1383" s="92"/>
      <c r="DC1383" s="92"/>
      <c r="DD1383" s="92"/>
      <c r="DE1383" s="92"/>
      <c r="DF1383" s="92"/>
      <c r="DG1383" s="92"/>
      <c r="DH1383" s="92"/>
      <c r="DI1383" s="92"/>
      <c r="DJ1383" s="92"/>
      <c r="DK1383" s="92"/>
      <c r="DL1383" s="92"/>
      <c r="DM1383" s="92"/>
      <c r="DN1383" s="92"/>
      <c r="DO1383" s="92"/>
      <c r="DP1383" s="92"/>
      <c r="DQ1383" s="92"/>
      <c r="DR1383" s="92"/>
      <c r="DS1383" s="92"/>
      <c r="DT1383" s="92"/>
      <c r="DU1383" s="92"/>
      <c r="DV1383" s="92"/>
      <c r="DW1383" s="92"/>
      <c r="DX1383" s="92"/>
      <c r="DY1383" s="92"/>
      <c r="DZ1383" s="92"/>
      <c r="EA1383" s="92"/>
      <c r="EB1383" s="92"/>
      <c r="EC1383" s="92"/>
      <c r="ED1383" s="92"/>
      <c r="EE1383" s="92"/>
      <c r="EF1383" s="92"/>
      <c r="EG1383" s="92"/>
      <c r="EH1383" s="92"/>
      <c r="EI1383" s="92"/>
      <c r="EJ1383" s="92"/>
      <c r="EK1383" s="92"/>
      <c r="EL1383" s="92"/>
      <c r="EM1383" s="92"/>
      <c r="EN1383" s="92"/>
      <c r="EO1383" s="92"/>
      <c r="EP1383" s="92"/>
      <c r="EQ1383" s="92"/>
      <c r="ER1383" s="92"/>
      <c r="ES1383" s="92"/>
      <c r="ET1383" s="92"/>
      <c r="EU1383" s="92"/>
      <c r="EV1383" s="92"/>
      <c r="EW1383" s="92"/>
      <c r="EX1383" s="92"/>
      <c r="EY1383" s="92"/>
      <c r="EZ1383" s="92"/>
      <c r="FA1383" s="92"/>
      <c r="FB1383" s="92"/>
      <c r="FC1383" s="92"/>
      <c r="FD1383" s="92"/>
      <c r="FE1383" s="92"/>
      <c r="FF1383" s="92"/>
      <c r="FG1383" s="92"/>
      <c r="FH1383" s="92"/>
      <c r="FI1383" s="92"/>
      <c r="FJ1383" s="92"/>
      <c r="FK1383" s="92"/>
      <c r="FL1383" s="92"/>
      <c r="FM1383" s="92"/>
      <c r="FN1383" s="92"/>
      <c r="FO1383" s="92"/>
      <c r="FP1383" s="92"/>
      <c r="FQ1383" s="92"/>
      <c r="FR1383" s="92"/>
      <c r="FS1383" s="92"/>
      <c r="FT1383" s="92"/>
      <c r="FU1383" s="92"/>
      <c r="FV1383" s="92"/>
      <c r="FW1383" s="92"/>
      <c r="FX1383" s="92"/>
      <c r="FY1383" s="92"/>
      <c r="FZ1383" s="92"/>
      <c r="GA1383" s="92"/>
      <c r="GB1383" s="92"/>
      <c r="GC1383" s="92"/>
      <c r="GD1383" s="92"/>
      <c r="GE1383" s="92"/>
      <c r="GF1383" s="92"/>
      <c r="GG1383" s="92"/>
      <c r="GH1383" s="92"/>
      <c r="GI1383" s="92"/>
      <c r="GJ1383" s="92"/>
      <c r="GK1383" s="92"/>
      <c r="GL1383" s="92"/>
      <c r="GM1383" s="92"/>
      <c r="GN1383" s="92"/>
      <c r="GO1383" s="92"/>
      <c r="GP1383" s="92"/>
      <c r="GQ1383" s="92"/>
      <c r="GR1383" s="92"/>
      <c r="GS1383" s="92"/>
      <c r="GT1383" s="92"/>
      <c r="GU1383" s="92"/>
      <c r="GV1383" s="92"/>
      <c r="GW1383" s="92"/>
      <c r="GX1383" s="92"/>
      <c r="GY1383" s="92"/>
      <c r="GZ1383" s="92"/>
      <c r="HA1383" s="92"/>
      <c r="HB1383" s="92"/>
      <c r="HC1383" s="92"/>
      <c r="HD1383" s="92"/>
      <c r="HE1383" s="92"/>
      <c r="HF1383" s="92"/>
      <c r="HG1383" s="92"/>
      <c r="HH1383" s="92"/>
      <c r="HI1383" s="92"/>
      <c r="HJ1383" s="92"/>
      <c r="HK1383" s="92"/>
      <c r="HL1383" s="92"/>
      <c r="HM1383" s="92"/>
      <c r="HN1383" s="92"/>
      <c r="HO1383" s="92"/>
      <c r="HP1383" s="92"/>
      <c r="HQ1383" s="92"/>
      <c r="HR1383" s="92"/>
      <c r="HS1383" s="92"/>
      <c r="HT1383" s="92"/>
      <c r="HU1383" s="92"/>
      <c r="HV1383" s="92"/>
      <c r="HW1383" s="92"/>
      <c r="HX1383" s="92"/>
      <c r="HY1383" s="92"/>
      <c r="HZ1383" s="92"/>
      <c r="IA1383" s="92"/>
      <c r="IB1383" s="92"/>
      <c r="IC1383" s="92"/>
      <c r="ID1383" s="92"/>
      <c r="IE1383" s="92"/>
      <c r="IF1383" s="92"/>
      <c r="IG1383" s="92"/>
      <c r="IH1383" s="92"/>
      <c r="II1383" s="92"/>
      <c r="IJ1383" s="92"/>
      <c r="IK1383" s="92"/>
      <c r="IL1383" s="92"/>
      <c r="IM1383" s="92"/>
      <c r="IN1383" s="92"/>
      <c r="IO1383" s="92"/>
      <c r="IP1383" s="92"/>
      <c r="IQ1383" s="92"/>
      <c r="IR1383" s="92"/>
      <c r="IS1383" s="92"/>
      <c r="IT1383" s="92"/>
      <c r="IU1383" s="92"/>
      <c r="IV1383" s="92"/>
    </row>
    <row r="1384" s="89" customFormat="1" ht="15" spans="1:256">
      <c r="A1384" s="99" t="s">
        <v>82</v>
      </c>
      <c r="B1384" s="99" t="s">
        <v>10742</v>
      </c>
      <c r="C1384" s="99" t="s">
        <v>8272</v>
      </c>
      <c r="D1384" s="99" t="s">
        <v>4</v>
      </c>
      <c r="E1384" s="99" t="s">
        <v>10743</v>
      </c>
      <c r="F1384" s="99"/>
      <c r="G1384" s="99" t="s">
        <v>206</v>
      </c>
      <c r="H1384" s="99" t="s">
        <v>8215</v>
      </c>
      <c r="I1384" s="99" t="s">
        <v>8215</v>
      </c>
      <c r="J1384" s="99" t="s">
        <v>10744</v>
      </c>
      <c r="K1384" s="109">
        <v>45928</v>
      </c>
      <c r="L1384" s="115"/>
      <c r="M1384" s="115"/>
      <c r="N1384" s="115"/>
      <c r="O1384" s="115"/>
      <c r="P1384" s="115"/>
      <c r="Q1384" s="115"/>
      <c r="R1384" s="115"/>
      <c r="S1384" s="115"/>
      <c r="T1384" s="115"/>
      <c r="U1384" s="115"/>
      <c r="V1384" s="115"/>
      <c r="W1384" s="115"/>
      <c r="X1384" s="115"/>
      <c r="Y1384" s="115"/>
      <c r="Z1384" s="115"/>
      <c r="AA1384" s="115"/>
      <c r="AB1384" s="115"/>
      <c r="AC1384" s="115"/>
      <c r="AD1384" s="115"/>
      <c r="AE1384" s="115"/>
      <c r="AF1384" s="115"/>
      <c r="AG1384" s="115"/>
      <c r="AH1384" s="115"/>
      <c r="AI1384" s="115"/>
      <c r="AJ1384" s="115"/>
      <c r="AK1384" s="115"/>
      <c r="AL1384" s="115"/>
      <c r="AM1384" s="115"/>
      <c r="AN1384" s="115"/>
      <c r="AO1384" s="115"/>
      <c r="AP1384" s="115"/>
      <c r="AQ1384" s="115"/>
      <c r="AR1384" s="115"/>
      <c r="AS1384" s="115"/>
      <c r="AT1384" s="115"/>
      <c r="AU1384" s="115"/>
      <c r="AV1384" s="115"/>
      <c r="AW1384" s="115"/>
      <c r="AX1384" s="115"/>
      <c r="AY1384" s="115"/>
      <c r="AZ1384" s="115"/>
      <c r="BA1384" s="115"/>
      <c r="BB1384" s="115"/>
      <c r="BC1384" s="115"/>
      <c r="BD1384" s="115"/>
      <c r="BE1384" s="115"/>
      <c r="BF1384" s="115"/>
      <c r="BG1384" s="115"/>
      <c r="BH1384" s="115"/>
      <c r="BI1384" s="115"/>
      <c r="BJ1384" s="115"/>
      <c r="BK1384" s="115"/>
      <c r="BL1384" s="115"/>
      <c r="BM1384" s="115"/>
      <c r="BN1384" s="115"/>
      <c r="BO1384" s="115"/>
      <c r="BP1384" s="115"/>
      <c r="BQ1384" s="115"/>
      <c r="BR1384" s="115"/>
      <c r="BS1384" s="115"/>
      <c r="BT1384" s="115"/>
      <c r="BU1384" s="115"/>
      <c r="BV1384" s="115"/>
      <c r="BW1384" s="115"/>
      <c r="BX1384" s="115"/>
      <c r="BY1384" s="115"/>
      <c r="BZ1384" s="115"/>
      <c r="CA1384" s="115"/>
      <c r="CB1384" s="115"/>
      <c r="CC1384" s="115"/>
      <c r="CD1384" s="115"/>
      <c r="CE1384" s="115"/>
      <c r="CF1384" s="115"/>
      <c r="CG1384" s="115"/>
      <c r="CH1384" s="115"/>
      <c r="CI1384" s="115"/>
      <c r="CJ1384" s="115"/>
      <c r="CK1384" s="115"/>
      <c r="CL1384" s="115"/>
      <c r="CM1384" s="115"/>
      <c r="CN1384" s="115"/>
      <c r="CO1384" s="115"/>
      <c r="CP1384" s="115"/>
      <c r="CQ1384" s="115"/>
      <c r="CR1384" s="115"/>
      <c r="CS1384" s="115"/>
      <c r="CT1384" s="115"/>
      <c r="CU1384" s="115"/>
      <c r="CV1384" s="115"/>
      <c r="CW1384" s="115"/>
      <c r="CX1384" s="115"/>
      <c r="CY1384" s="115"/>
      <c r="CZ1384" s="115"/>
      <c r="DA1384" s="115"/>
      <c r="DB1384" s="115"/>
      <c r="DC1384" s="115"/>
      <c r="DD1384" s="115"/>
      <c r="DE1384" s="115"/>
      <c r="DF1384" s="115"/>
      <c r="DG1384" s="115"/>
      <c r="DH1384" s="115"/>
      <c r="DI1384" s="115"/>
      <c r="DJ1384" s="115"/>
      <c r="DK1384" s="115"/>
      <c r="DL1384" s="115"/>
      <c r="DM1384" s="115"/>
      <c r="DN1384" s="115"/>
      <c r="DO1384" s="115"/>
      <c r="DP1384" s="115"/>
      <c r="DQ1384" s="115"/>
      <c r="DR1384" s="115"/>
      <c r="DS1384" s="115"/>
      <c r="DT1384" s="115"/>
      <c r="DU1384" s="115"/>
      <c r="DV1384" s="115"/>
      <c r="DW1384" s="115"/>
      <c r="DX1384" s="115"/>
      <c r="DY1384" s="115"/>
      <c r="DZ1384" s="115"/>
      <c r="EA1384" s="115"/>
      <c r="EB1384" s="115"/>
      <c r="EC1384" s="115"/>
      <c r="ED1384" s="115"/>
      <c r="EE1384" s="115"/>
      <c r="EF1384" s="115"/>
      <c r="EG1384" s="115"/>
      <c r="EH1384" s="115"/>
      <c r="EI1384" s="115"/>
      <c r="EJ1384" s="115"/>
      <c r="EK1384" s="115"/>
      <c r="EL1384" s="115"/>
      <c r="EM1384" s="115"/>
      <c r="EN1384" s="115"/>
      <c r="EO1384" s="115"/>
      <c r="EP1384" s="115"/>
      <c r="EQ1384" s="115"/>
      <c r="ER1384" s="115"/>
      <c r="ES1384" s="115"/>
      <c r="ET1384" s="115"/>
      <c r="EU1384" s="115"/>
      <c r="EV1384" s="115"/>
      <c r="EW1384" s="115"/>
      <c r="EX1384" s="115"/>
      <c r="EY1384" s="115"/>
      <c r="EZ1384" s="115"/>
      <c r="FA1384" s="115"/>
      <c r="FB1384" s="115"/>
      <c r="FC1384" s="115"/>
      <c r="FD1384" s="115"/>
      <c r="FE1384" s="115"/>
      <c r="FF1384" s="115"/>
      <c r="FG1384" s="115"/>
      <c r="FH1384" s="115"/>
      <c r="FI1384" s="115"/>
      <c r="FJ1384" s="115"/>
      <c r="FK1384" s="115"/>
      <c r="FL1384" s="115"/>
      <c r="FM1384" s="115"/>
      <c r="FN1384" s="115"/>
      <c r="FO1384" s="115"/>
      <c r="FP1384" s="115"/>
      <c r="FQ1384" s="115"/>
      <c r="FR1384" s="115"/>
      <c r="FS1384" s="115"/>
      <c r="FT1384" s="115"/>
      <c r="FU1384" s="115"/>
      <c r="FV1384" s="115"/>
      <c r="FW1384" s="115"/>
      <c r="FX1384" s="115"/>
      <c r="FY1384" s="115"/>
      <c r="FZ1384" s="115"/>
      <c r="GA1384" s="115"/>
      <c r="GB1384" s="115"/>
      <c r="GC1384" s="115"/>
      <c r="GD1384" s="115"/>
      <c r="GE1384" s="115"/>
      <c r="GF1384" s="115"/>
      <c r="GG1384" s="115"/>
      <c r="GH1384" s="115"/>
      <c r="GI1384" s="115"/>
      <c r="GJ1384" s="115"/>
      <c r="GK1384" s="115"/>
      <c r="GL1384" s="115"/>
      <c r="GM1384" s="115"/>
      <c r="GN1384" s="115"/>
      <c r="GO1384" s="115"/>
      <c r="GP1384" s="115"/>
      <c r="GQ1384" s="115"/>
      <c r="GR1384" s="115"/>
      <c r="GS1384" s="115"/>
      <c r="GT1384" s="115"/>
      <c r="GU1384" s="115"/>
      <c r="GV1384" s="115"/>
      <c r="GW1384" s="115"/>
      <c r="GX1384" s="115"/>
      <c r="GY1384" s="115"/>
      <c r="GZ1384" s="115"/>
      <c r="HA1384" s="115"/>
      <c r="HB1384" s="115"/>
      <c r="HC1384" s="115"/>
      <c r="HD1384" s="115"/>
      <c r="HE1384" s="115"/>
      <c r="HF1384" s="115"/>
      <c r="HG1384" s="115"/>
      <c r="HH1384" s="115"/>
      <c r="HI1384" s="115"/>
      <c r="HJ1384" s="115"/>
      <c r="HK1384" s="115"/>
      <c r="HL1384" s="115"/>
      <c r="HM1384" s="115"/>
      <c r="HN1384" s="115"/>
      <c r="HO1384" s="115"/>
      <c r="HP1384" s="115"/>
      <c r="HQ1384" s="115"/>
      <c r="HR1384" s="115"/>
      <c r="HS1384" s="115"/>
      <c r="HT1384" s="115"/>
      <c r="HU1384" s="115"/>
      <c r="HV1384" s="115"/>
      <c r="HW1384" s="115"/>
      <c r="HX1384" s="115"/>
      <c r="HY1384" s="115"/>
      <c r="HZ1384" s="115"/>
      <c r="IA1384" s="115"/>
      <c r="IB1384" s="115"/>
      <c r="IC1384" s="115"/>
      <c r="ID1384" s="115"/>
      <c r="IE1384" s="115"/>
      <c r="IF1384" s="115"/>
      <c r="IG1384" s="115"/>
      <c r="IH1384" s="115"/>
      <c r="II1384" s="115"/>
      <c r="IJ1384" s="115"/>
      <c r="IK1384" s="115"/>
      <c r="IL1384" s="115"/>
      <c r="IM1384" s="115"/>
      <c r="IN1384" s="115"/>
      <c r="IO1384" s="115"/>
      <c r="IP1384" s="115"/>
      <c r="IQ1384" s="115"/>
      <c r="IR1384" s="115"/>
      <c r="IS1384" s="115"/>
      <c r="IT1384" s="115"/>
      <c r="IU1384" s="115"/>
      <c r="IV1384" s="115"/>
    </row>
    <row r="1385" ht="15" spans="1:11">
      <c r="A1385" s="49" t="s">
        <v>69</v>
      </c>
      <c r="B1385" s="101" t="s">
        <v>10745</v>
      </c>
      <c r="C1385" s="98" t="s">
        <v>8514</v>
      </c>
      <c r="D1385" s="49" t="s">
        <v>4</v>
      </c>
      <c r="E1385" s="49" t="s">
        <v>621</v>
      </c>
      <c r="F1385" s="117"/>
      <c r="G1385" s="118" t="s">
        <v>206</v>
      </c>
      <c r="H1385" s="49" t="s">
        <v>10746</v>
      </c>
      <c r="I1385" s="49" t="s">
        <v>8247</v>
      </c>
      <c r="J1385" s="49" t="s">
        <v>10747</v>
      </c>
      <c r="K1385" s="107"/>
    </row>
    <row r="1386" ht="15" spans="1:11">
      <c r="A1386" s="49" t="s">
        <v>69</v>
      </c>
      <c r="B1386" s="101" t="s">
        <v>10748</v>
      </c>
      <c r="C1386" s="98" t="s">
        <v>8514</v>
      </c>
      <c r="D1386" s="49" t="s">
        <v>4</v>
      </c>
      <c r="E1386" s="49" t="s">
        <v>621</v>
      </c>
      <c r="F1386" s="117"/>
      <c r="G1386" s="118" t="s">
        <v>206</v>
      </c>
      <c r="H1386" s="49" t="s">
        <v>10749</v>
      </c>
      <c r="I1386" s="49" t="s">
        <v>8247</v>
      </c>
      <c r="J1386" s="49" t="s">
        <v>10750</v>
      </c>
      <c r="K1386" s="107"/>
    </row>
    <row r="1387" ht="15" spans="1:11">
      <c r="A1387" s="49" t="s">
        <v>69</v>
      </c>
      <c r="B1387" s="101" t="s">
        <v>10751</v>
      </c>
      <c r="C1387" s="101" t="s">
        <v>8514</v>
      </c>
      <c r="D1387" s="49" t="s">
        <v>5</v>
      </c>
      <c r="E1387" s="49" t="s">
        <v>10752</v>
      </c>
      <c r="F1387" s="117"/>
      <c r="G1387" s="118" t="s">
        <v>206</v>
      </c>
      <c r="H1387" s="49" t="s">
        <v>10753</v>
      </c>
      <c r="I1387" s="101" t="s">
        <v>8215</v>
      </c>
      <c r="J1387" s="49">
        <v>4</v>
      </c>
      <c r="K1387" s="107"/>
    </row>
    <row r="1388" ht="15" spans="1:11">
      <c r="A1388" s="49" t="s">
        <v>69</v>
      </c>
      <c r="B1388" s="101" t="s">
        <v>10754</v>
      </c>
      <c r="C1388" s="101" t="s">
        <v>8514</v>
      </c>
      <c r="D1388" s="49" t="s">
        <v>5</v>
      </c>
      <c r="E1388" s="49" t="s">
        <v>10755</v>
      </c>
      <c r="F1388" s="117"/>
      <c r="G1388" s="118" t="s">
        <v>206</v>
      </c>
      <c r="H1388" s="49" t="s">
        <v>10756</v>
      </c>
      <c r="I1388" s="49" t="s">
        <v>8215</v>
      </c>
      <c r="J1388" s="49" t="s">
        <v>8711</v>
      </c>
      <c r="K1388" s="107"/>
    </row>
    <row r="1389" ht="15" spans="1:11">
      <c r="A1389" s="49" t="s">
        <v>69</v>
      </c>
      <c r="B1389" s="101" t="s">
        <v>10757</v>
      </c>
      <c r="C1389" s="101" t="s">
        <v>8514</v>
      </c>
      <c r="D1389" s="49" t="s">
        <v>4</v>
      </c>
      <c r="E1389" s="49" t="s">
        <v>10758</v>
      </c>
      <c r="F1389" s="117"/>
      <c r="G1389" s="118" t="s">
        <v>206</v>
      </c>
      <c r="H1389" s="49" t="s">
        <v>8685</v>
      </c>
      <c r="I1389" s="101" t="s">
        <v>8685</v>
      </c>
      <c r="J1389" s="49">
        <v>4</v>
      </c>
      <c r="K1389" s="107"/>
    </row>
    <row r="1390" s="89" customFormat="1" ht="45" spans="1:256">
      <c r="A1390" s="101" t="s">
        <v>92</v>
      </c>
      <c r="B1390" s="99" t="s">
        <v>10759</v>
      </c>
      <c r="C1390" s="99" t="s">
        <v>8272</v>
      </c>
      <c r="D1390" s="99" t="s">
        <v>4</v>
      </c>
      <c r="E1390" s="99" t="s">
        <v>6392</v>
      </c>
      <c r="F1390" s="99" t="s">
        <v>10760</v>
      </c>
      <c r="G1390" s="99" t="s">
        <v>112</v>
      </c>
      <c r="H1390" s="99" t="s">
        <v>8247</v>
      </c>
      <c r="I1390" s="99" t="s">
        <v>8247</v>
      </c>
      <c r="J1390" s="99" t="s">
        <v>10761</v>
      </c>
      <c r="K1390" s="109">
        <v>45929</v>
      </c>
      <c r="L1390" s="115"/>
      <c r="M1390" s="115"/>
      <c r="N1390" s="115"/>
      <c r="O1390" s="115"/>
      <c r="P1390" s="115"/>
      <c r="Q1390" s="115"/>
      <c r="R1390" s="115"/>
      <c r="S1390" s="115"/>
      <c r="T1390" s="115"/>
      <c r="U1390" s="115"/>
      <c r="V1390" s="115"/>
      <c r="W1390" s="115"/>
      <c r="X1390" s="115"/>
      <c r="Y1390" s="115"/>
      <c r="Z1390" s="115"/>
      <c r="AA1390" s="115"/>
      <c r="AB1390" s="115"/>
      <c r="AC1390" s="115"/>
      <c r="AD1390" s="115"/>
      <c r="AE1390" s="115"/>
      <c r="AF1390" s="115"/>
      <c r="AG1390" s="115"/>
      <c r="AH1390" s="115"/>
      <c r="AI1390" s="115"/>
      <c r="AJ1390" s="115"/>
      <c r="AK1390" s="115"/>
      <c r="AL1390" s="115"/>
      <c r="AM1390" s="115"/>
      <c r="AN1390" s="115"/>
      <c r="AO1390" s="115"/>
      <c r="AP1390" s="115"/>
      <c r="AQ1390" s="115"/>
      <c r="AR1390" s="115"/>
      <c r="AS1390" s="115"/>
      <c r="AT1390" s="115"/>
      <c r="AU1390" s="115"/>
      <c r="AV1390" s="115"/>
      <c r="AW1390" s="115"/>
      <c r="AX1390" s="115"/>
      <c r="AY1390" s="115"/>
      <c r="AZ1390" s="115"/>
      <c r="BA1390" s="115"/>
      <c r="BB1390" s="115"/>
      <c r="BC1390" s="115"/>
      <c r="BD1390" s="115"/>
      <c r="BE1390" s="115"/>
      <c r="BF1390" s="115"/>
      <c r="BG1390" s="115"/>
      <c r="BH1390" s="115"/>
      <c r="BI1390" s="115"/>
      <c r="BJ1390" s="115"/>
      <c r="BK1390" s="115"/>
      <c r="BL1390" s="115"/>
      <c r="BM1390" s="115"/>
      <c r="BN1390" s="115"/>
      <c r="BO1390" s="115"/>
      <c r="BP1390" s="115"/>
      <c r="BQ1390" s="115"/>
      <c r="BR1390" s="115"/>
      <c r="BS1390" s="115"/>
      <c r="BT1390" s="115"/>
      <c r="BU1390" s="115"/>
      <c r="BV1390" s="115"/>
      <c r="BW1390" s="115"/>
      <c r="BX1390" s="115"/>
      <c r="BY1390" s="115"/>
      <c r="BZ1390" s="115"/>
      <c r="CA1390" s="115"/>
      <c r="CB1390" s="115"/>
      <c r="CC1390" s="115"/>
      <c r="CD1390" s="115"/>
      <c r="CE1390" s="115"/>
      <c r="CF1390" s="115"/>
      <c r="CG1390" s="115"/>
      <c r="CH1390" s="115"/>
      <c r="CI1390" s="115"/>
      <c r="CJ1390" s="115"/>
      <c r="CK1390" s="115"/>
      <c r="CL1390" s="115"/>
      <c r="CM1390" s="115"/>
      <c r="CN1390" s="115"/>
      <c r="CO1390" s="115"/>
      <c r="CP1390" s="115"/>
      <c r="CQ1390" s="115"/>
      <c r="CR1390" s="115"/>
      <c r="CS1390" s="115"/>
      <c r="CT1390" s="115"/>
      <c r="CU1390" s="115"/>
      <c r="CV1390" s="115"/>
      <c r="CW1390" s="115"/>
      <c r="CX1390" s="115"/>
      <c r="CY1390" s="115"/>
      <c r="CZ1390" s="115"/>
      <c r="DA1390" s="115"/>
      <c r="DB1390" s="115"/>
      <c r="DC1390" s="115"/>
      <c r="DD1390" s="115"/>
      <c r="DE1390" s="115"/>
      <c r="DF1390" s="115"/>
      <c r="DG1390" s="115"/>
      <c r="DH1390" s="115"/>
      <c r="DI1390" s="115"/>
      <c r="DJ1390" s="115"/>
      <c r="DK1390" s="115"/>
      <c r="DL1390" s="115"/>
      <c r="DM1390" s="115"/>
      <c r="DN1390" s="115"/>
      <c r="DO1390" s="115"/>
      <c r="DP1390" s="115"/>
      <c r="DQ1390" s="115"/>
      <c r="DR1390" s="115"/>
      <c r="DS1390" s="115"/>
      <c r="DT1390" s="115"/>
      <c r="DU1390" s="115"/>
      <c r="DV1390" s="115"/>
      <c r="DW1390" s="115"/>
      <c r="DX1390" s="115"/>
      <c r="DY1390" s="115"/>
      <c r="DZ1390" s="115"/>
      <c r="EA1390" s="115"/>
      <c r="EB1390" s="115"/>
      <c r="EC1390" s="115"/>
      <c r="ED1390" s="115"/>
      <c r="EE1390" s="115"/>
      <c r="EF1390" s="115"/>
      <c r="EG1390" s="115"/>
      <c r="EH1390" s="115"/>
      <c r="EI1390" s="115"/>
      <c r="EJ1390" s="115"/>
      <c r="EK1390" s="115"/>
      <c r="EL1390" s="115"/>
      <c r="EM1390" s="115"/>
      <c r="EN1390" s="115"/>
      <c r="EO1390" s="115"/>
      <c r="EP1390" s="115"/>
      <c r="EQ1390" s="115"/>
      <c r="ER1390" s="115"/>
      <c r="ES1390" s="115"/>
      <c r="ET1390" s="115"/>
      <c r="EU1390" s="115"/>
      <c r="EV1390" s="115"/>
      <c r="EW1390" s="115"/>
      <c r="EX1390" s="115"/>
      <c r="EY1390" s="115"/>
      <c r="EZ1390" s="115"/>
      <c r="FA1390" s="115"/>
      <c r="FB1390" s="115"/>
      <c r="FC1390" s="115"/>
      <c r="FD1390" s="115"/>
      <c r="FE1390" s="115"/>
      <c r="FF1390" s="115"/>
      <c r="FG1390" s="115"/>
      <c r="FH1390" s="115"/>
      <c r="FI1390" s="115"/>
      <c r="FJ1390" s="115"/>
      <c r="FK1390" s="115"/>
      <c r="FL1390" s="115"/>
      <c r="FM1390" s="115"/>
      <c r="FN1390" s="115"/>
      <c r="FO1390" s="115"/>
      <c r="FP1390" s="115"/>
      <c r="FQ1390" s="115"/>
      <c r="FR1390" s="115"/>
      <c r="FS1390" s="115"/>
      <c r="FT1390" s="115"/>
      <c r="FU1390" s="115"/>
      <c r="FV1390" s="115"/>
      <c r="FW1390" s="115"/>
      <c r="FX1390" s="115"/>
      <c r="FY1390" s="115"/>
      <c r="FZ1390" s="115"/>
      <c r="GA1390" s="115"/>
      <c r="GB1390" s="115"/>
      <c r="GC1390" s="115"/>
      <c r="GD1390" s="115"/>
      <c r="GE1390" s="115"/>
      <c r="GF1390" s="115"/>
      <c r="GG1390" s="115"/>
      <c r="GH1390" s="115"/>
      <c r="GI1390" s="115"/>
      <c r="GJ1390" s="115"/>
      <c r="GK1390" s="115"/>
      <c r="GL1390" s="115"/>
      <c r="GM1390" s="115"/>
      <c r="GN1390" s="115"/>
      <c r="GO1390" s="115"/>
      <c r="GP1390" s="115"/>
      <c r="GQ1390" s="115"/>
      <c r="GR1390" s="115"/>
      <c r="GS1390" s="115"/>
      <c r="GT1390" s="115"/>
      <c r="GU1390" s="115"/>
      <c r="GV1390" s="115"/>
      <c r="GW1390" s="115"/>
      <c r="GX1390" s="115"/>
      <c r="GY1390" s="115"/>
      <c r="GZ1390" s="115"/>
      <c r="HA1390" s="115"/>
      <c r="HB1390" s="115"/>
      <c r="HC1390" s="115"/>
      <c r="HD1390" s="115"/>
      <c r="HE1390" s="115"/>
      <c r="HF1390" s="115"/>
      <c r="HG1390" s="115"/>
      <c r="HH1390" s="115"/>
      <c r="HI1390" s="115"/>
      <c r="HJ1390" s="115"/>
      <c r="HK1390" s="115"/>
      <c r="HL1390" s="115"/>
      <c r="HM1390" s="115"/>
      <c r="HN1390" s="115"/>
      <c r="HO1390" s="115"/>
      <c r="HP1390" s="115"/>
      <c r="HQ1390" s="115"/>
      <c r="HR1390" s="115"/>
      <c r="HS1390" s="115"/>
      <c r="HT1390" s="115"/>
      <c r="HU1390" s="115"/>
      <c r="HV1390" s="115"/>
      <c r="HW1390" s="115"/>
      <c r="HX1390" s="115"/>
      <c r="HY1390" s="115"/>
      <c r="HZ1390" s="115"/>
      <c r="IA1390" s="115"/>
      <c r="IB1390" s="115"/>
      <c r="IC1390" s="115"/>
      <c r="ID1390" s="115"/>
      <c r="IE1390" s="115"/>
      <c r="IF1390" s="115"/>
      <c r="IG1390" s="115"/>
      <c r="IH1390" s="115"/>
      <c r="II1390" s="115"/>
      <c r="IJ1390" s="115"/>
      <c r="IK1390" s="115"/>
      <c r="IL1390" s="115"/>
      <c r="IM1390" s="115"/>
      <c r="IN1390" s="115"/>
      <c r="IO1390" s="115"/>
      <c r="IP1390" s="115"/>
      <c r="IQ1390" s="115"/>
      <c r="IR1390" s="115"/>
      <c r="IS1390" s="115"/>
      <c r="IT1390" s="115"/>
      <c r="IU1390" s="115"/>
      <c r="IV1390" s="115"/>
    </row>
    <row r="1391" ht="15" spans="1:11">
      <c r="A1391" s="49" t="s">
        <v>79</v>
      </c>
      <c r="B1391" s="101" t="s">
        <v>10762</v>
      </c>
      <c r="C1391" s="119" t="s">
        <v>8514</v>
      </c>
      <c r="D1391" s="118" t="s">
        <v>4</v>
      </c>
      <c r="E1391" s="118" t="s">
        <v>10763</v>
      </c>
      <c r="F1391" s="98"/>
      <c r="G1391" s="98" t="s">
        <v>209</v>
      </c>
      <c r="H1391" s="118" t="s">
        <v>8215</v>
      </c>
      <c r="I1391" s="118" t="s">
        <v>8215</v>
      </c>
      <c r="J1391" s="131">
        <v>2.7</v>
      </c>
      <c r="K1391" s="107"/>
    </row>
    <row r="1392" ht="15" spans="1:11">
      <c r="A1392" s="49" t="s">
        <v>79</v>
      </c>
      <c r="B1392" s="101" t="s">
        <v>10764</v>
      </c>
      <c r="C1392" s="119" t="s">
        <v>8514</v>
      </c>
      <c r="D1392" s="118" t="s">
        <v>4</v>
      </c>
      <c r="E1392" s="118" t="s">
        <v>10763</v>
      </c>
      <c r="F1392" s="98"/>
      <c r="G1392" s="98" t="s">
        <v>209</v>
      </c>
      <c r="H1392" s="118" t="s">
        <v>8215</v>
      </c>
      <c r="I1392" s="118" t="s">
        <v>8215</v>
      </c>
      <c r="J1392" s="131">
        <v>1.3</v>
      </c>
      <c r="K1392" s="107"/>
    </row>
    <row r="1393" ht="30" spans="1:11">
      <c r="A1393" s="49" t="s">
        <v>79</v>
      </c>
      <c r="B1393" s="101" t="s">
        <v>10765</v>
      </c>
      <c r="C1393" s="119" t="s">
        <v>8514</v>
      </c>
      <c r="D1393" s="118" t="s">
        <v>4</v>
      </c>
      <c r="E1393" s="118" t="s">
        <v>10763</v>
      </c>
      <c r="F1393" s="98"/>
      <c r="G1393" s="98" t="s">
        <v>209</v>
      </c>
      <c r="H1393" s="118" t="s">
        <v>10766</v>
      </c>
      <c r="I1393" s="118" t="s">
        <v>10766</v>
      </c>
      <c r="J1393" s="131">
        <v>2.21</v>
      </c>
      <c r="K1393" s="107"/>
    </row>
    <row r="1394" ht="15" spans="1:11">
      <c r="A1394" s="49" t="s">
        <v>79</v>
      </c>
      <c r="B1394" s="101" t="s">
        <v>10767</v>
      </c>
      <c r="C1394" s="119" t="s">
        <v>8514</v>
      </c>
      <c r="D1394" s="118" t="s">
        <v>4</v>
      </c>
      <c r="E1394" s="118" t="s">
        <v>10763</v>
      </c>
      <c r="F1394" s="98"/>
      <c r="G1394" s="98" t="s">
        <v>209</v>
      </c>
      <c r="H1394" s="118" t="s">
        <v>8215</v>
      </c>
      <c r="I1394" s="118" t="s">
        <v>8215</v>
      </c>
      <c r="J1394" s="131">
        <v>2.7</v>
      </c>
      <c r="K1394" s="107"/>
    </row>
    <row r="1395" ht="15" spans="1:11">
      <c r="A1395" s="49" t="s">
        <v>79</v>
      </c>
      <c r="B1395" s="101" t="s">
        <v>10768</v>
      </c>
      <c r="C1395" s="119" t="s">
        <v>8514</v>
      </c>
      <c r="D1395" s="118" t="s">
        <v>4</v>
      </c>
      <c r="E1395" s="118" t="s">
        <v>10763</v>
      </c>
      <c r="F1395" s="98"/>
      <c r="G1395" s="98" t="s">
        <v>209</v>
      </c>
      <c r="H1395" s="118" t="s">
        <v>8215</v>
      </c>
      <c r="I1395" s="118" t="s">
        <v>8215</v>
      </c>
      <c r="J1395" s="131">
        <v>1.3</v>
      </c>
      <c r="K1395" s="107"/>
    </row>
    <row r="1396" ht="30" spans="1:11">
      <c r="A1396" s="49" t="s">
        <v>79</v>
      </c>
      <c r="B1396" s="101" t="s">
        <v>10769</v>
      </c>
      <c r="C1396" s="119" t="s">
        <v>8514</v>
      </c>
      <c r="D1396" s="118" t="s">
        <v>4</v>
      </c>
      <c r="E1396" s="118" t="s">
        <v>10763</v>
      </c>
      <c r="F1396" s="98"/>
      <c r="G1396" s="98" t="s">
        <v>209</v>
      </c>
      <c r="H1396" s="118" t="s">
        <v>10766</v>
      </c>
      <c r="I1396" s="118" t="s">
        <v>10766</v>
      </c>
      <c r="J1396" s="131">
        <v>2.21</v>
      </c>
      <c r="K1396" s="107"/>
    </row>
    <row r="1397" ht="15" spans="1:11">
      <c r="A1397" s="49" t="s">
        <v>79</v>
      </c>
      <c r="B1397" s="101" t="s">
        <v>10770</v>
      </c>
      <c r="C1397" s="119" t="s">
        <v>8514</v>
      </c>
      <c r="D1397" s="118" t="s">
        <v>4</v>
      </c>
      <c r="E1397" s="118" t="s">
        <v>10763</v>
      </c>
      <c r="F1397" s="98"/>
      <c r="G1397" s="98" t="s">
        <v>209</v>
      </c>
      <c r="H1397" s="118" t="s">
        <v>8215</v>
      </c>
      <c r="I1397" s="118" t="s">
        <v>8215</v>
      </c>
      <c r="J1397" s="131"/>
      <c r="K1397" s="107"/>
    </row>
    <row r="1398" ht="15" spans="1:11">
      <c r="A1398" s="49" t="s">
        <v>79</v>
      </c>
      <c r="B1398" s="101" t="s">
        <v>10771</v>
      </c>
      <c r="C1398" s="119" t="s">
        <v>8514</v>
      </c>
      <c r="D1398" s="118" t="s">
        <v>4</v>
      </c>
      <c r="E1398" s="118" t="s">
        <v>10763</v>
      </c>
      <c r="F1398" s="98"/>
      <c r="G1398" s="98" t="s">
        <v>209</v>
      </c>
      <c r="H1398" s="118" t="s">
        <v>8215</v>
      </c>
      <c r="I1398" s="118" t="s">
        <v>8215</v>
      </c>
      <c r="J1398" s="131" t="s">
        <v>10772</v>
      </c>
      <c r="K1398" s="107"/>
    </row>
    <row r="1399" ht="15" spans="1:11">
      <c r="A1399" s="49" t="s">
        <v>79</v>
      </c>
      <c r="B1399" s="101" t="s">
        <v>10773</v>
      </c>
      <c r="C1399" s="119" t="s">
        <v>8514</v>
      </c>
      <c r="D1399" s="118" t="s">
        <v>4</v>
      </c>
      <c r="E1399" s="118" t="s">
        <v>10774</v>
      </c>
      <c r="F1399" s="98"/>
      <c r="G1399" s="98" t="s">
        <v>209</v>
      </c>
      <c r="H1399" s="118" t="s">
        <v>8215</v>
      </c>
      <c r="I1399" s="118" t="s">
        <v>8215</v>
      </c>
      <c r="J1399" s="131">
        <v>3.9</v>
      </c>
      <c r="K1399" s="107"/>
    </row>
    <row r="1400" ht="15" spans="1:11">
      <c r="A1400" s="49" t="s">
        <v>79</v>
      </c>
      <c r="B1400" s="101" t="s">
        <v>10775</v>
      </c>
      <c r="C1400" s="119" t="s">
        <v>8514</v>
      </c>
      <c r="D1400" s="118" t="s">
        <v>4</v>
      </c>
      <c r="E1400" s="118" t="s">
        <v>10774</v>
      </c>
      <c r="F1400" s="98"/>
      <c r="G1400" s="98" t="s">
        <v>209</v>
      </c>
      <c r="H1400" s="118" t="s">
        <v>8215</v>
      </c>
      <c r="I1400" s="118" t="s">
        <v>8215</v>
      </c>
      <c r="J1400" s="131" t="s">
        <v>8316</v>
      </c>
      <c r="K1400" s="107"/>
    </row>
    <row r="1401" ht="15" spans="1:11">
      <c r="A1401" s="49" t="s">
        <v>79</v>
      </c>
      <c r="B1401" s="101" t="s">
        <v>10776</v>
      </c>
      <c r="C1401" s="119" t="s">
        <v>8514</v>
      </c>
      <c r="D1401" s="118" t="s">
        <v>4</v>
      </c>
      <c r="E1401" s="118" t="s">
        <v>10777</v>
      </c>
      <c r="F1401" s="138"/>
      <c r="G1401" s="98" t="s">
        <v>209</v>
      </c>
      <c r="H1401" s="49" t="s">
        <v>8215</v>
      </c>
      <c r="I1401" s="137" t="s">
        <v>8215</v>
      </c>
      <c r="J1401" s="49"/>
      <c r="K1401" s="107"/>
    </row>
    <row r="1402" ht="15" spans="1:11">
      <c r="A1402" s="49" t="s">
        <v>79</v>
      </c>
      <c r="B1402" s="101" t="s">
        <v>10778</v>
      </c>
      <c r="C1402" s="119" t="s">
        <v>8514</v>
      </c>
      <c r="D1402" s="118" t="s">
        <v>4</v>
      </c>
      <c r="E1402" s="118" t="s">
        <v>10777</v>
      </c>
      <c r="F1402" s="138"/>
      <c r="G1402" s="98" t="s">
        <v>209</v>
      </c>
      <c r="H1402" s="49" t="s">
        <v>8215</v>
      </c>
      <c r="I1402" s="137" t="s">
        <v>8215</v>
      </c>
      <c r="J1402" s="49"/>
      <c r="K1402" s="107"/>
    </row>
    <row r="1403" ht="15" spans="1:11">
      <c r="A1403" s="49" t="s">
        <v>79</v>
      </c>
      <c r="B1403" s="101" t="s">
        <v>10779</v>
      </c>
      <c r="C1403" s="119" t="s">
        <v>8514</v>
      </c>
      <c r="D1403" s="118" t="s">
        <v>5</v>
      </c>
      <c r="E1403" s="118" t="s">
        <v>10780</v>
      </c>
      <c r="F1403" s="98"/>
      <c r="G1403" s="98" t="s">
        <v>209</v>
      </c>
      <c r="H1403" s="118" t="s">
        <v>8215</v>
      </c>
      <c r="I1403" s="118" t="s">
        <v>8215</v>
      </c>
      <c r="J1403" s="131">
        <v>0.3</v>
      </c>
      <c r="K1403" s="107"/>
    </row>
    <row r="1404" ht="15" spans="1:11">
      <c r="A1404" s="49" t="s">
        <v>79</v>
      </c>
      <c r="B1404" s="101" t="s">
        <v>10781</v>
      </c>
      <c r="C1404" s="119" t="s">
        <v>8514</v>
      </c>
      <c r="D1404" s="118" t="s">
        <v>4</v>
      </c>
      <c r="E1404" s="118" t="s">
        <v>10782</v>
      </c>
      <c r="F1404" s="98"/>
      <c r="G1404" s="98" t="s">
        <v>209</v>
      </c>
      <c r="H1404" s="118" t="s">
        <v>8215</v>
      </c>
      <c r="I1404" s="118" t="s">
        <v>8215</v>
      </c>
      <c r="J1404" s="131">
        <v>0.7</v>
      </c>
      <c r="K1404" s="107"/>
    </row>
    <row r="1405" ht="15" spans="1:11">
      <c r="A1405" s="49" t="s">
        <v>79</v>
      </c>
      <c r="B1405" s="101" t="s">
        <v>10783</v>
      </c>
      <c r="C1405" s="119" t="s">
        <v>8514</v>
      </c>
      <c r="D1405" s="118" t="s">
        <v>4</v>
      </c>
      <c r="E1405" s="118" t="s">
        <v>10782</v>
      </c>
      <c r="F1405" s="138"/>
      <c r="G1405" s="98" t="s">
        <v>209</v>
      </c>
      <c r="H1405" s="49" t="s">
        <v>8215</v>
      </c>
      <c r="I1405" s="137" t="s">
        <v>8215</v>
      </c>
      <c r="J1405" s="49"/>
      <c r="K1405" s="107"/>
    </row>
    <row r="1406" ht="15" spans="1:11">
      <c r="A1406" s="49" t="s">
        <v>79</v>
      </c>
      <c r="B1406" s="101" t="s">
        <v>10784</v>
      </c>
      <c r="C1406" s="119" t="s">
        <v>8514</v>
      </c>
      <c r="D1406" s="118" t="s">
        <v>4</v>
      </c>
      <c r="E1406" s="118" t="s">
        <v>10782</v>
      </c>
      <c r="F1406" s="138"/>
      <c r="G1406" s="98" t="s">
        <v>209</v>
      </c>
      <c r="H1406" s="49" t="s">
        <v>8215</v>
      </c>
      <c r="I1406" s="137" t="s">
        <v>8215</v>
      </c>
      <c r="J1406" s="49"/>
      <c r="K1406" s="107"/>
    </row>
    <row r="1407" ht="15" spans="1:11">
      <c r="A1407" s="49" t="s">
        <v>79</v>
      </c>
      <c r="B1407" s="101" t="s">
        <v>10785</v>
      </c>
      <c r="C1407" s="119" t="s">
        <v>8514</v>
      </c>
      <c r="D1407" s="118" t="s">
        <v>5</v>
      </c>
      <c r="E1407" s="118" t="s">
        <v>10786</v>
      </c>
      <c r="F1407" s="138"/>
      <c r="G1407" s="98" t="s">
        <v>209</v>
      </c>
      <c r="H1407" s="49" t="s">
        <v>8320</v>
      </c>
      <c r="I1407" s="137" t="s">
        <v>8320</v>
      </c>
      <c r="J1407" s="49"/>
      <c r="K1407" s="107"/>
    </row>
    <row r="1408" ht="15" spans="1:11">
      <c r="A1408" s="49" t="s">
        <v>79</v>
      </c>
      <c r="B1408" s="101" t="s">
        <v>10787</v>
      </c>
      <c r="C1408" s="119" t="s">
        <v>8514</v>
      </c>
      <c r="D1408" s="118" t="s">
        <v>4</v>
      </c>
      <c r="E1408" s="118" t="s">
        <v>10788</v>
      </c>
      <c r="F1408" s="98"/>
      <c r="G1408" s="98" t="s">
        <v>209</v>
      </c>
      <c r="H1408" s="118" t="s">
        <v>8215</v>
      </c>
      <c r="I1408" s="118" t="s">
        <v>8215</v>
      </c>
      <c r="J1408" s="131">
        <v>2.5</v>
      </c>
      <c r="K1408" s="107"/>
    </row>
    <row r="1409" ht="15" spans="1:11">
      <c r="A1409" s="49" t="s">
        <v>79</v>
      </c>
      <c r="B1409" s="101" t="s">
        <v>10789</v>
      </c>
      <c r="C1409" s="119" t="s">
        <v>8514</v>
      </c>
      <c r="D1409" s="118" t="s">
        <v>4</v>
      </c>
      <c r="E1409" s="118" t="s">
        <v>10788</v>
      </c>
      <c r="F1409" s="138"/>
      <c r="G1409" s="98" t="s">
        <v>209</v>
      </c>
      <c r="H1409" s="49" t="s">
        <v>8215</v>
      </c>
      <c r="I1409" s="137" t="s">
        <v>8215</v>
      </c>
      <c r="J1409" s="49"/>
      <c r="K1409" s="107"/>
    </row>
    <row r="1410" ht="15" spans="1:11">
      <c r="A1410" s="49" t="s">
        <v>79</v>
      </c>
      <c r="B1410" s="101" t="s">
        <v>10790</v>
      </c>
      <c r="C1410" s="119" t="s">
        <v>8514</v>
      </c>
      <c r="D1410" s="118" t="s">
        <v>5</v>
      </c>
      <c r="E1410" s="118" t="s">
        <v>10791</v>
      </c>
      <c r="F1410" s="98"/>
      <c r="G1410" s="98" t="s">
        <v>209</v>
      </c>
      <c r="H1410" s="118" t="s">
        <v>8215</v>
      </c>
      <c r="I1410" s="118" t="s">
        <v>8215</v>
      </c>
      <c r="J1410" s="131">
        <v>0.2</v>
      </c>
      <c r="K1410" s="107"/>
    </row>
    <row r="1411" ht="15" spans="1:11">
      <c r="A1411" s="49" t="s">
        <v>79</v>
      </c>
      <c r="B1411" s="101" t="s">
        <v>10792</v>
      </c>
      <c r="C1411" s="119" t="s">
        <v>8514</v>
      </c>
      <c r="D1411" s="101" t="s">
        <v>5</v>
      </c>
      <c r="E1411" s="118" t="s">
        <v>10793</v>
      </c>
      <c r="F1411" s="138"/>
      <c r="G1411" s="98" t="s">
        <v>209</v>
      </c>
      <c r="H1411" s="49" t="s">
        <v>8215</v>
      </c>
      <c r="I1411" s="137" t="s">
        <v>8247</v>
      </c>
      <c r="J1411" s="49"/>
      <c r="K1411" s="107"/>
    </row>
    <row r="1412" ht="15" spans="1:11">
      <c r="A1412" s="49" t="s">
        <v>79</v>
      </c>
      <c r="B1412" s="101" t="s">
        <v>10794</v>
      </c>
      <c r="C1412" s="119" t="s">
        <v>8514</v>
      </c>
      <c r="D1412" s="118" t="s">
        <v>4</v>
      </c>
      <c r="E1412" s="118" t="s">
        <v>10795</v>
      </c>
      <c r="F1412" s="98"/>
      <c r="G1412" s="98" t="s">
        <v>209</v>
      </c>
      <c r="H1412" s="118" t="s">
        <v>8320</v>
      </c>
      <c r="I1412" s="118" t="s">
        <v>8320</v>
      </c>
      <c r="J1412" s="131">
        <v>3.4</v>
      </c>
      <c r="K1412" s="107"/>
    </row>
    <row r="1413" ht="15" spans="1:11">
      <c r="A1413" s="49" t="s">
        <v>79</v>
      </c>
      <c r="B1413" s="101" t="s">
        <v>10796</v>
      </c>
      <c r="C1413" s="119" t="s">
        <v>8514</v>
      </c>
      <c r="D1413" s="118" t="s">
        <v>4</v>
      </c>
      <c r="E1413" s="118" t="s">
        <v>10795</v>
      </c>
      <c r="F1413" s="98"/>
      <c r="G1413" s="98" t="s">
        <v>209</v>
      </c>
      <c r="H1413" s="118" t="s">
        <v>8215</v>
      </c>
      <c r="I1413" s="118" t="s">
        <v>8247</v>
      </c>
      <c r="J1413" s="131">
        <v>4.2</v>
      </c>
      <c r="K1413" s="107"/>
    </row>
    <row r="1414" ht="15" spans="1:11">
      <c r="A1414" s="49" t="s">
        <v>79</v>
      </c>
      <c r="B1414" s="101" t="s">
        <v>10797</v>
      </c>
      <c r="C1414" s="119" t="s">
        <v>8514</v>
      </c>
      <c r="D1414" s="118" t="s">
        <v>4</v>
      </c>
      <c r="E1414" s="118" t="s">
        <v>10795</v>
      </c>
      <c r="F1414" s="98"/>
      <c r="G1414" s="98" t="s">
        <v>209</v>
      </c>
      <c r="H1414" s="118" t="s">
        <v>8215</v>
      </c>
      <c r="I1414" s="118" t="s">
        <v>8247</v>
      </c>
      <c r="J1414" s="131">
        <v>4.2</v>
      </c>
      <c r="K1414" s="107"/>
    </row>
    <row r="1415" ht="15" spans="1:11">
      <c r="A1415" s="49" t="s">
        <v>79</v>
      </c>
      <c r="B1415" s="101" t="s">
        <v>10798</v>
      </c>
      <c r="C1415" s="119" t="s">
        <v>8514</v>
      </c>
      <c r="D1415" s="118" t="s">
        <v>4</v>
      </c>
      <c r="E1415" s="118" t="s">
        <v>10799</v>
      </c>
      <c r="F1415" s="98"/>
      <c r="G1415" s="98" t="s">
        <v>209</v>
      </c>
      <c r="H1415" s="118" t="s">
        <v>8215</v>
      </c>
      <c r="I1415" s="118" t="s">
        <v>8320</v>
      </c>
      <c r="J1415" s="131">
        <v>4.1</v>
      </c>
      <c r="K1415" s="107"/>
    </row>
    <row r="1416" ht="15" spans="1:11">
      <c r="A1416" s="49" t="s">
        <v>79</v>
      </c>
      <c r="B1416" s="101" t="s">
        <v>10800</v>
      </c>
      <c r="C1416" s="119" t="s">
        <v>8514</v>
      </c>
      <c r="D1416" s="118" t="s">
        <v>4</v>
      </c>
      <c r="E1416" s="118" t="s">
        <v>10799</v>
      </c>
      <c r="F1416" s="98"/>
      <c r="G1416" s="98" t="s">
        <v>209</v>
      </c>
      <c r="H1416" s="118" t="s">
        <v>8215</v>
      </c>
      <c r="I1416" s="118" t="s">
        <v>8215</v>
      </c>
      <c r="J1416" s="131">
        <v>0.3</v>
      </c>
      <c r="K1416" s="107"/>
    </row>
    <row r="1417" ht="15" spans="1:11">
      <c r="A1417" s="49" t="s">
        <v>79</v>
      </c>
      <c r="B1417" s="101" t="s">
        <v>10801</v>
      </c>
      <c r="C1417" s="119" t="s">
        <v>8514</v>
      </c>
      <c r="D1417" s="143" t="s">
        <v>4</v>
      </c>
      <c r="E1417" s="143" t="s">
        <v>10802</v>
      </c>
      <c r="F1417" s="138"/>
      <c r="G1417" s="98" t="s">
        <v>209</v>
      </c>
      <c r="H1417" s="49" t="s">
        <v>8215</v>
      </c>
      <c r="I1417" s="137" t="s">
        <v>8215</v>
      </c>
      <c r="J1417" s="49" t="s">
        <v>10803</v>
      </c>
      <c r="K1417" s="107"/>
    </row>
    <row r="1418" ht="15" spans="1:11">
      <c r="A1418" s="49" t="s">
        <v>79</v>
      </c>
      <c r="B1418" s="101" t="s">
        <v>10804</v>
      </c>
      <c r="C1418" s="119" t="s">
        <v>8514</v>
      </c>
      <c r="D1418" s="143" t="s">
        <v>4</v>
      </c>
      <c r="E1418" s="143" t="s">
        <v>10802</v>
      </c>
      <c r="F1418" s="138"/>
      <c r="G1418" s="98" t="s">
        <v>209</v>
      </c>
      <c r="H1418" s="49" t="s">
        <v>8215</v>
      </c>
      <c r="I1418" s="137" t="s">
        <v>8320</v>
      </c>
      <c r="J1418" s="49" t="s">
        <v>10805</v>
      </c>
      <c r="K1418" s="107"/>
    </row>
    <row r="1419" s="89" customFormat="1" ht="15" spans="1:255">
      <c r="A1419" s="49" t="s">
        <v>79</v>
      </c>
      <c r="B1419" s="101" t="s">
        <v>10806</v>
      </c>
      <c r="C1419" s="119" t="s">
        <v>8272</v>
      </c>
      <c r="D1419" s="143" t="s">
        <v>4</v>
      </c>
      <c r="E1419" s="143" t="s">
        <v>10807</v>
      </c>
      <c r="F1419" s="138"/>
      <c r="G1419" s="98" t="s">
        <v>209</v>
      </c>
      <c r="H1419" s="49" t="s">
        <v>8215</v>
      </c>
      <c r="I1419" s="137" t="s">
        <v>8215</v>
      </c>
      <c r="J1419" s="49" t="s">
        <v>10808</v>
      </c>
      <c r="K1419" s="107" t="s">
        <v>10809</v>
      </c>
      <c r="L1419" s="90"/>
      <c r="M1419" s="90"/>
      <c r="N1419" s="90"/>
      <c r="O1419" s="90"/>
      <c r="P1419" s="90"/>
      <c r="Q1419" s="90"/>
      <c r="R1419" s="90"/>
      <c r="S1419" s="90"/>
      <c r="T1419" s="90"/>
      <c r="U1419" s="90"/>
      <c r="V1419" s="90"/>
      <c r="W1419" s="90"/>
      <c r="X1419" s="90"/>
      <c r="Y1419" s="90"/>
      <c r="Z1419" s="90"/>
      <c r="AA1419" s="90"/>
      <c r="AB1419" s="90"/>
      <c r="AC1419" s="90"/>
      <c r="AD1419" s="90"/>
      <c r="AE1419" s="90"/>
      <c r="AF1419" s="90"/>
      <c r="AG1419" s="90"/>
      <c r="AH1419" s="90"/>
      <c r="AI1419" s="90"/>
      <c r="AJ1419" s="90"/>
      <c r="AK1419" s="90"/>
      <c r="AL1419" s="90"/>
      <c r="AM1419" s="90"/>
      <c r="AN1419" s="90"/>
      <c r="AO1419" s="90"/>
      <c r="AP1419" s="90"/>
      <c r="AQ1419" s="90"/>
      <c r="AR1419" s="90"/>
      <c r="AS1419" s="90"/>
      <c r="AT1419" s="90"/>
      <c r="AU1419" s="90"/>
      <c r="AV1419" s="90"/>
      <c r="AW1419" s="90"/>
      <c r="AX1419" s="90"/>
      <c r="AY1419" s="90"/>
      <c r="AZ1419" s="90"/>
      <c r="BA1419" s="90"/>
      <c r="BB1419" s="90"/>
      <c r="BC1419" s="90"/>
      <c r="BD1419" s="90"/>
      <c r="BE1419" s="90"/>
      <c r="BF1419" s="90"/>
      <c r="BG1419" s="90"/>
      <c r="BH1419" s="90"/>
      <c r="BI1419" s="90"/>
      <c r="BJ1419" s="90"/>
      <c r="BK1419" s="90"/>
      <c r="BL1419" s="90"/>
      <c r="BM1419" s="90"/>
      <c r="BN1419" s="90"/>
      <c r="BO1419" s="90"/>
      <c r="BP1419" s="90"/>
      <c r="BQ1419" s="90"/>
      <c r="BR1419" s="90"/>
      <c r="BS1419" s="90"/>
      <c r="BT1419" s="90"/>
      <c r="BU1419" s="90"/>
      <c r="BV1419" s="90"/>
      <c r="BW1419" s="90"/>
      <c r="BX1419" s="90"/>
      <c r="BY1419" s="90"/>
      <c r="BZ1419" s="90"/>
      <c r="CA1419" s="90"/>
      <c r="CB1419" s="90"/>
      <c r="CC1419" s="90"/>
      <c r="CD1419" s="90"/>
      <c r="CE1419" s="90"/>
      <c r="CF1419" s="90"/>
      <c r="CG1419" s="90"/>
      <c r="CH1419" s="90"/>
      <c r="CI1419" s="90"/>
      <c r="CJ1419" s="90"/>
      <c r="CK1419" s="90"/>
      <c r="CL1419" s="90"/>
      <c r="CM1419" s="90"/>
      <c r="CN1419" s="90"/>
      <c r="CO1419" s="90"/>
      <c r="CP1419" s="90"/>
      <c r="CQ1419" s="90"/>
      <c r="CR1419" s="90"/>
      <c r="CS1419" s="90"/>
      <c r="CT1419" s="90"/>
      <c r="CU1419" s="90"/>
      <c r="CV1419" s="90"/>
      <c r="CW1419" s="90"/>
      <c r="CX1419" s="90"/>
      <c r="CY1419" s="90"/>
      <c r="CZ1419" s="90"/>
      <c r="DA1419" s="90"/>
      <c r="DB1419" s="90"/>
      <c r="DC1419" s="90"/>
      <c r="DD1419" s="90"/>
      <c r="DE1419" s="90"/>
      <c r="DF1419" s="90"/>
      <c r="DG1419" s="90"/>
      <c r="DH1419" s="90"/>
      <c r="DI1419" s="90"/>
      <c r="DJ1419" s="90"/>
      <c r="DK1419" s="90"/>
      <c r="DL1419" s="90"/>
      <c r="DM1419" s="90"/>
      <c r="DN1419" s="90"/>
      <c r="DO1419" s="90"/>
      <c r="DP1419" s="90"/>
      <c r="DQ1419" s="90"/>
      <c r="DR1419" s="90"/>
      <c r="DS1419" s="90"/>
      <c r="DT1419" s="90"/>
      <c r="DU1419" s="90"/>
      <c r="DV1419" s="90"/>
      <c r="DW1419" s="90"/>
      <c r="DX1419" s="90"/>
      <c r="DY1419" s="90"/>
      <c r="DZ1419" s="90"/>
      <c r="EA1419" s="90"/>
      <c r="EB1419" s="90"/>
      <c r="EC1419" s="90"/>
      <c r="ED1419" s="90"/>
      <c r="EE1419" s="90"/>
      <c r="EF1419" s="90"/>
      <c r="EG1419" s="90"/>
      <c r="EH1419" s="90"/>
      <c r="EI1419" s="90"/>
      <c r="EJ1419" s="90"/>
      <c r="EK1419" s="90"/>
      <c r="EL1419" s="90"/>
      <c r="EM1419" s="90"/>
      <c r="EN1419" s="90"/>
      <c r="EO1419" s="90"/>
      <c r="EP1419" s="90"/>
      <c r="EQ1419" s="90"/>
      <c r="ER1419" s="90"/>
      <c r="ES1419" s="90"/>
      <c r="ET1419" s="90"/>
      <c r="EU1419" s="90"/>
      <c r="EV1419" s="90"/>
      <c r="EW1419" s="90"/>
      <c r="EX1419" s="90"/>
      <c r="EY1419" s="90"/>
      <c r="EZ1419" s="90"/>
      <c r="FA1419" s="90"/>
      <c r="FB1419" s="90"/>
      <c r="FC1419" s="90"/>
      <c r="FD1419" s="90"/>
      <c r="FE1419" s="90"/>
      <c r="FF1419" s="90"/>
      <c r="FG1419" s="90"/>
      <c r="FH1419" s="90"/>
      <c r="FI1419" s="90"/>
      <c r="FJ1419" s="90"/>
      <c r="FK1419" s="90"/>
      <c r="FL1419" s="90"/>
      <c r="FM1419" s="90"/>
      <c r="FN1419" s="90"/>
      <c r="FO1419" s="90"/>
      <c r="FP1419" s="90"/>
      <c r="FQ1419" s="90"/>
      <c r="FR1419" s="90"/>
      <c r="FS1419" s="90"/>
      <c r="FT1419" s="90"/>
      <c r="FU1419" s="90"/>
      <c r="FV1419" s="90"/>
      <c r="FW1419" s="90"/>
      <c r="FX1419" s="90"/>
      <c r="FY1419" s="90"/>
      <c r="FZ1419" s="90"/>
      <c r="GA1419" s="90"/>
      <c r="GB1419" s="90"/>
      <c r="GC1419" s="90"/>
      <c r="GD1419" s="90"/>
      <c r="GE1419" s="90"/>
      <c r="GF1419" s="90"/>
      <c r="GG1419" s="90"/>
      <c r="GH1419" s="90"/>
      <c r="GI1419" s="90"/>
      <c r="GJ1419" s="90"/>
      <c r="GK1419" s="90"/>
      <c r="GL1419" s="90"/>
      <c r="GM1419" s="90"/>
      <c r="GN1419" s="90"/>
      <c r="GO1419" s="90"/>
      <c r="GP1419" s="90"/>
      <c r="GQ1419" s="90"/>
      <c r="GR1419" s="90"/>
      <c r="GS1419" s="90"/>
      <c r="GT1419" s="90"/>
      <c r="GU1419" s="90"/>
      <c r="GV1419" s="90"/>
      <c r="GW1419" s="90"/>
      <c r="GX1419" s="90"/>
      <c r="GY1419" s="90"/>
      <c r="GZ1419" s="90"/>
      <c r="HA1419" s="90"/>
      <c r="HB1419" s="90"/>
      <c r="HC1419" s="90"/>
      <c r="HD1419" s="90"/>
      <c r="HE1419" s="90"/>
      <c r="HF1419" s="90"/>
      <c r="HG1419" s="90"/>
      <c r="HH1419" s="90"/>
      <c r="HI1419" s="90"/>
      <c r="HJ1419" s="90"/>
      <c r="HK1419" s="90"/>
      <c r="HL1419" s="90"/>
      <c r="HM1419" s="90"/>
      <c r="HN1419" s="90"/>
      <c r="HO1419" s="90"/>
      <c r="HP1419" s="90"/>
      <c r="HQ1419" s="90"/>
      <c r="HR1419" s="90"/>
      <c r="HS1419" s="90"/>
      <c r="HT1419" s="90"/>
      <c r="HU1419" s="90"/>
      <c r="HV1419" s="90"/>
      <c r="HW1419" s="90"/>
      <c r="HX1419" s="90"/>
      <c r="HY1419" s="90"/>
      <c r="HZ1419" s="90"/>
      <c r="IA1419" s="90"/>
      <c r="IB1419" s="90"/>
      <c r="IC1419" s="90"/>
      <c r="ID1419" s="90"/>
      <c r="IE1419" s="90"/>
      <c r="IF1419" s="90"/>
      <c r="IG1419" s="90"/>
      <c r="IH1419" s="90"/>
      <c r="II1419" s="90"/>
      <c r="IJ1419" s="90"/>
      <c r="IK1419" s="90"/>
      <c r="IL1419" s="90"/>
      <c r="IM1419" s="90"/>
      <c r="IN1419" s="90"/>
      <c r="IO1419" s="90"/>
      <c r="IP1419" s="90"/>
      <c r="IQ1419" s="90"/>
      <c r="IR1419" s="90"/>
      <c r="IS1419" s="90"/>
      <c r="IT1419" s="90"/>
      <c r="IU1419" s="90"/>
    </row>
    <row r="1420" ht="15" spans="1:11">
      <c r="A1420" s="49" t="s">
        <v>88</v>
      </c>
      <c r="B1420" s="101" t="s">
        <v>10810</v>
      </c>
      <c r="C1420" s="98" t="s">
        <v>8514</v>
      </c>
      <c r="D1420" s="143" t="s">
        <v>4</v>
      </c>
      <c r="E1420" s="143" t="s">
        <v>10802</v>
      </c>
      <c r="F1420" s="138"/>
      <c r="G1420" s="98" t="s">
        <v>909</v>
      </c>
      <c r="H1420" s="144" t="s">
        <v>8215</v>
      </c>
      <c r="I1420" s="144" t="s">
        <v>8215</v>
      </c>
      <c r="J1420" s="49" t="s">
        <v>8888</v>
      </c>
      <c r="K1420" s="107"/>
    </row>
    <row r="1421" ht="15" spans="1:11">
      <c r="A1421" s="49" t="s">
        <v>88</v>
      </c>
      <c r="B1421" s="101" t="s">
        <v>10811</v>
      </c>
      <c r="C1421" s="98" t="s">
        <v>9590</v>
      </c>
      <c r="D1421" s="143" t="s">
        <v>4</v>
      </c>
      <c r="E1421" s="143" t="s">
        <v>10812</v>
      </c>
      <c r="F1421" s="138"/>
      <c r="G1421" s="98" t="s">
        <v>909</v>
      </c>
      <c r="H1421" s="144"/>
      <c r="I1421" s="144"/>
      <c r="J1421" s="49" t="s">
        <v>8907</v>
      </c>
      <c r="K1421" s="107"/>
    </row>
    <row r="1422" ht="15" spans="1:11">
      <c r="A1422" s="106" t="s">
        <v>86</v>
      </c>
      <c r="B1422" s="101" t="s">
        <v>10813</v>
      </c>
      <c r="C1422" s="119" t="s">
        <v>8514</v>
      </c>
      <c r="D1422" s="143" t="s">
        <v>4</v>
      </c>
      <c r="E1422" s="143" t="s">
        <v>10814</v>
      </c>
      <c r="F1422" s="98"/>
      <c r="G1422" s="98" t="s">
        <v>909</v>
      </c>
      <c r="H1422" s="144" t="s">
        <v>8215</v>
      </c>
      <c r="I1422" s="144" t="s">
        <v>8215</v>
      </c>
      <c r="J1422" s="145" t="s">
        <v>8888</v>
      </c>
      <c r="K1422" s="107"/>
    </row>
    <row r="1423" ht="15" spans="1:11">
      <c r="A1423" s="106" t="s">
        <v>86</v>
      </c>
      <c r="B1423" s="101" t="s">
        <v>10815</v>
      </c>
      <c r="C1423" s="119"/>
      <c r="D1423" s="143" t="s">
        <v>4</v>
      </c>
      <c r="E1423" s="143" t="s">
        <v>10814</v>
      </c>
      <c r="F1423" s="98"/>
      <c r="G1423" s="98" t="s">
        <v>909</v>
      </c>
      <c r="H1423" s="100" t="s">
        <v>8215</v>
      </c>
      <c r="I1423" s="100" t="s">
        <v>8215</v>
      </c>
      <c r="J1423" s="145"/>
      <c r="K1423" s="107">
        <v>2024.2</v>
      </c>
    </row>
    <row r="1424" ht="15" spans="1:11">
      <c r="A1424" s="106" t="s">
        <v>86</v>
      </c>
      <c r="B1424" s="101" t="s">
        <v>10816</v>
      </c>
      <c r="C1424" s="119" t="s">
        <v>8514</v>
      </c>
      <c r="D1424" s="143" t="s">
        <v>4</v>
      </c>
      <c r="E1424" s="143" t="s">
        <v>10817</v>
      </c>
      <c r="F1424" s="98"/>
      <c r="G1424" s="98" t="s">
        <v>909</v>
      </c>
      <c r="H1424" s="144"/>
      <c r="I1424" s="144"/>
      <c r="J1424" s="145" t="s">
        <v>8885</v>
      </c>
      <c r="K1424" s="107"/>
    </row>
    <row r="1425" ht="15" spans="1:11">
      <c r="A1425" s="106" t="s">
        <v>86</v>
      </c>
      <c r="B1425" s="101" t="s">
        <v>10818</v>
      </c>
      <c r="C1425" s="119" t="s">
        <v>8514</v>
      </c>
      <c r="D1425" s="143" t="s">
        <v>4</v>
      </c>
      <c r="E1425" s="143" t="s">
        <v>10819</v>
      </c>
      <c r="F1425" s="98"/>
      <c r="G1425" s="98" t="s">
        <v>909</v>
      </c>
      <c r="H1425" s="144" t="s">
        <v>8215</v>
      </c>
      <c r="I1425" s="144" t="s">
        <v>8215</v>
      </c>
      <c r="J1425" s="145" t="s">
        <v>8888</v>
      </c>
      <c r="K1425" s="107"/>
    </row>
    <row r="1426" ht="15" spans="1:11">
      <c r="A1426" s="106" t="s">
        <v>86</v>
      </c>
      <c r="B1426" s="101" t="s">
        <v>10820</v>
      </c>
      <c r="C1426" s="119" t="s">
        <v>8514</v>
      </c>
      <c r="D1426" s="143" t="s">
        <v>4</v>
      </c>
      <c r="E1426" s="143" t="s">
        <v>10821</v>
      </c>
      <c r="F1426" s="98"/>
      <c r="G1426" s="98" t="s">
        <v>909</v>
      </c>
      <c r="H1426" s="144" t="s">
        <v>8215</v>
      </c>
      <c r="I1426" s="144" t="s">
        <v>8215</v>
      </c>
      <c r="J1426" s="145" t="s">
        <v>8316</v>
      </c>
      <c r="K1426" s="107"/>
    </row>
    <row r="1427" ht="15" spans="1:11">
      <c r="A1427" s="106" t="s">
        <v>86</v>
      </c>
      <c r="B1427" s="101" t="s">
        <v>10822</v>
      </c>
      <c r="C1427" s="119" t="s">
        <v>8514</v>
      </c>
      <c r="D1427" s="143" t="s">
        <v>4</v>
      </c>
      <c r="E1427" s="137" t="s">
        <v>10823</v>
      </c>
      <c r="F1427" s="138"/>
      <c r="G1427" s="98" t="s">
        <v>909</v>
      </c>
      <c r="H1427" s="49" t="s">
        <v>8247</v>
      </c>
      <c r="I1427" s="137" t="s">
        <v>8247</v>
      </c>
      <c r="J1427" s="49"/>
      <c r="K1427" s="107"/>
    </row>
    <row r="1428" ht="15" spans="1:11">
      <c r="A1428" s="106" t="s">
        <v>86</v>
      </c>
      <c r="B1428" s="101" t="s">
        <v>10824</v>
      </c>
      <c r="C1428" s="119" t="s">
        <v>8514</v>
      </c>
      <c r="D1428" s="143" t="s">
        <v>4</v>
      </c>
      <c r="E1428" s="143" t="s">
        <v>10825</v>
      </c>
      <c r="F1428" s="98"/>
      <c r="G1428" s="98" t="s">
        <v>909</v>
      </c>
      <c r="H1428" s="49" t="s">
        <v>8247</v>
      </c>
      <c r="I1428" s="137" t="s">
        <v>8247</v>
      </c>
      <c r="J1428" s="145"/>
      <c r="K1428" s="107"/>
    </row>
    <row r="1429" ht="15" spans="1:11">
      <c r="A1429" s="106" t="s">
        <v>86</v>
      </c>
      <c r="B1429" s="101" t="s">
        <v>10826</v>
      </c>
      <c r="C1429" s="119" t="s">
        <v>8514</v>
      </c>
      <c r="D1429" s="143" t="s">
        <v>4</v>
      </c>
      <c r="E1429" s="143" t="s">
        <v>10827</v>
      </c>
      <c r="F1429" s="98"/>
      <c r="G1429" s="98" t="s">
        <v>909</v>
      </c>
      <c r="H1429" s="144" t="s">
        <v>8215</v>
      </c>
      <c r="I1429" s="144" t="s">
        <v>8215</v>
      </c>
      <c r="J1429" s="145">
        <v>3.6</v>
      </c>
      <c r="K1429" s="107"/>
    </row>
    <row r="1430" s="90" customFormat="1" ht="15" spans="1:11">
      <c r="A1430" s="106" t="s">
        <v>86</v>
      </c>
      <c r="B1430" s="101" t="s">
        <v>10828</v>
      </c>
      <c r="C1430" s="119" t="s">
        <v>8272</v>
      </c>
      <c r="D1430" s="143" t="s">
        <v>4</v>
      </c>
      <c r="E1430" s="143" t="s">
        <v>10827</v>
      </c>
      <c r="F1430" s="98"/>
      <c r="G1430" s="98" t="s">
        <v>909</v>
      </c>
      <c r="H1430" s="120" t="s">
        <v>8215</v>
      </c>
      <c r="I1430" s="100" t="s">
        <v>8215</v>
      </c>
      <c r="J1430" s="145" t="s">
        <v>9490</v>
      </c>
      <c r="K1430" s="107">
        <v>2025.4</v>
      </c>
    </row>
    <row r="1431" ht="15" spans="1:11">
      <c r="A1431" s="106" t="s">
        <v>86</v>
      </c>
      <c r="B1431" s="101" t="s">
        <v>10829</v>
      </c>
      <c r="C1431" s="119" t="s">
        <v>8514</v>
      </c>
      <c r="D1431" s="143" t="s">
        <v>4</v>
      </c>
      <c r="E1431" s="143" t="s">
        <v>10830</v>
      </c>
      <c r="F1431" s="98"/>
      <c r="G1431" s="98" t="s">
        <v>909</v>
      </c>
      <c r="H1431" s="144" t="s">
        <v>8215</v>
      </c>
      <c r="I1431" s="144" t="s">
        <v>8215</v>
      </c>
      <c r="J1431" s="145" t="s">
        <v>10831</v>
      </c>
      <c r="K1431" s="107"/>
    </row>
    <row r="1432" ht="15" spans="1:11">
      <c r="A1432" s="106" t="s">
        <v>86</v>
      </c>
      <c r="B1432" s="101" t="s">
        <v>10832</v>
      </c>
      <c r="C1432" s="119" t="s">
        <v>8514</v>
      </c>
      <c r="D1432" s="143" t="s">
        <v>4</v>
      </c>
      <c r="E1432" s="143" t="s">
        <v>10833</v>
      </c>
      <c r="F1432" s="98"/>
      <c r="G1432" s="98" t="s">
        <v>909</v>
      </c>
      <c r="H1432" s="144" t="s">
        <v>8215</v>
      </c>
      <c r="I1432" s="144" t="s">
        <v>8215</v>
      </c>
      <c r="J1432" s="145" t="s">
        <v>10834</v>
      </c>
      <c r="K1432" s="107"/>
    </row>
    <row r="1433" ht="15" spans="1:11">
      <c r="A1433" s="106" t="s">
        <v>86</v>
      </c>
      <c r="B1433" s="101" t="s">
        <v>10835</v>
      </c>
      <c r="C1433" s="119" t="s">
        <v>8514</v>
      </c>
      <c r="D1433" s="143" t="s">
        <v>4</v>
      </c>
      <c r="E1433" s="143" t="s">
        <v>10836</v>
      </c>
      <c r="F1433" s="98"/>
      <c r="G1433" s="98" t="s">
        <v>909</v>
      </c>
      <c r="H1433" s="144" t="s">
        <v>8215</v>
      </c>
      <c r="I1433" s="144" t="s">
        <v>8215</v>
      </c>
      <c r="J1433" s="145" t="s">
        <v>8888</v>
      </c>
      <c r="K1433" s="107"/>
    </row>
    <row r="1434" ht="15" spans="1:11">
      <c r="A1434" s="106" t="s">
        <v>86</v>
      </c>
      <c r="B1434" s="101" t="s">
        <v>10837</v>
      </c>
      <c r="C1434" s="119" t="s">
        <v>8514</v>
      </c>
      <c r="D1434" s="143" t="s">
        <v>4</v>
      </c>
      <c r="E1434" s="143" t="s">
        <v>10050</v>
      </c>
      <c r="F1434" s="98"/>
      <c r="G1434" s="98" t="s">
        <v>909</v>
      </c>
      <c r="H1434" s="144" t="s">
        <v>8215</v>
      </c>
      <c r="I1434" s="144" t="s">
        <v>8215</v>
      </c>
      <c r="J1434" s="145" t="s">
        <v>8888</v>
      </c>
      <c r="K1434" s="107"/>
    </row>
    <row r="1435" ht="15" spans="1:11">
      <c r="A1435" s="106" t="s">
        <v>86</v>
      </c>
      <c r="B1435" s="101" t="s">
        <v>10838</v>
      </c>
      <c r="C1435" s="119" t="s">
        <v>8514</v>
      </c>
      <c r="D1435" s="143" t="s">
        <v>4</v>
      </c>
      <c r="E1435" s="143" t="s">
        <v>10839</v>
      </c>
      <c r="F1435" s="98"/>
      <c r="G1435" s="98" t="s">
        <v>909</v>
      </c>
      <c r="H1435" s="144" t="s">
        <v>8215</v>
      </c>
      <c r="I1435" s="144" t="s">
        <v>8215</v>
      </c>
      <c r="J1435" s="145" t="s">
        <v>8888</v>
      </c>
      <c r="K1435" s="107"/>
    </row>
    <row r="1436" ht="30" spans="1:11">
      <c r="A1436" s="106" t="s">
        <v>86</v>
      </c>
      <c r="B1436" s="101" t="s">
        <v>10840</v>
      </c>
      <c r="C1436" s="119" t="s">
        <v>8514</v>
      </c>
      <c r="D1436" s="143" t="s">
        <v>4</v>
      </c>
      <c r="E1436" s="143" t="s">
        <v>10841</v>
      </c>
      <c r="F1436" s="98"/>
      <c r="G1436" s="98" t="s">
        <v>909</v>
      </c>
      <c r="H1436" s="144" t="s">
        <v>8247</v>
      </c>
      <c r="I1436" s="144" t="s">
        <v>8247</v>
      </c>
      <c r="J1436" s="143" t="s">
        <v>10842</v>
      </c>
      <c r="K1436" s="107"/>
    </row>
    <row r="1437" ht="15" spans="1:11">
      <c r="A1437" s="106" t="s">
        <v>86</v>
      </c>
      <c r="B1437" s="101" t="s">
        <v>10843</v>
      </c>
      <c r="C1437" s="119" t="s">
        <v>8514</v>
      </c>
      <c r="D1437" s="143" t="s">
        <v>4</v>
      </c>
      <c r="E1437" s="143" t="s">
        <v>10841</v>
      </c>
      <c r="F1437" s="98"/>
      <c r="G1437" s="98" t="s">
        <v>909</v>
      </c>
      <c r="H1437" s="144" t="s">
        <v>8215</v>
      </c>
      <c r="I1437" s="144" t="s">
        <v>8215</v>
      </c>
      <c r="J1437" s="145" t="s">
        <v>8888</v>
      </c>
      <c r="K1437" s="107"/>
    </row>
    <row r="1438" ht="15" spans="1:11">
      <c r="A1438" s="106" t="s">
        <v>86</v>
      </c>
      <c r="B1438" s="101" t="s">
        <v>10844</v>
      </c>
      <c r="C1438" s="119" t="s">
        <v>8514</v>
      </c>
      <c r="D1438" s="143" t="s">
        <v>4</v>
      </c>
      <c r="E1438" s="143" t="s">
        <v>10845</v>
      </c>
      <c r="F1438" s="98"/>
      <c r="G1438" s="98" t="s">
        <v>909</v>
      </c>
      <c r="H1438" s="144" t="s">
        <v>10221</v>
      </c>
      <c r="I1438" s="144" t="s">
        <v>8215</v>
      </c>
      <c r="J1438" s="145" t="s">
        <v>8316</v>
      </c>
      <c r="K1438" s="107"/>
    </row>
    <row r="1439" ht="15" spans="1:11">
      <c r="A1439" s="106" t="s">
        <v>86</v>
      </c>
      <c r="B1439" s="101" t="s">
        <v>10846</v>
      </c>
      <c r="C1439" s="119" t="s">
        <v>8514</v>
      </c>
      <c r="D1439" s="143" t="s">
        <v>5</v>
      </c>
      <c r="E1439" s="143" t="s">
        <v>10847</v>
      </c>
      <c r="F1439" s="98"/>
      <c r="G1439" s="98" t="s">
        <v>909</v>
      </c>
      <c r="H1439" s="144" t="s">
        <v>8247</v>
      </c>
      <c r="I1439" s="144" t="s">
        <v>8247</v>
      </c>
      <c r="J1439" s="145" t="s">
        <v>10831</v>
      </c>
      <c r="K1439" s="107"/>
    </row>
    <row r="1440" ht="15" spans="1:11">
      <c r="A1440" s="106" t="s">
        <v>86</v>
      </c>
      <c r="B1440" s="101" t="s">
        <v>10848</v>
      </c>
      <c r="C1440" s="119" t="s">
        <v>8514</v>
      </c>
      <c r="D1440" s="143" t="s">
        <v>4</v>
      </c>
      <c r="E1440" s="143" t="s">
        <v>10849</v>
      </c>
      <c r="F1440" s="101"/>
      <c r="G1440" s="98" t="s">
        <v>909</v>
      </c>
      <c r="H1440" s="144" t="s">
        <v>8215</v>
      </c>
      <c r="I1440" s="144" t="s">
        <v>8215</v>
      </c>
      <c r="J1440" s="145" t="s">
        <v>10850</v>
      </c>
      <c r="K1440" s="107"/>
    </row>
    <row r="1441" ht="15" spans="1:11">
      <c r="A1441" s="106" t="s">
        <v>86</v>
      </c>
      <c r="B1441" s="101" t="s">
        <v>10851</v>
      </c>
      <c r="C1441" s="119" t="s">
        <v>8514</v>
      </c>
      <c r="D1441" s="143" t="s">
        <v>4</v>
      </c>
      <c r="E1441" s="143" t="s">
        <v>9961</v>
      </c>
      <c r="F1441" s="101"/>
      <c r="G1441" s="98" t="s">
        <v>909</v>
      </c>
      <c r="H1441" s="144" t="s">
        <v>8215</v>
      </c>
      <c r="I1441" s="144" t="s">
        <v>8215</v>
      </c>
      <c r="J1441" s="145" t="s">
        <v>10850</v>
      </c>
      <c r="K1441" s="107"/>
    </row>
    <row r="1442" ht="15" spans="1:11">
      <c r="A1442" s="106" t="s">
        <v>86</v>
      </c>
      <c r="B1442" s="101" t="s">
        <v>10852</v>
      </c>
      <c r="C1442" s="119" t="s">
        <v>8514</v>
      </c>
      <c r="D1442" s="143" t="s">
        <v>4</v>
      </c>
      <c r="E1442" s="143" t="s">
        <v>10853</v>
      </c>
      <c r="F1442" s="98"/>
      <c r="G1442" s="98" t="s">
        <v>909</v>
      </c>
      <c r="H1442" s="144" t="s">
        <v>8252</v>
      </c>
      <c r="I1442" s="144" t="s">
        <v>8252</v>
      </c>
      <c r="J1442" s="145" t="s">
        <v>10850</v>
      </c>
      <c r="K1442" s="107"/>
    </row>
    <row r="1443" s="90" customFormat="1" ht="15" spans="1:11">
      <c r="A1443" s="106" t="s">
        <v>86</v>
      </c>
      <c r="B1443" s="101" t="s">
        <v>10854</v>
      </c>
      <c r="C1443" s="119" t="s">
        <v>8272</v>
      </c>
      <c r="D1443" s="143" t="s">
        <v>4</v>
      </c>
      <c r="E1443" s="143" t="s">
        <v>10855</v>
      </c>
      <c r="F1443" s="98"/>
      <c r="G1443" s="98" t="s">
        <v>909</v>
      </c>
      <c r="H1443" s="120" t="s">
        <v>8320</v>
      </c>
      <c r="I1443" s="100" t="s">
        <v>8320</v>
      </c>
      <c r="J1443" s="145" t="s">
        <v>10856</v>
      </c>
      <c r="K1443" s="107"/>
    </row>
    <row r="1444" ht="15" spans="1:11">
      <c r="A1444" s="106" t="s">
        <v>86</v>
      </c>
      <c r="B1444" s="101" t="s">
        <v>10857</v>
      </c>
      <c r="C1444" s="119" t="s">
        <v>8514</v>
      </c>
      <c r="D1444" s="143" t="s">
        <v>4</v>
      </c>
      <c r="E1444" s="143" t="s">
        <v>10858</v>
      </c>
      <c r="F1444" s="98"/>
      <c r="G1444" s="98" t="s">
        <v>909</v>
      </c>
      <c r="H1444" s="144" t="s">
        <v>8215</v>
      </c>
      <c r="I1444" s="144" t="s">
        <v>8215</v>
      </c>
      <c r="J1444" s="145" t="s">
        <v>8888</v>
      </c>
      <c r="K1444" s="107"/>
    </row>
    <row r="1445" ht="15" spans="1:11">
      <c r="A1445" s="106" t="s">
        <v>86</v>
      </c>
      <c r="B1445" s="101" t="s">
        <v>10859</v>
      </c>
      <c r="C1445" s="119" t="s">
        <v>8514</v>
      </c>
      <c r="D1445" s="143" t="s">
        <v>4</v>
      </c>
      <c r="E1445" s="143" t="s">
        <v>10858</v>
      </c>
      <c r="F1445" s="98"/>
      <c r="G1445" s="98" t="s">
        <v>909</v>
      </c>
      <c r="H1445" s="144" t="s">
        <v>8215</v>
      </c>
      <c r="I1445" s="144" t="s">
        <v>8215</v>
      </c>
      <c r="J1445" s="145">
        <v>3.6</v>
      </c>
      <c r="K1445" s="107"/>
    </row>
    <row r="1446" ht="15" spans="1:11">
      <c r="A1446" s="106" t="s">
        <v>86</v>
      </c>
      <c r="B1446" s="101" t="s">
        <v>10860</v>
      </c>
      <c r="C1446" s="119"/>
      <c r="D1446" s="143" t="s">
        <v>4</v>
      </c>
      <c r="E1446" s="143" t="s">
        <v>10861</v>
      </c>
      <c r="F1446" s="98"/>
      <c r="G1446" s="98" t="s">
        <v>909</v>
      </c>
      <c r="H1446" s="100" t="s">
        <v>8247</v>
      </c>
      <c r="I1446" s="144" t="s">
        <v>8320</v>
      </c>
      <c r="J1446" s="145" t="s">
        <v>10862</v>
      </c>
      <c r="K1446" s="107">
        <v>2024.1</v>
      </c>
    </row>
    <row r="1447" ht="15" spans="1:11">
      <c r="A1447" s="106" t="s">
        <v>86</v>
      </c>
      <c r="B1447" s="101" t="s">
        <v>10863</v>
      </c>
      <c r="C1447" s="119" t="s">
        <v>8514</v>
      </c>
      <c r="D1447" s="143" t="s">
        <v>4</v>
      </c>
      <c r="E1447" s="143" t="s">
        <v>9958</v>
      </c>
      <c r="F1447" s="101"/>
      <c r="G1447" s="98" t="s">
        <v>909</v>
      </c>
      <c r="H1447" s="144" t="s">
        <v>8215</v>
      </c>
      <c r="I1447" s="144" t="s">
        <v>8215</v>
      </c>
      <c r="J1447" s="145" t="s">
        <v>8888</v>
      </c>
      <c r="K1447" s="107"/>
    </row>
    <row r="1448" ht="15" spans="1:11">
      <c r="A1448" s="106" t="s">
        <v>86</v>
      </c>
      <c r="B1448" s="101" t="s">
        <v>10864</v>
      </c>
      <c r="C1448" s="119"/>
      <c r="D1448" s="143" t="s">
        <v>4</v>
      </c>
      <c r="E1448" s="143" t="s">
        <v>10865</v>
      </c>
      <c r="F1448" s="101"/>
      <c r="G1448" s="98" t="s">
        <v>909</v>
      </c>
      <c r="H1448" s="100" t="s">
        <v>8215</v>
      </c>
      <c r="I1448" s="100" t="s">
        <v>8215</v>
      </c>
      <c r="J1448" s="145" t="s">
        <v>8556</v>
      </c>
      <c r="K1448" s="107">
        <v>2024.3</v>
      </c>
    </row>
    <row r="1449" ht="15" spans="1:11">
      <c r="A1449" s="106" t="s">
        <v>86</v>
      </c>
      <c r="B1449" s="101" t="s">
        <v>10866</v>
      </c>
      <c r="C1449" s="119" t="s">
        <v>8514</v>
      </c>
      <c r="D1449" s="143" t="s">
        <v>4</v>
      </c>
      <c r="E1449" s="143" t="s">
        <v>9972</v>
      </c>
      <c r="F1449" s="101"/>
      <c r="G1449" s="98" t="s">
        <v>909</v>
      </c>
      <c r="H1449" s="144" t="s">
        <v>8215</v>
      </c>
      <c r="I1449" s="144" t="s">
        <v>8215</v>
      </c>
      <c r="J1449" s="145" t="s">
        <v>8888</v>
      </c>
      <c r="K1449" s="107"/>
    </row>
    <row r="1450" ht="15" spans="1:11">
      <c r="A1450" s="106" t="s">
        <v>86</v>
      </c>
      <c r="B1450" s="101" t="s">
        <v>10867</v>
      </c>
      <c r="C1450" s="119" t="s">
        <v>8514</v>
      </c>
      <c r="D1450" s="143" t="s">
        <v>4</v>
      </c>
      <c r="E1450" s="143" t="s">
        <v>10056</v>
      </c>
      <c r="F1450" s="101"/>
      <c r="G1450" s="98" t="s">
        <v>909</v>
      </c>
      <c r="H1450" s="144" t="s">
        <v>8215</v>
      </c>
      <c r="I1450" s="144" t="s">
        <v>8215</v>
      </c>
      <c r="J1450" s="145" t="s">
        <v>8888</v>
      </c>
      <c r="K1450" s="107"/>
    </row>
    <row r="1451" ht="15" spans="1:11">
      <c r="A1451" s="106" t="s">
        <v>86</v>
      </c>
      <c r="B1451" s="101" t="s">
        <v>10868</v>
      </c>
      <c r="C1451" s="119" t="s">
        <v>8514</v>
      </c>
      <c r="D1451" s="101" t="s">
        <v>4</v>
      </c>
      <c r="E1451" s="101" t="s">
        <v>10869</v>
      </c>
      <c r="F1451" s="101"/>
      <c r="G1451" s="98" t="s">
        <v>909</v>
      </c>
      <c r="H1451" s="144" t="s">
        <v>8215</v>
      </c>
      <c r="I1451" s="144" t="s">
        <v>8215</v>
      </c>
      <c r="J1451" s="100">
        <v>3.6</v>
      </c>
      <c r="K1451" s="107"/>
    </row>
    <row r="1452" ht="15" spans="1:11">
      <c r="A1452" s="106" t="s">
        <v>86</v>
      </c>
      <c r="B1452" s="101" t="s">
        <v>10870</v>
      </c>
      <c r="C1452" s="119" t="s">
        <v>8514</v>
      </c>
      <c r="D1452" s="101" t="s">
        <v>4</v>
      </c>
      <c r="E1452" s="101" t="s">
        <v>10871</v>
      </c>
      <c r="F1452" s="101"/>
      <c r="G1452" s="98" t="s">
        <v>909</v>
      </c>
      <c r="H1452" s="144" t="s">
        <v>10221</v>
      </c>
      <c r="I1452" s="144" t="s">
        <v>10221</v>
      </c>
      <c r="J1452" s="100">
        <v>3.6</v>
      </c>
      <c r="K1452" s="107"/>
    </row>
    <row r="1453" ht="15" spans="1:11">
      <c r="A1453" s="106" t="s">
        <v>86</v>
      </c>
      <c r="B1453" s="101" t="s">
        <v>10872</v>
      </c>
      <c r="C1453" s="119" t="s">
        <v>8514</v>
      </c>
      <c r="D1453" s="101" t="s">
        <v>5</v>
      </c>
      <c r="E1453" s="101" t="s">
        <v>10873</v>
      </c>
      <c r="F1453" s="101"/>
      <c r="G1453" s="98" t="s">
        <v>909</v>
      </c>
      <c r="H1453" s="144"/>
      <c r="I1453" s="144"/>
      <c r="J1453" s="100" t="s">
        <v>10874</v>
      </c>
      <c r="K1453" s="107"/>
    </row>
    <row r="1454" ht="15" spans="1:11">
      <c r="A1454" s="106" t="s">
        <v>86</v>
      </c>
      <c r="B1454" s="101" t="s">
        <v>10875</v>
      </c>
      <c r="C1454" s="119" t="s">
        <v>8514</v>
      </c>
      <c r="D1454" s="101" t="s">
        <v>4</v>
      </c>
      <c r="E1454" s="101" t="s">
        <v>10711</v>
      </c>
      <c r="F1454" s="101"/>
      <c r="G1454" s="98" t="s">
        <v>909</v>
      </c>
      <c r="H1454" s="144"/>
      <c r="I1454" s="144"/>
      <c r="J1454" s="100" t="s">
        <v>9526</v>
      </c>
      <c r="K1454" s="107"/>
    </row>
    <row r="1455" s="89" customFormat="1" ht="30" spans="1:256">
      <c r="A1455" s="106" t="s">
        <v>86</v>
      </c>
      <c r="B1455" s="99" t="s">
        <v>10876</v>
      </c>
      <c r="C1455" s="99" t="s">
        <v>8272</v>
      </c>
      <c r="D1455" s="99" t="s">
        <v>4</v>
      </c>
      <c r="E1455" s="99" t="s">
        <v>10877</v>
      </c>
      <c r="F1455" s="99"/>
      <c r="G1455" s="99" t="s">
        <v>909</v>
      </c>
      <c r="H1455" s="99" t="s">
        <v>8215</v>
      </c>
      <c r="I1455" s="99" t="s">
        <v>8215</v>
      </c>
      <c r="J1455" s="99" t="s">
        <v>8725</v>
      </c>
      <c r="K1455" s="99" t="s">
        <v>10066</v>
      </c>
      <c r="L1455" s="126"/>
      <c r="M1455" s="127"/>
      <c r="N1455" s="127"/>
      <c r="O1455" s="127"/>
      <c r="P1455" s="127"/>
      <c r="Q1455" s="127"/>
      <c r="R1455" s="127"/>
      <c r="S1455" s="127"/>
      <c r="T1455" s="127"/>
      <c r="U1455" s="127"/>
      <c r="V1455" s="127"/>
      <c r="W1455" s="127"/>
      <c r="X1455" s="127"/>
      <c r="Y1455" s="127"/>
      <c r="Z1455" s="127"/>
      <c r="AA1455" s="127"/>
      <c r="AB1455" s="127"/>
      <c r="AC1455" s="127"/>
      <c r="AD1455" s="127"/>
      <c r="AE1455" s="127"/>
      <c r="AF1455" s="127"/>
      <c r="AG1455" s="127"/>
      <c r="AH1455" s="127"/>
      <c r="AI1455" s="127"/>
      <c r="AJ1455" s="127"/>
      <c r="AK1455" s="127"/>
      <c r="AL1455" s="127"/>
      <c r="AM1455" s="127"/>
      <c r="AN1455" s="127"/>
      <c r="AO1455" s="127"/>
      <c r="AP1455" s="127"/>
      <c r="AQ1455" s="127"/>
      <c r="AR1455" s="127"/>
      <c r="AS1455" s="127"/>
      <c r="AT1455" s="127"/>
      <c r="AU1455" s="127"/>
      <c r="AV1455" s="127"/>
      <c r="AW1455" s="127"/>
      <c r="AX1455" s="127"/>
      <c r="AY1455" s="127"/>
      <c r="AZ1455" s="127"/>
      <c r="BA1455" s="127"/>
      <c r="BB1455" s="127"/>
      <c r="BC1455" s="127"/>
      <c r="BD1455" s="127"/>
      <c r="BE1455" s="127"/>
      <c r="BF1455" s="127"/>
      <c r="BG1455" s="127"/>
      <c r="BH1455" s="127"/>
      <c r="BI1455" s="127"/>
      <c r="BJ1455" s="127"/>
      <c r="BK1455" s="127"/>
      <c r="BL1455" s="127"/>
      <c r="BM1455" s="127"/>
      <c r="BN1455" s="127"/>
      <c r="BO1455" s="127"/>
      <c r="BP1455" s="127"/>
      <c r="BQ1455" s="127"/>
      <c r="BR1455" s="127"/>
      <c r="BS1455" s="127"/>
      <c r="BT1455" s="127"/>
      <c r="BU1455" s="127"/>
      <c r="BV1455" s="127"/>
      <c r="BW1455" s="127"/>
      <c r="BX1455" s="127"/>
      <c r="BY1455" s="127"/>
      <c r="BZ1455" s="127"/>
      <c r="CA1455" s="127"/>
      <c r="CB1455" s="127"/>
      <c r="CC1455" s="127"/>
      <c r="CD1455" s="127"/>
      <c r="CE1455" s="127"/>
      <c r="CF1455" s="127"/>
      <c r="CG1455" s="127"/>
      <c r="CH1455" s="127"/>
      <c r="CI1455" s="127"/>
      <c r="CJ1455" s="127"/>
      <c r="CK1455" s="127"/>
      <c r="CL1455" s="127"/>
      <c r="CM1455" s="127"/>
      <c r="CN1455" s="127"/>
      <c r="CO1455" s="127"/>
      <c r="CP1455" s="127"/>
      <c r="CQ1455" s="127"/>
      <c r="CR1455" s="127"/>
      <c r="CS1455" s="127"/>
      <c r="CT1455" s="127"/>
      <c r="CU1455" s="127"/>
      <c r="CV1455" s="127"/>
      <c r="CW1455" s="127"/>
      <c r="CX1455" s="127"/>
      <c r="CY1455" s="127"/>
      <c r="CZ1455" s="127"/>
      <c r="DA1455" s="127"/>
      <c r="DB1455" s="127"/>
      <c r="DC1455" s="127"/>
      <c r="DD1455" s="127"/>
      <c r="DE1455" s="127"/>
      <c r="DF1455" s="127"/>
      <c r="DG1455" s="127"/>
      <c r="DH1455" s="127"/>
      <c r="DI1455" s="127"/>
      <c r="DJ1455" s="127"/>
      <c r="DK1455" s="127"/>
      <c r="DL1455" s="127"/>
      <c r="DM1455" s="127"/>
      <c r="DN1455" s="127"/>
      <c r="DO1455" s="127"/>
      <c r="DP1455" s="127"/>
      <c r="DQ1455" s="127"/>
      <c r="DR1455" s="127"/>
      <c r="DS1455" s="127"/>
      <c r="DT1455" s="127"/>
      <c r="DU1455" s="127"/>
      <c r="DV1455" s="127"/>
      <c r="DW1455" s="127"/>
      <c r="DX1455" s="127"/>
      <c r="DY1455" s="127"/>
      <c r="DZ1455" s="127"/>
      <c r="EA1455" s="127"/>
      <c r="EB1455" s="127"/>
      <c r="EC1455" s="127"/>
      <c r="ED1455" s="127"/>
      <c r="EE1455" s="127"/>
      <c r="EF1455" s="127"/>
      <c r="EG1455" s="127"/>
      <c r="EH1455" s="127"/>
      <c r="EI1455" s="127"/>
      <c r="EJ1455" s="127"/>
      <c r="EK1455" s="127"/>
      <c r="EL1455" s="127"/>
      <c r="EM1455" s="127"/>
      <c r="EN1455" s="127"/>
      <c r="EO1455" s="127"/>
      <c r="EP1455" s="127"/>
      <c r="EQ1455" s="127"/>
      <c r="ER1455" s="127"/>
      <c r="ES1455" s="127"/>
      <c r="ET1455" s="127"/>
      <c r="EU1455" s="127"/>
      <c r="EV1455" s="127"/>
      <c r="EW1455" s="127"/>
      <c r="EX1455" s="127"/>
      <c r="EY1455" s="127"/>
      <c r="EZ1455" s="127"/>
      <c r="FA1455" s="127"/>
      <c r="FB1455" s="127"/>
      <c r="FC1455" s="127"/>
      <c r="FD1455" s="127"/>
      <c r="FE1455" s="127"/>
      <c r="FF1455" s="127"/>
      <c r="FG1455" s="127"/>
      <c r="FH1455" s="127"/>
      <c r="FI1455" s="127"/>
      <c r="FJ1455" s="127"/>
      <c r="FK1455" s="127"/>
      <c r="FL1455" s="127"/>
      <c r="FM1455" s="127"/>
      <c r="FN1455" s="127"/>
      <c r="FO1455" s="127"/>
      <c r="FP1455" s="127"/>
      <c r="FQ1455" s="127"/>
      <c r="FR1455" s="127"/>
      <c r="FS1455" s="127"/>
      <c r="FT1455" s="127"/>
      <c r="FU1455" s="127"/>
      <c r="FV1455" s="127"/>
      <c r="FW1455" s="127"/>
      <c r="FX1455" s="127"/>
      <c r="FY1455" s="127"/>
      <c r="FZ1455" s="127"/>
      <c r="GA1455" s="127"/>
      <c r="GB1455" s="127"/>
      <c r="GC1455" s="127"/>
      <c r="GD1455" s="127"/>
      <c r="GE1455" s="127"/>
      <c r="GF1455" s="127"/>
      <c r="GG1455" s="127"/>
      <c r="GH1455" s="127"/>
      <c r="GI1455" s="127"/>
      <c r="GJ1455" s="127"/>
      <c r="GK1455" s="127"/>
      <c r="GL1455" s="127"/>
      <c r="GM1455" s="127"/>
      <c r="GN1455" s="127"/>
      <c r="GO1455" s="127"/>
      <c r="GP1455" s="127"/>
      <c r="GQ1455" s="127"/>
      <c r="GR1455" s="127"/>
      <c r="GS1455" s="127"/>
      <c r="GT1455" s="127"/>
      <c r="GU1455" s="127"/>
      <c r="GV1455" s="127"/>
      <c r="GW1455" s="127"/>
      <c r="GX1455" s="127"/>
      <c r="GY1455" s="127"/>
      <c r="GZ1455" s="127"/>
      <c r="HA1455" s="127"/>
      <c r="HB1455" s="127"/>
      <c r="HC1455" s="127"/>
      <c r="HD1455" s="127"/>
      <c r="HE1455" s="127"/>
      <c r="HF1455" s="127"/>
      <c r="HG1455" s="127"/>
      <c r="HH1455" s="127"/>
      <c r="HI1455" s="127"/>
      <c r="HJ1455" s="127"/>
      <c r="HK1455" s="127"/>
      <c r="HL1455" s="127"/>
      <c r="HM1455" s="127"/>
      <c r="HN1455" s="127"/>
      <c r="HO1455" s="127"/>
      <c r="HP1455" s="127"/>
      <c r="HQ1455" s="127"/>
      <c r="HR1455" s="127"/>
      <c r="HS1455" s="127"/>
      <c r="HT1455" s="127"/>
      <c r="HU1455" s="127"/>
      <c r="HV1455" s="127"/>
      <c r="HW1455" s="127"/>
      <c r="HX1455" s="127"/>
      <c r="HY1455" s="127"/>
      <c r="HZ1455" s="127"/>
      <c r="IA1455" s="127"/>
      <c r="IB1455" s="127"/>
      <c r="IC1455" s="127"/>
      <c r="ID1455" s="127"/>
      <c r="IE1455" s="127"/>
      <c r="IF1455" s="127"/>
      <c r="IG1455" s="127"/>
      <c r="IH1455" s="127"/>
      <c r="II1455" s="127"/>
      <c r="IJ1455" s="127"/>
      <c r="IK1455" s="127"/>
      <c r="IL1455" s="127"/>
      <c r="IM1455" s="127"/>
      <c r="IN1455" s="127"/>
      <c r="IO1455" s="127"/>
      <c r="IP1455" s="127"/>
      <c r="IQ1455" s="127"/>
      <c r="IR1455" s="127"/>
      <c r="IS1455" s="127"/>
      <c r="IT1455" s="127"/>
      <c r="IU1455" s="127"/>
      <c r="IV1455" s="127"/>
    </row>
    <row r="1456" ht="15" spans="1:11">
      <c r="A1456" s="106" t="s">
        <v>86</v>
      </c>
      <c r="B1456" s="101" t="s">
        <v>10878</v>
      </c>
      <c r="C1456" s="119" t="s">
        <v>8514</v>
      </c>
      <c r="D1456" s="101" t="s">
        <v>4</v>
      </c>
      <c r="E1456" s="101" t="s">
        <v>10879</v>
      </c>
      <c r="F1456" s="101"/>
      <c r="G1456" s="98" t="s">
        <v>909</v>
      </c>
      <c r="H1456" s="144" t="s">
        <v>8215</v>
      </c>
      <c r="I1456" s="144" t="s">
        <v>8215</v>
      </c>
      <c r="J1456" s="100">
        <v>3.6</v>
      </c>
      <c r="K1456" s="107"/>
    </row>
    <row r="1457" ht="15" spans="1:11">
      <c r="A1457" s="106" t="s">
        <v>86</v>
      </c>
      <c r="B1457" s="101" t="s">
        <v>10880</v>
      </c>
      <c r="C1457" s="119" t="s">
        <v>8514</v>
      </c>
      <c r="D1457" s="101" t="s">
        <v>4</v>
      </c>
      <c r="E1457" s="101" t="s">
        <v>10881</v>
      </c>
      <c r="F1457" s="101"/>
      <c r="G1457" s="98" t="s">
        <v>909</v>
      </c>
      <c r="H1457" s="144" t="s">
        <v>8215</v>
      </c>
      <c r="I1457" s="144" t="s">
        <v>8215</v>
      </c>
      <c r="J1457" s="100" t="s">
        <v>8463</v>
      </c>
      <c r="K1457" s="107"/>
    </row>
    <row r="1458" ht="15" spans="1:11">
      <c r="A1458" s="106" t="s">
        <v>86</v>
      </c>
      <c r="B1458" s="101" t="s">
        <v>10882</v>
      </c>
      <c r="C1458" s="119" t="s">
        <v>8514</v>
      </c>
      <c r="D1458" s="101" t="s">
        <v>4</v>
      </c>
      <c r="E1458" s="101" t="s">
        <v>10883</v>
      </c>
      <c r="F1458" s="101"/>
      <c r="G1458" s="98" t="s">
        <v>909</v>
      </c>
      <c r="H1458" s="144"/>
      <c r="I1458" s="144"/>
      <c r="J1458" s="100" t="s">
        <v>10884</v>
      </c>
      <c r="K1458" s="107"/>
    </row>
    <row r="1459" ht="15" spans="1:11">
      <c r="A1459" s="106" t="s">
        <v>86</v>
      </c>
      <c r="B1459" s="101" t="s">
        <v>10885</v>
      </c>
      <c r="C1459" s="119" t="s">
        <v>8514</v>
      </c>
      <c r="D1459" s="101" t="s">
        <v>4</v>
      </c>
      <c r="E1459" s="101" t="s">
        <v>10886</v>
      </c>
      <c r="F1459" s="101"/>
      <c r="G1459" s="98" t="s">
        <v>909</v>
      </c>
      <c r="H1459" s="144" t="s">
        <v>8215</v>
      </c>
      <c r="I1459" s="144" t="s">
        <v>8215</v>
      </c>
      <c r="J1459" s="100" t="s">
        <v>8907</v>
      </c>
      <c r="K1459" s="107"/>
    </row>
    <row r="1460" ht="15" spans="1:11">
      <c r="A1460" s="106" t="s">
        <v>86</v>
      </c>
      <c r="B1460" s="101" t="s">
        <v>10887</v>
      </c>
      <c r="C1460" s="119" t="s">
        <v>8514</v>
      </c>
      <c r="D1460" s="101" t="s">
        <v>4</v>
      </c>
      <c r="E1460" s="101" t="s">
        <v>10888</v>
      </c>
      <c r="F1460" s="101"/>
      <c r="G1460" s="98" t="s">
        <v>909</v>
      </c>
      <c r="H1460" s="144" t="s">
        <v>8215</v>
      </c>
      <c r="I1460" s="144" t="s">
        <v>8215</v>
      </c>
      <c r="J1460" s="144" t="s">
        <v>8667</v>
      </c>
      <c r="K1460" s="107"/>
    </row>
    <row r="1461" ht="15" spans="1:11">
      <c r="A1461" s="106" t="s">
        <v>86</v>
      </c>
      <c r="B1461" s="101" t="s">
        <v>10889</v>
      </c>
      <c r="C1461" s="119"/>
      <c r="D1461" s="101" t="s">
        <v>4</v>
      </c>
      <c r="E1461" s="101" t="s">
        <v>10888</v>
      </c>
      <c r="F1461" s="101"/>
      <c r="G1461" s="98" t="s">
        <v>909</v>
      </c>
      <c r="H1461" s="100" t="s">
        <v>8215</v>
      </c>
      <c r="I1461" s="100" t="s">
        <v>8215</v>
      </c>
      <c r="J1461" s="144" t="s">
        <v>9526</v>
      </c>
      <c r="K1461" s="107">
        <v>2024.2</v>
      </c>
    </row>
    <row r="1462" ht="15" spans="1:11">
      <c r="A1462" s="106" t="s">
        <v>86</v>
      </c>
      <c r="B1462" s="101" t="s">
        <v>10890</v>
      </c>
      <c r="C1462" s="119"/>
      <c r="D1462" s="101" t="s">
        <v>4</v>
      </c>
      <c r="E1462" s="101" t="s">
        <v>10891</v>
      </c>
      <c r="F1462" s="101"/>
      <c r="G1462" s="98" t="s">
        <v>209</v>
      </c>
      <c r="H1462" s="100" t="s">
        <v>8215</v>
      </c>
      <c r="I1462" s="100" t="s">
        <v>8215</v>
      </c>
      <c r="J1462" s="144" t="s">
        <v>9546</v>
      </c>
      <c r="K1462" s="107">
        <v>2024.3</v>
      </c>
    </row>
    <row r="1463" s="90" customFormat="1" ht="15" spans="1:11">
      <c r="A1463" s="106" t="s">
        <v>86</v>
      </c>
      <c r="B1463" s="102" t="s">
        <v>10892</v>
      </c>
      <c r="C1463" s="102" t="s">
        <v>8293</v>
      </c>
      <c r="D1463" s="102" t="s">
        <v>4</v>
      </c>
      <c r="E1463" s="102" t="s">
        <v>10893</v>
      </c>
      <c r="F1463" s="102"/>
      <c r="G1463" s="102" t="s">
        <v>909</v>
      </c>
      <c r="H1463" s="102" t="s">
        <v>8215</v>
      </c>
      <c r="I1463" s="102" t="s">
        <v>8215</v>
      </c>
      <c r="J1463" s="102" t="s">
        <v>9490</v>
      </c>
      <c r="K1463" s="102">
        <v>2024.4</v>
      </c>
    </row>
    <row r="1464" s="90" customFormat="1" ht="15" spans="1:11">
      <c r="A1464" s="106" t="s">
        <v>86</v>
      </c>
      <c r="B1464" s="102" t="s">
        <v>10894</v>
      </c>
      <c r="C1464" s="102" t="s">
        <v>8293</v>
      </c>
      <c r="D1464" s="102" t="s">
        <v>4</v>
      </c>
      <c r="E1464" s="102" t="s">
        <v>10895</v>
      </c>
      <c r="F1464" s="102"/>
      <c r="G1464" s="102" t="s">
        <v>909</v>
      </c>
      <c r="H1464" s="102" t="s">
        <v>8252</v>
      </c>
      <c r="I1464" s="102" t="s">
        <v>8252</v>
      </c>
      <c r="J1464" s="102" t="s">
        <v>10896</v>
      </c>
      <c r="K1464" s="102">
        <v>2024.4</v>
      </c>
    </row>
    <row r="1465" s="91" customFormat="1" ht="15" spans="1:11">
      <c r="A1465" s="106" t="s">
        <v>86</v>
      </c>
      <c r="B1465" s="106" t="s">
        <v>10897</v>
      </c>
      <c r="C1465" s="106" t="s">
        <v>8293</v>
      </c>
      <c r="D1465" s="106" t="s">
        <v>4</v>
      </c>
      <c r="E1465" s="102" t="s">
        <v>10895</v>
      </c>
      <c r="F1465" s="106"/>
      <c r="G1465" s="106" t="s">
        <v>909</v>
      </c>
      <c r="H1465" s="106" t="s">
        <v>8320</v>
      </c>
      <c r="I1465" s="106" t="s">
        <v>8252</v>
      </c>
      <c r="J1465" s="106">
        <v>5</v>
      </c>
      <c r="K1465" s="106">
        <v>2024.8</v>
      </c>
    </row>
    <row r="1466" s="91" customFormat="1" ht="15" spans="1:11">
      <c r="A1466" s="106" t="s">
        <v>86</v>
      </c>
      <c r="B1466" s="106" t="s">
        <v>10898</v>
      </c>
      <c r="C1466" s="106" t="s">
        <v>8293</v>
      </c>
      <c r="D1466" s="106" t="s">
        <v>4</v>
      </c>
      <c r="E1466" s="106" t="s">
        <v>10899</v>
      </c>
      <c r="F1466" s="106"/>
      <c r="G1466" s="106" t="s">
        <v>909</v>
      </c>
      <c r="H1466" s="106" t="s">
        <v>8215</v>
      </c>
      <c r="I1466" s="106" t="s">
        <v>8215</v>
      </c>
      <c r="J1466" s="106" t="s">
        <v>9490</v>
      </c>
      <c r="K1466" s="106">
        <v>2024.9</v>
      </c>
    </row>
    <row r="1467" s="91" customFormat="1" ht="15" spans="1:11">
      <c r="A1467" s="106" t="s">
        <v>86</v>
      </c>
      <c r="B1467" s="106" t="s">
        <v>10900</v>
      </c>
      <c r="C1467" s="106" t="s">
        <v>8293</v>
      </c>
      <c r="D1467" s="106" t="s">
        <v>5</v>
      </c>
      <c r="E1467" s="106" t="s">
        <v>10901</v>
      </c>
      <c r="F1467" s="106"/>
      <c r="G1467" s="106" t="s">
        <v>909</v>
      </c>
      <c r="H1467" s="106" t="s">
        <v>8247</v>
      </c>
      <c r="I1467" s="106" t="s">
        <v>8247</v>
      </c>
      <c r="J1467" s="106" t="s">
        <v>8463</v>
      </c>
      <c r="K1467" s="106">
        <v>2024.9</v>
      </c>
    </row>
    <row r="1468" s="90" customFormat="1" ht="15" spans="1:11">
      <c r="A1468" s="106" t="s">
        <v>86</v>
      </c>
      <c r="B1468" s="102" t="s">
        <v>10902</v>
      </c>
      <c r="C1468" s="102" t="s">
        <v>8293</v>
      </c>
      <c r="D1468" s="102" t="s">
        <v>4</v>
      </c>
      <c r="E1468" s="102" t="s">
        <v>10903</v>
      </c>
      <c r="F1468" s="102"/>
      <c r="G1468" s="102" t="s">
        <v>909</v>
      </c>
      <c r="H1468" s="102" t="s">
        <v>8215</v>
      </c>
      <c r="I1468" s="102" t="s">
        <v>8215</v>
      </c>
      <c r="J1468" s="102" t="s">
        <v>8907</v>
      </c>
      <c r="K1468" s="102">
        <v>2024.4</v>
      </c>
    </row>
    <row r="1469" s="90" customFormat="1" ht="15" spans="1:11">
      <c r="A1469" s="106" t="s">
        <v>86</v>
      </c>
      <c r="B1469" s="102" t="s">
        <v>10904</v>
      </c>
      <c r="C1469" s="102" t="s">
        <v>8293</v>
      </c>
      <c r="D1469" s="102" t="s">
        <v>4</v>
      </c>
      <c r="E1469" s="102" t="s">
        <v>10905</v>
      </c>
      <c r="F1469" s="102"/>
      <c r="G1469" s="102" t="s">
        <v>909</v>
      </c>
      <c r="H1469" s="102" t="s">
        <v>8215</v>
      </c>
      <c r="I1469" s="102" t="s">
        <v>8215</v>
      </c>
      <c r="J1469" s="102" t="s">
        <v>8725</v>
      </c>
      <c r="K1469" s="102">
        <v>2024.6</v>
      </c>
    </row>
    <row r="1470" s="89" customFormat="1" ht="15" spans="1:11">
      <c r="A1470" s="106" t="s">
        <v>86</v>
      </c>
      <c r="B1470" s="106" t="s">
        <v>10906</v>
      </c>
      <c r="C1470" s="106" t="s">
        <v>8293</v>
      </c>
      <c r="D1470" s="106" t="s">
        <v>4</v>
      </c>
      <c r="E1470" s="106" t="s">
        <v>10907</v>
      </c>
      <c r="F1470" s="106"/>
      <c r="G1470" s="106" t="s">
        <v>909</v>
      </c>
      <c r="H1470" s="106" t="s">
        <v>8215</v>
      </c>
      <c r="I1470" s="106" t="s">
        <v>8215</v>
      </c>
      <c r="J1470" s="106" t="s">
        <v>9490</v>
      </c>
      <c r="K1470" s="114" t="s">
        <v>8490</v>
      </c>
    </row>
    <row r="1471" s="89" customFormat="1" ht="15" spans="1:11">
      <c r="A1471" s="106" t="s">
        <v>86</v>
      </c>
      <c r="B1471" s="106" t="s">
        <v>10908</v>
      </c>
      <c r="C1471" s="106" t="s">
        <v>8293</v>
      </c>
      <c r="D1471" s="106" t="s">
        <v>4</v>
      </c>
      <c r="E1471" s="106" t="s">
        <v>10909</v>
      </c>
      <c r="F1471" s="106"/>
      <c r="G1471" s="106" t="s">
        <v>909</v>
      </c>
      <c r="H1471" s="106" t="s">
        <v>8215</v>
      </c>
      <c r="I1471" s="106" t="s">
        <v>8215</v>
      </c>
      <c r="J1471" s="106" t="s">
        <v>9526</v>
      </c>
      <c r="K1471" s="114" t="s">
        <v>8490</v>
      </c>
    </row>
    <row r="1472" s="89" customFormat="1" ht="15" spans="1:11">
      <c r="A1472" s="106" t="s">
        <v>86</v>
      </c>
      <c r="B1472" s="106" t="s">
        <v>10910</v>
      </c>
      <c r="C1472" s="106" t="s">
        <v>8293</v>
      </c>
      <c r="D1472" s="106" t="s">
        <v>4</v>
      </c>
      <c r="E1472" s="106" t="s">
        <v>10911</v>
      </c>
      <c r="F1472" s="106"/>
      <c r="G1472" s="106" t="s">
        <v>909</v>
      </c>
      <c r="H1472" s="106" t="s">
        <v>8215</v>
      </c>
      <c r="I1472" s="106" t="s">
        <v>8215</v>
      </c>
      <c r="J1472" s="106" t="s">
        <v>10032</v>
      </c>
      <c r="K1472" s="114" t="s">
        <v>8490</v>
      </c>
    </row>
    <row r="1473" s="91" customFormat="1" ht="15" spans="1:11">
      <c r="A1473" s="106" t="s">
        <v>86</v>
      </c>
      <c r="B1473" s="129" t="s">
        <v>10912</v>
      </c>
      <c r="C1473" s="129" t="s">
        <v>8272</v>
      </c>
      <c r="D1473" s="129" t="s">
        <v>4</v>
      </c>
      <c r="E1473" s="129" t="s">
        <v>10913</v>
      </c>
      <c r="F1473" s="129"/>
      <c r="G1473" s="129" t="s">
        <v>909</v>
      </c>
      <c r="H1473" s="130" t="s">
        <v>8215</v>
      </c>
      <c r="I1473" s="130" t="s">
        <v>8215</v>
      </c>
      <c r="J1473" s="130" t="s">
        <v>10856</v>
      </c>
      <c r="K1473" s="114" t="s">
        <v>9486</v>
      </c>
    </row>
    <row r="1474" s="91" customFormat="1" ht="15" spans="1:11">
      <c r="A1474" s="106" t="s">
        <v>86</v>
      </c>
      <c r="B1474" s="129" t="s">
        <v>10914</v>
      </c>
      <c r="C1474" s="129" t="s">
        <v>8272</v>
      </c>
      <c r="D1474" s="129" t="s">
        <v>4</v>
      </c>
      <c r="E1474" s="129" t="s">
        <v>948</v>
      </c>
      <c r="F1474" s="129"/>
      <c r="G1474" s="129" t="s">
        <v>909</v>
      </c>
      <c r="H1474" s="130" t="s">
        <v>8215</v>
      </c>
      <c r="I1474" s="130" t="s">
        <v>8215</v>
      </c>
      <c r="J1474" s="130" t="s">
        <v>9690</v>
      </c>
      <c r="K1474" s="114" t="s">
        <v>10387</v>
      </c>
    </row>
    <row r="1475" s="91" customFormat="1" ht="15" spans="1:11">
      <c r="A1475" s="106" t="s">
        <v>86</v>
      </c>
      <c r="B1475" s="129" t="s">
        <v>10915</v>
      </c>
      <c r="C1475" s="129" t="s">
        <v>8272</v>
      </c>
      <c r="D1475" s="129" t="s">
        <v>4</v>
      </c>
      <c r="E1475" s="129" t="s">
        <v>1013</v>
      </c>
      <c r="F1475" s="129"/>
      <c r="G1475" s="129" t="s">
        <v>909</v>
      </c>
      <c r="H1475" s="130" t="s">
        <v>8215</v>
      </c>
      <c r="I1475" s="130" t="s">
        <v>8215</v>
      </c>
      <c r="J1475" s="130" t="s">
        <v>10916</v>
      </c>
      <c r="K1475" s="114" t="s">
        <v>10537</v>
      </c>
    </row>
    <row r="1476" s="89" customFormat="1" ht="15" spans="1:11">
      <c r="A1476" s="106" t="s">
        <v>86</v>
      </c>
      <c r="B1476" s="106" t="s">
        <v>10917</v>
      </c>
      <c r="C1476" s="106" t="s">
        <v>8272</v>
      </c>
      <c r="D1476" s="106" t="s">
        <v>4</v>
      </c>
      <c r="E1476" s="106" t="s">
        <v>10855</v>
      </c>
      <c r="F1476" s="106"/>
      <c r="G1476" s="106" t="s">
        <v>909</v>
      </c>
      <c r="H1476" s="106" t="s">
        <v>8215</v>
      </c>
      <c r="I1476" s="106" t="s">
        <v>8215</v>
      </c>
      <c r="J1476" s="106" t="s">
        <v>9490</v>
      </c>
      <c r="K1476" s="114" t="s">
        <v>10918</v>
      </c>
    </row>
    <row r="1477" s="89" customFormat="1" ht="15" spans="1:11">
      <c r="A1477" s="106" t="s">
        <v>86</v>
      </c>
      <c r="B1477" s="106" t="s">
        <v>10919</v>
      </c>
      <c r="C1477" s="106" t="s">
        <v>8272</v>
      </c>
      <c r="D1477" s="106" t="s">
        <v>4</v>
      </c>
      <c r="E1477" s="106" t="s">
        <v>10869</v>
      </c>
      <c r="F1477" s="106"/>
      <c r="G1477" s="106" t="s">
        <v>909</v>
      </c>
      <c r="H1477" s="106" t="s">
        <v>8247</v>
      </c>
      <c r="I1477" s="106" t="s">
        <v>8247</v>
      </c>
      <c r="J1477" s="106" t="s">
        <v>8779</v>
      </c>
      <c r="K1477" s="114" t="s">
        <v>10809</v>
      </c>
    </row>
    <row r="1478" s="89" customFormat="1" ht="15" spans="1:11">
      <c r="A1478" s="106" t="s">
        <v>86</v>
      </c>
      <c r="B1478" s="106" t="s">
        <v>10920</v>
      </c>
      <c r="C1478" s="106" t="s">
        <v>8272</v>
      </c>
      <c r="D1478" s="106" t="s">
        <v>4</v>
      </c>
      <c r="E1478" s="106" t="s">
        <v>10893</v>
      </c>
      <c r="F1478" s="106"/>
      <c r="G1478" s="106" t="s">
        <v>909</v>
      </c>
      <c r="H1478" s="106" t="s">
        <v>8215</v>
      </c>
      <c r="I1478" s="106" t="s">
        <v>8215</v>
      </c>
      <c r="J1478" s="106" t="s">
        <v>10032</v>
      </c>
      <c r="K1478" s="114" t="s">
        <v>10921</v>
      </c>
    </row>
    <row r="1479" s="92" customFormat="1" ht="15" spans="1:11">
      <c r="A1479" s="106" t="s">
        <v>86</v>
      </c>
      <c r="B1479" s="99" t="s">
        <v>10922</v>
      </c>
      <c r="C1479" s="99" t="s">
        <v>8272</v>
      </c>
      <c r="D1479" s="99" t="s">
        <v>4</v>
      </c>
      <c r="E1479" s="99" t="s">
        <v>9972</v>
      </c>
      <c r="F1479" s="99"/>
      <c r="G1479" s="99" t="s">
        <v>909</v>
      </c>
      <c r="H1479" s="99" t="s">
        <v>8294</v>
      </c>
      <c r="I1479" s="99" t="s">
        <v>8294</v>
      </c>
      <c r="J1479" s="99" t="s">
        <v>8885</v>
      </c>
      <c r="K1479" s="109">
        <v>45860</v>
      </c>
    </row>
    <row r="1480" s="90" customFormat="1" ht="15" spans="1:11">
      <c r="A1480" s="101" t="s">
        <v>89</v>
      </c>
      <c r="B1480" s="101" t="s">
        <v>10923</v>
      </c>
      <c r="C1480" s="119" t="s">
        <v>8514</v>
      </c>
      <c r="D1480" s="101" t="s">
        <v>4</v>
      </c>
      <c r="E1480" s="101" t="s">
        <v>10924</v>
      </c>
      <c r="F1480" s="101"/>
      <c r="G1480" s="98" t="s">
        <v>909</v>
      </c>
      <c r="H1480" s="100" t="s">
        <v>8215</v>
      </c>
      <c r="I1480" s="100" t="s">
        <v>10221</v>
      </c>
      <c r="J1480" s="100"/>
      <c r="K1480" s="107"/>
    </row>
    <row r="1481" s="90" customFormat="1" ht="15" spans="1:11">
      <c r="A1481" s="101" t="s">
        <v>89</v>
      </c>
      <c r="B1481" s="101" t="s">
        <v>10925</v>
      </c>
      <c r="C1481" s="119" t="s">
        <v>8514</v>
      </c>
      <c r="D1481" s="101" t="s">
        <v>4</v>
      </c>
      <c r="E1481" s="101" t="s">
        <v>10924</v>
      </c>
      <c r="F1481" s="101"/>
      <c r="G1481" s="98" t="s">
        <v>909</v>
      </c>
      <c r="H1481" s="100" t="s">
        <v>8215</v>
      </c>
      <c r="I1481" s="100" t="s">
        <v>1258</v>
      </c>
      <c r="J1481" s="100"/>
      <c r="K1481" s="107"/>
    </row>
    <row r="1482" ht="15" spans="1:11">
      <c r="A1482" s="101" t="s">
        <v>89</v>
      </c>
      <c r="B1482" s="101" t="s">
        <v>10926</v>
      </c>
      <c r="C1482" s="119" t="s">
        <v>8514</v>
      </c>
      <c r="D1482" s="101" t="s">
        <v>4</v>
      </c>
      <c r="E1482" s="101" t="s">
        <v>10924</v>
      </c>
      <c r="F1482" s="101"/>
      <c r="G1482" s="98" t="s">
        <v>909</v>
      </c>
      <c r="H1482" s="100" t="s">
        <v>8215</v>
      </c>
      <c r="I1482" s="100" t="s">
        <v>10221</v>
      </c>
      <c r="J1482" s="100"/>
      <c r="K1482" s="107"/>
    </row>
    <row r="1483" ht="15" spans="1:11">
      <c r="A1483" s="101" t="s">
        <v>89</v>
      </c>
      <c r="B1483" s="101" t="s">
        <v>10927</v>
      </c>
      <c r="C1483" s="119" t="s">
        <v>8514</v>
      </c>
      <c r="D1483" s="101" t="s">
        <v>4</v>
      </c>
      <c r="E1483" s="101" t="s">
        <v>10928</v>
      </c>
      <c r="F1483" s="101"/>
      <c r="G1483" s="98" t="s">
        <v>909</v>
      </c>
      <c r="H1483" s="100" t="s">
        <v>8215</v>
      </c>
      <c r="I1483" s="100" t="s">
        <v>10221</v>
      </c>
      <c r="J1483" s="100"/>
      <c r="K1483" s="107"/>
    </row>
    <row r="1484" ht="15" spans="1:11">
      <c r="A1484" s="101" t="s">
        <v>89</v>
      </c>
      <c r="B1484" s="101" t="s">
        <v>10929</v>
      </c>
      <c r="C1484" s="119" t="s">
        <v>8514</v>
      </c>
      <c r="D1484" s="101" t="s">
        <v>4</v>
      </c>
      <c r="E1484" s="101" t="s">
        <v>10930</v>
      </c>
      <c r="F1484" s="101"/>
      <c r="G1484" s="98" t="s">
        <v>909</v>
      </c>
      <c r="H1484" s="100" t="s">
        <v>8215</v>
      </c>
      <c r="I1484" s="100" t="s">
        <v>10221</v>
      </c>
      <c r="J1484" s="100"/>
      <c r="K1484" s="107"/>
    </row>
    <row r="1485" ht="15" spans="1:11">
      <c r="A1485" s="101" t="s">
        <v>89</v>
      </c>
      <c r="B1485" s="101" t="s">
        <v>10931</v>
      </c>
      <c r="C1485" s="119" t="s">
        <v>8514</v>
      </c>
      <c r="D1485" s="101" t="s">
        <v>4</v>
      </c>
      <c r="E1485" s="101" t="s">
        <v>10932</v>
      </c>
      <c r="F1485" s="101"/>
      <c r="G1485" s="98" t="s">
        <v>909</v>
      </c>
      <c r="H1485" s="100" t="s">
        <v>8215</v>
      </c>
      <c r="I1485" s="100" t="s">
        <v>8215</v>
      </c>
      <c r="J1485" s="100"/>
      <c r="K1485" s="107"/>
    </row>
    <row r="1486" ht="15" spans="1:11">
      <c r="A1486" s="101" t="s">
        <v>89</v>
      </c>
      <c r="B1486" s="101" t="s">
        <v>10933</v>
      </c>
      <c r="C1486" s="119" t="s">
        <v>8514</v>
      </c>
      <c r="D1486" s="101" t="s">
        <v>4</v>
      </c>
      <c r="E1486" s="101" t="s">
        <v>10932</v>
      </c>
      <c r="F1486" s="101"/>
      <c r="G1486" s="98" t="s">
        <v>909</v>
      </c>
      <c r="H1486" s="100" t="s">
        <v>8252</v>
      </c>
      <c r="I1486" s="100" t="s">
        <v>10934</v>
      </c>
      <c r="J1486" s="100"/>
      <c r="K1486" s="107"/>
    </row>
    <row r="1487" ht="15" spans="1:11">
      <c r="A1487" s="101" t="s">
        <v>89</v>
      </c>
      <c r="B1487" s="101" t="s">
        <v>10935</v>
      </c>
      <c r="C1487" s="119" t="s">
        <v>8514</v>
      </c>
      <c r="D1487" s="101" t="s">
        <v>5</v>
      </c>
      <c r="E1487" s="101" t="s">
        <v>10936</v>
      </c>
      <c r="F1487" s="101"/>
      <c r="G1487" s="98" t="s">
        <v>909</v>
      </c>
      <c r="H1487" s="100" t="s">
        <v>8215</v>
      </c>
      <c r="I1487" s="100" t="s">
        <v>1258</v>
      </c>
      <c r="J1487" s="100"/>
      <c r="K1487" s="107"/>
    </row>
    <row r="1488" ht="15" spans="1:11">
      <c r="A1488" s="101" t="s">
        <v>89</v>
      </c>
      <c r="B1488" s="101" t="s">
        <v>10937</v>
      </c>
      <c r="C1488" s="119" t="s">
        <v>8514</v>
      </c>
      <c r="D1488" s="101" t="s">
        <v>4</v>
      </c>
      <c r="E1488" s="101" t="s">
        <v>10938</v>
      </c>
      <c r="F1488" s="101"/>
      <c r="G1488" s="98" t="s">
        <v>909</v>
      </c>
      <c r="H1488" s="100" t="s">
        <v>8215</v>
      </c>
      <c r="I1488" s="100" t="s">
        <v>10221</v>
      </c>
      <c r="J1488" s="100"/>
      <c r="K1488" s="107"/>
    </row>
    <row r="1489" ht="15" spans="1:11">
      <c r="A1489" s="101" t="s">
        <v>89</v>
      </c>
      <c r="B1489" s="101" t="s">
        <v>10939</v>
      </c>
      <c r="C1489" s="119" t="s">
        <v>8514</v>
      </c>
      <c r="D1489" s="101" t="s">
        <v>4</v>
      </c>
      <c r="E1489" s="101" t="s">
        <v>10938</v>
      </c>
      <c r="F1489" s="101"/>
      <c r="G1489" s="98" t="s">
        <v>909</v>
      </c>
      <c r="H1489" s="100" t="s">
        <v>8215</v>
      </c>
      <c r="I1489" s="100" t="s">
        <v>1258</v>
      </c>
      <c r="J1489" s="100"/>
      <c r="K1489" s="107"/>
    </row>
    <row r="1490" ht="15" spans="1:11">
      <c r="A1490" s="101" t="s">
        <v>89</v>
      </c>
      <c r="B1490" s="101" t="s">
        <v>10940</v>
      </c>
      <c r="C1490" s="119" t="s">
        <v>8514</v>
      </c>
      <c r="D1490" s="101" t="s">
        <v>4</v>
      </c>
      <c r="E1490" s="101" t="s">
        <v>10941</v>
      </c>
      <c r="F1490" s="101"/>
      <c r="G1490" s="98" t="s">
        <v>909</v>
      </c>
      <c r="H1490" s="100" t="s">
        <v>8215</v>
      </c>
      <c r="I1490" s="100" t="s">
        <v>10221</v>
      </c>
      <c r="J1490" s="100"/>
      <c r="K1490" s="107"/>
    </row>
    <row r="1491" ht="15" spans="1:11">
      <c r="A1491" s="101" t="s">
        <v>89</v>
      </c>
      <c r="B1491" s="101" t="s">
        <v>10942</v>
      </c>
      <c r="C1491" s="119" t="s">
        <v>8514</v>
      </c>
      <c r="D1491" s="101" t="s">
        <v>4</v>
      </c>
      <c r="E1491" s="101" t="s">
        <v>10943</v>
      </c>
      <c r="F1491" s="101"/>
      <c r="G1491" s="98" t="s">
        <v>909</v>
      </c>
      <c r="H1491" s="100" t="s">
        <v>8215</v>
      </c>
      <c r="I1491" s="100" t="s">
        <v>8215</v>
      </c>
      <c r="J1491" s="100"/>
      <c r="K1491" s="107"/>
    </row>
    <row r="1492" ht="15" spans="1:11">
      <c r="A1492" s="101" t="s">
        <v>89</v>
      </c>
      <c r="B1492" s="101" t="s">
        <v>10944</v>
      </c>
      <c r="C1492" s="119" t="s">
        <v>8514</v>
      </c>
      <c r="D1492" s="101" t="s">
        <v>4</v>
      </c>
      <c r="E1492" s="101" t="s">
        <v>10945</v>
      </c>
      <c r="F1492" s="101"/>
      <c r="G1492" s="98" t="s">
        <v>909</v>
      </c>
      <c r="H1492" s="100" t="s">
        <v>8215</v>
      </c>
      <c r="I1492" s="100" t="s">
        <v>1258</v>
      </c>
      <c r="J1492" s="100"/>
      <c r="K1492" s="107"/>
    </row>
    <row r="1493" ht="15" spans="1:11">
      <c r="A1493" s="101" t="s">
        <v>89</v>
      </c>
      <c r="B1493" s="101" t="s">
        <v>10946</v>
      </c>
      <c r="C1493" s="119" t="s">
        <v>8514</v>
      </c>
      <c r="D1493" s="101" t="s">
        <v>4</v>
      </c>
      <c r="E1493" s="101" t="s">
        <v>10945</v>
      </c>
      <c r="F1493" s="101"/>
      <c r="G1493" s="98" t="s">
        <v>909</v>
      </c>
      <c r="H1493" s="100" t="s">
        <v>8215</v>
      </c>
      <c r="I1493" s="100" t="s">
        <v>1258</v>
      </c>
      <c r="J1493" s="100"/>
      <c r="K1493" s="107"/>
    </row>
    <row r="1494" ht="15" spans="1:11">
      <c r="A1494" s="101" t="s">
        <v>89</v>
      </c>
      <c r="B1494" s="101" t="s">
        <v>10947</v>
      </c>
      <c r="C1494" s="119" t="s">
        <v>8514</v>
      </c>
      <c r="D1494" s="101" t="s">
        <v>4</v>
      </c>
      <c r="E1494" s="101" t="s">
        <v>10948</v>
      </c>
      <c r="F1494" s="101"/>
      <c r="G1494" s="98" t="s">
        <v>909</v>
      </c>
      <c r="H1494" s="100" t="s">
        <v>8252</v>
      </c>
      <c r="I1494" s="100" t="s">
        <v>10221</v>
      </c>
      <c r="J1494" s="100"/>
      <c r="K1494" s="107"/>
    </row>
    <row r="1495" ht="15" spans="1:11">
      <c r="A1495" s="101" t="s">
        <v>89</v>
      </c>
      <c r="B1495" s="101" t="s">
        <v>10949</v>
      </c>
      <c r="C1495" s="119" t="s">
        <v>8514</v>
      </c>
      <c r="D1495" s="101" t="s">
        <v>4</v>
      </c>
      <c r="E1495" s="101" t="s">
        <v>10948</v>
      </c>
      <c r="F1495" s="101"/>
      <c r="G1495" s="98" t="s">
        <v>909</v>
      </c>
      <c r="H1495" s="100" t="s">
        <v>1258</v>
      </c>
      <c r="I1495" s="100" t="s">
        <v>1258</v>
      </c>
      <c r="J1495" s="100"/>
      <c r="K1495" s="107"/>
    </row>
    <row r="1496" ht="15" spans="1:11">
      <c r="A1496" s="101" t="s">
        <v>89</v>
      </c>
      <c r="B1496" s="101" t="s">
        <v>10950</v>
      </c>
      <c r="C1496" s="119" t="s">
        <v>8514</v>
      </c>
      <c r="D1496" s="101" t="s">
        <v>4</v>
      </c>
      <c r="E1496" s="101" t="s">
        <v>10951</v>
      </c>
      <c r="F1496" s="101"/>
      <c r="G1496" s="98" t="s">
        <v>909</v>
      </c>
      <c r="H1496" s="100" t="s">
        <v>8252</v>
      </c>
      <c r="I1496" s="100" t="s">
        <v>10934</v>
      </c>
      <c r="J1496" s="100"/>
      <c r="K1496" s="107"/>
    </row>
    <row r="1497" ht="15" spans="1:11">
      <c r="A1497" s="101" t="s">
        <v>89</v>
      </c>
      <c r="B1497" s="101" t="s">
        <v>10952</v>
      </c>
      <c r="C1497" s="119" t="s">
        <v>8514</v>
      </c>
      <c r="D1497" s="101" t="s">
        <v>4</v>
      </c>
      <c r="E1497" s="101" t="s">
        <v>10953</v>
      </c>
      <c r="F1497" s="101"/>
      <c r="G1497" s="98" t="s">
        <v>909</v>
      </c>
      <c r="H1497" s="100" t="s">
        <v>8215</v>
      </c>
      <c r="I1497" s="100" t="s">
        <v>8215</v>
      </c>
      <c r="J1497" s="100" t="s">
        <v>8459</v>
      </c>
      <c r="K1497" s="107"/>
    </row>
    <row r="1498" ht="15" spans="1:11">
      <c r="A1498" s="101" t="s">
        <v>89</v>
      </c>
      <c r="B1498" s="101" t="s">
        <v>10954</v>
      </c>
      <c r="C1498" s="119" t="s">
        <v>8514</v>
      </c>
      <c r="D1498" s="101" t="s">
        <v>4</v>
      </c>
      <c r="E1498" s="101" t="s">
        <v>10955</v>
      </c>
      <c r="F1498" s="101"/>
      <c r="G1498" s="98" t="s">
        <v>909</v>
      </c>
      <c r="H1498" s="100" t="s">
        <v>8215</v>
      </c>
      <c r="I1498" s="100" t="s">
        <v>10221</v>
      </c>
      <c r="J1498" s="100"/>
      <c r="K1498" s="107"/>
    </row>
    <row r="1499" ht="15" spans="1:11">
      <c r="A1499" s="101" t="s">
        <v>89</v>
      </c>
      <c r="B1499" s="101" t="s">
        <v>10956</v>
      </c>
      <c r="C1499" s="119" t="s">
        <v>8514</v>
      </c>
      <c r="D1499" s="101" t="s">
        <v>4</v>
      </c>
      <c r="E1499" s="101" t="s">
        <v>10957</v>
      </c>
      <c r="F1499" s="101"/>
      <c r="G1499" s="98" t="s">
        <v>909</v>
      </c>
      <c r="H1499" s="100" t="s">
        <v>8215</v>
      </c>
      <c r="I1499" s="100" t="s">
        <v>8215</v>
      </c>
      <c r="J1499" s="100"/>
      <c r="K1499" s="107"/>
    </row>
    <row r="1500" ht="15" spans="1:11">
      <c r="A1500" s="101" t="s">
        <v>89</v>
      </c>
      <c r="B1500" s="101" t="s">
        <v>10958</v>
      </c>
      <c r="C1500" s="119" t="s">
        <v>8514</v>
      </c>
      <c r="D1500" s="101" t="s">
        <v>4</v>
      </c>
      <c r="E1500" s="101" t="s">
        <v>10959</v>
      </c>
      <c r="F1500" s="101"/>
      <c r="G1500" s="98" t="s">
        <v>909</v>
      </c>
      <c r="H1500" s="100" t="s">
        <v>8215</v>
      </c>
      <c r="I1500" s="100" t="s">
        <v>10934</v>
      </c>
      <c r="J1500" s="100"/>
      <c r="K1500" s="107"/>
    </row>
    <row r="1501" ht="15" spans="1:11">
      <c r="A1501" s="101" t="s">
        <v>89</v>
      </c>
      <c r="B1501" s="101" t="s">
        <v>10960</v>
      </c>
      <c r="C1501" s="119" t="s">
        <v>8514</v>
      </c>
      <c r="D1501" s="101" t="s">
        <v>4</v>
      </c>
      <c r="E1501" s="101" t="s">
        <v>10959</v>
      </c>
      <c r="F1501" s="101"/>
      <c r="G1501" s="98" t="s">
        <v>909</v>
      </c>
      <c r="H1501" s="100" t="s">
        <v>8215</v>
      </c>
      <c r="I1501" s="100" t="s">
        <v>10221</v>
      </c>
      <c r="J1501" s="100"/>
      <c r="K1501" s="107"/>
    </row>
    <row r="1502" ht="15" spans="1:11">
      <c r="A1502" s="101" t="s">
        <v>89</v>
      </c>
      <c r="B1502" s="101" t="s">
        <v>10961</v>
      </c>
      <c r="C1502" s="119" t="s">
        <v>8514</v>
      </c>
      <c r="D1502" s="101" t="s">
        <v>4</v>
      </c>
      <c r="E1502" s="101" t="s">
        <v>10959</v>
      </c>
      <c r="F1502" s="101"/>
      <c r="G1502" s="98" t="s">
        <v>909</v>
      </c>
      <c r="H1502" s="100" t="s">
        <v>8215</v>
      </c>
      <c r="I1502" s="100" t="s">
        <v>10962</v>
      </c>
      <c r="J1502" s="100"/>
      <c r="K1502" s="107"/>
    </row>
    <row r="1503" ht="15" spans="1:11">
      <c r="A1503" s="101" t="s">
        <v>89</v>
      </c>
      <c r="B1503" s="101" t="s">
        <v>10963</v>
      </c>
      <c r="C1503" s="119" t="s">
        <v>8514</v>
      </c>
      <c r="D1503" s="101" t="s">
        <v>4</v>
      </c>
      <c r="E1503" s="101" t="s">
        <v>10964</v>
      </c>
      <c r="F1503" s="101"/>
      <c r="G1503" s="98" t="s">
        <v>909</v>
      </c>
      <c r="H1503" s="100" t="s">
        <v>8215</v>
      </c>
      <c r="I1503" s="100" t="s">
        <v>1258</v>
      </c>
      <c r="J1503" s="100"/>
      <c r="K1503" s="107"/>
    </row>
    <row r="1504" ht="15" spans="1:11">
      <c r="A1504" s="101" t="s">
        <v>89</v>
      </c>
      <c r="B1504" s="101" t="s">
        <v>10965</v>
      </c>
      <c r="C1504" s="119" t="s">
        <v>8514</v>
      </c>
      <c r="D1504" s="101" t="s">
        <v>4</v>
      </c>
      <c r="E1504" s="101" t="s">
        <v>10966</v>
      </c>
      <c r="F1504" s="101"/>
      <c r="G1504" s="98" t="s">
        <v>909</v>
      </c>
      <c r="H1504" s="100" t="s">
        <v>8215</v>
      </c>
      <c r="I1504" s="100" t="s">
        <v>8215</v>
      </c>
      <c r="J1504" s="100"/>
      <c r="K1504" s="107"/>
    </row>
    <row r="1505" ht="15" spans="1:11">
      <c r="A1505" s="101" t="s">
        <v>89</v>
      </c>
      <c r="B1505" s="101" t="s">
        <v>10967</v>
      </c>
      <c r="C1505" s="119" t="s">
        <v>8514</v>
      </c>
      <c r="D1505" s="101" t="s">
        <v>4</v>
      </c>
      <c r="E1505" s="101" t="s">
        <v>10966</v>
      </c>
      <c r="F1505" s="101"/>
      <c r="G1505" s="98" t="s">
        <v>909</v>
      </c>
      <c r="H1505" s="100"/>
      <c r="I1505" s="100"/>
      <c r="J1505" s="100"/>
      <c r="K1505" s="107"/>
    </row>
    <row r="1506" ht="15" spans="1:11">
      <c r="A1506" s="101" t="s">
        <v>89</v>
      </c>
      <c r="B1506" s="101" t="s">
        <v>10968</v>
      </c>
      <c r="C1506" s="119" t="s">
        <v>8514</v>
      </c>
      <c r="D1506" s="101" t="s">
        <v>4</v>
      </c>
      <c r="E1506" s="101" t="s">
        <v>10969</v>
      </c>
      <c r="F1506" s="101"/>
      <c r="G1506" s="98" t="s">
        <v>909</v>
      </c>
      <c r="H1506" s="100" t="s">
        <v>8215</v>
      </c>
      <c r="I1506" s="100" t="s">
        <v>8215</v>
      </c>
      <c r="J1506" s="100"/>
      <c r="K1506" s="107"/>
    </row>
    <row r="1507" ht="15" spans="1:11">
      <c r="A1507" s="101" t="s">
        <v>89</v>
      </c>
      <c r="B1507" s="101" t="s">
        <v>10970</v>
      </c>
      <c r="C1507" s="119" t="s">
        <v>8514</v>
      </c>
      <c r="D1507" s="101" t="s">
        <v>4</v>
      </c>
      <c r="E1507" s="101" t="s">
        <v>10971</v>
      </c>
      <c r="F1507" s="101"/>
      <c r="G1507" s="98" t="s">
        <v>909</v>
      </c>
      <c r="H1507" s="100" t="s">
        <v>8215</v>
      </c>
      <c r="I1507" s="100" t="s">
        <v>8215</v>
      </c>
      <c r="J1507" s="100"/>
      <c r="K1507" s="107"/>
    </row>
    <row r="1508" ht="15" spans="1:11">
      <c r="A1508" s="101" t="s">
        <v>89</v>
      </c>
      <c r="B1508" s="101" t="s">
        <v>10972</v>
      </c>
      <c r="C1508" s="119" t="s">
        <v>8514</v>
      </c>
      <c r="D1508" s="101" t="s">
        <v>4</v>
      </c>
      <c r="E1508" s="101" t="s">
        <v>10971</v>
      </c>
      <c r="F1508" s="101"/>
      <c r="G1508" s="98" t="s">
        <v>909</v>
      </c>
      <c r="H1508" s="100" t="s">
        <v>8215</v>
      </c>
      <c r="I1508" s="100" t="s">
        <v>10221</v>
      </c>
      <c r="J1508" s="100"/>
      <c r="K1508" s="107"/>
    </row>
    <row r="1509" ht="15" spans="1:11">
      <c r="A1509" s="101" t="s">
        <v>89</v>
      </c>
      <c r="B1509" s="101" t="s">
        <v>10973</v>
      </c>
      <c r="C1509" s="119" t="s">
        <v>8514</v>
      </c>
      <c r="D1509" s="101" t="s">
        <v>4</v>
      </c>
      <c r="E1509" s="101" t="s">
        <v>10971</v>
      </c>
      <c r="F1509" s="101"/>
      <c r="G1509" s="98" t="s">
        <v>909</v>
      </c>
      <c r="H1509" s="100" t="s">
        <v>8215</v>
      </c>
      <c r="I1509" s="100" t="s">
        <v>1258</v>
      </c>
      <c r="J1509" s="100"/>
      <c r="K1509" s="107"/>
    </row>
    <row r="1510" ht="15" spans="1:11">
      <c r="A1510" s="101" t="s">
        <v>89</v>
      </c>
      <c r="B1510" s="101" t="s">
        <v>10974</v>
      </c>
      <c r="C1510" s="119" t="s">
        <v>8514</v>
      </c>
      <c r="D1510" s="101" t="s">
        <v>4</v>
      </c>
      <c r="E1510" s="101" t="s">
        <v>10975</v>
      </c>
      <c r="F1510" s="101"/>
      <c r="G1510" s="98" t="s">
        <v>909</v>
      </c>
      <c r="H1510" s="100" t="s">
        <v>8215</v>
      </c>
      <c r="I1510" s="100" t="s">
        <v>1258</v>
      </c>
      <c r="J1510" s="100"/>
      <c r="K1510" s="107"/>
    </row>
    <row r="1511" ht="15" spans="1:11">
      <c r="A1511" s="101" t="s">
        <v>89</v>
      </c>
      <c r="B1511" s="101" t="s">
        <v>10976</v>
      </c>
      <c r="C1511" s="119" t="s">
        <v>8514</v>
      </c>
      <c r="D1511" s="101" t="s">
        <v>4</v>
      </c>
      <c r="E1511" s="101" t="s">
        <v>10975</v>
      </c>
      <c r="F1511" s="101"/>
      <c r="G1511" s="98" t="s">
        <v>909</v>
      </c>
      <c r="H1511" s="100" t="s">
        <v>8215</v>
      </c>
      <c r="I1511" s="100" t="s">
        <v>8326</v>
      </c>
      <c r="J1511" s="100"/>
      <c r="K1511" s="107"/>
    </row>
    <row r="1512" ht="15" spans="1:11">
      <c r="A1512" s="101" t="s">
        <v>89</v>
      </c>
      <c r="B1512" s="101" t="s">
        <v>10977</v>
      </c>
      <c r="C1512" s="119"/>
      <c r="D1512" s="101" t="s">
        <v>4</v>
      </c>
      <c r="E1512" s="101" t="s">
        <v>10978</v>
      </c>
      <c r="F1512" s="101"/>
      <c r="G1512" s="98" t="s">
        <v>909</v>
      </c>
      <c r="H1512" s="100" t="s">
        <v>8215</v>
      </c>
      <c r="I1512" s="100" t="s">
        <v>8215</v>
      </c>
      <c r="J1512" s="100" t="s">
        <v>8353</v>
      </c>
      <c r="K1512" s="107">
        <v>2024.2</v>
      </c>
    </row>
    <row r="1513" ht="15" spans="1:11">
      <c r="A1513" s="101" t="s">
        <v>89</v>
      </c>
      <c r="B1513" s="101" t="s">
        <v>10979</v>
      </c>
      <c r="C1513" s="119" t="s">
        <v>8514</v>
      </c>
      <c r="D1513" s="101" t="s">
        <v>4</v>
      </c>
      <c r="E1513" s="101" t="s">
        <v>10980</v>
      </c>
      <c r="F1513" s="101"/>
      <c r="G1513" s="98" t="s">
        <v>909</v>
      </c>
      <c r="H1513" s="100" t="s">
        <v>8215</v>
      </c>
      <c r="I1513" s="100" t="s">
        <v>10221</v>
      </c>
      <c r="K1513" s="107"/>
    </row>
    <row r="1514" ht="15" spans="1:11">
      <c r="A1514" s="101" t="s">
        <v>89</v>
      </c>
      <c r="B1514" s="101" t="s">
        <v>10981</v>
      </c>
      <c r="C1514" s="119" t="s">
        <v>8514</v>
      </c>
      <c r="D1514" s="101" t="s">
        <v>4</v>
      </c>
      <c r="E1514" s="101" t="s">
        <v>10982</v>
      </c>
      <c r="F1514" s="101"/>
      <c r="G1514" s="98" t="s">
        <v>909</v>
      </c>
      <c r="H1514" s="100" t="s">
        <v>8215</v>
      </c>
      <c r="I1514" s="100" t="s">
        <v>10934</v>
      </c>
      <c r="J1514" s="100"/>
      <c r="K1514" s="107"/>
    </row>
    <row r="1515" ht="15" spans="1:11">
      <c r="A1515" s="101" t="s">
        <v>89</v>
      </c>
      <c r="B1515" s="101" t="s">
        <v>10983</v>
      </c>
      <c r="C1515" s="119" t="s">
        <v>8514</v>
      </c>
      <c r="D1515" s="101" t="s">
        <v>4</v>
      </c>
      <c r="E1515" s="101" t="s">
        <v>10984</v>
      </c>
      <c r="F1515" s="101"/>
      <c r="G1515" s="98" t="s">
        <v>909</v>
      </c>
      <c r="H1515" s="100" t="s">
        <v>8252</v>
      </c>
      <c r="I1515" s="100" t="s">
        <v>10985</v>
      </c>
      <c r="J1515" s="100"/>
      <c r="K1515" s="107"/>
    </row>
    <row r="1516" ht="15" spans="1:11">
      <c r="A1516" s="101" t="s">
        <v>89</v>
      </c>
      <c r="B1516" s="101" t="s">
        <v>10986</v>
      </c>
      <c r="C1516" s="119" t="s">
        <v>8514</v>
      </c>
      <c r="D1516" s="101" t="s">
        <v>4</v>
      </c>
      <c r="E1516" s="101" t="s">
        <v>10987</v>
      </c>
      <c r="F1516" s="101"/>
      <c r="G1516" s="98" t="s">
        <v>909</v>
      </c>
      <c r="H1516" s="100" t="s">
        <v>8215</v>
      </c>
      <c r="I1516" s="100" t="s">
        <v>10221</v>
      </c>
      <c r="J1516" s="100"/>
      <c r="K1516" s="107"/>
    </row>
    <row r="1517" ht="15" spans="1:11">
      <c r="A1517" s="101" t="s">
        <v>89</v>
      </c>
      <c r="B1517" s="101" t="s">
        <v>10988</v>
      </c>
      <c r="C1517" s="119" t="s">
        <v>8514</v>
      </c>
      <c r="D1517" s="101" t="s">
        <v>4</v>
      </c>
      <c r="E1517" s="101" t="s">
        <v>10987</v>
      </c>
      <c r="F1517" s="101"/>
      <c r="G1517" s="98" t="s">
        <v>909</v>
      </c>
      <c r="H1517" s="100" t="s">
        <v>8215</v>
      </c>
      <c r="I1517" s="100" t="s">
        <v>1258</v>
      </c>
      <c r="J1517" s="100"/>
      <c r="K1517" s="107"/>
    </row>
    <row r="1518" ht="15" spans="1:11">
      <c r="A1518" s="101" t="s">
        <v>89</v>
      </c>
      <c r="B1518" s="101" t="s">
        <v>10989</v>
      </c>
      <c r="C1518" s="119" t="s">
        <v>8514</v>
      </c>
      <c r="D1518" s="101" t="s">
        <v>4</v>
      </c>
      <c r="E1518" s="101" t="s">
        <v>10987</v>
      </c>
      <c r="F1518" s="101"/>
      <c r="G1518" s="98" t="s">
        <v>909</v>
      </c>
      <c r="H1518" s="100" t="s">
        <v>8215</v>
      </c>
      <c r="I1518" s="100" t="s">
        <v>10221</v>
      </c>
      <c r="J1518" s="100"/>
      <c r="K1518" s="107"/>
    </row>
    <row r="1519" ht="15" spans="1:11">
      <c r="A1519" s="101" t="s">
        <v>89</v>
      </c>
      <c r="B1519" s="101" t="s">
        <v>10990</v>
      </c>
      <c r="C1519" s="119" t="s">
        <v>8514</v>
      </c>
      <c r="D1519" s="101" t="s">
        <v>4</v>
      </c>
      <c r="E1519" s="101" t="s">
        <v>10991</v>
      </c>
      <c r="F1519" s="101"/>
      <c r="G1519" s="98" t="s">
        <v>909</v>
      </c>
      <c r="H1519" s="100" t="s">
        <v>8215</v>
      </c>
      <c r="I1519" s="100" t="s">
        <v>10221</v>
      </c>
      <c r="J1519" s="100"/>
      <c r="K1519" s="107"/>
    </row>
    <row r="1520" ht="15" spans="1:11">
      <c r="A1520" s="101" t="s">
        <v>89</v>
      </c>
      <c r="B1520" s="101" t="s">
        <v>10992</v>
      </c>
      <c r="C1520" s="119" t="s">
        <v>8514</v>
      </c>
      <c r="D1520" s="101" t="s">
        <v>4</v>
      </c>
      <c r="E1520" s="101" t="s">
        <v>10993</v>
      </c>
      <c r="F1520" s="101"/>
      <c r="G1520" s="98" t="s">
        <v>909</v>
      </c>
      <c r="H1520" s="100" t="s">
        <v>8215</v>
      </c>
      <c r="I1520" s="100" t="s">
        <v>8215</v>
      </c>
      <c r="J1520" s="100"/>
      <c r="K1520" s="107"/>
    </row>
    <row r="1521" ht="15" spans="1:11">
      <c r="A1521" s="101" t="s">
        <v>89</v>
      </c>
      <c r="B1521" s="101" t="s">
        <v>10994</v>
      </c>
      <c r="C1521" s="119" t="s">
        <v>8514</v>
      </c>
      <c r="D1521" s="101" t="s">
        <v>4</v>
      </c>
      <c r="E1521" s="101" t="s">
        <v>10995</v>
      </c>
      <c r="F1521" s="101"/>
      <c r="G1521" s="98" t="s">
        <v>909</v>
      </c>
      <c r="H1521" s="100" t="s">
        <v>8215</v>
      </c>
      <c r="I1521" s="100" t="s">
        <v>8215</v>
      </c>
      <c r="J1521" s="100"/>
      <c r="K1521" s="107"/>
    </row>
    <row r="1522" ht="15" spans="1:11">
      <c r="A1522" s="101" t="s">
        <v>89</v>
      </c>
      <c r="B1522" s="101" t="s">
        <v>10996</v>
      </c>
      <c r="C1522" s="119" t="s">
        <v>8514</v>
      </c>
      <c r="D1522" s="101" t="s">
        <v>4</v>
      </c>
      <c r="E1522" s="101" t="s">
        <v>10995</v>
      </c>
      <c r="F1522" s="101"/>
      <c r="G1522" s="98" t="s">
        <v>909</v>
      </c>
      <c r="H1522" s="100" t="s">
        <v>8215</v>
      </c>
      <c r="I1522" s="100" t="s">
        <v>10221</v>
      </c>
      <c r="J1522" s="100"/>
      <c r="K1522" s="107"/>
    </row>
    <row r="1523" ht="15" spans="1:11">
      <c r="A1523" s="101" t="s">
        <v>89</v>
      </c>
      <c r="B1523" s="101" t="s">
        <v>10997</v>
      </c>
      <c r="C1523" s="119" t="s">
        <v>8514</v>
      </c>
      <c r="D1523" s="101" t="s">
        <v>4</v>
      </c>
      <c r="E1523" s="101" t="s">
        <v>10998</v>
      </c>
      <c r="F1523" s="101"/>
      <c r="G1523" s="98" t="s">
        <v>909</v>
      </c>
      <c r="H1523" s="100" t="s">
        <v>8320</v>
      </c>
      <c r="I1523" s="100" t="s">
        <v>8252</v>
      </c>
      <c r="J1523" s="100"/>
      <c r="K1523" s="107"/>
    </row>
    <row r="1524" ht="15" spans="1:11">
      <c r="A1524" s="101" t="s">
        <v>89</v>
      </c>
      <c r="B1524" s="101" t="s">
        <v>10999</v>
      </c>
      <c r="C1524" s="119" t="s">
        <v>8514</v>
      </c>
      <c r="D1524" s="101" t="s">
        <v>4</v>
      </c>
      <c r="E1524" s="101" t="s">
        <v>10998</v>
      </c>
      <c r="F1524" s="101"/>
      <c r="G1524" s="98" t="s">
        <v>909</v>
      </c>
      <c r="H1524" s="100" t="s">
        <v>8252</v>
      </c>
      <c r="I1524" s="100" t="s">
        <v>10934</v>
      </c>
      <c r="J1524" s="100"/>
      <c r="K1524" s="107"/>
    </row>
    <row r="1525" ht="15" spans="1:11">
      <c r="A1525" s="101" t="s">
        <v>89</v>
      </c>
      <c r="B1525" s="101" t="s">
        <v>11000</v>
      </c>
      <c r="C1525" s="119" t="s">
        <v>8514</v>
      </c>
      <c r="D1525" s="101" t="s">
        <v>4</v>
      </c>
      <c r="E1525" s="101" t="s">
        <v>11001</v>
      </c>
      <c r="F1525" s="101"/>
      <c r="G1525" s="98" t="s">
        <v>909</v>
      </c>
      <c r="H1525" s="100" t="s">
        <v>8215</v>
      </c>
      <c r="I1525" s="100" t="s">
        <v>10221</v>
      </c>
      <c r="J1525" s="100"/>
      <c r="K1525" s="107"/>
    </row>
    <row r="1526" ht="15" spans="1:11">
      <c r="A1526" s="101" t="s">
        <v>89</v>
      </c>
      <c r="B1526" s="101" t="s">
        <v>11002</v>
      </c>
      <c r="C1526" s="119" t="s">
        <v>8514</v>
      </c>
      <c r="D1526" s="101" t="s">
        <v>4</v>
      </c>
      <c r="E1526" s="101" t="s">
        <v>11001</v>
      </c>
      <c r="F1526" s="101"/>
      <c r="G1526" s="98" t="s">
        <v>909</v>
      </c>
      <c r="H1526" s="100" t="s">
        <v>8215</v>
      </c>
      <c r="I1526" s="100" t="s">
        <v>10221</v>
      </c>
      <c r="J1526" s="100"/>
      <c r="K1526" s="107"/>
    </row>
    <row r="1527" ht="15" spans="1:11">
      <c r="A1527" s="101" t="s">
        <v>89</v>
      </c>
      <c r="B1527" s="101" t="s">
        <v>11003</v>
      </c>
      <c r="C1527" s="119" t="s">
        <v>8514</v>
      </c>
      <c r="D1527" s="101" t="s">
        <v>4</v>
      </c>
      <c r="E1527" s="101" t="s">
        <v>11001</v>
      </c>
      <c r="F1527" s="101"/>
      <c r="G1527" s="98" t="s">
        <v>909</v>
      </c>
      <c r="H1527" s="100" t="s">
        <v>8215</v>
      </c>
      <c r="I1527" s="100" t="s">
        <v>10221</v>
      </c>
      <c r="J1527" s="100"/>
      <c r="K1527" s="107"/>
    </row>
    <row r="1528" ht="15" spans="1:11">
      <c r="A1528" s="101" t="s">
        <v>89</v>
      </c>
      <c r="B1528" s="101" t="s">
        <v>11004</v>
      </c>
      <c r="C1528" s="119" t="s">
        <v>8514</v>
      </c>
      <c r="D1528" s="101" t="s">
        <v>4</v>
      </c>
      <c r="E1528" s="101" t="s">
        <v>11005</v>
      </c>
      <c r="F1528" s="101"/>
      <c r="G1528" s="98" t="s">
        <v>909</v>
      </c>
      <c r="H1528" s="100" t="s">
        <v>8215</v>
      </c>
      <c r="I1528" s="100" t="s">
        <v>8215</v>
      </c>
      <c r="J1528" s="100"/>
      <c r="K1528" s="107"/>
    </row>
    <row r="1529" ht="15" spans="1:11">
      <c r="A1529" s="101" t="s">
        <v>89</v>
      </c>
      <c r="B1529" s="101" t="s">
        <v>11006</v>
      </c>
      <c r="C1529" s="119" t="s">
        <v>8514</v>
      </c>
      <c r="D1529" s="101" t="s">
        <v>4</v>
      </c>
      <c r="E1529" s="101" t="s">
        <v>11007</v>
      </c>
      <c r="F1529" s="101"/>
      <c r="G1529" s="98" t="s">
        <v>909</v>
      </c>
      <c r="H1529" s="100" t="s">
        <v>8215</v>
      </c>
      <c r="I1529" s="100" t="s">
        <v>10221</v>
      </c>
      <c r="J1529" s="100"/>
      <c r="K1529" s="107"/>
    </row>
    <row r="1530" ht="15" spans="1:11">
      <c r="A1530" s="101" t="s">
        <v>89</v>
      </c>
      <c r="B1530" s="101" t="s">
        <v>11008</v>
      </c>
      <c r="C1530" s="119" t="s">
        <v>8514</v>
      </c>
      <c r="D1530" s="101" t="s">
        <v>4</v>
      </c>
      <c r="E1530" s="101" t="s">
        <v>11009</v>
      </c>
      <c r="F1530" s="101"/>
      <c r="G1530" s="98" t="s">
        <v>909</v>
      </c>
      <c r="H1530" s="100"/>
      <c r="I1530" s="100"/>
      <c r="J1530" s="100"/>
      <c r="K1530" s="107"/>
    </row>
    <row r="1531" ht="15" spans="1:11">
      <c r="A1531" s="101" t="s">
        <v>89</v>
      </c>
      <c r="B1531" s="101" t="s">
        <v>11010</v>
      </c>
      <c r="C1531" s="119" t="s">
        <v>8514</v>
      </c>
      <c r="D1531" s="101" t="s">
        <v>5</v>
      </c>
      <c r="E1531" s="101" t="s">
        <v>11011</v>
      </c>
      <c r="F1531" s="101"/>
      <c r="G1531" s="98" t="s">
        <v>909</v>
      </c>
      <c r="H1531" s="100" t="s">
        <v>8215</v>
      </c>
      <c r="I1531" s="100" t="s">
        <v>1258</v>
      </c>
      <c r="J1531" s="100"/>
      <c r="K1531" s="107"/>
    </row>
    <row r="1532" ht="15" spans="1:11">
      <c r="A1532" s="101" t="s">
        <v>89</v>
      </c>
      <c r="B1532" s="101" t="s">
        <v>11012</v>
      </c>
      <c r="C1532" s="119" t="s">
        <v>8514</v>
      </c>
      <c r="D1532" s="101" t="s">
        <v>4</v>
      </c>
      <c r="E1532" s="101" t="s">
        <v>11013</v>
      </c>
      <c r="F1532" s="101"/>
      <c r="G1532" s="98" t="s">
        <v>909</v>
      </c>
      <c r="H1532" s="100" t="s">
        <v>8215</v>
      </c>
      <c r="I1532" s="100" t="s">
        <v>8215</v>
      </c>
      <c r="J1532" s="100"/>
      <c r="K1532" s="107"/>
    </row>
    <row r="1533" ht="15" spans="1:11">
      <c r="A1533" s="101" t="s">
        <v>89</v>
      </c>
      <c r="B1533" s="101" t="s">
        <v>11014</v>
      </c>
      <c r="C1533" s="119" t="s">
        <v>8514</v>
      </c>
      <c r="D1533" s="101" t="s">
        <v>4</v>
      </c>
      <c r="E1533" s="101" t="s">
        <v>11015</v>
      </c>
      <c r="F1533" s="101"/>
      <c r="G1533" s="98" t="s">
        <v>909</v>
      </c>
      <c r="H1533" s="100" t="s">
        <v>8215</v>
      </c>
      <c r="I1533" s="100" t="s">
        <v>8215</v>
      </c>
      <c r="J1533" s="100"/>
      <c r="K1533" s="107"/>
    </row>
    <row r="1534" ht="15" spans="1:11">
      <c r="A1534" s="101" t="s">
        <v>89</v>
      </c>
      <c r="B1534" s="101" t="s">
        <v>11016</v>
      </c>
      <c r="C1534" s="119" t="s">
        <v>8514</v>
      </c>
      <c r="D1534" s="101" t="s">
        <v>4</v>
      </c>
      <c r="E1534" s="101" t="s">
        <v>11017</v>
      </c>
      <c r="F1534" s="101"/>
      <c r="G1534" s="98" t="s">
        <v>909</v>
      </c>
      <c r="H1534" s="100" t="s">
        <v>8215</v>
      </c>
      <c r="I1534" s="100" t="s">
        <v>10221</v>
      </c>
      <c r="J1534" s="100"/>
      <c r="K1534" s="107"/>
    </row>
    <row r="1535" ht="15" spans="1:11">
      <c r="A1535" s="101" t="s">
        <v>89</v>
      </c>
      <c r="B1535" s="101" t="s">
        <v>11018</v>
      </c>
      <c r="C1535" s="119" t="s">
        <v>8514</v>
      </c>
      <c r="D1535" s="101" t="s">
        <v>4</v>
      </c>
      <c r="E1535" s="101" t="s">
        <v>11019</v>
      </c>
      <c r="F1535" s="101"/>
      <c r="G1535" s="98" t="s">
        <v>909</v>
      </c>
      <c r="H1535" s="100" t="s">
        <v>8215</v>
      </c>
      <c r="I1535" s="100" t="s">
        <v>10221</v>
      </c>
      <c r="J1535" s="100"/>
      <c r="K1535" s="107"/>
    </row>
    <row r="1536" ht="15" spans="1:11">
      <c r="A1536" s="101" t="s">
        <v>89</v>
      </c>
      <c r="B1536" s="101" t="s">
        <v>11020</v>
      </c>
      <c r="C1536" s="119" t="s">
        <v>8514</v>
      </c>
      <c r="D1536" s="101" t="s">
        <v>4</v>
      </c>
      <c r="E1536" s="101" t="s">
        <v>11021</v>
      </c>
      <c r="F1536" s="101"/>
      <c r="G1536" s="98" t="s">
        <v>909</v>
      </c>
      <c r="H1536" s="100" t="s">
        <v>8215</v>
      </c>
      <c r="I1536" s="100" t="s">
        <v>8215</v>
      </c>
      <c r="J1536" s="100"/>
      <c r="K1536" s="107"/>
    </row>
    <row r="1537" ht="15" spans="1:11">
      <c r="A1537" s="101" t="s">
        <v>89</v>
      </c>
      <c r="B1537" s="101" t="s">
        <v>11022</v>
      </c>
      <c r="C1537" s="119" t="s">
        <v>8514</v>
      </c>
      <c r="D1537" s="101" t="s">
        <v>4</v>
      </c>
      <c r="E1537" s="101" t="s">
        <v>11023</v>
      </c>
      <c r="F1537" s="101"/>
      <c r="G1537" s="98" t="s">
        <v>909</v>
      </c>
      <c r="H1537" s="100" t="s">
        <v>8215</v>
      </c>
      <c r="I1537" s="100" t="s">
        <v>8215</v>
      </c>
      <c r="J1537" s="100"/>
      <c r="K1537" s="107"/>
    </row>
    <row r="1538" ht="15" spans="1:11">
      <c r="A1538" s="101" t="s">
        <v>89</v>
      </c>
      <c r="B1538" s="101" t="s">
        <v>11024</v>
      </c>
      <c r="C1538" s="119" t="s">
        <v>8514</v>
      </c>
      <c r="D1538" s="101" t="s">
        <v>4</v>
      </c>
      <c r="E1538" s="101" t="s">
        <v>11025</v>
      </c>
      <c r="F1538" s="101"/>
      <c r="G1538" s="98" t="s">
        <v>909</v>
      </c>
      <c r="H1538" s="100" t="s">
        <v>8215</v>
      </c>
      <c r="I1538" s="100" t="s">
        <v>10221</v>
      </c>
      <c r="J1538" s="100"/>
      <c r="K1538" s="107"/>
    </row>
    <row r="1539" ht="15" spans="1:11">
      <c r="A1539" s="101" t="s">
        <v>89</v>
      </c>
      <c r="B1539" s="101" t="s">
        <v>11026</v>
      </c>
      <c r="C1539" s="119" t="s">
        <v>8514</v>
      </c>
      <c r="D1539" s="101" t="s">
        <v>4</v>
      </c>
      <c r="E1539" s="101" t="s">
        <v>11027</v>
      </c>
      <c r="F1539" s="101"/>
      <c r="G1539" s="98" t="s">
        <v>909</v>
      </c>
      <c r="H1539" s="100" t="s">
        <v>8215</v>
      </c>
      <c r="I1539" s="100" t="s">
        <v>8215</v>
      </c>
      <c r="J1539" s="100"/>
      <c r="K1539" s="107"/>
    </row>
    <row r="1540" ht="15" spans="1:11">
      <c r="A1540" s="101" t="s">
        <v>89</v>
      </c>
      <c r="B1540" s="101" t="s">
        <v>11028</v>
      </c>
      <c r="C1540" s="119" t="s">
        <v>8514</v>
      </c>
      <c r="D1540" s="101" t="s">
        <v>4</v>
      </c>
      <c r="E1540" s="101" t="s">
        <v>11029</v>
      </c>
      <c r="F1540" s="101"/>
      <c r="G1540" s="98" t="s">
        <v>909</v>
      </c>
      <c r="H1540" s="100" t="s">
        <v>8215</v>
      </c>
      <c r="I1540" s="100" t="s">
        <v>8215</v>
      </c>
      <c r="J1540" s="100"/>
      <c r="K1540" s="107"/>
    </row>
    <row r="1541" ht="15" spans="1:11">
      <c r="A1541" s="101" t="s">
        <v>89</v>
      </c>
      <c r="B1541" s="101" t="s">
        <v>11030</v>
      </c>
      <c r="C1541" s="119" t="s">
        <v>8514</v>
      </c>
      <c r="D1541" s="101" t="s">
        <v>5</v>
      </c>
      <c r="E1541" s="101" t="s">
        <v>11031</v>
      </c>
      <c r="F1541" s="101"/>
      <c r="G1541" s="98" t="s">
        <v>909</v>
      </c>
      <c r="H1541" s="100" t="s">
        <v>8215</v>
      </c>
      <c r="I1541" s="100" t="s">
        <v>1258</v>
      </c>
      <c r="J1541" s="100"/>
      <c r="K1541" s="107"/>
    </row>
    <row r="1542" ht="15" spans="1:11">
      <c r="A1542" s="101" t="s">
        <v>89</v>
      </c>
      <c r="B1542" s="101" t="s">
        <v>11032</v>
      </c>
      <c r="C1542" s="119" t="s">
        <v>8514</v>
      </c>
      <c r="D1542" s="101" t="s">
        <v>4</v>
      </c>
      <c r="E1542" s="101" t="s">
        <v>11033</v>
      </c>
      <c r="F1542" s="101"/>
      <c r="G1542" s="98" t="s">
        <v>909</v>
      </c>
      <c r="H1542" s="100" t="s">
        <v>8215</v>
      </c>
      <c r="I1542" s="100" t="s">
        <v>8215</v>
      </c>
      <c r="J1542" s="100"/>
      <c r="K1542" s="107"/>
    </row>
    <row r="1543" ht="15" spans="1:11">
      <c r="A1543" s="101" t="s">
        <v>89</v>
      </c>
      <c r="B1543" s="101" t="s">
        <v>11034</v>
      </c>
      <c r="C1543" s="119" t="s">
        <v>8514</v>
      </c>
      <c r="D1543" s="101" t="s">
        <v>4</v>
      </c>
      <c r="E1543" s="101" t="s">
        <v>11035</v>
      </c>
      <c r="F1543" s="101"/>
      <c r="G1543" s="98" t="s">
        <v>909</v>
      </c>
      <c r="H1543" s="100" t="s">
        <v>8215</v>
      </c>
      <c r="I1543" s="100" t="s">
        <v>8215</v>
      </c>
      <c r="J1543" s="100"/>
      <c r="K1543" s="107"/>
    </row>
    <row r="1544" ht="15" spans="1:11">
      <c r="A1544" s="101" t="s">
        <v>89</v>
      </c>
      <c r="B1544" s="101" t="s">
        <v>11036</v>
      </c>
      <c r="C1544" s="119" t="s">
        <v>8514</v>
      </c>
      <c r="D1544" s="101" t="s">
        <v>4</v>
      </c>
      <c r="E1544" s="101" t="s">
        <v>11037</v>
      </c>
      <c r="F1544" s="101"/>
      <c r="G1544" s="98" t="s">
        <v>909</v>
      </c>
      <c r="H1544" s="100" t="s">
        <v>8215</v>
      </c>
      <c r="I1544" s="100" t="s">
        <v>8215</v>
      </c>
      <c r="J1544" s="100"/>
      <c r="K1544" s="107"/>
    </row>
    <row r="1545" ht="15" spans="1:11">
      <c r="A1545" s="101" t="s">
        <v>89</v>
      </c>
      <c r="B1545" s="101" t="s">
        <v>11038</v>
      </c>
      <c r="C1545" s="119" t="s">
        <v>8514</v>
      </c>
      <c r="D1545" s="101" t="s">
        <v>4</v>
      </c>
      <c r="E1545" s="101" t="s">
        <v>11037</v>
      </c>
      <c r="F1545" s="101"/>
      <c r="G1545" s="98" t="s">
        <v>909</v>
      </c>
      <c r="H1545" s="100" t="s">
        <v>8215</v>
      </c>
      <c r="I1545" s="100" t="s">
        <v>1258</v>
      </c>
      <c r="J1545" s="100"/>
      <c r="K1545" s="107"/>
    </row>
    <row r="1546" ht="15" spans="1:11">
      <c r="A1546" s="101" t="s">
        <v>89</v>
      </c>
      <c r="B1546" s="101" t="s">
        <v>11039</v>
      </c>
      <c r="C1546" s="119" t="s">
        <v>8514</v>
      </c>
      <c r="D1546" s="101" t="s">
        <v>4</v>
      </c>
      <c r="E1546" s="101" t="s">
        <v>11040</v>
      </c>
      <c r="F1546" s="101"/>
      <c r="G1546" s="98" t="s">
        <v>909</v>
      </c>
      <c r="H1546" s="100" t="s">
        <v>8215</v>
      </c>
      <c r="I1546" s="100" t="s">
        <v>8215</v>
      </c>
      <c r="J1546" s="100"/>
      <c r="K1546" s="107"/>
    </row>
    <row r="1547" ht="15" spans="1:11">
      <c r="A1547" s="101" t="s">
        <v>89</v>
      </c>
      <c r="B1547" s="101" t="s">
        <v>11041</v>
      </c>
      <c r="C1547" s="119" t="s">
        <v>8514</v>
      </c>
      <c r="D1547" s="101" t="s">
        <v>5</v>
      </c>
      <c r="E1547" s="101" t="s">
        <v>11042</v>
      </c>
      <c r="F1547" s="101"/>
      <c r="G1547" s="98" t="s">
        <v>909</v>
      </c>
      <c r="H1547" s="100" t="s">
        <v>8320</v>
      </c>
      <c r="I1547" s="100" t="s">
        <v>1258</v>
      </c>
      <c r="J1547" s="100"/>
      <c r="K1547" s="107"/>
    </row>
    <row r="1548" ht="15" spans="1:11">
      <c r="A1548" s="101" t="s">
        <v>89</v>
      </c>
      <c r="B1548" s="101" t="s">
        <v>11043</v>
      </c>
      <c r="C1548" s="119" t="s">
        <v>8514</v>
      </c>
      <c r="D1548" s="101" t="s">
        <v>4</v>
      </c>
      <c r="E1548" s="101" t="s">
        <v>11044</v>
      </c>
      <c r="F1548" s="101"/>
      <c r="G1548" s="98" t="s">
        <v>909</v>
      </c>
      <c r="H1548" s="100" t="s">
        <v>8215</v>
      </c>
      <c r="I1548" s="100" t="s">
        <v>8215</v>
      </c>
      <c r="J1548" s="100"/>
      <c r="K1548" s="107"/>
    </row>
    <row r="1549" ht="15" spans="1:11">
      <c r="A1549" s="101" t="s">
        <v>89</v>
      </c>
      <c r="B1549" s="101" t="s">
        <v>11045</v>
      </c>
      <c r="C1549" s="119" t="s">
        <v>8514</v>
      </c>
      <c r="D1549" s="101" t="s">
        <v>4</v>
      </c>
      <c r="E1549" s="101" t="s">
        <v>11046</v>
      </c>
      <c r="F1549" s="101"/>
      <c r="G1549" s="98" t="s">
        <v>909</v>
      </c>
      <c r="H1549" s="100" t="s">
        <v>8215</v>
      </c>
      <c r="I1549" s="100" t="s">
        <v>8215</v>
      </c>
      <c r="J1549" s="100"/>
      <c r="K1549" s="107"/>
    </row>
    <row r="1550" ht="15" spans="1:11">
      <c r="A1550" s="101" t="s">
        <v>89</v>
      </c>
      <c r="B1550" s="101" t="s">
        <v>11047</v>
      </c>
      <c r="C1550" s="119" t="s">
        <v>8514</v>
      </c>
      <c r="D1550" s="101" t="s">
        <v>4</v>
      </c>
      <c r="E1550" s="101" t="s">
        <v>11048</v>
      </c>
      <c r="F1550" s="101"/>
      <c r="G1550" s="98" t="s">
        <v>909</v>
      </c>
      <c r="H1550" s="100" t="s">
        <v>8215</v>
      </c>
      <c r="I1550" s="100" t="s">
        <v>8215</v>
      </c>
      <c r="J1550" s="100"/>
      <c r="K1550" s="107"/>
    </row>
    <row r="1551" ht="15" spans="1:11">
      <c r="A1551" s="101" t="s">
        <v>89</v>
      </c>
      <c r="B1551" s="101" t="s">
        <v>11049</v>
      </c>
      <c r="C1551" s="119" t="s">
        <v>8514</v>
      </c>
      <c r="D1551" s="101" t="s">
        <v>4</v>
      </c>
      <c r="E1551" s="101" t="s">
        <v>11050</v>
      </c>
      <c r="F1551" s="101"/>
      <c r="G1551" s="98" t="s">
        <v>909</v>
      </c>
      <c r="H1551" s="100" t="s">
        <v>8215</v>
      </c>
      <c r="I1551" s="100" t="s">
        <v>8215</v>
      </c>
      <c r="J1551" s="100"/>
      <c r="K1551" s="107"/>
    </row>
    <row r="1552" ht="15" spans="1:11">
      <c r="A1552" s="101" t="s">
        <v>89</v>
      </c>
      <c r="B1552" s="101" t="s">
        <v>11051</v>
      </c>
      <c r="C1552" s="119" t="s">
        <v>8514</v>
      </c>
      <c r="D1552" s="101" t="s">
        <v>4</v>
      </c>
      <c r="E1552" s="101" t="s">
        <v>11052</v>
      </c>
      <c r="F1552" s="101"/>
      <c r="G1552" s="98" t="s">
        <v>909</v>
      </c>
      <c r="H1552" s="100" t="s">
        <v>8215</v>
      </c>
      <c r="I1552" s="100" t="s">
        <v>8215</v>
      </c>
      <c r="J1552" s="100"/>
      <c r="K1552" s="107"/>
    </row>
    <row r="1553" ht="15" spans="1:11">
      <c r="A1553" s="101" t="s">
        <v>89</v>
      </c>
      <c r="B1553" s="101" t="s">
        <v>11053</v>
      </c>
      <c r="C1553" s="119" t="s">
        <v>8514</v>
      </c>
      <c r="D1553" s="101" t="s">
        <v>4</v>
      </c>
      <c r="E1553" s="101" t="s">
        <v>11054</v>
      </c>
      <c r="F1553" s="101"/>
      <c r="G1553" s="98" t="s">
        <v>909</v>
      </c>
      <c r="H1553" s="100" t="s">
        <v>8215</v>
      </c>
      <c r="I1553" s="100" t="s">
        <v>8215</v>
      </c>
      <c r="J1553" s="100"/>
      <c r="K1553" s="107"/>
    </row>
    <row r="1554" ht="15" spans="1:11">
      <c r="A1554" s="101" t="s">
        <v>89</v>
      </c>
      <c r="B1554" s="101" t="s">
        <v>11055</v>
      </c>
      <c r="C1554" s="119" t="s">
        <v>8514</v>
      </c>
      <c r="D1554" s="101" t="s">
        <v>4</v>
      </c>
      <c r="E1554" s="101" t="s">
        <v>11054</v>
      </c>
      <c r="F1554" s="101"/>
      <c r="G1554" s="98" t="s">
        <v>909</v>
      </c>
      <c r="H1554" s="100" t="s">
        <v>8215</v>
      </c>
      <c r="I1554" s="100" t="s">
        <v>10221</v>
      </c>
      <c r="J1554" s="100"/>
      <c r="K1554" s="107"/>
    </row>
    <row r="1555" ht="15" spans="1:11">
      <c r="A1555" s="101" t="s">
        <v>89</v>
      </c>
      <c r="B1555" s="101" t="s">
        <v>11056</v>
      </c>
      <c r="C1555" s="119" t="s">
        <v>8514</v>
      </c>
      <c r="D1555" s="101" t="s">
        <v>4</v>
      </c>
      <c r="E1555" s="101" t="s">
        <v>10174</v>
      </c>
      <c r="F1555" s="101"/>
      <c r="G1555" s="98" t="s">
        <v>909</v>
      </c>
      <c r="H1555" s="100" t="s">
        <v>8215</v>
      </c>
      <c r="I1555" s="100" t="s">
        <v>10221</v>
      </c>
      <c r="J1555" s="100"/>
      <c r="K1555" s="107"/>
    </row>
    <row r="1556" ht="15" spans="1:11">
      <c r="A1556" s="101" t="s">
        <v>89</v>
      </c>
      <c r="B1556" s="101" t="s">
        <v>11057</v>
      </c>
      <c r="C1556" s="119" t="s">
        <v>8514</v>
      </c>
      <c r="D1556" s="101" t="s">
        <v>4</v>
      </c>
      <c r="E1556" s="101" t="s">
        <v>10174</v>
      </c>
      <c r="F1556" s="101"/>
      <c r="G1556" s="98" t="s">
        <v>909</v>
      </c>
      <c r="H1556" s="100" t="s">
        <v>8215</v>
      </c>
      <c r="I1556" s="100" t="s">
        <v>1258</v>
      </c>
      <c r="J1556" s="100"/>
      <c r="K1556" s="107"/>
    </row>
    <row r="1557" ht="15" spans="1:11">
      <c r="A1557" s="101" t="s">
        <v>89</v>
      </c>
      <c r="B1557" s="101" t="s">
        <v>11058</v>
      </c>
      <c r="C1557" s="119" t="s">
        <v>8514</v>
      </c>
      <c r="D1557" s="101" t="s">
        <v>4</v>
      </c>
      <c r="E1557" s="101" t="s">
        <v>11059</v>
      </c>
      <c r="F1557" s="101"/>
      <c r="G1557" s="98" t="s">
        <v>909</v>
      </c>
      <c r="H1557" s="100" t="s">
        <v>8215</v>
      </c>
      <c r="I1557" s="100" t="s">
        <v>8215</v>
      </c>
      <c r="J1557" s="100"/>
      <c r="K1557" s="107"/>
    </row>
    <row r="1558" ht="15" spans="1:11">
      <c r="A1558" s="101" t="s">
        <v>89</v>
      </c>
      <c r="B1558" s="101" t="s">
        <v>11060</v>
      </c>
      <c r="C1558" s="119" t="s">
        <v>8514</v>
      </c>
      <c r="D1558" s="101" t="s">
        <v>4</v>
      </c>
      <c r="E1558" s="101" t="s">
        <v>11061</v>
      </c>
      <c r="F1558" s="101"/>
      <c r="G1558" s="98" t="s">
        <v>909</v>
      </c>
      <c r="H1558" s="100" t="s">
        <v>8215</v>
      </c>
      <c r="I1558" s="100" t="s">
        <v>10221</v>
      </c>
      <c r="J1558" s="100"/>
      <c r="K1558" s="107"/>
    </row>
    <row r="1559" ht="15" spans="1:11">
      <c r="A1559" s="101" t="s">
        <v>89</v>
      </c>
      <c r="B1559" s="101" t="s">
        <v>11062</v>
      </c>
      <c r="C1559" s="119" t="s">
        <v>8514</v>
      </c>
      <c r="D1559" s="101" t="s">
        <v>4</v>
      </c>
      <c r="E1559" s="101" t="s">
        <v>11061</v>
      </c>
      <c r="F1559" s="101"/>
      <c r="G1559" s="98" t="s">
        <v>909</v>
      </c>
      <c r="H1559" s="100" t="s">
        <v>8215</v>
      </c>
      <c r="I1559" s="100" t="s">
        <v>1258</v>
      </c>
      <c r="J1559" s="100"/>
      <c r="K1559" s="107"/>
    </row>
    <row r="1560" ht="15" spans="1:11">
      <c r="A1560" s="101" t="s">
        <v>89</v>
      </c>
      <c r="B1560" s="101" t="s">
        <v>11063</v>
      </c>
      <c r="C1560" s="119" t="s">
        <v>8514</v>
      </c>
      <c r="D1560" s="101" t="s">
        <v>4</v>
      </c>
      <c r="E1560" s="101" t="s">
        <v>11064</v>
      </c>
      <c r="F1560" s="101"/>
      <c r="G1560" s="98" t="s">
        <v>909</v>
      </c>
      <c r="H1560" s="100" t="s">
        <v>8215</v>
      </c>
      <c r="I1560" s="100" t="s">
        <v>10221</v>
      </c>
      <c r="J1560" s="100"/>
      <c r="K1560" s="107"/>
    </row>
    <row r="1561" ht="15" spans="1:11">
      <c r="A1561" s="101" t="s">
        <v>89</v>
      </c>
      <c r="B1561" s="101" t="s">
        <v>11065</v>
      </c>
      <c r="C1561" s="119" t="s">
        <v>8514</v>
      </c>
      <c r="D1561" s="101" t="s">
        <v>4</v>
      </c>
      <c r="E1561" s="101" t="s">
        <v>11066</v>
      </c>
      <c r="F1561" s="101"/>
      <c r="G1561" s="98" t="s">
        <v>909</v>
      </c>
      <c r="H1561" s="100" t="s">
        <v>8215</v>
      </c>
      <c r="I1561" s="100" t="s">
        <v>8215</v>
      </c>
      <c r="J1561" s="100"/>
      <c r="K1561" s="107"/>
    </row>
    <row r="1562" ht="15" spans="1:11">
      <c r="A1562" s="101" t="s">
        <v>89</v>
      </c>
      <c r="B1562" s="101" t="s">
        <v>11067</v>
      </c>
      <c r="C1562" s="119" t="s">
        <v>8514</v>
      </c>
      <c r="D1562" s="101" t="s">
        <v>4</v>
      </c>
      <c r="E1562" s="101" t="s">
        <v>11068</v>
      </c>
      <c r="F1562" s="101"/>
      <c r="G1562" s="98" t="s">
        <v>909</v>
      </c>
      <c r="H1562" s="100" t="s">
        <v>8215</v>
      </c>
      <c r="I1562" s="100" t="s">
        <v>8215</v>
      </c>
      <c r="J1562" s="100"/>
      <c r="K1562" s="107"/>
    </row>
    <row r="1563" ht="15" spans="1:11">
      <c r="A1563" s="101" t="s">
        <v>89</v>
      </c>
      <c r="B1563" s="101" t="s">
        <v>11069</v>
      </c>
      <c r="C1563" s="119" t="s">
        <v>8514</v>
      </c>
      <c r="D1563" s="101" t="s">
        <v>4</v>
      </c>
      <c r="E1563" s="101" t="s">
        <v>11070</v>
      </c>
      <c r="F1563" s="101"/>
      <c r="G1563" s="98" t="s">
        <v>909</v>
      </c>
      <c r="H1563" s="100" t="s">
        <v>8215</v>
      </c>
      <c r="I1563" s="100" t="s">
        <v>10221</v>
      </c>
      <c r="J1563" s="100"/>
      <c r="K1563" s="107"/>
    </row>
    <row r="1564" ht="15" spans="1:11">
      <c r="A1564" s="101" t="s">
        <v>89</v>
      </c>
      <c r="B1564" s="101" t="s">
        <v>11071</v>
      </c>
      <c r="C1564" s="119" t="s">
        <v>8514</v>
      </c>
      <c r="D1564" s="101" t="s">
        <v>4</v>
      </c>
      <c r="E1564" s="101" t="s">
        <v>11072</v>
      </c>
      <c r="F1564" s="101"/>
      <c r="G1564" s="98" t="s">
        <v>909</v>
      </c>
      <c r="H1564" s="100" t="s">
        <v>8215</v>
      </c>
      <c r="I1564" s="100" t="s">
        <v>10221</v>
      </c>
      <c r="J1564" s="100"/>
      <c r="K1564" s="107"/>
    </row>
    <row r="1565" ht="15" spans="1:11">
      <c r="A1565" s="101" t="s">
        <v>89</v>
      </c>
      <c r="B1565" s="101" t="s">
        <v>11073</v>
      </c>
      <c r="C1565" s="119" t="s">
        <v>8514</v>
      </c>
      <c r="D1565" s="101" t="s">
        <v>4</v>
      </c>
      <c r="E1565" s="101" t="s">
        <v>11074</v>
      </c>
      <c r="F1565" s="101"/>
      <c r="G1565" s="98" t="s">
        <v>909</v>
      </c>
      <c r="H1565" s="100" t="s">
        <v>8215</v>
      </c>
      <c r="I1565" s="100" t="s">
        <v>10221</v>
      </c>
      <c r="J1565" s="100"/>
      <c r="K1565" s="107"/>
    </row>
    <row r="1566" ht="15" spans="1:11">
      <c r="A1566" s="101" t="s">
        <v>89</v>
      </c>
      <c r="B1566" s="101" t="s">
        <v>11075</v>
      </c>
      <c r="C1566" s="119" t="s">
        <v>8514</v>
      </c>
      <c r="D1566" s="101" t="s">
        <v>4</v>
      </c>
      <c r="E1566" s="101" t="s">
        <v>11074</v>
      </c>
      <c r="F1566" s="101"/>
      <c r="G1566" s="98" t="s">
        <v>909</v>
      </c>
      <c r="H1566" s="100" t="s">
        <v>8215</v>
      </c>
      <c r="I1566" s="100" t="s">
        <v>1258</v>
      </c>
      <c r="J1566" s="100"/>
      <c r="K1566" s="107"/>
    </row>
    <row r="1567" ht="15" spans="1:11">
      <c r="A1567" s="101" t="s">
        <v>89</v>
      </c>
      <c r="B1567" s="101" t="s">
        <v>11076</v>
      </c>
      <c r="C1567" s="119" t="s">
        <v>8514</v>
      </c>
      <c r="D1567" s="101" t="s">
        <v>4</v>
      </c>
      <c r="E1567" s="101" t="s">
        <v>11077</v>
      </c>
      <c r="F1567" s="101"/>
      <c r="G1567" s="98" t="s">
        <v>909</v>
      </c>
      <c r="H1567" s="100" t="s">
        <v>8215</v>
      </c>
      <c r="I1567" s="100" t="s">
        <v>10221</v>
      </c>
      <c r="J1567" s="100"/>
      <c r="K1567" s="107"/>
    </row>
    <row r="1568" ht="15" spans="1:11">
      <c r="A1568" s="101" t="s">
        <v>89</v>
      </c>
      <c r="B1568" s="101" t="s">
        <v>11078</v>
      </c>
      <c r="C1568" s="119" t="s">
        <v>8514</v>
      </c>
      <c r="D1568" s="101" t="s">
        <v>5</v>
      </c>
      <c r="E1568" s="101" t="s">
        <v>11079</v>
      </c>
      <c r="F1568" s="101"/>
      <c r="G1568" s="98" t="s">
        <v>909</v>
      </c>
      <c r="H1568" s="100" t="s">
        <v>8215</v>
      </c>
      <c r="I1568" s="100" t="s">
        <v>1258</v>
      </c>
      <c r="J1568" s="100"/>
      <c r="K1568" s="107"/>
    </row>
    <row r="1569" ht="15" spans="1:11">
      <c r="A1569" s="101" t="s">
        <v>89</v>
      </c>
      <c r="B1569" s="101" t="s">
        <v>11080</v>
      </c>
      <c r="C1569" s="119" t="s">
        <v>8514</v>
      </c>
      <c r="D1569" s="101" t="s">
        <v>4</v>
      </c>
      <c r="E1569" s="101" t="s">
        <v>11081</v>
      </c>
      <c r="F1569" s="101"/>
      <c r="G1569" s="98" t="s">
        <v>909</v>
      </c>
      <c r="H1569" s="100" t="s">
        <v>8215</v>
      </c>
      <c r="I1569" s="100" t="s">
        <v>10221</v>
      </c>
      <c r="J1569" s="100"/>
      <c r="K1569" s="107"/>
    </row>
    <row r="1570" ht="15" spans="1:11">
      <c r="A1570" s="101" t="s">
        <v>89</v>
      </c>
      <c r="B1570" s="101" t="s">
        <v>11082</v>
      </c>
      <c r="C1570" s="119" t="s">
        <v>8514</v>
      </c>
      <c r="D1570" s="101" t="s">
        <v>4</v>
      </c>
      <c r="E1570" s="101" t="s">
        <v>11083</v>
      </c>
      <c r="F1570" s="101"/>
      <c r="G1570" s="98" t="s">
        <v>909</v>
      </c>
      <c r="H1570" s="100" t="s">
        <v>8215</v>
      </c>
      <c r="I1570" s="100" t="s">
        <v>10221</v>
      </c>
      <c r="J1570" s="100"/>
      <c r="K1570" s="107"/>
    </row>
    <row r="1571" ht="15" spans="1:11">
      <c r="A1571" s="101" t="s">
        <v>89</v>
      </c>
      <c r="B1571" s="101" t="s">
        <v>11084</v>
      </c>
      <c r="C1571" s="119" t="s">
        <v>8514</v>
      </c>
      <c r="D1571" s="101" t="s">
        <v>4</v>
      </c>
      <c r="E1571" s="101" t="s">
        <v>11085</v>
      </c>
      <c r="F1571" s="101"/>
      <c r="G1571" s="98" t="s">
        <v>909</v>
      </c>
      <c r="H1571" s="100" t="s">
        <v>8215</v>
      </c>
      <c r="I1571" s="100" t="s">
        <v>10221</v>
      </c>
      <c r="J1571" s="100"/>
      <c r="K1571" s="107"/>
    </row>
    <row r="1572" ht="15" spans="1:11">
      <c r="A1572" s="101" t="s">
        <v>89</v>
      </c>
      <c r="B1572" s="101" t="s">
        <v>11086</v>
      </c>
      <c r="C1572" s="119" t="s">
        <v>8514</v>
      </c>
      <c r="D1572" s="101" t="s">
        <v>4</v>
      </c>
      <c r="E1572" s="101" t="s">
        <v>11087</v>
      </c>
      <c r="F1572" s="101"/>
      <c r="G1572" s="98" t="s">
        <v>909</v>
      </c>
      <c r="H1572" s="100" t="s">
        <v>8215</v>
      </c>
      <c r="I1572" s="100" t="s">
        <v>10221</v>
      </c>
      <c r="J1572" s="100"/>
      <c r="K1572" s="107"/>
    </row>
    <row r="1573" ht="15" spans="1:11">
      <c r="A1573" s="101" t="s">
        <v>89</v>
      </c>
      <c r="B1573" s="101" t="s">
        <v>11088</v>
      </c>
      <c r="C1573" s="119" t="s">
        <v>8514</v>
      </c>
      <c r="D1573" s="101" t="s">
        <v>4</v>
      </c>
      <c r="E1573" s="101" t="s">
        <v>11087</v>
      </c>
      <c r="F1573" s="101"/>
      <c r="G1573" s="98" t="s">
        <v>909</v>
      </c>
      <c r="H1573" s="100" t="s">
        <v>8215</v>
      </c>
      <c r="I1573" s="100" t="s">
        <v>1258</v>
      </c>
      <c r="J1573" s="100"/>
      <c r="K1573" s="107"/>
    </row>
    <row r="1574" ht="15" spans="1:11">
      <c r="A1574" s="101" t="s">
        <v>89</v>
      </c>
      <c r="B1574" s="101" t="s">
        <v>11089</v>
      </c>
      <c r="C1574" s="119" t="s">
        <v>8514</v>
      </c>
      <c r="D1574" s="101" t="s">
        <v>4</v>
      </c>
      <c r="E1574" s="101" t="s">
        <v>11090</v>
      </c>
      <c r="F1574" s="101"/>
      <c r="G1574" s="98" t="s">
        <v>909</v>
      </c>
      <c r="H1574" s="100" t="s">
        <v>8215</v>
      </c>
      <c r="I1574" s="100" t="s">
        <v>8215</v>
      </c>
      <c r="J1574" s="100"/>
      <c r="K1574" s="107"/>
    </row>
    <row r="1575" ht="15" spans="1:11">
      <c r="A1575" s="101" t="s">
        <v>89</v>
      </c>
      <c r="B1575" s="101" t="s">
        <v>11091</v>
      </c>
      <c r="C1575" s="119" t="s">
        <v>8514</v>
      </c>
      <c r="D1575" s="101" t="s">
        <v>4</v>
      </c>
      <c r="E1575" s="101" t="s">
        <v>11092</v>
      </c>
      <c r="F1575" s="101"/>
      <c r="G1575" s="98" t="s">
        <v>909</v>
      </c>
      <c r="H1575" s="100" t="s">
        <v>8215</v>
      </c>
      <c r="I1575" s="100" t="s">
        <v>8215</v>
      </c>
      <c r="J1575" s="100"/>
      <c r="K1575" s="107"/>
    </row>
    <row r="1576" ht="15" spans="1:11">
      <c r="A1576" s="101" t="s">
        <v>89</v>
      </c>
      <c r="B1576" s="101" t="s">
        <v>11093</v>
      </c>
      <c r="C1576" s="119" t="s">
        <v>8514</v>
      </c>
      <c r="D1576" s="101" t="s">
        <v>4</v>
      </c>
      <c r="E1576" s="101" t="s">
        <v>11094</v>
      </c>
      <c r="F1576" s="101"/>
      <c r="G1576" s="98" t="s">
        <v>909</v>
      </c>
      <c r="H1576" s="100" t="s">
        <v>8215</v>
      </c>
      <c r="I1576" s="100" t="s">
        <v>8215</v>
      </c>
      <c r="J1576" s="100"/>
      <c r="K1576" s="107"/>
    </row>
    <row r="1577" ht="15" spans="1:11">
      <c r="A1577" s="101" t="s">
        <v>89</v>
      </c>
      <c r="B1577" s="101" t="s">
        <v>11095</v>
      </c>
      <c r="C1577" s="119" t="s">
        <v>8514</v>
      </c>
      <c r="D1577" s="101" t="s">
        <v>4</v>
      </c>
      <c r="E1577" s="101" t="s">
        <v>11096</v>
      </c>
      <c r="F1577" s="101"/>
      <c r="G1577" s="98" t="s">
        <v>909</v>
      </c>
      <c r="H1577" s="100" t="s">
        <v>8215</v>
      </c>
      <c r="I1577" s="100" t="s">
        <v>8215</v>
      </c>
      <c r="J1577" s="100"/>
      <c r="K1577" s="107"/>
    </row>
    <row r="1578" ht="15" spans="1:11">
      <c r="A1578" s="101" t="s">
        <v>89</v>
      </c>
      <c r="B1578" s="101" t="s">
        <v>11097</v>
      </c>
      <c r="C1578" s="119" t="s">
        <v>8514</v>
      </c>
      <c r="D1578" s="101" t="s">
        <v>4</v>
      </c>
      <c r="E1578" s="101" t="s">
        <v>11098</v>
      </c>
      <c r="F1578" s="101"/>
      <c r="G1578" s="98" t="s">
        <v>909</v>
      </c>
      <c r="H1578" s="100" t="s">
        <v>8252</v>
      </c>
      <c r="I1578" s="100" t="s">
        <v>10934</v>
      </c>
      <c r="J1578" s="100"/>
      <c r="K1578" s="107"/>
    </row>
    <row r="1579" ht="15" spans="1:11">
      <c r="A1579" s="101" t="s">
        <v>89</v>
      </c>
      <c r="B1579" s="101" t="s">
        <v>11099</v>
      </c>
      <c r="C1579" s="119" t="s">
        <v>8514</v>
      </c>
      <c r="D1579" s="101" t="s">
        <v>4</v>
      </c>
      <c r="E1579" s="101" t="s">
        <v>7934</v>
      </c>
      <c r="F1579" s="101"/>
      <c r="G1579" s="98" t="s">
        <v>909</v>
      </c>
      <c r="H1579" s="100" t="s">
        <v>8215</v>
      </c>
      <c r="I1579" s="100" t="s">
        <v>10221</v>
      </c>
      <c r="J1579" s="100"/>
      <c r="K1579" s="107"/>
    </row>
    <row r="1580" ht="15" spans="1:11">
      <c r="A1580" s="101" t="s">
        <v>89</v>
      </c>
      <c r="B1580" s="101" t="s">
        <v>11100</v>
      </c>
      <c r="C1580" s="119" t="s">
        <v>8514</v>
      </c>
      <c r="D1580" s="101" t="s">
        <v>4</v>
      </c>
      <c r="E1580" s="101" t="s">
        <v>1079</v>
      </c>
      <c r="F1580" s="101"/>
      <c r="G1580" s="98" t="s">
        <v>909</v>
      </c>
      <c r="H1580" s="100" t="s">
        <v>8215</v>
      </c>
      <c r="I1580" s="100" t="s">
        <v>10221</v>
      </c>
      <c r="J1580" s="100"/>
      <c r="K1580" s="107"/>
    </row>
    <row r="1581" ht="15" spans="1:11">
      <c r="A1581" s="101" t="s">
        <v>89</v>
      </c>
      <c r="B1581" s="101" t="s">
        <v>11101</v>
      </c>
      <c r="C1581" s="119" t="s">
        <v>8514</v>
      </c>
      <c r="D1581" s="101" t="s">
        <v>4</v>
      </c>
      <c r="E1581" s="101" t="s">
        <v>1079</v>
      </c>
      <c r="F1581" s="101"/>
      <c r="G1581" s="98" t="s">
        <v>909</v>
      </c>
      <c r="H1581" s="100" t="s">
        <v>8215</v>
      </c>
      <c r="I1581" s="100" t="s">
        <v>10221</v>
      </c>
      <c r="J1581" s="100"/>
      <c r="K1581" s="107"/>
    </row>
    <row r="1582" ht="15" spans="1:11">
      <c r="A1582" s="101" t="s">
        <v>89</v>
      </c>
      <c r="B1582" s="101" t="s">
        <v>11102</v>
      </c>
      <c r="C1582" s="119" t="s">
        <v>8514</v>
      </c>
      <c r="D1582" s="101" t="s">
        <v>4</v>
      </c>
      <c r="E1582" s="101" t="s">
        <v>7946</v>
      </c>
      <c r="F1582" s="101"/>
      <c r="G1582" s="98" t="s">
        <v>909</v>
      </c>
      <c r="H1582" s="100" t="s">
        <v>8320</v>
      </c>
      <c r="I1582" s="100" t="s">
        <v>1258</v>
      </c>
      <c r="J1582" s="100"/>
      <c r="K1582" s="107"/>
    </row>
    <row r="1583" ht="15" spans="1:11">
      <c r="A1583" s="101" t="s">
        <v>89</v>
      </c>
      <c r="B1583" s="101" t="s">
        <v>11103</v>
      </c>
      <c r="C1583" s="119" t="s">
        <v>8514</v>
      </c>
      <c r="D1583" s="101" t="s">
        <v>4</v>
      </c>
      <c r="E1583" s="101" t="s">
        <v>1068</v>
      </c>
      <c r="F1583" s="101"/>
      <c r="G1583" s="98" t="s">
        <v>909</v>
      </c>
      <c r="H1583" s="100" t="s">
        <v>8215</v>
      </c>
      <c r="I1583" s="100" t="s">
        <v>8215</v>
      </c>
      <c r="J1583" s="100"/>
      <c r="K1583" s="107"/>
    </row>
    <row r="1584" ht="15" spans="1:11">
      <c r="A1584" s="101" t="s">
        <v>89</v>
      </c>
      <c r="B1584" s="101" t="s">
        <v>11104</v>
      </c>
      <c r="C1584" s="119" t="s">
        <v>8514</v>
      </c>
      <c r="D1584" s="101" t="s">
        <v>4</v>
      </c>
      <c r="E1584" s="101" t="s">
        <v>11105</v>
      </c>
      <c r="F1584" s="101"/>
      <c r="G1584" s="98" t="s">
        <v>909</v>
      </c>
      <c r="H1584" s="100" t="s">
        <v>8215</v>
      </c>
      <c r="I1584" s="100" t="s">
        <v>8215</v>
      </c>
      <c r="J1584" s="100"/>
      <c r="K1584" s="107"/>
    </row>
    <row r="1585" ht="15" spans="1:11">
      <c r="A1585" s="101" t="s">
        <v>89</v>
      </c>
      <c r="B1585" s="101" t="s">
        <v>11106</v>
      </c>
      <c r="C1585" s="119" t="s">
        <v>8514</v>
      </c>
      <c r="D1585" s="101" t="s">
        <v>4</v>
      </c>
      <c r="E1585" s="101" t="s">
        <v>11105</v>
      </c>
      <c r="F1585" s="101"/>
      <c r="G1585" s="98" t="s">
        <v>909</v>
      </c>
      <c r="H1585" s="100" t="s">
        <v>8215</v>
      </c>
      <c r="I1585" s="100" t="s">
        <v>1258</v>
      </c>
      <c r="J1585" s="100"/>
      <c r="K1585" s="107"/>
    </row>
    <row r="1586" ht="15" spans="1:11">
      <c r="A1586" s="101" t="s">
        <v>89</v>
      </c>
      <c r="B1586" s="101" t="s">
        <v>11107</v>
      </c>
      <c r="C1586" s="119" t="s">
        <v>8514</v>
      </c>
      <c r="D1586" s="101" t="s">
        <v>4</v>
      </c>
      <c r="E1586" s="101" t="s">
        <v>11108</v>
      </c>
      <c r="F1586" s="101"/>
      <c r="G1586" s="98" t="s">
        <v>909</v>
      </c>
      <c r="H1586" s="100" t="s">
        <v>1258</v>
      </c>
      <c r="I1586" s="100" t="s">
        <v>1258</v>
      </c>
      <c r="J1586" s="100"/>
      <c r="K1586" s="107"/>
    </row>
    <row r="1587" ht="15" spans="1:11">
      <c r="A1587" s="101" t="s">
        <v>89</v>
      </c>
      <c r="B1587" s="101" t="s">
        <v>11109</v>
      </c>
      <c r="C1587" s="119" t="s">
        <v>8514</v>
      </c>
      <c r="D1587" s="101" t="s">
        <v>5</v>
      </c>
      <c r="E1587" s="101" t="s">
        <v>11110</v>
      </c>
      <c r="F1587" s="101"/>
      <c r="G1587" s="98" t="s">
        <v>909</v>
      </c>
      <c r="H1587" s="100" t="s">
        <v>8215</v>
      </c>
      <c r="I1587" s="100" t="s">
        <v>1258</v>
      </c>
      <c r="J1587" s="100"/>
      <c r="K1587" s="107"/>
    </row>
    <row r="1588" ht="15" spans="1:11">
      <c r="A1588" s="101" t="s">
        <v>89</v>
      </c>
      <c r="B1588" s="101" t="s">
        <v>11111</v>
      </c>
      <c r="C1588" s="119" t="s">
        <v>8514</v>
      </c>
      <c r="D1588" s="101" t="s">
        <v>4</v>
      </c>
      <c r="E1588" s="101" t="s">
        <v>11112</v>
      </c>
      <c r="F1588" s="101"/>
      <c r="G1588" s="98" t="s">
        <v>909</v>
      </c>
      <c r="H1588" s="100" t="s">
        <v>8215</v>
      </c>
      <c r="I1588" s="100" t="s">
        <v>1258</v>
      </c>
      <c r="J1588" s="100"/>
      <c r="K1588" s="107"/>
    </row>
    <row r="1589" ht="15" spans="1:11">
      <c r="A1589" s="101" t="s">
        <v>89</v>
      </c>
      <c r="B1589" s="101" t="s">
        <v>11113</v>
      </c>
      <c r="C1589" s="119" t="s">
        <v>8514</v>
      </c>
      <c r="D1589" s="101" t="s">
        <v>4</v>
      </c>
      <c r="E1589" s="101" t="s">
        <v>11112</v>
      </c>
      <c r="F1589" s="101"/>
      <c r="G1589" s="98" t="s">
        <v>909</v>
      </c>
      <c r="H1589" s="100" t="s">
        <v>8215</v>
      </c>
      <c r="I1589" s="100" t="s">
        <v>10221</v>
      </c>
      <c r="J1589" s="100"/>
      <c r="K1589" s="107"/>
    </row>
    <row r="1590" ht="15" spans="1:11">
      <c r="A1590" s="101" t="s">
        <v>89</v>
      </c>
      <c r="B1590" s="101" t="s">
        <v>11114</v>
      </c>
      <c r="C1590" s="119" t="s">
        <v>8514</v>
      </c>
      <c r="D1590" s="101" t="s">
        <v>4</v>
      </c>
      <c r="E1590" s="101" t="s">
        <v>11115</v>
      </c>
      <c r="F1590" s="101"/>
      <c r="G1590" s="98" t="s">
        <v>909</v>
      </c>
      <c r="H1590" s="100" t="s">
        <v>8215</v>
      </c>
      <c r="I1590" s="100" t="s">
        <v>10221</v>
      </c>
      <c r="J1590" s="100"/>
      <c r="K1590" s="107"/>
    </row>
    <row r="1591" ht="15" spans="1:11">
      <c r="A1591" s="101" t="s">
        <v>89</v>
      </c>
      <c r="B1591" s="101" t="s">
        <v>11116</v>
      </c>
      <c r="C1591" s="119" t="s">
        <v>8514</v>
      </c>
      <c r="D1591" s="101" t="s">
        <v>5</v>
      </c>
      <c r="E1591" s="101" t="s">
        <v>11117</v>
      </c>
      <c r="F1591" s="101"/>
      <c r="G1591" s="98" t="s">
        <v>909</v>
      </c>
      <c r="H1591" s="100" t="s">
        <v>8215</v>
      </c>
      <c r="I1591" s="100" t="s">
        <v>1258</v>
      </c>
      <c r="J1591" s="100"/>
      <c r="K1591" s="107"/>
    </row>
    <row r="1592" ht="15" spans="1:11">
      <c r="A1592" s="101" t="s">
        <v>89</v>
      </c>
      <c r="B1592" s="101" t="s">
        <v>11118</v>
      </c>
      <c r="C1592" s="119" t="s">
        <v>8514</v>
      </c>
      <c r="D1592" s="101" t="s">
        <v>4</v>
      </c>
      <c r="E1592" s="101" t="s">
        <v>1060</v>
      </c>
      <c r="F1592" s="101"/>
      <c r="G1592" s="98" t="s">
        <v>909</v>
      </c>
      <c r="H1592" s="100" t="s">
        <v>8215</v>
      </c>
      <c r="I1592" s="100" t="s">
        <v>1258</v>
      </c>
      <c r="J1592" s="100"/>
      <c r="K1592" s="107"/>
    </row>
    <row r="1593" s="90" customFormat="1" ht="15" spans="1:11">
      <c r="A1593" s="101" t="s">
        <v>89</v>
      </c>
      <c r="B1593" s="101" t="s">
        <v>11119</v>
      </c>
      <c r="C1593" s="119" t="s">
        <v>8293</v>
      </c>
      <c r="D1593" s="101" t="s">
        <v>4</v>
      </c>
      <c r="E1593" s="101" t="s">
        <v>1070</v>
      </c>
      <c r="F1593" s="101"/>
      <c r="G1593" s="98" t="s">
        <v>909</v>
      </c>
      <c r="H1593" s="100" t="s">
        <v>8320</v>
      </c>
      <c r="I1593" s="100" t="s">
        <v>8320</v>
      </c>
      <c r="J1593" s="100" t="s">
        <v>9603</v>
      </c>
      <c r="K1593" s="107">
        <v>2024.4</v>
      </c>
    </row>
    <row r="1594" s="90" customFormat="1" ht="15" spans="1:11">
      <c r="A1594" s="101" t="s">
        <v>89</v>
      </c>
      <c r="B1594" s="101" t="s">
        <v>11120</v>
      </c>
      <c r="C1594" s="119" t="s">
        <v>8293</v>
      </c>
      <c r="D1594" s="101" t="s">
        <v>5</v>
      </c>
      <c r="E1594" s="101" t="s">
        <v>11121</v>
      </c>
      <c r="F1594" s="101"/>
      <c r="G1594" s="98" t="s">
        <v>909</v>
      </c>
      <c r="H1594" s="100" t="s">
        <v>8215</v>
      </c>
      <c r="I1594" s="100" t="s">
        <v>8215</v>
      </c>
      <c r="J1594" s="100" t="s">
        <v>8921</v>
      </c>
      <c r="K1594" s="107">
        <v>2024.4</v>
      </c>
    </row>
    <row r="1595" s="90" customFormat="1" ht="15" spans="1:11">
      <c r="A1595" s="101" t="s">
        <v>89</v>
      </c>
      <c r="B1595" s="101" t="s">
        <v>11122</v>
      </c>
      <c r="C1595" s="119" t="s">
        <v>8293</v>
      </c>
      <c r="D1595" s="101" t="s">
        <v>4</v>
      </c>
      <c r="E1595" s="101" t="s">
        <v>11123</v>
      </c>
      <c r="F1595" s="101"/>
      <c r="G1595" s="98" t="s">
        <v>909</v>
      </c>
      <c r="H1595" s="100" t="s">
        <v>8215</v>
      </c>
      <c r="I1595" s="100" t="s">
        <v>8247</v>
      </c>
      <c r="J1595" s="100" t="s">
        <v>11124</v>
      </c>
      <c r="K1595" s="107">
        <v>2024.6</v>
      </c>
    </row>
    <row r="1596" s="91" customFormat="1" ht="15" spans="1:11">
      <c r="A1596" s="101" t="s">
        <v>89</v>
      </c>
      <c r="B1596" s="106" t="s">
        <v>11125</v>
      </c>
      <c r="C1596" s="106" t="s">
        <v>8293</v>
      </c>
      <c r="D1596" s="106" t="s">
        <v>5</v>
      </c>
      <c r="E1596" s="106" t="s">
        <v>8060</v>
      </c>
      <c r="F1596" s="106"/>
      <c r="G1596" s="106" t="s">
        <v>909</v>
      </c>
      <c r="H1596" s="106" t="s">
        <v>8215</v>
      </c>
      <c r="I1596" s="106" t="s">
        <v>8215</v>
      </c>
      <c r="J1596" s="106" t="s">
        <v>8766</v>
      </c>
      <c r="K1596" s="106">
        <v>2024.7</v>
      </c>
    </row>
    <row r="1597" s="91" customFormat="1" ht="15" spans="1:11">
      <c r="A1597" s="101" t="s">
        <v>89</v>
      </c>
      <c r="B1597" s="106" t="s">
        <v>11126</v>
      </c>
      <c r="C1597" s="106" t="s">
        <v>8293</v>
      </c>
      <c r="D1597" s="106" t="s">
        <v>4</v>
      </c>
      <c r="E1597" s="106" t="s">
        <v>11127</v>
      </c>
      <c r="F1597" s="106"/>
      <c r="G1597" s="106" t="s">
        <v>909</v>
      </c>
      <c r="H1597" s="106" t="s">
        <v>8215</v>
      </c>
      <c r="I1597" s="106" t="s">
        <v>8215</v>
      </c>
      <c r="J1597" s="106" t="s">
        <v>8921</v>
      </c>
      <c r="K1597" s="106">
        <v>2024.9</v>
      </c>
    </row>
    <row r="1598" s="91" customFormat="1" ht="15" spans="1:11">
      <c r="A1598" s="101" t="s">
        <v>89</v>
      </c>
      <c r="B1598" s="106" t="s">
        <v>11128</v>
      </c>
      <c r="C1598" s="106" t="s">
        <v>8293</v>
      </c>
      <c r="D1598" s="106" t="s">
        <v>4</v>
      </c>
      <c r="E1598" s="106" t="s">
        <v>11129</v>
      </c>
      <c r="F1598" s="106"/>
      <c r="G1598" s="106" t="s">
        <v>909</v>
      </c>
      <c r="H1598" s="106" t="s">
        <v>8215</v>
      </c>
      <c r="I1598" s="106" t="s">
        <v>8215</v>
      </c>
      <c r="J1598" s="106" t="s">
        <v>11130</v>
      </c>
      <c r="K1598" s="106">
        <v>2024.9</v>
      </c>
    </row>
    <row r="1599" s="91" customFormat="1" ht="15" spans="1:11">
      <c r="A1599" s="101" t="s">
        <v>89</v>
      </c>
      <c r="B1599" s="106" t="s">
        <v>11131</v>
      </c>
      <c r="C1599" s="106" t="s">
        <v>8272</v>
      </c>
      <c r="D1599" s="106" t="s">
        <v>4</v>
      </c>
      <c r="E1599" s="106" t="s">
        <v>11132</v>
      </c>
      <c r="F1599" s="106"/>
      <c r="G1599" s="106" t="s">
        <v>909</v>
      </c>
      <c r="H1599" s="106" t="s">
        <v>8215</v>
      </c>
      <c r="I1599" s="106" t="s">
        <v>8215</v>
      </c>
      <c r="J1599" s="106" t="s">
        <v>11133</v>
      </c>
      <c r="K1599" s="106">
        <v>2025.5</v>
      </c>
    </row>
    <row r="1600" s="94" customFormat="1" ht="15" spans="1:11">
      <c r="A1600" s="101" t="s">
        <v>89</v>
      </c>
      <c r="B1600" s="101" t="s">
        <v>11134</v>
      </c>
      <c r="C1600" s="101" t="s">
        <v>8272</v>
      </c>
      <c r="D1600" s="101" t="s">
        <v>4</v>
      </c>
      <c r="E1600" s="101" t="s">
        <v>11135</v>
      </c>
      <c r="F1600" s="101"/>
      <c r="G1600" s="101" t="s">
        <v>909</v>
      </c>
      <c r="H1600" s="101" t="s">
        <v>8215</v>
      </c>
      <c r="I1600" s="101" t="s">
        <v>8215</v>
      </c>
      <c r="J1600" s="101" t="s">
        <v>11136</v>
      </c>
      <c r="K1600" s="106">
        <v>2025.5</v>
      </c>
    </row>
    <row r="1601" ht="26" spans="1:11">
      <c r="A1601" s="101" t="s">
        <v>90</v>
      </c>
      <c r="B1601" s="101" t="s">
        <v>11137</v>
      </c>
      <c r="C1601" s="101"/>
      <c r="D1601" s="101" t="s">
        <v>4</v>
      </c>
      <c r="E1601" s="101" t="s">
        <v>11138</v>
      </c>
      <c r="F1601" s="101"/>
      <c r="G1601" s="101" t="s">
        <v>206</v>
      </c>
      <c r="H1601" s="146" t="s">
        <v>8300</v>
      </c>
      <c r="I1601" s="146" t="s">
        <v>8215</v>
      </c>
      <c r="J1601" s="146" t="s">
        <v>11139</v>
      </c>
      <c r="K1601" s="147" t="s">
        <v>11140</v>
      </c>
    </row>
    <row r="1602" ht="30" spans="1:11">
      <c r="A1602" s="101" t="s">
        <v>90</v>
      </c>
      <c r="B1602" s="101" t="s">
        <v>11141</v>
      </c>
      <c r="C1602" s="101"/>
      <c r="D1602" s="101" t="s">
        <v>4</v>
      </c>
      <c r="E1602" s="101" t="s">
        <v>11142</v>
      </c>
      <c r="F1602" s="101"/>
      <c r="G1602" s="101" t="s">
        <v>206</v>
      </c>
      <c r="H1602" s="146" t="s">
        <v>8215</v>
      </c>
      <c r="I1602" s="146" t="s">
        <v>8215</v>
      </c>
      <c r="J1602" s="146" t="s">
        <v>11139</v>
      </c>
      <c r="K1602" s="146" t="s">
        <v>11143</v>
      </c>
    </row>
    <row r="1603" ht="15" spans="1:11">
      <c r="A1603" s="101" t="s">
        <v>90</v>
      </c>
      <c r="B1603" s="101" t="s">
        <v>11144</v>
      </c>
      <c r="C1603" s="101"/>
      <c r="D1603" s="101" t="s">
        <v>4</v>
      </c>
      <c r="E1603" s="101" t="s">
        <v>11145</v>
      </c>
      <c r="F1603" s="101"/>
      <c r="G1603" s="101" t="s">
        <v>206</v>
      </c>
      <c r="H1603" s="146" t="s">
        <v>8215</v>
      </c>
      <c r="I1603" s="146" t="s">
        <v>8215</v>
      </c>
      <c r="J1603" s="146" t="s">
        <v>11146</v>
      </c>
      <c r="K1603" s="146" t="s">
        <v>11147</v>
      </c>
    </row>
    <row r="1604" ht="15" spans="1:11">
      <c r="A1604" s="101" t="s">
        <v>90</v>
      </c>
      <c r="B1604" s="101" t="s">
        <v>11148</v>
      </c>
      <c r="C1604" s="101"/>
      <c r="D1604" s="101" t="s">
        <v>4</v>
      </c>
      <c r="E1604" s="101" t="s">
        <v>11145</v>
      </c>
      <c r="F1604" s="101"/>
      <c r="G1604" s="101" t="s">
        <v>206</v>
      </c>
      <c r="H1604" s="146" t="s">
        <v>8215</v>
      </c>
      <c r="I1604" s="146" t="s">
        <v>8215</v>
      </c>
      <c r="J1604" s="146" t="s">
        <v>11146</v>
      </c>
      <c r="K1604" s="146"/>
    </row>
    <row r="1605" ht="15" spans="1:11">
      <c r="A1605" s="101" t="s">
        <v>90</v>
      </c>
      <c r="B1605" s="101" t="s">
        <v>11149</v>
      </c>
      <c r="C1605" s="101"/>
      <c r="D1605" s="101" t="s">
        <v>4</v>
      </c>
      <c r="E1605" s="101" t="s">
        <v>11150</v>
      </c>
      <c r="F1605" s="101"/>
      <c r="G1605" s="101" t="s">
        <v>206</v>
      </c>
      <c r="H1605" s="146" t="s">
        <v>8215</v>
      </c>
      <c r="I1605" s="146" t="s">
        <v>8215</v>
      </c>
      <c r="J1605" s="146" t="s">
        <v>11139</v>
      </c>
      <c r="K1605" s="146" t="s">
        <v>11151</v>
      </c>
    </row>
    <row r="1606" ht="15" spans="1:11">
      <c r="A1606" s="101" t="s">
        <v>90</v>
      </c>
      <c r="B1606" s="101" t="s">
        <v>11152</v>
      </c>
      <c r="C1606" s="101"/>
      <c r="D1606" s="101" t="s">
        <v>4</v>
      </c>
      <c r="E1606" s="101" t="s">
        <v>11150</v>
      </c>
      <c r="F1606" s="101"/>
      <c r="G1606" s="101" t="s">
        <v>206</v>
      </c>
      <c r="H1606" s="146" t="s">
        <v>8215</v>
      </c>
      <c r="I1606" s="146" t="s">
        <v>8215</v>
      </c>
      <c r="J1606" s="146" t="s">
        <v>11139</v>
      </c>
      <c r="K1606" s="146"/>
    </row>
    <row r="1607" ht="15" spans="1:11">
      <c r="A1607" s="101" t="s">
        <v>90</v>
      </c>
      <c r="B1607" s="101" t="s">
        <v>11153</v>
      </c>
      <c r="C1607" s="101"/>
      <c r="D1607" s="101" t="s">
        <v>4</v>
      </c>
      <c r="E1607" s="101" t="s">
        <v>11154</v>
      </c>
      <c r="F1607" s="101"/>
      <c r="G1607" s="101" t="s">
        <v>206</v>
      </c>
      <c r="H1607" s="146" t="s">
        <v>8215</v>
      </c>
      <c r="I1607" s="146" t="s">
        <v>8215</v>
      </c>
      <c r="J1607" s="146" t="s">
        <v>11139</v>
      </c>
      <c r="K1607" s="146" t="s">
        <v>11155</v>
      </c>
    </row>
    <row r="1608" ht="30" spans="1:11">
      <c r="A1608" s="101" t="s">
        <v>90</v>
      </c>
      <c r="B1608" s="101" t="s">
        <v>11156</v>
      </c>
      <c r="C1608" s="101"/>
      <c r="D1608" s="101" t="s">
        <v>4</v>
      </c>
      <c r="E1608" s="101" t="s">
        <v>11157</v>
      </c>
      <c r="F1608" s="101"/>
      <c r="G1608" s="101" t="s">
        <v>206</v>
      </c>
      <c r="H1608" s="146" t="s">
        <v>8215</v>
      </c>
      <c r="I1608" s="146" t="s">
        <v>8215</v>
      </c>
      <c r="J1608" s="146" t="s">
        <v>11158</v>
      </c>
      <c r="K1608" s="146" t="s">
        <v>11159</v>
      </c>
    </row>
    <row r="1609" ht="30" spans="1:11">
      <c r="A1609" s="101" t="s">
        <v>90</v>
      </c>
      <c r="B1609" s="101" t="s">
        <v>11160</v>
      </c>
      <c r="C1609" s="101"/>
      <c r="D1609" s="101" t="s">
        <v>4</v>
      </c>
      <c r="E1609" s="101" t="s">
        <v>11161</v>
      </c>
      <c r="F1609" s="101"/>
      <c r="G1609" s="101" t="s">
        <v>206</v>
      </c>
      <c r="H1609" s="146" t="s">
        <v>8215</v>
      </c>
      <c r="I1609" s="146" t="s">
        <v>8215</v>
      </c>
      <c r="J1609" s="146" t="s">
        <v>11158</v>
      </c>
      <c r="K1609" s="146" t="s">
        <v>11159</v>
      </c>
    </row>
    <row r="1610" ht="30" spans="1:11">
      <c r="A1610" s="101" t="s">
        <v>90</v>
      </c>
      <c r="B1610" s="101" t="s">
        <v>11162</v>
      </c>
      <c r="C1610" s="101"/>
      <c r="D1610" s="101" t="s">
        <v>4</v>
      </c>
      <c r="E1610" s="101" t="s">
        <v>11161</v>
      </c>
      <c r="F1610" s="101"/>
      <c r="G1610" s="101" t="s">
        <v>206</v>
      </c>
      <c r="H1610" s="146" t="s">
        <v>8215</v>
      </c>
      <c r="I1610" s="146" t="s">
        <v>8215</v>
      </c>
      <c r="J1610" s="146" t="s">
        <v>11158</v>
      </c>
      <c r="K1610" s="146" t="s">
        <v>11159</v>
      </c>
    </row>
    <row r="1611" ht="30" spans="1:11">
      <c r="A1611" s="101" t="s">
        <v>90</v>
      </c>
      <c r="B1611" s="101" t="s">
        <v>11163</v>
      </c>
      <c r="C1611" s="101"/>
      <c r="D1611" s="101" t="s">
        <v>4</v>
      </c>
      <c r="E1611" s="101" t="s">
        <v>11164</v>
      </c>
      <c r="F1611" s="101"/>
      <c r="G1611" s="101" t="s">
        <v>206</v>
      </c>
      <c r="H1611" s="146" t="s">
        <v>8215</v>
      </c>
      <c r="I1611" s="146" t="s">
        <v>8215</v>
      </c>
      <c r="J1611" s="146" t="s">
        <v>11158</v>
      </c>
      <c r="K1611" s="146" t="s">
        <v>11159</v>
      </c>
    </row>
    <row r="1612" ht="15" spans="1:11">
      <c r="A1612" s="101" t="s">
        <v>90</v>
      </c>
      <c r="B1612" s="101" t="s">
        <v>11165</v>
      </c>
      <c r="C1612" s="101"/>
      <c r="D1612" s="101" t="s">
        <v>4</v>
      </c>
      <c r="E1612" s="101" t="s">
        <v>11166</v>
      </c>
      <c r="F1612" s="101"/>
      <c r="G1612" s="101" t="s">
        <v>206</v>
      </c>
      <c r="H1612" s="146" t="s">
        <v>8215</v>
      </c>
      <c r="I1612" s="146" t="s">
        <v>8215</v>
      </c>
      <c r="J1612" s="146" t="s">
        <v>11167</v>
      </c>
      <c r="K1612" s="146">
        <v>2023.12</v>
      </c>
    </row>
    <row r="1613" ht="15" spans="1:11">
      <c r="A1613" s="101" t="s">
        <v>90</v>
      </c>
      <c r="B1613" s="101" t="s">
        <v>11168</v>
      </c>
      <c r="C1613" s="101"/>
      <c r="D1613" s="101" t="s">
        <v>4</v>
      </c>
      <c r="E1613" s="101" t="s">
        <v>11169</v>
      </c>
      <c r="F1613" s="101"/>
      <c r="G1613" s="101" t="s">
        <v>206</v>
      </c>
      <c r="H1613" s="146" t="s">
        <v>8215</v>
      </c>
      <c r="I1613" s="146" t="s">
        <v>8215</v>
      </c>
      <c r="J1613" s="146" t="s">
        <v>11170</v>
      </c>
      <c r="K1613" s="146">
        <v>2020.12</v>
      </c>
    </row>
    <row r="1614" ht="15" spans="1:11">
      <c r="A1614" s="101" t="s">
        <v>90</v>
      </c>
      <c r="B1614" s="101" t="s">
        <v>11171</v>
      </c>
      <c r="C1614" s="101"/>
      <c r="D1614" s="101" t="s">
        <v>4</v>
      </c>
      <c r="E1614" s="101" t="s">
        <v>11172</v>
      </c>
      <c r="F1614" s="101"/>
      <c r="G1614" s="101" t="s">
        <v>206</v>
      </c>
      <c r="H1614" s="146" t="s">
        <v>8215</v>
      </c>
      <c r="I1614" s="146" t="s">
        <v>8215</v>
      </c>
      <c r="J1614" s="146" t="s">
        <v>11170</v>
      </c>
      <c r="K1614" s="146">
        <v>2022.06</v>
      </c>
    </row>
    <row r="1615" ht="15" spans="1:11">
      <c r="A1615" s="101" t="s">
        <v>90</v>
      </c>
      <c r="B1615" s="101" t="s">
        <v>11173</v>
      </c>
      <c r="C1615" s="101"/>
      <c r="D1615" s="101" t="s">
        <v>4</v>
      </c>
      <c r="E1615" s="101" t="s">
        <v>11174</v>
      </c>
      <c r="F1615" s="101"/>
      <c r="G1615" s="101" t="s">
        <v>206</v>
      </c>
      <c r="H1615" s="146" t="s">
        <v>8215</v>
      </c>
      <c r="I1615" s="146" t="s">
        <v>8215</v>
      </c>
      <c r="J1615" s="146" t="s">
        <v>11170</v>
      </c>
      <c r="K1615" s="146">
        <v>2022.06</v>
      </c>
    </row>
    <row r="1616" ht="15" spans="1:11">
      <c r="A1616" s="101" t="s">
        <v>90</v>
      </c>
      <c r="B1616" s="146" t="s">
        <v>11175</v>
      </c>
      <c r="C1616" s="101"/>
      <c r="D1616" s="101" t="s">
        <v>5</v>
      </c>
      <c r="E1616" s="101" t="s">
        <v>11176</v>
      </c>
      <c r="F1616" s="101"/>
      <c r="G1616" s="101" t="s">
        <v>206</v>
      </c>
      <c r="H1616" s="146" t="s">
        <v>8247</v>
      </c>
      <c r="I1616" s="146" t="s">
        <v>8247</v>
      </c>
      <c r="J1616" s="146" t="s">
        <v>11170</v>
      </c>
      <c r="K1616" s="146">
        <v>2024.07</v>
      </c>
    </row>
    <row r="1617" ht="15" spans="1:11">
      <c r="A1617" s="101" t="s">
        <v>90</v>
      </c>
      <c r="B1617" s="101" t="s">
        <v>11177</v>
      </c>
      <c r="C1617" s="101"/>
      <c r="D1617" s="101" t="s">
        <v>4</v>
      </c>
      <c r="E1617" s="101" t="s">
        <v>11178</v>
      </c>
      <c r="F1617" s="101"/>
      <c r="G1617" s="101" t="s">
        <v>206</v>
      </c>
      <c r="H1617" s="146" t="s">
        <v>8215</v>
      </c>
      <c r="I1617" s="146" t="s">
        <v>8215</v>
      </c>
      <c r="J1617" s="146" t="s">
        <v>11179</v>
      </c>
      <c r="K1617" s="146">
        <v>2022.06</v>
      </c>
    </row>
    <row r="1618" ht="15" spans="1:11">
      <c r="A1618" s="101" t="s">
        <v>90</v>
      </c>
      <c r="B1618" s="101" t="s">
        <v>11180</v>
      </c>
      <c r="C1618" s="101"/>
      <c r="D1618" s="101" t="s">
        <v>4</v>
      </c>
      <c r="E1618" s="101" t="s">
        <v>11178</v>
      </c>
      <c r="F1618" s="101"/>
      <c r="G1618" s="101" t="s">
        <v>206</v>
      </c>
      <c r="H1618" s="146" t="s">
        <v>8215</v>
      </c>
      <c r="I1618" s="146" t="s">
        <v>8215</v>
      </c>
      <c r="J1618" s="146" t="s">
        <v>11181</v>
      </c>
      <c r="K1618" s="146">
        <v>2022.06</v>
      </c>
    </row>
    <row r="1619" ht="15" spans="1:11">
      <c r="A1619" s="101" t="s">
        <v>90</v>
      </c>
      <c r="B1619" s="101" t="s">
        <v>11182</v>
      </c>
      <c r="C1619" s="101"/>
      <c r="D1619" s="101" t="s">
        <v>4</v>
      </c>
      <c r="E1619" s="101" t="s">
        <v>11183</v>
      </c>
      <c r="F1619" s="101"/>
      <c r="G1619" s="101" t="s">
        <v>206</v>
      </c>
      <c r="H1619" s="146" t="s">
        <v>8215</v>
      </c>
      <c r="I1619" s="146" t="s">
        <v>8215</v>
      </c>
      <c r="J1619" s="146" t="s">
        <v>11170</v>
      </c>
      <c r="K1619" s="146">
        <v>2022.12</v>
      </c>
    </row>
    <row r="1620" ht="15" spans="1:11">
      <c r="A1620" s="101" t="s">
        <v>90</v>
      </c>
      <c r="B1620" s="101" t="s">
        <v>11184</v>
      </c>
      <c r="C1620" s="101"/>
      <c r="D1620" s="101" t="s">
        <v>4</v>
      </c>
      <c r="E1620" s="101" t="s">
        <v>11185</v>
      </c>
      <c r="F1620" s="101"/>
      <c r="G1620" s="101" t="s">
        <v>206</v>
      </c>
      <c r="H1620" s="146" t="s">
        <v>8215</v>
      </c>
      <c r="I1620" s="146" t="s">
        <v>8215</v>
      </c>
      <c r="J1620" s="146" t="s">
        <v>11170</v>
      </c>
      <c r="K1620" s="146">
        <v>2023.09</v>
      </c>
    </row>
    <row r="1621" ht="15" spans="1:11">
      <c r="A1621" s="101" t="s">
        <v>90</v>
      </c>
      <c r="B1621" s="101" t="s">
        <v>11186</v>
      </c>
      <c r="C1621" s="101"/>
      <c r="D1621" s="101" t="s">
        <v>4</v>
      </c>
      <c r="E1621" s="101" t="s">
        <v>11187</v>
      </c>
      <c r="F1621" s="101"/>
      <c r="G1621" s="101" t="s">
        <v>206</v>
      </c>
      <c r="H1621" s="146" t="s">
        <v>8215</v>
      </c>
      <c r="I1621" s="146" t="s">
        <v>8215</v>
      </c>
      <c r="J1621" s="146" t="s">
        <v>11170</v>
      </c>
      <c r="K1621" s="146">
        <v>2023.09</v>
      </c>
    </row>
    <row r="1622" ht="15" spans="1:11">
      <c r="A1622" s="101" t="s">
        <v>90</v>
      </c>
      <c r="B1622" s="101" t="s">
        <v>11188</v>
      </c>
      <c r="C1622" s="101"/>
      <c r="D1622" s="101" t="s">
        <v>4</v>
      </c>
      <c r="E1622" s="101" t="s">
        <v>11189</v>
      </c>
      <c r="F1622" s="101"/>
      <c r="G1622" s="101" t="s">
        <v>206</v>
      </c>
      <c r="H1622" s="146" t="s">
        <v>8215</v>
      </c>
      <c r="I1622" s="146" t="s">
        <v>8215</v>
      </c>
      <c r="J1622" s="146" t="s">
        <v>11170</v>
      </c>
      <c r="K1622" s="146">
        <v>2023.09</v>
      </c>
    </row>
    <row r="1623" ht="15" spans="1:11">
      <c r="A1623" s="101" t="s">
        <v>90</v>
      </c>
      <c r="B1623" s="101" t="s">
        <v>11190</v>
      </c>
      <c r="C1623" s="101"/>
      <c r="D1623" s="101" t="s">
        <v>4</v>
      </c>
      <c r="E1623" s="101" t="s">
        <v>11191</v>
      </c>
      <c r="F1623" s="101"/>
      <c r="G1623" s="101" t="s">
        <v>206</v>
      </c>
      <c r="H1623" s="146" t="s">
        <v>8215</v>
      </c>
      <c r="I1623" s="146" t="s">
        <v>8215</v>
      </c>
      <c r="J1623" s="146" t="s">
        <v>11170</v>
      </c>
      <c r="K1623" s="146">
        <v>2024.01</v>
      </c>
    </row>
    <row r="1624" ht="15" spans="1:11">
      <c r="A1624" s="101" t="s">
        <v>91</v>
      </c>
      <c r="B1624" s="101" t="s">
        <v>11192</v>
      </c>
      <c r="C1624" s="101"/>
      <c r="D1624" s="101" t="s">
        <v>4</v>
      </c>
      <c r="E1624" s="101" t="s">
        <v>11193</v>
      </c>
      <c r="F1624" s="101"/>
      <c r="G1624" s="101" t="s">
        <v>209</v>
      </c>
      <c r="H1624" s="101" t="s">
        <v>8215</v>
      </c>
      <c r="I1624" s="101" t="s">
        <v>8215</v>
      </c>
      <c r="J1624" s="101" t="s">
        <v>10253</v>
      </c>
      <c r="K1624" s="101">
        <v>2014.9</v>
      </c>
    </row>
    <row r="1625" ht="30" spans="1:11">
      <c r="A1625" s="101" t="s">
        <v>91</v>
      </c>
      <c r="B1625" s="101" t="s">
        <v>11194</v>
      </c>
      <c r="C1625" s="101"/>
      <c r="D1625" s="101" t="s">
        <v>4</v>
      </c>
      <c r="E1625" s="101" t="s">
        <v>11193</v>
      </c>
      <c r="F1625" s="101"/>
      <c r="G1625" s="101" t="s">
        <v>209</v>
      </c>
      <c r="H1625" s="101" t="s">
        <v>8215</v>
      </c>
      <c r="I1625" s="101" t="s">
        <v>8326</v>
      </c>
      <c r="J1625" s="101" t="s">
        <v>11195</v>
      </c>
      <c r="K1625" s="101">
        <v>2022.11</v>
      </c>
    </row>
    <row r="1626" ht="15" spans="1:11">
      <c r="A1626" s="101" t="s">
        <v>91</v>
      </c>
      <c r="B1626" s="101" t="s">
        <v>11196</v>
      </c>
      <c r="C1626" s="101"/>
      <c r="D1626" s="101" t="s">
        <v>4</v>
      </c>
      <c r="E1626" s="101" t="s">
        <v>11197</v>
      </c>
      <c r="F1626" s="101"/>
      <c r="G1626" s="101" t="s">
        <v>209</v>
      </c>
      <c r="H1626" s="101" t="s">
        <v>8215</v>
      </c>
      <c r="I1626" s="101" t="s">
        <v>8215</v>
      </c>
      <c r="J1626" s="101" t="s">
        <v>11198</v>
      </c>
      <c r="K1626" s="101">
        <v>2014.9</v>
      </c>
    </row>
    <row r="1627" ht="15" spans="1:11">
      <c r="A1627" s="101" t="s">
        <v>91</v>
      </c>
      <c r="B1627" s="101" t="s">
        <v>11199</v>
      </c>
      <c r="C1627" s="101"/>
      <c r="D1627" s="101" t="s">
        <v>4</v>
      </c>
      <c r="E1627" s="101" t="s">
        <v>11200</v>
      </c>
      <c r="F1627" s="101"/>
      <c r="G1627" s="101" t="s">
        <v>209</v>
      </c>
      <c r="H1627" s="101" t="s">
        <v>8215</v>
      </c>
      <c r="I1627" s="101" t="s">
        <v>8215</v>
      </c>
      <c r="J1627" s="101" t="s">
        <v>11201</v>
      </c>
      <c r="K1627" s="101">
        <v>2016.4</v>
      </c>
    </row>
    <row r="1628" ht="15" spans="1:11">
      <c r="A1628" s="101" t="s">
        <v>91</v>
      </c>
      <c r="B1628" s="101" t="s">
        <v>11202</v>
      </c>
      <c r="C1628" s="101"/>
      <c r="D1628" s="101" t="s">
        <v>4</v>
      </c>
      <c r="E1628" s="101" t="s">
        <v>11200</v>
      </c>
      <c r="F1628" s="101"/>
      <c r="G1628" s="101" t="s">
        <v>209</v>
      </c>
      <c r="H1628" s="101" t="s">
        <v>8320</v>
      </c>
      <c r="I1628" s="101" t="s">
        <v>8320</v>
      </c>
      <c r="J1628" s="101" t="s">
        <v>11203</v>
      </c>
      <c r="K1628" s="101">
        <v>2016.9</v>
      </c>
    </row>
    <row r="1629" ht="15" spans="1:11">
      <c r="A1629" s="101" t="s">
        <v>91</v>
      </c>
      <c r="B1629" s="101" t="s">
        <v>11204</v>
      </c>
      <c r="C1629" s="101"/>
      <c r="D1629" s="101" t="s">
        <v>4</v>
      </c>
      <c r="E1629" s="101" t="s">
        <v>11205</v>
      </c>
      <c r="F1629" s="101"/>
      <c r="G1629" s="101" t="s">
        <v>209</v>
      </c>
      <c r="H1629" s="101" t="s">
        <v>8215</v>
      </c>
      <c r="I1629" s="101" t="s">
        <v>8215</v>
      </c>
      <c r="J1629" s="101" t="s">
        <v>11206</v>
      </c>
      <c r="K1629" s="101">
        <v>2014.5</v>
      </c>
    </row>
    <row r="1630" ht="15" spans="1:11">
      <c r="A1630" s="101" t="s">
        <v>91</v>
      </c>
      <c r="B1630" s="101" t="s">
        <v>11207</v>
      </c>
      <c r="C1630" s="101"/>
      <c r="D1630" s="101" t="s">
        <v>4</v>
      </c>
      <c r="E1630" s="101" t="s">
        <v>11205</v>
      </c>
      <c r="F1630" s="101"/>
      <c r="G1630" s="101" t="s">
        <v>209</v>
      </c>
      <c r="H1630" s="101" t="s">
        <v>8215</v>
      </c>
      <c r="I1630" s="101" t="s">
        <v>8215</v>
      </c>
      <c r="J1630" s="101" t="s">
        <v>11206</v>
      </c>
      <c r="K1630" s="101">
        <v>2014.5</v>
      </c>
    </row>
    <row r="1631" ht="15" spans="1:11">
      <c r="A1631" s="101" t="s">
        <v>91</v>
      </c>
      <c r="B1631" s="101" t="s">
        <v>11208</v>
      </c>
      <c r="C1631" s="101"/>
      <c r="D1631" s="101" t="s">
        <v>4</v>
      </c>
      <c r="E1631" s="101" t="s">
        <v>11205</v>
      </c>
      <c r="F1631" s="101"/>
      <c r="G1631" s="101" t="s">
        <v>209</v>
      </c>
      <c r="H1631" s="101" t="s">
        <v>8215</v>
      </c>
      <c r="I1631" s="101" t="s">
        <v>8215</v>
      </c>
      <c r="J1631" s="101" t="s">
        <v>11209</v>
      </c>
      <c r="K1631" s="101">
        <v>2018.11</v>
      </c>
    </row>
    <row r="1632" ht="15" spans="1:11">
      <c r="A1632" s="101" t="s">
        <v>91</v>
      </c>
      <c r="B1632" s="101" t="s">
        <v>11210</v>
      </c>
      <c r="C1632" s="101"/>
      <c r="D1632" s="101" t="s">
        <v>4</v>
      </c>
      <c r="E1632" s="101" t="s">
        <v>8404</v>
      </c>
      <c r="F1632" s="101"/>
      <c r="G1632" s="101" t="s">
        <v>209</v>
      </c>
      <c r="H1632" s="101" t="s">
        <v>8215</v>
      </c>
      <c r="I1632" s="101" t="s">
        <v>8215</v>
      </c>
      <c r="J1632" s="101" t="s">
        <v>11211</v>
      </c>
      <c r="K1632" s="101">
        <v>2014.5</v>
      </c>
    </row>
    <row r="1633" ht="15" spans="1:11">
      <c r="A1633" s="101" t="s">
        <v>91</v>
      </c>
      <c r="B1633" s="101" t="s">
        <v>11212</v>
      </c>
      <c r="C1633" s="101"/>
      <c r="D1633" s="101" t="s">
        <v>4</v>
      </c>
      <c r="E1633" s="101" t="s">
        <v>8404</v>
      </c>
      <c r="F1633" s="101"/>
      <c r="G1633" s="101" t="s">
        <v>209</v>
      </c>
      <c r="H1633" s="101" t="s">
        <v>8215</v>
      </c>
      <c r="I1633" s="101" t="s">
        <v>8326</v>
      </c>
      <c r="J1633" s="101" t="s">
        <v>8952</v>
      </c>
      <c r="K1633" s="101">
        <v>2014.5</v>
      </c>
    </row>
    <row r="1634" ht="15" spans="1:11">
      <c r="A1634" s="101" t="s">
        <v>91</v>
      </c>
      <c r="B1634" s="101" t="s">
        <v>11213</v>
      </c>
      <c r="C1634" s="101"/>
      <c r="D1634" s="101" t="s">
        <v>4</v>
      </c>
      <c r="E1634" s="101" t="s">
        <v>11214</v>
      </c>
      <c r="F1634" s="101"/>
      <c r="G1634" s="101" t="s">
        <v>209</v>
      </c>
      <c r="H1634" s="101" t="s">
        <v>8215</v>
      </c>
      <c r="I1634" s="101" t="s">
        <v>8215</v>
      </c>
      <c r="J1634" s="101" t="s">
        <v>11215</v>
      </c>
      <c r="K1634" s="101">
        <v>2015.12</v>
      </c>
    </row>
    <row r="1635" ht="30" spans="1:11">
      <c r="A1635" s="101" t="s">
        <v>91</v>
      </c>
      <c r="B1635" s="101" t="s">
        <v>11216</v>
      </c>
      <c r="C1635" s="101"/>
      <c r="D1635" s="101" t="s">
        <v>4</v>
      </c>
      <c r="E1635" s="101" t="s">
        <v>11217</v>
      </c>
      <c r="F1635" s="101" t="s">
        <v>11218</v>
      </c>
      <c r="G1635" s="101" t="s">
        <v>209</v>
      </c>
      <c r="H1635" s="101" t="s">
        <v>8215</v>
      </c>
      <c r="I1635" s="101" t="s">
        <v>8215</v>
      </c>
      <c r="J1635" s="101"/>
      <c r="K1635" s="101">
        <v>2018.1</v>
      </c>
    </row>
    <row r="1636" ht="15" spans="1:11">
      <c r="A1636" s="101" t="s">
        <v>91</v>
      </c>
      <c r="B1636" s="101" t="s">
        <v>11219</v>
      </c>
      <c r="C1636" s="101"/>
      <c r="D1636" s="101" t="s">
        <v>4</v>
      </c>
      <c r="E1636" s="101" t="s">
        <v>11220</v>
      </c>
      <c r="F1636" s="101" t="s">
        <v>11218</v>
      </c>
      <c r="G1636" s="101" t="s">
        <v>209</v>
      </c>
      <c r="H1636" s="101" t="s">
        <v>8320</v>
      </c>
      <c r="I1636" s="101" t="s">
        <v>8320</v>
      </c>
      <c r="J1636" s="101" t="s">
        <v>11221</v>
      </c>
      <c r="K1636" s="101">
        <v>2021.1</v>
      </c>
    </row>
    <row r="1637" ht="30" spans="1:11">
      <c r="A1637" s="101" t="s">
        <v>91</v>
      </c>
      <c r="B1637" s="101" t="s">
        <v>11222</v>
      </c>
      <c r="C1637" s="101"/>
      <c r="D1637" s="101" t="s">
        <v>4</v>
      </c>
      <c r="E1637" s="101" t="s">
        <v>11223</v>
      </c>
      <c r="F1637" s="101" t="s">
        <v>11218</v>
      </c>
      <c r="G1637" s="101" t="s">
        <v>209</v>
      </c>
      <c r="H1637" s="101" t="s">
        <v>8215</v>
      </c>
      <c r="I1637" s="101" t="s">
        <v>8215</v>
      </c>
      <c r="J1637" s="101" t="s">
        <v>11224</v>
      </c>
      <c r="K1637" s="101">
        <v>2024.3</v>
      </c>
    </row>
    <row r="1638" ht="15" spans="1:11">
      <c r="A1638" s="101" t="s">
        <v>91</v>
      </c>
      <c r="B1638" s="101" t="s">
        <v>11225</v>
      </c>
      <c r="C1638" s="101"/>
      <c r="D1638" s="101" t="s">
        <v>4</v>
      </c>
      <c r="E1638" s="101" t="s">
        <v>11226</v>
      </c>
      <c r="F1638" s="101" t="s">
        <v>11218</v>
      </c>
      <c r="G1638" s="101" t="s">
        <v>209</v>
      </c>
      <c r="H1638" s="101" t="s">
        <v>8215</v>
      </c>
      <c r="I1638" s="101" t="s">
        <v>8215</v>
      </c>
      <c r="J1638" s="101" t="s">
        <v>11227</v>
      </c>
      <c r="K1638" s="101">
        <v>2018.6</v>
      </c>
    </row>
    <row r="1639" ht="15" spans="1:11">
      <c r="A1639" s="101" t="s">
        <v>91</v>
      </c>
      <c r="B1639" s="101" t="s">
        <v>11228</v>
      </c>
      <c r="C1639" s="101"/>
      <c r="D1639" s="101" t="s">
        <v>4</v>
      </c>
      <c r="E1639" s="101" t="s">
        <v>11229</v>
      </c>
      <c r="F1639" s="101" t="s">
        <v>11218</v>
      </c>
      <c r="G1639" s="101" t="s">
        <v>209</v>
      </c>
      <c r="H1639" s="101" t="s">
        <v>8215</v>
      </c>
      <c r="I1639" s="101" t="s">
        <v>8215</v>
      </c>
      <c r="J1639" s="101" t="s">
        <v>11230</v>
      </c>
      <c r="K1639" s="101">
        <v>2016.9</v>
      </c>
    </row>
    <row r="1640" ht="15" spans="1:11">
      <c r="A1640" s="101" t="s">
        <v>91</v>
      </c>
      <c r="B1640" s="101" t="s">
        <v>11231</v>
      </c>
      <c r="C1640" s="101"/>
      <c r="D1640" s="101" t="s">
        <v>4</v>
      </c>
      <c r="E1640" s="101" t="s">
        <v>9473</v>
      </c>
      <c r="F1640" s="101" t="s">
        <v>11218</v>
      </c>
      <c r="G1640" s="101" t="s">
        <v>209</v>
      </c>
      <c r="H1640" s="101" t="s">
        <v>8215</v>
      </c>
      <c r="I1640" s="101" t="s">
        <v>8215</v>
      </c>
      <c r="J1640" s="101" t="s">
        <v>8766</v>
      </c>
      <c r="K1640" s="101">
        <v>2013.11</v>
      </c>
    </row>
    <row r="1641" ht="15" spans="1:11">
      <c r="A1641" s="101" t="s">
        <v>91</v>
      </c>
      <c r="B1641" s="101" t="s">
        <v>11232</v>
      </c>
      <c r="C1641" s="101"/>
      <c r="D1641" s="101" t="s">
        <v>4</v>
      </c>
      <c r="E1641" s="101" t="s">
        <v>9473</v>
      </c>
      <c r="F1641" s="101" t="s">
        <v>11218</v>
      </c>
      <c r="G1641" s="101" t="s">
        <v>209</v>
      </c>
      <c r="H1641" s="101" t="s">
        <v>8215</v>
      </c>
      <c r="I1641" s="101" t="s">
        <v>8215</v>
      </c>
      <c r="J1641" s="101" t="s">
        <v>11233</v>
      </c>
      <c r="K1641" s="101">
        <v>2015.1</v>
      </c>
    </row>
    <row r="1642" ht="15" spans="1:11">
      <c r="A1642" s="101" t="s">
        <v>91</v>
      </c>
      <c r="B1642" s="101" t="s">
        <v>11234</v>
      </c>
      <c r="C1642" s="101"/>
      <c r="D1642" s="101" t="s">
        <v>4</v>
      </c>
      <c r="E1642" s="101" t="s">
        <v>11235</v>
      </c>
      <c r="F1642" s="101" t="s">
        <v>11218</v>
      </c>
      <c r="G1642" s="101" t="s">
        <v>209</v>
      </c>
      <c r="H1642" s="101" t="s">
        <v>8320</v>
      </c>
      <c r="I1642" s="101" t="s">
        <v>8320</v>
      </c>
      <c r="J1642" s="101" t="s">
        <v>8459</v>
      </c>
      <c r="K1642" s="101">
        <v>2017.12</v>
      </c>
    </row>
    <row r="1643" ht="15" spans="1:11">
      <c r="A1643" s="101" t="s">
        <v>91</v>
      </c>
      <c r="B1643" s="101" t="s">
        <v>11236</v>
      </c>
      <c r="C1643" s="101"/>
      <c r="D1643" s="101" t="s">
        <v>4</v>
      </c>
      <c r="E1643" s="101" t="s">
        <v>11237</v>
      </c>
      <c r="F1643" s="101" t="s">
        <v>11218</v>
      </c>
      <c r="G1643" s="101" t="s">
        <v>209</v>
      </c>
      <c r="H1643" s="101" t="s">
        <v>8215</v>
      </c>
      <c r="I1643" s="101" t="s">
        <v>8215</v>
      </c>
      <c r="J1643" s="101" t="s">
        <v>11238</v>
      </c>
      <c r="K1643" s="101">
        <v>2015.4</v>
      </c>
    </row>
    <row r="1644" ht="15" spans="1:11">
      <c r="A1644" s="101" t="s">
        <v>91</v>
      </c>
      <c r="B1644" s="101" t="s">
        <v>11239</v>
      </c>
      <c r="C1644" s="101"/>
      <c r="D1644" s="101" t="s">
        <v>4</v>
      </c>
      <c r="E1644" s="101" t="s">
        <v>11237</v>
      </c>
      <c r="F1644" s="101" t="s">
        <v>11218</v>
      </c>
      <c r="G1644" s="101" t="s">
        <v>209</v>
      </c>
      <c r="H1644" s="101" t="s">
        <v>8215</v>
      </c>
      <c r="I1644" s="101" t="s">
        <v>8215</v>
      </c>
      <c r="J1644" s="101" t="s">
        <v>11240</v>
      </c>
      <c r="K1644" s="101">
        <v>2018.11</v>
      </c>
    </row>
    <row r="1645" ht="15" spans="1:11">
      <c r="A1645" s="101" t="s">
        <v>91</v>
      </c>
      <c r="B1645" s="101" t="s">
        <v>11241</v>
      </c>
      <c r="C1645" s="101"/>
      <c r="D1645" s="101" t="s">
        <v>4</v>
      </c>
      <c r="E1645" s="101" t="s">
        <v>11237</v>
      </c>
      <c r="F1645" s="101" t="s">
        <v>11218</v>
      </c>
      <c r="G1645" s="101" t="s">
        <v>209</v>
      </c>
      <c r="H1645" s="101" t="s">
        <v>8320</v>
      </c>
      <c r="I1645" s="101" t="s">
        <v>8326</v>
      </c>
      <c r="J1645" s="101" t="s">
        <v>11242</v>
      </c>
      <c r="K1645" s="101">
        <v>2023.1</v>
      </c>
    </row>
    <row r="1646" ht="15" spans="1:11">
      <c r="A1646" s="101" t="s">
        <v>91</v>
      </c>
      <c r="B1646" s="101" t="s">
        <v>11243</v>
      </c>
      <c r="C1646" s="101"/>
      <c r="D1646" s="101" t="s">
        <v>4</v>
      </c>
      <c r="E1646" s="101" t="s">
        <v>11244</v>
      </c>
      <c r="F1646" s="101" t="s">
        <v>11218</v>
      </c>
      <c r="G1646" s="101" t="s">
        <v>209</v>
      </c>
      <c r="H1646" s="101" t="s">
        <v>11245</v>
      </c>
      <c r="I1646" s="101" t="s">
        <v>11245</v>
      </c>
      <c r="J1646" s="101" t="s">
        <v>10250</v>
      </c>
      <c r="K1646" s="101">
        <v>2015.9</v>
      </c>
    </row>
  </sheetData>
  <autoFilter ref="A1:K1646">
    <extLst>
      <etc:autoFilterAnalysis etc:version="v1" etc:showPane="0">
        <etc:analysisCharts>
          <etc:chart etc:type="pie">
            <etc:category etc:colId="4"/>
            <etc:seriesCollections etc:count="1">
              <etc:series etc:colId="4" etc:subtotal="count"/>
            </etc:seriesCollections>
          </etc:chart>
        </etc:analysisCharts>
      </etc:autoFilterAnalysis>
    </extLst>
  </autoFilter>
  <mergeCells count="2">
    <mergeCell ref="K1603:K1604"/>
    <mergeCell ref="K1605:K1606"/>
  </mergeCells>
  <dataValidations count="3">
    <dataValidation type="list" allowBlank="1" showInputMessage="1" showErrorMessage="1" sqref="A1 A1649:A1048576">
      <formula1>INDIRECT("干线管道!B2:B65")</formula1>
    </dataValidation>
    <dataValidation type="list" allowBlank="1" showInputMessage="1" showErrorMessage="1" sqref="E44 E275 E381 E390 E563 E650 E1053 E1065 E1182 E1280 E1343 E1374 E1382 E1470 E721:E722 E1058:E1059">
      <formula1>INDIRECT("干线管道!B2:B60")</formula1>
    </dataValidation>
    <dataValidation type="list" allowBlank="1" showInputMessage="1" showErrorMessage="1" sqref="A2:A480 A482:A821 A823:A1203 A1205:A1316 A1318:A1390 A1391:A1419 A1420:A1421 A1422:A1479 A1480:A1600 A1601:A1648">
      <formula1>INDIRECT("干线管道!B2:B88")</formula1>
    </dataValidation>
  </dataValidations>
  <pageMargins left="0.75" right="0.75" top="1" bottom="1" header="0.5" footer="0.5"/>
  <pageSetup paperSize="9" orientation="landscape"/>
  <headerFooter/>
  <ignoredErrors>
    <ignoredError sqref="K607" numberStoredAsText="1"/>
    <ignoredError sqref="E1470" listDataValidation="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B6" sqref="B6"/>
    </sheetView>
  </sheetViews>
  <sheetFormatPr defaultColWidth="9" defaultRowHeight="14" outlineLevelRow="6" outlineLevelCol="1"/>
  <cols>
    <col min="1" max="1" width="11.6666666666667" style="82" customWidth="1"/>
    <col min="2" max="2" width="13.9166666666667" style="82" customWidth="1"/>
    <col min="3" max="16384" width="9" style="82"/>
  </cols>
  <sheetData>
    <row r="1" spans="1:2">
      <c r="A1" s="1" t="s">
        <v>94</v>
      </c>
      <c r="B1" s="1" t="s">
        <v>11246</v>
      </c>
    </row>
    <row r="2" ht="15" spans="1:2">
      <c r="A2" s="1">
        <v>1</v>
      </c>
      <c r="B2" s="83" t="s">
        <v>112</v>
      </c>
    </row>
    <row r="3" ht="15" spans="1:2">
      <c r="A3" s="1">
        <v>2</v>
      </c>
      <c r="B3" s="84" t="s">
        <v>353</v>
      </c>
    </row>
    <row r="4" ht="15" spans="1:2">
      <c r="A4" s="1">
        <v>3</v>
      </c>
      <c r="B4" s="85" t="s">
        <v>206</v>
      </c>
    </row>
    <row r="5" ht="15" spans="1:2">
      <c r="A5" s="1">
        <v>4</v>
      </c>
      <c r="B5" s="86" t="s">
        <v>117</v>
      </c>
    </row>
    <row r="6" ht="15" spans="1:2">
      <c r="A6" s="1">
        <v>5</v>
      </c>
      <c r="B6" s="87" t="s">
        <v>209</v>
      </c>
    </row>
    <row r="7" ht="15" spans="1:2">
      <c r="A7" s="1">
        <v>6</v>
      </c>
      <c r="B7" s="88" t="s">
        <v>909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26"/>
  <sheetViews>
    <sheetView workbookViewId="0">
      <pane xSplit="7" ySplit="1" topLeftCell="M2" activePane="bottomRight" state="frozen"/>
      <selection/>
      <selection pane="topRight"/>
      <selection pane="bottomLeft"/>
      <selection pane="bottomRight" activeCell="A1" sqref="$A1:$XFD1048576"/>
    </sheetView>
  </sheetViews>
  <sheetFormatPr defaultColWidth="35.75" defaultRowHeight="15"/>
  <cols>
    <col min="1" max="1" width="13.5833333333333" style="21" customWidth="1"/>
    <col min="2" max="2" width="11.75" style="21" customWidth="1"/>
    <col min="3" max="3" width="17.3333333333333" style="21" customWidth="1"/>
    <col min="4" max="4" width="22.25" style="21" customWidth="1"/>
    <col min="5" max="5" width="15.5833333333333" style="21" customWidth="1"/>
    <col min="6" max="6" width="7.08333333333333" style="21" customWidth="1"/>
    <col min="7" max="7" width="10.5" style="21" customWidth="1"/>
    <col min="8" max="8" width="14.5" style="21" customWidth="1"/>
    <col min="9" max="10" width="9.75" style="21" customWidth="1"/>
    <col min="11" max="11" width="26.0833333333333" style="21" customWidth="1"/>
    <col min="12" max="12" width="24.8333333333333" style="21" customWidth="1"/>
    <col min="13" max="13" width="28.25" style="21" customWidth="1"/>
    <col min="14" max="14" width="27.0833333333333" style="21" customWidth="1"/>
    <col min="15" max="15" width="22.75" style="21" customWidth="1"/>
    <col min="16" max="16" width="21.8333333333333" style="21" customWidth="1"/>
    <col min="17" max="17" width="19.0833333333333" style="24" customWidth="1"/>
    <col min="18" max="18" width="14.0833333333333" style="21" customWidth="1"/>
    <col min="19" max="19" width="11.8333333333333" style="21" customWidth="1"/>
    <col min="20" max="20" width="16.75" style="21" customWidth="1"/>
    <col min="21" max="21" width="20.25" style="21" customWidth="1"/>
    <col min="22" max="22" width="35.75" style="25"/>
    <col min="23" max="16384" width="35.75" style="21"/>
  </cols>
  <sheetData>
    <row r="1" s="20" customFormat="1" ht="45" spans="1:28">
      <c r="A1" s="26" t="s">
        <v>11247</v>
      </c>
      <c r="B1" s="26" t="s">
        <v>11248</v>
      </c>
      <c r="C1" s="26" t="s">
        <v>11249</v>
      </c>
      <c r="D1" s="26" t="s">
        <v>11250</v>
      </c>
      <c r="E1" s="26" t="s">
        <v>11251</v>
      </c>
      <c r="F1" s="26" t="s">
        <v>11252</v>
      </c>
      <c r="G1" s="26" t="s">
        <v>11253</v>
      </c>
      <c r="H1" s="27" t="s">
        <v>11254</v>
      </c>
      <c r="I1" s="26" t="s">
        <v>11255</v>
      </c>
      <c r="J1" s="26" t="s">
        <v>11256</v>
      </c>
      <c r="K1" s="26" t="s">
        <v>11257</v>
      </c>
      <c r="L1" s="26" t="s">
        <v>11258</v>
      </c>
      <c r="M1" s="26" t="s">
        <v>11259</v>
      </c>
      <c r="N1" s="26" t="s">
        <v>11260</v>
      </c>
      <c r="O1" s="26" t="s">
        <v>11261</v>
      </c>
      <c r="P1" s="26" t="s">
        <v>11262</v>
      </c>
      <c r="Q1" s="33" t="s">
        <v>11263</v>
      </c>
      <c r="R1" s="26" t="s">
        <v>11264</v>
      </c>
      <c r="S1" s="26" t="s">
        <v>11265</v>
      </c>
      <c r="T1" s="21" t="s">
        <v>11266</v>
      </c>
      <c r="U1" s="34" t="s">
        <v>108</v>
      </c>
      <c r="W1" s="21"/>
      <c r="X1" s="21"/>
      <c r="Y1" s="21"/>
      <c r="Z1" s="21"/>
      <c r="AA1" s="21"/>
      <c r="AB1" s="21"/>
    </row>
    <row r="2" spans="1:22">
      <c r="A2" s="28" t="s">
        <v>1291</v>
      </c>
      <c r="B2" s="26" t="str">
        <f>VLOOKUP(C2,[1]干线管道!B:C,2,FALSE)</f>
        <v>一级</v>
      </c>
      <c r="C2" s="26" t="str">
        <f>VLOOKUP(E2,[1]站场阀室!A:D,3,FALSE)</f>
        <v>西气东输一线</v>
      </c>
      <c r="D2" s="26" t="s">
        <v>109</v>
      </c>
      <c r="E2" s="26" t="s">
        <v>110</v>
      </c>
      <c r="F2" s="26" t="s">
        <v>11267</v>
      </c>
      <c r="G2" s="26" t="s">
        <v>11268</v>
      </c>
      <c r="H2" s="29">
        <v>38231</v>
      </c>
      <c r="I2" s="26" t="s">
        <v>11269</v>
      </c>
      <c r="J2" s="26" t="s">
        <v>11270</v>
      </c>
      <c r="K2" s="26" t="s">
        <v>11271</v>
      </c>
      <c r="L2" s="26" t="s">
        <v>11272</v>
      </c>
      <c r="M2" s="26" t="s">
        <v>11273</v>
      </c>
      <c r="N2" s="26" t="s">
        <v>11274</v>
      </c>
      <c r="O2" s="26">
        <v>5040</v>
      </c>
      <c r="P2" s="26" t="s">
        <v>11275</v>
      </c>
      <c r="Q2" s="33">
        <v>29.53</v>
      </c>
      <c r="R2" s="35" t="s">
        <v>11276</v>
      </c>
      <c r="S2" s="26" t="s">
        <v>8247</v>
      </c>
      <c r="T2" s="31" t="s">
        <v>8244</v>
      </c>
      <c r="U2" s="26"/>
      <c r="V2" s="21"/>
    </row>
    <row r="3" spans="1:22">
      <c r="A3" s="28" t="s">
        <v>1291</v>
      </c>
      <c r="B3" s="26" t="str">
        <f>VLOOKUP(C3,[1]干线管道!B:C,2,FALSE)</f>
        <v>一级</v>
      </c>
      <c r="C3" s="26" t="str">
        <f>VLOOKUP(E3,[1]站场阀室!A:D,3,FALSE)</f>
        <v>西气东输一线</v>
      </c>
      <c r="D3" s="26" t="s">
        <v>109</v>
      </c>
      <c r="E3" s="26" t="s">
        <v>110</v>
      </c>
      <c r="F3" s="26" t="s">
        <v>11267</v>
      </c>
      <c r="G3" s="26" t="s">
        <v>11176</v>
      </c>
      <c r="H3" s="29">
        <v>38231</v>
      </c>
      <c r="I3" s="26" t="s">
        <v>11269</v>
      </c>
      <c r="J3" s="26" t="s">
        <v>11270</v>
      </c>
      <c r="K3" s="26" t="s">
        <v>11271</v>
      </c>
      <c r="L3" s="26" t="s">
        <v>11272</v>
      </c>
      <c r="M3" s="26" t="s">
        <v>11273</v>
      </c>
      <c r="N3" s="26" t="s">
        <v>11274</v>
      </c>
      <c r="O3" s="26">
        <v>5040</v>
      </c>
      <c r="P3" s="26" t="s">
        <v>11275</v>
      </c>
      <c r="Q3" s="33">
        <v>29.53</v>
      </c>
      <c r="R3" s="35" t="s">
        <v>11276</v>
      </c>
      <c r="S3" s="26"/>
      <c r="T3" s="31" t="s">
        <v>8244</v>
      </c>
      <c r="U3" s="26"/>
      <c r="V3" s="21"/>
    </row>
    <row r="4" spans="1:22">
      <c r="A4" s="28" t="s">
        <v>1291</v>
      </c>
      <c r="B4" s="26" t="str">
        <f>VLOOKUP(C4,[1]干线管道!B:C,2,FALSE)</f>
        <v>一级</v>
      </c>
      <c r="C4" s="26" t="str">
        <f>VLOOKUP(E4,[1]站场阀室!A:D,3,FALSE)</f>
        <v>西气东输一线</v>
      </c>
      <c r="D4" s="26" t="s">
        <v>109</v>
      </c>
      <c r="E4" s="26" t="s">
        <v>110</v>
      </c>
      <c r="F4" s="26" t="s">
        <v>11267</v>
      </c>
      <c r="G4" s="26" t="s">
        <v>9245</v>
      </c>
      <c r="H4" s="29">
        <v>40126</v>
      </c>
      <c r="I4" s="26" t="s">
        <v>11269</v>
      </c>
      <c r="J4" s="26" t="s">
        <v>11270</v>
      </c>
      <c r="K4" s="26" t="s">
        <v>11271</v>
      </c>
      <c r="L4" s="26" t="s">
        <v>11272</v>
      </c>
      <c r="M4" s="26" t="s">
        <v>11273</v>
      </c>
      <c r="N4" s="26" t="s">
        <v>11274</v>
      </c>
      <c r="O4" s="26">
        <v>5040</v>
      </c>
      <c r="P4" s="26" t="s">
        <v>11275</v>
      </c>
      <c r="Q4" s="33">
        <v>29.53</v>
      </c>
      <c r="R4" s="35" t="s">
        <v>11276</v>
      </c>
      <c r="S4" s="26"/>
      <c r="T4" s="31" t="s">
        <v>8244</v>
      </c>
      <c r="U4" s="26"/>
      <c r="V4" s="21"/>
    </row>
    <row r="5" spans="1:22">
      <c r="A5" s="28" t="s">
        <v>1291</v>
      </c>
      <c r="B5" s="26" t="str">
        <f>VLOOKUP(C5,[1]干线管道!B:C,2,FALSE)</f>
        <v>一级</v>
      </c>
      <c r="C5" s="26" t="str">
        <f>VLOOKUP(E5,[1]站场阀室!A:D,3,FALSE)</f>
        <v>西气东输一线</v>
      </c>
      <c r="D5" s="26" t="s">
        <v>109</v>
      </c>
      <c r="E5" s="26" t="s">
        <v>1313</v>
      </c>
      <c r="F5" s="26" t="s">
        <v>11267</v>
      </c>
      <c r="G5" s="26" t="s">
        <v>11268</v>
      </c>
      <c r="H5" s="29">
        <v>39080</v>
      </c>
      <c r="I5" s="26" t="s">
        <v>11269</v>
      </c>
      <c r="J5" s="26" t="s">
        <v>11270</v>
      </c>
      <c r="K5" s="26" t="s">
        <v>11277</v>
      </c>
      <c r="L5" s="26" t="s">
        <v>11278</v>
      </c>
      <c r="M5" s="26" t="s">
        <v>11279</v>
      </c>
      <c r="N5" s="26" t="s">
        <v>11280</v>
      </c>
      <c r="O5" s="26">
        <v>6405</v>
      </c>
      <c r="P5" s="26" t="s">
        <v>11281</v>
      </c>
      <c r="Q5" s="33">
        <v>31.4</v>
      </c>
      <c r="R5" s="35" t="s">
        <v>11276</v>
      </c>
      <c r="S5" s="26" t="s">
        <v>8247</v>
      </c>
      <c r="T5" s="31" t="s">
        <v>8244</v>
      </c>
      <c r="U5" s="26"/>
      <c r="V5" s="21"/>
    </row>
    <row r="6" spans="1:22">
      <c r="A6" s="28" t="s">
        <v>1291</v>
      </c>
      <c r="B6" s="26" t="str">
        <f>VLOOKUP(C6,[1]干线管道!B:C,2,FALSE)</f>
        <v>一级</v>
      </c>
      <c r="C6" s="26" t="str">
        <f>VLOOKUP(E6,[1]站场阀室!A:D,3,FALSE)</f>
        <v>西气东输一线</v>
      </c>
      <c r="D6" s="26" t="s">
        <v>109</v>
      </c>
      <c r="E6" s="26" t="s">
        <v>1313</v>
      </c>
      <c r="F6" s="26" t="s">
        <v>11267</v>
      </c>
      <c r="G6" s="26" t="s">
        <v>11176</v>
      </c>
      <c r="H6" s="29">
        <v>39117</v>
      </c>
      <c r="I6" s="26" t="s">
        <v>11269</v>
      </c>
      <c r="J6" s="26" t="s">
        <v>11270</v>
      </c>
      <c r="K6" s="26" t="s">
        <v>11277</v>
      </c>
      <c r="L6" s="26" t="s">
        <v>11278</v>
      </c>
      <c r="M6" s="26" t="s">
        <v>11279</v>
      </c>
      <c r="N6" s="26" t="s">
        <v>11280</v>
      </c>
      <c r="O6" s="26">
        <v>6405</v>
      </c>
      <c r="P6" s="26" t="s">
        <v>11281</v>
      </c>
      <c r="Q6" s="33">
        <v>31.4</v>
      </c>
      <c r="R6" s="35" t="s">
        <v>11276</v>
      </c>
      <c r="S6" s="26"/>
      <c r="T6" s="31" t="s">
        <v>8244</v>
      </c>
      <c r="U6" s="26"/>
      <c r="V6" s="21"/>
    </row>
    <row r="7" spans="1:22">
      <c r="A7" s="28" t="s">
        <v>1291</v>
      </c>
      <c r="B7" s="26" t="str">
        <f>VLOOKUP(C7,[1]干线管道!B:C,2,FALSE)</f>
        <v>一级</v>
      </c>
      <c r="C7" s="26" t="str">
        <f>VLOOKUP(E7,[1]站场阀室!A:D,3,FALSE)</f>
        <v>西气东输一线</v>
      </c>
      <c r="D7" s="26" t="s">
        <v>109</v>
      </c>
      <c r="E7" s="26" t="s">
        <v>1313</v>
      </c>
      <c r="F7" s="26" t="s">
        <v>11267</v>
      </c>
      <c r="G7" s="26" t="s">
        <v>9245</v>
      </c>
      <c r="H7" s="29">
        <v>40483</v>
      </c>
      <c r="I7" s="26" t="s">
        <v>11269</v>
      </c>
      <c r="J7" s="26" t="s">
        <v>11270</v>
      </c>
      <c r="K7" s="26" t="s">
        <v>11277</v>
      </c>
      <c r="L7" s="26" t="s">
        <v>11278</v>
      </c>
      <c r="M7" s="26" t="s">
        <v>11279</v>
      </c>
      <c r="N7" s="26" t="s">
        <v>11280</v>
      </c>
      <c r="O7" s="26">
        <v>6405</v>
      </c>
      <c r="P7" s="26" t="s">
        <v>11281</v>
      </c>
      <c r="Q7" s="33">
        <v>31.4</v>
      </c>
      <c r="R7" s="35" t="s">
        <v>11276</v>
      </c>
      <c r="S7" s="26"/>
      <c r="T7" s="31" t="s">
        <v>8244</v>
      </c>
      <c r="U7" s="26"/>
      <c r="V7" s="21"/>
    </row>
    <row r="8" spans="1:22">
      <c r="A8" s="28" t="s">
        <v>1291</v>
      </c>
      <c r="B8" s="26" t="str">
        <f>VLOOKUP(C8,[1]干线管道!B:C,2,FALSE)</f>
        <v>一级</v>
      </c>
      <c r="C8" s="26" t="str">
        <f>VLOOKUP(E8,[1]站场阀室!A:D,3,FALSE)</f>
        <v>西气东输一线</v>
      </c>
      <c r="D8" s="26" t="s">
        <v>109</v>
      </c>
      <c r="E8" s="26" t="s">
        <v>1330</v>
      </c>
      <c r="F8" s="26" t="s">
        <v>11282</v>
      </c>
      <c r="G8" s="26" t="s">
        <v>11268</v>
      </c>
      <c r="H8" s="29">
        <v>39071</v>
      </c>
      <c r="I8" s="26" t="s">
        <v>11269</v>
      </c>
      <c r="J8" s="26" t="s">
        <v>11270</v>
      </c>
      <c r="K8" s="26" t="s">
        <v>11271</v>
      </c>
      <c r="L8" s="26" t="s">
        <v>11272</v>
      </c>
      <c r="M8" s="26" t="s">
        <v>11273</v>
      </c>
      <c r="N8" s="26" t="s">
        <v>11274</v>
      </c>
      <c r="O8" s="26">
        <v>5040</v>
      </c>
      <c r="P8" s="26" t="s">
        <v>11283</v>
      </c>
      <c r="Q8" s="33">
        <v>29.53</v>
      </c>
      <c r="R8" s="35" t="s">
        <v>11276</v>
      </c>
      <c r="S8" s="26" t="s">
        <v>8247</v>
      </c>
      <c r="T8" s="31" t="s">
        <v>8244</v>
      </c>
      <c r="U8" s="26"/>
      <c r="V8" s="21"/>
    </row>
    <row r="9" spans="1:22">
      <c r="A9" s="28" t="s">
        <v>1291</v>
      </c>
      <c r="B9" s="26" t="str">
        <f>VLOOKUP(C9,[1]干线管道!B:C,2,FALSE)</f>
        <v>一级</v>
      </c>
      <c r="C9" s="26" t="str">
        <f>VLOOKUP(E9,[1]站场阀室!A:D,3,FALSE)</f>
        <v>西气东输一线</v>
      </c>
      <c r="D9" s="26" t="s">
        <v>109</v>
      </c>
      <c r="E9" s="26" t="s">
        <v>1330</v>
      </c>
      <c r="F9" s="26" t="s">
        <v>11282</v>
      </c>
      <c r="G9" s="26" t="s">
        <v>11176</v>
      </c>
      <c r="H9" s="29">
        <v>38248</v>
      </c>
      <c r="I9" s="26" t="s">
        <v>11269</v>
      </c>
      <c r="J9" s="26" t="s">
        <v>11270</v>
      </c>
      <c r="K9" s="26" t="s">
        <v>11271</v>
      </c>
      <c r="L9" s="26" t="s">
        <v>11272</v>
      </c>
      <c r="M9" s="26" t="s">
        <v>11273</v>
      </c>
      <c r="N9" s="26" t="s">
        <v>11274</v>
      </c>
      <c r="O9" s="26">
        <v>5040</v>
      </c>
      <c r="P9" s="26" t="s">
        <v>11283</v>
      </c>
      <c r="Q9" s="33">
        <v>29.53</v>
      </c>
      <c r="R9" s="35" t="s">
        <v>11276</v>
      </c>
      <c r="S9" s="26"/>
      <c r="T9" s="31" t="s">
        <v>8244</v>
      </c>
      <c r="U9" s="26"/>
      <c r="V9" s="21"/>
    </row>
    <row r="10" spans="1:22">
      <c r="A10" s="28" t="s">
        <v>1291</v>
      </c>
      <c r="B10" s="26" t="str">
        <f>VLOOKUP(C10,[1]干线管道!B:C,2,FALSE)</f>
        <v>一级</v>
      </c>
      <c r="C10" s="26" t="str">
        <f>VLOOKUP(E10,[1]站场阀室!A:D,3,FALSE)</f>
        <v>西气东输一线</v>
      </c>
      <c r="D10" s="26" t="s">
        <v>109</v>
      </c>
      <c r="E10" s="26" t="s">
        <v>1350</v>
      </c>
      <c r="F10" s="26" t="s">
        <v>11267</v>
      </c>
      <c r="G10" s="26" t="s">
        <v>11268</v>
      </c>
      <c r="H10" s="29">
        <v>39122</v>
      </c>
      <c r="I10" s="26" t="s">
        <v>11269</v>
      </c>
      <c r="J10" s="26" t="s">
        <v>11270</v>
      </c>
      <c r="K10" s="26" t="s">
        <v>11277</v>
      </c>
      <c r="L10" s="26" t="s">
        <v>11278</v>
      </c>
      <c r="M10" s="26" t="s">
        <v>11279</v>
      </c>
      <c r="N10" s="26" t="s">
        <v>11280</v>
      </c>
      <c r="O10" s="26">
        <v>6405</v>
      </c>
      <c r="P10" s="26" t="s">
        <v>11284</v>
      </c>
      <c r="Q10" s="33">
        <v>31.364</v>
      </c>
      <c r="R10" s="35" t="s">
        <v>11276</v>
      </c>
      <c r="S10" s="26" t="s">
        <v>8247</v>
      </c>
      <c r="T10" s="31" t="s">
        <v>8244</v>
      </c>
      <c r="U10" s="26"/>
      <c r="V10" s="21"/>
    </row>
    <row r="11" spans="1:22">
      <c r="A11" s="28" t="s">
        <v>1291</v>
      </c>
      <c r="B11" s="26" t="str">
        <f>VLOOKUP(C11,[1]干线管道!B:C,2,FALSE)</f>
        <v>一级</v>
      </c>
      <c r="C11" s="26" t="str">
        <f>VLOOKUP(E11,[1]站场阀室!A:D,3,FALSE)</f>
        <v>西气东输一线</v>
      </c>
      <c r="D11" s="26" t="s">
        <v>109</v>
      </c>
      <c r="E11" s="26" t="s">
        <v>1350</v>
      </c>
      <c r="F11" s="26" t="s">
        <v>11267</v>
      </c>
      <c r="G11" s="26" t="s">
        <v>11176</v>
      </c>
      <c r="H11" s="29">
        <v>39078</v>
      </c>
      <c r="I11" s="26" t="s">
        <v>11269</v>
      </c>
      <c r="J11" s="26" t="s">
        <v>11270</v>
      </c>
      <c r="K11" s="26" t="s">
        <v>11277</v>
      </c>
      <c r="L11" s="26" t="s">
        <v>11278</v>
      </c>
      <c r="M11" s="26" t="s">
        <v>11279</v>
      </c>
      <c r="N11" s="26" t="s">
        <v>11280</v>
      </c>
      <c r="O11" s="26">
        <v>6405</v>
      </c>
      <c r="P11" s="26" t="s">
        <v>11284</v>
      </c>
      <c r="Q11" s="33">
        <v>31.364</v>
      </c>
      <c r="R11" s="35" t="s">
        <v>11276</v>
      </c>
      <c r="S11" s="26"/>
      <c r="T11" s="31" t="s">
        <v>8244</v>
      </c>
      <c r="U11" s="26"/>
      <c r="V11" s="21"/>
    </row>
    <row r="12" spans="1:22">
      <c r="A12" s="28" t="s">
        <v>1291</v>
      </c>
      <c r="B12" s="26" t="str">
        <f>VLOOKUP(C12,[1]干线管道!B:C,2,FALSE)</f>
        <v>一级</v>
      </c>
      <c r="C12" s="26" t="str">
        <f>VLOOKUP(E12,[1]站场阀室!A:D,3,FALSE)</f>
        <v>西气东输一线</v>
      </c>
      <c r="D12" s="26" t="s">
        <v>109</v>
      </c>
      <c r="E12" s="26" t="s">
        <v>1350</v>
      </c>
      <c r="F12" s="26" t="s">
        <v>11267</v>
      </c>
      <c r="G12" s="26" t="s">
        <v>9245</v>
      </c>
      <c r="H12" s="29">
        <v>40544</v>
      </c>
      <c r="I12" s="26" t="s">
        <v>11269</v>
      </c>
      <c r="J12" s="26" t="s">
        <v>11270</v>
      </c>
      <c r="K12" s="26" t="s">
        <v>11277</v>
      </c>
      <c r="L12" s="26" t="s">
        <v>11278</v>
      </c>
      <c r="M12" s="26" t="s">
        <v>11279</v>
      </c>
      <c r="N12" s="26" t="s">
        <v>11280</v>
      </c>
      <c r="O12" s="26">
        <v>6405</v>
      </c>
      <c r="P12" s="26" t="s">
        <v>11284</v>
      </c>
      <c r="Q12" s="33">
        <v>31.364</v>
      </c>
      <c r="R12" s="35" t="s">
        <v>11276</v>
      </c>
      <c r="S12" s="26"/>
      <c r="T12" s="31" t="s">
        <v>8244</v>
      </c>
      <c r="U12" s="26"/>
      <c r="V12" s="21"/>
    </row>
    <row r="13" spans="1:22">
      <c r="A13" s="28" t="s">
        <v>1291</v>
      </c>
      <c r="B13" s="26" t="str">
        <f>VLOOKUP(C13,[1]干线管道!B:C,2,FALSE)</f>
        <v>一级</v>
      </c>
      <c r="C13" s="26" t="str">
        <f>VLOOKUP(E13,[1]站场阀室!A:D,3,FALSE)</f>
        <v>西气东输一线</v>
      </c>
      <c r="D13" s="26" t="s">
        <v>109</v>
      </c>
      <c r="E13" s="26" t="s">
        <v>1359</v>
      </c>
      <c r="F13" s="26" t="s">
        <v>11267</v>
      </c>
      <c r="G13" s="30" t="s">
        <v>11268</v>
      </c>
      <c r="H13" s="29">
        <v>38658</v>
      </c>
      <c r="I13" s="26" t="s">
        <v>11269</v>
      </c>
      <c r="J13" s="26" t="s">
        <v>11270</v>
      </c>
      <c r="K13" s="26" t="s">
        <v>11271</v>
      </c>
      <c r="L13" s="26" t="s">
        <v>11285</v>
      </c>
      <c r="M13" s="26" t="s">
        <v>11273</v>
      </c>
      <c r="N13" s="26" t="s">
        <v>11274</v>
      </c>
      <c r="O13" s="26">
        <v>5040</v>
      </c>
      <c r="P13" s="26" t="s">
        <v>11286</v>
      </c>
      <c r="Q13" s="33">
        <v>29.53</v>
      </c>
      <c r="R13" s="35" t="s">
        <v>11276</v>
      </c>
      <c r="S13" s="26" t="s">
        <v>8247</v>
      </c>
      <c r="T13" s="31" t="s">
        <v>8244</v>
      </c>
      <c r="U13" s="26"/>
      <c r="V13" s="21"/>
    </row>
    <row r="14" spans="1:22">
      <c r="A14" s="28" t="s">
        <v>1291</v>
      </c>
      <c r="B14" s="26" t="str">
        <f>VLOOKUP(C14,[1]干线管道!B:C,2,FALSE)</f>
        <v>一级</v>
      </c>
      <c r="C14" s="26" t="str">
        <f>VLOOKUP(E14,[1]站场阀室!A:D,3,FALSE)</f>
        <v>西气东输一线</v>
      </c>
      <c r="D14" s="26" t="s">
        <v>109</v>
      </c>
      <c r="E14" s="26" t="s">
        <v>1359</v>
      </c>
      <c r="F14" s="26" t="s">
        <v>11267</v>
      </c>
      <c r="G14" s="30" t="s">
        <v>11176</v>
      </c>
      <c r="H14" s="29">
        <v>38695</v>
      </c>
      <c r="I14" s="26" t="s">
        <v>11269</v>
      </c>
      <c r="J14" s="26" t="s">
        <v>11270</v>
      </c>
      <c r="K14" s="26" t="s">
        <v>11271</v>
      </c>
      <c r="L14" s="26" t="s">
        <v>11285</v>
      </c>
      <c r="M14" s="26" t="s">
        <v>11273</v>
      </c>
      <c r="N14" s="26" t="s">
        <v>11274</v>
      </c>
      <c r="O14" s="26">
        <v>5040</v>
      </c>
      <c r="P14" s="26" t="s">
        <v>11286</v>
      </c>
      <c r="Q14" s="33">
        <v>29.53</v>
      </c>
      <c r="R14" s="35" t="s">
        <v>11276</v>
      </c>
      <c r="S14" s="26"/>
      <c r="T14" s="31" t="s">
        <v>8244</v>
      </c>
      <c r="U14" s="26"/>
      <c r="V14" s="21"/>
    </row>
    <row r="15" spans="1:22">
      <c r="A15" s="28" t="s">
        <v>1291</v>
      </c>
      <c r="B15" s="26" t="str">
        <f>VLOOKUP(C15,[1]干线管道!B:C,2,FALSE)</f>
        <v>一级</v>
      </c>
      <c r="C15" s="26" t="str">
        <f>VLOOKUP(E15,[1]站场阀室!A:D,3,FALSE)</f>
        <v>西气东输一线</v>
      </c>
      <c r="D15" s="26" t="s">
        <v>109</v>
      </c>
      <c r="E15" s="26" t="s">
        <v>1359</v>
      </c>
      <c r="F15" s="26" t="s">
        <v>11267</v>
      </c>
      <c r="G15" s="30" t="s">
        <v>9245</v>
      </c>
      <c r="H15" s="29">
        <v>40505</v>
      </c>
      <c r="I15" s="26" t="s">
        <v>11269</v>
      </c>
      <c r="J15" s="26" t="s">
        <v>11270</v>
      </c>
      <c r="K15" s="26" t="s">
        <v>11271</v>
      </c>
      <c r="L15" s="26" t="s">
        <v>11285</v>
      </c>
      <c r="M15" s="26" t="s">
        <v>11273</v>
      </c>
      <c r="N15" s="26" t="s">
        <v>11274</v>
      </c>
      <c r="O15" s="26">
        <v>5040</v>
      </c>
      <c r="P15" s="26" t="s">
        <v>11286</v>
      </c>
      <c r="Q15" s="33">
        <v>29.53</v>
      </c>
      <c r="R15" s="35" t="s">
        <v>11276</v>
      </c>
      <c r="S15" s="26"/>
      <c r="T15" s="31" t="s">
        <v>8244</v>
      </c>
      <c r="U15" s="26"/>
      <c r="V15" s="21"/>
    </row>
    <row r="16" spans="1:22">
      <c r="A16" s="28" t="s">
        <v>1291</v>
      </c>
      <c r="B16" s="26" t="str">
        <f>VLOOKUP(C16,[1]干线管道!B:C,2,FALSE)</f>
        <v>一级</v>
      </c>
      <c r="C16" s="26" t="str">
        <f>VLOOKUP(E16,[1]站场阀室!A:D,3,FALSE)</f>
        <v>西气东输一线</v>
      </c>
      <c r="D16" s="26" t="s">
        <v>109</v>
      </c>
      <c r="E16" s="26" t="s">
        <v>1371</v>
      </c>
      <c r="F16" s="26" t="s">
        <v>11282</v>
      </c>
      <c r="G16" s="26" t="s">
        <v>11268</v>
      </c>
      <c r="H16" s="29">
        <v>39351</v>
      </c>
      <c r="I16" s="26" t="s">
        <v>11269</v>
      </c>
      <c r="J16" s="26" t="s">
        <v>11270</v>
      </c>
      <c r="K16" s="26" t="s">
        <v>11277</v>
      </c>
      <c r="L16" s="26" t="s">
        <v>11278</v>
      </c>
      <c r="M16" s="26" t="s">
        <v>11279</v>
      </c>
      <c r="N16" s="26" t="s">
        <v>11280</v>
      </c>
      <c r="O16" s="26">
        <v>6405</v>
      </c>
      <c r="P16" s="26" t="s">
        <v>11284</v>
      </c>
      <c r="Q16" s="33">
        <v>31.364</v>
      </c>
      <c r="R16" s="35" t="s">
        <v>11276</v>
      </c>
      <c r="S16" s="26" t="s">
        <v>8247</v>
      </c>
      <c r="T16" s="31" t="s">
        <v>8244</v>
      </c>
      <c r="U16" s="26"/>
      <c r="V16" s="21"/>
    </row>
    <row r="17" s="21" customFormat="1" spans="1:21">
      <c r="A17" s="28" t="s">
        <v>1291</v>
      </c>
      <c r="B17" s="26" t="str">
        <f>VLOOKUP(C17,[1]干线管道!B:C,2,FALSE)</f>
        <v>一级</v>
      </c>
      <c r="C17" s="26" t="str">
        <f>VLOOKUP(E17,[1]站场阀室!A:D,3,FALSE)</f>
        <v>西气东输一线</v>
      </c>
      <c r="D17" s="26" t="s">
        <v>109</v>
      </c>
      <c r="E17" s="26" t="s">
        <v>1371</v>
      </c>
      <c r="F17" s="26" t="s">
        <v>11282</v>
      </c>
      <c r="G17" s="26" t="s">
        <v>11176</v>
      </c>
      <c r="H17" s="29">
        <v>39262</v>
      </c>
      <c r="I17" s="26" t="s">
        <v>11269</v>
      </c>
      <c r="J17" s="26" t="s">
        <v>11270</v>
      </c>
      <c r="K17" s="26" t="s">
        <v>11277</v>
      </c>
      <c r="L17" s="26" t="s">
        <v>11278</v>
      </c>
      <c r="M17" s="26" t="s">
        <v>11279</v>
      </c>
      <c r="N17" s="26" t="s">
        <v>11280</v>
      </c>
      <c r="O17" s="26">
        <v>6405</v>
      </c>
      <c r="P17" s="26" t="s">
        <v>11284</v>
      </c>
      <c r="Q17" s="33">
        <v>31.364</v>
      </c>
      <c r="R17" s="35" t="s">
        <v>11276</v>
      </c>
      <c r="S17" s="26"/>
      <c r="T17" s="31" t="s">
        <v>8244</v>
      </c>
      <c r="U17" s="26"/>
    </row>
    <row r="18" s="21" customFormat="1" spans="1:21">
      <c r="A18" s="28" t="s">
        <v>1384</v>
      </c>
      <c r="B18" s="26" t="str">
        <f>VLOOKUP(C18,[1]干线管道!B:C,2,FALSE)</f>
        <v>一级</v>
      </c>
      <c r="C18" s="26" t="str">
        <f>VLOOKUP(E18,[1]站场阀室!A:D,3,FALSE)</f>
        <v>西气东输一线</v>
      </c>
      <c r="D18" s="26" t="str">
        <f>VLOOKUP(E18,[1]站场阀室!A:D,4,FALSE)</f>
        <v>西一线干线甘肃段</v>
      </c>
      <c r="E18" s="26" t="s">
        <v>111</v>
      </c>
      <c r="F18" s="26" t="s">
        <v>11267</v>
      </c>
      <c r="G18" s="30" t="s">
        <v>11268</v>
      </c>
      <c r="H18" s="29">
        <v>38607</v>
      </c>
      <c r="I18" s="26" t="s">
        <v>11269</v>
      </c>
      <c r="J18" s="26" t="s">
        <v>11270</v>
      </c>
      <c r="K18" s="26" t="s">
        <v>11271</v>
      </c>
      <c r="L18" s="26" t="s">
        <v>11272</v>
      </c>
      <c r="M18" s="26" t="s">
        <v>11273</v>
      </c>
      <c r="N18" s="26" t="s">
        <v>11274</v>
      </c>
      <c r="O18" s="26">
        <v>5040</v>
      </c>
      <c r="P18" s="26" t="s">
        <v>11286</v>
      </c>
      <c r="Q18" s="33">
        <v>29.53</v>
      </c>
      <c r="R18" s="35" t="s">
        <v>11276</v>
      </c>
      <c r="S18" s="26" t="s">
        <v>8247</v>
      </c>
      <c r="T18" s="31" t="s">
        <v>8244</v>
      </c>
      <c r="U18" s="26"/>
    </row>
    <row r="19" s="21" customFormat="1" spans="1:21">
      <c r="A19" s="28" t="s">
        <v>1384</v>
      </c>
      <c r="B19" s="26" t="str">
        <f>VLOOKUP(C19,[1]干线管道!B:C,2,FALSE)</f>
        <v>一级</v>
      </c>
      <c r="C19" s="26" t="str">
        <f>VLOOKUP(E19,[1]站场阀室!A:D,3,FALSE)</f>
        <v>西气东输一线</v>
      </c>
      <c r="D19" s="26" t="str">
        <f>VLOOKUP(E19,[1]站场阀室!A:D,4,FALSE)</f>
        <v>西一线干线甘肃段</v>
      </c>
      <c r="E19" s="26" t="s">
        <v>111</v>
      </c>
      <c r="F19" s="26" t="s">
        <v>11267</v>
      </c>
      <c r="G19" s="30" t="s">
        <v>11176</v>
      </c>
      <c r="H19" s="29">
        <v>38607</v>
      </c>
      <c r="I19" s="26" t="s">
        <v>11269</v>
      </c>
      <c r="J19" s="26" t="s">
        <v>11270</v>
      </c>
      <c r="K19" s="26" t="s">
        <v>11271</v>
      </c>
      <c r="L19" s="26" t="s">
        <v>11272</v>
      </c>
      <c r="M19" s="26" t="s">
        <v>11273</v>
      </c>
      <c r="N19" s="26" t="s">
        <v>11274</v>
      </c>
      <c r="O19" s="26">
        <v>5040</v>
      </c>
      <c r="P19" s="26" t="s">
        <v>11286</v>
      </c>
      <c r="Q19" s="33">
        <v>29.53</v>
      </c>
      <c r="R19" s="35" t="s">
        <v>11276</v>
      </c>
      <c r="S19" s="26"/>
      <c r="T19" s="31" t="s">
        <v>8244</v>
      </c>
      <c r="U19" s="26"/>
    </row>
    <row r="20" s="21" customFormat="1" spans="1:21">
      <c r="A20" s="28" t="s">
        <v>1384</v>
      </c>
      <c r="B20" s="26" t="str">
        <f>VLOOKUP(C20,[1]干线管道!B:C,2,FALSE)</f>
        <v>一级</v>
      </c>
      <c r="C20" s="26" t="str">
        <f>VLOOKUP(E20,[1]站场阀室!A:D,3,FALSE)</f>
        <v>西气东输一线</v>
      </c>
      <c r="D20" s="26" t="str">
        <f>VLOOKUP(E20,[1]站场阀室!A:D,4,FALSE)</f>
        <v>西一线干线甘肃段</v>
      </c>
      <c r="E20" s="26" t="s">
        <v>111</v>
      </c>
      <c r="F20" s="26" t="s">
        <v>11267</v>
      </c>
      <c r="G20" s="30" t="s">
        <v>9245</v>
      </c>
      <c r="H20" s="29">
        <v>40494</v>
      </c>
      <c r="I20" s="26" t="s">
        <v>11269</v>
      </c>
      <c r="J20" s="26" t="s">
        <v>11270</v>
      </c>
      <c r="K20" s="26" t="s">
        <v>11271</v>
      </c>
      <c r="L20" s="26" t="s">
        <v>11272</v>
      </c>
      <c r="M20" s="26" t="s">
        <v>11273</v>
      </c>
      <c r="N20" s="26" t="s">
        <v>11274</v>
      </c>
      <c r="O20" s="26">
        <v>5040</v>
      </c>
      <c r="P20" s="26" t="s">
        <v>11286</v>
      </c>
      <c r="Q20" s="33">
        <v>29.53</v>
      </c>
      <c r="R20" s="35" t="s">
        <v>11276</v>
      </c>
      <c r="S20" s="26"/>
      <c r="T20" s="31" t="s">
        <v>8244</v>
      </c>
      <c r="U20" s="26"/>
    </row>
    <row r="21" s="21" customFormat="1" spans="1:21">
      <c r="A21" s="28" t="s">
        <v>1384</v>
      </c>
      <c r="B21" s="26" t="str">
        <f>VLOOKUP(C21,[1]干线管道!B:C,2,FALSE)</f>
        <v>一级</v>
      </c>
      <c r="C21" s="26" t="str">
        <f>VLOOKUP(E21,[1]站场阀室!A:D,3,FALSE)</f>
        <v>西气东输一线</v>
      </c>
      <c r="D21" s="26" t="str">
        <f>VLOOKUP(E21,[1]站场阀室!A:D,4,FALSE)</f>
        <v>西一线干线甘肃段</v>
      </c>
      <c r="E21" s="26" t="s">
        <v>1399</v>
      </c>
      <c r="F21" s="26" t="s">
        <v>11267</v>
      </c>
      <c r="G21" s="30" t="s">
        <v>11268</v>
      </c>
      <c r="H21" s="29">
        <v>39083</v>
      </c>
      <c r="I21" s="26" t="s">
        <v>11269</v>
      </c>
      <c r="J21" s="26" t="s">
        <v>11270</v>
      </c>
      <c r="K21" s="26" t="s">
        <v>11277</v>
      </c>
      <c r="L21" s="26" t="s">
        <v>11278</v>
      </c>
      <c r="M21" s="26" t="s">
        <v>11279</v>
      </c>
      <c r="N21" s="26" t="s">
        <v>11280</v>
      </c>
      <c r="O21" s="26">
        <v>6405</v>
      </c>
      <c r="P21" s="26" t="s">
        <v>11284</v>
      </c>
      <c r="Q21" s="33">
        <v>31.364</v>
      </c>
      <c r="R21" s="35" t="s">
        <v>11276</v>
      </c>
      <c r="S21" s="26" t="s">
        <v>8247</v>
      </c>
      <c r="T21" s="31" t="s">
        <v>8244</v>
      </c>
      <c r="U21" s="26"/>
    </row>
    <row r="22" s="21" customFormat="1" spans="1:21">
      <c r="A22" s="28" t="s">
        <v>1384</v>
      </c>
      <c r="B22" s="26" t="str">
        <f>VLOOKUP(C22,[1]干线管道!B:C,2,FALSE)</f>
        <v>一级</v>
      </c>
      <c r="C22" s="26" t="str">
        <f>VLOOKUP(E22,[1]站场阀室!A:D,3,FALSE)</f>
        <v>西气东输一线</v>
      </c>
      <c r="D22" s="26" t="str">
        <f>VLOOKUP(E22,[1]站场阀室!A:D,4,FALSE)</f>
        <v>西一线干线甘肃段</v>
      </c>
      <c r="E22" s="26" t="s">
        <v>1399</v>
      </c>
      <c r="F22" s="26" t="s">
        <v>11267</v>
      </c>
      <c r="G22" s="30" t="s">
        <v>11176</v>
      </c>
      <c r="H22" s="29">
        <v>39090</v>
      </c>
      <c r="I22" s="26" t="s">
        <v>11269</v>
      </c>
      <c r="J22" s="26" t="s">
        <v>11270</v>
      </c>
      <c r="K22" s="26" t="s">
        <v>11277</v>
      </c>
      <c r="L22" s="26" t="s">
        <v>11278</v>
      </c>
      <c r="M22" s="26" t="s">
        <v>11279</v>
      </c>
      <c r="N22" s="26" t="s">
        <v>11280</v>
      </c>
      <c r="O22" s="26">
        <v>6405</v>
      </c>
      <c r="P22" s="26" t="s">
        <v>11284</v>
      </c>
      <c r="Q22" s="33">
        <v>31.364</v>
      </c>
      <c r="R22" s="35" t="s">
        <v>11276</v>
      </c>
      <c r="S22" s="26"/>
      <c r="T22" s="31" t="s">
        <v>8244</v>
      </c>
      <c r="U22" s="26"/>
    </row>
    <row r="23" s="21" customFormat="1" spans="1:21">
      <c r="A23" s="28" t="s">
        <v>1384</v>
      </c>
      <c r="B23" s="26" t="str">
        <f>VLOOKUP(C23,[1]干线管道!B:C,2,FALSE)</f>
        <v>一级</v>
      </c>
      <c r="C23" s="26" t="str">
        <f>VLOOKUP(E23,[1]站场阀室!A:D,3,FALSE)</f>
        <v>西气东输一线</v>
      </c>
      <c r="D23" s="26" t="str">
        <f>VLOOKUP(E23,[1]站场阀室!A:D,4,FALSE)</f>
        <v>西一线干线甘肃段</v>
      </c>
      <c r="E23" s="26" t="s">
        <v>1399</v>
      </c>
      <c r="F23" s="26" t="s">
        <v>11267</v>
      </c>
      <c r="G23" s="30" t="s">
        <v>9245</v>
      </c>
      <c r="H23" s="29">
        <v>40490</v>
      </c>
      <c r="I23" s="26" t="s">
        <v>11269</v>
      </c>
      <c r="J23" s="26" t="s">
        <v>11270</v>
      </c>
      <c r="K23" s="26" t="s">
        <v>11277</v>
      </c>
      <c r="L23" s="26" t="s">
        <v>11278</v>
      </c>
      <c r="M23" s="26" t="s">
        <v>11279</v>
      </c>
      <c r="N23" s="26" t="s">
        <v>11280</v>
      </c>
      <c r="O23" s="26">
        <v>6405</v>
      </c>
      <c r="P23" s="26" t="s">
        <v>11284</v>
      </c>
      <c r="Q23" s="33">
        <v>31.364</v>
      </c>
      <c r="R23" s="35" t="s">
        <v>11276</v>
      </c>
      <c r="S23" s="26"/>
      <c r="T23" s="31" t="s">
        <v>8244</v>
      </c>
      <c r="U23" s="26"/>
    </row>
    <row r="24" s="21" customFormat="1" spans="1:21">
      <c r="A24" s="28" t="s">
        <v>1384</v>
      </c>
      <c r="B24" s="26" t="str">
        <f>VLOOKUP(C24,[1]干线管道!B:C,2,FALSE)</f>
        <v>一级</v>
      </c>
      <c r="C24" s="26" t="str">
        <f>VLOOKUP(E24,[1]站场阀室!A:D,3,FALSE)</f>
        <v>西气东输一线</v>
      </c>
      <c r="D24" s="26" t="str">
        <f>VLOOKUP(E24,[1]站场阀室!A:D,4,FALSE)</f>
        <v>西一线干线甘肃段</v>
      </c>
      <c r="E24" s="26" t="s">
        <v>1417</v>
      </c>
      <c r="F24" s="26" t="s">
        <v>11267</v>
      </c>
      <c r="G24" s="26" t="s">
        <v>11268</v>
      </c>
      <c r="H24" s="29">
        <v>39256</v>
      </c>
      <c r="I24" s="26" t="s">
        <v>11287</v>
      </c>
      <c r="J24" s="26" t="s">
        <v>11270</v>
      </c>
      <c r="K24" s="26" t="s">
        <v>11271</v>
      </c>
      <c r="L24" s="26" t="s">
        <v>11285</v>
      </c>
      <c r="M24" s="30" t="s">
        <v>11288</v>
      </c>
      <c r="N24" s="26" t="s">
        <v>11274</v>
      </c>
      <c r="O24" s="26">
        <v>5040</v>
      </c>
      <c r="P24" s="26" t="s">
        <v>11286</v>
      </c>
      <c r="Q24" s="33">
        <v>22</v>
      </c>
      <c r="R24" s="35" t="s">
        <v>11276</v>
      </c>
      <c r="S24" s="26" t="s">
        <v>8247</v>
      </c>
      <c r="T24" s="31" t="s">
        <v>8244</v>
      </c>
      <c r="U24" s="26"/>
    </row>
    <row r="25" s="21" customFormat="1" spans="1:21">
      <c r="A25" s="28" t="s">
        <v>1384</v>
      </c>
      <c r="B25" s="26" t="str">
        <f>VLOOKUP(C25,[1]干线管道!B:C,2,FALSE)</f>
        <v>一级</v>
      </c>
      <c r="C25" s="26" t="str">
        <f>VLOOKUP(E25,[1]站场阀室!A:D,3,FALSE)</f>
        <v>西气东输一线</v>
      </c>
      <c r="D25" s="26" t="str">
        <f>VLOOKUP(E25,[1]站场阀室!A:D,4,FALSE)</f>
        <v>西一线干线甘肃段</v>
      </c>
      <c r="E25" s="26" t="s">
        <v>1417</v>
      </c>
      <c r="F25" s="26" t="s">
        <v>11267</v>
      </c>
      <c r="G25" s="26" t="s">
        <v>11176</v>
      </c>
      <c r="H25" s="29">
        <v>38671</v>
      </c>
      <c r="I25" s="26" t="s">
        <v>11269</v>
      </c>
      <c r="J25" s="26" t="s">
        <v>11270</v>
      </c>
      <c r="K25" s="26" t="s">
        <v>11271</v>
      </c>
      <c r="L25" s="26" t="s">
        <v>11272</v>
      </c>
      <c r="M25" s="26" t="s">
        <v>11273</v>
      </c>
      <c r="N25" s="26" t="s">
        <v>11274</v>
      </c>
      <c r="O25" s="26">
        <v>5040</v>
      </c>
      <c r="P25" s="26" t="s">
        <v>11286</v>
      </c>
      <c r="Q25" s="33">
        <v>29.53</v>
      </c>
      <c r="R25" s="35" t="s">
        <v>11276</v>
      </c>
      <c r="S25" s="26"/>
      <c r="T25" s="31" t="s">
        <v>8244</v>
      </c>
      <c r="U25" s="26"/>
    </row>
    <row r="26" s="21" customFormat="1" spans="1:21">
      <c r="A26" s="28" t="s">
        <v>1384</v>
      </c>
      <c r="B26" s="26" t="str">
        <f>VLOOKUP(C26,[1]干线管道!B:C,2,FALSE)</f>
        <v>一级</v>
      </c>
      <c r="C26" s="26" t="str">
        <f>VLOOKUP(E26,[1]站场阀室!A:D,3,FALSE)</f>
        <v>西气东输一线</v>
      </c>
      <c r="D26" s="26" t="str">
        <f>VLOOKUP(E26,[1]站场阀室!A:D,4,FALSE)</f>
        <v>西一线干线甘肃段</v>
      </c>
      <c r="E26" s="26" t="s">
        <v>1417</v>
      </c>
      <c r="F26" s="26" t="s">
        <v>11267</v>
      </c>
      <c r="G26" s="26" t="s">
        <v>9245</v>
      </c>
      <c r="H26" s="30">
        <v>2010.12</v>
      </c>
      <c r="I26" s="26" t="s">
        <v>11287</v>
      </c>
      <c r="J26" s="26" t="s">
        <v>11270</v>
      </c>
      <c r="K26" s="26" t="s">
        <v>11271</v>
      </c>
      <c r="L26" s="26" t="s">
        <v>11285</v>
      </c>
      <c r="M26" s="30" t="s">
        <v>11288</v>
      </c>
      <c r="N26" s="26" t="s">
        <v>11274</v>
      </c>
      <c r="O26" s="26">
        <v>5040</v>
      </c>
      <c r="P26" s="26" t="s">
        <v>11286</v>
      </c>
      <c r="Q26" s="33">
        <v>22</v>
      </c>
      <c r="R26" s="35" t="s">
        <v>11276</v>
      </c>
      <c r="S26" s="26"/>
      <c r="T26" s="31" t="s">
        <v>8244</v>
      </c>
      <c r="U26" s="26"/>
    </row>
    <row r="27" s="21" customFormat="1" spans="1:21">
      <c r="A27" s="28" t="s">
        <v>1384</v>
      </c>
      <c r="B27" s="26" t="str">
        <f>VLOOKUP(C27,[1]干线管道!B:C,2,FALSE)</f>
        <v>一级</v>
      </c>
      <c r="C27" s="26" t="str">
        <f>VLOOKUP(E27,[1]站场阀室!A:D,3,FALSE)</f>
        <v>西气东输一线</v>
      </c>
      <c r="D27" s="26" t="str">
        <f>VLOOKUP(E27,[1]站场阀室!A:D,4,FALSE)</f>
        <v>西一线干线甘肃段</v>
      </c>
      <c r="E27" s="26" t="s">
        <v>1439</v>
      </c>
      <c r="F27" s="26" t="s">
        <v>11267</v>
      </c>
      <c r="G27" s="26" t="s">
        <v>11268</v>
      </c>
      <c r="H27" s="29">
        <v>39125</v>
      </c>
      <c r="I27" s="26" t="s">
        <v>11269</v>
      </c>
      <c r="J27" s="26" t="s">
        <v>11270</v>
      </c>
      <c r="K27" s="26" t="s">
        <v>11277</v>
      </c>
      <c r="L27" s="26" t="s">
        <v>11278</v>
      </c>
      <c r="M27" s="26" t="s">
        <v>11279</v>
      </c>
      <c r="N27" s="26" t="s">
        <v>11280</v>
      </c>
      <c r="O27" s="26">
        <v>6405</v>
      </c>
      <c r="P27" s="26" t="s">
        <v>11284</v>
      </c>
      <c r="Q27" s="33">
        <v>31.364</v>
      </c>
      <c r="R27" s="35" t="s">
        <v>11276</v>
      </c>
      <c r="S27" s="26" t="s">
        <v>8247</v>
      </c>
      <c r="T27" s="31" t="s">
        <v>8244</v>
      </c>
      <c r="U27" s="26"/>
    </row>
    <row r="28" s="21" customFormat="1" spans="1:21">
      <c r="A28" s="28" t="s">
        <v>1384</v>
      </c>
      <c r="B28" s="26" t="str">
        <f>VLOOKUP(C28,[1]干线管道!B:C,2,FALSE)</f>
        <v>一级</v>
      </c>
      <c r="C28" s="26" t="str">
        <f>VLOOKUP(E28,[1]站场阀室!A:D,3,FALSE)</f>
        <v>西气东输一线</v>
      </c>
      <c r="D28" s="26" t="str">
        <f>VLOOKUP(E28,[1]站场阀室!A:D,4,FALSE)</f>
        <v>西一线干线甘肃段</v>
      </c>
      <c r="E28" s="26" t="s">
        <v>1439</v>
      </c>
      <c r="F28" s="26" t="s">
        <v>11267</v>
      </c>
      <c r="G28" s="26" t="s">
        <v>11176</v>
      </c>
      <c r="H28" s="29">
        <v>39125</v>
      </c>
      <c r="I28" s="26" t="s">
        <v>11269</v>
      </c>
      <c r="J28" s="26" t="s">
        <v>11270</v>
      </c>
      <c r="K28" s="26" t="s">
        <v>11277</v>
      </c>
      <c r="L28" s="26" t="s">
        <v>11278</v>
      </c>
      <c r="M28" s="26" t="s">
        <v>11279</v>
      </c>
      <c r="N28" s="26" t="s">
        <v>11280</v>
      </c>
      <c r="O28" s="26">
        <v>6405</v>
      </c>
      <c r="P28" s="26" t="s">
        <v>11284</v>
      </c>
      <c r="Q28" s="33">
        <v>31.364</v>
      </c>
      <c r="R28" s="35" t="s">
        <v>11276</v>
      </c>
      <c r="S28" s="26"/>
      <c r="T28" s="31" t="s">
        <v>8244</v>
      </c>
      <c r="U28" s="26"/>
    </row>
    <row r="29" s="21" customFormat="1" spans="1:21">
      <c r="A29" s="28" t="s">
        <v>1384</v>
      </c>
      <c r="B29" s="26" t="str">
        <f>VLOOKUP(C29,[1]干线管道!B:C,2,FALSE)</f>
        <v>一级</v>
      </c>
      <c r="C29" s="26" t="str">
        <f>VLOOKUP(E29,[1]站场阀室!A:D,3,FALSE)</f>
        <v>西气东输一线</v>
      </c>
      <c r="D29" s="26" t="str">
        <f>VLOOKUP(E29,[1]站场阀室!A:D,4,FALSE)</f>
        <v>西一线干线甘肃段</v>
      </c>
      <c r="E29" s="26" t="s">
        <v>1439</v>
      </c>
      <c r="F29" s="26" t="s">
        <v>11267</v>
      </c>
      <c r="G29" s="26" t="s">
        <v>9245</v>
      </c>
      <c r="H29" s="29">
        <v>40494</v>
      </c>
      <c r="I29" s="26" t="s">
        <v>11269</v>
      </c>
      <c r="J29" s="26" t="s">
        <v>11270</v>
      </c>
      <c r="K29" s="26" t="s">
        <v>11277</v>
      </c>
      <c r="L29" s="26" t="s">
        <v>11278</v>
      </c>
      <c r="M29" s="26" t="s">
        <v>11279</v>
      </c>
      <c r="N29" s="26" t="s">
        <v>11280</v>
      </c>
      <c r="O29" s="26">
        <v>6405</v>
      </c>
      <c r="P29" s="26" t="s">
        <v>11284</v>
      </c>
      <c r="Q29" s="33">
        <v>31.364</v>
      </c>
      <c r="R29" s="35" t="s">
        <v>11276</v>
      </c>
      <c r="S29" s="26"/>
      <c r="T29" s="31" t="s">
        <v>8244</v>
      </c>
      <c r="U29" s="26"/>
    </row>
    <row r="30" s="21" customFormat="1" spans="1:21">
      <c r="A30" s="28" t="s">
        <v>1384</v>
      </c>
      <c r="B30" s="26" t="str">
        <f>VLOOKUP(C30,[1]干线管道!B:C,2,FALSE)</f>
        <v>一级</v>
      </c>
      <c r="C30" s="26" t="str">
        <f>VLOOKUP(E30,[1]站场阀室!A:D,3,FALSE)</f>
        <v>西气东输一线</v>
      </c>
      <c r="D30" s="26" t="str">
        <f>VLOOKUP(E30,[1]站场阀室!A:D,4,FALSE)</f>
        <v>西一线干线甘肃段</v>
      </c>
      <c r="E30" s="26" t="s">
        <v>1457</v>
      </c>
      <c r="F30" s="26" t="s">
        <v>11267</v>
      </c>
      <c r="G30" s="26" t="s">
        <v>11268</v>
      </c>
      <c r="H30" s="29">
        <v>39063</v>
      </c>
      <c r="I30" s="26" t="s">
        <v>11269</v>
      </c>
      <c r="J30" s="26" t="s">
        <v>11270</v>
      </c>
      <c r="K30" s="26" t="s">
        <v>11271</v>
      </c>
      <c r="L30" s="26" t="s">
        <v>11285</v>
      </c>
      <c r="M30" s="26" t="s">
        <v>11273</v>
      </c>
      <c r="N30" s="26" t="s">
        <v>11274</v>
      </c>
      <c r="O30" s="26">
        <v>5040</v>
      </c>
      <c r="P30" s="26" t="s">
        <v>11286</v>
      </c>
      <c r="Q30" s="33">
        <v>29.53</v>
      </c>
      <c r="R30" s="35" t="s">
        <v>11276</v>
      </c>
      <c r="S30" s="26" t="s">
        <v>8247</v>
      </c>
      <c r="T30" s="31" t="s">
        <v>8244</v>
      </c>
      <c r="U30" s="26"/>
    </row>
    <row r="31" s="21" customFormat="1" spans="1:21">
      <c r="A31" s="28" t="s">
        <v>1384</v>
      </c>
      <c r="B31" s="26" t="str">
        <f>VLOOKUP(C31,[1]干线管道!B:C,2,FALSE)</f>
        <v>一级</v>
      </c>
      <c r="C31" s="26" t="str">
        <f>VLOOKUP(E31,[1]站场阀室!A:D,3,FALSE)</f>
        <v>西气东输一线</v>
      </c>
      <c r="D31" s="26" t="str">
        <f>VLOOKUP(E31,[1]站场阀室!A:D,4,FALSE)</f>
        <v>西一线干线甘肃段</v>
      </c>
      <c r="E31" s="26" t="s">
        <v>1457</v>
      </c>
      <c r="F31" s="26" t="s">
        <v>11267</v>
      </c>
      <c r="G31" s="26" t="s">
        <v>11176</v>
      </c>
      <c r="H31" s="29">
        <v>38565</v>
      </c>
      <c r="I31" s="26" t="s">
        <v>11269</v>
      </c>
      <c r="J31" s="26" t="s">
        <v>11270</v>
      </c>
      <c r="K31" s="26" t="s">
        <v>11271</v>
      </c>
      <c r="L31" s="26" t="s">
        <v>11285</v>
      </c>
      <c r="M31" s="26" t="s">
        <v>11273</v>
      </c>
      <c r="N31" s="26" t="s">
        <v>11274</v>
      </c>
      <c r="O31" s="26">
        <v>5040</v>
      </c>
      <c r="P31" s="26" t="s">
        <v>11286</v>
      </c>
      <c r="Q31" s="33">
        <v>29.53</v>
      </c>
      <c r="R31" s="35" t="s">
        <v>11276</v>
      </c>
      <c r="S31" s="26"/>
      <c r="T31" s="31" t="s">
        <v>8244</v>
      </c>
      <c r="U31" s="26"/>
    </row>
    <row r="32" s="21" customFormat="1" spans="1:21">
      <c r="A32" s="28" t="s">
        <v>1384</v>
      </c>
      <c r="B32" s="26" t="str">
        <f>VLOOKUP(C32,[1]干线管道!B:C,2,FALSE)</f>
        <v>一级</v>
      </c>
      <c r="C32" s="26" t="str">
        <f>VLOOKUP(E32,[1]站场阀室!A:D,3,FALSE)</f>
        <v>西气东输一线</v>
      </c>
      <c r="D32" s="26" t="str">
        <f>VLOOKUP(E32,[1]站场阀室!A:D,4,FALSE)</f>
        <v>西一线干线甘肃段</v>
      </c>
      <c r="E32" s="26" t="s">
        <v>1457</v>
      </c>
      <c r="F32" s="26" t="s">
        <v>11267</v>
      </c>
      <c r="G32" s="26" t="s">
        <v>9245</v>
      </c>
      <c r="H32" s="29">
        <v>40483</v>
      </c>
      <c r="I32" s="26" t="s">
        <v>11269</v>
      </c>
      <c r="J32" s="26" t="s">
        <v>11270</v>
      </c>
      <c r="K32" s="26" t="s">
        <v>11271</v>
      </c>
      <c r="L32" s="26" t="s">
        <v>11285</v>
      </c>
      <c r="M32" s="26" t="s">
        <v>11273</v>
      </c>
      <c r="N32" s="26" t="s">
        <v>11274</v>
      </c>
      <c r="O32" s="26">
        <v>5040</v>
      </c>
      <c r="P32" s="26" t="s">
        <v>11286</v>
      </c>
      <c r="Q32" s="33">
        <v>29.53</v>
      </c>
      <c r="R32" s="35" t="s">
        <v>11276</v>
      </c>
      <c r="S32" s="26"/>
      <c r="T32" s="31" t="s">
        <v>8244</v>
      </c>
      <c r="U32" s="26"/>
    </row>
    <row r="33" s="21" customFormat="1" spans="1:21">
      <c r="A33" s="28" t="s">
        <v>1384</v>
      </c>
      <c r="B33" s="26" t="str">
        <f>VLOOKUP(C33,[1]干线管道!B:C,2,FALSE)</f>
        <v>一级</v>
      </c>
      <c r="C33" s="26" t="str">
        <f>VLOOKUP(E33,[1]站场阀室!A:D,3,FALSE)</f>
        <v>西气东输一线</v>
      </c>
      <c r="D33" s="26" t="str">
        <f>VLOOKUP(E33,[1]站场阀室!A:D,4,FALSE)</f>
        <v>西一线干线甘肃段</v>
      </c>
      <c r="E33" s="26" t="s">
        <v>1469</v>
      </c>
      <c r="F33" s="26" t="s">
        <v>11282</v>
      </c>
      <c r="G33" s="26" t="s">
        <v>11268</v>
      </c>
      <c r="H33" s="29">
        <v>39243</v>
      </c>
      <c r="I33" s="26" t="s">
        <v>11269</v>
      </c>
      <c r="J33" s="26" t="s">
        <v>11270</v>
      </c>
      <c r="K33" s="26" t="s">
        <v>11277</v>
      </c>
      <c r="L33" s="26" t="s">
        <v>11278</v>
      </c>
      <c r="M33" s="26" t="s">
        <v>11279</v>
      </c>
      <c r="N33" s="26" t="s">
        <v>11280</v>
      </c>
      <c r="O33" s="26">
        <v>6405</v>
      </c>
      <c r="P33" s="26" t="s">
        <v>11284</v>
      </c>
      <c r="Q33" s="33">
        <v>31.364</v>
      </c>
      <c r="R33" s="35" t="s">
        <v>11276</v>
      </c>
      <c r="S33" s="26" t="s">
        <v>8247</v>
      </c>
      <c r="T33" s="31" t="s">
        <v>8244</v>
      </c>
      <c r="U33" s="26"/>
    </row>
    <row r="34" s="21" customFormat="1" spans="1:21">
      <c r="A34" s="28" t="s">
        <v>1384</v>
      </c>
      <c r="B34" s="26" t="str">
        <f>VLOOKUP(C34,[1]干线管道!B:C,2,FALSE)</f>
        <v>一级</v>
      </c>
      <c r="C34" s="26" t="str">
        <f>VLOOKUP(E34,[1]站场阀室!A:D,3,FALSE)</f>
        <v>西气东输一线</v>
      </c>
      <c r="D34" s="26" t="str">
        <f>VLOOKUP(E34,[1]站场阀室!A:D,4,FALSE)</f>
        <v>西一线干线甘肃段</v>
      </c>
      <c r="E34" s="26" t="s">
        <v>1469</v>
      </c>
      <c r="F34" s="26" t="s">
        <v>11282</v>
      </c>
      <c r="G34" s="26" t="s">
        <v>11176</v>
      </c>
      <c r="H34" s="29">
        <v>39337</v>
      </c>
      <c r="I34" s="26" t="s">
        <v>11269</v>
      </c>
      <c r="J34" s="26" t="s">
        <v>11270</v>
      </c>
      <c r="K34" s="26" t="s">
        <v>11277</v>
      </c>
      <c r="L34" s="26" t="s">
        <v>11278</v>
      </c>
      <c r="M34" s="26" t="s">
        <v>11279</v>
      </c>
      <c r="N34" s="26" t="s">
        <v>11280</v>
      </c>
      <c r="O34" s="26">
        <v>6405</v>
      </c>
      <c r="P34" s="26" t="s">
        <v>11284</v>
      </c>
      <c r="Q34" s="33">
        <v>31.364</v>
      </c>
      <c r="R34" s="35" t="s">
        <v>11276</v>
      </c>
      <c r="S34" s="26"/>
      <c r="T34" s="31" t="s">
        <v>8244</v>
      </c>
      <c r="U34" s="26"/>
    </row>
    <row r="35" s="21" customFormat="1" spans="1:21">
      <c r="A35" s="28" t="s">
        <v>1384</v>
      </c>
      <c r="B35" s="26" t="str">
        <f>VLOOKUP(C35,[1]干线管道!B:C,2,FALSE)</f>
        <v>一级</v>
      </c>
      <c r="C35" s="26" t="str">
        <f>VLOOKUP(E35,[1]站场阀室!A:D,3,FALSE)</f>
        <v>西气东输一线</v>
      </c>
      <c r="D35" s="26" t="str">
        <f>VLOOKUP(E35,[1]站场阀室!A:D,4,FALSE)</f>
        <v>西一线干线甘肃段</v>
      </c>
      <c r="E35" s="26" t="s">
        <v>462</v>
      </c>
      <c r="F35" s="26" t="s">
        <v>11282</v>
      </c>
      <c r="G35" s="26" t="s">
        <v>11289</v>
      </c>
      <c r="H35" s="29">
        <v>39073</v>
      </c>
      <c r="I35" s="26" t="s">
        <v>11269</v>
      </c>
      <c r="J35" s="26" t="s">
        <v>11270</v>
      </c>
      <c r="K35" s="26" t="s">
        <v>11277</v>
      </c>
      <c r="L35" s="26" t="s">
        <v>11278</v>
      </c>
      <c r="M35" s="26" t="s">
        <v>11279</v>
      </c>
      <c r="N35" s="26" t="s">
        <v>11280</v>
      </c>
      <c r="O35" s="26">
        <v>6405</v>
      </c>
      <c r="P35" s="26" t="s">
        <v>11284</v>
      </c>
      <c r="Q35" s="33">
        <v>31.364</v>
      </c>
      <c r="R35" s="35" t="s">
        <v>11276</v>
      </c>
      <c r="S35" s="26" t="s">
        <v>8247</v>
      </c>
      <c r="T35" s="31" t="s">
        <v>8244</v>
      </c>
      <c r="U35" s="26"/>
    </row>
    <row r="36" s="21" customFormat="1" spans="1:21">
      <c r="A36" s="28" t="s">
        <v>1384</v>
      </c>
      <c r="B36" s="26" t="str">
        <f>VLOOKUP(C36,[1]干线管道!B:C,2,FALSE)</f>
        <v>一级</v>
      </c>
      <c r="C36" s="26" t="str">
        <f>VLOOKUP(E36,[1]站场阀室!A:D,3,FALSE)</f>
        <v>西气东输一线</v>
      </c>
      <c r="D36" s="26" t="str">
        <f>VLOOKUP(E36,[1]站场阀室!A:D,4,FALSE)</f>
        <v>西一线干线甘肃段</v>
      </c>
      <c r="E36" s="26" t="s">
        <v>462</v>
      </c>
      <c r="F36" s="26" t="s">
        <v>11282</v>
      </c>
      <c r="G36" s="26" t="s">
        <v>11290</v>
      </c>
      <c r="H36" s="29">
        <v>39044</v>
      </c>
      <c r="I36" s="26" t="s">
        <v>11269</v>
      </c>
      <c r="J36" s="26" t="s">
        <v>11270</v>
      </c>
      <c r="K36" s="26" t="s">
        <v>11277</v>
      </c>
      <c r="L36" s="26" t="s">
        <v>11278</v>
      </c>
      <c r="M36" s="26" t="s">
        <v>11279</v>
      </c>
      <c r="N36" s="26" t="s">
        <v>11280</v>
      </c>
      <c r="O36" s="26">
        <v>6405</v>
      </c>
      <c r="P36" s="26" t="s">
        <v>11284</v>
      </c>
      <c r="Q36" s="33">
        <v>31.364</v>
      </c>
      <c r="R36" s="35" t="s">
        <v>11276</v>
      </c>
      <c r="S36" s="26"/>
      <c r="T36" s="31" t="s">
        <v>8244</v>
      </c>
      <c r="U36" s="26"/>
    </row>
    <row r="37" s="21" customFormat="1" spans="1:21">
      <c r="A37" s="28" t="s">
        <v>1491</v>
      </c>
      <c r="B37" s="26" t="str">
        <f>VLOOKUP(C37,[1]干线管道!B:C,2,FALSE)</f>
        <v>一级</v>
      </c>
      <c r="C37" s="26" t="str">
        <f>VLOOKUP(E37,[1]站场阀室!A:D,3,FALSE)</f>
        <v>西气东输一线</v>
      </c>
      <c r="D37" s="26" t="str">
        <f>VLOOKUP(E37,[1]站场阀室!A:D,4,FALSE)</f>
        <v>西一线干线东段</v>
      </c>
      <c r="E37" s="26" t="s">
        <v>114</v>
      </c>
      <c r="F37" s="26" t="s">
        <v>11282</v>
      </c>
      <c r="G37" s="30" t="s">
        <v>11268</v>
      </c>
      <c r="H37" s="29">
        <v>38995</v>
      </c>
      <c r="I37" s="26" t="s">
        <v>11269</v>
      </c>
      <c r="J37" s="26" t="s">
        <v>11270</v>
      </c>
      <c r="K37" s="26" t="s">
        <v>11271</v>
      </c>
      <c r="L37" s="26" t="s">
        <v>11272</v>
      </c>
      <c r="M37" s="26" t="s">
        <v>11273</v>
      </c>
      <c r="N37" s="26" t="s">
        <v>11274</v>
      </c>
      <c r="O37" s="26">
        <v>5040</v>
      </c>
      <c r="P37" s="26" t="s">
        <v>11286</v>
      </c>
      <c r="Q37" s="33">
        <v>29.53</v>
      </c>
      <c r="R37" s="36" t="s">
        <v>11276</v>
      </c>
      <c r="S37" s="26" t="s">
        <v>11291</v>
      </c>
      <c r="T37" s="31" t="s">
        <v>8244</v>
      </c>
      <c r="U37" s="26" t="s">
        <v>11292</v>
      </c>
    </row>
    <row r="38" s="21" customFormat="1" spans="1:21">
      <c r="A38" s="28" t="s">
        <v>1491</v>
      </c>
      <c r="B38" s="26" t="str">
        <f>VLOOKUP(C38,[1]干线管道!B:C,2,FALSE)</f>
        <v>一级</v>
      </c>
      <c r="C38" s="26" t="str">
        <f>VLOOKUP(E38,[1]站场阀室!A:D,3,FALSE)</f>
        <v>西气东输一线</v>
      </c>
      <c r="D38" s="26" t="str">
        <f>VLOOKUP(E38,[1]站场阀室!A:D,4,FALSE)</f>
        <v>西一线干线东段</v>
      </c>
      <c r="E38" s="26" t="s">
        <v>114</v>
      </c>
      <c r="F38" s="26" t="s">
        <v>11282</v>
      </c>
      <c r="G38" s="30" t="s">
        <v>11176</v>
      </c>
      <c r="H38" s="29">
        <v>38628</v>
      </c>
      <c r="I38" s="26" t="s">
        <v>11269</v>
      </c>
      <c r="J38" s="26" t="s">
        <v>11270</v>
      </c>
      <c r="K38" s="26" t="s">
        <v>11271</v>
      </c>
      <c r="L38" s="26" t="s">
        <v>11272</v>
      </c>
      <c r="M38" s="26" t="s">
        <v>11273</v>
      </c>
      <c r="N38" s="26" t="s">
        <v>11274</v>
      </c>
      <c r="O38" s="26">
        <v>5040</v>
      </c>
      <c r="P38" s="26" t="s">
        <v>11286</v>
      </c>
      <c r="Q38" s="33">
        <v>29.53</v>
      </c>
      <c r="R38" s="36" t="s">
        <v>11276</v>
      </c>
      <c r="S38" s="26"/>
      <c r="T38" s="31" t="s">
        <v>8244</v>
      </c>
      <c r="U38" s="26"/>
    </row>
    <row r="39" s="21" customFormat="1" spans="1:21">
      <c r="A39" s="28" t="s">
        <v>1491</v>
      </c>
      <c r="B39" s="26" t="str">
        <f>VLOOKUP(C39,[1]干线管道!B:C,2,FALSE)</f>
        <v>一级</v>
      </c>
      <c r="C39" s="26" t="str">
        <f>VLOOKUP(E39,[1]站场阀室!A:D,3,FALSE)</f>
        <v>西气东输一线</v>
      </c>
      <c r="D39" s="26" t="str">
        <f>VLOOKUP(E39,[1]站场阀室!A:D,4,FALSE)</f>
        <v>西一线干线东段</v>
      </c>
      <c r="E39" s="26" t="s">
        <v>1533</v>
      </c>
      <c r="F39" s="26" t="s">
        <v>11267</v>
      </c>
      <c r="G39" s="30" t="s">
        <v>11268</v>
      </c>
      <c r="H39" s="29">
        <v>39140</v>
      </c>
      <c r="I39" s="26" t="s">
        <v>11269</v>
      </c>
      <c r="J39" s="26" t="s">
        <v>11270</v>
      </c>
      <c r="K39" s="32" t="s">
        <v>11277</v>
      </c>
      <c r="L39" s="32" t="s">
        <v>11293</v>
      </c>
      <c r="M39" s="32" t="s">
        <v>11279</v>
      </c>
      <c r="N39" s="26" t="s">
        <v>11280</v>
      </c>
      <c r="O39" s="26">
        <v>6405</v>
      </c>
      <c r="P39" s="26" t="s">
        <v>11284</v>
      </c>
      <c r="Q39" s="33">
        <v>31.364</v>
      </c>
      <c r="R39" s="36" t="s">
        <v>11276</v>
      </c>
      <c r="S39" s="26" t="s">
        <v>8247</v>
      </c>
      <c r="T39" s="31" t="s">
        <v>8244</v>
      </c>
      <c r="U39" s="26"/>
    </row>
    <row r="40" s="21" customFormat="1" spans="1:21">
      <c r="A40" s="28" t="s">
        <v>1491</v>
      </c>
      <c r="B40" s="26" t="str">
        <f>VLOOKUP(C40,[1]干线管道!B:C,2,FALSE)</f>
        <v>一级</v>
      </c>
      <c r="C40" s="26" t="str">
        <f>VLOOKUP(E40,[1]站场阀室!A:D,3,FALSE)</f>
        <v>西气东输一线</v>
      </c>
      <c r="D40" s="26" t="str">
        <f>VLOOKUP(E40,[1]站场阀室!A:D,4,FALSE)</f>
        <v>西一线干线东段</v>
      </c>
      <c r="E40" s="26" t="s">
        <v>1533</v>
      </c>
      <c r="F40" s="26" t="s">
        <v>11267</v>
      </c>
      <c r="G40" s="30" t="s">
        <v>11176</v>
      </c>
      <c r="H40" s="29">
        <v>39141</v>
      </c>
      <c r="I40" s="26" t="s">
        <v>11269</v>
      </c>
      <c r="J40" s="26" t="s">
        <v>11270</v>
      </c>
      <c r="K40" s="32" t="s">
        <v>11277</v>
      </c>
      <c r="L40" s="32" t="s">
        <v>11293</v>
      </c>
      <c r="M40" s="32" t="s">
        <v>11279</v>
      </c>
      <c r="N40" s="26" t="s">
        <v>11280</v>
      </c>
      <c r="O40" s="26">
        <v>6405</v>
      </c>
      <c r="P40" s="26" t="s">
        <v>11284</v>
      </c>
      <c r="Q40" s="33">
        <v>31.364</v>
      </c>
      <c r="R40" s="36" t="s">
        <v>11276</v>
      </c>
      <c r="S40" s="26"/>
      <c r="T40" s="31" t="s">
        <v>8244</v>
      </c>
      <c r="U40" s="26"/>
    </row>
    <row r="41" s="21" customFormat="1" spans="1:21">
      <c r="A41" s="28" t="s">
        <v>1491</v>
      </c>
      <c r="B41" s="26" t="str">
        <f>VLOOKUP(C41,[1]干线管道!B:C,2,FALSE)</f>
        <v>一级</v>
      </c>
      <c r="C41" s="26" t="str">
        <f>VLOOKUP(E41,[1]站场阀室!A:D,3,FALSE)</f>
        <v>西气东输一线</v>
      </c>
      <c r="D41" s="26" t="str">
        <f>VLOOKUP(E41,[1]站场阀室!A:D,4,FALSE)</f>
        <v>西一线干线东段</v>
      </c>
      <c r="E41" s="26" t="s">
        <v>1533</v>
      </c>
      <c r="F41" s="26" t="s">
        <v>11267</v>
      </c>
      <c r="G41" s="30" t="s">
        <v>9245</v>
      </c>
      <c r="H41" s="29">
        <v>40468</v>
      </c>
      <c r="I41" s="26" t="s">
        <v>11269</v>
      </c>
      <c r="J41" s="26" t="s">
        <v>11270</v>
      </c>
      <c r="K41" s="32" t="s">
        <v>11277</v>
      </c>
      <c r="L41" s="32" t="s">
        <v>11293</v>
      </c>
      <c r="M41" s="32" t="s">
        <v>11279</v>
      </c>
      <c r="N41" s="26" t="s">
        <v>11280</v>
      </c>
      <c r="O41" s="26">
        <v>6405</v>
      </c>
      <c r="P41" s="26" t="s">
        <v>11284</v>
      </c>
      <c r="Q41" s="33">
        <v>31.364</v>
      </c>
      <c r="R41" s="36" t="s">
        <v>11276</v>
      </c>
      <c r="S41" s="26"/>
      <c r="T41" s="31" t="s">
        <v>8244</v>
      </c>
      <c r="U41" s="26"/>
    </row>
    <row r="42" s="21" customFormat="1" spans="1:21">
      <c r="A42" s="28" t="s">
        <v>1491</v>
      </c>
      <c r="B42" s="26" t="str">
        <f>VLOOKUP(C42,[1]干线管道!B:C,2,FALSE)</f>
        <v>一级</v>
      </c>
      <c r="C42" s="26" t="str">
        <f>VLOOKUP(E42,[1]站场阀室!A:D,3,FALSE)</f>
        <v>西气东输一线</v>
      </c>
      <c r="D42" s="26" t="str">
        <f>VLOOKUP(E42,[1]站场阀室!A:D,4,FALSE)</f>
        <v>西一线干线东段</v>
      </c>
      <c r="E42" s="26" t="s">
        <v>244</v>
      </c>
      <c r="F42" s="26" t="s">
        <v>11282</v>
      </c>
      <c r="G42" s="30" t="s">
        <v>11268</v>
      </c>
      <c r="H42" s="29">
        <v>38261</v>
      </c>
      <c r="I42" s="26" t="s">
        <v>11269</v>
      </c>
      <c r="J42" s="26" t="s">
        <v>11270</v>
      </c>
      <c r="K42" s="26" t="s">
        <v>11271</v>
      </c>
      <c r="L42" s="26" t="s">
        <v>11272</v>
      </c>
      <c r="M42" s="26" t="s">
        <v>11273</v>
      </c>
      <c r="N42" s="26" t="s">
        <v>11274</v>
      </c>
      <c r="O42" s="26">
        <v>5040</v>
      </c>
      <c r="P42" s="26" t="s">
        <v>11286</v>
      </c>
      <c r="Q42" s="33">
        <v>29.53</v>
      </c>
      <c r="R42" s="36" t="s">
        <v>11276</v>
      </c>
      <c r="S42" s="26" t="s">
        <v>8247</v>
      </c>
      <c r="T42" s="31" t="s">
        <v>8244</v>
      </c>
      <c r="U42" s="26"/>
    </row>
    <row r="43" s="21" customFormat="1" spans="1:21">
      <c r="A43" s="28" t="s">
        <v>1491</v>
      </c>
      <c r="B43" s="26" t="str">
        <f>VLOOKUP(C43,[1]干线管道!B:C,2,FALSE)</f>
        <v>一级</v>
      </c>
      <c r="C43" s="26" t="str">
        <f>VLOOKUP(E43,[1]站场阀室!A:D,3,FALSE)</f>
        <v>西气东输一线</v>
      </c>
      <c r="D43" s="26" t="str">
        <f>VLOOKUP(E43,[1]站场阀室!A:D,4,FALSE)</f>
        <v>西一线干线东段</v>
      </c>
      <c r="E43" s="26" t="s">
        <v>244</v>
      </c>
      <c r="F43" s="26" t="s">
        <v>11282</v>
      </c>
      <c r="G43" s="30" t="s">
        <v>11176</v>
      </c>
      <c r="H43" s="29">
        <v>38262</v>
      </c>
      <c r="I43" s="26" t="s">
        <v>11269</v>
      </c>
      <c r="J43" s="26" t="s">
        <v>11270</v>
      </c>
      <c r="K43" s="26" t="s">
        <v>11271</v>
      </c>
      <c r="L43" s="26" t="s">
        <v>11272</v>
      </c>
      <c r="M43" s="26" t="s">
        <v>11273</v>
      </c>
      <c r="N43" s="26" t="s">
        <v>11274</v>
      </c>
      <c r="O43" s="26">
        <v>5040</v>
      </c>
      <c r="P43" s="26" t="s">
        <v>11286</v>
      </c>
      <c r="Q43" s="33">
        <v>29.53</v>
      </c>
      <c r="R43" s="36" t="s">
        <v>11276</v>
      </c>
      <c r="S43" s="26"/>
      <c r="T43" s="31" t="s">
        <v>8244</v>
      </c>
      <c r="U43" s="26"/>
    </row>
    <row r="44" s="21" customFormat="1" spans="1:21">
      <c r="A44" s="28" t="s">
        <v>1491</v>
      </c>
      <c r="B44" s="26" t="str">
        <f>VLOOKUP(C44,[1]干线管道!B:C,2,FALSE)</f>
        <v>一级</v>
      </c>
      <c r="C44" s="26" t="str">
        <f>VLOOKUP(E44,[1]站场阀室!A:D,3,FALSE)</f>
        <v>西气东输一线</v>
      </c>
      <c r="D44" s="26" t="str">
        <f>VLOOKUP(E44,[1]站场阀室!A:D,4,FALSE)</f>
        <v>西一线干线东段</v>
      </c>
      <c r="E44" s="26" t="s">
        <v>1576</v>
      </c>
      <c r="F44" s="26" t="s">
        <v>11282</v>
      </c>
      <c r="G44" s="30" t="s">
        <v>11268</v>
      </c>
      <c r="H44" s="29">
        <v>39752</v>
      </c>
      <c r="I44" s="26" t="s">
        <v>11269</v>
      </c>
      <c r="J44" s="26" t="s">
        <v>11270</v>
      </c>
      <c r="K44" s="26" t="s">
        <v>11277</v>
      </c>
      <c r="L44" s="26" t="s">
        <v>11293</v>
      </c>
      <c r="M44" s="26" t="s">
        <v>11279</v>
      </c>
      <c r="N44" s="26" t="s">
        <v>11280</v>
      </c>
      <c r="O44" s="26">
        <v>6405</v>
      </c>
      <c r="P44" s="26" t="s">
        <v>11284</v>
      </c>
      <c r="Q44" s="33">
        <v>31.364</v>
      </c>
      <c r="R44" s="36" t="s">
        <v>11276</v>
      </c>
      <c r="S44" s="26" t="s">
        <v>11291</v>
      </c>
      <c r="T44" s="31" t="s">
        <v>8244</v>
      </c>
      <c r="U44" s="26" t="s">
        <v>11292</v>
      </c>
    </row>
    <row r="45" s="21" customFormat="1" spans="1:21">
      <c r="A45" s="28" t="s">
        <v>1491</v>
      </c>
      <c r="B45" s="26" t="str">
        <f>VLOOKUP(C45,[1]干线管道!B:C,2,FALSE)</f>
        <v>一级</v>
      </c>
      <c r="C45" s="26" t="str">
        <f>VLOOKUP(E45,[1]站场阀室!A:D,3,FALSE)</f>
        <v>西气东输一线</v>
      </c>
      <c r="D45" s="26" t="str">
        <f>VLOOKUP(E45,[1]站场阀室!A:D,4,FALSE)</f>
        <v>西一线干线东段</v>
      </c>
      <c r="E45" s="26" t="s">
        <v>1576</v>
      </c>
      <c r="F45" s="26" t="s">
        <v>11282</v>
      </c>
      <c r="G45" s="30" t="s">
        <v>11176</v>
      </c>
      <c r="H45" s="29">
        <v>39801</v>
      </c>
      <c r="I45" s="26" t="s">
        <v>11269</v>
      </c>
      <c r="J45" s="26" t="s">
        <v>11270</v>
      </c>
      <c r="K45" s="26" t="s">
        <v>11277</v>
      </c>
      <c r="L45" s="26" t="s">
        <v>11293</v>
      </c>
      <c r="M45" s="26" t="s">
        <v>11279</v>
      </c>
      <c r="N45" s="26" t="s">
        <v>11280</v>
      </c>
      <c r="O45" s="26">
        <v>6405</v>
      </c>
      <c r="P45" s="26" t="s">
        <v>11284</v>
      </c>
      <c r="Q45" s="33">
        <v>31.364</v>
      </c>
      <c r="R45" s="36" t="s">
        <v>11276</v>
      </c>
      <c r="S45" s="26"/>
      <c r="T45" s="31" t="s">
        <v>8244</v>
      </c>
      <c r="U45" s="26"/>
    </row>
    <row r="46" s="21" customFormat="1" ht="30" spans="1:21">
      <c r="A46" s="28" t="s">
        <v>1491</v>
      </c>
      <c r="B46" s="26" t="str">
        <f>VLOOKUP(C46,[1]干线管道!B:C,2,FALSE)</f>
        <v>一级</v>
      </c>
      <c r="C46" s="26" t="str">
        <f>VLOOKUP(E46,[1]站场阀室!A:D,3,FALSE)</f>
        <v>西气东输一线</v>
      </c>
      <c r="D46" s="26" t="str">
        <f>VLOOKUP(E46,[1]站场阀室!A:D,4,FALSE)</f>
        <v>西一线干线东段</v>
      </c>
      <c r="E46" s="26" t="s">
        <v>1599</v>
      </c>
      <c r="F46" s="26" t="s">
        <v>11282</v>
      </c>
      <c r="G46" s="30" t="s">
        <v>11268</v>
      </c>
      <c r="H46" s="29">
        <v>39129</v>
      </c>
      <c r="I46" s="26" t="s">
        <v>11287</v>
      </c>
      <c r="J46" s="26" t="s">
        <v>11270</v>
      </c>
      <c r="K46" s="26" t="s">
        <v>11271</v>
      </c>
      <c r="L46" s="26" t="s">
        <v>11272</v>
      </c>
      <c r="M46" s="26" t="s">
        <v>11288</v>
      </c>
      <c r="N46" s="26" t="s">
        <v>11274</v>
      </c>
      <c r="O46" s="26">
        <v>5040</v>
      </c>
      <c r="P46" s="26" t="s">
        <v>11286</v>
      </c>
      <c r="Q46" s="33">
        <v>22</v>
      </c>
      <c r="R46" s="36" t="s">
        <v>11276</v>
      </c>
      <c r="S46" s="26" t="s">
        <v>8247</v>
      </c>
      <c r="T46" s="31" t="s">
        <v>8244</v>
      </c>
      <c r="U46" s="26"/>
    </row>
    <row r="47" s="21" customFormat="1" ht="30" spans="1:21">
      <c r="A47" s="28" t="s">
        <v>1491</v>
      </c>
      <c r="B47" s="26" t="str">
        <f>VLOOKUP(C47,[1]干线管道!B:C,2,FALSE)</f>
        <v>一级</v>
      </c>
      <c r="C47" s="26" t="str">
        <f>VLOOKUP(E47,[1]站场阀室!A:D,3,FALSE)</f>
        <v>西气东输一线</v>
      </c>
      <c r="D47" s="26" t="str">
        <f>VLOOKUP(E47,[1]站场阀室!A:D,4,FALSE)</f>
        <v>西一线干线东段</v>
      </c>
      <c r="E47" s="26" t="s">
        <v>1599</v>
      </c>
      <c r="F47" s="26" t="s">
        <v>11282</v>
      </c>
      <c r="G47" s="30" t="s">
        <v>11176</v>
      </c>
      <c r="H47" s="29">
        <v>39256</v>
      </c>
      <c r="I47" s="26" t="s">
        <v>11287</v>
      </c>
      <c r="J47" s="26" t="s">
        <v>11270</v>
      </c>
      <c r="K47" s="26" t="s">
        <v>11271</v>
      </c>
      <c r="L47" s="26" t="s">
        <v>11272</v>
      </c>
      <c r="M47" s="26" t="s">
        <v>11288</v>
      </c>
      <c r="N47" s="26" t="s">
        <v>11274</v>
      </c>
      <c r="O47" s="26">
        <v>5040</v>
      </c>
      <c r="P47" s="26" t="s">
        <v>11286</v>
      </c>
      <c r="Q47" s="33">
        <v>22</v>
      </c>
      <c r="R47" s="36" t="s">
        <v>11276</v>
      </c>
      <c r="S47" s="26"/>
      <c r="T47" s="31" t="s">
        <v>8244</v>
      </c>
      <c r="U47" s="26"/>
    </row>
    <row r="48" s="21" customFormat="1" spans="1:21">
      <c r="A48" s="28" t="s">
        <v>1491</v>
      </c>
      <c r="B48" s="26" t="str">
        <f>VLOOKUP(C48,[1]干线管道!B:C,2,FALSE)</f>
        <v>一级</v>
      </c>
      <c r="C48" s="26" t="str">
        <f>VLOOKUP(E48,[1]站场阀室!A:D,3,FALSE)</f>
        <v>西气东输一线</v>
      </c>
      <c r="D48" s="26" t="str">
        <f>VLOOKUP(E48,[1]站场阀室!A:D,4,FALSE)</f>
        <v>西一线干线东段</v>
      </c>
      <c r="E48" s="26" t="s">
        <v>152</v>
      </c>
      <c r="F48" s="26" t="s">
        <v>11282</v>
      </c>
      <c r="G48" s="30" t="s">
        <v>11268</v>
      </c>
      <c r="H48" s="29">
        <v>40106</v>
      </c>
      <c r="I48" s="26" t="s">
        <v>11269</v>
      </c>
      <c r="J48" s="26" t="s">
        <v>11270</v>
      </c>
      <c r="K48" s="26" t="s">
        <v>11277</v>
      </c>
      <c r="L48" s="26" t="s">
        <v>11294</v>
      </c>
      <c r="M48" s="26" t="s">
        <v>11279</v>
      </c>
      <c r="N48" s="26" t="s">
        <v>11280</v>
      </c>
      <c r="O48" s="26">
        <v>6405</v>
      </c>
      <c r="P48" s="26" t="s">
        <v>11284</v>
      </c>
      <c r="Q48" s="33">
        <v>31.364</v>
      </c>
      <c r="R48" s="36" t="s">
        <v>11276</v>
      </c>
      <c r="S48" s="26" t="s">
        <v>8247</v>
      </c>
      <c r="T48" s="31" t="s">
        <v>8244</v>
      </c>
      <c r="U48" s="26"/>
    </row>
    <row r="49" s="21" customFormat="1" spans="1:21">
      <c r="A49" s="28" t="s">
        <v>1491</v>
      </c>
      <c r="B49" s="26" t="str">
        <f>VLOOKUP(C49,[1]干线管道!B:C,2,FALSE)</f>
        <v>一级</v>
      </c>
      <c r="C49" s="26" t="str">
        <f>VLOOKUP(E49,[1]站场阀室!A:D,3,FALSE)</f>
        <v>西气东输一线</v>
      </c>
      <c r="D49" s="26" t="str">
        <f>VLOOKUP(E49,[1]站场阀室!A:D,4,FALSE)</f>
        <v>西一线干线东段</v>
      </c>
      <c r="E49" s="26" t="s">
        <v>152</v>
      </c>
      <c r="F49" s="26" t="s">
        <v>11282</v>
      </c>
      <c r="G49" s="30" t="s">
        <v>11176</v>
      </c>
      <c r="H49" s="29">
        <v>40146</v>
      </c>
      <c r="I49" s="26" t="s">
        <v>11269</v>
      </c>
      <c r="J49" s="26" t="s">
        <v>11270</v>
      </c>
      <c r="K49" s="26" t="s">
        <v>11277</v>
      </c>
      <c r="L49" s="26" t="s">
        <v>11294</v>
      </c>
      <c r="M49" s="26" t="s">
        <v>11279</v>
      </c>
      <c r="N49" s="26" t="s">
        <v>11280</v>
      </c>
      <c r="O49" s="26">
        <v>6405</v>
      </c>
      <c r="P49" s="26" t="s">
        <v>11284</v>
      </c>
      <c r="Q49" s="33">
        <v>31.364</v>
      </c>
      <c r="R49" s="36" t="s">
        <v>11276</v>
      </c>
      <c r="S49" s="26"/>
      <c r="T49" s="31" t="s">
        <v>8244</v>
      </c>
      <c r="U49" s="26"/>
    </row>
    <row r="50" s="21" customFormat="1" spans="1:21">
      <c r="A50" s="31" t="s">
        <v>1491</v>
      </c>
      <c r="B50" s="31" t="s">
        <v>29</v>
      </c>
      <c r="C50" s="26" t="s">
        <v>28</v>
      </c>
      <c r="D50" s="26" t="s">
        <v>115</v>
      </c>
      <c r="E50" s="26" t="s">
        <v>11295</v>
      </c>
      <c r="F50" s="26" t="s">
        <v>147</v>
      </c>
      <c r="G50" s="30" t="s">
        <v>11268</v>
      </c>
      <c r="H50" s="29">
        <v>40104</v>
      </c>
      <c r="I50" s="26" t="s">
        <v>11287</v>
      </c>
      <c r="J50" s="26" t="s">
        <v>11296</v>
      </c>
      <c r="K50" s="26" t="s">
        <v>11297</v>
      </c>
      <c r="L50" s="26" t="s">
        <v>11298</v>
      </c>
      <c r="M50" s="26" t="s">
        <v>11299</v>
      </c>
      <c r="N50" s="26" t="s">
        <v>11300</v>
      </c>
      <c r="O50" s="26" t="s">
        <v>11300</v>
      </c>
      <c r="P50" s="26" t="s">
        <v>11301</v>
      </c>
      <c r="Q50" s="37">
        <v>2</v>
      </c>
      <c r="R50" s="38" t="s">
        <v>11276</v>
      </c>
      <c r="S50" s="26" t="s">
        <v>147</v>
      </c>
      <c r="T50" s="31" t="s">
        <v>11302</v>
      </c>
      <c r="U50" s="26"/>
    </row>
    <row r="51" s="21" customFormat="1" spans="1:21">
      <c r="A51" s="31" t="s">
        <v>1491</v>
      </c>
      <c r="B51" s="31" t="s">
        <v>29</v>
      </c>
      <c r="C51" s="26" t="s">
        <v>28</v>
      </c>
      <c r="D51" s="26" t="s">
        <v>115</v>
      </c>
      <c r="E51" s="26" t="s">
        <v>11295</v>
      </c>
      <c r="F51" s="26" t="s">
        <v>147</v>
      </c>
      <c r="G51" s="30" t="s">
        <v>11176</v>
      </c>
      <c r="H51" s="29">
        <v>40075</v>
      </c>
      <c r="I51" s="26" t="s">
        <v>11287</v>
      </c>
      <c r="J51" s="26" t="s">
        <v>11296</v>
      </c>
      <c r="K51" s="26" t="s">
        <v>11297</v>
      </c>
      <c r="L51" s="26" t="s">
        <v>11298</v>
      </c>
      <c r="M51" s="26" t="s">
        <v>11303</v>
      </c>
      <c r="N51" s="26" t="s">
        <v>11300</v>
      </c>
      <c r="O51" s="26" t="s">
        <v>11300</v>
      </c>
      <c r="P51" s="26" t="s">
        <v>11301</v>
      </c>
      <c r="Q51" s="37">
        <v>2</v>
      </c>
      <c r="R51" s="38" t="s">
        <v>11276</v>
      </c>
      <c r="S51" s="26"/>
      <c r="T51" s="31" t="s">
        <v>11302</v>
      </c>
      <c r="U51" s="26"/>
    </row>
    <row r="52" s="21" customFormat="1" spans="1:21">
      <c r="A52" s="31" t="s">
        <v>1491</v>
      </c>
      <c r="B52" s="31" t="s">
        <v>29</v>
      </c>
      <c r="C52" s="26" t="s">
        <v>28</v>
      </c>
      <c r="D52" s="26" t="s">
        <v>115</v>
      </c>
      <c r="E52" s="26" t="s">
        <v>11295</v>
      </c>
      <c r="F52" s="26" t="s">
        <v>147</v>
      </c>
      <c r="G52" s="30" t="s">
        <v>9245</v>
      </c>
      <c r="H52" s="29">
        <v>40071</v>
      </c>
      <c r="I52" s="26" t="s">
        <v>11287</v>
      </c>
      <c r="J52" s="26" t="s">
        <v>11296</v>
      </c>
      <c r="K52" s="26" t="s">
        <v>11297</v>
      </c>
      <c r="L52" s="26" t="s">
        <v>11298</v>
      </c>
      <c r="M52" s="26" t="s">
        <v>11299</v>
      </c>
      <c r="N52" s="26" t="s">
        <v>11300</v>
      </c>
      <c r="O52" s="26" t="s">
        <v>11300</v>
      </c>
      <c r="P52" s="26" t="s">
        <v>11301</v>
      </c>
      <c r="Q52" s="37">
        <v>2</v>
      </c>
      <c r="R52" s="38" t="s">
        <v>11276</v>
      </c>
      <c r="S52" s="26"/>
      <c r="T52" s="31" t="s">
        <v>11302</v>
      </c>
      <c r="U52" s="26"/>
    </row>
    <row r="53" s="21" customFormat="1" ht="30" spans="1:21">
      <c r="A53" s="31" t="s">
        <v>1491</v>
      </c>
      <c r="B53" s="31" t="s">
        <v>29</v>
      </c>
      <c r="C53" s="26" t="s">
        <v>28</v>
      </c>
      <c r="D53" s="26" t="s">
        <v>115</v>
      </c>
      <c r="E53" s="26" t="s">
        <v>11295</v>
      </c>
      <c r="F53" s="26" t="s">
        <v>147</v>
      </c>
      <c r="G53" s="30" t="s">
        <v>10755</v>
      </c>
      <c r="H53" s="29">
        <v>41339</v>
      </c>
      <c r="I53" s="26" t="s">
        <v>11287</v>
      </c>
      <c r="J53" s="26" t="s">
        <v>11296</v>
      </c>
      <c r="K53" s="26" t="s">
        <v>11304</v>
      </c>
      <c r="L53" s="26" t="s">
        <v>11305</v>
      </c>
      <c r="M53" s="26" t="s">
        <v>11299</v>
      </c>
      <c r="N53" s="26" t="s">
        <v>11300</v>
      </c>
      <c r="O53" s="26" t="s">
        <v>11300</v>
      </c>
      <c r="P53" s="26" t="s">
        <v>11301</v>
      </c>
      <c r="Q53" s="37">
        <v>2</v>
      </c>
      <c r="R53" s="38" t="s">
        <v>11276</v>
      </c>
      <c r="S53" s="26"/>
      <c r="T53" s="31" t="s">
        <v>11302</v>
      </c>
      <c r="U53" s="26"/>
    </row>
    <row r="54" s="21" customFormat="1" ht="30" spans="1:21">
      <c r="A54" s="31" t="s">
        <v>1491</v>
      </c>
      <c r="B54" s="31" t="s">
        <v>29</v>
      </c>
      <c r="C54" s="26" t="s">
        <v>28</v>
      </c>
      <c r="D54" s="26" t="s">
        <v>115</v>
      </c>
      <c r="E54" s="26" t="s">
        <v>11295</v>
      </c>
      <c r="F54" s="26" t="s">
        <v>147</v>
      </c>
      <c r="G54" s="30" t="s">
        <v>11306</v>
      </c>
      <c r="H54" s="29">
        <v>40360</v>
      </c>
      <c r="I54" s="26" t="s">
        <v>11287</v>
      </c>
      <c r="J54" s="26" t="s">
        <v>11296</v>
      </c>
      <c r="K54" s="26" t="s">
        <v>11304</v>
      </c>
      <c r="L54" s="26" t="s">
        <v>11307</v>
      </c>
      <c r="M54" s="26" t="s">
        <v>11308</v>
      </c>
      <c r="N54" s="26" t="s">
        <v>11300</v>
      </c>
      <c r="O54" s="26" t="s">
        <v>11300</v>
      </c>
      <c r="P54" s="26" t="s">
        <v>11301</v>
      </c>
      <c r="Q54" s="37">
        <v>0.8</v>
      </c>
      <c r="R54" s="38" t="s">
        <v>11276</v>
      </c>
      <c r="S54" s="26"/>
      <c r="T54" s="31" t="s">
        <v>11302</v>
      </c>
      <c r="U54" s="26"/>
    </row>
    <row r="55" s="21" customFormat="1" ht="30" spans="1:21">
      <c r="A55" s="28" t="s">
        <v>1640</v>
      </c>
      <c r="B55" s="26" t="str">
        <f>VLOOKUP(C55,[1]干线管道!B:C,2,FALSE)</f>
        <v>一级</v>
      </c>
      <c r="C55" s="26" t="str">
        <f>VLOOKUP(E55,[1]站场阀室!A:D,3,FALSE)</f>
        <v>西气东输一线</v>
      </c>
      <c r="D55" s="26" t="str">
        <f>VLOOKUP(E55,[1]站场阀室!A:D,4,FALSE)</f>
        <v>西一线干线东段</v>
      </c>
      <c r="E55" s="26" t="s">
        <v>136</v>
      </c>
      <c r="F55" s="26" t="s">
        <v>11282</v>
      </c>
      <c r="G55" s="30" t="s">
        <v>11268</v>
      </c>
      <c r="H55" s="29">
        <v>39198</v>
      </c>
      <c r="I55" s="26" t="s">
        <v>11287</v>
      </c>
      <c r="J55" s="26" t="s">
        <v>11270</v>
      </c>
      <c r="K55" s="26" t="s">
        <v>11271</v>
      </c>
      <c r="L55" s="26" t="s">
        <v>11272</v>
      </c>
      <c r="M55" s="26" t="s">
        <v>11288</v>
      </c>
      <c r="N55" s="26" t="s">
        <v>11274</v>
      </c>
      <c r="O55" s="26">
        <v>5040</v>
      </c>
      <c r="P55" s="26" t="s">
        <v>11286</v>
      </c>
      <c r="Q55" s="33">
        <v>22</v>
      </c>
      <c r="R55" s="36" t="s">
        <v>11276</v>
      </c>
      <c r="S55" s="26" t="s">
        <v>8247</v>
      </c>
      <c r="T55" s="31" t="s">
        <v>8244</v>
      </c>
      <c r="U55" s="26"/>
    </row>
    <row r="56" s="21" customFormat="1" ht="30" spans="1:21">
      <c r="A56" s="28" t="s">
        <v>1640</v>
      </c>
      <c r="B56" s="26" t="str">
        <f>VLOOKUP(C56,[1]干线管道!B:C,2,FALSE)</f>
        <v>一级</v>
      </c>
      <c r="C56" s="26" t="str">
        <f>VLOOKUP(E56,[1]站场阀室!A:D,3,FALSE)</f>
        <v>西气东输一线</v>
      </c>
      <c r="D56" s="26" t="str">
        <f>VLOOKUP(E56,[1]站场阀室!A:D,4,FALSE)</f>
        <v>西一线干线东段</v>
      </c>
      <c r="E56" s="26" t="s">
        <v>136</v>
      </c>
      <c r="F56" s="26" t="s">
        <v>11282</v>
      </c>
      <c r="G56" s="30" t="s">
        <v>11176</v>
      </c>
      <c r="H56" s="29">
        <v>39252</v>
      </c>
      <c r="I56" s="26" t="s">
        <v>11287</v>
      </c>
      <c r="J56" s="26" t="s">
        <v>11270</v>
      </c>
      <c r="K56" s="26" t="s">
        <v>11271</v>
      </c>
      <c r="L56" s="26" t="s">
        <v>11272</v>
      </c>
      <c r="M56" s="26" t="s">
        <v>11288</v>
      </c>
      <c r="N56" s="26" t="s">
        <v>11274</v>
      </c>
      <c r="O56" s="26">
        <v>5040</v>
      </c>
      <c r="P56" s="26" t="s">
        <v>11286</v>
      </c>
      <c r="Q56" s="33">
        <v>22</v>
      </c>
      <c r="R56" s="36" t="s">
        <v>11276</v>
      </c>
      <c r="S56" s="26"/>
      <c r="T56" s="31" t="s">
        <v>8244</v>
      </c>
      <c r="U56" s="26"/>
    </row>
    <row r="57" s="21" customFormat="1" ht="30" spans="1:21">
      <c r="A57" s="28" t="s">
        <v>1640</v>
      </c>
      <c r="B57" s="26" t="str">
        <f>VLOOKUP(C57,[1]干线管道!B:C,2,FALSE)</f>
        <v>一级</v>
      </c>
      <c r="C57" s="26" t="str">
        <f>VLOOKUP(E57,[1]站场阀室!A:D,3,FALSE)</f>
        <v>西气东输一线</v>
      </c>
      <c r="D57" s="26" t="str">
        <f>VLOOKUP(E57,[1]站场阀室!A:D,4,FALSE)</f>
        <v>西一线干线东段</v>
      </c>
      <c r="E57" s="26" t="s">
        <v>198</v>
      </c>
      <c r="F57" s="26" t="s">
        <v>11282</v>
      </c>
      <c r="G57" s="30" t="s">
        <v>11268</v>
      </c>
      <c r="H57" s="29">
        <v>40121</v>
      </c>
      <c r="I57" s="26" t="s">
        <v>11287</v>
      </c>
      <c r="J57" s="26" t="s">
        <v>11270</v>
      </c>
      <c r="K57" s="26" t="s">
        <v>11277</v>
      </c>
      <c r="L57" s="26" t="s">
        <v>11309</v>
      </c>
      <c r="M57" s="26" t="s">
        <v>11288</v>
      </c>
      <c r="N57" s="26" t="s">
        <v>11274</v>
      </c>
      <c r="O57" s="26">
        <v>5040</v>
      </c>
      <c r="P57" s="26" t="s">
        <v>11284</v>
      </c>
      <c r="Q57" s="33">
        <v>22</v>
      </c>
      <c r="R57" s="36" t="s">
        <v>11276</v>
      </c>
      <c r="S57" s="26" t="s">
        <v>8247</v>
      </c>
      <c r="T57" s="31" t="s">
        <v>8244</v>
      </c>
      <c r="U57" s="26"/>
    </row>
    <row r="58" s="21" customFormat="1" ht="30" spans="1:21">
      <c r="A58" s="28" t="s">
        <v>1640</v>
      </c>
      <c r="B58" s="26" t="str">
        <f>VLOOKUP(C58,[1]干线管道!B:C,2,FALSE)</f>
        <v>一级</v>
      </c>
      <c r="C58" s="26" t="str">
        <f>VLOOKUP(E58,[1]站场阀室!A:D,3,FALSE)</f>
        <v>西气东输一线</v>
      </c>
      <c r="D58" s="26" t="str">
        <f>VLOOKUP(E58,[1]站场阀室!A:D,4,FALSE)</f>
        <v>西一线干线东段</v>
      </c>
      <c r="E58" s="26" t="s">
        <v>198</v>
      </c>
      <c r="F58" s="26" t="s">
        <v>11282</v>
      </c>
      <c r="G58" s="30" t="s">
        <v>11176</v>
      </c>
      <c r="H58" s="29">
        <v>40154</v>
      </c>
      <c r="I58" s="26" t="s">
        <v>11287</v>
      </c>
      <c r="J58" s="26" t="s">
        <v>11270</v>
      </c>
      <c r="K58" s="26" t="s">
        <v>11277</v>
      </c>
      <c r="L58" s="26" t="s">
        <v>11309</v>
      </c>
      <c r="M58" s="26" t="s">
        <v>11288</v>
      </c>
      <c r="N58" s="26" t="s">
        <v>11274</v>
      </c>
      <c r="O58" s="26">
        <v>5040</v>
      </c>
      <c r="P58" s="26" t="s">
        <v>11284</v>
      </c>
      <c r="Q58" s="33">
        <v>22</v>
      </c>
      <c r="R58" s="36" t="s">
        <v>11276</v>
      </c>
      <c r="S58" s="26"/>
      <c r="T58" s="31" t="s">
        <v>8244</v>
      </c>
      <c r="U58" s="26"/>
    </row>
    <row r="59" s="21" customFormat="1" spans="1:21">
      <c r="A59" s="28" t="s">
        <v>1689</v>
      </c>
      <c r="B59" s="26" t="str">
        <f>VLOOKUP(C59,[1]干线管道!B:C,2,FALSE)</f>
        <v>一级</v>
      </c>
      <c r="C59" s="26" t="str">
        <f>VLOOKUP(E59,[1]站场阀室!A:D,3,FALSE)</f>
        <v>西气东输一线</v>
      </c>
      <c r="D59" s="26" t="str">
        <f>VLOOKUP(E59,[1]站场阀室!A:D,4,FALSE)</f>
        <v>西一线干线东段</v>
      </c>
      <c r="E59" s="26" t="s">
        <v>127</v>
      </c>
      <c r="F59" s="26" t="s">
        <v>11282</v>
      </c>
      <c r="G59" s="30" t="s">
        <v>11268</v>
      </c>
      <c r="H59" s="29">
        <v>39762</v>
      </c>
      <c r="I59" s="26" t="s">
        <v>11269</v>
      </c>
      <c r="J59" s="26" t="s">
        <v>11270</v>
      </c>
      <c r="K59" s="26" t="s">
        <v>11277</v>
      </c>
      <c r="L59" s="26" t="s">
        <v>11309</v>
      </c>
      <c r="M59" s="26" t="s">
        <v>11279</v>
      </c>
      <c r="N59" s="26" t="s">
        <v>11280</v>
      </c>
      <c r="O59" s="26">
        <v>6405</v>
      </c>
      <c r="P59" s="26" t="s">
        <v>11284</v>
      </c>
      <c r="Q59" s="33">
        <v>31.364</v>
      </c>
      <c r="R59" s="36" t="s">
        <v>11276</v>
      </c>
      <c r="S59" s="26" t="s">
        <v>11291</v>
      </c>
      <c r="T59" s="31" t="s">
        <v>8244</v>
      </c>
      <c r="U59" s="26" t="s">
        <v>11292</v>
      </c>
    </row>
    <row r="60" s="21" customFormat="1" spans="1:21">
      <c r="A60" s="28" t="s">
        <v>1689</v>
      </c>
      <c r="B60" s="26" t="str">
        <f>VLOOKUP(C60,[1]干线管道!B:C,2,FALSE)</f>
        <v>一级</v>
      </c>
      <c r="C60" s="26" t="str">
        <f>VLOOKUP(E60,[1]站场阀室!A:D,3,FALSE)</f>
        <v>西气东输一线</v>
      </c>
      <c r="D60" s="26" t="str">
        <f>VLOOKUP(E60,[1]站场阀室!A:D,4,FALSE)</f>
        <v>西一线干线东段</v>
      </c>
      <c r="E60" s="26" t="s">
        <v>127</v>
      </c>
      <c r="F60" s="26" t="s">
        <v>11282</v>
      </c>
      <c r="G60" s="30" t="s">
        <v>11176</v>
      </c>
      <c r="H60" s="29">
        <v>40016</v>
      </c>
      <c r="I60" s="26" t="s">
        <v>11269</v>
      </c>
      <c r="J60" s="26" t="s">
        <v>11270</v>
      </c>
      <c r="K60" s="26" t="s">
        <v>11277</v>
      </c>
      <c r="L60" s="26" t="s">
        <v>11309</v>
      </c>
      <c r="M60" s="26" t="s">
        <v>11279</v>
      </c>
      <c r="N60" s="26" t="s">
        <v>11280</v>
      </c>
      <c r="O60" s="26">
        <v>6405</v>
      </c>
      <c r="P60" s="26" t="s">
        <v>11284</v>
      </c>
      <c r="Q60" s="33">
        <v>31.364</v>
      </c>
      <c r="R60" s="36" t="s">
        <v>11276</v>
      </c>
      <c r="S60" s="26"/>
      <c r="T60" s="31" t="s">
        <v>8244</v>
      </c>
      <c r="U60" s="26"/>
    </row>
    <row r="61" s="21" customFormat="1" spans="1:21">
      <c r="A61" s="28" t="s">
        <v>2048</v>
      </c>
      <c r="B61" s="26" t="str">
        <f>VLOOKUP(C61,[1]干线管道!B:C,2,FALSE)</f>
        <v>一级</v>
      </c>
      <c r="C61" s="26" t="str">
        <f>VLOOKUP(E61,[1]站场阀室!A:D,3,FALSE)</f>
        <v>冀宁线</v>
      </c>
      <c r="D61" s="26" t="str">
        <f>VLOOKUP(E61,[1]站场阀室!A:D,4,FALSE)</f>
        <v>冀宁线干线冀鲁段</v>
      </c>
      <c r="E61" s="26" t="s">
        <v>163</v>
      </c>
      <c r="F61" s="26" t="s">
        <v>11310</v>
      </c>
      <c r="G61" s="30" t="s">
        <v>11268</v>
      </c>
      <c r="H61" s="29" t="s">
        <v>11311</v>
      </c>
      <c r="I61" s="26" t="s">
        <v>11269</v>
      </c>
      <c r="J61" s="26" t="s">
        <v>11270</v>
      </c>
      <c r="K61" s="26" t="s">
        <v>11312</v>
      </c>
      <c r="L61" s="26" t="s">
        <v>11313</v>
      </c>
      <c r="M61" s="26" t="s">
        <v>11314</v>
      </c>
      <c r="N61" s="26" t="s">
        <v>11315</v>
      </c>
      <c r="O61" s="26">
        <v>14300</v>
      </c>
      <c r="P61" s="26" t="s">
        <v>11316</v>
      </c>
      <c r="Q61" s="33">
        <v>5.43</v>
      </c>
      <c r="R61" s="36"/>
      <c r="S61" s="26" t="s">
        <v>8247</v>
      </c>
      <c r="T61" s="31" t="s">
        <v>11302</v>
      </c>
      <c r="U61" s="26"/>
    </row>
    <row r="62" s="21" customFormat="1" spans="1:21">
      <c r="A62" s="28" t="s">
        <v>1980</v>
      </c>
      <c r="B62" s="26" t="str">
        <f>VLOOKUP(C62,[1]干线管道!B:C,2,FALSE)</f>
        <v>一级</v>
      </c>
      <c r="C62" s="26" t="str">
        <f>VLOOKUP(E62,[1]站场阀室!A:D,3,FALSE)</f>
        <v>冀宁线</v>
      </c>
      <c r="D62" s="26" t="str">
        <f>VLOOKUP(E62,[1]站场阀室!A:D,4,FALSE)</f>
        <v>冀宁线干线冀鲁段</v>
      </c>
      <c r="E62" s="26" t="s">
        <v>182</v>
      </c>
      <c r="F62" s="26" t="s">
        <v>11317</v>
      </c>
      <c r="G62" s="30" t="s">
        <v>11268</v>
      </c>
      <c r="H62" s="29">
        <v>2011.11</v>
      </c>
      <c r="I62" s="26" t="s">
        <v>11287</v>
      </c>
      <c r="J62" s="26" t="s">
        <v>11270</v>
      </c>
      <c r="K62" s="26" t="s">
        <v>11318</v>
      </c>
      <c r="L62" s="26" t="s">
        <v>11319</v>
      </c>
      <c r="M62" s="26" t="s">
        <v>11320</v>
      </c>
      <c r="N62" s="26" t="s">
        <v>11321</v>
      </c>
      <c r="O62" s="26">
        <v>13695</v>
      </c>
      <c r="P62" s="26" t="s">
        <v>11322</v>
      </c>
      <c r="Q62" s="33">
        <v>7.1</v>
      </c>
      <c r="R62" s="36" t="s">
        <v>11276</v>
      </c>
      <c r="S62" s="26" t="s">
        <v>8247</v>
      </c>
      <c r="T62" s="31" t="s">
        <v>8244</v>
      </c>
      <c r="U62" s="26"/>
    </row>
    <row r="63" s="21" customFormat="1" spans="1:21">
      <c r="A63" s="28" t="s">
        <v>1980</v>
      </c>
      <c r="B63" s="26" t="str">
        <f>VLOOKUP(C63,[1]干线管道!B:C,2,FALSE)</f>
        <v>一级</v>
      </c>
      <c r="C63" s="26" t="str">
        <f>VLOOKUP(E63,[1]站场阀室!A:D,3,FALSE)</f>
        <v>冀宁线</v>
      </c>
      <c r="D63" s="26" t="str">
        <f>VLOOKUP(E63,[1]站场阀室!A:D,4,FALSE)</f>
        <v>冀宁线干线冀鲁段</v>
      </c>
      <c r="E63" s="26" t="s">
        <v>182</v>
      </c>
      <c r="F63" s="26" t="s">
        <v>11317</v>
      </c>
      <c r="G63" s="30" t="s">
        <v>11176</v>
      </c>
      <c r="H63" s="29">
        <v>40982</v>
      </c>
      <c r="I63" s="26" t="s">
        <v>11287</v>
      </c>
      <c r="J63" s="26" t="s">
        <v>11270</v>
      </c>
      <c r="K63" s="26" t="s">
        <v>11318</v>
      </c>
      <c r="L63" s="26" t="s">
        <v>11319</v>
      </c>
      <c r="M63" s="26" t="s">
        <v>11320</v>
      </c>
      <c r="N63" s="26" t="s">
        <v>11321</v>
      </c>
      <c r="O63" s="26">
        <v>13695</v>
      </c>
      <c r="P63" s="26" t="s">
        <v>11322</v>
      </c>
      <c r="Q63" s="33">
        <v>7.1</v>
      </c>
      <c r="R63" s="36" t="s">
        <v>11276</v>
      </c>
      <c r="S63" s="26"/>
      <c r="T63" s="31" t="s">
        <v>8244</v>
      </c>
      <c r="U63" s="26"/>
    </row>
    <row r="64" s="21" customFormat="1" ht="30" spans="1:21">
      <c r="A64" s="28" t="s">
        <v>1689</v>
      </c>
      <c r="B64" s="26" t="str">
        <f>VLOOKUP(C64,[1]干线管道!B:C,2,FALSE)</f>
        <v>一级</v>
      </c>
      <c r="C64" s="26" t="str">
        <f>VLOOKUP(E64,[1]站场阀室!A:D,3,FALSE)</f>
        <v>冀宁线</v>
      </c>
      <c r="D64" s="26" t="str">
        <f>VLOOKUP(E64,[1]站场阀室!A:D,4,FALSE)</f>
        <v>冀宁线干线苏北段</v>
      </c>
      <c r="E64" s="26" t="s">
        <v>172</v>
      </c>
      <c r="F64" s="26" t="s">
        <v>11317</v>
      </c>
      <c r="G64" s="30" t="s">
        <v>11268</v>
      </c>
      <c r="H64" s="29">
        <v>40978</v>
      </c>
      <c r="I64" s="26" t="s">
        <v>11287</v>
      </c>
      <c r="J64" s="26" t="s">
        <v>11270</v>
      </c>
      <c r="K64" s="26" t="s">
        <v>11318</v>
      </c>
      <c r="L64" s="26" t="s">
        <v>11319</v>
      </c>
      <c r="M64" s="26" t="s">
        <v>11323</v>
      </c>
      <c r="N64" s="26" t="s">
        <v>11321</v>
      </c>
      <c r="O64" s="26">
        <v>13695</v>
      </c>
      <c r="P64" s="26" t="s">
        <v>11275</v>
      </c>
      <c r="Q64" s="33">
        <v>7.1</v>
      </c>
      <c r="R64" s="36" t="s">
        <v>11276</v>
      </c>
      <c r="S64" s="26" t="s">
        <v>8247</v>
      </c>
      <c r="T64" s="31" t="s">
        <v>8244</v>
      </c>
      <c r="U64" s="26"/>
    </row>
    <row r="65" s="21" customFormat="1" ht="30" spans="1:21">
      <c r="A65" s="28" t="s">
        <v>1689</v>
      </c>
      <c r="B65" s="26" t="str">
        <f>VLOOKUP(C65,[1]干线管道!B:C,2,FALSE)</f>
        <v>一级</v>
      </c>
      <c r="C65" s="26" t="str">
        <f>VLOOKUP(E65,[1]站场阀室!A:D,3,FALSE)</f>
        <v>冀宁线</v>
      </c>
      <c r="D65" s="26" t="str">
        <f>VLOOKUP(E65,[1]站场阀室!A:D,4,FALSE)</f>
        <v>冀宁线干线苏北段</v>
      </c>
      <c r="E65" s="26" t="s">
        <v>172</v>
      </c>
      <c r="F65" s="26" t="s">
        <v>11317</v>
      </c>
      <c r="G65" s="30" t="s">
        <v>11176</v>
      </c>
      <c r="H65" s="29">
        <v>40978</v>
      </c>
      <c r="I65" s="26" t="s">
        <v>11287</v>
      </c>
      <c r="J65" s="26" t="s">
        <v>11270</v>
      </c>
      <c r="K65" s="26" t="s">
        <v>11318</v>
      </c>
      <c r="L65" s="26" t="s">
        <v>11319</v>
      </c>
      <c r="M65" s="26" t="s">
        <v>11323</v>
      </c>
      <c r="N65" s="26" t="s">
        <v>11321</v>
      </c>
      <c r="O65" s="26">
        <v>13695</v>
      </c>
      <c r="P65" s="26" t="s">
        <v>11275</v>
      </c>
      <c r="Q65" s="33">
        <v>7.1</v>
      </c>
      <c r="R65" s="36" t="s">
        <v>11276</v>
      </c>
      <c r="S65" s="26"/>
      <c r="T65" s="31" t="s">
        <v>8244</v>
      </c>
      <c r="U65" s="26"/>
    </row>
    <row r="66" s="21" customFormat="1" spans="1:21">
      <c r="A66" s="28" t="s">
        <v>1291</v>
      </c>
      <c r="B66" s="26" t="str">
        <f>VLOOKUP(C66,[1]干线管道!B:C,2,FALSE)</f>
        <v>一级</v>
      </c>
      <c r="C66" s="26" t="str">
        <f>VLOOKUP(E66,[1]站场阀室!A:D,3,FALSE)</f>
        <v>西气东输二线</v>
      </c>
      <c r="D66" s="26" t="s">
        <v>200</v>
      </c>
      <c r="E66" s="26" t="s">
        <v>201</v>
      </c>
      <c r="F66" s="26" t="s">
        <v>11324</v>
      </c>
      <c r="G66" s="26" t="s">
        <v>11268</v>
      </c>
      <c r="H66" s="27" t="s">
        <v>11325</v>
      </c>
      <c r="I66" s="26" t="s">
        <v>11269</v>
      </c>
      <c r="J66" s="26" t="s">
        <v>11270</v>
      </c>
      <c r="K66" s="26" t="s">
        <v>11277</v>
      </c>
      <c r="L66" s="26" t="s">
        <v>11294</v>
      </c>
      <c r="M66" s="26" t="s">
        <v>11279</v>
      </c>
      <c r="N66" s="26" t="s">
        <v>11280</v>
      </c>
      <c r="O66" s="26">
        <v>6405</v>
      </c>
      <c r="P66" s="40" t="s">
        <v>8289</v>
      </c>
      <c r="Q66" s="33">
        <v>31.372</v>
      </c>
      <c r="R66" s="35" t="s">
        <v>11276</v>
      </c>
      <c r="S66" s="26" t="s">
        <v>11291</v>
      </c>
      <c r="T66" s="31" t="s">
        <v>8244</v>
      </c>
      <c r="U66" s="26"/>
    </row>
    <row r="67" s="21" customFormat="1" spans="1:21">
      <c r="A67" s="28" t="s">
        <v>1291</v>
      </c>
      <c r="B67" s="26" t="str">
        <f>VLOOKUP(C67,[1]干线管道!B:C,2,FALSE)</f>
        <v>一级</v>
      </c>
      <c r="C67" s="26" t="str">
        <f>VLOOKUP(E67,[1]站场阀室!A:D,3,FALSE)</f>
        <v>西气东输二线</v>
      </c>
      <c r="D67" s="26" t="s">
        <v>200</v>
      </c>
      <c r="E67" s="26" t="s">
        <v>201</v>
      </c>
      <c r="F67" s="26" t="s">
        <v>11324</v>
      </c>
      <c r="G67" s="26" t="s">
        <v>11176</v>
      </c>
      <c r="H67" s="27" t="s">
        <v>11325</v>
      </c>
      <c r="I67" s="26" t="s">
        <v>11269</v>
      </c>
      <c r="J67" s="26" t="s">
        <v>11270</v>
      </c>
      <c r="K67" s="26" t="s">
        <v>11277</v>
      </c>
      <c r="L67" s="26" t="s">
        <v>11294</v>
      </c>
      <c r="M67" s="26" t="s">
        <v>11279</v>
      </c>
      <c r="N67" s="26" t="s">
        <v>11280</v>
      </c>
      <c r="O67" s="26">
        <v>6405</v>
      </c>
      <c r="P67" s="40" t="s">
        <v>8289</v>
      </c>
      <c r="Q67" s="33">
        <v>31.372</v>
      </c>
      <c r="R67" s="35" t="s">
        <v>11276</v>
      </c>
      <c r="S67" s="26"/>
      <c r="T67" s="31" t="s">
        <v>8244</v>
      </c>
      <c r="U67" s="26"/>
    </row>
    <row r="68" s="21" customFormat="1" spans="1:21">
      <c r="A68" s="28" t="s">
        <v>1291</v>
      </c>
      <c r="B68" s="26" t="str">
        <f>VLOOKUP(C68,[1]干线管道!B:C,2,FALSE)</f>
        <v>一级</v>
      </c>
      <c r="C68" s="26" t="str">
        <f>VLOOKUP(E68,[1]站场阀室!A:D,3,FALSE)</f>
        <v>西气东输二线</v>
      </c>
      <c r="D68" s="26" t="s">
        <v>200</v>
      </c>
      <c r="E68" s="26" t="s">
        <v>201</v>
      </c>
      <c r="F68" s="26" t="s">
        <v>11324</v>
      </c>
      <c r="G68" s="26" t="s">
        <v>9245</v>
      </c>
      <c r="H68" s="27" t="s">
        <v>11325</v>
      </c>
      <c r="I68" s="26" t="s">
        <v>11269</v>
      </c>
      <c r="J68" s="26" t="s">
        <v>11270</v>
      </c>
      <c r="K68" s="26" t="s">
        <v>11277</v>
      </c>
      <c r="L68" s="26" t="s">
        <v>11294</v>
      </c>
      <c r="M68" s="26" t="s">
        <v>11279</v>
      </c>
      <c r="N68" s="26" t="s">
        <v>11280</v>
      </c>
      <c r="O68" s="26">
        <v>6405</v>
      </c>
      <c r="P68" s="40" t="s">
        <v>8289</v>
      </c>
      <c r="Q68" s="33">
        <v>31.372</v>
      </c>
      <c r="R68" s="35" t="s">
        <v>11276</v>
      </c>
      <c r="S68" s="26"/>
      <c r="T68" s="31" t="s">
        <v>8244</v>
      </c>
      <c r="U68" s="26"/>
    </row>
    <row r="69" s="21" customFormat="1" spans="1:21">
      <c r="A69" s="28" t="s">
        <v>1291</v>
      </c>
      <c r="B69" s="26" t="str">
        <f>VLOOKUP(C69,[1]干线管道!B:C,2,FALSE)</f>
        <v>一级</v>
      </c>
      <c r="C69" s="26" t="str">
        <f>VLOOKUP(E69,[1]站场阀室!A:D,3,FALSE)</f>
        <v>西气东输二线</v>
      </c>
      <c r="D69" s="26" t="s">
        <v>200</v>
      </c>
      <c r="E69" s="26" t="s">
        <v>201</v>
      </c>
      <c r="F69" s="26" t="s">
        <v>11324</v>
      </c>
      <c r="G69" s="26" t="s">
        <v>10755</v>
      </c>
      <c r="H69" s="27" t="s">
        <v>11325</v>
      </c>
      <c r="I69" s="26" t="s">
        <v>11269</v>
      </c>
      <c r="J69" s="26" t="s">
        <v>11270</v>
      </c>
      <c r="K69" s="26" t="s">
        <v>11277</v>
      </c>
      <c r="L69" s="26" t="s">
        <v>11294</v>
      </c>
      <c r="M69" s="26" t="s">
        <v>11279</v>
      </c>
      <c r="N69" s="26" t="s">
        <v>11280</v>
      </c>
      <c r="O69" s="26">
        <v>6405</v>
      </c>
      <c r="P69" s="40" t="s">
        <v>8289</v>
      </c>
      <c r="Q69" s="33">
        <v>31.372</v>
      </c>
      <c r="R69" s="35" t="s">
        <v>11276</v>
      </c>
      <c r="S69" s="26"/>
      <c r="T69" s="31" t="s">
        <v>8244</v>
      </c>
      <c r="U69" s="26"/>
    </row>
    <row r="70" s="21" customFormat="1" spans="1:21">
      <c r="A70" s="28" t="s">
        <v>1291</v>
      </c>
      <c r="B70" s="26" t="str">
        <f>VLOOKUP(C70,[1]干线管道!B:C,2,FALSE)</f>
        <v>一级</v>
      </c>
      <c r="C70" s="26" t="str">
        <f>VLOOKUP(E70,[1]站场阀室!A:D,3,FALSE)</f>
        <v>西气东输二线</v>
      </c>
      <c r="D70" s="26" t="s">
        <v>200</v>
      </c>
      <c r="E70" s="26" t="s">
        <v>2243</v>
      </c>
      <c r="F70" s="26" t="s">
        <v>11267</v>
      </c>
      <c r="G70" s="26" t="s">
        <v>11268</v>
      </c>
      <c r="H70" s="27" t="s">
        <v>11326</v>
      </c>
      <c r="I70" s="26" t="s">
        <v>11269</v>
      </c>
      <c r="J70" s="26" t="s">
        <v>11270</v>
      </c>
      <c r="K70" s="26" t="s">
        <v>11277</v>
      </c>
      <c r="L70" s="26" t="s">
        <v>11327</v>
      </c>
      <c r="M70" s="26" t="s">
        <v>11279</v>
      </c>
      <c r="N70" s="26" t="s">
        <v>11280</v>
      </c>
      <c r="O70" s="26">
        <v>6405</v>
      </c>
      <c r="P70" s="26" t="s">
        <v>11328</v>
      </c>
      <c r="Q70" s="33">
        <v>31.372</v>
      </c>
      <c r="R70" s="35" t="s">
        <v>11276</v>
      </c>
      <c r="S70" s="26" t="s">
        <v>8247</v>
      </c>
      <c r="T70" s="31" t="s">
        <v>8244</v>
      </c>
      <c r="U70" s="26"/>
    </row>
    <row r="71" s="21" customFormat="1" spans="1:21">
      <c r="A71" s="28" t="s">
        <v>1291</v>
      </c>
      <c r="B71" s="26" t="str">
        <f>VLOOKUP(C71,[1]干线管道!B:C,2,FALSE)</f>
        <v>一级</v>
      </c>
      <c r="C71" s="26" t="str">
        <f>VLOOKUP(E71,[1]站场阀室!A:D,3,FALSE)</f>
        <v>西气东输二线</v>
      </c>
      <c r="D71" s="26" t="s">
        <v>200</v>
      </c>
      <c r="E71" s="26" t="s">
        <v>2243</v>
      </c>
      <c r="F71" s="26" t="s">
        <v>11267</v>
      </c>
      <c r="G71" s="26" t="s">
        <v>11176</v>
      </c>
      <c r="H71" s="27" t="s">
        <v>11326</v>
      </c>
      <c r="I71" s="26" t="s">
        <v>11269</v>
      </c>
      <c r="J71" s="26" t="s">
        <v>11270</v>
      </c>
      <c r="K71" s="26" t="s">
        <v>11277</v>
      </c>
      <c r="L71" s="26" t="s">
        <v>11327</v>
      </c>
      <c r="M71" s="26" t="s">
        <v>11279</v>
      </c>
      <c r="N71" s="26" t="s">
        <v>11280</v>
      </c>
      <c r="O71" s="26">
        <v>6405</v>
      </c>
      <c r="P71" s="26" t="s">
        <v>11328</v>
      </c>
      <c r="Q71" s="33">
        <v>31.372</v>
      </c>
      <c r="R71" s="35" t="s">
        <v>11276</v>
      </c>
      <c r="S71" s="26"/>
      <c r="T71" s="31" t="s">
        <v>8244</v>
      </c>
      <c r="U71" s="26"/>
    </row>
    <row r="72" s="21" customFormat="1" spans="1:21">
      <c r="A72" s="28" t="s">
        <v>1291</v>
      </c>
      <c r="B72" s="26" t="str">
        <f>VLOOKUP(C72,[1]干线管道!B:C,2,FALSE)</f>
        <v>一级</v>
      </c>
      <c r="C72" s="26" t="str">
        <f>VLOOKUP(E72,[1]站场阀室!A:D,3,FALSE)</f>
        <v>西气东输二线</v>
      </c>
      <c r="D72" s="26" t="s">
        <v>200</v>
      </c>
      <c r="E72" s="26" t="s">
        <v>2243</v>
      </c>
      <c r="F72" s="26" t="s">
        <v>11267</v>
      </c>
      <c r="G72" s="26" t="s">
        <v>9245</v>
      </c>
      <c r="H72" s="27" t="s">
        <v>11326</v>
      </c>
      <c r="I72" s="26" t="s">
        <v>11269</v>
      </c>
      <c r="J72" s="26" t="s">
        <v>11270</v>
      </c>
      <c r="K72" s="26" t="s">
        <v>11277</v>
      </c>
      <c r="L72" s="26" t="s">
        <v>11327</v>
      </c>
      <c r="M72" s="26" t="s">
        <v>11279</v>
      </c>
      <c r="N72" s="26" t="s">
        <v>11280</v>
      </c>
      <c r="O72" s="26">
        <v>6405</v>
      </c>
      <c r="P72" s="26" t="s">
        <v>11328</v>
      </c>
      <c r="Q72" s="33">
        <v>31.372</v>
      </c>
      <c r="R72" s="35" t="s">
        <v>11276</v>
      </c>
      <c r="S72" s="26"/>
      <c r="T72" s="31" t="s">
        <v>8244</v>
      </c>
      <c r="U72" s="26"/>
    </row>
    <row r="73" s="21" customFormat="1" spans="1:21">
      <c r="A73" s="28" t="s">
        <v>1291</v>
      </c>
      <c r="B73" s="26" t="str">
        <f>VLOOKUP(C73,[1]干线管道!B:C,2,FALSE)</f>
        <v>一级</v>
      </c>
      <c r="C73" s="26" t="str">
        <f>VLOOKUP(E73,[1]站场阀室!A:D,3,FALSE)</f>
        <v>西气东输二线</v>
      </c>
      <c r="D73" s="26" t="s">
        <v>200</v>
      </c>
      <c r="E73" s="26" t="s">
        <v>2272</v>
      </c>
      <c r="F73" s="26" t="s">
        <v>11267</v>
      </c>
      <c r="G73" s="26" t="s">
        <v>11268</v>
      </c>
      <c r="H73" s="27" t="s">
        <v>11329</v>
      </c>
      <c r="I73" s="26" t="s">
        <v>11269</v>
      </c>
      <c r="J73" s="26" t="s">
        <v>11270</v>
      </c>
      <c r="K73" s="26" t="s">
        <v>11271</v>
      </c>
      <c r="L73" s="26" t="s">
        <v>11330</v>
      </c>
      <c r="M73" s="26" t="s">
        <v>11273</v>
      </c>
      <c r="N73" s="26" t="s">
        <v>11331</v>
      </c>
      <c r="O73" s="26">
        <v>5040</v>
      </c>
      <c r="P73" s="26" t="s">
        <v>11281</v>
      </c>
      <c r="Q73" s="33">
        <v>29.53</v>
      </c>
      <c r="R73" s="35" t="s">
        <v>11276</v>
      </c>
      <c r="S73" s="26" t="s">
        <v>8247</v>
      </c>
      <c r="T73" s="31" t="s">
        <v>8244</v>
      </c>
      <c r="U73" s="26"/>
    </row>
    <row r="74" s="21" customFormat="1" spans="1:21">
      <c r="A74" s="28" t="s">
        <v>1291</v>
      </c>
      <c r="B74" s="26" t="str">
        <f>VLOOKUP(C74,[1]干线管道!B:C,2,FALSE)</f>
        <v>一级</v>
      </c>
      <c r="C74" s="26" t="str">
        <f>VLOOKUP(E74,[1]站场阀室!A:D,3,FALSE)</f>
        <v>西气东输二线</v>
      </c>
      <c r="D74" s="26" t="s">
        <v>200</v>
      </c>
      <c r="E74" s="26" t="s">
        <v>2272</v>
      </c>
      <c r="F74" s="26" t="s">
        <v>11267</v>
      </c>
      <c r="G74" s="26" t="s">
        <v>11176</v>
      </c>
      <c r="H74" s="27" t="s">
        <v>11332</v>
      </c>
      <c r="I74" s="26" t="s">
        <v>11269</v>
      </c>
      <c r="J74" s="26" t="s">
        <v>11270</v>
      </c>
      <c r="K74" s="26" t="s">
        <v>11271</v>
      </c>
      <c r="L74" s="26" t="s">
        <v>11330</v>
      </c>
      <c r="M74" s="26" t="s">
        <v>11273</v>
      </c>
      <c r="N74" s="26" t="s">
        <v>11331</v>
      </c>
      <c r="O74" s="26">
        <v>5040</v>
      </c>
      <c r="P74" s="26" t="s">
        <v>11281</v>
      </c>
      <c r="Q74" s="33">
        <v>29.53</v>
      </c>
      <c r="R74" s="35" t="s">
        <v>11276</v>
      </c>
      <c r="S74" s="26"/>
      <c r="T74" s="31" t="s">
        <v>8244</v>
      </c>
      <c r="U74" s="26"/>
    </row>
    <row r="75" s="21" customFormat="1" spans="1:21">
      <c r="A75" s="28" t="s">
        <v>1291</v>
      </c>
      <c r="B75" s="26" t="str">
        <f>VLOOKUP(C75,[1]干线管道!B:C,2,FALSE)</f>
        <v>一级</v>
      </c>
      <c r="C75" s="26" t="str">
        <f>VLOOKUP(E75,[1]站场阀室!A:D,3,FALSE)</f>
        <v>西气东输二线</v>
      </c>
      <c r="D75" s="26" t="s">
        <v>200</v>
      </c>
      <c r="E75" s="26" t="s">
        <v>2272</v>
      </c>
      <c r="F75" s="26" t="s">
        <v>11267</v>
      </c>
      <c r="G75" s="26" t="s">
        <v>9245</v>
      </c>
      <c r="H75" s="27" t="s">
        <v>11333</v>
      </c>
      <c r="I75" s="26" t="s">
        <v>11269</v>
      </c>
      <c r="J75" s="26" t="s">
        <v>11270</v>
      </c>
      <c r="K75" s="26" t="s">
        <v>11271</v>
      </c>
      <c r="L75" s="26" t="s">
        <v>11330</v>
      </c>
      <c r="M75" s="26" t="s">
        <v>11273</v>
      </c>
      <c r="N75" s="26" t="s">
        <v>11331</v>
      </c>
      <c r="O75" s="26">
        <v>5040</v>
      </c>
      <c r="P75" s="26" t="s">
        <v>11281</v>
      </c>
      <c r="Q75" s="33">
        <v>29.53</v>
      </c>
      <c r="R75" s="35" t="s">
        <v>11276</v>
      </c>
      <c r="S75" s="26"/>
      <c r="T75" s="31" t="s">
        <v>8244</v>
      </c>
      <c r="U75" s="26"/>
    </row>
    <row r="76" s="21" customFormat="1" spans="1:21">
      <c r="A76" s="28" t="s">
        <v>1291</v>
      </c>
      <c r="B76" s="26" t="str">
        <f>VLOOKUP(C76,[1]干线管道!B:C,2,FALSE)</f>
        <v>一级</v>
      </c>
      <c r="C76" s="26" t="str">
        <f>VLOOKUP(E76,[1]站场阀室!A:D,3,FALSE)</f>
        <v>西气东输二线</v>
      </c>
      <c r="D76" s="26" t="s">
        <v>200</v>
      </c>
      <c r="E76" s="26" t="s">
        <v>2288</v>
      </c>
      <c r="F76" s="26" t="s">
        <v>11267</v>
      </c>
      <c r="G76" s="26" t="s">
        <v>11268</v>
      </c>
      <c r="H76" s="27" t="s">
        <v>11334</v>
      </c>
      <c r="I76" s="26" t="s">
        <v>11269</v>
      </c>
      <c r="J76" s="26" t="s">
        <v>11270</v>
      </c>
      <c r="K76" s="26" t="s">
        <v>11277</v>
      </c>
      <c r="L76" s="26" t="s">
        <v>11327</v>
      </c>
      <c r="M76" s="26" t="s">
        <v>11279</v>
      </c>
      <c r="N76" s="26" t="s">
        <v>11280</v>
      </c>
      <c r="O76" s="26">
        <v>6405</v>
      </c>
      <c r="P76" s="26" t="s">
        <v>11328</v>
      </c>
      <c r="Q76" s="33">
        <v>31.372</v>
      </c>
      <c r="R76" s="35" t="s">
        <v>11276</v>
      </c>
      <c r="S76" s="26" t="s">
        <v>11291</v>
      </c>
      <c r="T76" s="31" t="s">
        <v>8244</v>
      </c>
      <c r="U76" s="26" t="s">
        <v>11335</v>
      </c>
    </row>
    <row r="77" s="21" customFormat="1" spans="1:21">
      <c r="A77" s="28" t="s">
        <v>1291</v>
      </c>
      <c r="B77" s="26" t="str">
        <f>VLOOKUP(C77,[1]干线管道!B:C,2,FALSE)</f>
        <v>一级</v>
      </c>
      <c r="C77" s="26" t="str">
        <f>VLOOKUP(E77,[1]站场阀室!A:D,3,FALSE)</f>
        <v>西气东输二线</v>
      </c>
      <c r="D77" s="26" t="s">
        <v>200</v>
      </c>
      <c r="E77" s="26" t="s">
        <v>2288</v>
      </c>
      <c r="F77" s="26" t="s">
        <v>11267</v>
      </c>
      <c r="G77" s="26" t="s">
        <v>11176</v>
      </c>
      <c r="H77" s="27" t="s">
        <v>11334</v>
      </c>
      <c r="I77" s="26" t="s">
        <v>11269</v>
      </c>
      <c r="J77" s="26" t="s">
        <v>11270</v>
      </c>
      <c r="K77" s="26" t="s">
        <v>11277</v>
      </c>
      <c r="L77" s="26" t="s">
        <v>11327</v>
      </c>
      <c r="M77" s="26" t="s">
        <v>11279</v>
      </c>
      <c r="N77" s="26" t="s">
        <v>11280</v>
      </c>
      <c r="O77" s="26">
        <v>6405</v>
      </c>
      <c r="P77" s="26" t="s">
        <v>11328</v>
      </c>
      <c r="Q77" s="33">
        <v>31.372</v>
      </c>
      <c r="R77" s="35" t="s">
        <v>11276</v>
      </c>
      <c r="S77" s="26"/>
      <c r="T77" s="31" t="s">
        <v>8244</v>
      </c>
      <c r="U77" s="26"/>
    </row>
    <row r="78" s="21" customFormat="1" spans="1:21">
      <c r="A78" s="28" t="s">
        <v>1291</v>
      </c>
      <c r="B78" s="26" t="str">
        <f>VLOOKUP(C78,[1]干线管道!B:C,2,FALSE)</f>
        <v>一级</v>
      </c>
      <c r="C78" s="26" t="str">
        <f>VLOOKUP(E78,[1]站场阀室!A:D,3,FALSE)</f>
        <v>西气东输二线</v>
      </c>
      <c r="D78" s="26" t="s">
        <v>200</v>
      </c>
      <c r="E78" s="26" t="s">
        <v>2288</v>
      </c>
      <c r="F78" s="26" t="s">
        <v>11267</v>
      </c>
      <c r="G78" s="26" t="s">
        <v>9245</v>
      </c>
      <c r="H78" s="27" t="s">
        <v>11334</v>
      </c>
      <c r="I78" s="26" t="s">
        <v>11269</v>
      </c>
      <c r="J78" s="26" t="s">
        <v>11270</v>
      </c>
      <c r="K78" s="26" t="s">
        <v>11277</v>
      </c>
      <c r="L78" s="26" t="s">
        <v>11327</v>
      </c>
      <c r="M78" s="26" t="s">
        <v>11279</v>
      </c>
      <c r="N78" s="26" t="s">
        <v>11280</v>
      </c>
      <c r="O78" s="26">
        <v>6405</v>
      </c>
      <c r="P78" s="26" t="s">
        <v>11328</v>
      </c>
      <c r="Q78" s="33">
        <v>31.372</v>
      </c>
      <c r="R78" s="35" t="s">
        <v>11276</v>
      </c>
      <c r="S78" s="26"/>
      <c r="T78" s="31" t="s">
        <v>8244</v>
      </c>
      <c r="U78" s="26"/>
    </row>
    <row r="79" s="21" customFormat="1" spans="1:21">
      <c r="A79" s="28" t="s">
        <v>1291</v>
      </c>
      <c r="B79" s="26" t="str">
        <f>VLOOKUP(C79,[1]干线管道!B:C,2,FALSE)</f>
        <v>一级</v>
      </c>
      <c r="C79" s="26" t="str">
        <f>VLOOKUP(E79,[1]站场阀室!A:D,3,FALSE)</f>
        <v>西气东输二线</v>
      </c>
      <c r="D79" s="26" t="s">
        <v>200</v>
      </c>
      <c r="E79" s="26" t="s">
        <v>2306</v>
      </c>
      <c r="F79" s="26" t="s">
        <v>11324</v>
      </c>
      <c r="G79" s="26" t="s">
        <v>11268</v>
      </c>
      <c r="H79" s="29">
        <v>41197</v>
      </c>
      <c r="I79" s="26" t="s">
        <v>11287</v>
      </c>
      <c r="J79" s="26" t="s">
        <v>11270</v>
      </c>
      <c r="K79" s="26" t="s">
        <v>11277</v>
      </c>
      <c r="L79" s="26" t="s">
        <v>11294</v>
      </c>
      <c r="M79" s="26" t="s">
        <v>11336</v>
      </c>
      <c r="N79" s="26" t="s">
        <v>11337</v>
      </c>
      <c r="O79" s="26">
        <v>5460</v>
      </c>
      <c r="P79" s="26" t="s">
        <v>11338</v>
      </c>
      <c r="Q79" s="33">
        <v>18</v>
      </c>
      <c r="R79" s="35" t="s">
        <v>11276</v>
      </c>
      <c r="S79" s="26" t="s">
        <v>8247</v>
      </c>
      <c r="T79" s="31" t="s">
        <v>8244</v>
      </c>
      <c r="U79" s="26"/>
    </row>
    <row r="80" s="21" customFormat="1" spans="1:21">
      <c r="A80" s="28" t="s">
        <v>1291</v>
      </c>
      <c r="B80" s="26" t="str">
        <f>VLOOKUP(C80,[1]干线管道!B:C,2,FALSE)</f>
        <v>一级</v>
      </c>
      <c r="C80" s="26" t="str">
        <f>VLOOKUP(E80,[1]站场阀室!A:D,3,FALSE)</f>
        <v>西气东输二线</v>
      </c>
      <c r="D80" s="26" t="s">
        <v>200</v>
      </c>
      <c r="E80" s="26" t="s">
        <v>2306</v>
      </c>
      <c r="F80" s="26" t="s">
        <v>11324</v>
      </c>
      <c r="G80" s="26" t="s">
        <v>11176</v>
      </c>
      <c r="H80" s="29">
        <v>41198</v>
      </c>
      <c r="I80" s="26" t="s">
        <v>11287</v>
      </c>
      <c r="J80" s="26" t="s">
        <v>11270</v>
      </c>
      <c r="K80" s="26" t="s">
        <v>11277</v>
      </c>
      <c r="L80" s="26" t="s">
        <v>11294</v>
      </c>
      <c r="M80" s="26" t="s">
        <v>11336</v>
      </c>
      <c r="N80" s="26" t="s">
        <v>11337</v>
      </c>
      <c r="O80" s="26">
        <v>5460</v>
      </c>
      <c r="P80" s="26" t="s">
        <v>11338</v>
      </c>
      <c r="Q80" s="33">
        <v>18</v>
      </c>
      <c r="R80" s="35" t="s">
        <v>11276</v>
      </c>
      <c r="S80" s="26"/>
      <c r="T80" s="31" t="s">
        <v>8244</v>
      </c>
      <c r="U80" s="26"/>
    </row>
    <row r="81" s="21" customFormat="1" spans="1:21">
      <c r="A81" s="28" t="s">
        <v>1291</v>
      </c>
      <c r="B81" s="26" t="str">
        <f>VLOOKUP(C81,[1]干线管道!B:C,2,FALSE)</f>
        <v>一级</v>
      </c>
      <c r="C81" s="26" t="str">
        <f>VLOOKUP(E81,[1]站场阀室!A:D,3,FALSE)</f>
        <v>西气东输二线</v>
      </c>
      <c r="D81" s="26" t="s">
        <v>200</v>
      </c>
      <c r="E81" s="26" t="s">
        <v>2306</v>
      </c>
      <c r="F81" s="26" t="s">
        <v>11324</v>
      </c>
      <c r="G81" s="26" t="s">
        <v>9245</v>
      </c>
      <c r="H81" s="29">
        <v>41199</v>
      </c>
      <c r="I81" s="26" t="s">
        <v>11287</v>
      </c>
      <c r="J81" s="26" t="s">
        <v>11270</v>
      </c>
      <c r="K81" s="26" t="s">
        <v>11277</v>
      </c>
      <c r="L81" s="26" t="s">
        <v>11294</v>
      </c>
      <c r="M81" s="26" t="s">
        <v>11336</v>
      </c>
      <c r="N81" s="26" t="s">
        <v>11337</v>
      </c>
      <c r="O81" s="26">
        <v>5460</v>
      </c>
      <c r="P81" s="26" t="s">
        <v>11338</v>
      </c>
      <c r="Q81" s="33">
        <v>18</v>
      </c>
      <c r="R81" s="35" t="s">
        <v>11276</v>
      </c>
      <c r="S81" s="26"/>
      <c r="T81" s="31" t="s">
        <v>8244</v>
      </c>
      <c r="U81" s="26"/>
    </row>
    <row r="82" s="21" customFormat="1" spans="1:21">
      <c r="A82" s="28" t="s">
        <v>1291</v>
      </c>
      <c r="B82" s="26" t="str">
        <f>VLOOKUP(C82,[1]干线管道!B:C,2,FALSE)</f>
        <v>一级</v>
      </c>
      <c r="C82" s="26" t="str">
        <f>VLOOKUP(E82,[1]站场阀室!A:D,3,FALSE)</f>
        <v>西气东输二线</v>
      </c>
      <c r="D82" s="26" t="s">
        <v>200</v>
      </c>
      <c r="E82" s="26" t="s">
        <v>2306</v>
      </c>
      <c r="F82" s="26" t="s">
        <v>11324</v>
      </c>
      <c r="G82" s="26" t="s">
        <v>10755</v>
      </c>
      <c r="H82" s="29">
        <v>41200</v>
      </c>
      <c r="I82" s="26" t="s">
        <v>11287</v>
      </c>
      <c r="J82" s="26" t="s">
        <v>11296</v>
      </c>
      <c r="K82" s="26" t="s">
        <v>11339</v>
      </c>
      <c r="L82" s="26" t="s">
        <v>11340</v>
      </c>
      <c r="M82" s="26" t="s">
        <v>11336</v>
      </c>
      <c r="N82" s="26" t="s">
        <v>11337</v>
      </c>
      <c r="O82" s="26">
        <v>5460</v>
      </c>
      <c r="P82" s="26" t="s">
        <v>11341</v>
      </c>
      <c r="Q82" s="33">
        <v>18</v>
      </c>
      <c r="R82" s="35" t="s">
        <v>11276</v>
      </c>
      <c r="S82" s="26"/>
      <c r="T82" s="31" t="s">
        <v>8244</v>
      </c>
      <c r="U82" s="26"/>
    </row>
    <row r="83" s="21" customFormat="1" spans="1:21">
      <c r="A83" s="28" t="s">
        <v>1291</v>
      </c>
      <c r="B83" s="26" t="str">
        <f>VLOOKUP(C83,[1]干线管道!B:C,2,FALSE)</f>
        <v>一级</v>
      </c>
      <c r="C83" s="26" t="str">
        <f>VLOOKUP(E83,[1]站场阀室!A:D,3,FALSE)</f>
        <v>西气东输二线</v>
      </c>
      <c r="D83" s="26" t="s">
        <v>200</v>
      </c>
      <c r="E83" s="26" t="s">
        <v>2328</v>
      </c>
      <c r="F83" s="26" t="s">
        <v>11267</v>
      </c>
      <c r="G83" s="26" t="s">
        <v>11268</v>
      </c>
      <c r="H83" s="27" t="s">
        <v>11342</v>
      </c>
      <c r="I83" s="26" t="s">
        <v>11269</v>
      </c>
      <c r="J83" s="26" t="s">
        <v>11270</v>
      </c>
      <c r="K83" s="26" t="s">
        <v>11277</v>
      </c>
      <c r="L83" s="26" t="s">
        <v>11327</v>
      </c>
      <c r="M83" s="26" t="s">
        <v>11279</v>
      </c>
      <c r="N83" s="26" t="s">
        <v>11280</v>
      </c>
      <c r="O83" s="26">
        <v>6405</v>
      </c>
      <c r="P83" s="26" t="s">
        <v>11328</v>
      </c>
      <c r="Q83" s="33">
        <v>31.372</v>
      </c>
      <c r="R83" s="35" t="s">
        <v>11276</v>
      </c>
      <c r="S83" s="26" t="s">
        <v>11291</v>
      </c>
      <c r="T83" s="31" t="s">
        <v>8244</v>
      </c>
      <c r="U83" s="26"/>
    </row>
    <row r="84" s="21" customFormat="1" spans="1:21">
      <c r="A84" s="28" t="s">
        <v>1291</v>
      </c>
      <c r="B84" s="26" t="str">
        <f>VLOOKUP(C84,[1]干线管道!B:C,2,FALSE)</f>
        <v>一级</v>
      </c>
      <c r="C84" s="26" t="str">
        <f>VLOOKUP(E84,[1]站场阀室!A:D,3,FALSE)</f>
        <v>西气东输二线</v>
      </c>
      <c r="D84" s="26" t="s">
        <v>200</v>
      </c>
      <c r="E84" s="26" t="s">
        <v>2328</v>
      </c>
      <c r="F84" s="26" t="s">
        <v>11267</v>
      </c>
      <c r="G84" s="26" t="s">
        <v>11176</v>
      </c>
      <c r="H84" s="27" t="s">
        <v>11343</v>
      </c>
      <c r="I84" s="26" t="s">
        <v>11269</v>
      </c>
      <c r="J84" s="26" t="s">
        <v>11270</v>
      </c>
      <c r="K84" s="26" t="s">
        <v>11277</v>
      </c>
      <c r="L84" s="26" t="s">
        <v>11327</v>
      </c>
      <c r="M84" s="26" t="s">
        <v>11279</v>
      </c>
      <c r="N84" s="26" t="s">
        <v>11280</v>
      </c>
      <c r="O84" s="26">
        <v>6405</v>
      </c>
      <c r="P84" s="26" t="s">
        <v>11328</v>
      </c>
      <c r="Q84" s="33">
        <v>31.372</v>
      </c>
      <c r="R84" s="35" t="s">
        <v>11276</v>
      </c>
      <c r="S84" s="26"/>
      <c r="T84" s="31" t="s">
        <v>8244</v>
      </c>
      <c r="U84" s="26"/>
    </row>
    <row r="85" s="21" customFormat="1" spans="1:21">
      <c r="A85" s="28" t="s">
        <v>1291</v>
      </c>
      <c r="B85" s="26" t="str">
        <f>VLOOKUP(C85,[1]干线管道!B:C,2,FALSE)</f>
        <v>一级</v>
      </c>
      <c r="C85" s="26" t="str">
        <f>VLOOKUP(E85,[1]站场阀室!A:D,3,FALSE)</f>
        <v>西气东输二线</v>
      </c>
      <c r="D85" s="26" t="s">
        <v>200</v>
      </c>
      <c r="E85" s="26" t="s">
        <v>2328</v>
      </c>
      <c r="F85" s="26" t="s">
        <v>11267</v>
      </c>
      <c r="G85" s="26" t="s">
        <v>9245</v>
      </c>
      <c r="H85" s="27" t="s">
        <v>11344</v>
      </c>
      <c r="I85" s="26" t="s">
        <v>11269</v>
      </c>
      <c r="J85" s="26" t="s">
        <v>11270</v>
      </c>
      <c r="K85" s="26" t="s">
        <v>11277</v>
      </c>
      <c r="L85" s="26" t="s">
        <v>11327</v>
      </c>
      <c r="M85" s="26" t="s">
        <v>11279</v>
      </c>
      <c r="N85" s="26" t="s">
        <v>11280</v>
      </c>
      <c r="O85" s="26">
        <v>6405</v>
      </c>
      <c r="P85" s="26" t="s">
        <v>11345</v>
      </c>
      <c r="Q85" s="33">
        <v>31.372</v>
      </c>
      <c r="R85" s="35" t="s">
        <v>11276</v>
      </c>
      <c r="S85" s="26"/>
      <c r="T85" s="31" t="s">
        <v>8244</v>
      </c>
      <c r="U85" s="26"/>
    </row>
    <row r="86" s="21" customFormat="1" spans="1:21">
      <c r="A86" s="28" t="s">
        <v>1291</v>
      </c>
      <c r="B86" s="26" t="str">
        <f>VLOOKUP(C86,[1]干线管道!B:C,2,FALSE)</f>
        <v>一级</v>
      </c>
      <c r="C86" s="26" t="str">
        <f>VLOOKUP(E86,[1]站场阀室!A:D,3,FALSE)</f>
        <v>西气东输二线</v>
      </c>
      <c r="D86" s="26" t="s">
        <v>200</v>
      </c>
      <c r="E86" s="26" t="s">
        <v>2346</v>
      </c>
      <c r="F86" s="26" t="s">
        <v>11267</v>
      </c>
      <c r="G86" s="26" t="s">
        <v>11268</v>
      </c>
      <c r="H86" s="29" t="s">
        <v>11346</v>
      </c>
      <c r="I86" s="26" t="s">
        <v>11269</v>
      </c>
      <c r="J86" s="26" t="s">
        <v>11270</v>
      </c>
      <c r="K86" s="26" t="s">
        <v>11277</v>
      </c>
      <c r="L86" s="26" t="s">
        <v>11327</v>
      </c>
      <c r="M86" s="26" t="s">
        <v>11279</v>
      </c>
      <c r="N86" s="26" t="s">
        <v>11280</v>
      </c>
      <c r="O86" s="26">
        <v>6405</v>
      </c>
      <c r="P86" s="26" t="s">
        <v>11345</v>
      </c>
      <c r="Q86" s="33">
        <v>31.372</v>
      </c>
      <c r="R86" s="35" t="s">
        <v>11276</v>
      </c>
      <c r="S86" s="26" t="s">
        <v>8247</v>
      </c>
      <c r="T86" s="31" t="s">
        <v>8244</v>
      </c>
      <c r="U86" s="26" t="s">
        <v>11347</v>
      </c>
    </row>
    <row r="87" s="21" customFormat="1" spans="1:21">
      <c r="A87" s="28" t="s">
        <v>1291</v>
      </c>
      <c r="B87" s="26" t="str">
        <f>VLOOKUP(C87,[1]干线管道!B:C,2,FALSE)</f>
        <v>一级</v>
      </c>
      <c r="C87" s="26" t="str">
        <f>VLOOKUP(E87,[1]站场阀室!A:D,3,FALSE)</f>
        <v>西气东输二线</v>
      </c>
      <c r="D87" s="26" t="s">
        <v>200</v>
      </c>
      <c r="E87" s="26" t="s">
        <v>2346</v>
      </c>
      <c r="F87" s="26" t="s">
        <v>11267</v>
      </c>
      <c r="G87" s="26" t="s">
        <v>11176</v>
      </c>
      <c r="H87" s="29" t="s">
        <v>11346</v>
      </c>
      <c r="I87" s="26" t="s">
        <v>11269</v>
      </c>
      <c r="J87" s="26" t="s">
        <v>11270</v>
      </c>
      <c r="K87" s="26" t="s">
        <v>11277</v>
      </c>
      <c r="L87" s="26" t="s">
        <v>11327</v>
      </c>
      <c r="M87" s="26" t="s">
        <v>11279</v>
      </c>
      <c r="N87" s="26" t="s">
        <v>11280</v>
      </c>
      <c r="O87" s="26">
        <v>6405</v>
      </c>
      <c r="P87" s="26" t="s">
        <v>11345</v>
      </c>
      <c r="Q87" s="33">
        <v>31.372</v>
      </c>
      <c r="R87" s="35" t="s">
        <v>11276</v>
      </c>
      <c r="S87" s="26"/>
      <c r="T87" s="31" t="s">
        <v>8244</v>
      </c>
      <c r="U87" s="26"/>
    </row>
    <row r="88" s="21" customFormat="1" spans="1:21">
      <c r="A88" s="28" t="s">
        <v>1291</v>
      </c>
      <c r="B88" s="26" t="str">
        <f>VLOOKUP(C88,[1]干线管道!B:C,2,FALSE)</f>
        <v>一级</v>
      </c>
      <c r="C88" s="26" t="str">
        <f>VLOOKUP(E88,[1]站场阀室!A:D,3,FALSE)</f>
        <v>西气东输二线</v>
      </c>
      <c r="D88" s="26" t="s">
        <v>200</v>
      </c>
      <c r="E88" s="26" t="s">
        <v>2346</v>
      </c>
      <c r="F88" s="26" t="s">
        <v>11267</v>
      </c>
      <c r="G88" s="26" t="s">
        <v>9245</v>
      </c>
      <c r="H88" s="29" t="s">
        <v>11346</v>
      </c>
      <c r="I88" s="26" t="s">
        <v>11269</v>
      </c>
      <c r="J88" s="26" t="s">
        <v>11270</v>
      </c>
      <c r="K88" s="26" t="s">
        <v>11277</v>
      </c>
      <c r="L88" s="26" t="s">
        <v>11327</v>
      </c>
      <c r="M88" s="26" t="s">
        <v>11279</v>
      </c>
      <c r="N88" s="26" t="s">
        <v>11280</v>
      </c>
      <c r="O88" s="26">
        <v>6405</v>
      </c>
      <c r="P88" s="26" t="s">
        <v>11328</v>
      </c>
      <c r="Q88" s="33">
        <v>31.372</v>
      </c>
      <c r="R88" s="35" t="s">
        <v>11276</v>
      </c>
      <c r="S88" s="26"/>
      <c r="T88" s="31" t="s">
        <v>8244</v>
      </c>
      <c r="U88" s="26"/>
    </row>
    <row r="89" s="21" customFormat="1" spans="1:21">
      <c r="A89" s="28" t="s">
        <v>1291</v>
      </c>
      <c r="B89" s="26" t="str">
        <f>VLOOKUP(C89,[1]干线管道!B:C,2,FALSE)</f>
        <v>一级</v>
      </c>
      <c r="C89" s="26" t="str">
        <f>VLOOKUP(E89,[1]站场阀室!A:D,3,FALSE)</f>
        <v>西气东输二线</v>
      </c>
      <c r="D89" s="26" t="s">
        <v>200</v>
      </c>
      <c r="E89" s="26" t="s">
        <v>2362</v>
      </c>
      <c r="F89" s="26" t="s">
        <v>11267</v>
      </c>
      <c r="G89" s="26" t="s">
        <v>11268</v>
      </c>
      <c r="H89" s="39" t="s">
        <v>11348</v>
      </c>
      <c r="I89" s="26" t="s">
        <v>11269</v>
      </c>
      <c r="J89" s="26" t="s">
        <v>11270</v>
      </c>
      <c r="K89" s="26" t="s">
        <v>11271</v>
      </c>
      <c r="L89" s="26" t="s">
        <v>11330</v>
      </c>
      <c r="M89" s="26" t="s">
        <v>11273</v>
      </c>
      <c r="N89" s="26" t="s">
        <v>11349</v>
      </c>
      <c r="O89" s="26">
        <v>5040</v>
      </c>
      <c r="P89" s="26" t="s">
        <v>11350</v>
      </c>
      <c r="Q89" s="33">
        <v>29.53</v>
      </c>
      <c r="R89" s="35" t="s">
        <v>11276</v>
      </c>
      <c r="S89" s="26" t="s">
        <v>8247</v>
      </c>
      <c r="T89" s="31" t="s">
        <v>8244</v>
      </c>
      <c r="U89" s="26" t="s">
        <v>11347</v>
      </c>
    </row>
    <row r="90" s="21" customFormat="1" spans="1:21">
      <c r="A90" s="28" t="s">
        <v>1291</v>
      </c>
      <c r="B90" s="26" t="str">
        <f>VLOOKUP(C90,[1]干线管道!B:C,2,FALSE)</f>
        <v>一级</v>
      </c>
      <c r="C90" s="26" t="str">
        <f>VLOOKUP(E90,[1]站场阀室!A:D,3,FALSE)</f>
        <v>西气东输二线</v>
      </c>
      <c r="D90" s="26" t="s">
        <v>200</v>
      </c>
      <c r="E90" s="26" t="s">
        <v>2362</v>
      </c>
      <c r="F90" s="26" t="s">
        <v>11267</v>
      </c>
      <c r="G90" s="26" t="s">
        <v>11176</v>
      </c>
      <c r="H90" s="39" t="s">
        <v>11348</v>
      </c>
      <c r="I90" s="26" t="s">
        <v>11269</v>
      </c>
      <c r="J90" s="26" t="s">
        <v>11270</v>
      </c>
      <c r="K90" s="26" t="s">
        <v>11271</v>
      </c>
      <c r="L90" s="26" t="s">
        <v>11330</v>
      </c>
      <c r="M90" s="26" t="s">
        <v>11273</v>
      </c>
      <c r="N90" s="26" t="s">
        <v>11351</v>
      </c>
      <c r="O90" s="26">
        <v>5040</v>
      </c>
      <c r="P90" s="26" t="s">
        <v>11350</v>
      </c>
      <c r="Q90" s="33">
        <v>29.53</v>
      </c>
      <c r="R90" s="35" t="s">
        <v>11276</v>
      </c>
      <c r="S90" s="26"/>
      <c r="T90" s="31" t="s">
        <v>8244</v>
      </c>
      <c r="U90" s="26"/>
    </row>
    <row r="91" s="21" customFormat="1" spans="1:21">
      <c r="A91" s="28" t="s">
        <v>1291</v>
      </c>
      <c r="B91" s="26" t="str">
        <f>VLOOKUP(C91,[1]干线管道!B:C,2,FALSE)</f>
        <v>一级</v>
      </c>
      <c r="C91" s="26" t="str">
        <f>VLOOKUP(E91,[1]站场阀室!A:D,3,FALSE)</f>
        <v>西气东输二线</v>
      </c>
      <c r="D91" s="26" t="s">
        <v>200</v>
      </c>
      <c r="E91" s="26" t="s">
        <v>2362</v>
      </c>
      <c r="F91" s="26" t="s">
        <v>11267</v>
      </c>
      <c r="G91" s="26" t="s">
        <v>9245</v>
      </c>
      <c r="H91" s="39" t="s">
        <v>11348</v>
      </c>
      <c r="I91" s="26" t="s">
        <v>11269</v>
      </c>
      <c r="J91" s="26" t="s">
        <v>11270</v>
      </c>
      <c r="K91" s="26" t="s">
        <v>11271</v>
      </c>
      <c r="L91" s="26" t="s">
        <v>11330</v>
      </c>
      <c r="M91" s="26" t="s">
        <v>11273</v>
      </c>
      <c r="N91" s="26" t="s">
        <v>11351</v>
      </c>
      <c r="O91" s="26">
        <v>5040</v>
      </c>
      <c r="P91" s="26" t="s">
        <v>11350</v>
      </c>
      <c r="Q91" s="33">
        <v>29.53</v>
      </c>
      <c r="R91" s="35" t="s">
        <v>11276</v>
      </c>
      <c r="S91" s="26"/>
      <c r="T91" s="31" t="s">
        <v>8244</v>
      </c>
      <c r="U91" s="26"/>
    </row>
    <row r="92" s="21" customFormat="1" spans="1:21">
      <c r="A92" s="28" t="s">
        <v>1384</v>
      </c>
      <c r="B92" s="26" t="str">
        <f>VLOOKUP(C92,[1]干线管道!B:C,2,FALSE)</f>
        <v>一级</v>
      </c>
      <c r="C92" s="26" t="str">
        <f>VLOOKUP(E92,[1]站场阀室!A:D,3,FALSE)</f>
        <v>西气东输一线</v>
      </c>
      <c r="D92" s="26" t="str">
        <f>VLOOKUP(E92,[1]站场阀室!A:D,4,FALSE)</f>
        <v>西一线干线甘肃段</v>
      </c>
      <c r="E92" s="26" t="s">
        <v>111</v>
      </c>
      <c r="F92" s="26" t="s">
        <v>11267</v>
      </c>
      <c r="G92" s="26" t="s">
        <v>11268</v>
      </c>
      <c r="H92" s="29">
        <v>40398</v>
      </c>
      <c r="I92" s="26" t="s">
        <v>11269</v>
      </c>
      <c r="J92" s="26" t="s">
        <v>11270</v>
      </c>
      <c r="K92" s="26" t="s">
        <v>11277</v>
      </c>
      <c r="L92" s="26" t="s">
        <v>11352</v>
      </c>
      <c r="M92" s="26" t="s">
        <v>11279</v>
      </c>
      <c r="N92" s="26" t="s">
        <v>11280</v>
      </c>
      <c r="O92" s="26">
        <v>6405</v>
      </c>
      <c r="P92" s="26" t="s">
        <v>11328</v>
      </c>
      <c r="Q92" s="33">
        <v>31.372</v>
      </c>
      <c r="R92" s="35" t="s">
        <v>11276</v>
      </c>
      <c r="S92" s="26" t="s">
        <v>8247</v>
      </c>
      <c r="T92" s="31" t="s">
        <v>8244</v>
      </c>
      <c r="U92" s="26"/>
    </row>
    <row r="93" s="21" customFormat="1" spans="1:21">
      <c r="A93" s="28" t="s">
        <v>1384</v>
      </c>
      <c r="B93" s="26" t="str">
        <f>VLOOKUP(C93,[1]干线管道!B:C,2,FALSE)</f>
        <v>一级</v>
      </c>
      <c r="C93" s="26" t="str">
        <f>VLOOKUP(E93,[1]站场阀室!A:D,3,FALSE)</f>
        <v>西气东输一线</v>
      </c>
      <c r="D93" s="26" t="str">
        <f>VLOOKUP(E93,[1]站场阀室!A:D,4,FALSE)</f>
        <v>西一线干线甘肃段</v>
      </c>
      <c r="E93" s="26" t="s">
        <v>111</v>
      </c>
      <c r="F93" s="26" t="s">
        <v>11267</v>
      </c>
      <c r="G93" s="26" t="s">
        <v>11176</v>
      </c>
      <c r="H93" s="29">
        <v>40401</v>
      </c>
      <c r="I93" s="26" t="s">
        <v>11269</v>
      </c>
      <c r="J93" s="26" t="s">
        <v>11270</v>
      </c>
      <c r="K93" s="26" t="s">
        <v>11277</v>
      </c>
      <c r="L93" s="26" t="s">
        <v>11352</v>
      </c>
      <c r="M93" s="26" t="s">
        <v>11279</v>
      </c>
      <c r="N93" s="26" t="s">
        <v>11280</v>
      </c>
      <c r="O93" s="26">
        <v>6405</v>
      </c>
      <c r="P93" s="26" t="s">
        <v>11328</v>
      </c>
      <c r="Q93" s="33">
        <v>31.372</v>
      </c>
      <c r="R93" s="35" t="s">
        <v>11276</v>
      </c>
      <c r="S93" s="26"/>
      <c r="T93" s="31" t="s">
        <v>8244</v>
      </c>
      <c r="U93" s="26"/>
    </row>
    <row r="94" s="21" customFormat="1" spans="1:21">
      <c r="A94" s="28" t="s">
        <v>1384</v>
      </c>
      <c r="B94" s="26" t="str">
        <f>VLOOKUP(C94,[1]干线管道!B:C,2,FALSE)</f>
        <v>一级</v>
      </c>
      <c r="C94" s="26" t="str">
        <f>VLOOKUP(E94,[1]站场阀室!A:D,3,FALSE)</f>
        <v>西气东输一线</v>
      </c>
      <c r="D94" s="26" t="str">
        <f>VLOOKUP(E94,[1]站场阀室!A:D,4,FALSE)</f>
        <v>西一线干线甘肃段</v>
      </c>
      <c r="E94" s="26" t="s">
        <v>111</v>
      </c>
      <c r="F94" s="26" t="s">
        <v>11267</v>
      </c>
      <c r="G94" s="26" t="s">
        <v>9245</v>
      </c>
      <c r="H94" s="29">
        <v>40405</v>
      </c>
      <c r="I94" s="26" t="s">
        <v>11269</v>
      </c>
      <c r="J94" s="26" t="s">
        <v>11270</v>
      </c>
      <c r="K94" s="26" t="s">
        <v>11277</v>
      </c>
      <c r="L94" s="26" t="s">
        <v>11352</v>
      </c>
      <c r="M94" s="26" t="s">
        <v>11279</v>
      </c>
      <c r="N94" s="26" t="s">
        <v>11280</v>
      </c>
      <c r="O94" s="26">
        <v>6405</v>
      </c>
      <c r="P94" s="26" t="s">
        <v>11328</v>
      </c>
      <c r="Q94" s="33">
        <v>31.372</v>
      </c>
      <c r="R94" s="35" t="s">
        <v>11276</v>
      </c>
      <c r="S94" s="26"/>
      <c r="T94" s="31" t="s">
        <v>8244</v>
      </c>
      <c r="U94" s="26"/>
    </row>
    <row r="95" s="21" customFormat="1" spans="1:21">
      <c r="A95" s="28" t="s">
        <v>1384</v>
      </c>
      <c r="B95" s="26" t="str">
        <f>VLOOKUP(C95,[1]干线管道!B:C,2,FALSE)</f>
        <v>一级</v>
      </c>
      <c r="C95" s="26" t="str">
        <f>VLOOKUP(E95,[1]站场阀室!A:D,3,FALSE)</f>
        <v>西气东输二线</v>
      </c>
      <c r="D95" s="26" t="str">
        <f>VLOOKUP(E95,[1]站场阀室!A:D,4,FALSE)</f>
        <v>西二线干线甘肃段</v>
      </c>
      <c r="E95" s="26" t="s">
        <v>2381</v>
      </c>
      <c r="F95" s="26" t="s">
        <v>11324</v>
      </c>
      <c r="G95" s="26" t="s">
        <v>11268</v>
      </c>
      <c r="H95" s="29">
        <v>41197</v>
      </c>
      <c r="I95" s="26" t="s">
        <v>11287</v>
      </c>
      <c r="J95" s="26" t="s">
        <v>11270</v>
      </c>
      <c r="K95" s="26" t="s">
        <v>11277</v>
      </c>
      <c r="L95" s="26" t="s">
        <v>11309</v>
      </c>
      <c r="M95" s="32" t="s">
        <v>11353</v>
      </c>
      <c r="N95" s="26" t="s">
        <v>11337</v>
      </c>
      <c r="O95" s="26">
        <v>5460</v>
      </c>
      <c r="P95" s="26" t="s">
        <v>11338</v>
      </c>
      <c r="Q95" s="33">
        <v>18</v>
      </c>
      <c r="R95" s="35" t="s">
        <v>11276</v>
      </c>
      <c r="S95" s="26" t="s">
        <v>8247</v>
      </c>
      <c r="T95" s="31" t="s">
        <v>8244</v>
      </c>
      <c r="U95" s="26"/>
    </row>
    <row r="96" s="21" customFormat="1" spans="1:21">
      <c r="A96" s="28" t="s">
        <v>1384</v>
      </c>
      <c r="B96" s="26" t="str">
        <f>VLOOKUP(C96,[1]干线管道!B:C,2,FALSE)</f>
        <v>一级</v>
      </c>
      <c r="C96" s="26" t="str">
        <f>VLOOKUP(E96,[1]站场阀室!A:D,3,FALSE)</f>
        <v>西气东输二线</v>
      </c>
      <c r="D96" s="26" t="str">
        <f>VLOOKUP(E96,[1]站场阀室!A:D,4,FALSE)</f>
        <v>西二线干线甘肃段</v>
      </c>
      <c r="E96" s="26" t="s">
        <v>2381</v>
      </c>
      <c r="F96" s="26" t="s">
        <v>11324</v>
      </c>
      <c r="G96" s="26" t="s">
        <v>11176</v>
      </c>
      <c r="H96" s="29">
        <v>41198</v>
      </c>
      <c r="I96" s="26" t="s">
        <v>11287</v>
      </c>
      <c r="J96" s="26" t="s">
        <v>11270</v>
      </c>
      <c r="K96" s="26" t="s">
        <v>11277</v>
      </c>
      <c r="L96" s="26" t="s">
        <v>11309</v>
      </c>
      <c r="M96" s="32" t="s">
        <v>11353</v>
      </c>
      <c r="N96" s="26" t="s">
        <v>11337</v>
      </c>
      <c r="O96" s="26">
        <v>5460</v>
      </c>
      <c r="P96" s="26" t="s">
        <v>11338</v>
      </c>
      <c r="Q96" s="33">
        <v>18</v>
      </c>
      <c r="R96" s="35" t="s">
        <v>11276</v>
      </c>
      <c r="S96" s="26"/>
      <c r="T96" s="31" t="s">
        <v>8244</v>
      </c>
      <c r="U96" s="26"/>
    </row>
    <row r="97" s="21" customFormat="1" spans="1:21">
      <c r="A97" s="28" t="s">
        <v>1384</v>
      </c>
      <c r="B97" s="26" t="str">
        <f>VLOOKUP(C97,[1]干线管道!B:C,2,FALSE)</f>
        <v>一级</v>
      </c>
      <c r="C97" s="26" t="str">
        <f>VLOOKUP(E97,[1]站场阀室!A:D,3,FALSE)</f>
        <v>西气东输二线</v>
      </c>
      <c r="D97" s="26" t="str">
        <f>VLOOKUP(E97,[1]站场阀室!A:D,4,FALSE)</f>
        <v>西二线干线甘肃段</v>
      </c>
      <c r="E97" s="26" t="s">
        <v>2381</v>
      </c>
      <c r="F97" s="26" t="s">
        <v>11324</v>
      </c>
      <c r="G97" s="26" t="s">
        <v>9245</v>
      </c>
      <c r="H97" s="29">
        <v>41199</v>
      </c>
      <c r="I97" s="26" t="s">
        <v>11287</v>
      </c>
      <c r="J97" s="26" t="s">
        <v>11270</v>
      </c>
      <c r="K97" s="26" t="s">
        <v>11277</v>
      </c>
      <c r="L97" s="26" t="s">
        <v>11309</v>
      </c>
      <c r="M97" s="32" t="s">
        <v>11353</v>
      </c>
      <c r="N97" s="26" t="s">
        <v>11337</v>
      </c>
      <c r="O97" s="26">
        <v>5460</v>
      </c>
      <c r="P97" s="26" t="s">
        <v>11338</v>
      </c>
      <c r="Q97" s="33">
        <v>18</v>
      </c>
      <c r="R97" s="35" t="s">
        <v>11276</v>
      </c>
      <c r="S97" s="26"/>
      <c r="T97" s="31" t="s">
        <v>8244</v>
      </c>
      <c r="U97" s="26"/>
    </row>
    <row r="98" s="21" customFormat="1" spans="1:21">
      <c r="A98" s="28" t="s">
        <v>1384</v>
      </c>
      <c r="B98" s="26" t="str">
        <f>VLOOKUP(C98,[1]干线管道!B:C,2,FALSE)</f>
        <v>一级</v>
      </c>
      <c r="C98" s="26" t="str">
        <f>VLOOKUP(E98,[1]站场阀室!A:D,3,FALSE)</f>
        <v>西气东输二线</v>
      </c>
      <c r="D98" s="26" t="str">
        <f>VLOOKUP(E98,[1]站场阀室!A:D,4,FALSE)</f>
        <v>西二线干线甘肃段</v>
      </c>
      <c r="E98" s="26" t="s">
        <v>2381</v>
      </c>
      <c r="F98" s="26" t="s">
        <v>11324</v>
      </c>
      <c r="G98" s="26" t="s">
        <v>10755</v>
      </c>
      <c r="H98" s="29">
        <v>41200</v>
      </c>
      <c r="I98" s="26" t="s">
        <v>11287</v>
      </c>
      <c r="J98" s="26" t="s">
        <v>11296</v>
      </c>
      <c r="K98" s="26" t="s">
        <v>11339</v>
      </c>
      <c r="L98" s="26" t="s">
        <v>11354</v>
      </c>
      <c r="M98" s="32" t="s">
        <v>11353</v>
      </c>
      <c r="N98" s="26" t="s">
        <v>11337</v>
      </c>
      <c r="O98" s="26">
        <v>5460</v>
      </c>
      <c r="P98" s="26" t="s">
        <v>11355</v>
      </c>
      <c r="Q98" s="33">
        <v>18</v>
      </c>
      <c r="R98" s="35" t="s">
        <v>11276</v>
      </c>
      <c r="S98" s="26"/>
      <c r="T98" s="31" t="s">
        <v>8244</v>
      </c>
      <c r="U98" s="26"/>
    </row>
    <row r="99" s="21" customFormat="1" spans="1:21">
      <c r="A99" s="28" t="s">
        <v>1384</v>
      </c>
      <c r="B99" s="26" t="str">
        <f>VLOOKUP(C99,[1]干线管道!B:C,2,FALSE)</f>
        <v>一级</v>
      </c>
      <c r="C99" s="26" t="str">
        <f>VLOOKUP(E99,[1]站场阀室!A:D,3,FALSE)</f>
        <v>西气东输二线</v>
      </c>
      <c r="D99" s="26" t="str">
        <f>VLOOKUP(E99,[1]站场阀室!A:D,4,FALSE)</f>
        <v>西二线干线甘肃段</v>
      </c>
      <c r="E99" s="26" t="s">
        <v>214</v>
      </c>
      <c r="F99" s="26" t="s">
        <v>11267</v>
      </c>
      <c r="G99" s="26" t="s">
        <v>11268</v>
      </c>
      <c r="H99" s="27" t="s">
        <v>11356</v>
      </c>
      <c r="I99" s="26" t="s">
        <v>11269</v>
      </c>
      <c r="J99" s="26" t="s">
        <v>11270</v>
      </c>
      <c r="K99" s="26" t="s">
        <v>11277</v>
      </c>
      <c r="L99" s="26" t="s">
        <v>11352</v>
      </c>
      <c r="M99" s="26" t="s">
        <v>11279</v>
      </c>
      <c r="N99" s="26" t="s">
        <v>11280</v>
      </c>
      <c r="O99" s="26">
        <v>6405</v>
      </c>
      <c r="P99" s="26" t="s">
        <v>11328</v>
      </c>
      <c r="Q99" s="33">
        <v>31.372</v>
      </c>
      <c r="R99" s="35" t="s">
        <v>11276</v>
      </c>
      <c r="S99" s="26" t="s">
        <v>8247</v>
      </c>
      <c r="T99" s="31" t="s">
        <v>8244</v>
      </c>
      <c r="U99" s="26"/>
    </row>
    <row r="100" s="21" customFormat="1" spans="1:21">
      <c r="A100" s="28" t="s">
        <v>1384</v>
      </c>
      <c r="B100" s="26" t="str">
        <f>VLOOKUP(C100,[1]干线管道!B:C,2,FALSE)</f>
        <v>一级</v>
      </c>
      <c r="C100" s="26" t="str">
        <f>VLOOKUP(E100,[1]站场阀室!A:D,3,FALSE)</f>
        <v>西气东输二线</v>
      </c>
      <c r="D100" s="26" t="str">
        <f>VLOOKUP(E100,[1]站场阀室!A:D,4,FALSE)</f>
        <v>西二线干线甘肃段</v>
      </c>
      <c r="E100" s="26" t="s">
        <v>214</v>
      </c>
      <c r="F100" s="26" t="s">
        <v>11267</v>
      </c>
      <c r="G100" s="26" t="s">
        <v>11176</v>
      </c>
      <c r="H100" s="27" t="s">
        <v>11357</v>
      </c>
      <c r="I100" s="26" t="s">
        <v>11269</v>
      </c>
      <c r="J100" s="26" t="s">
        <v>11270</v>
      </c>
      <c r="K100" s="26" t="s">
        <v>11277</v>
      </c>
      <c r="L100" s="26" t="s">
        <v>11352</v>
      </c>
      <c r="M100" s="26" t="s">
        <v>11279</v>
      </c>
      <c r="N100" s="26" t="s">
        <v>11280</v>
      </c>
      <c r="O100" s="26">
        <v>6405</v>
      </c>
      <c r="P100" s="26" t="s">
        <v>11328</v>
      </c>
      <c r="Q100" s="33">
        <v>31.372</v>
      </c>
      <c r="R100" s="35" t="s">
        <v>11276</v>
      </c>
      <c r="S100" s="26"/>
      <c r="T100" s="31" t="s">
        <v>8244</v>
      </c>
      <c r="U100" s="26"/>
    </row>
    <row r="101" s="21" customFormat="1" spans="1:21">
      <c r="A101" s="28" t="s">
        <v>1384</v>
      </c>
      <c r="B101" s="26" t="str">
        <f>VLOOKUP(C101,[1]干线管道!B:C,2,FALSE)</f>
        <v>一级</v>
      </c>
      <c r="C101" s="26" t="str">
        <f>VLOOKUP(E101,[1]站场阀室!A:D,3,FALSE)</f>
        <v>西气东输二线</v>
      </c>
      <c r="D101" s="26" t="str">
        <f>VLOOKUP(E101,[1]站场阀室!A:D,4,FALSE)</f>
        <v>西二线干线甘肃段</v>
      </c>
      <c r="E101" s="26" t="s">
        <v>214</v>
      </c>
      <c r="F101" s="26" t="s">
        <v>11267</v>
      </c>
      <c r="G101" s="26" t="s">
        <v>9245</v>
      </c>
      <c r="H101" s="27" t="s">
        <v>11358</v>
      </c>
      <c r="I101" s="26" t="s">
        <v>11269</v>
      </c>
      <c r="J101" s="26" t="s">
        <v>11270</v>
      </c>
      <c r="K101" s="26" t="s">
        <v>11277</v>
      </c>
      <c r="L101" s="26" t="s">
        <v>11352</v>
      </c>
      <c r="M101" s="26" t="s">
        <v>11279</v>
      </c>
      <c r="N101" s="26" t="s">
        <v>11280</v>
      </c>
      <c r="O101" s="26">
        <v>6405</v>
      </c>
      <c r="P101" s="26" t="s">
        <v>11328</v>
      </c>
      <c r="Q101" s="33">
        <v>31.372</v>
      </c>
      <c r="R101" s="35" t="s">
        <v>11276</v>
      </c>
      <c r="S101" s="26"/>
      <c r="T101" s="31" t="s">
        <v>8244</v>
      </c>
      <c r="U101" s="26"/>
    </row>
    <row r="102" s="21" customFormat="1" spans="1:21">
      <c r="A102" s="28" t="s">
        <v>1384</v>
      </c>
      <c r="B102" s="26" t="str">
        <f>VLOOKUP(C102,[1]干线管道!B:C,2,FALSE)</f>
        <v>一级</v>
      </c>
      <c r="C102" s="26" t="str">
        <f>VLOOKUP(E102,[1]站场阀室!A:D,3,FALSE)</f>
        <v>西气东输二线</v>
      </c>
      <c r="D102" s="26" t="str">
        <f>VLOOKUP(E102,[1]站场阀室!A:D,4,FALSE)</f>
        <v>西二线干线甘肃段</v>
      </c>
      <c r="E102" s="26" t="s">
        <v>220</v>
      </c>
      <c r="F102" s="26" t="s">
        <v>11267</v>
      </c>
      <c r="G102" s="26" t="s">
        <v>11268</v>
      </c>
      <c r="H102" s="29">
        <v>40604</v>
      </c>
      <c r="I102" s="26" t="s">
        <v>11269</v>
      </c>
      <c r="J102" s="26" t="s">
        <v>11270</v>
      </c>
      <c r="K102" s="26" t="s">
        <v>11277</v>
      </c>
      <c r="L102" s="26" t="s">
        <v>11352</v>
      </c>
      <c r="M102" s="26" t="s">
        <v>11279</v>
      </c>
      <c r="N102" s="26" t="s">
        <v>11280</v>
      </c>
      <c r="O102" s="26">
        <v>6405</v>
      </c>
      <c r="P102" s="26" t="s">
        <v>11328</v>
      </c>
      <c r="Q102" s="33">
        <v>31.372</v>
      </c>
      <c r="R102" s="35" t="s">
        <v>11276</v>
      </c>
      <c r="S102" s="26" t="s">
        <v>8247</v>
      </c>
      <c r="T102" s="31" t="s">
        <v>8244</v>
      </c>
      <c r="U102" s="26" t="s">
        <v>11347</v>
      </c>
    </row>
    <row r="103" s="21" customFormat="1" spans="1:21">
      <c r="A103" s="28" t="s">
        <v>1384</v>
      </c>
      <c r="B103" s="26" t="str">
        <f>VLOOKUP(C103,[1]干线管道!B:C,2,FALSE)</f>
        <v>一级</v>
      </c>
      <c r="C103" s="26" t="str">
        <f>VLOOKUP(E103,[1]站场阀室!A:D,3,FALSE)</f>
        <v>西气东输二线</v>
      </c>
      <c r="D103" s="26" t="str">
        <f>VLOOKUP(E103,[1]站场阀室!A:D,4,FALSE)</f>
        <v>西二线干线甘肃段</v>
      </c>
      <c r="E103" s="26" t="s">
        <v>220</v>
      </c>
      <c r="F103" s="26" t="s">
        <v>11267</v>
      </c>
      <c r="G103" s="26" t="s">
        <v>11176</v>
      </c>
      <c r="H103" s="29">
        <v>40552</v>
      </c>
      <c r="I103" s="26" t="s">
        <v>11269</v>
      </c>
      <c r="J103" s="26" t="s">
        <v>11270</v>
      </c>
      <c r="K103" s="26" t="s">
        <v>11277</v>
      </c>
      <c r="L103" s="26" t="s">
        <v>11352</v>
      </c>
      <c r="M103" s="26" t="s">
        <v>11279</v>
      </c>
      <c r="N103" s="26" t="s">
        <v>11280</v>
      </c>
      <c r="O103" s="26">
        <v>6405</v>
      </c>
      <c r="P103" s="26" t="s">
        <v>11328</v>
      </c>
      <c r="Q103" s="33">
        <v>31.372</v>
      </c>
      <c r="R103" s="35" t="s">
        <v>11276</v>
      </c>
      <c r="S103" s="26"/>
      <c r="T103" s="31" t="s">
        <v>8244</v>
      </c>
      <c r="U103" s="26"/>
    </row>
    <row r="104" s="21" customFormat="1" spans="1:21">
      <c r="A104" s="28" t="s">
        <v>1384</v>
      </c>
      <c r="B104" s="26" t="str">
        <f>VLOOKUP(C104,[1]干线管道!B:C,2,FALSE)</f>
        <v>一级</v>
      </c>
      <c r="C104" s="26" t="str">
        <f>VLOOKUP(E104,[1]站场阀室!A:D,3,FALSE)</f>
        <v>西气东输二线</v>
      </c>
      <c r="D104" s="26" t="str">
        <f>VLOOKUP(E104,[1]站场阀室!A:D,4,FALSE)</f>
        <v>西二线干线甘肃段</v>
      </c>
      <c r="E104" s="26" t="s">
        <v>220</v>
      </c>
      <c r="F104" s="26" t="s">
        <v>11267</v>
      </c>
      <c r="G104" s="26" t="s">
        <v>9245</v>
      </c>
      <c r="H104" s="29">
        <v>40549</v>
      </c>
      <c r="I104" s="26" t="s">
        <v>11269</v>
      </c>
      <c r="J104" s="26" t="s">
        <v>11270</v>
      </c>
      <c r="K104" s="26" t="s">
        <v>11277</v>
      </c>
      <c r="L104" s="26" t="s">
        <v>11352</v>
      </c>
      <c r="M104" s="26" t="s">
        <v>11279</v>
      </c>
      <c r="N104" s="26" t="s">
        <v>11280</v>
      </c>
      <c r="O104" s="26">
        <v>6405</v>
      </c>
      <c r="P104" s="26" t="s">
        <v>11328</v>
      </c>
      <c r="Q104" s="33">
        <v>31.372</v>
      </c>
      <c r="R104" s="35" t="s">
        <v>11276</v>
      </c>
      <c r="S104" s="26"/>
      <c r="T104" s="31" t="s">
        <v>8244</v>
      </c>
      <c r="U104" s="26"/>
    </row>
    <row r="105" s="21" customFormat="1" spans="1:21">
      <c r="A105" s="28" t="s">
        <v>1384</v>
      </c>
      <c r="B105" s="26" t="str">
        <f>VLOOKUP(C105,[1]干线管道!B:C,2,FALSE)</f>
        <v>一级</v>
      </c>
      <c r="C105" s="26" t="str">
        <f>VLOOKUP(E105,[1]站场阀室!A:D,3,FALSE)</f>
        <v>西气东输二线</v>
      </c>
      <c r="D105" s="26" t="str">
        <f>VLOOKUP(E105,[1]站场阀室!A:D,4,FALSE)</f>
        <v>西二线干线甘肃段</v>
      </c>
      <c r="E105" s="26" t="s">
        <v>2430</v>
      </c>
      <c r="F105" s="26" t="s">
        <v>11324</v>
      </c>
      <c r="G105" s="26" t="s">
        <v>11268</v>
      </c>
      <c r="H105" s="29">
        <v>41212</v>
      </c>
      <c r="I105" s="26" t="s">
        <v>11287</v>
      </c>
      <c r="J105" s="26" t="s">
        <v>11270</v>
      </c>
      <c r="K105" s="26" t="s">
        <v>11277</v>
      </c>
      <c r="L105" s="26" t="s">
        <v>11309</v>
      </c>
      <c r="M105" s="32" t="s">
        <v>11359</v>
      </c>
      <c r="N105" s="26" t="s">
        <v>11337</v>
      </c>
      <c r="O105" s="26">
        <v>5460</v>
      </c>
      <c r="P105" s="26" t="s">
        <v>10772</v>
      </c>
      <c r="Q105" s="33">
        <v>18</v>
      </c>
      <c r="R105" s="35" t="s">
        <v>11276</v>
      </c>
      <c r="S105" s="26" t="s">
        <v>8247</v>
      </c>
      <c r="T105" s="31" t="s">
        <v>8244</v>
      </c>
      <c r="U105" s="26"/>
    </row>
    <row r="106" s="21" customFormat="1" spans="1:21">
      <c r="A106" s="28" t="s">
        <v>1384</v>
      </c>
      <c r="B106" s="26" t="str">
        <f>VLOOKUP(C106,[1]干线管道!B:C,2,FALSE)</f>
        <v>一级</v>
      </c>
      <c r="C106" s="26" t="str">
        <f>VLOOKUP(E106,[1]站场阀室!A:D,3,FALSE)</f>
        <v>西气东输二线</v>
      </c>
      <c r="D106" s="26" t="str">
        <f>VLOOKUP(E106,[1]站场阀室!A:D,4,FALSE)</f>
        <v>西二线干线甘肃段</v>
      </c>
      <c r="E106" s="26" t="s">
        <v>2430</v>
      </c>
      <c r="F106" s="26" t="s">
        <v>11324</v>
      </c>
      <c r="G106" s="26" t="s">
        <v>11176</v>
      </c>
      <c r="H106" s="29">
        <v>41197</v>
      </c>
      <c r="I106" s="26" t="s">
        <v>11287</v>
      </c>
      <c r="J106" s="26" t="s">
        <v>11270</v>
      </c>
      <c r="K106" s="26" t="s">
        <v>11277</v>
      </c>
      <c r="L106" s="26" t="s">
        <v>11309</v>
      </c>
      <c r="M106" s="32" t="s">
        <v>11359</v>
      </c>
      <c r="N106" s="26" t="s">
        <v>11337</v>
      </c>
      <c r="O106" s="26">
        <v>5460</v>
      </c>
      <c r="P106" s="26" t="s">
        <v>10772</v>
      </c>
      <c r="Q106" s="33">
        <v>18</v>
      </c>
      <c r="R106" s="35" t="s">
        <v>11276</v>
      </c>
      <c r="S106" s="26"/>
      <c r="T106" s="31" t="s">
        <v>8244</v>
      </c>
      <c r="U106" s="26"/>
    </row>
    <row r="107" s="21" customFormat="1" spans="1:21">
      <c r="A107" s="28" t="s">
        <v>1384</v>
      </c>
      <c r="B107" s="26" t="str">
        <f>VLOOKUP(C107,[1]干线管道!B:C,2,FALSE)</f>
        <v>一级</v>
      </c>
      <c r="C107" s="26" t="str">
        <f>VLOOKUP(E107,[1]站场阀室!A:D,3,FALSE)</f>
        <v>西气东输二线</v>
      </c>
      <c r="D107" s="26" t="str">
        <f>VLOOKUP(E107,[1]站场阀室!A:D,4,FALSE)</f>
        <v>西二线干线甘肃段</v>
      </c>
      <c r="E107" s="26" t="s">
        <v>2430</v>
      </c>
      <c r="F107" s="26" t="s">
        <v>11324</v>
      </c>
      <c r="G107" s="26" t="s">
        <v>9245</v>
      </c>
      <c r="H107" s="29">
        <v>41198</v>
      </c>
      <c r="I107" s="26" t="s">
        <v>11287</v>
      </c>
      <c r="J107" s="26" t="s">
        <v>11270</v>
      </c>
      <c r="K107" s="26" t="s">
        <v>11277</v>
      </c>
      <c r="L107" s="26" t="s">
        <v>11309</v>
      </c>
      <c r="M107" s="32" t="s">
        <v>11359</v>
      </c>
      <c r="N107" s="26" t="s">
        <v>11337</v>
      </c>
      <c r="O107" s="26">
        <v>5460</v>
      </c>
      <c r="P107" s="26" t="s">
        <v>10772</v>
      </c>
      <c r="Q107" s="33">
        <v>18</v>
      </c>
      <c r="R107" s="35" t="s">
        <v>11276</v>
      </c>
      <c r="S107" s="26"/>
      <c r="T107" s="31" t="s">
        <v>8244</v>
      </c>
      <c r="U107" s="26"/>
    </row>
    <row r="108" s="21" customFormat="1" spans="1:21">
      <c r="A108" s="28" t="s">
        <v>1384</v>
      </c>
      <c r="B108" s="26" t="str">
        <f>VLOOKUP(C108,[1]干线管道!B:C,2,FALSE)</f>
        <v>一级</v>
      </c>
      <c r="C108" s="26" t="str">
        <f>VLOOKUP(E108,[1]站场阀室!A:D,3,FALSE)</f>
        <v>西气东输二线</v>
      </c>
      <c r="D108" s="26" t="str">
        <f>VLOOKUP(E108,[1]站场阀室!A:D,4,FALSE)</f>
        <v>西二线干线甘肃段</v>
      </c>
      <c r="E108" s="26" t="s">
        <v>2430</v>
      </c>
      <c r="F108" s="26" t="s">
        <v>11324</v>
      </c>
      <c r="G108" s="26" t="s">
        <v>10755</v>
      </c>
      <c r="H108" s="29">
        <v>41199</v>
      </c>
      <c r="I108" s="26" t="s">
        <v>11287</v>
      </c>
      <c r="J108" s="26" t="s">
        <v>11296</v>
      </c>
      <c r="K108" s="26" t="s">
        <v>11339</v>
      </c>
      <c r="L108" s="26" t="s">
        <v>11354</v>
      </c>
      <c r="M108" s="32" t="s">
        <v>11359</v>
      </c>
      <c r="N108" s="26" t="s">
        <v>11337</v>
      </c>
      <c r="O108" s="26">
        <v>5460</v>
      </c>
      <c r="P108" s="26" t="s">
        <v>10772</v>
      </c>
      <c r="Q108" s="33">
        <v>18</v>
      </c>
      <c r="R108" s="35" t="s">
        <v>11276</v>
      </c>
      <c r="S108" s="26"/>
      <c r="T108" s="31" t="s">
        <v>8244</v>
      </c>
      <c r="U108" s="26"/>
    </row>
    <row r="109" s="21" customFormat="1" spans="1:21">
      <c r="A109" s="28" t="s">
        <v>1384</v>
      </c>
      <c r="B109" s="26" t="str">
        <f>VLOOKUP(C109,[1]干线管道!B:C,2,FALSE)</f>
        <v>一级</v>
      </c>
      <c r="C109" s="26" t="str">
        <f>VLOOKUP(E109,[1]站场阀室!A:D,3,FALSE)</f>
        <v>西气东输二线</v>
      </c>
      <c r="D109" s="26" t="str">
        <f>VLOOKUP(E109,[1]站场阀室!A:D,4,FALSE)</f>
        <v>西二线干线甘肃段</v>
      </c>
      <c r="E109" s="26" t="s">
        <v>11360</v>
      </c>
      <c r="F109" s="26" t="s">
        <v>11267</v>
      </c>
      <c r="G109" s="26" t="s">
        <v>11268</v>
      </c>
      <c r="H109" s="27" t="s">
        <v>11361</v>
      </c>
      <c r="I109" s="26" t="s">
        <v>11269</v>
      </c>
      <c r="J109" s="26" t="s">
        <v>11270</v>
      </c>
      <c r="K109" s="26" t="s">
        <v>11277</v>
      </c>
      <c r="L109" s="26" t="s">
        <v>11352</v>
      </c>
      <c r="M109" s="26" t="s">
        <v>11279</v>
      </c>
      <c r="N109" s="26" t="s">
        <v>11280</v>
      </c>
      <c r="O109" s="26">
        <v>6405</v>
      </c>
      <c r="P109" s="26" t="s">
        <v>11362</v>
      </c>
      <c r="Q109" s="33">
        <v>31.372</v>
      </c>
      <c r="R109" s="35" t="s">
        <v>11276</v>
      </c>
      <c r="S109" s="26" t="s">
        <v>11291</v>
      </c>
      <c r="T109" s="31" t="s">
        <v>8244</v>
      </c>
      <c r="U109" s="26"/>
    </row>
    <row r="110" s="21" customFormat="1" spans="1:21">
      <c r="A110" s="28" t="s">
        <v>1384</v>
      </c>
      <c r="B110" s="26" t="str">
        <f>VLOOKUP(C110,[1]干线管道!B:C,2,FALSE)</f>
        <v>一级</v>
      </c>
      <c r="C110" s="26" t="str">
        <f>VLOOKUP(E110,[1]站场阀室!A:D,3,FALSE)</f>
        <v>西气东输二线</v>
      </c>
      <c r="D110" s="26" t="str">
        <f>VLOOKUP(E110,[1]站场阀室!A:D,4,FALSE)</f>
        <v>西二线干线甘肃段</v>
      </c>
      <c r="E110" s="26" t="s">
        <v>11360</v>
      </c>
      <c r="F110" s="26" t="s">
        <v>11267</v>
      </c>
      <c r="G110" s="26" t="s">
        <v>11176</v>
      </c>
      <c r="H110" s="27" t="s">
        <v>11363</v>
      </c>
      <c r="I110" s="26" t="s">
        <v>11269</v>
      </c>
      <c r="J110" s="26" t="s">
        <v>11270</v>
      </c>
      <c r="K110" s="26" t="s">
        <v>11277</v>
      </c>
      <c r="L110" s="26" t="s">
        <v>11352</v>
      </c>
      <c r="M110" s="26" t="s">
        <v>11279</v>
      </c>
      <c r="N110" s="26" t="s">
        <v>11280</v>
      </c>
      <c r="O110" s="26">
        <v>6405</v>
      </c>
      <c r="P110" s="26" t="s">
        <v>11362</v>
      </c>
      <c r="Q110" s="33">
        <v>31.372</v>
      </c>
      <c r="R110" s="35" t="s">
        <v>11276</v>
      </c>
      <c r="S110" s="26"/>
      <c r="T110" s="31" t="s">
        <v>8244</v>
      </c>
      <c r="U110" s="26"/>
    </row>
    <row r="111" s="21" customFormat="1" spans="1:21">
      <c r="A111" s="28" t="s">
        <v>1384</v>
      </c>
      <c r="B111" s="26" t="str">
        <f>VLOOKUP(C111,[1]干线管道!B:C,2,FALSE)</f>
        <v>一级</v>
      </c>
      <c r="C111" s="26" t="str">
        <f>VLOOKUP(E111,[1]站场阀室!A:D,3,FALSE)</f>
        <v>西气东输二线</v>
      </c>
      <c r="D111" s="26" t="str">
        <f>VLOOKUP(E111,[1]站场阀室!A:D,4,FALSE)</f>
        <v>西二线干线甘肃段</v>
      </c>
      <c r="E111" s="26" t="s">
        <v>11360</v>
      </c>
      <c r="F111" s="26" t="s">
        <v>11267</v>
      </c>
      <c r="G111" s="26" t="s">
        <v>9245</v>
      </c>
      <c r="H111" s="27" t="s">
        <v>11364</v>
      </c>
      <c r="I111" s="26" t="s">
        <v>11269</v>
      </c>
      <c r="J111" s="26" t="s">
        <v>11270</v>
      </c>
      <c r="K111" s="26" t="s">
        <v>11277</v>
      </c>
      <c r="L111" s="26" t="s">
        <v>11352</v>
      </c>
      <c r="M111" s="26" t="s">
        <v>11279</v>
      </c>
      <c r="N111" s="26" t="s">
        <v>11280</v>
      </c>
      <c r="O111" s="26">
        <v>6405</v>
      </c>
      <c r="P111" s="26" t="s">
        <v>11362</v>
      </c>
      <c r="Q111" s="33">
        <v>31.372</v>
      </c>
      <c r="R111" s="35" t="s">
        <v>11276</v>
      </c>
      <c r="S111" s="26"/>
      <c r="T111" s="31" t="s">
        <v>8244</v>
      </c>
      <c r="U111" s="26"/>
    </row>
    <row r="112" s="21" customFormat="1" ht="30" spans="1:21">
      <c r="A112" s="28" t="s">
        <v>1491</v>
      </c>
      <c r="B112" s="26" t="str">
        <f>VLOOKUP(C112,[1]干线管道!B:C,2,FALSE)</f>
        <v>一级</v>
      </c>
      <c r="C112" s="26" t="str">
        <f>VLOOKUP(E112,[1]站场阀室!A:D,3,FALSE)</f>
        <v>西气东输二线</v>
      </c>
      <c r="D112" s="26" t="str">
        <f>VLOOKUP(E112,[1]站场阀室!A:D,4,FALSE)</f>
        <v>西二线干线中段</v>
      </c>
      <c r="E112" s="26" t="s">
        <v>2466</v>
      </c>
      <c r="F112" s="26" t="s">
        <v>11324</v>
      </c>
      <c r="G112" s="26" t="s">
        <v>11268</v>
      </c>
      <c r="H112" s="27" t="s">
        <v>11365</v>
      </c>
      <c r="I112" s="26" t="s">
        <v>11287</v>
      </c>
      <c r="J112" s="26" t="s">
        <v>11270</v>
      </c>
      <c r="K112" s="26" t="s">
        <v>11366</v>
      </c>
      <c r="L112" s="32" t="s">
        <v>11367</v>
      </c>
      <c r="M112" s="32" t="s">
        <v>11368</v>
      </c>
      <c r="N112" s="26" t="s">
        <v>11369</v>
      </c>
      <c r="O112" s="30">
        <v>5040</v>
      </c>
      <c r="P112" s="26" t="s">
        <v>11370</v>
      </c>
      <c r="Q112" s="33">
        <v>18</v>
      </c>
      <c r="R112" s="42" t="s">
        <v>11276</v>
      </c>
      <c r="S112" s="26" t="s">
        <v>8247</v>
      </c>
      <c r="T112" s="31" t="s">
        <v>8244</v>
      </c>
      <c r="U112" s="26"/>
    </row>
    <row r="113" s="21" customFormat="1" ht="30" spans="1:21">
      <c r="A113" s="28" t="s">
        <v>1491</v>
      </c>
      <c r="B113" s="26" t="str">
        <f>VLOOKUP(C113,[1]干线管道!B:C,2,FALSE)</f>
        <v>一级</v>
      </c>
      <c r="C113" s="26" t="str">
        <f>VLOOKUP(E113,[1]站场阀室!A:D,3,FALSE)</f>
        <v>西气东输二线</v>
      </c>
      <c r="D113" s="26" t="str">
        <f>VLOOKUP(E113,[1]站场阀室!A:D,4,FALSE)</f>
        <v>西二线干线中段</v>
      </c>
      <c r="E113" s="26" t="s">
        <v>2466</v>
      </c>
      <c r="F113" s="26" t="s">
        <v>11324</v>
      </c>
      <c r="G113" s="26" t="s">
        <v>11176</v>
      </c>
      <c r="H113" s="27" t="s">
        <v>11365</v>
      </c>
      <c r="I113" s="26" t="s">
        <v>11287</v>
      </c>
      <c r="J113" s="26" t="s">
        <v>11270</v>
      </c>
      <c r="K113" s="26" t="s">
        <v>11366</v>
      </c>
      <c r="L113" s="32" t="s">
        <v>11367</v>
      </c>
      <c r="M113" s="32" t="s">
        <v>11368</v>
      </c>
      <c r="N113" s="26" t="s">
        <v>11369</v>
      </c>
      <c r="O113" s="30">
        <v>5040</v>
      </c>
      <c r="P113" s="26" t="s">
        <v>11370</v>
      </c>
      <c r="Q113" s="33">
        <v>18</v>
      </c>
      <c r="R113" s="42" t="s">
        <v>11276</v>
      </c>
      <c r="S113" s="26"/>
      <c r="T113" s="31" t="s">
        <v>8244</v>
      </c>
      <c r="U113" s="26"/>
    </row>
    <row r="114" s="21" customFormat="1" ht="30" spans="1:21">
      <c r="A114" s="28" t="s">
        <v>1491</v>
      </c>
      <c r="B114" s="26" t="str">
        <f>VLOOKUP(C114,[1]干线管道!B:C,2,FALSE)</f>
        <v>一级</v>
      </c>
      <c r="C114" s="26" t="str">
        <f>VLOOKUP(E114,[1]站场阀室!A:D,3,FALSE)</f>
        <v>西气东输二线</v>
      </c>
      <c r="D114" s="26" t="str">
        <f>VLOOKUP(E114,[1]站场阀室!A:D,4,FALSE)</f>
        <v>西二线干线中段</v>
      </c>
      <c r="E114" s="26" t="s">
        <v>2466</v>
      </c>
      <c r="F114" s="26" t="s">
        <v>11324</v>
      </c>
      <c r="G114" s="26" t="s">
        <v>9245</v>
      </c>
      <c r="H114" s="27" t="s">
        <v>11371</v>
      </c>
      <c r="I114" s="26" t="s">
        <v>11287</v>
      </c>
      <c r="J114" s="26" t="s">
        <v>11270</v>
      </c>
      <c r="K114" s="26" t="s">
        <v>11366</v>
      </c>
      <c r="L114" s="41" t="s">
        <v>11367</v>
      </c>
      <c r="M114" s="32" t="s">
        <v>11368</v>
      </c>
      <c r="N114" s="26" t="s">
        <v>11369</v>
      </c>
      <c r="O114" s="30">
        <v>5040</v>
      </c>
      <c r="P114" s="26" t="s">
        <v>11370</v>
      </c>
      <c r="Q114" s="33">
        <v>18</v>
      </c>
      <c r="R114" s="42" t="s">
        <v>11276</v>
      </c>
      <c r="S114" s="26"/>
      <c r="T114" s="31" t="s">
        <v>8244</v>
      </c>
      <c r="U114" s="26"/>
    </row>
    <row r="115" s="21" customFormat="1" ht="30" spans="1:21">
      <c r="A115" s="28" t="s">
        <v>1491</v>
      </c>
      <c r="B115" s="26" t="str">
        <f>VLOOKUP(C115,[1]干线管道!B:C,2,FALSE)</f>
        <v>一级</v>
      </c>
      <c r="C115" s="26" t="str">
        <f>VLOOKUP(E115,[1]站场阀室!A:D,3,FALSE)</f>
        <v>西气东输二线</v>
      </c>
      <c r="D115" s="26" t="str">
        <f>VLOOKUP(E115,[1]站场阀室!A:D,4,FALSE)</f>
        <v>西二线干线中段</v>
      </c>
      <c r="E115" s="26" t="s">
        <v>2466</v>
      </c>
      <c r="F115" s="26" t="s">
        <v>11324</v>
      </c>
      <c r="G115" s="26" t="s">
        <v>10755</v>
      </c>
      <c r="H115" s="27" t="s">
        <v>11372</v>
      </c>
      <c r="I115" s="26" t="s">
        <v>11287</v>
      </c>
      <c r="J115" s="26" t="s">
        <v>11270</v>
      </c>
      <c r="K115" s="26" t="s">
        <v>11366</v>
      </c>
      <c r="L115" s="41" t="s">
        <v>11367</v>
      </c>
      <c r="M115" s="32" t="s">
        <v>11368</v>
      </c>
      <c r="N115" s="26" t="s">
        <v>11369</v>
      </c>
      <c r="O115" s="26">
        <v>5040</v>
      </c>
      <c r="P115" s="26" t="s">
        <v>11370</v>
      </c>
      <c r="Q115" s="33">
        <v>18</v>
      </c>
      <c r="R115" s="42" t="s">
        <v>11276</v>
      </c>
      <c r="S115" s="26"/>
      <c r="T115" s="31" t="s">
        <v>8244</v>
      </c>
      <c r="U115" s="26"/>
    </row>
    <row r="116" s="21" customFormat="1" ht="45" spans="1:21">
      <c r="A116" s="28" t="s">
        <v>1491</v>
      </c>
      <c r="B116" s="26" t="str">
        <f>VLOOKUP(C116,[1]干线管道!B:C,2,FALSE)</f>
        <v>一级</v>
      </c>
      <c r="C116" s="26" t="str">
        <f>VLOOKUP(E116,[1]站场阀室!A:D,3,FALSE)</f>
        <v>西气东输二线</v>
      </c>
      <c r="D116" s="26" t="str">
        <f>VLOOKUP(E116,[1]站场阀室!A:D,4,FALSE)</f>
        <v>西二线干线中段</v>
      </c>
      <c r="E116" s="26" t="s">
        <v>2483</v>
      </c>
      <c r="F116" s="26" t="s">
        <v>11324</v>
      </c>
      <c r="G116" s="26" t="s">
        <v>11268</v>
      </c>
      <c r="H116" s="27" t="s">
        <v>11373</v>
      </c>
      <c r="I116" s="26" t="s">
        <v>11287</v>
      </c>
      <c r="J116" s="26" t="s">
        <v>11270</v>
      </c>
      <c r="K116" s="26" t="s">
        <v>11277</v>
      </c>
      <c r="L116" s="26" t="s">
        <v>11278</v>
      </c>
      <c r="M116" s="32" t="s">
        <v>11374</v>
      </c>
      <c r="N116" s="26" t="s">
        <v>11375</v>
      </c>
      <c r="O116" s="26">
        <v>5040</v>
      </c>
      <c r="P116" s="26" t="s">
        <v>11376</v>
      </c>
      <c r="Q116" s="33">
        <v>15</v>
      </c>
      <c r="R116" s="42" t="s">
        <v>11276</v>
      </c>
      <c r="S116" s="26" t="s">
        <v>11377</v>
      </c>
      <c r="T116" s="31" t="s">
        <v>8244</v>
      </c>
      <c r="U116" s="26"/>
    </row>
    <row r="117" s="21" customFormat="1" ht="45" spans="1:21">
      <c r="A117" s="28" t="s">
        <v>1491</v>
      </c>
      <c r="B117" s="26" t="str">
        <f>VLOOKUP(C117,[1]干线管道!B:C,2,FALSE)</f>
        <v>一级</v>
      </c>
      <c r="C117" s="26" t="str">
        <f>VLOOKUP(E117,[1]站场阀室!A:D,3,FALSE)</f>
        <v>西气东输二线</v>
      </c>
      <c r="D117" s="26" t="str">
        <f>VLOOKUP(E117,[1]站场阀室!A:D,4,FALSE)</f>
        <v>西二线干线中段</v>
      </c>
      <c r="E117" s="26" t="s">
        <v>2483</v>
      </c>
      <c r="F117" s="26" t="s">
        <v>11324</v>
      </c>
      <c r="G117" s="26" t="s">
        <v>11176</v>
      </c>
      <c r="H117" s="27" t="s">
        <v>11378</v>
      </c>
      <c r="I117" s="26" t="s">
        <v>11287</v>
      </c>
      <c r="J117" s="26" t="s">
        <v>11270</v>
      </c>
      <c r="K117" s="26" t="s">
        <v>11277</v>
      </c>
      <c r="L117" s="26" t="s">
        <v>11278</v>
      </c>
      <c r="M117" s="32" t="s">
        <v>11374</v>
      </c>
      <c r="N117" s="26" t="s">
        <v>11375</v>
      </c>
      <c r="O117" s="26">
        <v>5040</v>
      </c>
      <c r="P117" s="26" t="s">
        <v>11376</v>
      </c>
      <c r="Q117" s="33">
        <v>15</v>
      </c>
      <c r="R117" s="42" t="s">
        <v>11276</v>
      </c>
      <c r="S117" s="26"/>
      <c r="T117" s="31" t="s">
        <v>8244</v>
      </c>
      <c r="U117" s="26"/>
    </row>
    <row r="118" s="21" customFormat="1" ht="45" spans="1:21">
      <c r="A118" s="28" t="s">
        <v>1491</v>
      </c>
      <c r="B118" s="26" t="str">
        <f>VLOOKUP(C118,[1]干线管道!B:C,2,FALSE)</f>
        <v>一级</v>
      </c>
      <c r="C118" s="26" t="str">
        <f>VLOOKUP(E118,[1]站场阀室!A:D,3,FALSE)</f>
        <v>西气东输二线</v>
      </c>
      <c r="D118" s="26" t="str">
        <f>VLOOKUP(E118,[1]站场阀室!A:D,4,FALSE)</f>
        <v>西二线干线中段</v>
      </c>
      <c r="E118" s="26" t="s">
        <v>2483</v>
      </c>
      <c r="F118" s="26" t="s">
        <v>11324</v>
      </c>
      <c r="G118" s="26" t="s">
        <v>9245</v>
      </c>
      <c r="H118" s="27" t="s">
        <v>11378</v>
      </c>
      <c r="I118" s="26" t="s">
        <v>11287</v>
      </c>
      <c r="J118" s="26" t="s">
        <v>11270</v>
      </c>
      <c r="K118" s="26" t="s">
        <v>11277</v>
      </c>
      <c r="L118" s="26" t="s">
        <v>11278</v>
      </c>
      <c r="M118" s="32" t="s">
        <v>11374</v>
      </c>
      <c r="N118" s="26" t="s">
        <v>11375</v>
      </c>
      <c r="O118" s="26">
        <v>5040</v>
      </c>
      <c r="P118" s="26" t="s">
        <v>11376</v>
      </c>
      <c r="Q118" s="33">
        <v>15</v>
      </c>
      <c r="R118" s="42" t="s">
        <v>11276</v>
      </c>
      <c r="S118" s="26"/>
      <c r="T118" s="31" t="s">
        <v>8244</v>
      </c>
      <c r="U118" s="26"/>
    </row>
    <row r="119" s="21" customFormat="1" ht="45" spans="1:21">
      <c r="A119" s="28" t="s">
        <v>1491</v>
      </c>
      <c r="B119" s="26" t="str">
        <f>VLOOKUP(C119,[1]干线管道!B:C,2,FALSE)</f>
        <v>一级</v>
      </c>
      <c r="C119" s="26" t="str">
        <f>VLOOKUP(E119,[1]站场阀室!A:D,3,FALSE)</f>
        <v>西气东输二线</v>
      </c>
      <c r="D119" s="26" t="str">
        <f>VLOOKUP(E119,[1]站场阀室!A:D,4,FALSE)</f>
        <v>西二线干线中段</v>
      </c>
      <c r="E119" s="26" t="s">
        <v>2483</v>
      </c>
      <c r="F119" s="26" t="s">
        <v>11324</v>
      </c>
      <c r="G119" s="26" t="s">
        <v>10755</v>
      </c>
      <c r="H119" s="27" t="s">
        <v>11379</v>
      </c>
      <c r="I119" s="26" t="s">
        <v>11287</v>
      </c>
      <c r="J119" s="26" t="s">
        <v>11296</v>
      </c>
      <c r="K119" s="26" t="s">
        <v>11339</v>
      </c>
      <c r="L119" s="26" t="s">
        <v>11278</v>
      </c>
      <c r="M119" s="32" t="s">
        <v>11380</v>
      </c>
      <c r="N119" s="26" t="s">
        <v>11381</v>
      </c>
      <c r="O119" s="26">
        <v>5040</v>
      </c>
      <c r="P119" s="26" t="s">
        <v>11376</v>
      </c>
      <c r="Q119" s="33">
        <v>20</v>
      </c>
      <c r="R119" s="42" t="s">
        <v>11276</v>
      </c>
      <c r="S119" s="26"/>
      <c r="T119" s="31" t="s">
        <v>8244</v>
      </c>
      <c r="U119" s="26"/>
    </row>
    <row r="120" s="21" customFormat="1" ht="45" spans="1:21">
      <c r="A120" s="28" t="s">
        <v>1384</v>
      </c>
      <c r="B120" s="26" t="str">
        <f>VLOOKUP(C120,[1]干线管道!B:C,2,FALSE)</f>
        <v>一级</v>
      </c>
      <c r="C120" s="26" t="str">
        <f>VLOOKUP(E120,[1]站场阀室!A:D,3,FALSE)</f>
        <v>西气东输二线</v>
      </c>
      <c r="D120" s="26" t="str">
        <f>VLOOKUP(E120,[1]站场阀室!A:D,4,FALSE)</f>
        <v>西二线干线中段</v>
      </c>
      <c r="E120" s="26" t="s">
        <v>2508</v>
      </c>
      <c r="F120" s="26" t="s">
        <v>11324</v>
      </c>
      <c r="G120" s="26" t="s">
        <v>11268</v>
      </c>
      <c r="H120" s="27" t="s">
        <v>11382</v>
      </c>
      <c r="I120" s="26" t="s">
        <v>11287</v>
      </c>
      <c r="J120" s="26" t="s">
        <v>11270</v>
      </c>
      <c r="K120" s="26" t="s">
        <v>11366</v>
      </c>
      <c r="L120" s="26" t="s">
        <v>11383</v>
      </c>
      <c r="M120" s="26" t="s">
        <v>11384</v>
      </c>
      <c r="N120" s="26" t="s">
        <v>11349</v>
      </c>
      <c r="O120" s="26">
        <v>5040</v>
      </c>
      <c r="P120" s="26" t="s">
        <v>11385</v>
      </c>
      <c r="Q120" s="33">
        <v>18.5</v>
      </c>
      <c r="R120" s="42" t="s">
        <v>11276</v>
      </c>
      <c r="S120" s="26" t="s">
        <v>8247</v>
      </c>
      <c r="T120" s="31" t="s">
        <v>8244</v>
      </c>
      <c r="U120" s="26"/>
    </row>
    <row r="121" s="21" customFormat="1" ht="45" spans="1:21">
      <c r="A121" s="28" t="s">
        <v>1384</v>
      </c>
      <c r="B121" s="26" t="str">
        <f>VLOOKUP(C121,[1]干线管道!B:C,2,FALSE)</f>
        <v>一级</v>
      </c>
      <c r="C121" s="26" t="str">
        <f>VLOOKUP(E121,[1]站场阀室!A:D,3,FALSE)</f>
        <v>西气东输二线</v>
      </c>
      <c r="D121" s="26" t="str">
        <f>VLOOKUP(E121,[1]站场阀室!A:D,4,FALSE)</f>
        <v>西二线干线中段</v>
      </c>
      <c r="E121" s="26" t="s">
        <v>2508</v>
      </c>
      <c r="F121" s="26" t="s">
        <v>11324</v>
      </c>
      <c r="G121" s="26" t="s">
        <v>11176</v>
      </c>
      <c r="H121" s="27" t="s">
        <v>11382</v>
      </c>
      <c r="I121" s="26" t="s">
        <v>11287</v>
      </c>
      <c r="J121" s="26" t="s">
        <v>11270</v>
      </c>
      <c r="K121" s="26" t="s">
        <v>11366</v>
      </c>
      <c r="L121" s="26" t="s">
        <v>11383</v>
      </c>
      <c r="M121" s="26" t="s">
        <v>11384</v>
      </c>
      <c r="N121" s="26" t="s">
        <v>11349</v>
      </c>
      <c r="O121" s="26">
        <v>5040</v>
      </c>
      <c r="P121" s="26" t="s">
        <v>11385</v>
      </c>
      <c r="Q121" s="33">
        <v>18.5</v>
      </c>
      <c r="R121" s="42" t="s">
        <v>11276</v>
      </c>
      <c r="S121" s="26"/>
      <c r="T121" s="31" t="s">
        <v>8244</v>
      </c>
      <c r="U121" s="26"/>
    </row>
    <row r="122" s="21" customFormat="1" ht="45" spans="1:21">
      <c r="A122" s="28" t="s">
        <v>1384</v>
      </c>
      <c r="B122" s="26" t="str">
        <f>VLOOKUP(C122,[1]干线管道!B:C,2,FALSE)</f>
        <v>一级</v>
      </c>
      <c r="C122" s="26" t="str">
        <f>VLOOKUP(E122,[1]站场阀室!A:D,3,FALSE)</f>
        <v>西气东输二线</v>
      </c>
      <c r="D122" s="26" t="str">
        <f>VLOOKUP(E122,[1]站场阀室!A:D,4,FALSE)</f>
        <v>西二线干线中段</v>
      </c>
      <c r="E122" s="26" t="s">
        <v>2508</v>
      </c>
      <c r="F122" s="26" t="s">
        <v>11324</v>
      </c>
      <c r="G122" s="26" t="s">
        <v>9245</v>
      </c>
      <c r="H122" s="27" t="s">
        <v>11382</v>
      </c>
      <c r="I122" s="26" t="s">
        <v>11287</v>
      </c>
      <c r="J122" s="26" t="s">
        <v>11270</v>
      </c>
      <c r="K122" s="26" t="s">
        <v>11366</v>
      </c>
      <c r="L122" s="26" t="s">
        <v>11383</v>
      </c>
      <c r="M122" s="26" t="s">
        <v>11384</v>
      </c>
      <c r="N122" s="26" t="s">
        <v>11349</v>
      </c>
      <c r="O122" s="26">
        <v>5040</v>
      </c>
      <c r="P122" s="26" t="s">
        <v>11385</v>
      </c>
      <c r="Q122" s="33">
        <v>18.5</v>
      </c>
      <c r="R122" s="42" t="s">
        <v>11276</v>
      </c>
      <c r="S122" s="26"/>
      <c r="T122" s="31" t="s">
        <v>8244</v>
      </c>
      <c r="U122" s="26"/>
    </row>
    <row r="123" s="21" customFormat="1" ht="45" spans="1:21">
      <c r="A123" s="28" t="s">
        <v>1384</v>
      </c>
      <c r="B123" s="26" t="str">
        <f>VLOOKUP(C123,[1]干线管道!B:C,2,FALSE)</f>
        <v>一级</v>
      </c>
      <c r="C123" s="26" t="str">
        <f>VLOOKUP(E123,[1]站场阀室!A:D,3,FALSE)</f>
        <v>西气东输二线</v>
      </c>
      <c r="D123" s="26" t="str">
        <f>VLOOKUP(E123,[1]站场阀室!A:D,4,FALSE)</f>
        <v>西二线干线中段</v>
      </c>
      <c r="E123" s="26" t="s">
        <v>2508</v>
      </c>
      <c r="F123" s="26" t="s">
        <v>11324</v>
      </c>
      <c r="G123" s="26" t="s">
        <v>10755</v>
      </c>
      <c r="H123" s="27" t="s">
        <v>11382</v>
      </c>
      <c r="I123" s="26" t="s">
        <v>11287</v>
      </c>
      <c r="J123" s="26" t="s">
        <v>11270</v>
      </c>
      <c r="K123" s="26" t="s">
        <v>11366</v>
      </c>
      <c r="L123" s="26" t="s">
        <v>11383</v>
      </c>
      <c r="M123" s="26" t="s">
        <v>11384</v>
      </c>
      <c r="N123" s="26" t="s">
        <v>11349</v>
      </c>
      <c r="O123" s="26">
        <v>5040</v>
      </c>
      <c r="P123" s="26" t="s">
        <v>11385</v>
      </c>
      <c r="Q123" s="33">
        <v>18.5</v>
      </c>
      <c r="R123" s="42" t="s">
        <v>11276</v>
      </c>
      <c r="S123" s="26"/>
      <c r="T123" s="31" t="s">
        <v>8244</v>
      </c>
      <c r="U123" s="26"/>
    </row>
    <row r="124" s="21" customFormat="1" ht="30" spans="1:21">
      <c r="A124" s="28" t="s">
        <v>1491</v>
      </c>
      <c r="B124" s="26" t="str">
        <f>VLOOKUP(C124,[1]干线管道!B:C,2,FALSE)</f>
        <v>一级</v>
      </c>
      <c r="C124" s="26" t="str">
        <f>VLOOKUP(E124,[1]站场阀室!A:D,3,FALSE)</f>
        <v>西气东输二线</v>
      </c>
      <c r="D124" s="26" t="s">
        <v>11386</v>
      </c>
      <c r="E124" s="26" t="s">
        <v>2527</v>
      </c>
      <c r="F124" s="26" t="s">
        <v>11324</v>
      </c>
      <c r="G124" s="26" t="s">
        <v>11268</v>
      </c>
      <c r="H124" s="27" t="s">
        <v>11387</v>
      </c>
      <c r="I124" s="26" t="s">
        <v>11287</v>
      </c>
      <c r="J124" s="26" t="s">
        <v>11296</v>
      </c>
      <c r="K124" s="26" t="s">
        <v>11339</v>
      </c>
      <c r="L124" s="26" t="s">
        <v>11309</v>
      </c>
      <c r="M124" s="32" t="s">
        <v>11388</v>
      </c>
      <c r="N124" s="26" t="s">
        <v>11369</v>
      </c>
      <c r="O124" s="26">
        <v>5120</v>
      </c>
      <c r="P124" s="26" t="s">
        <v>11389</v>
      </c>
      <c r="Q124" s="33">
        <v>18</v>
      </c>
      <c r="R124" s="42" t="s">
        <v>11276</v>
      </c>
      <c r="S124" s="26" t="s">
        <v>8247</v>
      </c>
      <c r="T124" s="31" t="s">
        <v>8244</v>
      </c>
      <c r="U124" s="26"/>
    </row>
    <row r="125" s="21" customFormat="1" ht="30" spans="1:21">
      <c r="A125" s="28" t="s">
        <v>1491</v>
      </c>
      <c r="B125" s="26" t="str">
        <f>VLOOKUP(C125,[1]干线管道!B:C,2,FALSE)</f>
        <v>一级</v>
      </c>
      <c r="C125" s="26" t="str">
        <f>VLOOKUP(E125,[1]站场阀室!A:D,3,FALSE)</f>
        <v>西气东输二线</v>
      </c>
      <c r="D125" s="26" t="s">
        <v>11386</v>
      </c>
      <c r="E125" s="26" t="s">
        <v>2527</v>
      </c>
      <c r="F125" s="26" t="s">
        <v>11324</v>
      </c>
      <c r="G125" s="26" t="s">
        <v>11176</v>
      </c>
      <c r="H125" s="27" t="s">
        <v>11390</v>
      </c>
      <c r="I125" s="26" t="s">
        <v>11287</v>
      </c>
      <c r="J125" s="26" t="s">
        <v>11296</v>
      </c>
      <c r="K125" s="26" t="s">
        <v>11339</v>
      </c>
      <c r="L125" s="26" t="s">
        <v>11309</v>
      </c>
      <c r="M125" s="32" t="s">
        <v>11391</v>
      </c>
      <c r="N125" s="26" t="s">
        <v>11369</v>
      </c>
      <c r="O125" s="26">
        <v>5120</v>
      </c>
      <c r="P125" s="26" t="s">
        <v>11389</v>
      </c>
      <c r="Q125" s="33">
        <v>18</v>
      </c>
      <c r="R125" s="42" t="s">
        <v>11276</v>
      </c>
      <c r="S125" s="26"/>
      <c r="T125" s="31" t="s">
        <v>8244</v>
      </c>
      <c r="U125" s="26"/>
    </row>
    <row r="126" s="21" customFormat="1" ht="30" spans="1:21">
      <c r="A126" s="28" t="s">
        <v>1491</v>
      </c>
      <c r="B126" s="26" t="str">
        <f>VLOOKUP(C126,[1]干线管道!B:C,2,FALSE)</f>
        <v>一级</v>
      </c>
      <c r="C126" s="26" t="str">
        <f>VLOOKUP(E126,[1]站场阀室!A:D,3,FALSE)</f>
        <v>西气东输二线</v>
      </c>
      <c r="D126" s="26" t="s">
        <v>11386</v>
      </c>
      <c r="E126" s="26" t="s">
        <v>2527</v>
      </c>
      <c r="F126" s="26" t="s">
        <v>11324</v>
      </c>
      <c r="G126" s="26" t="s">
        <v>9245</v>
      </c>
      <c r="H126" s="27" t="s">
        <v>11392</v>
      </c>
      <c r="I126" s="26" t="s">
        <v>11287</v>
      </c>
      <c r="J126" s="26" t="s">
        <v>11296</v>
      </c>
      <c r="K126" s="26" t="s">
        <v>11339</v>
      </c>
      <c r="L126" s="26" t="s">
        <v>11309</v>
      </c>
      <c r="M126" s="32" t="s">
        <v>11391</v>
      </c>
      <c r="N126" s="26" t="s">
        <v>11369</v>
      </c>
      <c r="O126" s="26">
        <v>5120</v>
      </c>
      <c r="P126" s="26" t="s">
        <v>11389</v>
      </c>
      <c r="Q126" s="33">
        <v>18</v>
      </c>
      <c r="R126" s="42" t="s">
        <v>11276</v>
      </c>
      <c r="S126" s="26"/>
      <c r="T126" s="31" t="s">
        <v>8244</v>
      </c>
      <c r="U126" s="26"/>
    </row>
    <row r="127" s="21" customFormat="1" ht="30" spans="1:21">
      <c r="A127" s="28" t="s">
        <v>1491</v>
      </c>
      <c r="B127" s="26" t="str">
        <f>VLOOKUP(C127,[1]干线管道!B:C,2,FALSE)</f>
        <v>一级</v>
      </c>
      <c r="C127" s="26" t="str">
        <f>VLOOKUP(E127,[1]站场阀室!A:D,3,FALSE)</f>
        <v>西气东输二线</v>
      </c>
      <c r="D127" s="26" t="s">
        <v>11386</v>
      </c>
      <c r="E127" s="26" t="s">
        <v>2527</v>
      </c>
      <c r="F127" s="26" t="s">
        <v>11324</v>
      </c>
      <c r="G127" s="26" t="s">
        <v>10755</v>
      </c>
      <c r="H127" s="27" t="s">
        <v>11393</v>
      </c>
      <c r="I127" s="26" t="s">
        <v>11287</v>
      </c>
      <c r="J127" s="26" t="s">
        <v>11296</v>
      </c>
      <c r="K127" s="26" t="s">
        <v>11339</v>
      </c>
      <c r="L127" s="26" t="s">
        <v>11309</v>
      </c>
      <c r="M127" s="32" t="s">
        <v>11391</v>
      </c>
      <c r="N127" s="26" t="s">
        <v>11369</v>
      </c>
      <c r="O127" s="26">
        <v>5120</v>
      </c>
      <c r="P127" s="26" t="s">
        <v>11389</v>
      </c>
      <c r="Q127" s="33">
        <v>18</v>
      </c>
      <c r="R127" s="42" t="s">
        <v>11276</v>
      </c>
      <c r="S127" s="26"/>
      <c r="T127" s="31" t="s">
        <v>8244</v>
      </c>
      <c r="U127" s="26"/>
    </row>
    <row r="128" s="21" customFormat="1" ht="30" spans="1:21">
      <c r="A128" s="28" t="s">
        <v>1491</v>
      </c>
      <c r="B128" s="26" t="str">
        <f>VLOOKUP(C128,[1]干线管道!B:C,2,FALSE)</f>
        <v>一级</v>
      </c>
      <c r="C128" s="26" t="str">
        <f>VLOOKUP(E128,[1]站场阀室!A:D,3,FALSE)</f>
        <v>西气东输二线</v>
      </c>
      <c r="D128" s="26" t="s">
        <v>11386</v>
      </c>
      <c r="E128" s="26" t="s">
        <v>2557</v>
      </c>
      <c r="F128" s="26" t="s">
        <v>11324</v>
      </c>
      <c r="G128" s="26" t="s">
        <v>11268</v>
      </c>
      <c r="H128" s="27" t="s">
        <v>11394</v>
      </c>
      <c r="I128" s="26" t="s">
        <v>11287</v>
      </c>
      <c r="J128" s="26" t="s">
        <v>11270</v>
      </c>
      <c r="K128" s="26" t="s">
        <v>11366</v>
      </c>
      <c r="L128" s="26" t="s">
        <v>11395</v>
      </c>
      <c r="M128" s="26" t="s">
        <v>11368</v>
      </c>
      <c r="N128" s="26" t="s">
        <v>11369</v>
      </c>
      <c r="O128" s="30">
        <v>5040</v>
      </c>
      <c r="P128" s="26" t="s">
        <v>11396</v>
      </c>
      <c r="Q128" s="33">
        <v>18</v>
      </c>
      <c r="R128" s="42" t="s">
        <v>11276</v>
      </c>
      <c r="S128" s="26" t="s">
        <v>8247</v>
      </c>
      <c r="T128" s="31" t="s">
        <v>8244</v>
      </c>
      <c r="U128" s="26"/>
    </row>
    <row r="129" s="21" customFormat="1" ht="30" spans="1:21">
      <c r="A129" s="28" t="s">
        <v>1491</v>
      </c>
      <c r="B129" s="26" t="str">
        <f>VLOOKUP(C129,[1]干线管道!B:C,2,FALSE)</f>
        <v>一级</v>
      </c>
      <c r="C129" s="26" t="str">
        <f>VLOOKUP(E129,[1]站场阀室!A:D,3,FALSE)</f>
        <v>西气东输二线</v>
      </c>
      <c r="D129" s="26" t="s">
        <v>11386</v>
      </c>
      <c r="E129" s="26" t="s">
        <v>2557</v>
      </c>
      <c r="F129" s="26" t="s">
        <v>11324</v>
      </c>
      <c r="G129" s="26" t="s">
        <v>11176</v>
      </c>
      <c r="H129" s="27" t="s">
        <v>11397</v>
      </c>
      <c r="I129" s="26" t="s">
        <v>11287</v>
      </c>
      <c r="J129" s="26" t="s">
        <v>11270</v>
      </c>
      <c r="K129" s="26" t="s">
        <v>11366</v>
      </c>
      <c r="L129" s="26" t="s">
        <v>11395</v>
      </c>
      <c r="M129" s="26" t="s">
        <v>11368</v>
      </c>
      <c r="N129" s="26" t="s">
        <v>11369</v>
      </c>
      <c r="O129" s="30">
        <v>5040</v>
      </c>
      <c r="P129" s="26" t="s">
        <v>11396</v>
      </c>
      <c r="Q129" s="33">
        <v>18</v>
      </c>
      <c r="R129" s="42" t="s">
        <v>11276</v>
      </c>
      <c r="S129" s="26"/>
      <c r="T129" s="31" t="s">
        <v>8244</v>
      </c>
      <c r="U129" s="26"/>
    </row>
    <row r="130" s="21" customFormat="1" ht="30" spans="1:21">
      <c r="A130" s="28" t="s">
        <v>1491</v>
      </c>
      <c r="B130" s="26" t="str">
        <f>VLOOKUP(C130,[1]干线管道!B:C,2,FALSE)</f>
        <v>一级</v>
      </c>
      <c r="C130" s="26" t="str">
        <f>VLOOKUP(E130,[1]站场阀室!A:D,3,FALSE)</f>
        <v>西气东输二线</v>
      </c>
      <c r="D130" s="26" t="s">
        <v>11386</v>
      </c>
      <c r="E130" s="26" t="s">
        <v>2557</v>
      </c>
      <c r="F130" s="26" t="s">
        <v>11324</v>
      </c>
      <c r="G130" s="26" t="s">
        <v>9245</v>
      </c>
      <c r="H130" s="27" t="s">
        <v>11398</v>
      </c>
      <c r="I130" s="26" t="s">
        <v>11287</v>
      </c>
      <c r="J130" s="26" t="s">
        <v>11270</v>
      </c>
      <c r="K130" s="26" t="s">
        <v>11366</v>
      </c>
      <c r="L130" s="26" t="s">
        <v>11395</v>
      </c>
      <c r="M130" s="26" t="s">
        <v>11368</v>
      </c>
      <c r="N130" s="26" t="s">
        <v>11369</v>
      </c>
      <c r="O130" s="30">
        <v>5040</v>
      </c>
      <c r="P130" s="26" t="s">
        <v>11396</v>
      </c>
      <c r="Q130" s="33">
        <v>18</v>
      </c>
      <c r="R130" s="42" t="s">
        <v>11276</v>
      </c>
      <c r="S130" s="26"/>
      <c r="T130" s="31" t="s">
        <v>8244</v>
      </c>
      <c r="U130" s="26"/>
    </row>
    <row r="131" s="21" customFormat="1" ht="30" spans="1:21">
      <c r="A131" s="28" t="s">
        <v>1491</v>
      </c>
      <c r="B131" s="26" t="str">
        <f>VLOOKUP(C131,[1]干线管道!B:C,2,FALSE)</f>
        <v>一级</v>
      </c>
      <c r="C131" s="26" t="str">
        <f>VLOOKUP(E131,[1]站场阀室!A:D,3,FALSE)</f>
        <v>西气东输二线</v>
      </c>
      <c r="D131" s="26" t="s">
        <v>11386</v>
      </c>
      <c r="E131" s="26" t="s">
        <v>2557</v>
      </c>
      <c r="F131" s="26" t="s">
        <v>11324</v>
      </c>
      <c r="G131" s="26" t="s">
        <v>10755</v>
      </c>
      <c r="H131" s="27" t="s">
        <v>11398</v>
      </c>
      <c r="I131" s="26" t="s">
        <v>11287</v>
      </c>
      <c r="J131" s="26" t="s">
        <v>11270</v>
      </c>
      <c r="K131" s="26" t="s">
        <v>11366</v>
      </c>
      <c r="L131" s="26" t="s">
        <v>11395</v>
      </c>
      <c r="M131" s="26" t="s">
        <v>11368</v>
      </c>
      <c r="N131" s="26" t="s">
        <v>11369</v>
      </c>
      <c r="O131" s="26">
        <v>5040</v>
      </c>
      <c r="P131" s="26" t="s">
        <v>11396</v>
      </c>
      <c r="Q131" s="33">
        <v>18</v>
      </c>
      <c r="R131" s="42" t="s">
        <v>11276</v>
      </c>
      <c r="S131" s="26"/>
      <c r="T131" s="31" t="s">
        <v>8244</v>
      </c>
      <c r="U131" s="26"/>
    </row>
    <row r="132" s="21" customFormat="1" spans="1:21">
      <c r="A132" s="28" t="s">
        <v>1640</v>
      </c>
      <c r="B132" s="26" t="str">
        <f>VLOOKUP(C132,[1]干线管道!B:C,2,FALSE)</f>
        <v>一级</v>
      </c>
      <c r="C132" s="26" t="str">
        <f>VLOOKUP(E132,[1]站场阀室!A:D,3,FALSE)</f>
        <v>西气东输二线</v>
      </c>
      <c r="D132" s="26" t="s">
        <v>11386</v>
      </c>
      <c r="E132" s="26" t="s">
        <v>2577</v>
      </c>
      <c r="F132" s="26" t="s">
        <v>11267</v>
      </c>
      <c r="G132" s="26" t="s">
        <v>11268</v>
      </c>
      <c r="H132" s="27" t="s">
        <v>11399</v>
      </c>
      <c r="I132" s="26" t="s">
        <v>11269</v>
      </c>
      <c r="J132" s="26" t="s">
        <v>11270</v>
      </c>
      <c r="K132" s="26" t="s">
        <v>11277</v>
      </c>
      <c r="L132" s="26" t="s">
        <v>11309</v>
      </c>
      <c r="M132" s="26" t="s">
        <v>11279</v>
      </c>
      <c r="N132" s="26" t="s">
        <v>11280</v>
      </c>
      <c r="O132" s="26">
        <v>6405</v>
      </c>
      <c r="P132" s="26" t="s">
        <v>11400</v>
      </c>
      <c r="Q132" s="33">
        <v>31.372</v>
      </c>
      <c r="R132" s="42" t="s">
        <v>11276</v>
      </c>
      <c r="S132" s="26" t="s">
        <v>11291</v>
      </c>
      <c r="T132" s="31" t="s">
        <v>8244</v>
      </c>
      <c r="U132" s="26" t="s">
        <v>11292</v>
      </c>
    </row>
    <row r="133" s="21" customFormat="1" spans="1:21">
      <c r="A133" s="28" t="s">
        <v>1640</v>
      </c>
      <c r="B133" s="26" t="str">
        <f>VLOOKUP(C133,[1]干线管道!B:C,2,FALSE)</f>
        <v>一级</v>
      </c>
      <c r="C133" s="26" t="str">
        <f>VLOOKUP(E133,[1]站场阀室!A:D,3,FALSE)</f>
        <v>西气东输二线</v>
      </c>
      <c r="D133" s="26" t="s">
        <v>11386</v>
      </c>
      <c r="E133" s="26" t="s">
        <v>2577</v>
      </c>
      <c r="F133" s="26" t="s">
        <v>11267</v>
      </c>
      <c r="G133" s="26" t="s">
        <v>11176</v>
      </c>
      <c r="H133" s="27" t="s">
        <v>11401</v>
      </c>
      <c r="I133" s="26" t="s">
        <v>11269</v>
      </c>
      <c r="J133" s="26" t="s">
        <v>11270</v>
      </c>
      <c r="K133" s="26" t="s">
        <v>11277</v>
      </c>
      <c r="L133" s="26" t="s">
        <v>11309</v>
      </c>
      <c r="M133" s="26" t="s">
        <v>11279</v>
      </c>
      <c r="N133" s="26" t="s">
        <v>11280</v>
      </c>
      <c r="O133" s="26">
        <v>6405</v>
      </c>
      <c r="P133" s="26" t="s">
        <v>11400</v>
      </c>
      <c r="Q133" s="33">
        <v>31.372</v>
      </c>
      <c r="R133" s="42" t="s">
        <v>11276</v>
      </c>
      <c r="S133" s="26"/>
      <c r="T133" s="31" t="s">
        <v>8244</v>
      </c>
      <c r="U133" s="26"/>
    </row>
    <row r="134" s="21" customFormat="1" spans="1:21">
      <c r="A134" s="28" t="s">
        <v>1640</v>
      </c>
      <c r="B134" s="26" t="str">
        <f>VLOOKUP(C134,[1]干线管道!B:C,2,FALSE)</f>
        <v>一级</v>
      </c>
      <c r="C134" s="26" t="str">
        <f>VLOOKUP(E134,[1]站场阀室!A:D,3,FALSE)</f>
        <v>西气东输二线</v>
      </c>
      <c r="D134" s="26" t="s">
        <v>11386</v>
      </c>
      <c r="E134" s="26" t="s">
        <v>2577</v>
      </c>
      <c r="F134" s="26" t="s">
        <v>11267</v>
      </c>
      <c r="G134" s="26" t="s">
        <v>9245</v>
      </c>
      <c r="H134" s="27" t="s">
        <v>11402</v>
      </c>
      <c r="I134" s="26" t="s">
        <v>11269</v>
      </c>
      <c r="J134" s="26" t="s">
        <v>11270</v>
      </c>
      <c r="K134" s="26" t="s">
        <v>11277</v>
      </c>
      <c r="L134" s="26" t="s">
        <v>11309</v>
      </c>
      <c r="M134" s="26" t="s">
        <v>11279</v>
      </c>
      <c r="N134" s="26" t="s">
        <v>11280</v>
      </c>
      <c r="O134" s="26">
        <v>6405</v>
      </c>
      <c r="P134" s="26" t="s">
        <v>11400</v>
      </c>
      <c r="Q134" s="33">
        <v>31.372</v>
      </c>
      <c r="R134" s="42" t="s">
        <v>11276</v>
      </c>
      <c r="S134" s="26"/>
      <c r="T134" s="31" t="s">
        <v>8244</v>
      </c>
      <c r="U134" s="26"/>
    </row>
    <row r="135" s="21" customFormat="1" ht="45" spans="1:21">
      <c r="A135" s="28" t="s">
        <v>1640</v>
      </c>
      <c r="B135" s="26" t="str">
        <f>VLOOKUP(C135,[1]干线管道!B:C,2,FALSE)</f>
        <v>一级</v>
      </c>
      <c r="C135" s="26" t="str">
        <f>VLOOKUP(E135,[1]站场阀室!A:D,3,FALSE)</f>
        <v>西气东输二线</v>
      </c>
      <c r="D135" s="26" t="s">
        <v>11386</v>
      </c>
      <c r="E135" s="26" t="s">
        <v>264</v>
      </c>
      <c r="F135" s="26" t="s">
        <v>11324</v>
      </c>
      <c r="G135" s="26" t="s">
        <v>11268</v>
      </c>
      <c r="H135" s="27" t="s">
        <v>11403</v>
      </c>
      <c r="I135" s="26" t="s">
        <v>11287</v>
      </c>
      <c r="J135" s="26" t="s">
        <v>11270</v>
      </c>
      <c r="K135" s="26" t="s">
        <v>11277</v>
      </c>
      <c r="L135" s="26" t="s">
        <v>11278</v>
      </c>
      <c r="M135" s="32" t="s">
        <v>11404</v>
      </c>
      <c r="N135" s="30" t="s">
        <v>11405</v>
      </c>
      <c r="O135" s="30">
        <v>5040</v>
      </c>
      <c r="P135" s="30" t="s">
        <v>11406</v>
      </c>
      <c r="Q135" s="33">
        <v>18</v>
      </c>
      <c r="R135" s="42" t="s">
        <v>11276</v>
      </c>
      <c r="S135" s="26" t="s">
        <v>8247</v>
      </c>
      <c r="T135" s="31" t="s">
        <v>8244</v>
      </c>
      <c r="U135" s="26"/>
    </row>
    <row r="136" s="21" customFormat="1" ht="45" spans="1:21">
      <c r="A136" s="28" t="s">
        <v>1640</v>
      </c>
      <c r="B136" s="26" t="str">
        <f>VLOOKUP(C136,[1]干线管道!B:C,2,FALSE)</f>
        <v>一级</v>
      </c>
      <c r="C136" s="26" t="str">
        <f>VLOOKUP(E136,[1]站场阀室!A:D,3,FALSE)</f>
        <v>西气东输二线</v>
      </c>
      <c r="D136" s="26" t="s">
        <v>11386</v>
      </c>
      <c r="E136" s="26" t="s">
        <v>264</v>
      </c>
      <c r="F136" s="26" t="s">
        <v>11324</v>
      </c>
      <c r="G136" s="26" t="s">
        <v>11176</v>
      </c>
      <c r="H136" s="27" t="s">
        <v>11407</v>
      </c>
      <c r="I136" s="26" t="s">
        <v>11287</v>
      </c>
      <c r="J136" s="26" t="s">
        <v>11270</v>
      </c>
      <c r="K136" s="26" t="s">
        <v>11277</v>
      </c>
      <c r="L136" s="26" t="s">
        <v>11278</v>
      </c>
      <c r="M136" s="32" t="s">
        <v>11404</v>
      </c>
      <c r="N136" s="30" t="s">
        <v>11405</v>
      </c>
      <c r="O136" s="30">
        <v>5040</v>
      </c>
      <c r="P136" s="30" t="s">
        <v>11406</v>
      </c>
      <c r="Q136" s="33">
        <v>18</v>
      </c>
      <c r="R136" s="42" t="s">
        <v>11276</v>
      </c>
      <c r="S136" s="26"/>
      <c r="T136" s="31" t="s">
        <v>8244</v>
      </c>
      <c r="U136" s="26"/>
    </row>
    <row r="137" s="21" customFormat="1" ht="45" spans="1:21">
      <c r="A137" s="28" t="s">
        <v>1640</v>
      </c>
      <c r="B137" s="26" t="str">
        <f>VLOOKUP(C137,[1]干线管道!B:C,2,FALSE)</f>
        <v>一级</v>
      </c>
      <c r="C137" s="26" t="str">
        <f>VLOOKUP(E137,[1]站场阀室!A:D,3,FALSE)</f>
        <v>西气东输二线</v>
      </c>
      <c r="D137" s="26" t="s">
        <v>11386</v>
      </c>
      <c r="E137" s="26" t="s">
        <v>264</v>
      </c>
      <c r="F137" s="26" t="s">
        <v>11324</v>
      </c>
      <c r="G137" s="26" t="s">
        <v>9245</v>
      </c>
      <c r="H137" s="27" t="s">
        <v>11408</v>
      </c>
      <c r="I137" s="26" t="s">
        <v>11287</v>
      </c>
      <c r="J137" s="26" t="s">
        <v>11270</v>
      </c>
      <c r="K137" s="26" t="s">
        <v>11277</v>
      </c>
      <c r="L137" s="26" t="s">
        <v>11278</v>
      </c>
      <c r="M137" s="32" t="s">
        <v>11404</v>
      </c>
      <c r="N137" s="30" t="s">
        <v>11405</v>
      </c>
      <c r="O137" s="30">
        <v>5040</v>
      </c>
      <c r="P137" s="30" t="s">
        <v>11406</v>
      </c>
      <c r="Q137" s="33">
        <v>18</v>
      </c>
      <c r="R137" s="42" t="s">
        <v>11276</v>
      </c>
      <c r="S137" s="26"/>
      <c r="T137" s="31" t="s">
        <v>8244</v>
      </c>
      <c r="U137" s="26"/>
    </row>
    <row r="138" s="21" customFormat="1" ht="45" spans="1:21">
      <c r="A138" s="28" t="s">
        <v>1640</v>
      </c>
      <c r="B138" s="26" t="str">
        <f>VLOOKUP(C138,[1]干线管道!B:C,2,FALSE)</f>
        <v>一级</v>
      </c>
      <c r="C138" s="26" t="str">
        <f>VLOOKUP(E138,[1]站场阀室!A:D,3,FALSE)</f>
        <v>西气东输二线</v>
      </c>
      <c r="D138" s="26" t="s">
        <v>11386</v>
      </c>
      <c r="E138" s="26" t="s">
        <v>264</v>
      </c>
      <c r="F138" s="26" t="s">
        <v>11324</v>
      </c>
      <c r="G138" s="26" t="s">
        <v>10755</v>
      </c>
      <c r="H138" s="27" t="s">
        <v>11409</v>
      </c>
      <c r="I138" s="26" t="s">
        <v>11287</v>
      </c>
      <c r="J138" s="26" t="s">
        <v>11296</v>
      </c>
      <c r="K138" s="26" t="s">
        <v>11339</v>
      </c>
      <c r="L138" s="30" t="s">
        <v>11278</v>
      </c>
      <c r="M138" s="32" t="s">
        <v>11410</v>
      </c>
      <c r="N138" s="30" t="s">
        <v>11349</v>
      </c>
      <c r="O138" s="30">
        <v>5040</v>
      </c>
      <c r="P138" s="30" t="s">
        <v>11406</v>
      </c>
      <c r="Q138" s="33">
        <v>18</v>
      </c>
      <c r="R138" s="42" t="s">
        <v>11276</v>
      </c>
      <c r="S138" s="26"/>
      <c r="T138" s="31" t="s">
        <v>8244</v>
      </c>
      <c r="U138" s="26"/>
    </row>
    <row r="139" s="21" customFormat="1" spans="1:21">
      <c r="A139" s="28" t="s">
        <v>2204</v>
      </c>
      <c r="B139" s="26" t="str">
        <f>VLOOKUP(C139,[1]干线管道!B:C,2,FALSE)</f>
        <v>一级</v>
      </c>
      <c r="C139" s="26" t="str">
        <f>VLOOKUP(E139,[1]站场阀室!A:D,3,FALSE)</f>
        <v>西气东输二线</v>
      </c>
      <c r="D139" s="26" t="s">
        <v>11386</v>
      </c>
      <c r="E139" s="26" t="s">
        <v>245</v>
      </c>
      <c r="F139" s="26" t="s">
        <v>11267</v>
      </c>
      <c r="G139" s="26" t="s">
        <v>11268</v>
      </c>
      <c r="H139" s="27" t="s">
        <v>11411</v>
      </c>
      <c r="I139" s="26" t="s">
        <v>11269</v>
      </c>
      <c r="J139" s="26" t="s">
        <v>11270</v>
      </c>
      <c r="K139" s="26" t="s">
        <v>11271</v>
      </c>
      <c r="L139" s="26" t="s">
        <v>11272</v>
      </c>
      <c r="M139" s="32" t="s">
        <v>11412</v>
      </c>
      <c r="N139" s="26" t="s">
        <v>11351</v>
      </c>
      <c r="O139" s="26">
        <v>5040</v>
      </c>
      <c r="P139" s="26" t="s">
        <v>11413</v>
      </c>
      <c r="Q139" s="33">
        <v>29.53</v>
      </c>
      <c r="R139" s="42" t="s">
        <v>11276</v>
      </c>
      <c r="S139" s="26" t="s">
        <v>8247</v>
      </c>
      <c r="T139" s="31" t="s">
        <v>8244</v>
      </c>
      <c r="U139" s="26" t="s">
        <v>11414</v>
      </c>
    </row>
    <row r="140" s="21" customFormat="1" spans="1:21">
      <c r="A140" s="28" t="s">
        <v>2204</v>
      </c>
      <c r="B140" s="26" t="str">
        <f>VLOOKUP(C140,[1]干线管道!B:C,2,FALSE)</f>
        <v>一级</v>
      </c>
      <c r="C140" s="26" t="str">
        <f>VLOOKUP(E140,[1]站场阀室!A:D,3,FALSE)</f>
        <v>西气东输二线</v>
      </c>
      <c r="D140" s="26" t="s">
        <v>11386</v>
      </c>
      <c r="E140" s="26" t="s">
        <v>245</v>
      </c>
      <c r="F140" s="26" t="s">
        <v>11267</v>
      </c>
      <c r="G140" s="26" t="s">
        <v>11176</v>
      </c>
      <c r="H140" s="27" t="s">
        <v>11415</v>
      </c>
      <c r="I140" s="26" t="s">
        <v>11269</v>
      </c>
      <c r="J140" s="26" t="s">
        <v>11270</v>
      </c>
      <c r="K140" s="26" t="s">
        <v>11271</v>
      </c>
      <c r="L140" s="26" t="s">
        <v>11272</v>
      </c>
      <c r="M140" s="32" t="s">
        <v>11412</v>
      </c>
      <c r="N140" s="26" t="s">
        <v>11351</v>
      </c>
      <c r="O140" s="26">
        <v>5040</v>
      </c>
      <c r="P140" s="26" t="s">
        <v>11413</v>
      </c>
      <c r="Q140" s="33">
        <v>29.53</v>
      </c>
      <c r="R140" s="42" t="s">
        <v>11276</v>
      </c>
      <c r="S140" s="26"/>
      <c r="T140" s="31" t="s">
        <v>8244</v>
      </c>
      <c r="U140" s="26"/>
    </row>
    <row r="141" s="21" customFormat="1" spans="1:21">
      <c r="A141" s="28" t="s">
        <v>2204</v>
      </c>
      <c r="B141" s="26" t="str">
        <f>VLOOKUP(C141,[1]干线管道!B:C,2,FALSE)</f>
        <v>一级</v>
      </c>
      <c r="C141" s="26" t="str">
        <f>VLOOKUP(E141,[1]站场阀室!A:D,3,FALSE)</f>
        <v>西气东输二线</v>
      </c>
      <c r="D141" s="26" t="s">
        <v>11386</v>
      </c>
      <c r="E141" s="26" t="s">
        <v>245</v>
      </c>
      <c r="F141" s="26" t="s">
        <v>11267</v>
      </c>
      <c r="G141" s="26" t="s">
        <v>9245</v>
      </c>
      <c r="H141" s="27" t="s">
        <v>11416</v>
      </c>
      <c r="I141" s="26" t="s">
        <v>11269</v>
      </c>
      <c r="J141" s="26" t="s">
        <v>11270</v>
      </c>
      <c r="K141" s="26" t="s">
        <v>11271</v>
      </c>
      <c r="L141" s="26" t="s">
        <v>11272</v>
      </c>
      <c r="M141" s="32" t="s">
        <v>11412</v>
      </c>
      <c r="N141" s="26" t="s">
        <v>11351</v>
      </c>
      <c r="O141" s="26">
        <v>5040</v>
      </c>
      <c r="P141" s="26" t="s">
        <v>11413</v>
      </c>
      <c r="Q141" s="33">
        <v>29.53</v>
      </c>
      <c r="R141" s="42" t="s">
        <v>11276</v>
      </c>
      <c r="S141" s="26"/>
      <c r="T141" s="31" t="s">
        <v>8244</v>
      </c>
      <c r="U141" s="26"/>
    </row>
    <row r="142" s="21" customFormat="1" ht="45" spans="1:21">
      <c r="A142" s="28" t="s">
        <v>2204</v>
      </c>
      <c r="B142" s="26" t="str">
        <f>VLOOKUP(C142,[1]干线管道!B:C,2,FALSE)</f>
        <v>一级</v>
      </c>
      <c r="C142" s="26" t="str">
        <f>VLOOKUP(E142,[1]站场阀室!A:D,3,FALSE)</f>
        <v>西气东输二线</v>
      </c>
      <c r="D142" s="26" t="s">
        <v>11386</v>
      </c>
      <c r="E142" s="26" t="s">
        <v>232</v>
      </c>
      <c r="F142" s="26" t="s">
        <v>11324</v>
      </c>
      <c r="G142" s="26" t="s">
        <v>11268</v>
      </c>
      <c r="H142" s="27" t="s">
        <v>11417</v>
      </c>
      <c r="I142" s="26" t="s">
        <v>11287</v>
      </c>
      <c r="J142" s="26" t="s">
        <v>11270</v>
      </c>
      <c r="K142" s="26" t="s">
        <v>11277</v>
      </c>
      <c r="L142" s="26" t="s">
        <v>11418</v>
      </c>
      <c r="M142" s="32" t="s">
        <v>11419</v>
      </c>
      <c r="N142" s="30" t="s">
        <v>11405</v>
      </c>
      <c r="O142" s="30">
        <v>5040</v>
      </c>
      <c r="P142" s="30" t="s">
        <v>8286</v>
      </c>
      <c r="Q142" s="33">
        <v>18</v>
      </c>
      <c r="R142" s="42" t="s">
        <v>11276</v>
      </c>
      <c r="S142" s="26" t="s">
        <v>8247</v>
      </c>
      <c r="T142" s="31" t="s">
        <v>8244</v>
      </c>
      <c r="U142" s="26"/>
    </row>
    <row r="143" s="21" customFormat="1" ht="45" spans="1:21">
      <c r="A143" s="28" t="s">
        <v>2204</v>
      </c>
      <c r="B143" s="26" t="str">
        <f>VLOOKUP(C143,[1]干线管道!B:C,2,FALSE)</f>
        <v>一级</v>
      </c>
      <c r="C143" s="26" t="str">
        <f>VLOOKUP(E143,[1]站场阀室!A:D,3,FALSE)</f>
        <v>西气东输二线</v>
      </c>
      <c r="D143" s="26" t="s">
        <v>11386</v>
      </c>
      <c r="E143" s="26" t="s">
        <v>232</v>
      </c>
      <c r="F143" s="26" t="s">
        <v>11324</v>
      </c>
      <c r="G143" s="26" t="s">
        <v>11176</v>
      </c>
      <c r="H143" s="27" t="s">
        <v>11420</v>
      </c>
      <c r="I143" s="26" t="s">
        <v>11287</v>
      </c>
      <c r="J143" s="26" t="s">
        <v>11270</v>
      </c>
      <c r="K143" s="26" t="s">
        <v>11277</v>
      </c>
      <c r="L143" s="26" t="s">
        <v>11418</v>
      </c>
      <c r="M143" s="32" t="s">
        <v>11419</v>
      </c>
      <c r="N143" s="30" t="s">
        <v>11405</v>
      </c>
      <c r="O143" s="30">
        <v>5040</v>
      </c>
      <c r="P143" s="30" t="s">
        <v>8286</v>
      </c>
      <c r="Q143" s="33">
        <v>18</v>
      </c>
      <c r="R143" s="42" t="s">
        <v>11276</v>
      </c>
      <c r="S143" s="26"/>
      <c r="T143" s="31" t="s">
        <v>8244</v>
      </c>
      <c r="U143" s="26"/>
    </row>
    <row r="144" s="21" customFormat="1" ht="45" spans="1:21">
      <c r="A144" s="28" t="s">
        <v>2204</v>
      </c>
      <c r="B144" s="26" t="str">
        <f>VLOOKUP(C144,[1]干线管道!B:C,2,FALSE)</f>
        <v>一级</v>
      </c>
      <c r="C144" s="26" t="str">
        <f>VLOOKUP(E144,[1]站场阀室!A:D,3,FALSE)</f>
        <v>西气东输二线</v>
      </c>
      <c r="D144" s="26" t="s">
        <v>11386</v>
      </c>
      <c r="E144" s="26" t="s">
        <v>232</v>
      </c>
      <c r="F144" s="26" t="s">
        <v>11324</v>
      </c>
      <c r="G144" s="26" t="s">
        <v>9245</v>
      </c>
      <c r="H144" s="27" t="s">
        <v>11421</v>
      </c>
      <c r="I144" s="26" t="s">
        <v>11287</v>
      </c>
      <c r="J144" s="26" t="s">
        <v>11270</v>
      </c>
      <c r="K144" s="26" t="s">
        <v>11277</v>
      </c>
      <c r="L144" s="26" t="s">
        <v>11418</v>
      </c>
      <c r="M144" s="32" t="s">
        <v>11419</v>
      </c>
      <c r="N144" s="30" t="s">
        <v>11349</v>
      </c>
      <c r="O144" s="30">
        <v>5040</v>
      </c>
      <c r="P144" s="30" t="s">
        <v>8286</v>
      </c>
      <c r="Q144" s="33">
        <v>18</v>
      </c>
      <c r="R144" s="42" t="s">
        <v>11276</v>
      </c>
      <c r="S144" s="26"/>
      <c r="T144" s="31" t="s">
        <v>8244</v>
      </c>
      <c r="U144" s="26"/>
    </row>
    <row r="145" s="21" customFormat="1" ht="45" spans="1:21">
      <c r="A145" s="28" t="s">
        <v>2204</v>
      </c>
      <c r="B145" s="26" t="str">
        <f>VLOOKUP(C145,[1]干线管道!B:C,2,FALSE)</f>
        <v>一级</v>
      </c>
      <c r="C145" s="26" t="str">
        <f>VLOOKUP(E145,[1]站场阀室!A:D,3,FALSE)</f>
        <v>西气东输二线</v>
      </c>
      <c r="D145" s="26" t="s">
        <v>11386</v>
      </c>
      <c r="E145" s="26" t="s">
        <v>232</v>
      </c>
      <c r="F145" s="26" t="s">
        <v>11324</v>
      </c>
      <c r="G145" s="26" t="s">
        <v>10755</v>
      </c>
      <c r="H145" s="27" t="s">
        <v>11422</v>
      </c>
      <c r="I145" s="26" t="s">
        <v>11287</v>
      </c>
      <c r="J145" s="26" t="s">
        <v>11296</v>
      </c>
      <c r="K145" s="26" t="s">
        <v>11339</v>
      </c>
      <c r="L145" s="26" t="s">
        <v>11278</v>
      </c>
      <c r="M145" s="32" t="s">
        <v>11423</v>
      </c>
      <c r="N145" s="30" t="s">
        <v>11405</v>
      </c>
      <c r="O145" s="26">
        <v>5040</v>
      </c>
      <c r="P145" s="26" t="s">
        <v>147</v>
      </c>
      <c r="Q145" s="33">
        <v>20</v>
      </c>
      <c r="R145" s="42" t="s">
        <v>11276</v>
      </c>
      <c r="S145" s="26"/>
      <c r="T145" s="31" t="s">
        <v>8244</v>
      </c>
      <c r="U145" s="26"/>
    </row>
    <row r="146" s="21" customFormat="1" spans="1:21">
      <c r="A146" s="28" t="s">
        <v>2204</v>
      </c>
      <c r="B146" s="26" t="str">
        <f>VLOOKUP(C146,[1]干线管道!B:C,2,FALSE)</f>
        <v>一级</v>
      </c>
      <c r="C146" s="26" t="str">
        <f>VLOOKUP(E146,[1]站场阀室!A:D,3,FALSE)</f>
        <v>西气东输二线</v>
      </c>
      <c r="D146" s="26" t="s">
        <v>11386</v>
      </c>
      <c r="E146" s="26" t="s">
        <v>2679</v>
      </c>
      <c r="F146" s="26" t="s">
        <v>11267</v>
      </c>
      <c r="G146" s="26" t="s">
        <v>11268</v>
      </c>
      <c r="H146" s="27" t="s">
        <v>11424</v>
      </c>
      <c r="I146" s="26" t="s">
        <v>11269</v>
      </c>
      <c r="J146" s="26" t="s">
        <v>11270</v>
      </c>
      <c r="K146" s="26" t="s">
        <v>11277</v>
      </c>
      <c r="L146" s="26" t="s">
        <v>11309</v>
      </c>
      <c r="M146" s="26" t="s">
        <v>11279</v>
      </c>
      <c r="N146" s="26" t="s">
        <v>11280</v>
      </c>
      <c r="O146" s="26">
        <v>6405</v>
      </c>
      <c r="P146" s="26" t="s">
        <v>11425</v>
      </c>
      <c r="Q146" s="33">
        <v>31.372</v>
      </c>
      <c r="R146" s="42" t="s">
        <v>11276</v>
      </c>
      <c r="S146" s="26" t="s">
        <v>8247</v>
      </c>
      <c r="T146" s="31" t="s">
        <v>8244</v>
      </c>
      <c r="U146" s="26"/>
    </row>
    <row r="147" s="21" customFormat="1" spans="1:21">
      <c r="A147" s="28" t="s">
        <v>2204</v>
      </c>
      <c r="B147" s="26" t="str">
        <f>VLOOKUP(C147,[1]干线管道!B:C,2,FALSE)</f>
        <v>一级</v>
      </c>
      <c r="C147" s="26" t="str">
        <f>VLOOKUP(E147,[1]站场阀室!A:D,3,FALSE)</f>
        <v>西气东输二线</v>
      </c>
      <c r="D147" s="26" t="s">
        <v>11386</v>
      </c>
      <c r="E147" s="26" t="s">
        <v>2679</v>
      </c>
      <c r="F147" s="26" t="s">
        <v>11267</v>
      </c>
      <c r="G147" s="26" t="s">
        <v>11176</v>
      </c>
      <c r="H147" s="27" t="s">
        <v>11426</v>
      </c>
      <c r="I147" s="26" t="s">
        <v>11269</v>
      </c>
      <c r="J147" s="26" t="s">
        <v>11270</v>
      </c>
      <c r="K147" s="26" t="s">
        <v>11277</v>
      </c>
      <c r="L147" s="26" t="s">
        <v>11309</v>
      </c>
      <c r="M147" s="26" t="s">
        <v>11279</v>
      </c>
      <c r="N147" s="26" t="s">
        <v>11280</v>
      </c>
      <c r="O147" s="26">
        <v>6405</v>
      </c>
      <c r="P147" s="26" t="s">
        <v>11425</v>
      </c>
      <c r="Q147" s="33">
        <v>31.372</v>
      </c>
      <c r="R147" s="42" t="s">
        <v>11276</v>
      </c>
      <c r="S147" s="26"/>
      <c r="T147" s="31" t="s">
        <v>8244</v>
      </c>
      <c r="U147" s="26"/>
    </row>
    <row r="148" s="21" customFormat="1" spans="1:21">
      <c r="A148" s="28" t="s">
        <v>2204</v>
      </c>
      <c r="B148" s="26" t="str">
        <f>VLOOKUP(C148,[1]干线管道!B:C,2,FALSE)</f>
        <v>一级</v>
      </c>
      <c r="C148" s="26" t="str">
        <f>VLOOKUP(E148,[1]站场阀室!A:D,3,FALSE)</f>
        <v>西气东输二线</v>
      </c>
      <c r="D148" s="26" t="s">
        <v>11386</v>
      </c>
      <c r="E148" s="26" t="s">
        <v>2679</v>
      </c>
      <c r="F148" s="26" t="s">
        <v>11267</v>
      </c>
      <c r="G148" s="26" t="s">
        <v>9245</v>
      </c>
      <c r="H148" s="27" t="s">
        <v>11427</v>
      </c>
      <c r="I148" s="26" t="s">
        <v>11269</v>
      </c>
      <c r="J148" s="26" t="s">
        <v>11270</v>
      </c>
      <c r="K148" s="26" t="s">
        <v>11277</v>
      </c>
      <c r="L148" s="26" t="s">
        <v>11309</v>
      </c>
      <c r="M148" s="26" t="s">
        <v>11279</v>
      </c>
      <c r="N148" s="26" t="s">
        <v>11280</v>
      </c>
      <c r="O148" s="26">
        <v>6405</v>
      </c>
      <c r="P148" s="26" t="s">
        <v>11425</v>
      </c>
      <c r="Q148" s="33">
        <v>31.372</v>
      </c>
      <c r="R148" s="42" t="s">
        <v>11276</v>
      </c>
      <c r="S148" s="26"/>
      <c r="T148" s="31" t="s">
        <v>8244</v>
      </c>
      <c r="U148" s="26"/>
    </row>
    <row r="149" s="21" customFormat="1" spans="1:21">
      <c r="A149" s="28" t="s">
        <v>1689</v>
      </c>
      <c r="B149" s="26" t="str">
        <f>VLOOKUP(C149,[1]干线管道!B:C,2,FALSE)</f>
        <v>一级</v>
      </c>
      <c r="C149" s="26" t="str">
        <f>VLOOKUP(E149,[1]站场阀室!A:D,3,FALSE)</f>
        <v>西气东输二线</v>
      </c>
      <c r="D149" s="26" t="s">
        <v>11386</v>
      </c>
      <c r="E149" s="26" t="s">
        <v>258</v>
      </c>
      <c r="F149" s="26" t="s">
        <v>11267</v>
      </c>
      <c r="G149" s="26" t="s">
        <v>11268</v>
      </c>
      <c r="H149" s="27" t="s">
        <v>11428</v>
      </c>
      <c r="I149" s="26" t="s">
        <v>11269</v>
      </c>
      <c r="J149" s="26" t="s">
        <v>11270</v>
      </c>
      <c r="K149" s="26" t="s">
        <v>11271</v>
      </c>
      <c r="L149" s="26" t="s">
        <v>11272</v>
      </c>
      <c r="M149" s="26" t="s">
        <v>11412</v>
      </c>
      <c r="N149" s="26" t="s">
        <v>11351</v>
      </c>
      <c r="O149" s="26">
        <v>5040</v>
      </c>
      <c r="P149" s="26" t="s">
        <v>11429</v>
      </c>
      <c r="Q149" s="33">
        <v>29.53</v>
      </c>
      <c r="R149" s="42" t="s">
        <v>11276</v>
      </c>
      <c r="S149" s="26" t="s">
        <v>8247</v>
      </c>
      <c r="T149" s="31" t="s">
        <v>8244</v>
      </c>
      <c r="U149" s="26"/>
    </row>
    <row r="150" s="21" customFormat="1" spans="1:21">
      <c r="A150" s="28" t="s">
        <v>1689</v>
      </c>
      <c r="B150" s="26" t="str">
        <f>VLOOKUP(C150,[1]干线管道!B:C,2,FALSE)</f>
        <v>一级</v>
      </c>
      <c r="C150" s="26" t="str">
        <f>VLOOKUP(E150,[1]站场阀室!A:D,3,FALSE)</f>
        <v>西气东输二线</v>
      </c>
      <c r="D150" s="26" t="s">
        <v>11386</v>
      </c>
      <c r="E150" s="26" t="s">
        <v>258</v>
      </c>
      <c r="F150" s="26" t="s">
        <v>11267</v>
      </c>
      <c r="G150" s="26" t="s">
        <v>11176</v>
      </c>
      <c r="H150" s="27" t="s">
        <v>11430</v>
      </c>
      <c r="I150" s="26" t="s">
        <v>11269</v>
      </c>
      <c r="J150" s="26" t="s">
        <v>11270</v>
      </c>
      <c r="K150" s="26" t="s">
        <v>11271</v>
      </c>
      <c r="L150" s="26" t="s">
        <v>11272</v>
      </c>
      <c r="M150" s="26" t="s">
        <v>11412</v>
      </c>
      <c r="N150" s="26" t="s">
        <v>11351</v>
      </c>
      <c r="O150" s="26">
        <v>5040</v>
      </c>
      <c r="P150" s="26" t="s">
        <v>11429</v>
      </c>
      <c r="Q150" s="33">
        <v>29.53</v>
      </c>
      <c r="R150" s="42" t="s">
        <v>11276</v>
      </c>
      <c r="S150" s="26"/>
      <c r="T150" s="31" t="s">
        <v>8244</v>
      </c>
      <c r="U150" s="26"/>
    </row>
    <row r="151" s="21" customFormat="1" spans="1:21">
      <c r="A151" s="28" t="s">
        <v>1689</v>
      </c>
      <c r="B151" s="26" t="str">
        <f>VLOOKUP(C151,[1]干线管道!B:C,2,FALSE)</f>
        <v>一级</v>
      </c>
      <c r="C151" s="26" t="str">
        <f>VLOOKUP(E151,[1]站场阀室!A:D,3,FALSE)</f>
        <v>西气东输二线</v>
      </c>
      <c r="D151" s="26" t="s">
        <v>11386</v>
      </c>
      <c r="E151" s="26" t="s">
        <v>258</v>
      </c>
      <c r="F151" s="26" t="s">
        <v>11267</v>
      </c>
      <c r="G151" s="26" t="s">
        <v>9245</v>
      </c>
      <c r="H151" s="27" t="s">
        <v>11431</v>
      </c>
      <c r="I151" s="26" t="s">
        <v>11269</v>
      </c>
      <c r="J151" s="26" t="s">
        <v>11270</v>
      </c>
      <c r="K151" s="26" t="s">
        <v>11271</v>
      </c>
      <c r="L151" s="26" t="s">
        <v>11272</v>
      </c>
      <c r="M151" s="26" t="s">
        <v>11412</v>
      </c>
      <c r="N151" s="26" t="s">
        <v>11351</v>
      </c>
      <c r="O151" s="26">
        <v>5040</v>
      </c>
      <c r="P151" s="26" t="s">
        <v>11429</v>
      </c>
      <c r="Q151" s="33">
        <v>29.53</v>
      </c>
      <c r="R151" s="42" t="s">
        <v>11276</v>
      </c>
      <c r="S151" s="26"/>
      <c r="T151" s="31" t="s">
        <v>8244</v>
      </c>
      <c r="U151" s="26"/>
    </row>
    <row r="152" s="22" customFormat="1" ht="30" spans="1:21">
      <c r="A152" s="43" t="s">
        <v>1689</v>
      </c>
      <c r="B152" s="44" t="s">
        <v>29</v>
      </c>
      <c r="C152" s="44" t="s">
        <v>33</v>
      </c>
      <c r="D152" s="44" t="s">
        <v>11386</v>
      </c>
      <c r="E152" s="44" t="s">
        <v>2719</v>
      </c>
      <c r="F152" s="44" t="s">
        <v>11282</v>
      </c>
      <c r="G152" s="44" t="s">
        <v>11268</v>
      </c>
      <c r="H152" s="45" t="s">
        <v>11432</v>
      </c>
      <c r="I152" s="44" t="s">
        <v>11287</v>
      </c>
      <c r="J152" s="44" t="s">
        <v>11296</v>
      </c>
      <c r="K152" s="44" t="s">
        <v>11339</v>
      </c>
      <c r="L152" s="44" t="s">
        <v>11278</v>
      </c>
      <c r="M152" s="44" t="s">
        <v>11433</v>
      </c>
      <c r="N152" s="44" t="s">
        <v>11434</v>
      </c>
      <c r="O152" s="44">
        <v>5250</v>
      </c>
      <c r="P152" s="44" t="s">
        <v>10772</v>
      </c>
      <c r="Q152" s="47">
        <v>18</v>
      </c>
      <c r="R152" s="48" t="s">
        <v>11276</v>
      </c>
      <c r="S152" s="44"/>
      <c r="T152" s="49" t="s">
        <v>8244</v>
      </c>
      <c r="U152" s="44"/>
    </row>
    <row r="153" s="22" customFormat="1" ht="30" spans="1:21">
      <c r="A153" s="43" t="s">
        <v>1689</v>
      </c>
      <c r="B153" s="44" t="s">
        <v>29</v>
      </c>
      <c r="C153" s="44" t="s">
        <v>33</v>
      </c>
      <c r="D153" s="44" t="s">
        <v>11386</v>
      </c>
      <c r="E153" s="44" t="s">
        <v>2719</v>
      </c>
      <c r="F153" s="44" t="s">
        <v>11282</v>
      </c>
      <c r="G153" s="44" t="s">
        <v>11176</v>
      </c>
      <c r="H153" s="45" t="s">
        <v>11435</v>
      </c>
      <c r="I153" s="44" t="s">
        <v>11287</v>
      </c>
      <c r="J153" s="44" t="s">
        <v>11296</v>
      </c>
      <c r="K153" s="44" t="s">
        <v>11339</v>
      </c>
      <c r="L153" s="44" t="s">
        <v>11278</v>
      </c>
      <c r="M153" s="44" t="s">
        <v>11433</v>
      </c>
      <c r="N153" s="44" t="s">
        <v>11434</v>
      </c>
      <c r="O153" s="44">
        <v>5250</v>
      </c>
      <c r="P153" s="44" t="s">
        <v>10772</v>
      </c>
      <c r="Q153" s="47">
        <v>18</v>
      </c>
      <c r="R153" s="48" t="s">
        <v>11276</v>
      </c>
      <c r="S153" s="44"/>
      <c r="T153" s="49" t="s">
        <v>8244</v>
      </c>
      <c r="U153" s="44"/>
    </row>
    <row r="154" s="21" customFormat="1" ht="30" spans="1:21">
      <c r="A154" s="28" t="s">
        <v>2750</v>
      </c>
      <c r="B154" s="26" t="str">
        <f>VLOOKUP(C154,[1]干线管道!B:C,2,FALSE)</f>
        <v>一级</v>
      </c>
      <c r="C154" s="26" t="str">
        <f>VLOOKUP(E154,[1]站场阀室!A:D,3,FALSE)</f>
        <v>西气东输二线</v>
      </c>
      <c r="D154" s="26" t="s">
        <v>11436</v>
      </c>
      <c r="E154" s="26" t="s">
        <v>208</v>
      </c>
      <c r="F154" s="26" t="s">
        <v>11317</v>
      </c>
      <c r="G154" s="26" t="s">
        <v>11268</v>
      </c>
      <c r="H154" s="27" t="s">
        <v>11437</v>
      </c>
      <c r="I154" s="26" t="s">
        <v>11287</v>
      </c>
      <c r="J154" s="26" t="s">
        <v>11296</v>
      </c>
      <c r="K154" s="26" t="s">
        <v>11339</v>
      </c>
      <c r="L154" s="26" t="s">
        <v>11278</v>
      </c>
      <c r="M154" s="26" t="s">
        <v>11438</v>
      </c>
      <c r="N154" s="26" t="s">
        <v>11274</v>
      </c>
      <c r="O154" s="26">
        <v>5040</v>
      </c>
      <c r="P154" s="26" t="s">
        <v>11439</v>
      </c>
      <c r="Q154" s="33">
        <v>18</v>
      </c>
      <c r="R154" s="48" t="s">
        <v>11276</v>
      </c>
      <c r="S154" s="26" t="s">
        <v>8247</v>
      </c>
      <c r="T154" s="31" t="s">
        <v>8244</v>
      </c>
      <c r="U154" s="26" t="s">
        <v>11440</v>
      </c>
    </row>
    <row r="155" s="21" customFormat="1" ht="30" spans="1:21">
      <c r="A155" s="28" t="s">
        <v>2750</v>
      </c>
      <c r="B155" s="26" t="str">
        <f>VLOOKUP(C155,[1]干线管道!B:C,2,FALSE)</f>
        <v>一级</v>
      </c>
      <c r="C155" s="26" t="str">
        <f>VLOOKUP(E155,[1]站场阀室!A:D,3,FALSE)</f>
        <v>西气东输二线</v>
      </c>
      <c r="D155" s="26" t="s">
        <v>11436</v>
      </c>
      <c r="E155" s="26" t="s">
        <v>208</v>
      </c>
      <c r="F155" s="26" t="s">
        <v>11317</v>
      </c>
      <c r="G155" s="26" t="s">
        <v>11176</v>
      </c>
      <c r="H155" s="27" t="s">
        <v>11441</v>
      </c>
      <c r="I155" s="26" t="s">
        <v>11287</v>
      </c>
      <c r="J155" s="26" t="s">
        <v>11296</v>
      </c>
      <c r="K155" s="26" t="s">
        <v>11339</v>
      </c>
      <c r="L155" s="26" t="s">
        <v>11278</v>
      </c>
      <c r="M155" s="26" t="s">
        <v>11438</v>
      </c>
      <c r="N155" s="26" t="s">
        <v>11274</v>
      </c>
      <c r="O155" s="26">
        <v>5040</v>
      </c>
      <c r="P155" s="26" t="s">
        <v>11439</v>
      </c>
      <c r="Q155" s="33">
        <v>18</v>
      </c>
      <c r="R155" s="48" t="s">
        <v>11276</v>
      </c>
      <c r="S155" s="26"/>
      <c r="T155" s="31" t="s">
        <v>8244</v>
      </c>
      <c r="U155" s="26" t="s">
        <v>11440</v>
      </c>
    </row>
    <row r="156" s="21" customFormat="1" spans="1:21">
      <c r="A156" s="28" t="s">
        <v>2939</v>
      </c>
      <c r="B156" s="26" t="str">
        <f>VLOOKUP(C156,[1]干线管道!B:C,2,FALSE)</f>
        <v>一级</v>
      </c>
      <c r="C156" s="26" t="str">
        <f>VLOOKUP(E156,[1]站场阀室!A:D,3,FALSE)</f>
        <v>樟湘支干线</v>
      </c>
      <c r="D156" s="26" t="str">
        <f>VLOOKUP(E156,[1]站场阀室!A:D,4,FALSE)</f>
        <v>樟湘支干线</v>
      </c>
      <c r="E156" s="26" t="s">
        <v>2938</v>
      </c>
      <c r="F156" s="26" t="s">
        <v>11317</v>
      </c>
      <c r="G156" s="26" t="s">
        <v>11268</v>
      </c>
      <c r="H156" s="27" t="s">
        <v>11442</v>
      </c>
      <c r="I156" s="26" t="s">
        <v>11287</v>
      </c>
      <c r="J156" s="26" t="s">
        <v>11296</v>
      </c>
      <c r="K156" s="26" t="s">
        <v>11443</v>
      </c>
      <c r="L156" s="26" t="s">
        <v>11444</v>
      </c>
      <c r="M156" s="26" t="s">
        <v>11445</v>
      </c>
      <c r="N156" s="26" t="s">
        <v>11446</v>
      </c>
      <c r="O156" s="26">
        <v>12230</v>
      </c>
      <c r="P156" s="26" t="s">
        <v>11350</v>
      </c>
      <c r="Q156" s="33">
        <v>6.6</v>
      </c>
      <c r="R156" s="42" t="s">
        <v>11276</v>
      </c>
      <c r="S156" s="26" t="s">
        <v>8247</v>
      </c>
      <c r="T156" s="31" t="s">
        <v>8244</v>
      </c>
      <c r="U156" s="26" t="s">
        <v>11440</v>
      </c>
    </row>
    <row r="157" s="21" customFormat="1" spans="1:21">
      <c r="A157" s="28" t="s">
        <v>2939</v>
      </c>
      <c r="B157" s="26" t="str">
        <f>VLOOKUP(C157,[1]干线管道!B:C,2,FALSE)</f>
        <v>一级</v>
      </c>
      <c r="C157" s="26" t="str">
        <f>VLOOKUP(E157,[1]站场阀室!A:D,3,FALSE)</f>
        <v>樟湘支干线</v>
      </c>
      <c r="D157" s="26" t="str">
        <f>VLOOKUP(E157,[1]站场阀室!A:D,4,FALSE)</f>
        <v>樟湘支干线</v>
      </c>
      <c r="E157" s="26" t="s">
        <v>2938</v>
      </c>
      <c r="F157" s="26" t="s">
        <v>11317</v>
      </c>
      <c r="G157" s="26" t="s">
        <v>11176</v>
      </c>
      <c r="H157" s="27" t="s">
        <v>11447</v>
      </c>
      <c r="I157" s="26" t="s">
        <v>11287</v>
      </c>
      <c r="J157" s="26" t="s">
        <v>11296</v>
      </c>
      <c r="K157" s="26" t="s">
        <v>11443</v>
      </c>
      <c r="L157" s="26" t="s">
        <v>11444</v>
      </c>
      <c r="M157" s="26" t="s">
        <v>11445</v>
      </c>
      <c r="N157" s="26" t="s">
        <v>11446</v>
      </c>
      <c r="O157" s="26">
        <v>12230</v>
      </c>
      <c r="P157" s="26" t="s">
        <v>11350</v>
      </c>
      <c r="Q157" s="33">
        <v>6.6</v>
      </c>
      <c r="R157" s="42" t="s">
        <v>11276</v>
      </c>
      <c r="S157" s="26"/>
      <c r="T157" s="31" t="s">
        <v>8244</v>
      </c>
      <c r="U157" s="26" t="s">
        <v>11440</v>
      </c>
    </row>
    <row r="158" s="21" customFormat="1" spans="1:21">
      <c r="A158" s="28" t="s">
        <v>2750</v>
      </c>
      <c r="B158" s="26" t="str">
        <f>VLOOKUP(C158,[1]干线管道!B:C,2,FALSE)</f>
        <v>一级</v>
      </c>
      <c r="C158" s="26" t="str">
        <f>VLOOKUP(E158,[1]站场阀室!A:D,3,FALSE)</f>
        <v>广深支干线</v>
      </c>
      <c r="D158" s="26" t="str">
        <f>VLOOKUP(E158,[1]站场阀室!A:D,4,FALSE)</f>
        <v>广深支干线</v>
      </c>
      <c r="E158" s="26" t="s">
        <v>295</v>
      </c>
      <c r="F158" s="26" t="s">
        <v>11324</v>
      </c>
      <c r="G158" s="26" t="s">
        <v>11268</v>
      </c>
      <c r="H158" s="27" t="s">
        <v>11448</v>
      </c>
      <c r="I158" s="26" t="s">
        <v>11269</v>
      </c>
      <c r="J158" s="26" t="s">
        <v>11270</v>
      </c>
      <c r="K158" s="26" t="s">
        <v>11449</v>
      </c>
      <c r="L158" s="32" t="s">
        <v>11450</v>
      </c>
      <c r="M158" s="26" t="s">
        <v>11451</v>
      </c>
      <c r="N158" s="26" t="s">
        <v>11452</v>
      </c>
      <c r="O158" s="26">
        <v>1200</v>
      </c>
      <c r="P158" s="30" t="s">
        <v>11453</v>
      </c>
      <c r="Q158" s="33">
        <v>3.6</v>
      </c>
      <c r="R158" s="48" t="s">
        <v>11276</v>
      </c>
      <c r="S158" s="26" t="s">
        <v>8247</v>
      </c>
      <c r="T158" s="31" t="s">
        <v>11302</v>
      </c>
      <c r="U158" s="26" t="s">
        <v>11454</v>
      </c>
    </row>
    <row r="159" s="21" customFormat="1" spans="1:21">
      <c r="A159" s="28" t="s">
        <v>2750</v>
      </c>
      <c r="B159" s="26" t="str">
        <f>VLOOKUP(C159,[1]干线管道!B:C,2,FALSE)</f>
        <v>一级</v>
      </c>
      <c r="C159" s="26" t="str">
        <f>VLOOKUP(E159,[1]站场阀室!A:D,3,FALSE)</f>
        <v>广深支干线</v>
      </c>
      <c r="D159" s="26" t="str">
        <f>VLOOKUP(E159,[1]站场阀室!A:D,4,FALSE)</f>
        <v>广深支干线</v>
      </c>
      <c r="E159" s="26" t="s">
        <v>295</v>
      </c>
      <c r="F159" s="26" t="s">
        <v>11324</v>
      </c>
      <c r="G159" s="26" t="s">
        <v>11176</v>
      </c>
      <c r="H159" s="27" t="s">
        <v>11448</v>
      </c>
      <c r="I159" s="26" t="s">
        <v>11269</v>
      </c>
      <c r="J159" s="26" t="s">
        <v>11270</v>
      </c>
      <c r="K159" s="26" t="s">
        <v>11449</v>
      </c>
      <c r="L159" s="32" t="s">
        <v>11450</v>
      </c>
      <c r="M159" s="26" t="s">
        <v>11451</v>
      </c>
      <c r="N159" s="26" t="s">
        <v>11452</v>
      </c>
      <c r="O159" s="26">
        <v>1200</v>
      </c>
      <c r="P159" s="30" t="s">
        <v>11453</v>
      </c>
      <c r="Q159" s="33">
        <v>3.6</v>
      </c>
      <c r="R159" s="48" t="s">
        <v>11276</v>
      </c>
      <c r="S159" s="26"/>
      <c r="T159" s="31" t="s">
        <v>11302</v>
      </c>
      <c r="U159" s="26"/>
    </row>
    <row r="160" s="21" customFormat="1" spans="1:21">
      <c r="A160" s="28" t="s">
        <v>2750</v>
      </c>
      <c r="B160" s="26" t="str">
        <f>VLOOKUP(C160,[1]干线管道!B:C,2,FALSE)</f>
        <v>一级</v>
      </c>
      <c r="C160" s="26" t="str">
        <f>VLOOKUP(E160,[1]站场阀室!A:D,3,FALSE)</f>
        <v>广深支干线</v>
      </c>
      <c r="D160" s="26" t="str">
        <f>VLOOKUP(E160,[1]站场阀室!A:D,4,FALSE)</f>
        <v>广深支干线</v>
      </c>
      <c r="E160" s="26" t="s">
        <v>295</v>
      </c>
      <c r="F160" s="26" t="s">
        <v>11324</v>
      </c>
      <c r="G160" s="26" t="s">
        <v>9245</v>
      </c>
      <c r="H160" s="27" t="s">
        <v>11448</v>
      </c>
      <c r="I160" s="26" t="s">
        <v>11269</v>
      </c>
      <c r="J160" s="26" t="s">
        <v>11270</v>
      </c>
      <c r="K160" s="26" t="s">
        <v>11449</v>
      </c>
      <c r="L160" s="32" t="s">
        <v>11450</v>
      </c>
      <c r="M160" s="26" t="s">
        <v>11451</v>
      </c>
      <c r="N160" s="26" t="s">
        <v>11452</v>
      </c>
      <c r="O160" s="26">
        <v>1200</v>
      </c>
      <c r="P160" s="30" t="s">
        <v>11453</v>
      </c>
      <c r="Q160" s="33">
        <v>3.6</v>
      </c>
      <c r="R160" s="48" t="s">
        <v>11276</v>
      </c>
      <c r="S160" s="26"/>
      <c r="T160" s="31" t="s">
        <v>11302</v>
      </c>
      <c r="U160" s="26"/>
    </row>
    <row r="161" s="21" customFormat="1" spans="1:21">
      <c r="A161" s="28" t="s">
        <v>2750</v>
      </c>
      <c r="B161" s="26" t="str">
        <f>VLOOKUP(C161,[1]干线管道!B:C,2,FALSE)</f>
        <v>一级</v>
      </c>
      <c r="C161" s="26" t="str">
        <f>VLOOKUP(E161,[1]站场阀室!A:D,3,FALSE)</f>
        <v>广深支干线</v>
      </c>
      <c r="D161" s="26" t="str">
        <f>VLOOKUP(E161,[1]站场阀室!A:D,4,FALSE)</f>
        <v>广深支干线</v>
      </c>
      <c r="E161" s="26" t="s">
        <v>295</v>
      </c>
      <c r="F161" s="26" t="s">
        <v>11324</v>
      </c>
      <c r="G161" s="26" t="s">
        <v>10755</v>
      </c>
      <c r="H161" s="27" t="s">
        <v>11448</v>
      </c>
      <c r="I161" s="26" t="s">
        <v>11269</v>
      </c>
      <c r="J161" s="26" t="s">
        <v>11270</v>
      </c>
      <c r="K161" s="26" t="s">
        <v>11449</v>
      </c>
      <c r="L161" s="32" t="s">
        <v>11450</v>
      </c>
      <c r="M161" s="26" t="s">
        <v>11451</v>
      </c>
      <c r="N161" s="26" t="s">
        <v>11452</v>
      </c>
      <c r="O161" s="26">
        <v>1200</v>
      </c>
      <c r="P161" s="30" t="s">
        <v>11453</v>
      </c>
      <c r="Q161" s="33">
        <v>3.6</v>
      </c>
      <c r="R161" s="48" t="s">
        <v>11276</v>
      </c>
      <c r="S161" s="26"/>
      <c r="T161" s="31" t="s">
        <v>11302</v>
      </c>
      <c r="U161" s="26"/>
    </row>
    <row r="162" s="21" customFormat="1" spans="1:21">
      <c r="A162" s="28" t="s">
        <v>3154</v>
      </c>
      <c r="B162" s="26" t="str">
        <f>VLOOKUP(C162,[1]干线管道!B:C,2,FALSE)</f>
        <v>一级</v>
      </c>
      <c r="C162" s="26" t="str">
        <f>VLOOKUP(E162,[1]站场阀室!A:D,3,FALSE)</f>
        <v>广南支干线</v>
      </c>
      <c r="D162" s="26" t="str">
        <f>VLOOKUP(E162,[1]站场阀室!A:D,4,FALSE)</f>
        <v>广南广西段</v>
      </c>
      <c r="E162" s="26" t="s">
        <v>272</v>
      </c>
      <c r="F162" s="26" t="s">
        <v>11282</v>
      </c>
      <c r="G162" s="30" t="s">
        <v>11268</v>
      </c>
      <c r="H162" s="39" t="s">
        <v>11455</v>
      </c>
      <c r="I162" s="26" t="s">
        <v>11269</v>
      </c>
      <c r="J162" s="26" t="s">
        <v>11296</v>
      </c>
      <c r="K162" s="32" t="s">
        <v>11339</v>
      </c>
      <c r="L162" s="32" t="s">
        <v>11309</v>
      </c>
      <c r="M162" s="46" t="s">
        <v>11456</v>
      </c>
      <c r="N162" s="29" t="s">
        <v>11457</v>
      </c>
      <c r="O162" s="26">
        <v>5250</v>
      </c>
      <c r="P162" s="26" t="s">
        <v>11281</v>
      </c>
      <c r="Q162" s="37">
        <v>30</v>
      </c>
      <c r="R162" s="48" t="s">
        <v>11276</v>
      </c>
      <c r="S162" s="34" t="s">
        <v>8247</v>
      </c>
      <c r="T162" s="31" t="s">
        <v>8218</v>
      </c>
      <c r="U162" s="26"/>
    </row>
    <row r="163" s="21" customFormat="1" spans="1:21">
      <c r="A163" s="28" t="s">
        <v>3154</v>
      </c>
      <c r="B163" s="26" t="str">
        <f>VLOOKUP(C163,[1]干线管道!B:C,2,FALSE)</f>
        <v>一级</v>
      </c>
      <c r="C163" s="26" t="str">
        <f>VLOOKUP(E163,[1]站场阀室!A:D,3,FALSE)</f>
        <v>广南支干线</v>
      </c>
      <c r="D163" s="26" t="str">
        <f>VLOOKUP(E163,[1]站场阀室!A:D,4,FALSE)</f>
        <v>广南广西段</v>
      </c>
      <c r="E163" s="26" t="s">
        <v>272</v>
      </c>
      <c r="F163" s="26" t="s">
        <v>11282</v>
      </c>
      <c r="G163" s="30" t="s">
        <v>11176</v>
      </c>
      <c r="H163" s="39" t="s">
        <v>11458</v>
      </c>
      <c r="I163" s="26" t="s">
        <v>11269</v>
      </c>
      <c r="J163" s="26" t="s">
        <v>11296</v>
      </c>
      <c r="K163" s="32" t="s">
        <v>11339</v>
      </c>
      <c r="L163" s="32" t="s">
        <v>11309</v>
      </c>
      <c r="M163" s="46" t="s">
        <v>11456</v>
      </c>
      <c r="N163" s="29" t="s">
        <v>11457</v>
      </c>
      <c r="O163" s="26">
        <v>5250</v>
      </c>
      <c r="P163" s="26" t="s">
        <v>11281</v>
      </c>
      <c r="Q163" s="37">
        <v>30</v>
      </c>
      <c r="R163" s="48" t="s">
        <v>11276</v>
      </c>
      <c r="S163" s="50"/>
      <c r="T163" s="31" t="s">
        <v>11459</v>
      </c>
      <c r="U163" s="26"/>
    </row>
    <row r="164" s="21" customFormat="1" spans="1:21">
      <c r="A164" s="28" t="s">
        <v>1291</v>
      </c>
      <c r="B164" s="26" t="str">
        <f>VLOOKUP(C164,[1]干线管道!B:C,2,FALSE)</f>
        <v>一级</v>
      </c>
      <c r="C164" s="26" t="s">
        <v>34</v>
      </c>
      <c r="D164" s="26" t="s">
        <v>34</v>
      </c>
      <c r="E164" s="26" t="s">
        <v>110</v>
      </c>
      <c r="F164" s="26" t="s">
        <v>11282</v>
      </c>
      <c r="G164" s="26" t="s">
        <v>11268</v>
      </c>
      <c r="H164" s="27" t="s">
        <v>11460</v>
      </c>
      <c r="I164" s="26" t="s">
        <v>11269</v>
      </c>
      <c r="J164" s="26" t="s">
        <v>11270</v>
      </c>
      <c r="K164" s="26" t="s">
        <v>11277</v>
      </c>
      <c r="L164" s="26" t="s">
        <v>11352</v>
      </c>
      <c r="M164" s="26" t="s">
        <v>11461</v>
      </c>
      <c r="N164" s="26" t="s">
        <v>11280</v>
      </c>
      <c r="O164" s="26">
        <v>6405</v>
      </c>
      <c r="P164" s="26" t="s">
        <v>11275</v>
      </c>
      <c r="Q164" s="33">
        <v>31.372</v>
      </c>
      <c r="R164" s="35" t="s">
        <v>11276</v>
      </c>
      <c r="S164" s="26" t="s">
        <v>8247</v>
      </c>
      <c r="T164" s="31" t="s">
        <v>8244</v>
      </c>
      <c r="U164" s="26"/>
    </row>
    <row r="165" s="21" customFormat="1" spans="1:21">
      <c r="A165" s="28" t="s">
        <v>1291</v>
      </c>
      <c r="B165" s="26" t="str">
        <f>VLOOKUP(C165,[1]干线管道!B:C,2,FALSE)</f>
        <v>一级</v>
      </c>
      <c r="C165" s="26" t="s">
        <v>34</v>
      </c>
      <c r="D165" s="26" t="s">
        <v>34</v>
      </c>
      <c r="E165" s="26" t="s">
        <v>110</v>
      </c>
      <c r="F165" s="26" t="s">
        <v>11282</v>
      </c>
      <c r="G165" s="26" t="s">
        <v>11176</v>
      </c>
      <c r="H165" s="27" t="s">
        <v>11462</v>
      </c>
      <c r="I165" s="26" t="s">
        <v>11269</v>
      </c>
      <c r="J165" s="26" t="s">
        <v>11270</v>
      </c>
      <c r="K165" s="26" t="s">
        <v>11271</v>
      </c>
      <c r="L165" s="26" t="s">
        <v>11272</v>
      </c>
      <c r="M165" s="26" t="s">
        <v>11273</v>
      </c>
      <c r="N165" s="26" t="s">
        <v>11274</v>
      </c>
      <c r="O165" s="26">
        <v>5040</v>
      </c>
      <c r="P165" s="26" t="s">
        <v>11275</v>
      </c>
      <c r="Q165" s="33">
        <v>29.53</v>
      </c>
      <c r="R165" s="35" t="s">
        <v>11276</v>
      </c>
      <c r="S165" s="26"/>
      <c r="T165" s="31" t="s">
        <v>8244</v>
      </c>
      <c r="U165" s="26"/>
    </row>
    <row r="166" s="21" customFormat="1" spans="1:21">
      <c r="A166" s="28" t="s">
        <v>1291</v>
      </c>
      <c r="B166" s="26" t="str">
        <f>VLOOKUP(C166,[1]干线管道!B:C,2,FALSE)</f>
        <v>一级</v>
      </c>
      <c r="C166" s="26" t="s">
        <v>34</v>
      </c>
      <c r="D166" s="26" t="s">
        <v>34</v>
      </c>
      <c r="E166" s="26" t="s">
        <v>1313</v>
      </c>
      <c r="F166" s="26" t="s">
        <v>11282</v>
      </c>
      <c r="G166" s="26" t="s">
        <v>11268</v>
      </c>
      <c r="H166" s="27" t="s">
        <v>11463</v>
      </c>
      <c r="I166" s="26" t="s">
        <v>11287</v>
      </c>
      <c r="J166" s="26" t="s">
        <v>11296</v>
      </c>
      <c r="K166" s="26" t="s">
        <v>11339</v>
      </c>
      <c r="L166" s="26" t="s">
        <v>11278</v>
      </c>
      <c r="M166" s="32" t="s">
        <v>11464</v>
      </c>
      <c r="N166" s="26" t="s">
        <v>11349</v>
      </c>
      <c r="O166" s="26">
        <v>5460</v>
      </c>
      <c r="P166" s="26" t="s">
        <v>11281</v>
      </c>
      <c r="Q166" s="26">
        <v>18</v>
      </c>
      <c r="R166" s="35" t="s">
        <v>11276</v>
      </c>
      <c r="S166" s="26" t="s">
        <v>8247</v>
      </c>
      <c r="T166" s="31" t="s">
        <v>8244</v>
      </c>
      <c r="U166" s="26"/>
    </row>
    <row r="167" s="21" customFormat="1" spans="1:21">
      <c r="A167" s="28" t="s">
        <v>1291</v>
      </c>
      <c r="B167" s="26" t="str">
        <f>VLOOKUP(C167,[1]干线管道!B:C,2,FALSE)</f>
        <v>一级</v>
      </c>
      <c r="C167" s="26" t="s">
        <v>34</v>
      </c>
      <c r="D167" s="26" t="s">
        <v>34</v>
      </c>
      <c r="E167" s="26" t="s">
        <v>1313</v>
      </c>
      <c r="F167" s="26" t="s">
        <v>11282</v>
      </c>
      <c r="G167" s="26" t="s">
        <v>11176</v>
      </c>
      <c r="H167" s="27" t="s">
        <v>11465</v>
      </c>
      <c r="I167" s="26" t="s">
        <v>11287</v>
      </c>
      <c r="J167" s="26" t="s">
        <v>11296</v>
      </c>
      <c r="K167" s="26" t="s">
        <v>11339</v>
      </c>
      <c r="L167" s="26" t="s">
        <v>11278</v>
      </c>
      <c r="M167" s="32" t="s">
        <v>11464</v>
      </c>
      <c r="N167" s="26" t="s">
        <v>11349</v>
      </c>
      <c r="O167" s="26">
        <v>5460</v>
      </c>
      <c r="P167" s="26" t="s">
        <v>11281</v>
      </c>
      <c r="Q167" s="26">
        <v>18</v>
      </c>
      <c r="R167" s="35" t="s">
        <v>11276</v>
      </c>
      <c r="S167" s="26"/>
      <c r="T167" s="31" t="s">
        <v>8244</v>
      </c>
      <c r="U167" s="26"/>
    </row>
    <row r="168" s="21" customFormat="1" spans="1:21">
      <c r="A168" s="28" t="s">
        <v>1291</v>
      </c>
      <c r="B168" s="26" t="str">
        <f>VLOOKUP(C168,[1]干线管道!B:C,2,FALSE)</f>
        <v>一级</v>
      </c>
      <c r="C168" s="26" t="str">
        <f>VLOOKUP(E168,[1]站场阀室!A:D,3,FALSE)</f>
        <v>轮吐支干线</v>
      </c>
      <c r="D168" s="26" t="str">
        <f>VLOOKUP(E168,[1]站场阀室!A:D,4,FALSE)</f>
        <v>轮吐支干线</v>
      </c>
      <c r="E168" s="26" t="s">
        <v>1335</v>
      </c>
      <c r="F168" s="26" t="s">
        <v>11267</v>
      </c>
      <c r="G168" s="26" t="s">
        <v>11268</v>
      </c>
      <c r="H168" s="27" t="s">
        <v>11466</v>
      </c>
      <c r="I168" s="26" t="s">
        <v>11269</v>
      </c>
      <c r="J168" s="26" t="s">
        <v>11270</v>
      </c>
      <c r="K168" s="26" t="s">
        <v>11277</v>
      </c>
      <c r="L168" s="26" t="s">
        <v>11352</v>
      </c>
      <c r="M168" s="26" t="s">
        <v>11461</v>
      </c>
      <c r="N168" s="26" t="s">
        <v>11280</v>
      </c>
      <c r="O168" s="26">
        <v>6405</v>
      </c>
      <c r="P168" s="26" t="s">
        <v>11350</v>
      </c>
      <c r="Q168" s="33">
        <v>31.4</v>
      </c>
      <c r="R168" s="35" t="s">
        <v>11276</v>
      </c>
      <c r="S168" s="26" t="s">
        <v>8247</v>
      </c>
      <c r="T168" s="31" t="s">
        <v>8244</v>
      </c>
      <c r="U168" s="26"/>
    </row>
    <row r="169" s="21" customFormat="1" spans="1:21">
      <c r="A169" s="28" t="s">
        <v>1291</v>
      </c>
      <c r="B169" s="26" t="str">
        <f>VLOOKUP(C169,[1]干线管道!B:C,2,FALSE)</f>
        <v>一级</v>
      </c>
      <c r="C169" s="26" t="str">
        <f>VLOOKUP(E169,[1]站场阀室!A:D,3,FALSE)</f>
        <v>轮吐支干线</v>
      </c>
      <c r="D169" s="26" t="str">
        <f>VLOOKUP(E169,[1]站场阀室!A:D,4,FALSE)</f>
        <v>轮吐支干线</v>
      </c>
      <c r="E169" s="26" t="s">
        <v>1335</v>
      </c>
      <c r="F169" s="26" t="s">
        <v>11267</v>
      </c>
      <c r="G169" s="26" t="s">
        <v>11176</v>
      </c>
      <c r="H169" s="27" t="s">
        <v>11379</v>
      </c>
      <c r="I169" s="26" t="s">
        <v>11269</v>
      </c>
      <c r="J169" s="26" t="s">
        <v>11270</v>
      </c>
      <c r="K169" s="26" t="s">
        <v>11277</v>
      </c>
      <c r="L169" s="26" t="s">
        <v>11352</v>
      </c>
      <c r="M169" s="26" t="s">
        <v>11461</v>
      </c>
      <c r="N169" s="26" t="s">
        <v>11280</v>
      </c>
      <c r="O169" s="26">
        <v>6405</v>
      </c>
      <c r="P169" s="26" t="s">
        <v>11350</v>
      </c>
      <c r="Q169" s="33">
        <v>31.4</v>
      </c>
      <c r="R169" s="35" t="s">
        <v>11276</v>
      </c>
      <c r="S169" s="26"/>
      <c r="T169" s="31" t="s">
        <v>8244</v>
      </c>
      <c r="U169" s="26"/>
    </row>
    <row r="170" s="21" customFormat="1" spans="1:21">
      <c r="A170" s="28" t="s">
        <v>1291</v>
      </c>
      <c r="B170" s="26" t="str">
        <f>VLOOKUP(C170,[1]干线管道!B:C,2,FALSE)</f>
        <v>一级</v>
      </c>
      <c r="C170" s="26" t="str">
        <f>VLOOKUP(E170,[1]站场阀室!A:D,3,FALSE)</f>
        <v>轮吐支干线</v>
      </c>
      <c r="D170" s="26" t="str">
        <f>VLOOKUP(E170,[1]站场阀室!A:D,4,FALSE)</f>
        <v>轮吐支干线</v>
      </c>
      <c r="E170" s="26" t="s">
        <v>1335</v>
      </c>
      <c r="F170" s="26" t="s">
        <v>11267</v>
      </c>
      <c r="G170" s="26" t="s">
        <v>9245</v>
      </c>
      <c r="H170" s="27" t="s">
        <v>11467</v>
      </c>
      <c r="I170" s="26" t="s">
        <v>11269</v>
      </c>
      <c r="J170" s="26" t="s">
        <v>11270</v>
      </c>
      <c r="K170" s="26" t="s">
        <v>11271</v>
      </c>
      <c r="L170" s="26" t="s">
        <v>11272</v>
      </c>
      <c r="M170" s="26" t="s">
        <v>11273</v>
      </c>
      <c r="N170" s="26" t="s">
        <v>11274</v>
      </c>
      <c r="O170" s="26">
        <v>5040</v>
      </c>
      <c r="P170" s="26" t="s">
        <v>11350</v>
      </c>
      <c r="Q170" s="33">
        <v>31.4</v>
      </c>
      <c r="R170" s="35" t="s">
        <v>11276</v>
      </c>
      <c r="S170" s="26"/>
      <c r="T170" s="31" t="s">
        <v>8244</v>
      </c>
      <c r="U170" s="26"/>
    </row>
    <row r="171" s="21" customFormat="1" ht="30" spans="1:21">
      <c r="A171" s="28" t="s">
        <v>1291</v>
      </c>
      <c r="B171" s="26" t="str">
        <f>VLOOKUP(C171,[1]干线管道!B:C,2,FALSE)</f>
        <v>一级</v>
      </c>
      <c r="C171" s="26" t="str">
        <f>VLOOKUP(E171,[1]站场阀室!A:D,3,FALSE)</f>
        <v>西气东输二线</v>
      </c>
      <c r="D171" s="26" t="str">
        <f>VLOOKUP(E171,[1]站场阀室!A:D,4,FALSE)</f>
        <v>西二线干线新疆段</v>
      </c>
      <c r="E171" s="26" t="s">
        <v>243</v>
      </c>
      <c r="F171" s="26" t="s">
        <v>11267</v>
      </c>
      <c r="G171" s="26" t="s">
        <v>11268</v>
      </c>
      <c r="H171" s="27" t="s">
        <v>11468</v>
      </c>
      <c r="I171" s="26" t="s">
        <v>11287</v>
      </c>
      <c r="J171" s="26" t="s">
        <v>11296</v>
      </c>
      <c r="K171" s="26" t="s">
        <v>11339</v>
      </c>
      <c r="L171" s="26" t="s">
        <v>11309</v>
      </c>
      <c r="M171" s="32" t="s">
        <v>11469</v>
      </c>
      <c r="N171" s="26" t="s">
        <v>11470</v>
      </c>
      <c r="O171" s="26">
        <v>5460</v>
      </c>
      <c r="P171" s="26" t="s">
        <v>11471</v>
      </c>
      <c r="Q171" s="33">
        <v>13</v>
      </c>
      <c r="R171" s="35" t="s">
        <v>11276</v>
      </c>
      <c r="S171" s="26" t="s">
        <v>8247</v>
      </c>
      <c r="T171" s="31" t="s">
        <v>8244</v>
      </c>
      <c r="U171" s="26"/>
    </row>
    <row r="172" s="21" customFormat="1" ht="30" spans="1:21">
      <c r="A172" s="28" t="s">
        <v>1291</v>
      </c>
      <c r="B172" s="26" t="str">
        <f>VLOOKUP(C172,[1]干线管道!B:C,2,FALSE)</f>
        <v>一级</v>
      </c>
      <c r="C172" s="26" t="str">
        <f>VLOOKUP(E172,[1]站场阀室!A:D,3,FALSE)</f>
        <v>西气东输二线</v>
      </c>
      <c r="D172" s="26" t="str">
        <f>VLOOKUP(E172,[1]站场阀室!A:D,4,FALSE)</f>
        <v>西二线干线新疆段</v>
      </c>
      <c r="E172" s="26" t="s">
        <v>243</v>
      </c>
      <c r="F172" s="26" t="s">
        <v>11267</v>
      </c>
      <c r="G172" s="26" t="s">
        <v>11176</v>
      </c>
      <c r="H172" s="27" t="s">
        <v>11465</v>
      </c>
      <c r="I172" s="26" t="s">
        <v>11287</v>
      </c>
      <c r="J172" s="26" t="s">
        <v>11296</v>
      </c>
      <c r="K172" s="26" t="s">
        <v>11339</v>
      </c>
      <c r="L172" s="26" t="s">
        <v>11309</v>
      </c>
      <c r="M172" s="32" t="s">
        <v>11469</v>
      </c>
      <c r="N172" s="26" t="s">
        <v>11470</v>
      </c>
      <c r="O172" s="26">
        <v>5460</v>
      </c>
      <c r="P172" s="26" t="s">
        <v>11471</v>
      </c>
      <c r="Q172" s="33">
        <v>13</v>
      </c>
      <c r="R172" s="35" t="s">
        <v>11276</v>
      </c>
      <c r="S172" s="26"/>
      <c r="T172" s="31" t="s">
        <v>8244</v>
      </c>
      <c r="U172" s="26"/>
    </row>
    <row r="173" s="21" customFormat="1" ht="30" spans="1:21">
      <c r="A173" s="28" t="s">
        <v>1291</v>
      </c>
      <c r="B173" s="26" t="str">
        <f>VLOOKUP(C173,[1]干线管道!B:C,2,FALSE)</f>
        <v>一级</v>
      </c>
      <c r="C173" s="26" t="str">
        <f>VLOOKUP(E173,[1]站场阀室!A:D,3,FALSE)</f>
        <v>西气东输二线</v>
      </c>
      <c r="D173" s="26" t="str">
        <f>VLOOKUP(E173,[1]站场阀室!A:D,4,FALSE)</f>
        <v>西二线干线新疆段</v>
      </c>
      <c r="E173" s="26" t="s">
        <v>243</v>
      </c>
      <c r="F173" s="26" t="s">
        <v>11267</v>
      </c>
      <c r="G173" s="26" t="s">
        <v>9245</v>
      </c>
      <c r="H173" s="27" t="s">
        <v>11465</v>
      </c>
      <c r="I173" s="26" t="s">
        <v>11287</v>
      </c>
      <c r="J173" s="26" t="s">
        <v>11296</v>
      </c>
      <c r="K173" s="26" t="s">
        <v>11339</v>
      </c>
      <c r="L173" s="26" t="s">
        <v>11309</v>
      </c>
      <c r="M173" s="32" t="s">
        <v>11469</v>
      </c>
      <c r="N173" s="26" t="s">
        <v>11470</v>
      </c>
      <c r="O173" s="26">
        <v>5460</v>
      </c>
      <c r="P173" s="26" t="s">
        <v>11471</v>
      </c>
      <c r="Q173" s="33">
        <v>13</v>
      </c>
      <c r="R173" s="35" t="s">
        <v>11276</v>
      </c>
      <c r="S173" s="26"/>
      <c r="T173" s="31" t="s">
        <v>8244</v>
      </c>
      <c r="U173" s="26"/>
    </row>
    <row r="174" s="21" customFormat="1" spans="1:21">
      <c r="A174" s="28" t="s">
        <v>1689</v>
      </c>
      <c r="B174" s="26" t="str">
        <f>VLOOKUP(C174,[1]干线管道!B:C,2,FALSE)</f>
        <v>一级</v>
      </c>
      <c r="C174" s="26" t="str">
        <f>VLOOKUP(E174,[1]站场阀室!A:D,3,FALSE)</f>
        <v>上海支干线</v>
      </c>
      <c r="D174" s="26" t="str">
        <f>VLOOKUP(E174,[1]站场阀室!A:D,4,FALSE)</f>
        <v>上海支干线</v>
      </c>
      <c r="E174" s="26" t="s">
        <v>2966</v>
      </c>
      <c r="F174" s="26" t="s">
        <v>11282</v>
      </c>
      <c r="G174" s="26" t="s">
        <v>11268</v>
      </c>
      <c r="H174" s="27" t="s">
        <v>11472</v>
      </c>
      <c r="I174" s="26" t="s">
        <v>11287</v>
      </c>
      <c r="J174" s="26" t="s">
        <v>11296</v>
      </c>
      <c r="K174" s="26" t="s">
        <v>11339</v>
      </c>
      <c r="L174" s="26" t="s">
        <v>11309</v>
      </c>
      <c r="M174" s="26" t="s">
        <v>11473</v>
      </c>
      <c r="N174" s="26" t="s">
        <v>11274</v>
      </c>
      <c r="O174" s="26">
        <v>5040</v>
      </c>
      <c r="P174" s="26" t="s">
        <v>11345</v>
      </c>
      <c r="Q174" s="33">
        <v>12</v>
      </c>
      <c r="R174" s="42" t="s">
        <v>11276</v>
      </c>
      <c r="S174" s="26" t="s">
        <v>8247</v>
      </c>
      <c r="T174" s="31" t="s">
        <v>8244</v>
      </c>
      <c r="U174" s="26"/>
    </row>
    <row r="175" s="21" customFormat="1" spans="1:21">
      <c r="A175" s="28" t="s">
        <v>1689</v>
      </c>
      <c r="B175" s="26" t="str">
        <f>VLOOKUP(C175,[1]干线管道!B:C,2,FALSE)</f>
        <v>一级</v>
      </c>
      <c r="C175" s="26" t="str">
        <f>VLOOKUP(E175,[1]站场阀室!A:D,3,FALSE)</f>
        <v>上海支干线</v>
      </c>
      <c r="D175" s="26" t="str">
        <f>VLOOKUP(E175,[1]站场阀室!A:D,4,FALSE)</f>
        <v>上海支干线</v>
      </c>
      <c r="E175" s="26" t="s">
        <v>2966</v>
      </c>
      <c r="F175" s="26" t="s">
        <v>11282</v>
      </c>
      <c r="G175" s="26" t="s">
        <v>11176</v>
      </c>
      <c r="H175" s="27" t="s">
        <v>11474</v>
      </c>
      <c r="I175" s="26" t="s">
        <v>11287</v>
      </c>
      <c r="J175" s="26" t="s">
        <v>11296</v>
      </c>
      <c r="K175" s="26" t="s">
        <v>11339</v>
      </c>
      <c r="L175" s="26" t="s">
        <v>11309</v>
      </c>
      <c r="M175" s="26" t="s">
        <v>11473</v>
      </c>
      <c r="N175" s="26" t="s">
        <v>11274</v>
      </c>
      <c r="O175" s="26">
        <v>5040</v>
      </c>
      <c r="P175" s="26" t="s">
        <v>11345</v>
      </c>
      <c r="Q175" s="33">
        <v>12</v>
      </c>
      <c r="R175" s="42" t="s">
        <v>11276</v>
      </c>
      <c r="S175" s="26"/>
      <c r="T175" s="31" t="s">
        <v>8244</v>
      </c>
      <c r="U175" s="26"/>
    </row>
    <row r="176" s="21" customFormat="1" spans="1:21">
      <c r="A176" s="28" t="s">
        <v>11475</v>
      </c>
      <c r="B176" s="26" t="str">
        <f>VLOOKUP(C176,[1]干线管道!B:C,2,FALSE)</f>
        <v>一级</v>
      </c>
      <c r="C176" s="26" t="str">
        <f>VLOOKUP(E176,[1]站场阀室!A:D,3,FALSE)</f>
        <v>上海支干线</v>
      </c>
      <c r="D176" s="26" t="str">
        <f>VLOOKUP(E176,[1]站场阀室!A:D,4,FALSE)</f>
        <v>上海支干线</v>
      </c>
      <c r="E176" s="26" t="s">
        <v>2996</v>
      </c>
      <c r="F176" s="26" t="s">
        <v>11282</v>
      </c>
      <c r="G176" s="26" t="s">
        <v>11268</v>
      </c>
      <c r="H176" s="26" t="s">
        <v>11476</v>
      </c>
      <c r="I176" s="26" t="s">
        <v>11269</v>
      </c>
      <c r="J176" s="26" t="s">
        <v>11296</v>
      </c>
      <c r="K176" s="26" t="s">
        <v>11339</v>
      </c>
      <c r="L176" s="26" t="s">
        <v>11309</v>
      </c>
      <c r="M176" s="26" t="s">
        <v>11456</v>
      </c>
      <c r="N176" s="26" t="s">
        <v>11477</v>
      </c>
      <c r="O176" s="26">
        <v>5250</v>
      </c>
      <c r="P176" s="26" t="s">
        <v>11478</v>
      </c>
      <c r="Q176" s="33">
        <v>26.7</v>
      </c>
      <c r="R176" s="42" t="s">
        <v>11276</v>
      </c>
      <c r="S176" s="26" t="s">
        <v>8247</v>
      </c>
      <c r="T176" s="31" t="s">
        <v>8244</v>
      </c>
      <c r="U176" s="26"/>
    </row>
    <row r="177" s="21" customFormat="1" spans="1:21">
      <c r="A177" s="28" t="s">
        <v>11475</v>
      </c>
      <c r="B177" s="26" t="str">
        <f>VLOOKUP(C177,[1]干线管道!B:C,2,FALSE)</f>
        <v>一级</v>
      </c>
      <c r="C177" s="26" t="str">
        <f>VLOOKUP(E177,[1]站场阀室!A:D,3,FALSE)</f>
        <v>上海支干线</v>
      </c>
      <c r="D177" s="26" t="str">
        <f>VLOOKUP(E177,[1]站场阀室!A:D,4,FALSE)</f>
        <v>上海支干线</v>
      </c>
      <c r="E177" s="26" t="s">
        <v>2996</v>
      </c>
      <c r="F177" s="26" t="s">
        <v>11282</v>
      </c>
      <c r="G177" s="26" t="s">
        <v>11176</v>
      </c>
      <c r="H177" s="26" t="s">
        <v>11479</v>
      </c>
      <c r="I177" s="26" t="s">
        <v>11269</v>
      </c>
      <c r="J177" s="26" t="s">
        <v>11296</v>
      </c>
      <c r="K177" s="26" t="s">
        <v>11339</v>
      </c>
      <c r="L177" s="26" t="s">
        <v>11309</v>
      </c>
      <c r="M177" s="26" t="s">
        <v>11456</v>
      </c>
      <c r="N177" s="26" t="s">
        <v>11477</v>
      </c>
      <c r="O177" s="26">
        <v>5250</v>
      </c>
      <c r="P177" s="26" t="s">
        <v>11478</v>
      </c>
      <c r="Q177" s="33">
        <v>26.7</v>
      </c>
      <c r="R177" s="42" t="s">
        <v>11276</v>
      </c>
      <c r="S177" s="26"/>
      <c r="T177" s="31" t="s">
        <v>8244</v>
      </c>
      <c r="U177" s="26"/>
    </row>
    <row r="178" s="21" customFormat="1" spans="1:21">
      <c r="A178" s="28" t="s">
        <v>1291</v>
      </c>
      <c r="B178" s="26" t="str">
        <f>VLOOKUP(C178,[1]干线管道!B:C,2,FALSE)</f>
        <v>一级</v>
      </c>
      <c r="C178" s="26" t="s">
        <v>43</v>
      </c>
      <c r="D178" s="26" t="s">
        <v>302</v>
      </c>
      <c r="E178" s="26" t="s">
        <v>201</v>
      </c>
      <c r="F178" s="26" t="s">
        <v>11324</v>
      </c>
      <c r="G178" s="26" t="s">
        <v>11268</v>
      </c>
      <c r="H178" s="27" t="s">
        <v>11480</v>
      </c>
      <c r="I178" s="26" t="s">
        <v>11269</v>
      </c>
      <c r="J178" s="26" t="s">
        <v>11270</v>
      </c>
      <c r="K178" s="26" t="s">
        <v>11277</v>
      </c>
      <c r="L178" s="26" t="s">
        <v>11481</v>
      </c>
      <c r="M178" s="26" t="s">
        <v>11279</v>
      </c>
      <c r="N178" s="26" t="s">
        <v>11280</v>
      </c>
      <c r="O178" s="26">
        <v>6405</v>
      </c>
      <c r="P178" s="26" t="s">
        <v>11482</v>
      </c>
      <c r="Q178" s="33">
        <v>31.372</v>
      </c>
      <c r="R178" s="35" t="s">
        <v>11276</v>
      </c>
      <c r="S178" s="26" t="s">
        <v>11291</v>
      </c>
      <c r="T178" s="31" t="s">
        <v>8244</v>
      </c>
      <c r="U178" s="26" t="s">
        <v>11483</v>
      </c>
    </row>
    <row r="179" s="21" customFormat="1" spans="1:21">
      <c r="A179" s="28" t="s">
        <v>1291</v>
      </c>
      <c r="B179" s="26" t="str">
        <f>VLOOKUP(C179,[1]干线管道!B:C,2,FALSE)</f>
        <v>一级</v>
      </c>
      <c r="C179" s="26" t="s">
        <v>43</v>
      </c>
      <c r="D179" s="26" t="s">
        <v>302</v>
      </c>
      <c r="E179" s="26" t="s">
        <v>201</v>
      </c>
      <c r="F179" s="26" t="s">
        <v>11324</v>
      </c>
      <c r="G179" s="26" t="s">
        <v>11176</v>
      </c>
      <c r="H179" s="27" t="s">
        <v>11484</v>
      </c>
      <c r="I179" s="26" t="s">
        <v>11269</v>
      </c>
      <c r="J179" s="26" t="s">
        <v>11270</v>
      </c>
      <c r="K179" s="26" t="s">
        <v>11277</v>
      </c>
      <c r="L179" s="26" t="s">
        <v>11481</v>
      </c>
      <c r="M179" s="26" t="s">
        <v>11279</v>
      </c>
      <c r="N179" s="26" t="s">
        <v>11280</v>
      </c>
      <c r="O179" s="26">
        <v>6405</v>
      </c>
      <c r="P179" s="26" t="s">
        <v>11482</v>
      </c>
      <c r="Q179" s="33">
        <v>31.372</v>
      </c>
      <c r="R179" s="35" t="s">
        <v>11276</v>
      </c>
      <c r="S179" s="26"/>
      <c r="T179" s="31" t="s">
        <v>8244</v>
      </c>
      <c r="U179" s="26"/>
    </row>
    <row r="180" s="21" customFormat="1" spans="1:21">
      <c r="A180" s="28" t="s">
        <v>1291</v>
      </c>
      <c r="B180" s="26" t="str">
        <f>VLOOKUP(C180,[1]干线管道!B:C,2,FALSE)</f>
        <v>一级</v>
      </c>
      <c r="C180" s="26" t="s">
        <v>43</v>
      </c>
      <c r="D180" s="26" t="s">
        <v>302</v>
      </c>
      <c r="E180" s="26" t="s">
        <v>201</v>
      </c>
      <c r="F180" s="26" t="s">
        <v>11324</v>
      </c>
      <c r="G180" s="26" t="s">
        <v>9245</v>
      </c>
      <c r="H180" s="27" t="s">
        <v>11485</v>
      </c>
      <c r="I180" s="26" t="s">
        <v>11269</v>
      </c>
      <c r="J180" s="26" t="s">
        <v>11270</v>
      </c>
      <c r="K180" s="26" t="s">
        <v>11277</v>
      </c>
      <c r="L180" s="26" t="s">
        <v>11481</v>
      </c>
      <c r="M180" s="26" t="s">
        <v>11279</v>
      </c>
      <c r="N180" s="26" t="s">
        <v>11280</v>
      </c>
      <c r="O180" s="26">
        <v>6405</v>
      </c>
      <c r="P180" s="26" t="s">
        <v>11482</v>
      </c>
      <c r="Q180" s="33">
        <v>31.372</v>
      </c>
      <c r="R180" s="35" t="s">
        <v>11276</v>
      </c>
      <c r="S180" s="26"/>
      <c r="T180" s="31" t="s">
        <v>8244</v>
      </c>
      <c r="U180" s="26"/>
    </row>
    <row r="181" s="21" customFormat="1" spans="1:21">
      <c r="A181" s="28" t="s">
        <v>1291</v>
      </c>
      <c r="B181" s="26" t="str">
        <f>VLOOKUP(C181,[1]干线管道!B:C,2,FALSE)</f>
        <v>一级</v>
      </c>
      <c r="C181" s="26" t="s">
        <v>43</v>
      </c>
      <c r="D181" s="26" t="s">
        <v>302</v>
      </c>
      <c r="E181" s="26" t="s">
        <v>201</v>
      </c>
      <c r="F181" s="26" t="s">
        <v>11324</v>
      </c>
      <c r="G181" s="26" t="s">
        <v>10755</v>
      </c>
      <c r="H181" s="27" t="s">
        <v>11486</v>
      </c>
      <c r="I181" s="26" t="s">
        <v>11269</v>
      </c>
      <c r="J181" s="26" t="s">
        <v>11270</v>
      </c>
      <c r="K181" s="26" t="s">
        <v>11277</v>
      </c>
      <c r="L181" s="26" t="s">
        <v>11481</v>
      </c>
      <c r="M181" s="26" t="s">
        <v>11279</v>
      </c>
      <c r="N181" s="26" t="s">
        <v>11280</v>
      </c>
      <c r="O181" s="26">
        <v>6405</v>
      </c>
      <c r="P181" s="26" t="s">
        <v>11482</v>
      </c>
      <c r="Q181" s="33">
        <v>31.372</v>
      </c>
      <c r="R181" s="35" t="s">
        <v>11276</v>
      </c>
      <c r="S181" s="26"/>
      <c r="T181" s="31" t="s">
        <v>8244</v>
      </c>
      <c r="U181" s="26"/>
    </row>
    <row r="182" s="21" customFormat="1" spans="1:21">
      <c r="A182" s="28" t="s">
        <v>1291</v>
      </c>
      <c r="B182" s="26" t="str">
        <f>VLOOKUP(C182,[1]干线管道!B:C,2,FALSE)</f>
        <v>一级</v>
      </c>
      <c r="C182" s="26" t="s">
        <v>43</v>
      </c>
      <c r="D182" s="26" t="s">
        <v>302</v>
      </c>
      <c r="E182" s="26" t="s">
        <v>2243</v>
      </c>
      <c r="F182" s="26" t="s">
        <v>11324</v>
      </c>
      <c r="G182" s="26" t="s">
        <v>11268</v>
      </c>
      <c r="H182" s="27" t="s">
        <v>11487</v>
      </c>
      <c r="I182" s="26" t="s">
        <v>11287</v>
      </c>
      <c r="J182" s="26" t="s">
        <v>11270</v>
      </c>
      <c r="K182" s="26" t="s">
        <v>11277</v>
      </c>
      <c r="L182" s="26" t="s">
        <v>11488</v>
      </c>
      <c r="M182" s="26" t="s">
        <v>11353</v>
      </c>
      <c r="N182" s="26" t="s">
        <v>11489</v>
      </c>
      <c r="O182" s="26">
        <v>5460</v>
      </c>
      <c r="P182" s="26" t="s">
        <v>11482</v>
      </c>
      <c r="Q182" s="33">
        <v>18.5</v>
      </c>
      <c r="R182" s="35" t="s">
        <v>11276</v>
      </c>
      <c r="S182" s="26" t="s">
        <v>8247</v>
      </c>
      <c r="T182" s="31" t="s">
        <v>8244</v>
      </c>
      <c r="U182" s="26" t="s">
        <v>11490</v>
      </c>
    </row>
    <row r="183" s="21" customFormat="1" spans="1:21">
      <c r="A183" s="28" t="s">
        <v>1291</v>
      </c>
      <c r="B183" s="26" t="str">
        <f>VLOOKUP(C183,[1]干线管道!B:C,2,FALSE)</f>
        <v>一级</v>
      </c>
      <c r="C183" s="26" t="s">
        <v>43</v>
      </c>
      <c r="D183" s="26" t="s">
        <v>302</v>
      </c>
      <c r="E183" s="26" t="s">
        <v>2243</v>
      </c>
      <c r="F183" s="26" t="s">
        <v>11324</v>
      </c>
      <c r="G183" s="26" t="s">
        <v>11176</v>
      </c>
      <c r="H183" s="27" t="s">
        <v>11491</v>
      </c>
      <c r="I183" s="26" t="s">
        <v>11287</v>
      </c>
      <c r="J183" s="26" t="s">
        <v>11270</v>
      </c>
      <c r="K183" s="26" t="s">
        <v>11277</v>
      </c>
      <c r="L183" s="26" t="s">
        <v>11488</v>
      </c>
      <c r="M183" s="26" t="s">
        <v>11353</v>
      </c>
      <c r="N183" s="26" t="s">
        <v>11489</v>
      </c>
      <c r="O183" s="26">
        <v>5460</v>
      </c>
      <c r="P183" s="26" t="s">
        <v>11482</v>
      </c>
      <c r="Q183" s="33">
        <v>18.5</v>
      </c>
      <c r="R183" s="35" t="s">
        <v>11276</v>
      </c>
      <c r="S183" s="26"/>
      <c r="T183" s="31" t="s">
        <v>8244</v>
      </c>
      <c r="U183" s="26"/>
    </row>
    <row r="184" s="21" customFormat="1" spans="1:21">
      <c r="A184" s="28" t="s">
        <v>1291</v>
      </c>
      <c r="B184" s="26" t="str">
        <f>VLOOKUP(C184,[1]干线管道!B:C,2,FALSE)</f>
        <v>一级</v>
      </c>
      <c r="C184" s="26" t="s">
        <v>43</v>
      </c>
      <c r="D184" s="26" t="s">
        <v>302</v>
      </c>
      <c r="E184" s="26" t="s">
        <v>2243</v>
      </c>
      <c r="F184" s="26" t="s">
        <v>11324</v>
      </c>
      <c r="G184" s="26" t="s">
        <v>9245</v>
      </c>
      <c r="H184" s="27" t="s">
        <v>11492</v>
      </c>
      <c r="I184" s="26" t="s">
        <v>11287</v>
      </c>
      <c r="J184" s="26" t="s">
        <v>11270</v>
      </c>
      <c r="K184" s="26" t="s">
        <v>11277</v>
      </c>
      <c r="L184" s="26" t="s">
        <v>11488</v>
      </c>
      <c r="M184" s="26" t="s">
        <v>11353</v>
      </c>
      <c r="N184" s="26" t="s">
        <v>11489</v>
      </c>
      <c r="O184" s="26">
        <v>5460</v>
      </c>
      <c r="P184" s="26" t="s">
        <v>11482</v>
      </c>
      <c r="Q184" s="33">
        <v>18.5</v>
      </c>
      <c r="R184" s="35" t="s">
        <v>11276</v>
      </c>
      <c r="S184" s="26"/>
      <c r="T184" s="31" t="s">
        <v>8244</v>
      </c>
      <c r="U184" s="26"/>
    </row>
    <row r="185" s="21" customFormat="1" spans="1:21">
      <c r="A185" s="28" t="s">
        <v>1291</v>
      </c>
      <c r="B185" s="26" t="str">
        <f>VLOOKUP(C185,[1]干线管道!B:C,2,FALSE)</f>
        <v>一级</v>
      </c>
      <c r="C185" s="26" t="s">
        <v>43</v>
      </c>
      <c r="D185" s="26" t="s">
        <v>302</v>
      </c>
      <c r="E185" s="26" t="s">
        <v>2243</v>
      </c>
      <c r="F185" s="26" t="s">
        <v>11324</v>
      </c>
      <c r="G185" s="26" t="s">
        <v>10755</v>
      </c>
      <c r="H185" s="27" t="s">
        <v>11493</v>
      </c>
      <c r="I185" s="26" t="s">
        <v>11287</v>
      </c>
      <c r="J185" s="26" t="s">
        <v>11270</v>
      </c>
      <c r="K185" s="26" t="s">
        <v>11277</v>
      </c>
      <c r="L185" s="26" t="s">
        <v>11488</v>
      </c>
      <c r="M185" s="26" t="s">
        <v>11353</v>
      </c>
      <c r="N185" s="26" t="s">
        <v>11489</v>
      </c>
      <c r="O185" s="26">
        <v>5460</v>
      </c>
      <c r="P185" s="26" t="s">
        <v>11482</v>
      </c>
      <c r="Q185" s="33">
        <v>18.5</v>
      </c>
      <c r="R185" s="35" t="s">
        <v>11276</v>
      </c>
      <c r="S185" s="26"/>
      <c r="T185" s="31" t="s">
        <v>8244</v>
      </c>
      <c r="U185" s="26"/>
    </row>
    <row r="186" s="21" customFormat="1" ht="30" spans="1:21">
      <c r="A186" s="28" t="s">
        <v>1291</v>
      </c>
      <c r="B186" s="26" t="str">
        <f>VLOOKUP(C186,[1]干线管道!B:C,2,FALSE)</f>
        <v>一级</v>
      </c>
      <c r="C186" s="26" t="s">
        <v>43</v>
      </c>
      <c r="D186" s="26" t="s">
        <v>302</v>
      </c>
      <c r="E186" s="26" t="s">
        <v>2272</v>
      </c>
      <c r="F186" s="26" t="s">
        <v>11267</v>
      </c>
      <c r="G186" s="26" t="s">
        <v>11268</v>
      </c>
      <c r="H186" s="27" t="s">
        <v>11494</v>
      </c>
      <c r="I186" s="26" t="s">
        <v>11287</v>
      </c>
      <c r="J186" s="26" t="s">
        <v>11296</v>
      </c>
      <c r="K186" s="26" t="s">
        <v>11339</v>
      </c>
      <c r="L186" s="26" t="s">
        <v>11278</v>
      </c>
      <c r="M186" s="32" t="s">
        <v>11495</v>
      </c>
      <c r="N186" s="26" t="s">
        <v>11349</v>
      </c>
      <c r="O186" s="26">
        <v>5040</v>
      </c>
      <c r="P186" s="26" t="s">
        <v>11281</v>
      </c>
      <c r="Q186" s="33">
        <v>20</v>
      </c>
      <c r="R186" s="35" t="s">
        <v>11276</v>
      </c>
      <c r="S186" s="26" t="s">
        <v>8247</v>
      </c>
      <c r="T186" s="31" t="s">
        <v>8244</v>
      </c>
      <c r="U186" s="26" t="s">
        <v>11483</v>
      </c>
    </row>
    <row r="187" s="21" customFormat="1" ht="30" spans="1:21">
      <c r="A187" s="28" t="s">
        <v>1291</v>
      </c>
      <c r="B187" s="26" t="str">
        <f>VLOOKUP(C187,[1]干线管道!B:C,2,FALSE)</f>
        <v>一级</v>
      </c>
      <c r="C187" s="26" t="s">
        <v>43</v>
      </c>
      <c r="D187" s="26" t="s">
        <v>302</v>
      </c>
      <c r="E187" s="26" t="s">
        <v>2272</v>
      </c>
      <c r="F187" s="26" t="s">
        <v>11267</v>
      </c>
      <c r="G187" s="26" t="s">
        <v>11176</v>
      </c>
      <c r="H187" s="27" t="s">
        <v>11468</v>
      </c>
      <c r="I187" s="26" t="s">
        <v>11287</v>
      </c>
      <c r="J187" s="26" t="s">
        <v>11296</v>
      </c>
      <c r="K187" s="26" t="s">
        <v>11339</v>
      </c>
      <c r="L187" s="26" t="s">
        <v>11278</v>
      </c>
      <c r="M187" s="32" t="s">
        <v>11495</v>
      </c>
      <c r="N187" s="26" t="s">
        <v>11349</v>
      </c>
      <c r="O187" s="26">
        <v>5040</v>
      </c>
      <c r="P187" s="26" t="s">
        <v>11281</v>
      </c>
      <c r="Q187" s="33">
        <v>20</v>
      </c>
      <c r="R187" s="35" t="s">
        <v>11276</v>
      </c>
      <c r="S187" s="26"/>
      <c r="T187" s="31" t="s">
        <v>8244</v>
      </c>
      <c r="U187" s="26"/>
    </row>
    <row r="188" s="21" customFormat="1" ht="30" spans="1:21">
      <c r="A188" s="28" t="s">
        <v>1291</v>
      </c>
      <c r="B188" s="26" t="str">
        <f>VLOOKUP(C188,[1]干线管道!B:C,2,FALSE)</f>
        <v>一级</v>
      </c>
      <c r="C188" s="26" t="s">
        <v>43</v>
      </c>
      <c r="D188" s="26" t="s">
        <v>302</v>
      </c>
      <c r="E188" s="26" t="s">
        <v>2272</v>
      </c>
      <c r="F188" s="26" t="s">
        <v>11267</v>
      </c>
      <c r="G188" s="26" t="s">
        <v>9245</v>
      </c>
      <c r="H188" s="27" t="s">
        <v>11465</v>
      </c>
      <c r="I188" s="26" t="s">
        <v>11287</v>
      </c>
      <c r="J188" s="26" t="s">
        <v>11296</v>
      </c>
      <c r="K188" s="26" t="s">
        <v>11339</v>
      </c>
      <c r="L188" s="26" t="s">
        <v>11278</v>
      </c>
      <c r="M188" s="32" t="s">
        <v>11495</v>
      </c>
      <c r="N188" s="26" t="s">
        <v>11349</v>
      </c>
      <c r="O188" s="26">
        <v>5040</v>
      </c>
      <c r="P188" s="26" t="s">
        <v>11281</v>
      </c>
      <c r="Q188" s="33">
        <v>20</v>
      </c>
      <c r="R188" s="35" t="s">
        <v>11276</v>
      </c>
      <c r="S188" s="26"/>
      <c r="T188" s="31" t="s">
        <v>8244</v>
      </c>
      <c r="U188" s="26"/>
    </row>
    <row r="189" s="21" customFormat="1" spans="1:21">
      <c r="A189" s="28" t="s">
        <v>1291</v>
      </c>
      <c r="B189" s="26" t="str">
        <f>VLOOKUP(C189,[1]干线管道!B:C,2,FALSE)</f>
        <v>一级</v>
      </c>
      <c r="C189" s="26" t="s">
        <v>43</v>
      </c>
      <c r="D189" s="26" t="s">
        <v>302</v>
      </c>
      <c r="E189" s="26" t="s">
        <v>2288</v>
      </c>
      <c r="F189" s="26" t="s">
        <v>11324</v>
      </c>
      <c r="G189" s="26" t="s">
        <v>11268</v>
      </c>
      <c r="H189" s="27" t="s">
        <v>11496</v>
      </c>
      <c r="I189" s="26" t="s">
        <v>11287</v>
      </c>
      <c r="J189" s="26" t="s">
        <v>11270</v>
      </c>
      <c r="K189" s="26" t="s">
        <v>11312</v>
      </c>
      <c r="L189" s="26" t="s">
        <v>11497</v>
      </c>
      <c r="M189" s="30" t="s">
        <v>11368</v>
      </c>
      <c r="N189" s="26" t="s">
        <v>11489</v>
      </c>
      <c r="O189" s="26">
        <v>5460</v>
      </c>
      <c r="P189" s="26" t="s">
        <v>11281</v>
      </c>
      <c r="Q189" s="33">
        <v>18</v>
      </c>
      <c r="R189" s="35" t="s">
        <v>11276</v>
      </c>
      <c r="S189" s="26" t="s">
        <v>8247</v>
      </c>
      <c r="T189" s="31" t="s">
        <v>8244</v>
      </c>
      <c r="U189" s="26" t="s">
        <v>11483</v>
      </c>
    </row>
    <row r="190" s="21" customFormat="1" spans="1:21">
      <c r="A190" s="28" t="s">
        <v>1291</v>
      </c>
      <c r="B190" s="26" t="str">
        <f>VLOOKUP(C190,[1]干线管道!B:C,2,FALSE)</f>
        <v>一级</v>
      </c>
      <c r="C190" s="26" t="s">
        <v>43</v>
      </c>
      <c r="D190" s="26" t="s">
        <v>302</v>
      </c>
      <c r="E190" s="26" t="s">
        <v>2288</v>
      </c>
      <c r="F190" s="26" t="s">
        <v>11324</v>
      </c>
      <c r="G190" s="26" t="s">
        <v>11176</v>
      </c>
      <c r="H190" s="27" t="s">
        <v>11496</v>
      </c>
      <c r="I190" s="26" t="s">
        <v>11287</v>
      </c>
      <c r="J190" s="26" t="s">
        <v>11270</v>
      </c>
      <c r="K190" s="26" t="s">
        <v>11312</v>
      </c>
      <c r="L190" s="26" t="s">
        <v>11497</v>
      </c>
      <c r="M190" s="30" t="s">
        <v>11368</v>
      </c>
      <c r="N190" s="26" t="s">
        <v>11489</v>
      </c>
      <c r="O190" s="26">
        <v>5460</v>
      </c>
      <c r="P190" s="26" t="s">
        <v>11281</v>
      </c>
      <c r="Q190" s="33">
        <v>18</v>
      </c>
      <c r="R190" s="35" t="s">
        <v>11276</v>
      </c>
      <c r="S190" s="26"/>
      <c r="T190" s="31" t="s">
        <v>8244</v>
      </c>
      <c r="U190" s="26"/>
    </row>
    <row r="191" s="21" customFormat="1" spans="1:21">
      <c r="A191" s="28" t="s">
        <v>1291</v>
      </c>
      <c r="B191" s="26" t="str">
        <f>VLOOKUP(C191,[1]干线管道!B:C,2,FALSE)</f>
        <v>一级</v>
      </c>
      <c r="C191" s="26" t="s">
        <v>43</v>
      </c>
      <c r="D191" s="26" t="s">
        <v>302</v>
      </c>
      <c r="E191" s="26" t="s">
        <v>2288</v>
      </c>
      <c r="F191" s="26" t="s">
        <v>11324</v>
      </c>
      <c r="G191" s="26" t="s">
        <v>9245</v>
      </c>
      <c r="H191" s="27" t="s">
        <v>11498</v>
      </c>
      <c r="I191" s="26" t="s">
        <v>11287</v>
      </c>
      <c r="J191" s="26" t="s">
        <v>11270</v>
      </c>
      <c r="K191" s="26" t="s">
        <v>11312</v>
      </c>
      <c r="L191" s="26" t="s">
        <v>11497</v>
      </c>
      <c r="M191" s="30" t="s">
        <v>11368</v>
      </c>
      <c r="N191" s="26" t="s">
        <v>11489</v>
      </c>
      <c r="O191" s="26">
        <v>5460</v>
      </c>
      <c r="P191" s="26" t="s">
        <v>11281</v>
      </c>
      <c r="Q191" s="33">
        <v>18</v>
      </c>
      <c r="R191" s="35" t="s">
        <v>11276</v>
      </c>
      <c r="S191" s="26"/>
      <c r="T191" s="31" t="s">
        <v>8244</v>
      </c>
      <c r="U191" s="26"/>
    </row>
    <row r="192" s="21" customFormat="1" spans="1:21">
      <c r="A192" s="28" t="s">
        <v>1291</v>
      </c>
      <c r="B192" s="26" t="str">
        <f>VLOOKUP(C192,[1]干线管道!B:C,2,FALSE)</f>
        <v>一级</v>
      </c>
      <c r="C192" s="26" t="s">
        <v>43</v>
      </c>
      <c r="D192" s="26" t="s">
        <v>302</v>
      </c>
      <c r="E192" s="26" t="s">
        <v>2288</v>
      </c>
      <c r="F192" s="26" t="s">
        <v>11324</v>
      </c>
      <c r="G192" s="26" t="s">
        <v>10755</v>
      </c>
      <c r="H192" s="27" t="s">
        <v>11498</v>
      </c>
      <c r="I192" s="26" t="s">
        <v>11287</v>
      </c>
      <c r="J192" s="26" t="s">
        <v>11270</v>
      </c>
      <c r="K192" s="26" t="s">
        <v>11312</v>
      </c>
      <c r="L192" s="26" t="s">
        <v>11497</v>
      </c>
      <c r="M192" s="30" t="s">
        <v>11368</v>
      </c>
      <c r="N192" s="26" t="s">
        <v>11489</v>
      </c>
      <c r="O192" s="26">
        <v>5460</v>
      </c>
      <c r="P192" s="26" t="s">
        <v>11281</v>
      </c>
      <c r="Q192" s="33">
        <v>18</v>
      </c>
      <c r="R192" s="35" t="s">
        <v>11276</v>
      </c>
      <c r="S192" s="26"/>
      <c r="T192" s="31" t="s">
        <v>8244</v>
      </c>
      <c r="U192" s="26"/>
    </row>
    <row r="193" s="21" customFormat="1" spans="1:21">
      <c r="A193" s="28" t="s">
        <v>1291</v>
      </c>
      <c r="B193" s="26" t="str">
        <f>VLOOKUP(C193,[1]干线管道!B:C,2,FALSE)</f>
        <v>一级</v>
      </c>
      <c r="C193" s="26" t="s">
        <v>43</v>
      </c>
      <c r="D193" s="26" t="s">
        <v>302</v>
      </c>
      <c r="E193" s="26" t="s">
        <v>2306</v>
      </c>
      <c r="F193" s="26" t="s">
        <v>11267</v>
      </c>
      <c r="G193" s="26" t="s">
        <v>11268</v>
      </c>
      <c r="H193" s="27" t="s">
        <v>11499</v>
      </c>
      <c r="I193" s="26" t="s">
        <v>11287</v>
      </c>
      <c r="J193" s="26" t="s">
        <v>11296</v>
      </c>
      <c r="K193" s="26" t="s">
        <v>11339</v>
      </c>
      <c r="L193" s="26" t="s">
        <v>11278</v>
      </c>
      <c r="M193" s="30" t="s">
        <v>11500</v>
      </c>
      <c r="N193" s="26" t="s">
        <v>11349</v>
      </c>
      <c r="O193" s="26">
        <v>5040</v>
      </c>
      <c r="P193" s="26"/>
      <c r="Q193" s="33">
        <v>20</v>
      </c>
      <c r="R193" s="35" t="s">
        <v>11276</v>
      </c>
      <c r="S193" s="26" t="s">
        <v>8247</v>
      </c>
      <c r="T193" s="31" t="s">
        <v>8244</v>
      </c>
      <c r="U193" s="26" t="s">
        <v>11483</v>
      </c>
    </row>
    <row r="194" s="21" customFormat="1" spans="1:21">
      <c r="A194" s="28" t="s">
        <v>1291</v>
      </c>
      <c r="B194" s="26" t="str">
        <f>VLOOKUP(C194,[1]干线管道!B:C,2,FALSE)</f>
        <v>一级</v>
      </c>
      <c r="C194" s="26" t="s">
        <v>43</v>
      </c>
      <c r="D194" s="26" t="s">
        <v>302</v>
      </c>
      <c r="E194" s="26" t="s">
        <v>2306</v>
      </c>
      <c r="F194" s="26" t="s">
        <v>11267</v>
      </c>
      <c r="G194" s="26" t="s">
        <v>11176</v>
      </c>
      <c r="H194" s="27" t="s">
        <v>11501</v>
      </c>
      <c r="I194" s="26" t="s">
        <v>11287</v>
      </c>
      <c r="J194" s="26" t="s">
        <v>11296</v>
      </c>
      <c r="K194" s="26" t="s">
        <v>11339</v>
      </c>
      <c r="L194" s="26" t="s">
        <v>11278</v>
      </c>
      <c r="M194" s="30" t="s">
        <v>11500</v>
      </c>
      <c r="N194" s="26" t="s">
        <v>11349</v>
      </c>
      <c r="O194" s="26">
        <v>5040</v>
      </c>
      <c r="P194" s="26"/>
      <c r="Q194" s="33">
        <v>20</v>
      </c>
      <c r="R194" s="35" t="s">
        <v>11276</v>
      </c>
      <c r="S194" s="26"/>
      <c r="T194" s="31" t="s">
        <v>8244</v>
      </c>
      <c r="U194" s="26"/>
    </row>
    <row r="195" s="21" customFormat="1" spans="1:21">
      <c r="A195" s="28" t="s">
        <v>1291</v>
      </c>
      <c r="B195" s="26" t="str">
        <f>VLOOKUP(C195,[1]干线管道!B:C,2,FALSE)</f>
        <v>一级</v>
      </c>
      <c r="C195" s="26" t="s">
        <v>43</v>
      </c>
      <c r="D195" s="26" t="s">
        <v>302</v>
      </c>
      <c r="E195" s="26" t="s">
        <v>2306</v>
      </c>
      <c r="F195" s="26" t="s">
        <v>11267</v>
      </c>
      <c r="G195" s="26" t="s">
        <v>9245</v>
      </c>
      <c r="H195" s="27" t="s">
        <v>11502</v>
      </c>
      <c r="I195" s="26" t="s">
        <v>11287</v>
      </c>
      <c r="J195" s="26" t="s">
        <v>11296</v>
      </c>
      <c r="K195" s="26" t="s">
        <v>11339</v>
      </c>
      <c r="L195" s="26" t="s">
        <v>11278</v>
      </c>
      <c r="M195" s="30" t="s">
        <v>11500</v>
      </c>
      <c r="N195" s="26" t="s">
        <v>11349</v>
      </c>
      <c r="O195" s="26">
        <v>5040</v>
      </c>
      <c r="P195" s="26"/>
      <c r="Q195" s="33">
        <v>20</v>
      </c>
      <c r="R195" s="35" t="s">
        <v>11276</v>
      </c>
      <c r="S195" s="26"/>
      <c r="T195" s="31" t="s">
        <v>8244</v>
      </c>
      <c r="U195" s="26"/>
    </row>
    <row r="196" s="21" customFormat="1" spans="1:21">
      <c r="A196" s="28" t="s">
        <v>1291</v>
      </c>
      <c r="B196" s="26" t="str">
        <f>VLOOKUP(C196,[1]干线管道!B:C,2,FALSE)</f>
        <v>一级</v>
      </c>
      <c r="C196" s="26" t="s">
        <v>43</v>
      </c>
      <c r="D196" s="26" t="s">
        <v>302</v>
      </c>
      <c r="E196" s="26" t="s">
        <v>2328</v>
      </c>
      <c r="F196" s="26" t="s">
        <v>11267</v>
      </c>
      <c r="G196" s="26" t="s">
        <v>11268</v>
      </c>
      <c r="H196" s="27" t="s">
        <v>11503</v>
      </c>
      <c r="I196" s="26" t="s">
        <v>11269</v>
      </c>
      <c r="J196" s="26" t="s">
        <v>11270</v>
      </c>
      <c r="K196" s="26" t="s">
        <v>11271</v>
      </c>
      <c r="L196" s="26" t="s">
        <v>11272</v>
      </c>
      <c r="M196" s="26" t="s">
        <v>11273</v>
      </c>
      <c r="N196" s="26" t="s">
        <v>11274</v>
      </c>
      <c r="O196" s="26">
        <v>5040</v>
      </c>
      <c r="P196" s="26" t="s">
        <v>11504</v>
      </c>
      <c r="Q196" s="33">
        <v>29.53</v>
      </c>
      <c r="R196" s="35" t="s">
        <v>11276</v>
      </c>
      <c r="S196" s="26" t="s">
        <v>11291</v>
      </c>
      <c r="T196" s="31" t="s">
        <v>8244</v>
      </c>
      <c r="U196" s="26" t="s">
        <v>11483</v>
      </c>
    </row>
    <row r="197" s="21" customFormat="1" spans="1:21">
      <c r="A197" s="28" t="s">
        <v>1291</v>
      </c>
      <c r="B197" s="26" t="str">
        <f>VLOOKUP(C197,[1]干线管道!B:C,2,FALSE)</f>
        <v>一级</v>
      </c>
      <c r="C197" s="26" t="s">
        <v>43</v>
      </c>
      <c r="D197" s="26" t="s">
        <v>302</v>
      </c>
      <c r="E197" s="26" t="s">
        <v>2328</v>
      </c>
      <c r="F197" s="26" t="s">
        <v>11267</v>
      </c>
      <c r="G197" s="26" t="s">
        <v>11176</v>
      </c>
      <c r="H197" s="27" t="s">
        <v>11505</v>
      </c>
      <c r="I197" s="26" t="s">
        <v>11269</v>
      </c>
      <c r="J197" s="26" t="s">
        <v>11270</v>
      </c>
      <c r="K197" s="26" t="s">
        <v>11271</v>
      </c>
      <c r="L197" s="26" t="s">
        <v>11272</v>
      </c>
      <c r="M197" s="26" t="s">
        <v>11273</v>
      </c>
      <c r="N197" s="26" t="s">
        <v>11274</v>
      </c>
      <c r="O197" s="26">
        <v>5040</v>
      </c>
      <c r="P197" s="26" t="s">
        <v>11504</v>
      </c>
      <c r="Q197" s="33">
        <v>29.53</v>
      </c>
      <c r="R197" s="35" t="s">
        <v>11276</v>
      </c>
      <c r="S197" s="26"/>
      <c r="T197" s="31" t="s">
        <v>8244</v>
      </c>
      <c r="U197" s="26"/>
    </row>
    <row r="198" s="21" customFormat="1" spans="1:21">
      <c r="A198" s="28" t="s">
        <v>1291</v>
      </c>
      <c r="B198" s="26" t="str">
        <f>VLOOKUP(C198,[1]干线管道!B:C,2,FALSE)</f>
        <v>一级</v>
      </c>
      <c r="C198" s="26" t="s">
        <v>43</v>
      </c>
      <c r="D198" s="26" t="s">
        <v>302</v>
      </c>
      <c r="E198" s="26" t="s">
        <v>2328</v>
      </c>
      <c r="F198" s="26" t="s">
        <v>11267</v>
      </c>
      <c r="G198" s="26" t="s">
        <v>9245</v>
      </c>
      <c r="H198" s="27" t="s">
        <v>11505</v>
      </c>
      <c r="I198" s="26" t="s">
        <v>11269</v>
      </c>
      <c r="J198" s="26" t="s">
        <v>11270</v>
      </c>
      <c r="K198" s="26" t="s">
        <v>11271</v>
      </c>
      <c r="L198" s="26" t="s">
        <v>11272</v>
      </c>
      <c r="M198" s="26" t="s">
        <v>11273</v>
      </c>
      <c r="N198" s="26" t="s">
        <v>11274</v>
      </c>
      <c r="O198" s="26">
        <v>5040</v>
      </c>
      <c r="P198" s="26" t="s">
        <v>11504</v>
      </c>
      <c r="Q198" s="33">
        <v>29.53</v>
      </c>
      <c r="R198" s="35" t="s">
        <v>11276</v>
      </c>
      <c r="S198" s="26"/>
      <c r="T198" s="31" t="s">
        <v>8244</v>
      </c>
      <c r="U198" s="26"/>
    </row>
    <row r="199" s="21" customFormat="1" spans="1:21">
      <c r="A199" s="28" t="s">
        <v>1291</v>
      </c>
      <c r="B199" s="26" t="str">
        <f>VLOOKUP(C199,[1]干线管道!B:C,2,FALSE)</f>
        <v>一级</v>
      </c>
      <c r="C199" s="26" t="s">
        <v>43</v>
      </c>
      <c r="D199" s="26" t="s">
        <v>302</v>
      </c>
      <c r="E199" s="26" t="s">
        <v>2346</v>
      </c>
      <c r="F199" s="26" t="s">
        <v>11267</v>
      </c>
      <c r="G199" s="26" t="s">
        <v>11268</v>
      </c>
      <c r="H199" s="27" t="s">
        <v>11506</v>
      </c>
      <c r="I199" s="26" t="s">
        <v>11269</v>
      </c>
      <c r="J199" s="26" t="s">
        <v>11270</v>
      </c>
      <c r="K199" s="26" t="s">
        <v>11271</v>
      </c>
      <c r="L199" s="26" t="s">
        <v>11272</v>
      </c>
      <c r="M199" s="26" t="s">
        <v>11273</v>
      </c>
      <c r="N199" s="26" t="s">
        <v>11274</v>
      </c>
      <c r="O199" s="26">
        <v>5040</v>
      </c>
      <c r="P199" s="26" t="s">
        <v>11281</v>
      </c>
      <c r="Q199" s="33">
        <v>29.53</v>
      </c>
      <c r="R199" s="35" t="s">
        <v>11276</v>
      </c>
      <c r="S199" s="26" t="s">
        <v>8247</v>
      </c>
      <c r="T199" s="31" t="s">
        <v>8244</v>
      </c>
      <c r="U199" s="26" t="s">
        <v>11483</v>
      </c>
    </row>
    <row r="200" s="21" customFormat="1" spans="1:21">
      <c r="A200" s="28" t="s">
        <v>1291</v>
      </c>
      <c r="B200" s="26" t="str">
        <f>VLOOKUP(C200,[1]干线管道!B:C,2,FALSE)</f>
        <v>一级</v>
      </c>
      <c r="C200" s="26" t="s">
        <v>43</v>
      </c>
      <c r="D200" s="26" t="s">
        <v>302</v>
      </c>
      <c r="E200" s="26" t="s">
        <v>2346</v>
      </c>
      <c r="F200" s="26" t="s">
        <v>11267</v>
      </c>
      <c r="G200" s="26" t="s">
        <v>11176</v>
      </c>
      <c r="H200" s="27" t="s">
        <v>11506</v>
      </c>
      <c r="I200" s="26" t="s">
        <v>11269</v>
      </c>
      <c r="J200" s="26" t="s">
        <v>11270</v>
      </c>
      <c r="K200" s="26" t="s">
        <v>11271</v>
      </c>
      <c r="L200" s="26" t="s">
        <v>11272</v>
      </c>
      <c r="M200" s="26" t="s">
        <v>11273</v>
      </c>
      <c r="N200" s="26" t="s">
        <v>11274</v>
      </c>
      <c r="O200" s="26">
        <v>5040</v>
      </c>
      <c r="P200" s="26" t="s">
        <v>11281</v>
      </c>
      <c r="Q200" s="33">
        <v>29.53</v>
      </c>
      <c r="R200" s="35" t="s">
        <v>11276</v>
      </c>
      <c r="S200" s="26"/>
      <c r="T200" s="31" t="s">
        <v>8244</v>
      </c>
      <c r="U200" s="26"/>
    </row>
    <row r="201" s="21" customFormat="1" spans="1:21">
      <c r="A201" s="28" t="s">
        <v>1291</v>
      </c>
      <c r="B201" s="26" t="str">
        <f>VLOOKUP(C201,[1]干线管道!B:C,2,FALSE)</f>
        <v>一级</v>
      </c>
      <c r="C201" s="26" t="s">
        <v>43</v>
      </c>
      <c r="D201" s="26" t="s">
        <v>302</v>
      </c>
      <c r="E201" s="26" t="s">
        <v>2346</v>
      </c>
      <c r="F201" s="26" t="s">
        <v>11267</v>
      </c>
      <c r="G201" s="26" t="s">
        <v>9245</v>
      </c>
      <c r="H201" s="27" t="s">
        <v>11507</v>
      </c>
      <c r="I201" s="26" t="s">
        <v>11269</v>
      </c>
      <c r="J201" s="26" t="s">
        <v>11270</v>
      </c>
      <c r="K201" s="26" t="s">
        <v>11271</v>
      </c>
      <c r="L201" s="26" t="s">
        <v>11272</v>
      </c>
      <c r="M201" s="26" t="s">
        <v>11273</v>
      </c>
      <c r="N201" s="26" t="s">
        <v>11274</v>
      </c>
      <c r="O201" s="26">
        <v>5040</v>
      </c>
      <c r="P201" s="26" t="s">
        <v>11281</v>
      </c>
      <c r="Q201" s="33">
        <v>29.53</v>
      </c>
      <c r="R201" s="35" t="s">
        <v>11276</v>
      </c>
      <c r="S201" s="26"/>
      <c r="T201" s="31" t="s">
        <v>8244</v>
      </c>
      <c r="U201" s="26"/>
    </row>
    <row r="202" s="21" customFormat="1" spans="1:21">
      <c r="A202" s="28" t="s">
        <v>1291</v>
      </c>
      <c r="B202" s="26" t="str">
        <f>VLOOKUP(C202,[1]干线管道!B:C,2,FALSE)</f>
        <v>一级</v>
      </c>
      <c r="C202" s="26" t="s">
        <v>43</v>
      </c>
      <c r="D202" s="26" t="s">
        <v>302</v>
      </c>
      <c r="E202" s="26" t="s">
        <v>2362</v>
      </c>
      <c r="F202" s="26" t="s">
        <v>11267</v>
      </c>
      <c r="G202" s="26" t="s">
        <v>11268</v>
      </c>
      <c r="H202" s="27" t="s">
        <v>11508</v>
      </c>
      <c r="I202" s="26" t="s">
        <v>11269</v>
      </c>
      <c r="J202" s="26" t="s">
        <v>11296</v>
      </c>
      <c r="K202" s="26" t="s">
        <v>11339</v>
      </c>
      <c r="L202" s="26" t="s">
        <v>11309</v>
      </c>
      <c r="M202" s="26" t="s">
        <v>11509</v>
      </c>
      <c r="N202" s="26" t="s">
        <v>11457</v>
      </c>
      <c r="O202" s="26">
        <v>5250</v>
      </c>
      <c r="P202" s="26" t="s">
        <v>11510</v>
      </c>
      <c r="Q202" s="33">
        <v>22.7</v>
      </c>
      <c r="R202" s="35" t="s">
        <v>11276</v>
      </c>
      <c r="S202" s="26" t="s">
        <v>8247</v>
      </c>
      <c r="T202" s="31" t="s">
        <v>8244</v>
      </c>
      <c r="U202" s="26" t="s">
        <v>11483</v>
      </c>
    </row>
    <row r="203" s="21" customFormat="1" spans="1:21">
      <c r="A203" s="28" t="s">
        <v>1291</v>
      </c>
      <c r="B203" s="26" t="str">
        <f>VLOOKUP(C203,[1]干线管道!B:C,2,FALSE)</f>
        <v>一级</v>
      </c>
      <c r="C203" s="26" t="s">
        <v>43</v>
      </c>
      <c r="D203" s="26" t="s">
        <v>302</v>
      </c>
      <c r="E203" s="26" t="s">
        <v>2362</v>
      </c>
      <c r="F203" s="26" t="s">
        <v>11267</v>
      </c>
      <c r="G203" s="26" t="s">
        <v>11176</v>
      </c>
      <c r="H203" s="27" t="s">
        <v>11511</v>
      </c>
      <c r="I203" s="26" t="s">
        <v>11269</v>
      </c>
      <c r="J203" s="26" t="s">
        <v>11296</v>
      </c>
      <c r="K203" s="26" t="s">
        <v>11339</v>
      </c>
      <c r="L203" s="26" t="s">
        <v>11309</v>
      </c>
      <c r="M203" s="26" t="s">
        <v>11509</v>
      </c>
      <c r="N203" s="26" t="s">
        <v>11457</v>
      </c>
      <c r="O203" s="26">
        <v>5250</v>
      </c>
      <c r="P203" s="26" t="s">
        <v>11510</v>
      </c>
      <c r="Q203" s="33">
        <v>22.7</v>
      </c>
      <c r="R203" s="35" t="s">
        <v>11276</v>
      </c>
      <c r="S203" s="26"/>
      <c r="T203" s="31" t="s">
        <v>8244</v>
      </c>
      <c r="U203" s="26"/>
    </row>
    <row r="204" s="21" customFormat="1" spans="1:21">
      <c r="A204" s="28" t="s">
        <v>1291</v>
      </c>
      <c r="B204" s="26" t="str">
        <f>VLOOKUP(C204,[1]干线管道!B:C,2,FALSE)</f>
        <v>一级</v>
      </c>
      <c r="C204" s="26" t="s">
        <v>43</v>
      </c>
      <c r="D204" s="26" t="s">
        <v>302</v>
      </c>
      <c r="E204" s="26" t="s">
        <v>2362</v>
      </c>
      <c r="F204" s="26" t="s">
        <v>11267</v>
      </c>
      <c r="G204" s="26" t="s">
        <v>9245</v>
      </c>
      <c r="H204" s="27" t="s">
        <v>11512</v>
      </c>
      <c r="I204" s="26" t="s">
        <v>11269</v>
      </c>
      <c r="J204" s="26" t="s">
        <v>11296</v>
      </c>
      <c r="K204" s="26" t="s">
        <v>11339</v>
      </c>
      <c r="L204" s="26" t="s">
        <v>11309</v>
      </c>
      <c r="M204" s="26" t="s">
        <v>11509</v>
      </c>
      <c r="N204" s="26" t="s">
        <v>11457</v>
      </c>
      <c r="O204" s="26">
        <v>5250</v>
      </c>
      <c r="P204" s="26" t="s">
        <v>11510</v>
      </c>
      <c r="Q204" s="33">
        <v>22.7</v>
      </c>
      <c r="R204" s="35" t="s">
        <v>11276</v>
      </c>
      <c r="S204" s="26"/>
      <c r="T204" s="31" t="s">
        <v>8244</v>
      </c>
      <c r="U204" s="26"/>
    </row>
    <row r="205" s="21" customFormat="1" spans="1:21">
      <c r="A205" s="28" t="s">
        <v>1384</v>
      </c>
      <c r="B205" s="26" t="str">
        <f>VLOOKUP(C205,[1]干线管道!B:C,2,FALSE)</f>
        <v>一级</v>
      </c>
      <c r="C205" s="26" t="s">
        <v>43</v>
      </c>
      <c r="D205" s="26" t="s">
        <v>304</v>
      </c>
      <c r="E205" s="26" t="s">
        <v>111</v>
      </c>
      <c r="F205" s="26" t="s">
        <v>11267</v>
      </c>
      <c r="G205" s="26" t="s">
        <v>11268</v>
      </c>
      <c r="H205" s="51" t="s">
        <v>11513</v>
      </c>
      <c r="I205" s="54" t="s">
        <v>11269</v>
      </c>
      <c r="J205" s="26" t="s">
        <v>11270</v>
      </c>
      <c r="K205" s="54" t="s">
        <v>11277</v>
      </c>
      <c r="L205" s="54" t="s">
        <v>11514</v>
      </c>
      <c r="M205" s="26" t="s">
        <v>11279</v>
      </c>
      <c r="N205" s="51" t="s">
        <v>11280</v>
      </c>
      <c r="O205" s="54">
        <v>6405</v>
      </c>
      <c r="P205" s="54" t="s">
        <v>11515</v>
      </c>
      <c r="Q205" s="58">
        <v>17.8</v>
      </c>
      <c r="R205" s="35" t="s">
        <v>11276</v>
      </c>
      <c r="S205" s="26" t="s">
        <v>8247</v>
      </c>
      <c r="T205" s="31" t="s">
        <v>8244</v>
      </c>
      <c r="U205" s="26" t="s">
        <v>11483</v>
      </c>
    </row>
    <row r="206" s="21" customFormat="1" spans="1:21">
      <c r="A206" s="28" t="s">
        <v>1384</v>
      </c>
      <c r="B206" s="26" t="str">
        <f>VLOOKUP(C206,[1]干线管道!B:C,2,FALSE)</f>
        <v>一级</v>
      </c>
      <c r="C206" s="26" t="s">
        <v>43</v>
      </c>
      <c r="D206" s="26" t="s">
        <v>304</v>
      </c>
      <c r="E206" s="26" t="s">
        <v>111</v>
      </c>
      <c r="F206" s="26" t="s">
        <v>11267</v>
      </c>
      <c r="G206" s="26" t="s">
        <v>11176</v>
      </c>
      <c r="H206" s="52" t="s">
        <v>11516</v>
      </c>
      <c r="I206" s="54" t="s">
        <v>11269</v>
      </c>
      <c r="J206" s="26" t="s">
        <v>11270</v>
      </c>
      <c r="K206" s="54" t="s">
        <v>11277</v>
      </c>
      <c r="L206" s="54" t="s">
        <v>11514</v>
      </c>
      <c r="M206" s="26" t="s">
        <v>11279</v>
      </c>
      <c r="N206" s="51" t="s">
        <v>11280</v>
      </c>
      <c r="O206" s="54">
        <v>6405</v>
      </c>
      <c r="P206" s="54" t="s">
        <v>11515</v>
      </c>
      <c r="Q206" s="58">
        <v>17.8</v>
      </c>
      <c r="R206" s="35" t="s">
        <v>11276</v>
      </c>
      <c r="S206" s="26"/>
      <c r="T206" s="31" t="s">
        <v>8244</v>
      </c>
      <c r="U206" s="26"/>
    </row>
    <row r="207" s="21" customFormat="1" spans="1:21">
      <c r="A207" s="28" t="s">
        <v>1384</v>
      </c>
      <c r="B207" s="26" t="str">
        <f>VLOOKUP(C207,[1]干线管道!B:C,2,FALSE)</f>
        <v>一级</v>
      </c>
      <c r="C207" s="26" t="s">
        <v>43</v>
      </c>
      <c r="D207" s="26" t="s">
        <v>304</v>
      </c>
      <c r="E207" s="26" t="s">
        <v>111</v>
      </c>
      <c r="F207" s="26" t="s">
        <v>11267</v>
      </c>
      <c r="G207" s="26" t="s">
        <v>9245</v>
      </c>
      <c r="H207" s="52" t="s">
        <v>11517</v>
      </c>
      <c r="I207" s="54" t="s">
        <v>11269</v>
      </c>
      <c r="J207" s="26" t="s">
        <v>11270</v>
      </c>
      <c r="K207" s="54" t="s">
        <v>11277</v>
      </c>
      <c r="L207" s="54" t="s">
        <v>11514</v>
      </c>
      <c r="M207" s="26" t="s">
        <v>11279</v>
      </c>
      <c r="N207" s="51" t="s">
        <v>11280</v>
      </c>
      <c r="O207" s="54">
        <v>6405</v>
      </c>
      <c r="P207" s="54" t="s">
        <v>11515</v>
      </c>
      <c r="Q207" s="58">
        <v>17.8</v>
      </c>
      <c r="R207" s="35" t="s">
        <v>11276</v>
      </c>
      <c r="S207" s="26"/>
      <c r="T207" s="31" t="s">
        <v>8244</v>
      </c>
      <c r="U207" s="26"/>
    </row>
    <row r="208" s="21" customFormat="1" spans="1:21">
      <c r="A208" s="28" t="s">
        <v>1384</v>
      </c>
      <c r="B208" s="26" t="str">
        <f>VLOOKUP(C208,[1]干线管道!B:C,2,FALSE)</f>
        <v>一级</v>
      </c>
      <c r="C208" s="26" t="s">
        <v>43</v>
      </c>
      <c r="D208" s="26" t="s">
        <v>304</v>
      </c>
      <c r="E208" s="26" t="s">
        <v>2381</v>
      </c>
      <c r="F208" s="30" t="s">
        <v>11324</v>
      </c>
      <c r="G208" s="30" t="s">
        <v>11268</v>
      </c>
      <c r="H208" s="29" t="s">
        <v>11518</v>
      </c>
      <c r="I208" s="26" t="s">
        <v>11287</v>
      </c>
      <c r="J208" s="26" t="s">
        <v>11296</v>
      </c>
      <c r="K208" s="26" t="s">
        <v>11339</v>
      </c>
      <c r="L208" s="26" t="s">
        <v>11278</v>
      </c>
      <c r="M208" s="30" t="s">
        <v>11519</v>
      </c>
      <c r="N208" s="29" t="s">
        <v>11274</v>
      </c>
      <c r="O208" s="26">
        <v>5040</v>
      </c>
      <c r="P208" s="26" t="s">
        <v>11345</v>
      </c>
      <c r="Q208" s="37">
        <v>20</v>
      </c>
      <c r="R208" s="35" t="s">
        <v>11276</v>
      </c>
      <c r="S208" s="34" t="s">
        <v>8247</v>
      </c>
      <c r="T208" s="31" t="s">
        <v>8244</v>
      </c>
      <c r="U208" s="26" t="s">
        <v>11483</v>
      </c>
    </row>
    <row r="209" s="21" customFormat="1" spans="1:21">
      <c r="A209" s="28" t="s">
        <v>1384</v>
      </c>
      <c r="B209" s="26" t="str">
        <f>VLOOKUP(C209,[1]干线管道!B:C,2,FALSE)</f>
        <v>一级</v>
      </c>
      <c r="C209" s="26" t="s">
        <v>43</v>
      </c>
      <c r="D209" s="26" t="s">
        <v>304</v>
      </c>
      <c r="E209" s="26" t="s">
        <v>2381</v>
      </c>
      <c r="F209" s="30" t="s">
        <v>11324</v>
      </c>
      <c r="G209" s="30" t="s">
        <v>11176</v>
      </c>
      <c r="H209" s="29" t="s">
        <v>11520</v>
      </c>
      <c r="I209" s="26" t="s">
        <v>11287</v>
      </c>
      <c r="J209" s="26" t="s">
        <v>11296</v>
      </c>
      <c r="K209" s="26" t="s">
        <v>11339</v>
      </c>
      <c r="L209" s="26" t="s">
        <v>11278</v>
      </c>
      <c r="M209" s="30" t="s">
        <v>11519</v>
      </c>
      <c r="N209" s="29" t="s">
        <v>11274</v>
      </c>
      <c r="O209" s="26">
        <v>5040</v>
      </c>
      <c r="P209" s="26" t="s">
        <v>11345</v>
      </c>
      <c r="Q209" s="37">
        <v>20</v>
      </c>
      <c r="R209" s="35" t="s">
        <v>11276</v>
      </c>
      <c r="S209" s="59"/>
      <c r="T209" s="31" t="s">
        <v>8244</v>
      </c>
      <c r="U209" s="26"/>
    </row>
    <row r="210" s="21" customFormat="1" spans="1:21">
      <c r="A210" s="28" t="s">
        <v>1384</v>
      </c>
      <c r="B210" s="26" t="str">
        <f>VLOOKUP(C210,[1]干线管道!B:C,2,FALSE)</f>
        <v>一级</v>
      </c>
      <c r="C210" s="26" t="s">
        <v>43</v>
      </c>
      <c r="D210" s="26" t="s">
        <v>304</v>
      </c>
      <c r="E210" s="26" t="s">
        <v>2381</v>
      </c>
      <c r="F210" s="30" t="s">
        <v>11324</v>
      </c>
      <c r="G210" s="30" t="s">
        <v>9245</v>
      </c>
      <c r="H210" s="39" t="s">
        <v>11520</v>
      </c>
      <c r="I210" s="26" t="s">
        <v>11287</v>
      </c>
      <c r="J210" s="26" t="s">
        <v>11296</v>
      </c>
      <c r="K210" s="26" t="s">
        <v>11339</v>
      </c>
      <c r="L210" s="26" t="s">
        <v>11278</v>
      </c>
      <c r="M210" s="30" t="s">
        <v>11519</v>
      </c>
      <c r="N210" s="29" t="s">
        <v>11274</v>
      </c>
      <c r="O210" s="26">
        <v>5040</v>
      </c>
      <c r="P210" s="26" t="s">
        <v>11345</v>
      </c>
      <c r="Q210" s="37">
        <v>20</v>
      </c>
      <c r="R210" s="35" t="s">
        <v>11276</v>
      </c>
      <c r="S210" s="59"/>
      <c r="T210" s="31" t="s">
        <v>8244</v>
      </c>
      <c r="U210" s="26"/>
    </row>
    <row r="211" s="21" customFormat="1" spans="1:21">
      <c r="A211" s="28" t="s">
        <v>1384</v>
      </c>
      <c r="B211" s="26" t="str">
        <f>VLOOKUP(C211,[1]干线管道!B:C,2,FALSE)</f>
        <v>一级</v>
      </c>
      <c r="C211" s="26" t="s">
        <v>43</v>
      </c>
      <c r="D211" s="26" t="s">
        <v>304</v>
      </c>
      <c r="E211" s="26" t="s">
        <v>2381</v>
      </c>
      <c r="F211" s="30" t="s">
        <v>11324</v>
      </c>
      <c r="G211" s="30" t="s">
        <v>10755</v>
      </c>
      <c r="H211" s="53">
        <v>2021.12</v>
      </c>
      <c r="I211" s="26" t="s">
        <v>11287</v>
      </c>
      <c r="J211" s="26" t="s">
        <v>11296</v>
      </c>
      <c r="K211" s="26" t="s">
        <v>11339</v>
      </c>
      <c r="L211" s="26" t="s">
        <v>11278</v>
      </c>
      <c r="M211" s="30" t="s">
        <v>11521</v>
      </c>
      <c r="N211" s="29" t="s">
        <v>11274</v>
      </c>
      <c r="O211" s="26">
        <v>5040</v>
      </c>
      <c r="P211" s="26" t="s">
        <v>11345</v>
      </c>
      <c r="Q211" s="37">
        <v>18</v>
      </c>
      <c r="R211" s="35" t="s">
        <v>11276</v>
      </c>
      <c r="S211" s="50"/>
      <c r="T211" s="31" t="s">
        <v>11459</v>
      </c>
      <c r="U211" s="26"/>
    </row>
    <row r="212" s="21" customFormat="1" spans="1:21">
      <c r="A212" s="28" t="s">
        <v>1384</v>
      </c>
      <c r="B212" s="26" t="str">
        <f>VLOOKUP(C212,[1]干线管道!B:C,2,FALSE)</f>
        <v>一级</v>
      </c>
      <c r="C212" s="26" t="s">
        <v>43</v>
      </c>
      <c r="D212" s="26" t="s">
        <v>304</v>
      </c>
      <c r="E212" s="26" t="s">
        <v>214</v>
      </c>
      <c r="F212" s="30" t="s">
        <v>11324</v>
      </c>
      <c r="G212" s="30" t="s">
        <v>11268</v>
      </c>
      <c r="H212" s="39" t="s">
        <v>11465</v>
      </c>
      <c r="I212" s="26" t="s">
        <v>11287</v>
      </c>
      <c r="J212" s="26" t="s">
        <v>11270</v>
      </c>
      <c r="K212" s="26" t="s">
        <v>11277</v>
      </c>
      <c r="L212" s="26" t="s">
        <v>11488</v>
      </c>
      <c r="M212" s="30" t="s">
        <v>11368</v>
      </c>
      <c r="N212" s="29" t="s">
        <v>11522</v>
      </c>
      <c r="O212" s="26">
        <v>5460</v>
      </c>
      <c r="P212" s="26" t="s">
        <v>11482</v>
      </c>
      <c r="Q212" s="37">
        <v>18</v>
      </c>
      <c r="R212" s="35" t="s">
        <v>11276</v>
      </c>
      <c r="S212" s="26" t="s">
        <v>8247</v>
      </c>
      <c r="T212" s="31" t="s">
        <v>8244</v>
      </c>
      <c r="U212" s="26" t="s">
        <v>11483</v>
      </c>
    </row>
    <row r="213" s="21" customFormat="1" spans="1:21">
      <c r="A213" s="28" t="s">
        <v>1384</v>
      </c>
      <c r="B213" s="26" t="str">
        <f>VLOOKUP(C213,[1]干线管道!B:C,2,FALSE)</f>
        <v>一级</v>
      </c>
      <c r="C213" s="26" t="s">
        <v>43</v>
      </c>
      <c r="D213" s="26" t="s">
        <v>304</v>
      </c>
      <c r="E213" s="26" t="s">
        <v>214</v>
      </c>
      <c r="F213" s="30" t="s">
        <v>11324</v>
      </c>
      <c r="G213" s="30" t="s">
        <v>11176</v>
      </c>
      <c r="H213" s="29" t="s">
        <v>11523</v>
      </c>
      <c r="I213" s="26" t="s">
        <v>11287</v>
      </c>
      <c r="J213" s="26" t="s">
        <v>11270</v>
      </c>
      <c r="K213" s="26" t="s">
        <v>11277</v>
      </c>
      <c r="L213" s="26" t="s">
        <v>11488</v>
      </c>
      <c r="M213" s="30" t="s">
        <v>11368</v>
      </c>
      <c r="N213" s="29" t="s">
        <v>11522</v>
      </c>
      <c r="O213" s="26">
        <v>5460</v>
      </c>
      <c r="P213" s="26" t="s">
        <v>11482</v>
      </c>
      <c r="Q213" s="37">
        <v>18</v>
      </c>
      <c r="R213" s="35" t="s">
        <v>11276</v>
      </c>
      <c r="S213" s="26"/>
      <c r="T213" s="31" t="s">
        <v>8244</v>
      </c>
      <c r="U213" s="26"/>
    </row>
    <row r="214" s="21" customFormat="1" spans="1:21">
      <c r="A214" s="28" t="s">
        <v>1384</v>
      </c>
      <c r="B214" s="26" t="str">
        <f>VLOOKUP(C214,[1]干线管道!B:C,2,FALSE)</f>
        <v>一级</v>
      </c>
      <c r="C214" s="26" t="s">
        <v>43</v>
      </c>
      <c r="D214" s="26" t="s">
        <v>304</v>
      </c>
      <c r="E214" s="26" t="s">
        <v>214</v>
      </c>
      <c r="F214" s="30" t="s">
        <v>11324</v>
      </c>
      <c r="G214" s="30" t="s">
        <v>9245</v>
      </c>
      <c r="H214" s="39" t="s">
        <v>11524</v>
      </c>
      <c r="I214" s="26" t="s">
        <v>11287</v>
      </c>
      <c r="J214" s="26" t="s">
        <v>11270</v>
      </c>
      <c r="K214" s="26" t="s">
        <v>11277</v>
      </c>
      <c r="L214" s="26" t="s">
        <v>11488</v>
      </c>
      <c r="M214" s="30" t="s">
        <v>11368</v>
      </c>
      <c r="N214" s="29" t="s">
        <v>11522</v>
      </c>
      <c r="O214" s="26">
        <v>5460</v>
      </c>
      <c r="P214" s="26" t="s">
        <v>11482</v>
      </c>
      <c r="Q214" s="37">
        <v>18</v>
      </c>
      <c r="R214" s="35" t="s">
        <v>11276</v>
      </c>
      <c r="S214" s="26"/>
      <c r="T214" s="31" t="s">
        <v>8244</v>
      </c>
      <c r="U214" s="26"/>
    </row>
    <row r="215" s="21" customFormat="1" spans="1:21">
      <c r="A215" s="28" t="s">
        <v>1384</v>
      </c>
      <c r="B215" s="26" t="str">
        <f>VLOOKUP(C215,[1]干线管道!B:C,2,FALSE)</f>
        <v>一级</v>
      </c>
      <c r="C215" s="26" t="s">
        <v>43</v>
      </c>
      <c r="D215" s="26" t="s">
        <v>304</v>
      </c>
      <c r="E215" s="26" t="s">
        <v>214</v>
      </c>
      <c r="F215" s="30" t="s">
        <v>11324</v>
      </c>
      <c r="G215" s="30" t="s">
        <v>10755</v>
      </c>
      <c r="H215" s="39" t="s">
        <v>11465</v>
      </c>
      <c r="I215" s="26" t="s">
        <v>11287</v>
      </c>
      <c r="J215" s="26" t="s">
        <v>11270</v>
      </c>
      <c r="K215" s="26" t="s">
        <v>11277</v>
      </c>
      <c r="L215" s="26" t="s">
        <v>11488</v>
      </c>
      <c r="M215" s="30" t="s">
        <v>11368</v>
      </c>
      <c r="N215" s="29" t="s">
        <v>11522</v>
      </c>
      <c r="O215" s="26">
        <v>5460</v>
      </c>
      <c r="P215" s="26" t="s">
        <v>11482</v>
      </c>
      <c r="Q215" s="37">
        <v>18</v>
      </c>
      <c r="R215" s="35" t="s">
        <v>11276</v>
      </c>
      <c r="S215" s="26"/>
      <c r="T215" s="31" t="s">
        <v>8244</v>
      </c>
      <c r="U215" s="26"/>
    </row>
    <row r="216" s="21" customFormat="1" spans="1:21">
      <c r="A216" s="28" t="s">
        <v>1384</v>
      </c>
      <c r="B216" s="26" t="str">
        <f>VLOOKUP(C216,[1]干线管道!B:C,2,FALSE)</f>
        <v>一级</v>
      </c>
      <c r="C216" s="26" t="s">
        <v>43</v>
      </c>
      <c r="D216" s="26" t="s">
        <v>304</v>
      </c>
      <c r="E216" s="26" t="s">
        <v>220</v>
      </c>
      <c r="F216" s="30" t="s">
        <v>11324</v>
      </c>
      <c r="G216" s="30" t="s">
        <v>11268</v>
      </c>
      <c r="H216" s="29" t="s">
        <v>11465</v>
      </c>
      <c r="I216" s="26" t="s">
        <v>11287</v>
      </c>
      <c r="J216" s="26" t="s">
        <v>11270</v>
      </c>
      <c r="K216" s="26" t="s">
        <v>11312</v>
      </c>
      <c r="L216" s="26" t="s">
        <v>11497</v>
      </c>
      <c r="M216" s="30" t="s">
        <v>11368</v>
      </c>
      <c r="N216" s="29" t="s">
        <v>11489</v>
      </c>
      <c r="O216" s="26">
        <v>5460</v>
      </c>
      <c r="P216" s="26" t="s">
        <v>11525</v>
      </c>
      <c r="Q216" s="37">
        <v>18</v>
      </c>
      <c r="R216" s="35" t="s">
        <v>11276</v>
      </c>
      <c r="S216" s="34" t="s">
        <v>8247</v>
      </c>
      <c r="T216" s="31" t="s">
        <v>8244</v>
      </c>
      <c r="U216" s="26" t="s">
        <v>11483</v>
      </c>
    </row>
    <row r="217" s="21" customFormat="1" spans="1:21">
      <c r="A217" s="28" t="s">
        <v>1384</v>
      </c>
      <c r="B217" s="26" t="str">
        <f>VLOOKUP(C217,[1]干线管道!B:C,2,FALSE)</f>
        <v>一级</v>
      </c>
      <c r="C217" s="26" t="s">
        <v>43</v>
      </c>
      <c r="D217" s="26" t="s">
        <v>304</v>
      </c>
      <c r="E217" s="26" t="s">
        <v>220</v>
      </c>
      <c r="F217" s="30" t="s">
        <v>11324</v>
      </c>
      <c r="G217" s="30" t="s">
        <v>11176</v>
      </c>
      <c r="H217" s="29" t="s">
        <v>11526</v>
      </c>
      <c r="I217" s="26" t="s">
        <v>11287</v>
      </c>
      <c r="J217" s="26" t="s">
        <v>11270</v>
      </c>
      <c r="K217" s="26" t="s">
        <v>11312</v>
      </c>
      <c r="L217" s="26" t="s">
        <v>11497</v>
      </c>
      <c r="M217" s="30" t="s">
        <v>11368</v>
      </c>
      <c r="N217" s="29" t="s">
        <v>11489</v>
      </c>
      <c r="O217" s="26">
        <v>5460</v>
      </c>
      <c r="P217" s="26" t="s">
        <v>11525</v>
      </c>
      <c r="Q217" s="37">
        <v>18</v>
      </c>
      <c r="R217" s="35" t="s">
        <v>11276</v>
      </c>
      <c r="S217" s="59"/>
      <c r="T217" s="31" t="s">
        <v>8244</v>
      </c>
      <c r="U217" s="26"/>
    </row>
    <row r="218" s="21" customFormat="1" spans="1:21">
      <c r="A218" s="28" t="s">
        <v>1384</v>
      </c>
      <c r="B218" s="26" t="str">
        <f>VLOOKUP(C218,[1]干线管道!B:C,2,FALSE)</f>
        <v>一级</v>
      </c>
      <c r="C218" s="26" t="s">
        <v>43</v>
      </c>
      <c r="D218" s="26" t="s">
        <v>304</v>
      </c>
      <c r="E218" s="26" t="s">
        <v>220</v>
      </c>
      <c r="F218" s="30" t="s">
        <v>11324</v>
      </c>
      <c r="G218" s="30" t="s">
        <v>9245</v>
      </c>
      <c r="H218" s="39" t="s">
        <v>11527</v>
      </c>
      <c r="I218" s="26" t="s">
        <v>11287</v>
      </c>
      <c r="J218" s="26" t="s">
        <v>11270</v>
      </c>
      <c r="K218" s="26" t="s">
        <v>11312</v>
      </c>
      <c r="L218" s="26" t="s">
        <v>11497</v>
      </c>
      <c r="M218" s="30" t="s">
        <v>11368</v>
      </c>
      <c r="N218" s="29" t="s">
        <v>11489</v>
      </c>
      <c r="O218" s="26">
        <v>5460</v>
      </c>
      <c r="P218" s="26" t="s">
        <v>11525</v>
      </c>
      <c r="Q218" s="37">
        <v>18</v>
      </c>
      <c r="R218" s="35" t="s">
        <v>11276</v>
      </c>
      <c r="S218" s="59"/>
      <c r="T218" s="31" t="s">
        <v>8244</v>
      </c>
      <c r="U218" s="26"/>
    </row>
    <row r="219" s="21" customFormat="1" spans="1:21">
      <c r="A219" s="28" t="s">
        <v>1384</v>
      </c>
      <c r="B219" s="26" t="str">
        <f>VLOOKUP(C219,[1]干线管道!B:C,2,FALSE)</f>
        <v>一级</v>
      </c>
      <c r="C219" s="26" t="s">
        <v>43</v>
      </c>
      <c r="D219" s="26" t="s">
        <v>304</v>
      </c>
      <c r="E219" s="26" t="s">
        <v>220</v>
      </c>
      <c r="F219" s="30" t="s">
        <v>11324</v>
      </c>
      <c r="G219" s="30" t="s">
        <v>10755</v>
      </c>
      <c r="H219" s="39" t="s">
        <v>11528</v>
      </c>
      <c r="I219" s="26" t="s">
        <v>11287</v>
      </c>
      <c r="J219" s="26" t="s">
        <v>11296</v>
      </c>
      <c r="K219" s="26" t="s">
        <v>11339</v>
      </c>
      <c r="L219" s="26" t="s">
        <v>11278</v>
      </c>
      <c r="M219" s="30" t="s">
        <v>11529</v>
      </c>
      <c r="N219" s="29" t="s">
        <v>11274</v>
      </c>
      <c r="O219" s="26">
        <v>5040</v>
      </c>
      <c r="P219" s="26" t="s">
        <v>10772</v>
      </c>
      <c r="Q219" s="37">
        <v>18</v>
      </c>
      <c r="R219" s="35" t="s">
        <v>11276</v>
      </c>
      <c r="S219" s="50"/>
      <c r="T219" s="31" t="s">
        <v>11459</v>
      </c>
      <c r="U219" s="26"/>
    </row>
    <row r="220" s="21" customFormat="1" spans="1:21">
      <c r="A220" s="28" t="s">
        <v>1384</v>
      </c>
      <c r="B220" s="26" t="str">
        <f>VLOOKUP(C220,[1]干线管道!B:C,2,FALSE)</f>
        <v>一级</v>
      </c>
      <c r="C220" s="26" t="s">
        <v>43</v>
      </c>
      <c r="D220" s="26" t="s">
        <v>304</v>
      </c>
      <c r="E220" s="26" t="s">
        <v>2430</v>
      </c>
      <c r="F220" s="26" t="s">
        <v>11324</v>
      </c>
      <c r="G220" s="26" t="s">
        <v>11268</v>
      </c>
      <c r="H220" s="29" t="s">
        <v>11530</v>
      </c>
      <c r="I220" s="26" t="s">
        <v>11287</v>
      </c>
      <c r="J220" s="26" t="s">
        <v>11296</v>
      </c>
      <c r="K220" s="26" t="s">
        <v>11339</v>
      </c>
      <c r="L220" s="26" t="s">
        <v>11278</v>
      </c>
      <c r="M220" s="30" t="s">
        <v>11531</v>
      </c>
      <c r="N220" s="29" t="s">
        <v>11274</v>
      </c>
      <c r="O220" s="26">
        <v>5040</v>
      </c>
      <c r="P220" s="26" t="s">
        <v>11345</v>
      </c>
      <c r="Q220" s="37">
        <v>20</v>
      </c>
      <c r="R220" s="35" t="s">
        <v>11276</v>
      </c>
      <c r="S220" s="34" t="s">
        <v>8247</v>
      </c>
      <c r="T220" s="31" t="s">
        <v>8244</v>
      </c>
      <c r="U220" s="26" t="s">
        <v>11483</v>
      </c>
    </row>
    <row r="221" s="21" customFormat="1" spans="1:21">
      <c r="A221" s="28" t="s">
        <v>1384</v>
      </c>
      <c r="B221" s="26" t="str">
        <f>VLOOKUP(C221,[1]干线管道!B:C,2,FALSE)</f>
        <v>一级</v>
      </c>
      <c r="C221" s="26" t="s">
        <v>43</v>
      </c>
      <c r="D221" s="26" t="s">
        <v>304</v>
      </c>
      <c r="E221" s="26" t="s">
        <v>2430</v>
      </c>
      <c r="F221" s="26" t="s">
        <v>11324</v>
      </c>
      <c r="G221" s="26" t="s">
        <v>11176</v>
      </c>
      <c r="H221" s="39" t="s">
        <v>11532</v>
      </c>
      <c r="I221" s="26" t="s">
        <v>11287</v>
      </c>
      <c r="J221" s="26" t="s">
        <v>11296</v>
      </c>
      <c r="K221" s="26" t="s">
        <v>11339</v>
      </c>
      <c r="L221" s="26" t="s">
        <v>11278</v>
      </c>
      <c r="M221" s="30" t="s">
        <v>11531</v>
      </c>
      <c r="N221" s="29" t="s">
        <v>11274</v>
      </c>
      <c r="O221" s="26">
        <v>5040</v>
      </c>
      <c r="P221" s="26" t="s">
        <v>11345</v>
      </c>
      <c r="Q221" s="37">
        <v>20</v>
      </c>
      <c r="R221" s="35" t="s">
        <v>11276</v>
      </c>
      <c r="S221" s="59"/>
      <c r="T221" s="31" t="s">
        <v>8244</v>
      </c>
      <c r="U221" s="26"/>
    </row>
    <row r="222" s="21" customFormat="1" spans="1:21">
      <c r="A222" s="28" t="s">
        <v>1384</v>
      </c>
      <c r="B222" s="26" t="str">
        <f>VLOOKUP(C222,[1]干线管道!B:C,2,FALSE)</f>
        <v>一级</v>
      </c>
      <c r="C222" s="26" t="s">
        <v>43</v>
      </c>
      <c r="D222" s="26" t="s">
        <v>304</v>
      </c>
      <c r="E222" s="26" t="s">
        <v>2430</v>
      </c>
      <c r="F222" s="26" t="s">
        <v>11324</v>
      </c>
      <c r="G222" s="26" t="s">
        <v>9245</v>
      </c>
      <c r="H222" s="39" t="s">
        <v>11532</v>
      </c>
      <c r="I222" s="26" t="s">
        <v>11287</v>
      </c>
      <c r="J222" s="26" t="s">
        <v>11296</v>
      </c>
      <c r="K222" s="26" t="s">
        <v>11339</v>
      </c>
      <c r="L222" s="26" t="s">
        <v>11278</v>
      </c>
      <c r="M222" s="30" t="s">
        <v>11531</v>
      </c>
      <c r="N222" s="29" t="s">
        <v>11274</v>
      </c>
      <c r="O222" s="26">
        <v>5040</v>
      </c>
      <c r="P222" s="26" t="s">
        <v>11345</v>
      </c>
      <c r="Q222" s="37">
        <v>20</v>
      </c>
      <c r="R222" s="35" t="s">
        <v>11276</v>
      </c>
      <c r="S222" s="59"/>
      <c r="T222" s="31" t="s">
        <v>8244</v>
      </c>
      <c r="U222" s="26"/>
    </row>
    <row r="223" s="21" customFormat="1" spans="1:21">
      <c r="A223" s="28" t="s">
        <v>1384</v>
      </c>
      <c r="B223" s="26" t="str">
        <f>VLOOKUP(C223,[1]干线管道!B:C,2,FALSE)</f>
        <v>一级</v>
      </c>
      <c r="C223" s="26" t="s">
        <v>43</v>
      </c>
      <c r="D223" s="26" t="s">
        <v>304</v>
      </c>
      <c r="E223" s="26" t="s">
        <v>2430</v>
      </c>
      <c r="F223" s="26" t="s">
        <v>11324</v>
      </c>
      <c r="G223" s="26" t="s">
        <v>10755</v>
      </c>
      <c r="H223" s="39" t="s">
        <v>11528</v>
      </c>
      <c r="I223" s="26" t="s">
        <v>11287</v>
      </c>
      <c r="J223" s="26" t="s">
        <v>11296</v>
      </c>
      <c r="K223" s="26" t="s">
        <v>11339</v>
      </c>
      <c r="L223" s="26" t="s">
        <v>11278</v>
      </c>
      <c r="M223" s="30" t="s">
        <v>11521</v>
      </c>
      <c r="N223" s="29" t="s">
        <v>11274</v>
      </c>
      <c r="O223" s="26">
        <v>5040</v>
      </c>
      <c r="P223" s="26" t="s">
        <v>11345</v>
      </c>
      <c r="Q223" s="37">
        <v>18</v>
      </c>
      <c r="R223" s="35" t="s">
        <v>11276</v>
      </c>
      <c r="S223" s="50"/>
      <c r="T223" s="31" t="s">
        <v>11459</v>
      </c>
      <c r="U223" s="26"/>
    </row>
    <row r="224" s="21" customFormat="1" spans="1:21">
      <c r="A224" s="28" t="s">
        <v>1384</v>
      </c>
      <c r="B224" s="26" t="str">
        <f>VLOOKUP(C224,[1]干线管道!B:C,2,FALSE)</f>
        <v>一级</v>
      </c>
      <c r="C224" s="26" t="s">
        <v>43</v>
      </c>
      <c r="D224" s="26" t="s">
        <v>304</v>
      </c>
      <c r="E224" s="26" t="s">
        <v>462</v>
      </c>
      <c r="F224" s="30" t="s">
        <v>11324</v>
      </c>
      <c r="G224" s="30" t="s">
        <v>11268</v>
      </c>
      <c r="H224" s="29" t="s">
        <v>11533</v>
      </c>
      <c r="I224" s="26" t="s">
        <v>11287</v>
      </c>
      <c r="J224" s="26" t="s">
        <v>11270</v>
      </c>
      <c r="K224" s="26" t="s">
        <v>11312</v>
      </c>
      <c r="L224" s="26" t="s">
        <v>11497</v>
      </c>
      <c r="M224" s="30" t="s">
        <v>11368</v>
      </c>
      <c r="N224" s="29" t="s">
        <v>11489</v>
      </c>
      <c r="O224" s="26">
        <v>5460</v>
      </c>
      <c r="P224" s="55" t="s">
        <v>11534</v>
      </c>
      <c r="Q224" s="37">
        <v>18</v>
      </c>
      <c r="R224" s="35" t="s">
        <v>11276</v>
      </c>
      <c r="S224" s="26" t="s">
        <v>8247</v>
      </c>
      <c r="T224" s="31" t="s">
        <v>8244</v>
      </c>
      <c r="U224" s="26" t="s">
        <v>11483</v>
      </c>
    </row>
    <row r="225" s="21" customFormat="1" spans="1:21">
      <c r="A225" s="28" t="s">
        <v>1384</v>
      </c>
      <c r="B225" s="26" t="str">
        <f>VLOOKUP(C225,[1]干线管道!B:C,2,FALSE)</f>
        <v>一级</v>
      </c>
      <c r="C225" s="26" t="s">
        <v>43</v>
      </c>
      <c r="D225" s="26" t="s">
        <v>304</v>
      </c>
      <c r="E225" s="26" t="s">
        <v>462</v>
      </c>
      <c r="F225" s="30" t="s">
        <v>11324</v>
      </c>
      <c r="G225" s="30" t="s">
        <v>11176</v>
      </c>
      <c r="H225" s="29" t="s">
        <v>11533</v>
      </c>
      <c r="I225" s="26" t="s">
        <v>11287</v>
      </c>
      <c r="J225" s="26" t="s">
        <v>11270</v>
      </c>
      <c r="K225" s="26" t="s">
        <v>11312</v>
      </c>
      <c r="L225" s="26" t="s">
        <v>11497</v>
      </c>
      <c r="M225" s="30" t="s">
        <v>11368</v>
      </c>
      <c r="N225" s="29" t="s">
        <v>11489</v>
      </c>
      <c r="O225" s="26">
        <v>5460</v>
      </c>
      <c r="P225" s="55" t="s">
        <v>11534</v>
      </c>
      <c r="Q225" s="37">
        <v>18</v>
      </c>
      <c r="R225" s="35" t="s">
        <v>11276</v>
      </c>
      <c r="S225" s="26"/>
      <c r="T225" s="31" t="s">
        <v>8244</v>
      </c>
      <c r="U225" s="26"/>
    </row>
    <row r="226" s="21" customFormat="1" spans="1:21">
      <c r="A226" s="28" t="s">
        <v>1384</v>
      </c>
      <c r="B226" s="26" t="str">
        <f>VLOOKUP(C226,[1]干线管道!B:C,2,FALSE)</f>
        <v>一级</v>
      </c>
      <c r="C226" s="26" t="s">
        <v>43</v>
      </c>
      <c r="D226" s="26" t="s">
        <v>304</v>
      </c>
      <c r="E226" s="26" t="s">
        <v>462</v>
      </c>
      <c r="F226" s="30" t="s">
        <v>11324</v>
      </c>
      <c r="G226" s="30" t="s">
        <v>9245</v>
      </c>
      <c r="H226" s="39" t="s">
        <v>11535</v>
      </c>
      <c r="I226" s="26" t="s">
        <v>11287</v>
      </c>
      <c r="J226" s="26" t="s">
        <v>11270</v>
      </c>
      <c r="K226" s="26" t="s">
        <v>11312</v>
      </c>
      <c r="L226" s="26" t="s">
        <v>11497</v>
      </c>
      <c r="M226" s="30" t="s">
        <v>11368</v>
      </c>
      <c r="N226" s="29" t="s">
        <v>11489</v>
      </c>
      <c r="O226" s="26">
        <v>5460</v>
      </c>
      <c r="P226" s="55" t="s">
        <v>11534</v>
      </c>
      <c r="Q226" s="37">
        <v>18</v>
      </c>
      <c r="R226" s="35" t="s">
        <v>11276</v>
      </c>
      <c r="S226" s="26"/>
      <c r="T226" s="31" t="s">
        <v>8244</v>
      </c>
      <c r="U226" s="26"/>
    </row>
    <row r="227" s="21" customFormat="1" spans="1:21">
      <c r="A227" s="28" t="s">
        <v>1384</v>
      </c>
      <c r="B227" s="26" t="str">
        <f>VLOOKUP(C227,[1]干线管道!B:C,2,FALSE)</f>
        <v>一级</v>
      </c>
      <c r="C227" s="26" t="s">
        <v>43</v>
      </c>
      <c r="D227" s="26" t="s">
        <v>304</v>
      </c>
      <c r="E227" s="26" t="s">
        <v>462</v>
      </c>
      <c r="F227" s="30" t="s">
        <v>11324</v>
      </c>
      <c r="G227" s="30" t="s">
        <v>10755</v>
      </c>
      <c r="H227" s="39" t="s">
        <v>11536</v>
      </c>
      <c r="I227" s="26" t="s">
        <v>11287</v>
      </c>
      <c r="J227" s="26" t="s">
        <v>11270</v>
      </c>
      <c r="K227" s="26" t="s">
        <v>11312</v>
      </c>
      <c r="L227" s="26" t="s">
        <v>11497</v>
      </c>
      <c r="M227" s="30" t="s">
        <v>11368</v>
      </c>
      <c r="N227" s="29" t="s">
        <v>11489</v>
      </c>
      <c r="O227" s="26">
        <v>5460</v>
      </c>
      <c r="P227" s="55" t="s">
        <v>11534</v>
      </c>
      <c r="Q227" s="37">
        <v>18</v>
      </c>
      <c r="R227" s="35" t="s">
        <v>11276</v>
      </c>
      <c r="S227" s="26"/>
      <c r="T227" s="31" t="s">
        <v>8244</v>
      </c>
      <c r="U227" s="26"/>
    </row>
    <row r="228" s="21" customFormat="1" spans="1:21">
      <c r="A228" s="28" t="s">
        <v>1491</v>
      </c>
      <c r="B228" s="26" t="str">
        <f>VLOOKUP(C228,[1]干线管道!B:C,2,FALSE)</f>
        <v>一级</v>
      </c>
      <c r="C228" s="26" t="s">
        <v>43</v>
      </c>
      <c r="D228" s="26" t="s">
        <v>331</v>
      </c>
      <c r="E228" s="26" t="s">
        <v>114</v>
      </c>
      <c r="F228" s="30" t="s">
        <v>11267</v>
      </c>
      <c r="G228" s="30" t="s">
        <v>11268</v>
      </c>
      <c r="H228" s="39" t="s">
        <v>11537</v>
      </c>
      <c r="I228" s="26" t="s">
        <v>11287</v>
      </c>
      <c r="J228" s="26" t="s">
        <v>11296</v>
      </c>
      <c r="K228" s="26" t="s">
        <v>11443</v>
      </c>
      <c r="L228" s="26" t="s">
        <v>11309</v>
      </c>
      <c r="M228" s="30" t="s">
        <v>11538</v>
      </c>
      <c r="N228" s="26" t="s">
        <v>11349</v>
      </c>
      <c r="O228" s="26">
        <v>5040</v>
      </c>
      <c r="P228" s="26" t="s">
        <v>11286</v>
      </c>
      <c r="Q228" s="37">
        <v>18</v>
      </c>
      <c r="R228" s="36" t="s">
        <v>11276</v>
      </c>
      <c r="S228" s="26" t="s">
        <v>8247</v>
      </c>
      <c r="T228" s="31" t="s">
        <v>8218</v>
      </c>
      <c r="U228" s="26"/>
    </row>
    <row r="229" s="21" customFormat="1" spans="1:21">
      <c r="A229" s="28" t="s">
        <v>1491</v>
      </c>
      <c r="B229" s="26" t="str">
        <f>VLOOKUP(C229,[1]干线管道!B:C,2,FALSE)</f>
        <v>一级</v>
      </c>
      <c r="C229" s="26" t="s">
        <v>43</v>
      </c>
      <c r="D229" s="26" t="s">
        <v>331</v>
      </c>
      <c r="E229" s="26" t="s">
        <v>114</v>
      </c>
      <c r="F229" s="30" t="s">
        <v>11267</v>
      </c>
      <c r="G229" s="30" t="s">
        <v>11176</v>
      </c>
      <c r="H229" s="39" t="s">
        <v>11539</v>
      </c>
      <c r="I229" s="26" t="s">
        <v>11287</v>
      </c>
      <c r="J229" s="26" t="s">
        <v>11296</v>
      </c>
      <c r="K229" s="26" t="s">
        <v>11339</v>
      </c>
      <c r="L229" s="26" t="s">
        <v>11309</v>
      </c>
      <c r="M229" s="30" t="s">
        <v>11538</v>
      </c>
      <c r="N229" s="26" t="s">
        <v>11349</v>
      </c>
      <c r="O229" s="26">
        <v>5040</v>
      </c>
      <c r="P229" s="26" t="s">
        <v>11286</v>
      </c>
      <c r="Q229" s="37">
        <v>18</v>
      </c>
      <c r="R229" s="36" t="s">
        <v>11276</v>
      </c>
      <c r="S229" s="26"/>
      <c r="T229" s="31" t="s">
        <v>8218</v>
      </c>
      <c r="U229" s="26"/>
    </row>
    <row r="230" s="21" customFormat="1" spans="1:21">
      <c r="A230" s="28" t="s">
        <v>1491</v>
      </c>
      <c r="B230" s="26" t="str">
        <f>VLOOKUP(C230,[1]干线管道!B:C,2,FALSE)</f>
        <v>一级</v>
      </c>
      <c r="C230" s="26" t="s">
        <v>43</v>
      </c>
      <c r="D230" s="26" t="s">
        <v>331</v>
      </c>
      <c r="E230" s="26" t="s">
        <v>114</v>
      </c>
      <c r="F230" s="30" t="s">
        <v>11267</v>
      </c>
      <c r="G230" s="30" t="s">
        <v>9245</v>
      </c>
      <c r="H230" s="39" t="s">
        <v>11540</v>
      </c>
      <c r="I230" s="26" t="s">
        <v>11287</v>
      </c>
      <c r="J230" s="26" t="s">
        <v>11296</v>
      </c>
      <c r="K230" s="26" t="s">
        <v>11339</v>
      </c>
      <c r="L230" s="26" t="s">
        <v>11309</v>
      </c>
      <c r="M230" s="30" t="s">
        <v>11538</v>
      </c>
      <c r="N230" s="26" t="s">
        <v>11349</v>
      </c>
      <c r="O230" s="26">
        <v>5040</v>
      </c>
      <c r="P230" s="26" t="s">
        <v>11286</v>
      </c>
      <c r="Q230" s="37">
        <v>18</v>
      </c>
      <c r="R230" s="36" t="s">
        <v>11276</v>
      </c>
      <c r="S230" s="26"/>
      <c r="T230" s="31" t="s">
        <v>8218</v>
      </c>
      <c r="U230" s="26"/>
    </row>
    <row r="231" s="21" customFormat="1" spans="1:21">
      <c r="A231" s="28" t="s">
        <v>1491</v>
      </c>
      <c r="B231" s="26" t="str">
        <f>VLOOKUP(C231,[1]干线管道!B:C,2,FALSE)</f>
        <v>一级</v>
      </c>
      <c r="C231" s="26" t="s">
        <v>43</v>
      </c>
      <c r="D231" s="26" t="s">
        <v>331</v>
      </c>
      <c r="E231" s="26" t="s">
        <v>1533</v>
      </c>
      <c r="F231" s="30" t="s">
        <v>11267</v>
      </c>
      <c r="G231" s="30" t="s">
        <v>11268</v>
      </c>
      <c r="H231" s="39"/>
      <c r="I231" s="26" t="s">
        <v>11269</v>
      </c>
      <c r="J231" s="26" t="s">
        <v>11270</v>
      </c>
      <c r="K231" s="26" t="s">
        <v>11271</v>
      </c>
      <c r="L231" s="26" t="s">
        <v>11541</v>
      </c>
      <c r="M231" s="30" t="s">
        <v>11542</v>
      </c>
      <c r="N231" s="26" t="s">
        <v>11274</v>
      </c>
      <c r="O231" s="26">
        <v>5040</v>
      </c>
      <c r="P231" s="26" t="s">
        <v>10772</v>
      </c>
      <c r="Q231" s="37">
        <v>31</v>
      </c>
      <c r="R231" s="36" t="s">
        <v>11276</v>
      </c>
      <c r="S231" s="26"/>
      <c r="T231" s="31" t="s">
        <v>8218</v>
      </c>
      <c r="U231" s="26"/>
    </row>
    <row r="232" s="21" customFormat="1" spans="1:21">
      <c r="A232" s="28" t="s">
        <v>1491</v>
      </c>
      <c r="B232" s="26" t="str">
        <f>VLOOKUP(C232,[1]干线管道!B:C,2,FALSE)</f>
        <v>一级</v>
      </c>
      <c r="C232" s="26" t="s">
        <v>43</v>
      </c>
      <c r="D232" s="26" t="s">
        <v>331</v>
      </c>
      <c r="E232" s="26" t="s">
        <v>1533</v>
      </c>
      <c r="F232" s="30" t="s">
        <v>11267</v>
      </c>
      <c r="G232" s="30" t="s">
        <v>11176</v>
      </c>
      <c r="H232" s="39"/>
      <c r="I232" s="26" t="s">
        <v>11269</v>
      </c>
      <c r="J232" s="26" t="s">
        <v>11270</v>
      </c>
      <c r="K232" s="26" t="s">
        <v>11271</v>
      </c>
      <c r="L232" s="26" t="s">
        <v>11541</v>
      </c>
      <c r="M232" s="30" t="s">
        <v>11542</v>
      </c>
      <c r="N232" s="26" t="s">
        <v>11274</v>
      </c>
      <c r="O232" s="26">
        <v>5040</v>
      </c>
      <c r="P232" s="26" t="s">
        <v>10772</v>
      </c>
      <c r="Q232" s="37">
        <v>31</v>
      </c>
      <c r="R232" s="36" t="s">
        <v>11276</v>
      </c>
      <c r="S232" s="26"/>
      <c r="T232" s="31" t="s">
        <v>8218</v>
      </c>
      <c r="U232" s="26"/>
    </row>
    <row r="233" s="21" customFormat="1" spans="1:21">
      <c r="A233" s="28" t="s">
        <v>1491</v>
      </c>
      <c r="B233" s="26" t="str">
        <f>VLOOKUP(C233,[1]干线管道!B:C,2,FALSE)</f>
        <v>一级</v>
      </c>
      <c r="C233" s="26" t="s">
        <v>43</v>
      </c>
      <c r="D233" s="26" t="s">
        <v>331</v>
      </c>
      <c r="E233" s="26" t="s">
        <v>1533</v>
      </c>
      <c r="F233" s="30" t="s">
        <v>11267</v>
      </c>
      <c r="G233" s="30" t="s">
        <v>9245</v>
      </c>
      <c r="H233" s="39"/>
      <c r="I233" s="26" t="s">
        <v>11269</v>
      </c>
      <c r="J233" s="26" t="s">
        <v>11270</v>
      </c>
      <c r="K233" s="26" t="s">
        <v>11271</v>
      </c>
      <c r="L233" s="26" t="s">
        <v>11541</v>
      </c>
      <c r="M233" s="30" t="s">
        <v>11542</v>
      </c>
      <c r="N233" s="26" t="s">
        <v>11274</v>
      </c>
      <c r="O233" s="26">
        <v>5040</v>
      </c>
      <c r="P233" s="26" t="s">
        <v>10772</v>
      </c>
      <c r="Q233" s="37">
        <v>31</v>
      </c>
      <c r="R233" s="36" t="s">
        <v>11276</v>
      </c>
      <c r="S233" s="26"/>
      <c r="T233" s="31" t="s">
        <v>8218</v>
      </c>
      <c r="U233" s="26"/>
    </row>
    <row r="234" s="21" customFormat="1" spans="1:21">
      <c r="A234" s="28" t="s">
        <v>2048</v>
      </c>
      <c r="B234" s="26" t="str">
        <f>VLOOKUP(C234,[1]干线管道!B:C,2,FALSE)</f>
        <v>一级</v>
      </c>
      <c r="C234" s="26" t="str">
        <f>VLOOKUP(E234,[1]站场阀室!A:D,3,FALSE)</f>
        <v>陕京一线</v>
      </c>
      <c r="D234" s="26" t="str">
        <f>VLOOKUP(E234,[1]站场阀室!A:D,4,FALSE)</f>
        <v>陕京一线干线</v>
      </c>
      <c r="E234" s="26" t="s">
        <v>351</v>
      </c>
      <c r="F234" s="26" t="s">
        <v>11310</v>
      </c>
      <c r="G234" s="26" t="s">
        <v>11543</v>
      </c>
      <c r="H234" s="29">
        <v>38695</v>
      </c>
      <c r="I234" s="26"/>
      <c r="J234" s="26"/>
      <c r="K234" s="26" t="s">
        <v>11297</v>
      </c>
      <c r="L234" s="26" t="s">
        <v>11544</v>
      </c>
      <c r="M234" s="26" t="s">
        <v>11545</v>
      </c>
      <c r="N234" s="56" t="s">
        <v>11546</v>
      </c>
      <c r="O234" s="56">
        <v>1000</v>
      </c>
      <c r="P234" s="57" t="s">
        <v>11547</v>
      </c>
      <c r="Q234" s="60">
        <v>1.324</v>
      </c>
      <c r="R234" s="26"/>
      <c r="S234" s="26" t="s">
        <v>147</v>
      </c>
      <c r="T234" s="31" t="s">
        <v>11302</v>
      </c>
      <c r="U234" s="26" t="s">
        <v>11548</v>
      </c>
    </row>
    <row r="235" s="21" customFormat="1" spans="1:21">
      <c r="A235" s="28" t="s">
        <v>2048</v>
      </c>
      <c r="B235" s="26" t="str">
        <f>VLOOKUP(C235,[1]干线管道!B:C,2,FALSE)</f>
        <v>一级</v>
      </c>
      <c r="C235" s="26" t="str">
        <f>VLOOKUP(E235,[1]站场阀室!A:D,3,FALSE)</f>
        <v>陕京一线</v>
      </c>
      <c r="D235" s="26" t="str">
        <f>VLOOKUP(E235,[1]站场阀室!A:D,4,FALSE)</f>
        <v>陕京一线干线</v>
      </c>
      <c r="E235" s="26" t="s">
        <v>381</v>
      </c>
      <c r="F235" s="26" t="s">
        <v>11549</v>
      </c>
      <c r="G235" s="26" t="s">
        <v>11543</v>
      </c>
      <c r="H235" s="29">
        <v>36434</v>
      </c>
      <c r="I235" s="26" t="s">
        <v>11269</v>
      </c>
      <c r="J235" s="26" t="s">
        <v>11270</v>
      </c>
      <c r="K235" s="26" t="s">
        <v>11550</v>
      </c>
      <c r="L235" s="26" t="s">
        <v>11551</v>
      </c>
      <c r="M235" s="26" t="s">
        <v>11552</v>
      </c>
      <c r="N235" s="26" t="s">
        <v>11452</v>
      </c>
      <c r="O235" s="26">
        <v>900</v>
      </c>
      <c r="P235" s="26" t="s">
        <v>8751</v>
      </c>
      <c r="Q235" s="33">
        <v>1.976</v>
      </c>
      <c r="R235" s="26"/>
      <c r="S235" s="26" t="s">
        <v>8247</v>
      </c>
      <c r="T235" s="31" t="s">
        <v>11302</v>
      </c>
      <c r="U235" s="26" t="s">
        <v>11553</v>
      </c>
    </row>
    <row r="236" s="21" customFormat="1" spans="1:21">
      <c r="A236" s="28" t="s">
        <v>2048</v>
      </c>
      <c r="B236" s="26" t="str">
        <f>VLOOKUP(C236,[1]干线管道!B:C,2,FALSE)</f>
        <v>一级</v>
      </c>
      <c r="C236" s="26" t="str">
        <f>VLOOKUP(E236,[1]站场阀室!A:D,3,FALSE)</f>
        <v>陕京一线</v>
      </c>
      <c r="D236" s="26" t="str">
        <f>VLOOKUP(E236,[1]站场阀室!A:D,4,FALSE)</f>
        <v>陕京一线干线</v>
      </c>
      <c r="E236" s="26" t="s">
        <v>381</v>
      </c>
      <c r="F236" s="26" t="s">
        <v>11549</v>
      </c>
      <c r="G236" s="26" t="s">
        <v>11554</v>
      </c>
      <c r="H236" s="29">
        <v>36434</v>
      </c>
      <c r="I236" s="26" t="s">
        <v>11269</v>
      </c>
      <c r="J236" s="26" t="s">
        <v>11270</v>
      </c>
      <c r="K236" s="26" t="s">
        <v>11550</v>
      </c>
      <c r="L236" s="26" t="s">
        <v>11551</v>
      </c>
      <c r="M236" s="26" t="s">
        <v>11552</v>
      </c>
      <c r="N236" s="26" t="s">
        <v>11452</v>
      </c>
      <c r="O236" s="26">
        <v>900</v>
      </c>
      <c r="P236" s="26" t="s">
        <v>8751</v>
      </c>
      <c r="Q236" s="33">
        <v>1.976</v>
      </c>
      <c r="R236" s="26"/>
      <c r="S236" s="26"/>
      <c r="T236" s="31" t="s">
        <v>11302</v>
      </c>
      <c r="U236" s="26"/>
    </row>
    <row r="237" s="21" customFormat="1" spans="1:21">
      <c r="A237" s="28" t="s">
        <v>2048</v>
      </c>
      <c r="B237" s="26" t="str">
        <f>VLOOKUP(C237,[1]干线管道!B:C,2,FALSE)</f>
        <v>一级</v>
      </c>
      <c r="C237" s="26" t="str">
        <f>VLOOKUP(E237,[1]站场阀室!A:D,3,FALSE)</f>
        <v>陕京一线</v>
      </c>
      <c r="D237" s="26" t="str">
        <f>VLOOKUP(E237,[1]站场阀室!A:D,4,FALSE)</f>
        <v>陕京一线干线</v>
      </c>
      <c r="E237" s="26" t="s">
        <v>381</v>
      </c>
      <c r="F237" s="26" t="s">
        <v>11549</v>
      </c>
      <c r="G237" s="26" t="s">
        <v>11555</v>
      </c>
      <c r="H237" s="29">
        <v>36434</v>
      </c>
      <c r="I237" s="26" t="s">
        <v>11269</v>
      </c>
      <c r="J237" s="26" t="s">
        <v>11270</v>
      </c>
      <c r="K237" s="26" t="s">
        <v>11550</v>
      </c>
      <c r="L237" s="26" t="s">
        <v>11551</v>
      </c>
      <c r="M237" s="26" t="s">
        <v>11552</v>
      </c>
      <c r="N237" s="26" t="s">
        <v>11452</v>
      </c>
      <c r="O237" s="26">
        <v>900</v>
      </c>
      <c r="P237" s="26" t="s">
        <v>8751</v>
      </c>
      <c r="Q237" s="33">
        <v>1.976</v>
      </c>
      <c r="R237" s="26"/>
      <c r="S237" s="26"/>
      <c r="T237" s="31" t="s">
        <v>11302</v>
      </c>
      <c r="U237" s="26"/>
    </row>
    <row r="238" s="21" customFormat="1" spans="1:21">
      <c r="A238" s="28" t="s">
        <v>2048</v>
      </c>
      <c r="B238" s="26" t="str">
        <f>VLOOKUP(C238,[1]干线管道!B:C,2,FALSE)</f>
        <v>一级</v>
      </c>
      <c r="C238" s="26" t="str">
        <f>VLOOKUP(E238,[1]站场阀室!A:D,3,FALSE)</f>
        <v>陕京一线</v>
      </c>
      <c r="D238" s="26" t="str">
        <f>VLOOKUP(E238,[1]站场阀室!A:D,4,FALSE)</f>
        <v>陕京一线干线</v>
      </c>
      <c r="E238" s="26" t="s">
        <v>381</v>
      </c>
      <c r="F238" s="26" t="s">
        <v>11549</v>
      </c>
      <c r="G238" s="26" t="s">
        <v>11556</v>
      </c>
      <c r="H238" s="29">
        <v>36770</v>
      </c>
      <c r="I238" s="26" t="s">
        <v>11269</v>
      </c>
      <c r="J238" s="26" t="s">
        <v>11270</v>
      </c>
      <c r="K238" s="26" t="s">
        <v>11550</v>
      </c>
      <c r="L238" s="26" t="s">
        <v>11551</v>
      </c>
      <c r="M238" s="26" t="s">
        <v>11552</v>
      </c>
      <c r="N238" s="26" t="s">
        <v>11452</v>
      </c>
      <c r="O238" s="26">
        <v>900</v>
      </c>
      <c r="P238" s="26" t="s">
        <v>8751</v>
      </c>
      <c r="Q238" s="33">
        <v>1.976</v>
      </c>
      <c r="R238" s="26"/>
      <c r="S238" s="26"/>
      <c r="T238" s="31" t="s">
        <v>11302</v>
      </c>
      <c r="U238" s="26"/>
    </row>
    <row r="239" s="21" customFormat="1" spans="1:21">
      <c r="A239" s="28" t="s">
        <v>2048</v>
      </c>
      <c r="B239" s="26" t="str">
        <f>VLOOKUP(C239,[1]干线管道!B:C,2,FALSE)</f>
        <v>一级</v>
      </c>
      <c r="C239" s="26" t="str">
        <f>VLOOKUP(E239,[1]站场阀室!A:D,3,FALSE)</f>
        <v>陕京一线</v>
      </c>
      <c r="D239" s="26" t="str">
        <f>VLOOKUP(E239,[1]站场阀室!A:D,4,FALSE)</f>
        <v>陕京一线干线</v>
      </c>
      <c r="E239" s="26" t="s">
        <v>381</v>
      </c>
      <c r="F239" s="26" t="s">
        <v>11549</v>
      </c>
      <c r="G239" s="26" t="s">
        <v>11557</v>
      </c>
      <c r="H239" s="29">
        <v>37926</v>
      </c>
      <c r="I239" s="26" t="s">
        <v>11269</v>
      </c>
      <c r="J239" s="26" t="s">
        <v>11270</v>
      </c>
      <c r="K239" s="26" t="s">
        <v>11550</v>
      </c>
      <c r="L239" s="26" t="s">
        <v>11551</v>
      </c>
      <c r="M239" s="26" t="s">
        <v>11558</v>
      </c>
      <c r="N239" s="26" t="s">
        <v>11452</v>
      </c>
      <c r="O239" s="26">
        <v>1000</v>
      </c>
      <c r="P239" s="26" t="s">
        <v>9897</v>
      </c>
      <c r="Q239" s="33">
        <v>2.467</v>
      </c>
      <c r="R239" s="26"/>
      <c r="S239" s="26"/>
      <c r="T239" s="31" t="s">
        <v>11302</v>
      </c>
      <c r="U239" s="26"/>
    </row>
    <row r="240" s="21" customFormat="1" spans="1:21">
      <c r="A240" s="28" t="s">
        <v>2048</v>
      </c>
      <c r="B240" s="26" t="str">
        <f>VLOOKUP(C240,[1]干线管道!B:C,2,FALSE)</f>
        <v>一级</v>
      </c>
      <c r="C240" s="26" t="str">
        <f>VLOOKUP(E240,[1]站场阀室!A:D,3,FALSE)</f>
        <v>陕京一线</v>
      </c>
      <c r="D240" s="26" t="str">
        <f>VLOOKUP(E240,[1]站场阀室!A:D,4,FALSE)</f>
        <v>陕京一线干线</v>
      </c>
      <c r="E240" s="26" t="s">
        <v>4028</v>
      </c>
      <c r="F240" s="26" t="s">
        <v>11559</v>
      </c>
      <c r="G240" s="26" t="s">
        <v>11543</v>
      </c>
      <c r="H240" s="29">
        <v>36851</v>
      </c>
      <c r="I240" s="26" t="s">
        <v>11269</v>
      </c>
      <c r="J240" s="26" t="s">
        <v>11270</v>
      </c>
      <c r="K240" s="26" t="s">
        <v>11312</v>
      </c>
      <c r="L240" s="26" t="s">
        <v>11313</v>
      </c>
      <c r="M240" s="26" t="s">
        <v>11560</v>
      </c>
      <c r="N240" s="26" t="s">
        <v>11561</v>
      </c>
      <c r="O240" s="26">
        <v>12740</v>
      </c>
      <c r="P240" s="26" t="s">
        <v>11316</v>
      </c>
      <c r="Q240" s="33">
        <v>5.347</v>
      </c>
      <c r="R240" s="26"/>
      <c r="S240" s="26" t="s">
        <v>8247</v>
      </c>
      <c r="T240" s="31" t="s">
        <v>11302</v>
      </c>
      <c r="U240" s="26" t="s">
        <v>11553</v>
      </c>
    </row>
    <row r="241" s="21" customFormat="1" spans="1:21">
      <c r="A241" s="28" t="s">
        <v>2048</v>
      </c>
      <c r="B241" s="26" t="str">
        <f>VLOOKUP(C241,[1]干线管道!B:C,2,FALSE)</f>
        <v>一级</v>
      </c>
      <c r="C241" s="26" t="str">
        <f>VLOOKUP(E241,[1]站场阀室!A:D,3,FALSE)</f>
        <v>陕京一线</v>
      </c>
      <c r="D241" s="26" t="str">
        <f>VLOOKUP(E241,[1]站场阀室!A:D,4,FALSE)</f>
        <v>陕京一线干线</v>
      </c>
      <c r="E241" s="26" t="s">
        <v>4028</v>
      </c>
      <c r="F241" s="26" t="s">
        <v>11559</v>
      </c>
      <c r="G241" s="26" t="s">
        <v>11554</v>
      </c>
      <c r="H241" s="29">
        <v>37101</v>
      </c>
      <c r="I241" s="26" t="s">
        <v>11269</v>
      </c>
      <c r="J241" s="26" t="s">
        <v>11270</v>
      </c>
      <c r="K241" s="26" t="s">
        <v>11312</v>
      </c>
      <c r="L241" s="26" t="s">
        <v>11313</v>
      </c>
      <c r="M241" s="26" t="s">
        <v>11560</v>
      </c>
      <c r="N241" s="26" t="s">
        <v>11561</v>
      </c>
      <c r="O241" s="26">
        <v>12740</v>
      </c>
      <c r="P241" s="26" t="s">
        <v>11316</v>
      </c>
      <c r="Q241" s="33">
        <v>5.347</v>
      </c>
      <c r="R241" s="26"/>
      <c r="S241" s="26"/>
      <c r="T241" s="31" t="s">
        <v>11302</v>
      </c>
      <c r="U241" s="26"/>
    </row>
    <row r="242" s="21" customFormat="1" spans="1:21">
      <c r="A242" s="28" t="s">
        <v>2048</v>
      </c>
      <c r="B242" s="26" t="str">
        <f>VLOOKUP(C242,[1]干线管道!B:C,2,FALSE)</f>
        <v>一级</v>
      </c>
      <c r="C242" s="26" t="str">
        <f>VLOOKUP(E242,[1]站场阀室!A:D,3,FALSE)</f>
        <v>陕京一线</v>
      </c>
      <c r="D242" s="26" t="str">
        <f>VLOOKUP(E242,[1]站场阀室!A:D,4,FALSE)</f>
        <v>陕京一线干线</v>
      </c>
      <c r="E242" s="26" t="s">
        <v>4028</v>
      </c>
      <c r="F242" s="26" t="s">
        <v>11559</v>
      </c>
      <c r="G242" s="26" t="s">
        <v>11555</v>
      </c>
      <c r="H242" s="29">
        <v>37585</v>
      </c>
      <c r="I242" s="26" t="s">
        <v>11269</v>
      </c>
      <c r="J242" s="26" t="s">
        <v>11270</v>
      </c>
      <c r="K242" s="26" t="s">
        <v>11312</v>
      </c>
      <c r="L242" s="26" t="s">
        <v>11313</v>
      </c>
      <c r="M242" s="26" t="s">
        <v>11560</v>
      </c>
      <c r="N242" s="26" t="s">
        <v>11561</v>
      </c>
      <c r="O242" s="26">
        <v>12740</v>
      </c>
      <c r="P242" s="26" t="s">
        <v>11316</v>
      </c>
      <c r="Q242" s="33">
        <v>5.333</v>
      </c>
      <c r="R242" s="26"/>
      <c r="S242" s="26"/>
      <c r="T242" s="31" t="s">
        <v>11302</v>
      </c>
      <c r="U242" s="26"/>
    </row>
    <row r="243" s="21" customFormat="1" ht="30" spans="1:21">
      <c r="A243" s="28" t="s">
        <v>2048</v>
      </c>
      <c r="B243" s="26" t="str">
        <f>VLOOKUP(C243,[1]干线管道!B:C,2,FALSE)</f>
        <v>一级</v>
      </c>
      <c r="C243" s="26" t="str">
        <f>VLOOKUP(E243,[1]站场阀室!A:D,3,FALSE)</f>
        <v>陕京一线</v>
      </c>
      <c r="D243" s="26" t="str">
        <f>VLOOKUP(E243,[1]站场阀室!A:D,4,FALSE)</f>
        <v>陕京一线干线</v>
      </c>
      <c r="E243" s="26" t="s">
        <v>4053</v>
      </c>
      <c r="F243" s="26" t="s">
        <v>11267</v>
      </c>
      <c r="G243" s="26" t="s">
        <v>11543</v>
      </c>
      <c r="H243" s="29">
        <v>36814</v>
      </c>
      <c r="I243" s="26" t="s">
        <v>11287</v>
      </c>
      <c r="J243" s="26" t="s">
        <v>11270</v>
      </c>
      <c r="K243" s="26" t="s">
        <v>11312</v>
      </c>
      <c r="L243" s="26" t="s">
        <v>11313</v>
      </c>
      <c r="M243" s="26" t="s">
        <v>11562</v>
      </c>
      <c r="N243" s="26" t="s">
        <v>11563</v>
      </c>
      <c r="O243" s="26">
        <v>13333</v>
      </c>
      <c r="P243" s="26" t="s">
        <v>8264</v>
      </c>
      <c r="Q243" s="33">
        <v>3.6</v>
      </c>
      <c r="R243" s="26"/>
      <c r="S243" s="26" t="s">
        <v>8247</v>
      </c>
      <c r="T243" s="31" t="s">
        <v>11302</v>
      </c>
      <c r="U243" s="26" t="s">
        <v>11564</v>
      </c>
    </row>
    <row r="244" s="21" customFormat="1" ht="30" spans="1:21">
      <c r="A244" s="28" t="s">
        <v>2048</v>
      </c>
      <c r="B244" s="26" t="str">
        <f>VLOOKUP(C244,[1]干线管道!B:C,2,FALSE)</f>
        <v>一级</v>
      </c>
      <c r="C244" s="26" t="str">
        <f>VLOOKUP(E244,[1]站场阀室!A:D,3,FALSE)</f>
        <v>陕京一线</v>
      </c>
      <c r="D244" s="26" t="str">
        <f>VLOOKUP(E244,[1]站场阀室!A:D,4,FALSE)</f>
        <v>陕京一线干线</v>
      </c>
      <c r="E244" s="26" t="s">
        <v>4053</v>
      </c>
      <c r="F244" s="26" t="s">
        <v>11267</v>
      </c>
      <c r="G244" s="26" t="s">
        <v>11554</v>
      </c>
      <c r="H244" s="29">
        <v>36814</v>
      </c>
      <c r="I244" s="26" t="s">
        <v>11287</v>
      </c>
      <c r="J244" s="26" t="s">
        <v>11270</v>
      </c>
      <c r="K244" s="26" t="s">
        <v>11312</v>
      </c>
      <c r="L244" s="26" t="s">
        <v>11313</v>
      </c>
      <c r="M244" s="26" t="s">
        <v>11562</v>
      </c>
      <c r="N244" s="26" t="s">
        <v>11563</v>
      </c>
      <c r="O244" s="26">
        <v>13333</v>
      </c>
      <c r="P244" s="26" t="s">
        <v>8264</v>
      </c>
      <c r="Q244" s="33">
        <v>3.6</v>
      </c>
      <c r="R244" s="26"/>
      <c r="S244" s="26"/>
      <c r="T244" s="31" t="s">
        <v>11302</v>
      </c>
      <c r="U244" s="26"/>
    </row>
    <row r="245" s="21" customFormat="1" ht="30" spans="1:21">
      <c r="A245" s="28" t="s">
        <v>2048</v>
      </c>
      <c r="B245" s="26" t="str">
        <f>VLOOKUP(C245,[1]干线管道!B:C,2,FALSE)</f>
        <v>一级</v>
      </c>
      <c r="C245" s="26" t="str">
        <f>VLOOKUP(E245,[1]站场阀室!A:D,3,FALSE)</f>
        <v>陕京一线</v>
      </c>
      <c r="D245" s="26" t="str">
        <f>VLOOKUP(E245,[1]站场阀室!A:D,4,FALSE)</f>
        <v>陕京一线干线</v>
      </c>
      <c r="E245" s="26" t="s">
        <v>4053</v>
      </c>
      <c r="F245" s="26" t="s">
        <v>11267</v>
      </c>
      <c r="G245" s="26" t="s">
        <v>11555</v>
      </c>
      <c r="H245" s="29">
        <v>37561</v>
      </c>
      <c r="I245" s="26" t="s">
        <v>11287</v>
      </c>
      <c r="J245" s="26" t="s">
        <v>11270</v>
      </c>
      <c r="K245" s="26" t="s">
        <v>11312</v>
      </c>
      <c r="L245" s="26" t="s">
        <v>11313</v>
      </c>
      <c r="M245" s="26" t="s">
        <v>11562</v>
      </c>
      <c r="N245" s="26" t="s">
        <v>11563</v>
      </c>
      <c r="O245" s="26">
        <v>13333</v>
      </c>
      <c r="P245" s="26" t="s">
        <v>8264</v>
      </c>
      <c r="Q245" s="33">
        <v>3.6</v>
      </c>
      <c r="R245" s="26"/>
      <c r="S245" s="26"/>
      <c r="T245" s="31" t="s">
        <v>11302</v>
      </c>
      <c r="U245" s="26"/>
    </row>
    <row r="246" s="21" customFormat="1" ht="30" spans="1:21">
      <c r="A246" s="28" t="s">
        <v>2048</v>
      </c>
      <c r="B246" s="26" t="str">
        <f>VLOOKUP(C246,[1]干线管道!B:C,2,FALSE)</f>
        <v>一级</v>
      </c>
      <c r="C246" s="26" t="s">
        <v>47</v>
      </c>
      <c r="D246" s="26" t="s">
        <v>358</v>
      </c>
      <c r="E246" s="26" t="s">
        <v>381</v>
      </c>
      <c r="F246" s="26" t="s">
        <v>11549</v>
      </c>
      <c r="G246" s="26" t="s">
        <v>11565</v>
      </c>
      <c r="H246" s="29">
        <v>39022</v>
      </c>
      <c r="I246" s="26" t="s">
        <v>11287</v>
      </c>
      <c r="J246" s="26" t="s">
        <v>11270</v>
      </c>
      <c r="K246" s="26" t="s">
        <v>11366</v>
      </c>
      <c r="L246" s="26" t="s">
        <v>11566</v>
      </c>
      <c r="M246" s="26" t="s">
        <v>11567</v>
      </c>
      <c r="N246" s="26" t="s">
        <v>11568</v>
      </c>
      <c r="O246" s="26">
        <v>10500</v>
      </c>
      <c r="P246" s="26" t="s">
        <v>11569</v>
      </c>
      <c r="Q246" s="33">
        <v>20</v>
      </c>
      <c r="R246" s="61" t="s">
        <v>11276</v>
      </c>
      <c r="S246" s="26" t="s">
        <v>8247</v>
      </c>
      <c r="T246" s="31" t="s">
        <v>8244</v>
      </c>
      <c r="U246" s="26" t="s">
        <v>11570</v>
      </c>
    </row>
    <row r="247" s="21" customFormat="1" ht="30" spans="1:21">
      <c r="A247" s="28" t="s">
        <v>2048</v>
      </c>
      <c r="B247" s="26" t="str">
        <f>VLOOKUP(C247,[1]干线管道!B:C,2,FALSE)</f>
        <v>一级</v>
      </c>
      <c r="C247" s="26" t="s">
        <v>47</v>
      </c>
      <c r="D247" s="26" t="s">
        <v>358</v>
      </c>
      <c r="E247" s="26" t="s">
        <v>381</v>
      </c>
      <c r="F247" s="26" t="s">
        <v>11549</v>
      </c>
      <c r="G247" s="26" t="s">
        <v>11571</v>
      </c>
      <c r="H247" s="29">
        <v>39023</v>
      </c>
      <c r="I247" s="26" t="s">
        <v>11287</v>
      </c>
      <c r="J247" s="26" t="s">
        <v>11270</v>
      </c>
      <c r="K247" s="26" t="s">
        <v>11366</v>
      </c>
      <c r="L247" s="26" t="s">
        <v>11566</v>
      </c>
      <c r="M247" s="26" t="s">
        <v>11567</v>
      </c>
      <c r="N247" s="26" t="s">
        <v>11568</v>
      </c>
      <c r="O247" s="26">
        <v>10500</v>
      </c>
      <c r="P247" s="26" t="s">
        <v>11569</v>
      </c>
      <c r="Q247" s="33">
        <v>20</v>
      </c>
      <c r="R247" s="61" t="s">
        <v>11276</v>
      </c>
      <c r="S247" s="26"/>
      <c r="T247" s="31" t="s">
        <v>8244</v>
      </c>
      <c r="U247" s="26"/>
    </row>
    <row r="248" s="21" customFormat="1" ht="30" spans="1:21">
      <c r="A248" s="28" t="s">
        <v>2048</v>
      </c>
      <c r="B248" s="26" t="str">
        <f>VLOOKUP(C248,[1]干线管道!B:C,2,FALSE)</f>
        <v>一级</v>
      </c>
      <c r="C248" s="26" t="s">
        <v>47</v>
      </c>
      <c r="D248" s="26" t="s">
        <v>358</v>
      </c>
      <c r="E248" s="26" t="s">
        <v>381</v>
      </c>
      <c r="F248" s="26" t="s">
        <v>11549</v>
      </c>
      <c r="G248" s="26" t="s">
        <v>11572</v>
      </c>
      <c r="H248" s="29">
        <v>39024</v>
      </c>
      <c r="I248" s="26" t="s">
        <v>11287</v>
      </c>
      <c r="J248" s="26" t="s">
        <v>11270</v>
      </c>
      <c r="K248" s="26" t="s">
        <v>11366</v>
      </c>
      <c r="L248" s="26" t="s">
        <v>11566</v>
      </c>
      <c r="M248" s="26" t="s">
        <v>11567</v>
      </c>
      <c r="N248" s="26" t="s">
        <v>11568</v>
      </c>
      <c r="O248" s="26">
        <v>10500</v>
      </c>
      <c r="P248" s="26" t="s">
        <v>11569</v>
      </c>
      <c r="Q248" s="33">
        <v>20</v>
      </c>
      <c r="R248" s="61" t="s">
        <v>11276</v>
      </c>
      <c r="S248" s="26"/>
      <c r="T248" s="31" t="s">
        <v>8244</v>
      </c>
      <c r="U248" s="26"/>
    </row>
    <row r="249" s="21" customFormat="1" ht="30" spans="1:21">
      <c r="A249" s="28" t="s">
        <v>2048</v>
      </c>
      <c r="B249" s="26" t="str">
        <f>VLOOKUP(C249,[1]干线管道!B:C,2,FALSE)</f>
        <v>一级</v>
      </c>
      <c r="C249" s="26" t="s">
        <v>47</v>
      </c>
      <c r="D249" s="26" t="s">
        <v>358</v>
      </c>
      <c r="E249" s="26" t="s">
        <v>381</v>
      </c>
      <c r="F249" s="26" t="s">
        <v>11549</v>
      </c>
      <c r="G249" s="26" t="s">
        <v>11573</v>
      </c>
      <c r="H249" s="29">
        <v>40087</v>
      </c>
      <c r="I249" s="26" t="s">
        <v>11287</v>
      </c>
      <c r="J249" s="26" t="s">
        <v>11270</v>
      </c>
      <c r="K249" s="26" t="s">
        <v>11366</v>
      </c>
      <c r="L249" s="26" t="s">
        <v>11566</v>
      </c>
      <c r="M249" s="26" t="s">
        <v>11567</v>
      </c>
      <c r="N249" s="26" t="s">
        <v>11568</v>
      </c>
      <c r="O249" s="26">
        <v>10500</v>
      </c>
      <c r="P249" s="26" t="s">
        <v>11569</v>
      </c>
      <c r="Q249" s="33">
        <v>20</v>
      </c>
      <c r="R249" s="61" t="s">
        <v>11276</v>
      </c>
      <c r="S249" s="26"/>
      <c r="T249" s="31" t="s">
        <v>8244</v>
      </c>
      <c r="U249" s="26"/>
    </row>
    <row r="250" s="21" customFormat="1" ht="30" spans="1:21">
      <c r="A250" s="28" t="s">
        <v>2048</v>
      </c>
      <c r="B250" s="26" t="str">
        <f>VLOOKUP(C250,[1]干线管道!B:C,2,FALSE)</f>
        <v>一级</v>
      </c>
      <c r="C250" s="26" t="s">
        <v>47</v>
      </c>
      <c r="D250" s="26" t="s">
        <v>358</v>
      </c>
      <c r="E250" s="26" t="s">
        <v>381</v>
      </c>
      <c r="F250" s="26" t="s">
        <v>11549</v>
      </c>
      <c r="G250" s="26" t="s">
        <v>11574</v>
      </c>
      <c r="H250" s="29">
        <v>40088</v>
      </c>
      <c r="I250" s="26" t="s">
        <v>11287</v>
      </c>
      <c r="J250" s="26" t="s">
        <v>11270</v>
      </c>
      <c r="K250" s="26" t="s">
        <v>11366</v>
      </c>
      <c r="L250" s="26" t="s">
        <v>11566</v>
      </c>
      <c r="M250" s="26" t="s">
        <v>11567</v>
      </c>
      <c r="N250" s="26" t="s">
        <v>11568</v>
      </c>
      <c r="O250" s="26">
        <v>10500</v>
      </c>
      <c r="P250" s="26" t="s">
        <v>11569</v>
      </c>
      <c r="Q250" s="33">
        <v>20</v>
      </c>
      <c r="R250" s="61" t="s">
        <v>11276</v>
      </c>
      <c r="S250" s="26"/>
      <c r="T250" s="31" t="s">
        <v>8244</v>
      </c>
      <c r="U250" s="26"/>
    </row>
    <row r="251" s="21" customFormat="1" ht="30" spans="1:21">
      <c r="A251" s="28" t="s">
        <v>2048</v>
      </c>
      <c r="B251" s="26" t="str">
        <f>VLOOKUP(C251,[1]干线管道!B:C,2,FALSE)</f>
        <v>一级</v>
      </c>
      <c r="C251" s="26" t="str">
        <f>VLOOKUP(E251,[1]站场阀室!A:D,3,FALSE)</f>
        <v>陕京二线</v>
      </c>
      <c r="D251" s="26" t="str">
        <f>VLOOKUP(E251,[1]站场阀室!A:D,4,FALSE)</f>
        <v>陕京二线干线</v>
      </c>
      <c r="E251" s="26" t="s">
        <v>4173</v>
      </c>
      <c r="F251" s="26" t="s">
        <v>11267</v>
      </c>
      <c r="G251" s="26" t="s">
        <v>11565</v>
      </c>
      <c r="H251" s="29">
        <v>40118</v>
      </c>
      <c r="I251" s="26" t="s">
        <v>11287</v>
      </c>
      <c r="J251" s="26" t="s">
        <v>11270</v>
      </c>
      <c r="K251" s="26" t="s">
        <v>11312</v>
      </c>
      <c r="L251" s="26" t="s">
        <v>11575</v>
      </c>
      <c r="M251" s="26" t="s">
        <v>11567</v>
      </c>
      <c r="N251" s="26" t="s">
        <v>11576</v>
      </c>
      <c r="O251" s="26">
        <v>8290</v>
      </c>
      <c r="P251" s="26" t="s">
        <v>11577</v>
      </c>
      <c r="Q251" s="33">
        <v>17.2</v>
      </c>
      <c r="R251" s="61" t="s">
        <v>11276</v>
      </c>
      <c r="S251" s="26" t="s">
        <v>8247</v>
      </c>
      <c r="T251" s="31" t="s">
        <v>8244</v>
      </c>
      <c r="U251" s="26"/>
    </row>
    <row r="252" s="21" customFormat="1" ht="30" spans="1:21">
      <c r="A252" s="28" t="s">
        <v>2048</v>
      </c>
      <c r="B252" s="26" t="str">
        <f>VLOOKUP(C252,[1]干线管道!B:C,2,FALSE)</f>
        <v>一级</v>
      </c>
      <c r="C252" s="26" t="str">
        <f>VLOOKUP(E252,[1]站场阀室!A:D,3,FALSE)</f>
        <v>陕京二线</v>
      </c>
      <c r="D252" s="26" t="str">
        <f>VLOOKUP(E252,[1]站场阀室!A:D,4,FALSE)</f>
        <v>陕京二线干线</v>
      </c>
      <c r="E252" s="26" t="s">
        <v>4173</v>
      </c>
      <c r="F252" s="26" t="s">
        <v>11267</v>
      </c>
      <c r="G252" s="26" t="s">
        <v>11571</v>
      </c>
      <c r="H252" s="29">
        <v>40118</v>
      </c>
      <c r="I252" s="26" t="s">
        <v>11287</v>
      </c>
      <c r="J252" s="26" t="s">
        <v>11270</v>
      </c>
      <c r="K252" s="26" t="s">
        <v>11312</v>
      </c>
      <c r="L252" s="26" t="s">
        <v>11575</v>
      </c>
      <c r="M252" s="26" t="s">
        <v>11567</v>
      </c>
      <c r="N252" s="26" t="s">
        <v>11576</v>
      </c>
      <c r="O252" s="26">
        <v>8290</v>
      </c>
      <c r="P252" s="26" t="s">
        <v>11577</v>
      </c>
      <c r="Q252" s="33">
        <v>17.2</v>
      </c>
      <c r="R252" s="61" t="s">
        <v>11276</v>
      </c>
      <c r="S252" s="26"/>
      <c r="T252" s="31" t="s">
        <v>8244</v>
      </c>
      <c r="U252" s="26"/>
    </row>
    <row r="253" s="21" customFormat="1" ht="30" spans="1:21">
      <c r="A253" s="28" t="s">
        <v>2048</v>
      </c>
      <c r="B253" s="26" t="str">
        <f>VLOOKUP(C253,[1]干线管道!B:C,2,FALSE)</f>
        <v>一级</v>
      </c>
      <c r="C253" s="26" t="str">
        <f>VLOOKUP(E253,[1]站场阀室!A:D,3,FALSE)</f>
        <v>陕京二线</v>
      </c>
      <c r="D253" s="26" t="str">
        <f>VLOOKUP(E253,[1]站场阀室!A:D,4,FALSE)</f>
        <v>陕京二线干线</v>
      </c>
      <c r="E253" s="26" t="s">
        <v>4173</v>
      </c>
      <c r="F253" s="26" t="s">
        <v>11267</v>
      </c>
      <c r="G253" s="26" t="s">
        <v>11572</v>
      </c>
      <c r="H253" s="29">
        <v>40118</v>
      </c>
      <c r="I253" s="26" t="s">
        <v>11287</v>
      </c>
      <c r="J253" s="26" t="s">
        <v>11270</v>
      </c>
      <c r="K253" s="26" t="s">
        <v>11312</v>
      </c>
      <c r="L253" s="26" t="s">
        <v>11575</v>
      </c>
      <c r="M253" s="26" t="s">
        <v>11567</v>
      </c>
      <c r="N253" s="26" t="s">
        <v>11576</v>
      </c>
      <c r="O253" s="26">
        <v>8290</v>
      </c>
      <c r="P253" s="26" t="s">
        <v>11577</v>
      </c>
      <c r="Q253" s="33">
        <v>17.2</v>
      </c>
      <c r="R253" s="61" t="s">
        <v>11276</v>
      </c>
      <c r="S253" s="26"/>
      <c r="T253" s="31" t="s">
        <v>8244</v>
      </c>
      <c r="U253" s="26"/>
    </row>
    <row r="254" s="21" customFormat="1" ht="30" spans="1:21">
      <c r="A254" s="28" t="s">
        <v>2048</v>
      </c>
      <c r="B254" s="26" t="str">
        <f>VLOOKUP(C254,[1]干线管道!B:C,2,FALSE)</f>
        <v>一级</v>
      </c>
      <c r="C254" s="26" t="str">
        <f>VLOOKUP(E254,[1]站场阀室!A:D,3,FALSE)</f>
        <v>陕京二线</v>
      </c>
      <c r="D254" s="26" t="str">
        <f>VLOOKUP(E254,[1]站场阀室!A:D,4,FALSE)</f>
        <v>陕京二线干线</v>
      </c>
      <c r="E254" s="26" t="s">
        <v>4195</v>
      </c>
      <c r="F254" s="26" t="s">
        <v>11267</v>
      </c>
      <c r="G254" s="26" t="s">
        <v>11565</v>
      </c>
      <c r="H254" s="29">
        <v>40118</v>
      </c>
      <c r="I254" s="26" t="s">
        <v>11287</v>
      </c>
      <c r="J254" s="26" t="s">
        <v>11270</v>
      </c>
      <c r="K254" s="26" t="s">
        <v>11366</v>
      </c>
      <c r="L254" s="26" t="s">
        <v>11578</v>
      </c>
      <c r="M254" s="26" t="s">
        <v>11567</v>
      </c>
      <c r="N254" s="26" t="s">
        <v>11579</v>
      </c>
      <c r="O254" s="26">
        <v>8593</v>
      </c>
      <c r="P254" s="26" t="s">
        <v>11580</v>
      </c>
      <c r="Q254" s="33">
        <v>20</v>
      </c>
      <c r="R254" s="61" t="s">
        <v>11276</v>
      </c>
      <c r="S254" s="26" t="s">
        <v>8247</v>
      </c>
      <c r="T254" s="31" t="s">
        <v>8244</v>
      </c>
      <c r="U254" s="26" t="s">
        <v>11581</v>
      </c>
    </row>
    <row r="255" s="21" customFormat="1" ht="30" spans="1:21">
      <c r="A255" s="28" t="s">
        <v>2048</v>
      </c>
      <c r="B255" s="26" t="str">
        <f>VLOOKUP(C255,[1]干线管道!B:C,2,FALSE)</f>
        <v>一级</v>
      </c>
      <c r="C255" s="26" t="str">
        <f>VLOOKUP(E255,[1]站场阀室!A:D,3,FALSE)</f>
        <v>陕京二线</v>
      </c>
      <c r="D255" s="26" t="str">
        <f>VLOOKUP(E255,[1]站场阀室!A:D,4,FALSE)</f>
        <v>陕京二线干线</v>
      </c>
      <c r="E255" s="26" t="s">
        <v>4195</v>
      </c>
      <c r="F255" s="26" t="s">
        <v>11267</v>
      </c>
      <c r="G255" s="26" t="s">
        <v>11571</v>
      </c>
      <c r="H255" s="29">
        <v>40119</v>
      </c>
      <c r="I255" s="26" t="s">
        <v>11287</v>
      </c>
      <c r="J255" s="26" t="s">
        <v>11270</v>
      </c>
      <c r="K255" s="26" t="s">
        <v>11366</v>
      </c>
      <c r="L255" s="26" t="s">
        <v>11578</v>
      </c>
      <c r="M255" s="26" t="s">
        <v>11567</v>
      </c>
      <c r="N255" s="26" t="s">
        <v>11579</v>
      </c>
      <c r="O255" s="26">
        <v>8593</v>
      </c>
      <c r="P255" s="26" t="s">
        <v>11580</v>
      </c>
      <c r="Q255" s="33">
        <v>20</v>
      </c>
      <c r="R255" s="61" t="s">
        <v>11276</v>
      </c>
      <c r="S255" s="26"/>
      <c r="T255" s="31" t="s">
        <v>8244</v>
      </c>
      <c r="U255" s="26"/>
    </row>
    <row r="256" s="21" customFormat="1" ht="30" spans="1:21">
      <c r="A256" s="28" t="s">
        <v>2048</v>
      </c>
      <c r="B256" s="26" t="str">
        <f>VLOOKUP(C256,[1]干线管道!B:C,2,FALSE)</f>
        <v>一级</v>
      </c>
      <c r="C256" s="26" t="str">
        <f>VLOOKUP(E256,[1]站场阀室!A:D,3,FALSE)</f>
        <v>陕京二线</v>
      </c>
      <c r="D256" s="26" t="str">
        <f>VLOOKUP(E256,[1]站场阀室!A:D,4,FALSE)</f>
        <v>陕京二线干线</v>
      </c>
      <c r="E256" s="26" t="s">
        <v>4195</v>
      </c>
      <c r="F256" s="26" t="s">
        <v>11267</v>
      </c>
      <c r="G256" s="26" t="s">
        <v>11572</v>
      </c>
      <c r="H256" s="29">
        <v>40120</v>
      </c>
      <c r="I256" s="26" t="s">
        <v>11287</v>
      </c>
      <c r="J256" s="26" t="s">
        <v>11270</v>
      </c>
      <c r="K256" s="26" t="s">
        <v>11366</v>
      </c>
      <c r="L256" s="26" t="s">
        <v>11578</v>
      </c>
      <c r="M256" s="26" t="s">
        <v>11567</v>
      </c>
      <c r="N256" s="26" t="s">
        <v>11579</v>
      </c>
      <c r="O256" s="26">
        <v>8593</v>
      </c>
      <c r="P256" s="26" t="s">
        <v>11580</v>
      </c>
      <c r="Q256" s="33">
        <v>20</v>
      </c>
      <c r="R256" s="61" t="s">
        <v>11276</v>
      </c>
      <c r="S256" s="26"/>
      <c r="T256" s="31" t="s">
        <v>8244</v>
      </c>
      <c r="U256" s="26"/>
    </row>
    <row r="257" s="21" customFormat="1" ht="30" spans="1:21">
      <c r="A257" s="28" t="s">
        <v>2048</v>
      </c>
      <c r="B257" s="26" t="str">
        <f>VLOOKUP(C257,[1]干线管道!B:C,2,FALSE)</f>
        <v>一级</v>
      </c>
      <c r="C257" s="26" t="str">
        <f>VLOOKUP(E257,[1]站场阀室!A:D,3,FALSE)</f>
        <v>陕京二线</v>
      </c>
      <c r="D257" s="26" t="str">
        <f>VLOOKUP(E257,[1]站场阀室!A:D,4,FALSE)</f>
        <v>陕京二线干线</v>
      </c>
      <c r="E257" s="26" t="s">
        <v>4232</v>
      </c>
      <c r="F257" s="26" t="s">
        <v>11267</v>
      </c>
      <c r="G257" s="26" t="s">
        <v>11565</v>
      </c>
      <c r="H257" s="29">
        <v>40121</v>
      </c>
      <c r="I257" s="26" t="s">
        <v>11287</v>
      </c>
      <c r="J257" s="26" t="s">
        <v>11270</v>
      </c>
      <c r="K257" s="26" t="s">
        <v>11366</v>
      </c>
      <c r="L257" s="26" t="s">
        <v>11578</v>
      </c>
      <c r="M257" s="26" t="s">
        <v>11582</v>
      </c>
      <c r="N257" s="26" t="s">
        <v>11583</v>
      </c>
      <c r="O257" s="26">
        <v>8594</v>
      </c>
      <c r="P257" s="26" t="s">
        <v>11584</v>
      </c>
      <c r="Q257" s="33">
        <v>15</v>
      </c>
      <c r="R257" s="61" t="s">
        <v>11276</v>
      </c>
      <c r="S257" s="26" t="s">
        <v>8247</v>
      </c>
      <c r="T257" s="31" t="s">
        <v>8244</v>
      </c>
      <c r="U257" s="26" t="s">
        <v>11581</v>
      </c>
    </row>
    <row r="258" s="21" customFormat="1" ht="30" spans="1:21">
      <c r="A258" s="28" t="s">
        <v>2048</v>
      </c>
      <c r="B258" s="26" t="str">
        <f>VLOOKUP(C258,[1]干线管道!B:C,2,FALSE)</f>
        <v>一级</v>
      </c>
      <c r="C258" s="26" t="str">
        <f>VLOOKUP(E258,[1]站场阀室!A:D,3,FALSE)</f>
        <v>陕京二线</v>
      </c>
      <c r="D258" s="26" t="str">
        <f>VLOOKUP(E258,[1]站场阀室!A:D,4,FALSE)</f>
        <v>陕京二线干线</v>
      </c>
      <c r="E258" s="26" t="s">
        <v>4232</v>
      </c>
      <c r="F258" s="26" t="s">
        <v>11267</v>
      </c>
      <c r="G258" s="26" t="s">
        <v>11571</v>
      </c>
      <c r="H258" s="29">
        <v>40122</v>
      </c>
      <c r="I258" s="26" t="s">
        <v>11287</v>
      </c>
      <c r="J258" s="26" t="s">
        <v>11270</v>
      </c>
      <c r="K258" s="26" t="s">
        <v>11366</v>
      </c>
      <c r="L258" s="26" t="s">
        <v>11578</v>
      </c>
      <c r="M258" s="26" t="s">
        <v>11582</v>
      </c>
      <c r="N258" s="26" t="s">
        <v>11583</v>
      </c>
      <c r="O258" s="26">
        <v>8594</v>
      </c>
      <c r="P258" s="26" t="s">
        <v>11584</v>
      </c>
      <c r="Q258" s="33">
        <v>15</v>
      </c>
      <c r="R258" s="61" t="s">
        <v>11276</v>
      </c>
      <c r="S258" s="26"/>
      <c r="T258" s="31" t="s">
        <v>8244</v>
      </c>
      <c r="U258" s="26"/>
    </row>
    <row r="259" s="21" customFormat="1" ht="30" spans="1:21">
      <c r="A259" s="28" t="s">
        <v>2048</v>
      </c>
      <c r="B259" s="26" t="str">
        <f>VLOOKUP(C259,[1]干线管道!B:C,2,FALSE)</f>
        <v>一级</v>
      </c>
      <c r="C259" s="26" t="str">
        <f>VLOOKUP(E259,[1]站场阀室!A:D,3,FALSE)</f>
        <v>陕京二线</v>
      </c>
      <c r="D259" s="26" t="str">
        <f>VLOOKUP(E259,[1]站场阀室!A:D,4,FALSE)</f>
        <v>陕京二线干线</v>
      </c>
      <c r="E259" s="26" t="s">
        <v>4232</v>
      </c>
      <c r="F259" s="26" t="s">
        <v>11267</v>
      </c>
      <c r="G259" s="26" t="s">
        <v>11572</v>
      </c>
      <c r="H259" s="29">
        <v>40123</v>
      </c>
      <c r="I259" s="26" t="s">
        <v>11287</v>
      </c>
      <c r="J259" s="26" t="s">
        <v>11270</v>
      </c>
      <c r="K259" s="26" t="s">
        <v>11366</v>
      </c>
      <c r="L259" s="26" t="s">
        <v>11578</v>
      </c>
      <c r="M259" s="26" t="s">
        <v>11582</v>
      </c>
      <c r="N259" s="26" t="s">
        <v>11583</v>
      </c>
      <c r="O259" s="26">
        <v>8594</v>
      </c>
      <c r="P259" s="26" t="s">
        <v>11584</v>
      </c>
      <c r="Q259" s="33">
        <v>15</v>
      </c>
      <c r="R259" s="61" t="s">
        <v>11276</v>
      </c>
      <c r="S259" s="26"/>
      <c r="T259" s="31" t="s">
        <v>8244</v>
      </c>
      <c r="U259" s="26"/>
    </row>
    <row r="260" s="21" customFormat="1" spans="1:21">
      <c r="A260" s="28" t="s">
        <v>2048</v>
      </c>
      <c r="B260" s="26" t="str">
        <f>VLOOKUP(C260,[1]干线管道!B:C,2,FALSE)</f>
        <v>一级</v>
      </c>
      <c r="C260" s="26" t="s">
        <v>48</v>
      </c>
      <c r="D260" s="26" t="s">
        <v>380</v>
      </c>
      <c r="E260" s="26" t="s">
        <v>381</v>
      </c>
      <c r="F260" s="26" t="s">
        <v>11267</v>
      </c>
      <c r="G260" s="26" t="s">
        <v>11543</v>
      </c>
      <c r="H260" s="29">
        <v>40940</v>
      </c>
      <c r="I260" s="26" t="s">
        <v>11269</v>
      </c>
      <c r="J260" s="26" t="s">
        <v>11270</v>
      </c>
      <c r="K260" s="26" t="s">
        <v>11271</v>
      </c>
      <c r="L260" s="26" t="s">
        <v>11272</v>
      </c>
      <c r="M260" s="26" t="s">
        <v>11585</v>
      </c>
      <c r="N260" s="26" t="s">
        <v>11349</v>
      </c>
      <c r="O260" s="26">
        <v>4800</v>
      </c>
      <c r="P260" s="26" t="s">
        <v>9973</v>
      </c>
      <c r="Q260" s="33">
        <v>30</v>
      </c>
      <c r="R260" s="61" t="s">
        <v>11276</v>
      </c>
      <c r="S260" s="26" t="s">
        <v>11291</v>
      </c>
      <c r="T260" s="31" t="s">
        <v>8244</v>
      </c>
      <c r="U260" s="26" t="s">
        <v>11586</v>
      </c>
    </row>
    <row r="261" s="21" customFormat="1" spans="1:21">
      <c r="A261" s="28" t="s">
        <v>2048</v>
      </c>
      <c r="B261" s="26" t="str">
        <f>VLOOKUP(C261,[1]干线管道!B:C,2,FALSE)</f>
        <v>一级</v>
      </c>
      <c r="C261" s="26" t="s">
        <v>48</v>
      </c>
      <c r="D261" s="26" t="s">
        <v>380</v>
      </c>
      <c r="E261" s="26" t="s">
        <v>381</v>
      </c>
      <c r="F261" s="26" t="s">
        <v>11267</v>
      </c>
      <c r="G261" s="26" t="s">
        <v>11554</v>
      </c>
      <c r="H261" s="29">
        <v>40940</v>
      </c>
      <c r="I261" s="26" t="s">
        <v>11269</v>
      </c>
      <c r="J261" s="26" t="s">
        <v>11270</v>
      </c>
      <c r="K261" s="26" t="s">
        <v>11271</v>
      </c>
      <c r="L261" s="26" t="s">
        <v>11272</v>
      </c>
      <c r="M261" s="26" t="s">
        <v>11585</v>
      </c>
      <c r="N261" s="26" t="s">
        <v>11349</v>
      </c>
      <c r="O261" s="26">
        <v>4800</v>
      </c>
      <c r="P261" s="26" t="s">
        <v>9973</v>
      </c>
      <c r="Q261" s="33">
        <v>30</v>
      </c>
      <c r="R261" s="61" t="s">
        <v>11276</v>
      </c>
      <c r="S261" s="26"/>
      <c r="T261" s="31" t="s">
        <v>8244</v>
      </c>
      <c r="U261" s="26"/>
    </row>
    <row r="262" s="21" customFormat="1" spans="1:21">
      <c r="A262" s="28" t="s">
        <v>2048</v>
      </c>
      <c r="B262" s="26" t="str">
        <f>VLOOKUP(C262,[1]干线管道!B:C,2,FALSE)</f>
        <v>一级</v>
      </c>
      <c r="C262" s="26" t="s">
        <v>48</v>
      </c>
      <c r="D262" s="26" t="s">
        <v>380</v>
      </c>
      <c r="E262" s="26" t="s">
        <v>381</v>
      </c>
      <c r="F262" s="26" t="s">
        <v>11267</v>
      </c>
      <c r="G262" s="26" t="s">
        <v>11555</v>
      </c>
      <c r="H262" s="29">
        <v>40940</v>
      </c>
      <c r="I262" s="26" t="s">
        <v>11269</v>
      </c>
      <c r="J262" s="26" t="s">
        <v>11270</v>
      </c>
      <c r="K262" s="26" t="s">
        <v>11271</v>
      </c>
      <c r="L262" s="26" t="s">
        <v>11272</v>
      </c>
      <c r="M262" s="26" t="s">
        <v>11585</v>
      </c>
      <c r="N262" s="26" t="s">
        <v>11349</v>
      </c>
      <c r="O262" s="26">
        <v>4800</v>
      </c>
      <c r="P262" s="26" t="s">
        <v>9973</v>
      </c>
      <c r="Q262" s="33">
        <v>30</v>
      </c>
      <c r="R262" s="61" t="s">
        <v>11276</v>
      </c>
      <c r="S262" s="26"/>
      <c r="T262" s="31" t="s">
        <v>8244</v>
      </c>
      <c r="U262" s="26"/>
    </row>
    <row r="263" s="21" customFormat="1" spans="1:21">
      <c r="A263" s="28" t="s">
        <v>2048</v>
      </c>
      <c r="B263" s="26" t="str">
        <f>VLOOKUP(C263,[1]干线管道!B:C,2,FALSE)</f>
        <v>一级</v>
      </c>
      <c r="C263" s="26" t="s">
        <v>48</v>
      </c>
      <c r="D263" s="26" t="s">
        <v>380</v>
      </c>
      <c r="E263" s="26" t="s">
        <v>4360</v>
      </c>
      <c r="F263" s="26" t="s">
        <v>11282</v>
      </c>
      <c r="G263" s="26" t="s">
        <v>11543</v>
      </c>
      <c r="H263" s="29">
        <v>41017</v>
      </c>
      <c r="I263" s="26" t="s">
        <v>11269</v>
      </c>
      <c r="J263" s="26" t="s">
        <v>11270</v>
      </c>
      <c r="K263" s="26" t="s">
        <v>11271</v>
      </c>
      <c r="L263" s="26" t="s">
        <v>11272</v>
      </c>
      <c r="M263" s="26" t="s">
        <v>11585</v>
      </c>
      <c r="N263" s="26" t="s">
        <v>11349</v>
      </c>
      <c r="O263" s="26">
        <v>4800</v>
      </c>
      <c r="P263" s="26" t="s">
        <v>11587</v>
      </c>
      <c r="Q263" s="33">
        <v>29</v>
      </c>
      <c r="R263" s="61" t="s">
        <v>11276</v>
      </c>
      <c r="S263" s="26" t="s">
        <v>11291</v>
      </c>
      <c r="T263" s="31" t="s">
        <v>8244</v>
      </c>
      <c r="U263" s="26" t="s">
        <v>11588</v>
      </c>
    </row>
    <row r="264" s="21" customFormat="1" spans="1:21">
      <c r="A264" s="28" t="s">
        <v>2048</v>
      </c>
      <c r="B264" s="26" t="str">
        <f>VLOOKUP(C264,[1]干线管道!B:C,2,FALSE)</f>
        <v>一级</v>
      </c>
      <c r="C264" s="26" t="str">
        <f>VLOOKUP(E264,[1]站场阀室!A:D,3,FALSE)</f>
        <v>陕京三线</v>
      </c>
      <c r="D264" s="26" t="str">
        <f>VLOOKUP(E264,[1]站场阀室!A:D,4,FALSE)</f>
        <v>陕京三线干线</v>
      </c>
      <c r="E264" s="26" t="s">
        <v>4360</v>
      </c>
      <c r="F264" s="26" t="s">
        <v>11282</v>
      </c>
      <c r="G264" s="26" t="s">
        <v>11554</v>
      </c>
      <c r="H264" s="29">
        <v>40988</v>
      </c>
      <c r="I264" s="26" t="s">
        <v>11269</v>
      </c>
      <c r="J264" s="26" t="s">
        <v>11270</v>
      </c>
      <c r="K264" s="26" t="s">
        <v>11271</v>
      </c>
      <c r="L264" s="26" t="s">
        <v>11272</v>
      </c>
      <c r="M264" s="26" t="s">
        <v>11585</v>
      </c>
      <c r="N264" s="26" t="s">
        <v>11349</v>
      </c>
      <c r="O264" s="26">
        <v>4800</v>
      </c>
      <c r="P264" s="26" t="s">
        <v>11587</v>
      </c>
      <c r="Q264" s="33">
        <v>29</v>
      </c>
      <c r="R264" s="61" t="s">
        <v>11276</v>
      </c>
      <c r="S264" s="26"/>
      <c r="T264" s="31" t="s">
        <v>8244</v>
      </c>
      <c r="U264" s="26"/>
    </row>
    <row r="265" s="21" customFormat="1" spans="1:21">
      <c r="A265" s="28" t="s">
        <v>2048</v>
      </c>
      <c r="B265" s="26" t="str">
        <f>VLOOKUP(C265,[1]干线管道!B:C,2,FALSE)</f>
        <v>一级</v>
      </c>
      <c r="C265" s="26" t="str">
        <f>VLOOKUP(E265,[1]站场阀室!A:D,3,FALSE)</f>
        <v>陕京二线</v>
      </c>
      <c r="D265" s="26" t="str">
        <f>VLOOKUP(E265,[1]站场阀室!A:D,4,FALSE)</f>
        <v>陕京二线干线</v>
      </c>
      <c r="E265" s="26" t="s">
        <v>4195</v>
      </c>
      <c r="F265" s="26" t="s">
        <v>11282</v>
      </c>
      <c r="G265" s="26" t="s">
        <v>11543</v>
      </c>
      <c r="H265" s="29">
        <v>41535</v>
      </c>
      <c r="I265" s="26" t="s">
        <v>11287</v>
      </c>
      <c r="J265" s="26" t="s">
        <v>11270</v>
      </c>
      <c r="K265" s="26" t="s">
        <v>11366</v>
      </c>
      <c r="L265" s="26" t="s">
        <v>11578</v>
      </c>
      <c r="M265" s="26" t="s">
        <v>11589</v>
      </c>
      <c r="N265" s="26" t="s">
        <v>11579</v>
      </c>
      <c r="O265" s="26">
        <v>8593</v>
      </c>
      <c r="P265" s="26" t="s">
        <v>11584</v>
      </c>
      <c r="Q265" s="33">
        <v>20</v>
      </c>
      <c r="R265" s="61" t="s">
        <v>11276</v>
      </c>
      <c r="S265" s="26" t="s">
        <v>8247</v>
      </c>
      <c r="T265" s="31" t="s">
        <v>8244</v>
      </c>
      <c r="U265" s="26" t="s">
        <v>11581</v>
      </c>
    </row>
    <row r="266" s="21" customFormat="1" spans="1:21">
      <c r="A266" s="28" t="s">
        <v>2048</v>
      </c>
      <c r="B266" s="26" t="str">
        <f>VLOOKUP(C266,[1]干线管道!B:C,2,FALSE)</f>
        <v>一级</v>
      </c>
      <c r="C266" s="26" t="str">
        <f>VLOOKUP(E266,[1]站场阀室!A:D,3,FALSE)</f>
        <v>陕京二线</v>
      </c>
      <c r="D266" s="26" t="str">
        <f>VLOOKUP(E266,[1]站场阀室!A:D,4,FALSE)</f>
        <v>陕京二线干线</v>
      </c>
      <c r="E266" s="26" t="s">
        <v>4195</v>
      </c>
      <c r="F266" s="26" t="s">
        <v>11282</v>
      </c>
      <c r="G266" s="26" t="s">
        <v>11554</v>
      </c>
      <c r="H266" s="29">
        <v>41624</v>
      </c>
      <c r="I266" s="26" t="s">
        <v>11287</v>
      </c>
      <c r="J266" s="26" t="s">
        <v>11270</v>
      </c>
      <c r="K266" s="26" t="s">
        <v>11366</v>
      </c>
      <c r="L266" s="26" t="s">
        <v>11578</v>
      </c>
      <c r="M266" s="26" t="s">
        <v>11589</v>
      </c>
      <c r="N266" s="26" t="s">
        <v>11579</v>
      </c>
      <c r="O266" s="26">
        <v>8593</v>
      </c>
      <c r="P266" s="26" t="s">
        <v>11584</v>
      </c>
      <c r="Q266" s="33">
        <v>20</v>
      </c>
      <c r="R266" s="61" t="s">
        <v>11276</v>
      </c>
      <c r="S266" s="26"/>
      <c r="T266" s="31" t="s">
        <v>8244</v>
      </c>
      <c r="U266" s="26"/>
    </row>
    <row r="267" s="21" customFormat="1" spans="1:21">
      <c r="A267" s="28" t="s">
        <v>2048</v>
      </c>
      <c r="B267" s="26" t="str">
        <f>VLOOKUP(C267,[1]干线管道!B:C,2,FALSE)</f>
        <v>一级</v>
      </c>
      <c r="C267" s="26" t="str">
        <f>VLOOKUP(E267,[1]站场阀室!A:D,3,FALSE)</f>
        <v>陕京二线</v>
      </c>
      <c r="D267" s="26" t="str">
        <f>VLOOKUP(E267,[1]站场阀室!A:D,4,FALSE)</f>
        <v>陕京二线干线</v>
      </c>
      <c r="E267" s="26" t="s">
        <v>4232</v>
      </c>
      <c r="F267" s="26" t="s">
        <v>11282</v>
      </c>
      <c r="G267" s="26" t="s">
        <v>11543</v>
      </c>
      <c r="H267" s="29">
        <v>41431</v>
      </c>
      <c r="I267" s="26" t="s">
        <v>11287</v>
      </c>
      <c r="J267" s="26" t="s">
        <v>11270</v>
      </c>
      <c r="K267" s="26" t="s">
        <v>11366</v>
      </c>
      <c r="L267" s="26" t="s">
        <v>11578</v>
      </c>
      <c r="M267" s="26" t="s">
        <v>11590</v>
      </c>
      <c r="N267" s="26" t="s">
        <v>11583</v>
      </c>
      <c r="O267" s="26">
        <v>8594</v>
      </c>
      <c r="P267" s="26" t="s">
        <v>11584</v>
      </c>
      <c r="Q267" s="33">
        <v>15</v>
      </c>
      <c r="R267" s="61" t="s">
        <v>11276</v>
      </c>
      <c r="S267" s="26" t="s">
        <v>8247</v>
      </c>
      <c r="T267" s="31" t="s">
        <v>8244</v>
      </c>
      <c r="U267" s="26" t="s">
        <v>11581</v>
      </c>
    </row>
    <row r="268" s="21" customFormat="1" spans="1:21">
      <c r="A268" s="28" t="s">
        <v>2048</v>
      </c>
      <c r="B268" s="26" t="str">
        <f>VLOOKUP(C268,[1]干线管道!B:C,2,FALSE)</f>
        <v>一级</v>
      </c>
      <c r="C268" s="26" t="str">
        <f>VLOOKUP(E268,[1]站场阀室!A:D,3,FALSE)</f>
        <v>陕京二线</v>
      </c>
      <c r="D268" s="26" t="str">
        <f>VLOOKUP(E268,[1]站场阀室!A:D,4,FALSE)</f>
        <v>陕京二线干线</v>
      </c>
      <c r="E268" s="26" t="s">
        <v>4232</v>
      </c>
      <c r="F268" s="26" t="s">
        <v>11282</v>
      </c>
      <c r="G268" s="26" t="s">
        <v>11554</v>
      </c>
      <c r="H268" s="29">
        <v>41435</v>
      </c>
      <c r="I268" s="26" t="s">
        <v>11287</v>
      </c>
      <c r="J268" s="26" t="s">
        <v>11270</v>
      </c>
      <c r="K268" s="26" t="s">
        <v>11366</v>
      </c>
      <c r="L268" s="26" t="s">
        <v>11578</v>
      </c>
      <c r="M268" s="26" t="s">
        <v>11590</v>
      </c>
      <c r="N268" s="26" t="s">
        <v>11583</v>
      </c>
      <c r="O268" s="26">
        <v>8594</v>
      </c>
      <c r="P268" s="26" t="s">
        <v>11584</v>
      </c>
      <c r="Q268" s="33">
        <v>15</v>
      </c>
      <c r="R268" s="61" t="s">
        <v>11276</v>
      </c>
      <c r="S268" s="26"/>
      <c r="T268" s="31" t="s">
        <v>8244</v>
      </c>
      <c r="U268" s="26"/>
    </row>
    <row r="269" s="21" customFormat="1" ht="30" spans="1:21">
      <c r="A269" s="28" t="s">
        <v>2048</v>
      </c>
      <c r="B269" s="26" t="str">
        <f>VLOOKUP(C269,[1]干线管道!B:C,2,FALSE)</f>
        <v>一级</v>
      </c>
      <c r="C269" s="26" t="str">
        <f>VLOOKUP(E269,[1]站场阀室!A:D,3,FALSE)</f>
        <v>陕京四线</v>
      </c>
      <c r="D269" s="26" t="str">
        <f>VLOOKUP(E269,[1]站场阀室!A:D,4,FALSE)</f>
        <v>陕京四线干线</v>
      </c>
      <c r="E269" s="26" t="s">
        <v>4457</v>
      </c>
      <c r="F269" s="26" t="s">
        <v>11324</v>
      </c>
      <c r="G269" s="26" t="s">
        <v>11268</v>
      </c>
      <c r="H269" s="29" t="s">
        <v>11591</v>
      </c>
      <c r="I269" s="26" t="s">
        <v>11287</v>
      </c>
      <c r="J269" s="26" t="s">
        <v>11296</v>
      </c>
      <c r="K269" s="26" t="s">
        <v>11339</v>
      </c>
      <c r="L269" s="26" t="s">
        <v>11278</v>
      </c>
      <c r="M269" s="26" t="s">
        <v>11592</v>
      </c>
      <c r="N269" s="26" t="s">
        <v>11349</v>
      </c>
      <c r="O269" s="26">
        <v>5040</v>
      </c>
      <c r="P269" s="26" t="s">
        <v>11593</v>
      </c>
      <c r="Q269" s="33">
        <v>18</v>
      </c>
      <c r="R269" s="61" t="s">
        <v>11276</v>
      </c>
      <c r="S269" s="26" t="s">
        <v>8247</v>
      </c>
      <c r="T269" s="63" t="s">
        <v>8244</v>
      </c>
      <c r="U269" s="26"/>
    </row>
    <row r="270" s="21" customFormat="1" ht="30" spans="1:21">
      <c r="A270" s="28" t="s">
        <v>2048</v>
      </c>
      <c r="B270" s="26" t="str">
        <f>VLOOKUP(C270,[1]干线管道!B:C,2,FALSE)</f>
        <v>一级</v>
      </c>
      <c r="C270" s="26" t="str">
        <f>VLOOKUP(E270,[1]站场阀室!A:D,3,FALSE)</f>
        <v>陕京四线</v>
      </c>
      <c r="D270" s="26" t="str">
        <f>VLOOKUP(E270,[1]站场阀室!A:D,4,FALSE)</f>
        <v>陕京四线干线</v>
      </c>
      <c r="E270" s="26" t="s">
        <v>4457</v>
      </c>
      <c r="F270" s="26" t="s">
        <v>11324</v>
      </c>
      <c r="G270" s="26" t="s">
        <v>11176</v>
      </c>
      <c r="H270" s="29" t="s">
        <v>11311</v>
      </c>
      <c r="I270" s="26" t="s">
        <v>11287</v>
      </c>
      <c r="J270" s="26" t="s">
        <v>11296</v>
      </c>
      <c r="K270" s="26" t="s">
        <v>11339</v>
      </c>
      <c r="L270" s="26" t="s">
        <v>11278</v>
      </c>
      <c r="M270" s="26" t="s">
        <v>11592</v>
      </c>
      <c r="N270" s="26" t="s">
        <v>11349</v>
      </c>
      <c r="O270" s="26">
        <v>5040</v>
      </c>
      <c r="P270" s="26" t="s">
        <v>11593</v>
      </c>
      <c r="Q270" s="33">
        <v>18</v>
      </c>
      <c r="R270" s="61" t="s">
        <v>11276</v>
      </c>
      <c r="S270" s="26"/>
      <c r="T270" s="63" t="s">
        <v>8244</v>
      </c>
      <c r="U270" s="26"/>
    </row>
    <row r="271" s="21" customFormat="1" ht="30" spans="1:21">
      <c r="A271" s="28" t="s">
        <v>2048</v>
      </c>
      <c r="B271" s="26" t="str">
        <f>VLOOKUP(C271,[1]干线管道!B:C,2,FALSE)</f>
        <v>一级</v>
      </c>
      <c r="C271" s="26" t="str">
        <f>VLOOKUP(E271,[1]站场阀室!A:D,3,FALSE)</f>
        <v>陕京四线</v>
      </c>
      <c r="D271" s="26" t="str">
        <f>VLOOKUP(E271,[1]站场阀室!A:D,4,FALSE)</f>
        <v>陕京四线干线</v>
      </c>
      <c r="E271" s="26" t="s">
        <v>4457</v>
      </c>
      <c r="F271" s="26" t="s">
        <v>11324</v>
      </c>
      <c r="G271" s="26" t="s">
        <v>9245</v>
      </c>
      <c r="H271" s="29" t="s">
        <v>11311</v>
      </c>
      <c r="I271" s="26" t="s">
        <v>11287</v>
      </c>
      <c r="J271" s="26" t="s">
        <v>11296</v>
      </c>
      <c r="K271" s="26" t="s">
        <v>11339</v>
      </c>
      <c r="L271" s="26" t="s">
        <v>11278</v>
      </c>
      <c r="M271" s="26" t="s">
        <v>11592</v>
      </c>
      <c r="N271" s="26" t="s">
        <v>11349</v>
      </c>
      <c r="O271" s="26">
        <v>5040</v>
      </c>
      <c r="P271" s="26" t="s">
        <v>11593</v>
      </c>
      <c r="Q271" s="33">
        <v>18</v>
      </c>
      <c r="R271" s="61" t="s">
        <v>11276</v>
      </c>
      <c r="S271" s="26"/>
      <c r="T271" s="63" t="s">
        <v>8244</v>
      </c>
      <c r="U271" s="26"/>
    </row>
    <row r="272" s="21" customFormat="1" ht="30" spans="1:21">
      <c r="A272" s="28" t="s">
        <v>2048</v>
      </c>
      <c r="B272" s="26" t="str">
        <f>VLOOKUP(C272,[1]干线管道!B:C,2,FALSE)</f>
        <v>一级</v>
      </c>
      <c r="C272" s="26" t="str">
        <f>VLOOKUP(E272,[1]站场阀室!A:D,3,FALSE)</f>
        <v>陕京四线</v>
      </c>
      <c r="D272" s="26" t="str">
        <f>VLOOKUP(E272,[1]站场阀室!A:D,4,FALSE)</f>
        <v>陕京四线干线</v>
      </c>
      <c r="E272" s="26" t="s">
        <v>4457</v>
      </c>
      <c r="F272" s="26" t="s">
        <v>11324</v>
      </c>
      <c r="G272" s="26" t="s">
        <v>10755</v>
      </c>
      <c r="H272" s="29" t="s">
        <v>11594</v>
      </c>
      <c r="I272" s="26" t="s">
        <v>11287</v>
      </c>
      <c r="J272" s="26" t="s">
        <v>11296</v>
      </c>
      <c r="K272" s="26" t="s">
        <v>11339</v>
      </c>
      <c r="L272" s="26" t="s">
        <v>11278</v>
      </c>
      <c r="M272" s="26" t="s">
        <v>11592</v>
      </c>
      <c r="N272" s="26" t="s">
        <v>11349</v>
      </c>
      <c r="O272" s="26">
        <v>5040</v>
      </c>
      <c r="P272" s="26" t="s">
        <v>11593</v>
      </c>
      <c r="Q272" s="33">
        <v>18</v>
      </c>
      <c r="R272" s="61" t="s">
        <v>11276</v>
      </c>
      <c r="S272" s="26"/>
      <c r="T272" s="63" t="s">
        <v>8244</v>
      </c>
      <c r="U272" s="26"/>
    </row>
    <row r="273" s="21" customFormat="1" spans="1:21">
      <c r="A273" s="28" t="s">
        <v>2048</v>
      </c>
      <c r="B273" s="26" t="str">
        <f>VLOOKUP(C273,[1]干线管道!B:C,2,FALSE)</f>
        <v>一级</v>
      </c>
      <c r="C273" s="26" t="str">
        <f>VLOOKUP(E273,[1]站场阀室!A:D,3,FALSE)</f>
        <v>陕京四线</v>
      </c>
      <c r="D273" s="26" t="str">
        <f>VLOOKUP(E273,[1]站场阀室!A:D,4,FALSE)</f>
        <v>陕京四线干线</v>
      </c>
      <c r="E273" s="26" t="s">
        <v>4475</v>
      </c>
      <c r="F273" s="26" t="s">
        <v>11324</v>
      </c>
      <c r="G273" s="26" t="s">
        <v>11268</v>
      </c>
      <c r="H273" s="29" t="s">
        <v>11595</v>
      </c>
      <c r="I273" s="26" t="s">
        <v>11287</v>
      </c>
      <c r="J273" s="26" t="s">
        <v>11296</v>
      </c>
      <c r="K273" s="26" t="s">
        <v>11339</v>
      </c>
      <c r="L273" s="26" t="s">
        <v>11278</v>
      </c>
      <c r="M273" s="26" t="s">
        <v>11596</v>
      </c>
      <c r="N273" s="26" t="s">
        <v>11597</v>
      </c>
      <c r="O273" s="26">
        <v>4800</v>
      </c>
      <c r="P273" s="26" t="s">
        <v>11598</v>
      </c>
      <c r="Q273" s="33">
        <v>20</v>
      </c>
      <c r="R273" s="61" t="s">
        <v>11276</v>
      </c>
      <c r="S273" s="26" t="s">
        <v>147</v>
      </c>
      <c r="T273" s="63" t="s">
        <v>11599</v>
      </c>
      <c r="U273" s="26"/>
    </row>
    <row r="274" s="21" customFormat="1" spans="1:21">
      <c r="A274" s="28" t="s">
        <v>2048</v>
      </c>
      <c r="B274" s="26" t="str">
        <f>VLOOKUP(C274,[1]干线管道!B:C,2,FALSE)</f>
        <v>一级</v>
      </c>
      <c r="C274" s="26" t="str">
        <f>VLOOKUP(E274,[1]站场阀室!A:D,3,FALSE)</f>
        <v>陕京四线</v>
      </c>
      <c r="D274" s="26" t="str">
        <f>VLOOKUP(E274,[1]站场阀室!A:D,4,FALSE)</f>
        <v>陕京四线干线</v>
      </c>
      <c r="E274" s="26" t="s">
        <v>4475</v>
      </c>
      <c r="F274" s="26" t="s">
        <v>11324</v>
      </c>
      <c r="G274" s="26" t="s">
        <v>11176</v>
      </c>
      <c r="H274" s="26">
        <v>2020.1124</v>
      </c>
      <c r="I274" s="26" t="s">
        <v>11287</v>
      </c>
      <c r="J274" s="26" t="s">
        <v>11296</v>
      </c>
      <c r="K274" s="26" t="s">
        <v>11339</v>
      </c>
      <c r="L274" s="26" t="s">
        <v>11278</v>
      </c>
      <c r="M274" s="26" t="s">
        <v>11596</v>
      </c>
      <c r="N274" s="26" t="s">
        <v>11597</v>
      </c>
      <c r="O274" s="26">
        <v>4800</v>
      </c>
      <c r="P274" s="26" t="s">
        <v>11598</v>
      </c>
      <c r="Q274" s="33">
        <v>20</v>
      </c>
      <c r="R274" s="61" t="s">
        <v>11276</v>
      </c>
      <c r="S274" s="26" t="s">
        <v>147</v>
      </c>
      <c r="T274" s="63" t="s">
        <v>11599</v>
      </c>
      <c r="U274" s="26"/>
    </row>
    <row r="275" s="21" customFormat="1" spans="1:21">
      <c r="A275" s="28" t="s">
        <v>2048</v>
      </c>
      <c r="B275" s="26" t="str">
        <f>VLOOKUP(C275,[1]干线管道!B:C,2,FALSE)</f>
        <v>一级</v>
      </c>
      <c r="C275" s="26" t="str">
        <f>VLOOKUP(E275,[1]站场阀室!A:D,3,FALSE)</f>
        <v>陕京四线</v>
      </c>
      <c r="D275" s="26" t="str">
        <f>VLOOKUP(E275,[1]站场阀室!A:D,4,FALSE)</f>
        <v>陕京四线干线</v>
      </c>
      <c r="E275" s="26" t="s">
        <v>4475</v>
      </c>
      <c r="F275" s="26" t="s">
        <v>11324</v>
      </c>
      <c r="G275" s="26" t="s">
        <v>9245</v>
      </c>
      <c r="H275" s="29" t="s">
        <v>11600</v>
      </c>
      <c r="I275" s="26" t="s">
        <v>11287</v>
      </c>
      <c r="J275" s="26" t="s">
        <v>11296</v>
      </c>
      <c r="K275" s="26" t="s">
        <v>11339</v>
      </c>
      <c r="L275" s="26" t="s">
        <v>11278</v>
      </c>
      <c r="M275" s="26" t="s">
        <v>11596</v>
      </c>
      <c r="N275" s="26" t="s">
        <v>11597</v>
      </c>
      <c r="O275" s="26">
        <v>4800</v>
      </c>
      <c r="P275" s="26" t="s">
        <v>11598</v>
      </c>
      <c r="Q275" s="33">
        <v>20</v>
      </c>
      <c r="R275" s="61" t="s">
        <v>11276</v>
      </c>
      <c r="S275" s="26" t="s">
        <v>147</v>
      </c>
      <c r="T275" s="63" t="s">
        <v>11599</v>
      </c>
      <c r="U275" s="26"/>
    </row>
    <row r="276" s="21" customFormat="1" spans="1:21">
      <c r="A276" s="28" t="s">
        <v>2048</v>
      </c>
      <c r="B276" s="26" t="str">
        <f>VLOOKUP(C276,[1]干线管道!B:C,2,FALSE)</f>
        <v>一级</v>
      </c>
      <c r="C276" s="26" t="str">
        <f>VLOOKUP(E276,[1]站场阀室!A:D,3,FALSE)</f>
        <v>陕京四线</v>
      </c>
      <c r="D276" s="26" t="str">
        <f>VLOOKUP(E276,[1]站场阀室!A:D,4,FALSE)</f>
        <v>陕京四线干线</v>
      </c>
      <c r="E276" s="26" t="s">
        <v>4475</v>
      </c>
      <c r="F276" s="26" t="s">
        <v>11324</v>
      </c>
      <c r="G276" s="26" t="s">
        <v>10755</v>
      </c>
      <c r="H276" s="29" t="s">
        <v>11601</v>
      </c>
      <c r="I276" s="26" t="s">
        <v>11287</v>
      </c>
      <c r="J276" s="26" t="s">
        <v>11296</v>
      </c>
      <c r="K276" s="26" t="s">
        <v>11339</v>
      </c>
      <c r="L276" s="26" t="s">
        <v>11278</v>
      </c>
      <c r="M276" s="26" t="s">
        <v>11596</v>
      </c>
      <c r="N276" s="26" t="s">
        <v>11597</v>
      </c>
      <c r="O276" s="26">
        <v>4800</v>
      </c>
      <c r="P276" s="26" t="s">
        <v>11598</v>
      </c>
      <c r="Q276" s="33">
        <v>20</v>
      </c>
      <c r="R276" s="61" t="s">
        <v>11276</v>
      </c>
      <c r="S276" s="26" t="s">
        <v>147</v>
      </c>
      <c r="T276" s="63" t="s">
        <v>11599</v>
      </c>
      <c r="U276" s="26"/>
    </row>
    <row r="277" s="21" customFormat="1" spans="1:21">
      <c r="A277" s="28" t="s">
        <v>2048</v>
      </c>
      <c r="B277" s="26" t="str">
        <f>VLOOKUP(C277,[1]干线管道!B:C,2,FALSE)</f>
        <v>一级</v>
      </c>
      <c r="C277" s="26" t="str">
        <f>VLOOKUP(E277,[1]站场阀室!A:D,3,FALSE)</f>
        <v>陕京四线</v>
      </c>
      <c r="D277" s="26" t="str">
        <f>VLOOKUP(E277,[1]站场阀室!A:D,4,FALSE)</f>
        <v>陕京四线干线</v>
      </c>
      <c r="E277" s="26" t="s">
        <v>4498</v>
      </c>
      <c r="F277" s="26" t="s">
        <v>11324</v>
      </c>
      <c r="G277" s="26" t="s">
        <v>11268</v>
      </c>
      <c r="H277" s="29" t="s">
        <v>11602</v>
      </c>
      <c r="I277" s="26" t="s">
        <v>11287</v>
      </c>
      <c r="J277" s="26" t="s">
        <v>11296</v>
      </c>
      <c r="K277" s="26" t="s">
        <v>11339</v>
      </c>
      <c r="L277" s="26" t="s">
        <v>11309</v>
      </c>
      <c r="M277" s="26" t="s">
        <v>11596</v>
      </c>
      <c r="N277" s="26" t="s">
        <v>11603</v>
      </c>
      <c r="O277" s="26">
        <v>5250</v>
      </c>
      <c r="P277" s="26" t="s">
        <v>11604</v>
      </c>
      <c r="Q277" s="33">
        <v>16</v>
      </c>
      <c r="R277" s="61" t="s">
        <v>11276</v>
      </c>
      <c r="S277" s="26" t="s">
        <v>8247</v>
      </c>
      <c r="T277" s="63" t="s">
        <v>8244</v>
      </c>
      <c r="U277" s="26"/>
    </row>
    <row r="278" s="21" customFormat="1" spans="1:21">
      <c r="A278" s="28" t="s">
        <v>2048</v>
      </c>
      <c r="B278" s="26" t="str">
        <f>VLOOKUP(C278,[1]干线管道!B:C,2,FALSE)</f>
        <v>一级</v>
      </c>
      <c r="C278" s="26" t="str">
        <f>VLOOKUP(E278,[1]站场阀室!A:D,3,FALSE)</f>
        <v>陕京四线</v>
      </c>
      <c r="D278" s="26" t="str">
        <f>VLOOKUP(E278,[1]站场阀室!A:D,4,FALSE)</f>
        <v>陕京四线干线</v>
      </c>
      <c r="E278" s="26" t="s">
        <v>4498</v>
      </c>
      <c r="F278" s="26" t="s">
        <v>11324</v>
      </c>
      <c r="G278" s="26" t="s">
        <v>11176</v>
      </c>
      <c r="H278" s="29" t="s">
        <v>11605</v>
      </c>
      <c r="I278" s="26" t="s">
        <v>11287</v>
      </c>
      <c r="J278" s="26" t="s">
        <v>11296</v>
      </c>
      <c r="K278" s="26" t="s">
        <v>11339</v>
      </c>
      <c r="L278" s="26" t="s">
        <v>11309</v>
      </c>
      <c r="M278" s="26" t="s">
        <v>11596</v>
      </c>
      <c r="N278" s="26" t="s">
        <v>11603</v>
      </c>
      <c r="O278" s="26">
        <v>5250</v>
      </c>
      <c r="P278" s="26" t="s">
        <v>11604</v>
      </c>
      <c r="Q278" s="33">
        <v>16</v>
      </c>
      <c r="R278" s="61" t="s">
        <v>11276</v>
      </c>
      <c r="S278" s="26"/>
      <c r="T278" s="63" t="s">
        <v>8244</v>
      </c>
      <c r="U278" s="26"/>
    </row>
    <row r="279" s="21" customFormat="1" spans="1:21">
      <c r="A279" s="28" t="s">
        <v>2048</v>
      </c>
      <c r="B279" s="26" t="str">
        <f>VLOOKUP(C279,[1]干线管道!B:C,2,FALSE)</f>
        <v>一级</v>
      </c>
      <c r="C279" s="26" t="str">
        <f>VLOOKUP(E279,[1]站场阀室!A:D,3,FALSE)</f>
        <v>陕京四线</v>
      </c>
      <c r="D279" s="26" t="str">
        <f>VLOOKUP(E279,[1]站场阀室!A:D,4,FALSE)</f>
        <v>陕京四线干线</v>
      </c>
      <c r="E279" s="26" t="s">
        <v>4498</v>
      </c>
      <c r="F279" s="26" t="s">
        <v>11324</v>
      </c>
      <c r="G279" s="26" t="s">
        <v>9245</v>
      </c>
      <c r="H279" s="29" t="s">
        <v>11606</v>
      </c>
      <c r="I279" s="26" t="s">
        <v>11287</v>
      </c>
      <c r="J279" s="26" t="s">
        <v>11296</v>
      </c>
      <c r="K279" s="26" t="s">
        <v>11339</v>
      </c>
      <c r="L279" s="26" t="s">
        <v>11309</v>
      </c>
      <c r="M279" s="26" t="s">
        <v>11596</v>
      </c>
      <c r="N279" s="26" t="s">
        <v>11603</v>
      </c>
      <c r="O279" s="26">
        <v>5250</v>
      </c>
      <c r="P279" s="26" t="s">
        <v>11604</v>
      </c>
      <c r="Q279" s="33">
        <v>16</v>
      </c>
      <c r="R279" s="61" t="s">
        <v>11276</v>
      </c>
      <c r="S279" s="26"/>
      <c r="T279" s="63" t="s">
        <v>8244</v>
      </c>
      <c r="U279" s="26"/>
    </row>
    <row r="280" s="21" customFormat="1" spans="1:21">
      <c r="A280" s="28" t="s">
        <v>2048</v>
      </c>
      <c r="B280" s="26" t="str">
        <f>VLOOKUP(C280,[1]干线管道!B:C,2,FALSE)</f>
        <v>一级</v>
      </c>
      <c r="C280" s="26" t="str">
        <f>VLOOKUP(E280,[1]站场阀室!A:D,3,FALSE)</f>
        <v>陕京四线</v>
      </c>
      <c r="D280" s="26" t="str">
        <f>VLOOKUP(E280,[1]站场阀室!A:D,4,FALSE)</f>
        <v>陕京四线干线</v>
      </c>
      <c r="E280" s="26" t="s">
        <v>4498</v>
      </c>
      <c r="F280" s="26" t="s">
        <v>11324</v>
      </c>
      <c r="G280" s="26" t="s">
        <v>10755</v>
      </c>
      <c r="H280" s="26" t="s">
        <v>11607</v>
      </c>
      <c r="I280" s="26" t="s">
        <v>11287</v>
      </c>
      <c r="J280" s="26" t="s">
        <v>11296</v>
      </c>
      <c r="K280" s="26" t="s">
        <v>11339</v>
      </c>
      <c r="L280" s="26" t="s">
        <v>11309</v>
      </c>
      <c r="M280" s="26" t="s">
        <v>11596</v>
      </c>
      <c r="N280" s="26" t="s">
        <v>11603</v>
      </c>
      <c r="O280" s="26">
        <v>5250</v>
      </c>
      <c r="P280" s="26" t="s">
        <v>11604</v>
      </c>
      <c r="Q280" s="33">
        <v>16</v>
      </c>
      <c r="R280" s="61" t="s">
        <v>11276</v>
      </c>
      <c r="S280" s="26"/>
      <c r="T280" s="63" t="s">
        <v>8244</v>
      </c>
      <c r="U280" s="26"/>
    </row>
    <row r="281" s="21" customFormat="1" spans="1:21">
      <c r="A281" s="28" t="s">
        <v>2048</v>
      </c>
      <c r="B281" s="26" t="str">
        <f>VLOOKUP(C281,[1]干线管道!B:C,2,FALSE)</f>
        <v>一级</v>
      </c>
      <c r="C281" s="26" t="str">
        <f>VLOOKUP(E281,[1]站场阀室!A:D,3,FALSE)</f>
        <v>陕京四线</v>
      </c>
      <c r="D281" s="26" t="str">
        <f>VLOOKUP(E281,[1]站场阀室!A:D,4,FALSE)</f>
        <v>陕京四线干线</v>
      </c>
      <c r="E281" s="26" t="s">
        <v>4518</v>
      </c>
      <c r="F281" s="26" t="s">
        <v>11324</v>
      </c>
      <c r="G281" s="26" t="s">
        <v>11268</v>
      </c>
      <c r="H281" s="26" t="s">
        <v>11608</v>
      </c>
      <c r="I281" s="26" t="s">
        <v>11287</v>
      </c>
      <c r="J281" s="26" t="s">
        <v>11296</v>
      </c>
      <c r="K281" s="26" t="s">
        <v>11339</v>
      </c>
      <c r="L281" s="26" t="s">
        <v>11278</v>
      </c>
      <c r="M281" s="26" t="s">
        <v>11596</v>
      </c>
      <c r="N281" s="26" t="s">
        <v>11609</v>
      </c>
      <c r="O281" s="26">
        <v>4800</v>
      </c>
      <c r="P281" s="26" t="s">
        <v>11610</v>
      </c>
      <c r="Q281" s="33">
        <v>18</v>
      </c>
      <c r="R281" s="61" t="s">
        <v>11276</v>
      </c>
      <c r="S281" s="26"/>
      <c r="T281" s="63" t="s">
        <v>11599</v>
      </c>
      <c r="U281" s="26"/>
    </row>
    <row r="282" s="21" customFormat="1" spans="1:21">
      <c r="A282" s="28" t="s">
        <v>2048</v>
      </c>
      <c r="B282" s="26" t="str">
        <f>VLOOKUP(C282,[1]干线管道!B:C,2,FALSE)</f>
        <v>一级</v>
      </c>
      <c r="C282" s="26" t="str">
        <f>VLOOKUP(E282,[1]站场阀室!A:D,3,FALSE)</f>
        <v>陕京四线</v>
      </c>
      <c r="D282" s="26" t="str">
        <f>VLOOKUP(E282,[1]站场阀室!A:D,4,FALSE)</f>
        <v>陕京四线干线</v>
      </c>
      <c r="E282" s="26" t="s">
        <v>4518</v>
      </c>
      <c r="F282" s="26" t="s">
        <v>11324</v>
      </c>
      <c r="G282" s="26" t="s">
        <v>11176</v>
      </c>
      <c r="H282" s="26" t="s">
        <v>11611</v>
      </c>
      <c r="I282" s="26" t="s">
        <v>11287</v>
      </c>
      <c r="J282" s="26" t="s">
        <v>11296</v>
      </c>
      <c r="K282" s="26" t="s">
        <v>11339</v>
      </c>
      <c r="L282" s="26" t="s">
        <v>11278</v>
      </c>
      <c r="M282" s="26" t="s">
        <v>11596</v>
      </c>
      <c r="N282" s="26" t="s">
        <v>11609</v>
      </c>
      <c r="O282" s="26">
        <v>4800</v>
      </c>
      <c r="P282" s="26" t="s">
        <v>11610</v>
      </c>
      <c r="Q282" s="33">
        <v>18</v>
      </c>
      <c r="R282" s="61" t="s">
        <v>11276</v>
      </c>
      <c r="S282" s="26"/>
      <c r="T282" s="63" t="s">
        <v>11599</v>
      </c>
      <c r="U282" s="26"/>
    </row>
    <row r="283" s="21" customFormat="1" spans="1:21">
      <c r="A283" s="28" t="s">
        <v>2048</v>
      </c>
      <c r="B283" s="26" t="str">
        <f>VLOOKUP(C283,[1]干线管道!B:C,2,FALSE)</f>
        <v>一级</v>
      </c>
      <c r="C283" s="26" t="str">
        <f>VLOOKUP(E283,[1]站场阀室!A:D,3,FALSE)</f>
        <v>陕京四线</v>
      </c>
      <c r="D283" s="26" t="str">
        <f>VLOOKUP(E283,[1]站场阀室!A:D,4,FALSE)</f>
        <v>陕京四线干线</v>
      </c>
      <c r="E283" s="26" t="s">
        <v>4518</v>
      </c>
      <c r="F283" s="26" t="s">
        <v>11324</v>
      </c>
      <c r="G283" s="26" t="s">
        <v>9245</v>
      </c>
      <c r="H283" s="26" t="s">
        <v>11595</v>
      </c>
      <c r="I283" s="26" t="s">
        <v>11287</v>
      </c>
      <c r="J283" s="26" t="s">
        <v>11296</v>
      </c>
      <c r="K283" s="26" t="s">
        <v>11339</v>
      </c>
      <c r="L283" s="26" t="s">
        <v>11278</v>
      </c>
      <c r="M283" s="26" t="s">
        <v>11596</v>
      </c>
      <c r="N283" s="26" t="s">
        <v>11609</v>
      </c>
      <c r="O283" s="26">
        <v>4800</v>
      </c>
      <c r="P283" s="26" t="s">
        <v>11610</v>
      </c>
      <c r="Q283" s="33">
        <v>18</v>
      </c>
      <c r="R283" s="61" t="s">
        <v>11276</v>
      </c>
      <c r="S283" s="26"/>
      <c r="T283" s="63" t="s">
        <v>11599</v>
      </c>
      <c r="U283" s="26"/>
    </row>
    <row r="284" s="21" customFormat="1" spans="1:21">
      <c r="A284" s="28" t="s">
        <v>2048</v>
      </c>
      <c r="B284" s="26" t="str">
        <f>VLOOKUP(C284,[1]干线管道!B:C,2,FALSE)</f>
        <v>一级</v>
      </c>
      <c r="C284" s="26" t="str">
        <f>VLOOKUP(E284,[1]站场阀室!A:D,3,FALSE)</f>
        <v>陕京四线</v>
      </c>
      <c r="D284" s="26" t="str">
        <f>VLOOKUP(E284,[1]站场阀室!A:D,4,FALSE)</f>
        <v>陕京四线干线</v>
      </c>
      <c r="E284" s="26" t="s">
        <v>4518</v>
      </c>
      <c r="F284" s="26" t="s">
        <v>11324</v>
      </c>
      <c r="G284" s="26" t="s">
        <v>10755</v>
      </c>
      <c r="H284" s="26" t="s">
        <v>11612</v>
      </c>
      <c r="I284" s="26" t="s">
        <v>11287</v>
      </c>
      <c r="J284" s="26" t="s">
        <v>11296</v>
      </c>
      <c r="K284" s="26" t="s">
        <v>11339</v>
      </c>
      <c r="L284" s="26" t="s">
        <v>11278</v>
      </c>
      <c r="M284" s="26" t="s">
        <v>11596</v>
      </c>
      <c r="N284" s="26" t="s">
        <v>11609</v>
      </c>
      <c r="O284" s="26">
        <v>4800</v>
      </c>
      <c r="P284" s="26" t="s">
        <v>11610</v>
      </c>
      <c r="Q284" s="33">
        <v>18</v>
      </c>
      <c r="R284" s="61" t="s">
        <v>11276</v>
      </c>
      <c r="S284" s="26"/>
      <c r="T284" s="63" t="s">
        <v>11599</v>
      </c>
      <c r="U284" s="26"/>
    </row>
    <row r="285" s="21" customFormat="1" spans="1:21">
      <c r="A285" s="28" t="s">
        <v>2048</v>
      </c>
      <c r="B285" s="26" t="str">
        <f>VLOOKUP(C285,[1]干线管道!B:C,2,FALSE)</f>
        <v>一级</v>
      </c>
      <c r="C285" s="26" t="str">
        <f>VLOOKUP(E285,[1]站场阀室!A:D,3,FALSE)</f>
        <v>陕京四线</v>
      </c>
      <c r="D285" s="26" t="str">
        <f>VLOOKUP(E285,[1]站场阀室!A:D,4,FALSE)</f>
        <v>陕京四线干线</v>
      </c>
      <c r="E285" s="26" t="s">
        <v>402</v>
      </c>
      <c r="F285" s="26" t="s">
        <v>11267</v>
      </c>
      <c r="G285" s="26" t="s">
        <v>11268</v>
      </c>
      <c r="H285" s="26" t="s">
        <v>11613</v>
      </c>
      <c r="I285" s="26" t="s">
        <v>11287</v>
      </c>
      <c r="J285" s="26" t="s">
        <v>11296</v>
      </c>
      <c r="K285" s="26" t="s">
        <v>11443</v>
      </c>
      <c r="L285" s="26" t="s">
        <v>11614</v>
      </c>
      <c r="M285" s="26" t="s">
        <v>11615</v>
      </c>
      <c r="N285" s="26" t="s">
        <v>11349</v>
      </c>
      <c r="O285" s="26">
        <v>5040</v>
      </c>
      <c r="P285" s="26" t="s">
        <v>11616</v>
      </c>
      <c r="Q285" s="33">
        <v>10</v>
      </c>
      <c r="R285" s="61" t="s">
        <v>11276</v>
      </c>
      <c r="S285" s="26"/>
      <c r="T285" s="63" t="s">
        <v>11599</v>
      </c>
      <c r="U285" s="26"/>
    </row>
    <row r="286" s="21" customFormat="1" spans="1:21">
      <c r="A286" s="28" t="s">
        <v>2048</v>
      </c>
      <c r="B286" s="26" t="str">
        <f>VLOOKUP(C286,[1]干线管道!B:C,2,FALSE)</f>
        <v>一级</v>
      </c>
      <c r="C286" s="26" t="str">
        <f>VLOOKUP(E286,[1]站场阀室!A:D,3,FALSE)</f>
        <v>陕京四线</v>
      </c>
      <c r="D286" s="26" t="str">
        <f>VLOOKUP(E286,[1]站场阀室!A:D,4,FALSE)</f>
        <v>陕京四线干线</v>
      </c>
      <c r="E286" s="26" t="s">
        <v>402</v>
      </c>
      <c r="F286" s="26" t="s">
        <v>11267</v>
      </c>
      <c r="G286" s="26" t="s">
        <v>11176</v>
      </c>
      <c r="H286" s="26" t="s">
        <v>11617</v>
      </c>
      <c r="I286" s="26" t="s">
        <v>11287</v>
      </c>
      <c r="J286" s="26" t="s">
        <v>11296</v>
      </c>
      <c r="K286" s="26" t="s">
        <v>11443</v>
      </c>
      <c r="L286" s="26" t="s">
        <v>11614</v>
      </c>
      <c r="M286" s="26" t="s">
        <v>11615</v>
      </c>
      <c r="N286" s="26" t="s">
        <v>11349</v>
      </c>
      <c r="O286" s="26">
        <v>5040</v>
      </c>
      <c r="P286" s="26" t="s">
        <v>11616</v>
      </c>
      <c r="Q286" s="33">
        <v>10</v>
      </c>
      <c r="R286" s="61" t="s">
        <v>11276</v>
      </c>
      <c r="S286" s="26"/>
      <c r="T286" s="63" t="s">
        <v>11599</v>
      </c>
      <c r="U286" s="26"/>
    </row>
    <row r="287" s="21" customFormat="1" spans="1:21">
      <c r="A287" s="28" t="s">
        <v>2048</v>
      </c>
      <c r="B287" s="26" t="str">
        <f>VLOOKUP(C287,[1]干线管道!B:C,2,FALSE)</f>
        <v>一级</v>
      </c>
      <c r="C287" s="26" t="str">
        <f>VLOOKUP(E287,[1]站场阀室!A:D,3,FALSE)</f>
        <v>陕京四线</v>
      </c>
      <c r="D287" s="26" t="str">
        <f>VLOOKUP(E287,[1]站场阀室!A:D,4,FALSE)</f>
        <v>陕京四线干线</v>
      </c>
      <c r="E287" s="26" t="s">
        <v>402</v>
      </c>
      <c r="F287" s="26" t="s">
        <v>11267</v>
      </c>
      <c r="G287" s="26" t="s">
        <v>9245</v>
      </c>
      <c r="H287" s="26" t="s">
        <v>11613</v>
      </c>
      <c r="I287" s="26" t="s">
        <v>11287</v>
      </c>
      <c r="J287" s="26" t="s">
        <v>11296</v>
      </c>
      <c r="K287" s="26" t="s">
        <v>11443</v>
      </c>
      <c r="L287" s="26" t="s">
        <v>11614</v>
      </c>
      <c r="M287" s="26" t="s">
        <v>11615</v>
      </c>
      <c r="N287" s="26" t="s">
        <v>11349</v>
      </c>
      <c r="O287" s="26">
        <v>5040</v>
      </c>
      <c r="P287" s="26" t="s">
        <v>11616</v>
      </c>
      <c r="Q287" s="33">
        <v>10</v>
      </c>
      <c r="R287" s="61" t="s">
        <v>11276</v>
      </c>
      <c r="S287" s="26"/>
      <c r="T287" s="63" t="s">
        <v>11599</v>
      </c>
      <c r="U287" s="26"/>
    </row>
    <row r="288" s="21" customFormat="1" spans="1:21">
      <c r="A288" s="28" t="s">
        <v>1640</v>
      </c>
      <c r="B288" s="26" t="str">
        <f>VLOOKUP(C288,[1]干线管道!B:C,2,FALSE)</f>
        <v>一级</v>
      </c>
      <c r="C288" s="26" t="str">
        <f>VLOOKUP(E288,[1]站场阀室!A:D,3,FALSE)</f>
        <v>永唐秦管道</v>
      </c>
      <c r="D288" s="26" t="str">
        <f>VLOOKUP(E288,[1]站场阀室!A:D,4,FALSE)</f>
        <v>永唐秦干线</v>
      </c>
      <c r="E288" s="26" t="s">
        <v>430</v>
      </c>
      <c r="F288" s="26" t="s">
        <v>11317</v>
      </c>
      <c r="G288" s="26" t="s">
        <v>11268</v>
      </c>
      <c r="H288" s="29" t="s">
        <v>11618</v>
      </c>
      <c r="I288" s="26" t="s">
        <v>11269</v>
      </c>
      <c r="J288" s="26" t="s">
        <v>11270</v>
      </c>
      <c r="K288" s="26" t="s">
        <v>11314</v>
      </c>
      <c r="L288" s="26" t="s">
        <v>11619</v>
      </c>
      <c r="M288" s="30" t="s">
        <v>11620</v>
      </c>
      <c r="N288" s="30" t="s">
        <v>11621</v>
      </c>
      <c r="O288" s="26">
        <v>8860</v>
      </c>
      <c r="P288" s="26" t="s">
        <v>11622</v>
      </c>
      <c r="Q288" s="33">
        <v>15</v>
      </c>
      <c r="R288" s="61" t="s">
        <v>11276</v>
      </c>
      <c r="S288" s="26" t="s">
        <v>8247</v>
      </c>
      <c r="T288" s="63" t="s">
        <v>8244</v>
      </c>
      <c r="U288" s="26"/>
    </row>
    <row r="289" s="21" customFormat="1" spans="1:21">
      <c r="A289" s="28" t="s">
        <v>1640</v>
      </c>
      <c r="B289" s="26" t="str">
        <f>VLOOKUP(C289,[1]干线管道!B:C,2,FALSE)</f>
        <v>一级</v>
      </c>
      <c r="C289" s="26" t="str">
        <f>VLOOKUP(E289,[1]站场阀室!A:D,3,FALSE)</f>
        <v>永唐秦管道</v>
      </c>
      <c r="D289" s="26" t="str">
        <f>VLOOKUP(E289,[1]站场阀室!A:D,4,FALSE)</f>
        <v>永唐秦干线</v>
      </c>
      <c r="E289" s="26" t="s">
        <v>430</v>
      </c>
      <c r="F289" s="26" t="s">
        <v>11317</v>
      </c>
      <c r="G289" s="26" t="s">
        <v>11176</v>
      </c>
      <c r="H289" s="29" t="s">
        <v>11618</v>
      </c>
      <c r="I289" s="26" t="s">
        <v>11269</v>
      </c>
      <c r="J289" s="26" t="s">
        <v>11270</v>
      </c>
      <c r="K289" s="26" t="s">
        <v>11314</v>
      </c>
      <c r="L289" s="26" t="s">
        <v>11619</v>
      </c>
      <c r="M289" s="30" t="s">
        <v>11620</v>
      </c>
      <c r="N289" s="30" t="s">
        <v>11621</v>
      </c>
      <c r="O289" s="26">
        <v>8860</v>
      </c>
      <c r="P289" s="26" t="s">
        <v>11622</v>
      </c>
      <c r="Q289" s="33">
        <v>15</v>
      </c>
      <c r="R289" s="61" t="s">
        <v>11276</v>
      </c>
      <c r="S289" s="26"/>
      <c r="T289" s="63" t="s">
        <v>8244</v>
      </c>
      <c r="U289" s="26"/>
    </row>
    <row r="290" s="21" customFormat="1" spans="1:21">
      <c r="A290" s="28" t="s">
        <v>5092</v>
      </c>
      <c r="B290" s="26" t="str">
        <f>VLOOKUP(C290,[1]干线管道!B:C,2,FALSE)</f>
        <v>一级</v>
      </c>
      <c r="C290" s="26" t="str">
        <f>VLOOKUP(E290,[1]站场阀室!A:D,3,FALSE)</f>
        <v>中俄东线</v>
      </c>
      <c r="D290" s="26" t="str">
        <f>VLOOKUP(E290,[1]站场阀室!A:D,4,FALSE)</f>
        <v>中俄东线跨境段</v>
      </c>
      <c r="E290" s="26" t="s">
        <v>552</v>
      </c>
      <c r="F290" s="26" t="s">
        <v>11324</v>
      </c>
      <c r="G290" s="26" t="s">
        <v>11268</v>
      </c>
      <c r="H290" s="26" t="s">
        <v>11623</v>
      </c>
      <c r="I290" s="26" t="s">
        <v>11287</v>
      </c>
      <c r="J290" s="26" t="s">
        <v>11296</v>
      </c>
      <c r="K290" s="26" t="s">
        <v>11339</v>
      </c>
      <c r="L290" s="26" t="s">
        <v>11309</v>
      </c>
      <c r="M290" s="30" t="s">
        <v>11624</v>
      </c>
      <c r="N290" s="30" t="s">
        <v>11274</v>
      </c>
      <c r="O290" s="26">
        <v>5040</v>
      </c>
      <c r="P290" s="26" t="s">
        <v>11625</v>
      </c>
      <c r="Q290" s="33">
        <v>20</v>
      </c>
      <c r="R290" s="61" t="s">
        <v>11276</v>
      </c>
      <c r="S290" s="26"/>
      <c r="T290" s="63" t="s">
        <v>8244</v>
      </c>
      <c r="U290" s="26"/>
    </row>
    <row r="291" s="21" customFormat="1" spans="1:21">
      <c r="A291" s="28" t="s">
        <v>5092</v>
      </c>
      <c r="B291" s="26" t="str">
        <f>VLOOKUP(C291,[1]干线管道!B:C,2,FALSE)</f>
        <v>一级</v>
      </c>
      <c r="C291" s="26" t="str">
        <f>VLOOKUP(E291,[1]站场阀室!A:D,3,FALSE)</f>
        <v>中俄东线</v>
      </c>
      <c r="D291" s="26" t="str">
        <f>VLOOKUP(E291,[1]站场阀室!A:D,4,FALSE)</f>
        <v>中俄东线跨境段</v>
      </c>
      <c r="E291" s="26" t="s">
        <v>552</v>
      </c>
      <c r="F291" s="26" t="s">
        <v>11324</v>
      </c>
      <c r="G291" s="26" t="s">
        <v>11176</v>
      </c>
      <c r="H291" s="26" t="s">
        <v>11626</v>
      </c>
      <c r="I291" s="26" t="s">
        <v>11287</v>
      </c>
      <c r="J291" s="26" t="s">
        <v>11296</v>
      </c>
      <c r="K291" s="26" t="s">
        <v>11339</v>
      </c>
      <c r="L291" s="26" t="s">
        <v>11309</v>
      </c>
      <c r="M291" s="30" t="s">
        <v>11624</v>
      </c>
      <c r="N291" s="30" t="s">
        <v>11274</v>
      </c>
      <c r="O291" s="26">
        <v>5040</v>
      </c>
      <c r="P291" s="26" t="s">
        <v>11625</v>
      </c>
      <c r="Q291" s="33">
        <v>20</v>
      </c>
      <c r="R291" s="61" t="s">
        <v>11276</v>
      </c>
      <c r="S291" s="26"/>
      <c r="T291" s="63" t="s">
        <v>8244</v>
      </c>
      <c r="U291" s="26"/>
    </row>
    <row r="292" s="21" customFormat="1" spans="1:21">
      <c r="A292" s="28" t="s">
        <v>5092</v>
      </c>
      <c r="B292" s="26" t="str">
        <f>VLOOKUP(C292,[1]干线管道!B:C,2,FALSE)</f>
        <v>一级</v>
      </c>
      <c r="C292" s="26" t="s">
        <v>61</v>
      </c>
      <c r="D292" s="26" t="str">
        <f>VLOOKUP(E292,[1]站场阀室!A:D,4,FALSE)</f>
        <v>中俄东线跨境段</v>
      </c>
      <c r="E292" s="26" t="s">
        <v>552</v>
      </c>
      <c r="F292" s="26" t="s">
        <v>11324</v>
      </c>
      <c r="G292" s="26" t="s">
        <v>9245</v>
      </c>
      <c r="H292" s="26" t="s">
        <v>11627</v>
      </c>
      <c r="I292" s="26" t="s">
        <v>11287</v>
      </c>
      <c r="J292" s="26" t="s">
        <v>11296</v>
      </c>
      <c r="K292" s="26" t="s">
        <v>11339</v>
      </c>
      <c r="L292" s="26" t="s">
        <v>11309</v>
      </c>
      <c r="M292" s="30" t="s">
        <v>11624</v>
      </c>
      <c r="N292" s="30" t="s">
        <v>11274</v>
      </c>
      <c r="O292" s="26">
        <v>5040</v>
      </c>
      <c r="P292" s="26" t="s">
        <v>11625</v>
      </c>
      <c r="Q292" s="33">
        <v>20</v>
      </c>
      <c r="R292" s="61" t="s">
        <v>11276</v>
      </c>
      <c r="S292" s="26"/>
      <c r="T292" s="63" t="s">
        <v>8244</v>
      </c>
      <c r="U292" s="26"/>
    </row>
    <row r="293" s="21" customFormat="1" spans="1:21">
      <c r="A293" s="28" t="s">
        <v>5092</v>
      </c>
      <c r="B293" s="26" t="str">
        <f>VLOOKUP(C293,[1]干线管道!B:C,2,FALSE)</f>
        <v>一级</v>
      </c>
      <c r="C293" s="26" t="s">
        <v>61</v>
      </c>
      <c r="D293" s="26" t="str">
        <f>VLOOKUP(E293,[1]站场阀室!A:D,4,FALSE)</f>
        <v>中俄东线跨境段</v>
      </c>
      <c r="E293" s="26" t="s">
        <v>552</v>
      </c>
      <c r="F293" s="26" t="s">
        <v>11324</v>
      </c>
      <c r="G293" s="26" t="s">
        <v>10755</v>
      </c>
      <c r="H293" s="26" t="s">
        <v>11628</v>
      </c>
      <c r="I293" s="26" t="s">
        <v>11287</v>
      </c>
      <c r="J293" s="26" t="s">
        <v>11296</v>
      </c>
      <c r="K293" s="26" t="s">
        <v>11339</v>
      </c>
      <c r="L293" s="26" t="s">
        <v>11309</v>
      </c>
      <c r="M293" s="30" t="s">
        <v>11624</v>
      </c>
      <c r="N293" s="30" t="s">
        <v>11274</v>
      </c>
      <c r="O293" s="26">
        <v>5040</v>
      </c>
      <c r="P293" s="26" t="s">
        <v>11625</v>
      </c>
      <c r="Q293" s="33">
        <v>20</v>
      </c>
      <c r="R293" s="61" t="s">
        <v>11276</v>
      </c>
      <c r="S293" s="26"/>
      <c r="T293" s="63" t="s">
        <v>8244</v>
      </c>
      <c r="U293" s="26"/>
    </row>
    <row r="294" s="22" customFormat="1" spans="1:21">
      <c r="A294" s="43" t="s">
        <v>5092</v>
      </c>
      <c r="B294" s="44" t="str">
        <f>VLOOKUP(C294,[1]干线管道!B:C,2,FALSE)</f>
        <v>一级</v>
      </c>
      <c r="C294" s="44" t="s">
        <v>61</v>
      </c>
      <c r="D294" s="44" t="s">
        <v>554</v>
      </c>
      <c r="E294" s="44" t="s">
        <v>5386</v>
      </c>
      <c r="F294" s="26" t="s">
        <v>11324</v>
      </c>
      <c r="G294" s="44" t="s">
        <v>11268</v>
      </c>
      <c r="H294" s="44" t="s">
        <v>11629</v>
      </c>
      <c r="I294" s="44" t="s">
        <v>11287</v>
      </c>
      <c r="J294" s="44" t="s">
        <v>11296</v>
      </c>
      <c r="K294" s="44" t="s">
        <v>11339</v>
      </c>
      <c r="L294" s="44" t="s">
        <v>11309</v>
      </c>
      <c r="M294" s="62" t="s">
        <v>11624</v>
      </c>
      <c r="N294" s="62" t="s">
        <v>11274</v>
      </c>
      <c r="O294" s="44">
        <v>5040</v>
      </c>
      <c r="P294" s="44" t="s">
        <v>11630</v>
      </c>
      <c r="Q294" s="47">
        <v>19</v>
      </c>
      <c r="R294" s="61" t="s">
        <v>11276</v>
      </c>
      <c r="S294" s="44"/>
      <c r="T294" s="49" t="s">
        <v>11459</v>
      </c>
      <c r="U294" s="44"/>
    </row>
    <row r="295" s="22" customFormat="1" spans="1:21">
      <c r="A295" s="43" t="s">
        <v>5092</v>
      </c>
      <c r="B295" s="44" t="str">
        <f>VLOOKUP(C295,[1]干线管道!B:C,2,FALSE)</f>
        <v>一级</v>
      </c>
      <c r="C295" s="44" t="s">
        <v>61</v>
      </c>
      <c r="D295" s="44" t="s">
        <v>554</v>
      </c>
      <c r="E295" s="44" t="s">
        <v>5386</v>
      </c>
      <c r="F295" s="26" t="s">
        <v>11324</v>
      </c>
      <c r="G295" s="44" t="s">
        <v>11176</v>
      </c>
      <c r="H295" s="44" t="s">
        <v>11631</v>
      </c>
      <c r="I295" s="44" t="s">
        <v>11287</v>
      </c>
      <c r="J295" s="44" t="s">
        <v>11296</v>
      </c>
      <c r="K295" s="44" t="s">
        <v>11339</v>
      </c>
      <c r="L295" s="44" t="s">
        <v>11309</v>
      </c>
      <c r="M295" s="62" t="s">
        <v>11624</v>
      </c>
      <c r="N295" s="62" t="s">
        <v>11274</v>
      </c>
      <c r="O295" s="44">
        <v>5040</v>
      </c>
      <c r="P295" s="44" t="s">
        <v>11630</v>
      </c>
      <c r="Q295" s="47">
        <v>19</v>
      </c>
      <c r="R295" s="61" t="s">
        <v>11276</v>
      </c>
      <c r="S295" s="44"/>
      <c r="T295" s="49" t="s">
        <v>11459</v>
      </c>
      <c r="U295" s="44"/>
    </row>
    <row r="296" s="22" customFormat="1" spans="1:21">
      <c r="A296" s="43" t="s">
        <v>5092</v>
      </c>
      <c r="B296" s="44" t="str">
        <f>VLOOKUP(C296,[1]干线管道!B:C,2,FALSE)</f>
        <v>一级</v>
      </c>
      <c r="C296" s="44" t="s">
        <v>61</v>
      </c>
      <c r="D296" s="44" t="s">
        <v>554</v>
      </c>
      <c r="E296" s="44" t="s">
        <v>5386</v>
      </c>
      <c r="F296" s="26" t="s">
        <v>11324</v>
      </c>
      <c r="G296" s="44" t="s">
        <v>9245</v>
      </c>
      <c r="H296" s="44" t="s">
        <v>11632</v>
      </c>
      <c r="I296" s="44" t="s">
        <v>11287</v>
      </c>
      <c r="J296" s="44" t="s">
        <v>11296</v>
      </c>
      <c r="K296" s="44" t="s">
        <v>11339</v>
      </c>
      <c r="L296" s="44" t="s">
        <v>11309</v>
      </c>
      <c r="M296" s="62" t="s">
        <v>11624</v>
      </c>
      <c r="N296" s="62" t="s">
        <v>11274</v>
      </c>
      <c r="O296" s="44">
        <v>5040</v>
      </c>
      <c r="P296" s="44" t="s">
        <v>11630</v>
      </c>
      <c r="Q296" s="47">
        <v>19</v>
      </c>
      <c r="R296" s="61" t="s">
        <v>11276</v>
      </c>
      <c r="S296" s="44"/>
      <c r="T296" s="49" t="s">
        <v>11459</v>
      </c>
      <c r="U296" s="44"/>
    </row>
    <row r="297" s="22" customFormat="1" spans="1:21">
      <c r="A297" s="43" t="s">
        <v>5092</v>
      </c>
      <c r="B297" s="44" t="str">
        <f>VLOOKUP(C297,[1]干线管道!B:C,2,FALSE)</f>
        <v>一级</v>
      </c>
      <c r="C297" s="44" t="s">
        <v>61</v>
      </c>
      <c r="D297" s="44" t="s">
        <v>554</v>
      </c>
      <c r="E297" s="44" t="s">
        <v>5386</v>
      </c>
      <c r="F297" s="26" t="s">
        <v>11324</v>
      </c>
      <c r="G297" s="44" t="s">
        <v>10755</v>
      </c>
      <c r="H297" s="44" t="s">
        <v>11633</v>
      </c>
      <c r="I297" s="44" t="s">
        <v>11287</v>
      </c>
      <c r="J297" s="44" t="s">
        <v>11296</v>
      </c>
      <c r="K297" s="44" t="s">
        <v>11339</v>
      </c>
      <c r="L297" s="44" t="s">
        <v>11309</v>
      </c>
      <c r="M297" s="62" t="s">
        <v>11624</v>
      </c>
      <c r="N297" s="62" t="s">
        <v>11274</v>
      </c>
      <c r="O297" s="44">
        <v>5040</v>
      </c>
      <c r="P297" s="44" t="s">
        <v>11630</v>
      </c>
      <c r="Q297" s="47">
        <v>19</v>
      </c>
      <c r="R297" s="61" t="s">
        <v>11276</v>
      </c>
      <c r="S297" s="44"/>
      <c r="T297" s="49" t="s">
        <v>11459</v>
      </c>
      <c r="U297" s="44"/>
    </row>
    <row r="298" s="22" customFormat="1" spans="1:21">
      <c r="A298" s="43" t="s">
        <v>5092</v>
      </c>
      <c r="B298" s="44" t="str">
        <f>VLOOKUP(C298,[1]干线管道!B:C,2,FALSE)</f>
        <v>一级</v>
      </c>
      <c r="C298" s="44" t="s">
        <v>61</v>
      </c>
      <c r="D298" s="44" t="s">
        <v>554</v>
      </c>
      <c r="E298" s="44" t="s">
        <v>5426</v>
      </c>
      <c r="F298" s="44" t="s">
        <v>11324</v>
      </c>
      <c r="G298" s="44" t="s">
        <v>11268</v>
      </c>
      <c r="H298" s="44" t="s">
        <v>11634</v>
      </c>
      <c r="I298" s="44" t="s">
        <v>11287</v>
      </c>
      <c r="J298" s="44" t="s">
        <v>11296</v>
      </c>
      <c r="K298" s="44" t="s">
        <v>11339</v>
      </c>
      <c r="L298" s="44" t="s">
        <v>11309</v>
      </c>
      <c r="M298" s="62" t="s">
        <v>11624</v>
      </c>
      <c r="N298" s="62" t="s">
        <v>11274</v>
      </c>
      <c r="O298" s="44">
        <v>5040</v>
      </c>
      <c r="P298" s="44" t="s">
        <v>11630</v>
      </c>
      <c r="Q298" s="47">
        <v>19</v>
      </c>
      <c r="R298" s="61" t="s">
        <v>11276</v>
      </c>
      <c r="S298" s="44"/>
      <c r="T298" s="49" t="s">
        <v>11459</v>
      </c>
      <c r="U298" s="44"/>
    </row>
    <row r="299" s="22" customFormat="1" spans="1:21">
      <c r="A299" s="43" t="s">
        <v>5092</v>
      </c>
      <c r="B299" s="44" t="str">
        <f>VLOOKUP(C299,[1]干线管道!B:C,2,FALSE)</f>
        <v>一级</v>
      </c>
      <c r="C299" s="44" t="s">
        <v>61</v>
      </c>
      <c r="D299" s="44" t="s">
        <v>554</v>
      </c>
      <c r="E299" s="44" t="s">
        <v>5426</v>
      </c>
      <c r="F299" s="44" t="s">
        <v>11324</v>
      </c>
      <c r="G299" s="44" t="s">
        <v>11176</v>
      </c>
      <c r="H299" s="44" t="s">
        <v>11634</v>
      </c>
      <c r="I299" s="44" t="s">
        <v>11287</v>
      </c>
      <c r="J299" s="44" t="s">
        <v>11296</v>
      </c>
      <c r="K299" s="44" t="s">
        <v>11339</v>
      </c>
      <c r="L299" s="44" t="s">
        <v>11309</v>
      </c>
      <c r="M299" s="62" t="s">
        <v>11624</v>
      </c>
      <c r="N299" s="62" t="s">
        <v>11274</v>
      </c>
      <c r="O299" s="44">
        <v>5040</v>
      </c>
      <c r="P299" s="44" t="s">
        <v>11630</v>
      </c>
      <c r="Q299" s="47">
        <v>19</v>
      </c>
      <c r="R299" s="61" t="s">
        <v>11276</v>
      </c>
      <c r="S299" s="44"/>
      <c r="T299" s="49" t="s">
        <v>11459</v>
      </c>
      <c r="U299" s="44"/>
    </row>
    <row r="300" s="22" customFormat="1" spans="1:21">
      <c r="A300" s="43" t="s">
        <v>5092</v>
      </c>
      <c r="B300" s="44" t="str">
        <f>VLOOKUP(C300,[1]干线管道!B:C,2,FALSE)</f>
        <v>一级</v>
      </c>
      <c r="C300" s="44" t="s">
        <v>61</v>
      </c>
      <c r="D300" s="44" t="s">
        <v>554</v>
      </c>
      <c r="E300" s="44" t="s">
        <v>5426</v>
      </c>
      <c r="F300" s="44" t="s">
        <v>11324</v>
      </c>
      <c r="G300" s="44" t="s">
        <v>9245</v>
      </c>
      <c r="H300" s="44" t="s">
        <v>11634</v>
      </c>
      <c r="I300" s="44" t="s">
        <v>11287</v>
      </c>
      <c r="J300" s="44" t="s">
        <v>11296</v>
      </c>
      <c r="K300" s="44" t="s">
        <v>11339</v>
      </c>
      <c r="L300" s="44" t="s">
        <v>11309</v>
      </c>
      <c r="M300" s="62" t="s">
        <v>11624</v>
      </c>
      <c r="N300" s="62" t="s">
        <v>11274</v>
      </c>
      <c r="O300" s="44">
        <v>5040</v>
      </c>
      <c r="P300" s="44" t="s">
        <v>11630</v>
      </c>
      <c r="Q300" s="47">
        <v>19</v>
      </c>
      <c r="R300" s="61" t="s">
        <v>11276</v>
      </c>
      <c r="S300" s="44"/>
      <c r="T300" s="49" t="s">
        <v>11459</v>
      </c>
      <c r="U300" s="44"/>
    </row>
    <row r="301" s="22" customFormat="1" spans="1:21">
      <c r="A301" s="43" t="s">
        <v>5092</v>
      </c>
      <c r="B301" s="44" t="str">
        <f>VLOOKUP(C301,[1]干线管道!B:C,2,FALSE)</f>
        <v>一级</v>
      </c>
      <c r="C301" s="44" t="s">
        <v>61</v>
      </c>
      <c r="D301" s="44" t="s">
        <v>554</v>
      </c>
      <c r="E301" s="44" t="s">
        <v>5426</v>
      </c>
      <c r="F301" s="44" t="s">
        <v>11324</v>
      </c>
      <c r="G301" s="44" t="s">
        <v>10755</v>
      </c>
      <c r="H301" s="44" t="s">
        <v>11635</v>
      </c>
      <c r="I301" s="44" t="s">
        <v>11287</v>
      </c>
      <c r="J301" s="44" t="s">
        <v>11296</v>
      </c>
      <c r="K301" s="44" t="s">
        <v>11339</v>
      </c>
      <c r="L301" s="44" t="s">
        <v>11309</v>
      </c>
      <c r="M301" s="62" t="s">
        <v>11624</v>
      </c>
      <c r="N301" s="62" t="s">
        <v>11274</v>
      </c>
      <c r="O301" s="44">
        <v>5040</v>
      </c>
      <c r="P301" s="44" t="s">
        <v>11630</v>
      </c>
      <c r="Q301" s="47">
        <v>19</v>
      </c>
      <c r="R301" s="61" t="s">
        <v>11276</v>
      </c>
      <c r="S301" s="44"/>
      <c r="T301" s="49" t="s">
        <v>11459</v>
      </c>
      <c r="U301" s="44"/>
    </row>
    <row r="302" s="21" customFormat="1" spans="1:21">
      <c r="A302" s="28" t="s">
        <v>5092</v>
      </c>
      <c r="B302" s="26" t="str">
        <f>VLOOKUP(C302,[1]干线管道!B:C,2,FALSE)</f>
        <v>一级</v>
      </c>
      <c r="C302" s="26" t="s">
        <v>61</v>
      </c>
      <c r="D302" s="26" t="s">
        <v>554</v>
      </c>
      <c r="E302" s="26" t="s">
        <v>569</v>
      </c>
      <c r="F302" s="26" t="s">
        <v>11324</v>
      </c>
      <c r="G302" s="26" t="s">
        <v>11268</v>
      </c>
      <c r="H302" s="26" t="s">
        <v>11636</v>
      </c>
      <c r="I302" s="26" t="s">
        <v>11287</v>
      </c>
      <c r="J302" s="26" t="s">
        <v>11296</v>
      </c>
      <c r="K302" s="26" t="s">
        <v>11339</v>
      </c>
      <c r="L302" s="26" t="s">
        <v>11309</v>
      </c>
      <c r="M302" s="30" t="s">
        <v>11637</v>
      </c>
      <c r="N302" s="30" t="s">
        <v>11274</v>
      </c>
      <c r="O302" s="26">
        <v>5040</v>
      </c>
      <c r="P302" s="26" t="s">
        <v>11630</v>
      </c>
      <c r="Q302" s="33">
        <v>19</v>
      </c>
      <c r="R302" s="61" t="s">
        <v>11276</v>
      </c>
      <c r="S302" s="26"/>
      <c r="T302" s="31" t="s">
        <v>11459</v>
      </c>
      <c r="U302" s="26"/>
    </row>
    <row r="303" s="21" customFormat="1" spans="1:21">
      <c r="A303" s="28" t="s">
        <v>5092</v>
      </c>
      <c r="B303" s="26" t="str">
        <f>VLOOKUP(C303,[1]干线管道!B:C,2,FALSE)</f>
        <v>一级</v>
      </c>
      <c r="C303" s="26" t="s">
        <v>61</v>
      </c>
      <c r="D303" s="26" t="s">
        <v>554</v>
      </c>
      <c r="E303" s="26" t="s">
        <v>569</v>
      </c>
      <c r="F303" s="26" t="s">
        <v>11324</v>
      </c>
      <c r="G303" s="26" t="s">
        <v>11176</v>
      </c>
      <c r="H303" s="26" t="s">
        <v>11636</v>
      </c>
      <c r="I303" s="26" t="s">
        <v>11287</v>
      </c>
      <c r="J303" s="26" t="s">
        <v>11296</v>
      </c>
      <c r="K303" s="26" t="s">
        <v>11339</v>
      </c>
      <c r="L303" s="26" t="s">
        <v>11309</v>
      </c>
      <c r="M303" s="30" t="s">
        <v>11637</v>
      </c>
      <c r="N303" s="30" t="s">
        <v>11274</v>
      </c>
      <c r="O303" s="26">
        <v>5040</v>
      </c>
      <c r="P303" s="26" t="s">
        <v>11630</v>
      </c>
      <c r="Q303" s="33">
        <v>19</v>
      </c>
      <c r="R303" s="61" t="s">
        <v>11276</v>
      </c>
      <c r="S303" s="26"/>
      <c r="T303" s="31" t="s">
        <v>11459</v>
      </c>
      <c r="U303" s="26"/>
    </row>
    <row r="304" s="21" customFormat="1" spans="1:21">
      <c r="A304" s="28" t="s">
        <v>5092</v>
      </c>
      <c r="B304" s="26" t="str">
        <f>VLOOKUP(C304,[1]干线管道!B:C,2,FALSE)</f>
        <v>一级</v>
      </c>
      <c r="C304" s="26" t="s">
        <v>61</v>
      </c>
      <c r="D304" s="26" t="s">
        <v>554</v>
      </c>
      <c r="E304" s="26" t="s">
        <v>569</v>
      </c>
      <c r="F304" s="26" t="s">
        <v>11324</v>
      </c>
      <c r="G304" s="26" t="s">
        <v>9245</v>
      </c>
      <c r="H304" s="26" t="s">
        <v>11636</v>
      </c>
      <c r="I304" s="26" t="s">
        <v>11287</v>
      </c>
      <c r="J304" s="26" t="s">
        <v>11296</v>
      </c>
      <c r="K304" s="26" t="s">
        <v>11339</v>
      </c>
      <c r="L304" s="26" t="s">
        <v>11309</v>
      </c>
      <c r="M304" s="30" t="s">
        <v>11637</v>
      </c>
      <c r="N304" s="30" t="s">
        <v>11274</v>
      </c>
      <c r="O304" s="26">
        <v>5040</v>
      </c>
      <c r="P304" s="26" t="s">
        <v>11630</v>
      </c>
      <c r="Q304" s="33">
        <v>19</v>
      </c>
      <c r="R304" s="61" t="s">
        <v>11276</v>
      </c>
      <c r="S304" s="26"/>
      <c r="T304" s="31" t="s">
        <v>11459</v>
      </c>
      <c r="U304" s="26"/>
    </row>
    <row r="305" s="21" customFormat="1" spans="1:21">
      <c r="A305" s="28" t="s">
        <v>5092</v>
      </c>
      <c r="B305" s="26" t="str">
        <f>VLOOKUP(C305,[1]干线管道!B:C,2,FALSE)</f>
        <v>一级</v>
      </c>
      <c r="C305" s="26" t="s">
        <v>61</v>
      </c>
      <c r="D305" s="26" t="s">
        <v>554</v>
      </c>
      <c r="E305" s="26" t="s">
        <v>569</v>
      </c>
      <c r="F305" s="26" t="s">
        <v>11324</v>
      </c>
      <c r="G305" s="26" t="s">
        <v>10755</v>
      </c>
      <c r="H305" s="26" t="s">
        <v>11636</v>
      </c>
      <c r="I305" s="26" t="s">
        <v>11287</v>
      </c>
      <c r="J305" s="26" t="s">
        <v>11296</v>
      </c>
      <c r="K305" s="26" t="s">
        <v>11339</v>
      </c>
      <c r="L305" s="26" t="s">
        <v>11309</v>
      </c>
      <c r="M305" s="30" t="s">
        <v>11637</v>
      </c>
      <c r="N305" s="30" t="s">
        <v>11274</v>
      </c>
      <c r="O305" s="26">
        <v>5040</v>
      </c>
      <c r="P305" s="26" t="s">
        <v>11630</v>
      </c>
      <c r="Q305" s="33">
        <v>19</v>
      </c>
      <c r="R305" s="61" t="s">
        <v>11276</v>
      </c>
      <c r="S305" s="26"/>
      <c r="T305" s="31" t="s">
        <v>11459</v>
      </c>
      <c r="U305" s="26"/>
    </row>
    <row r="306" s="21" customFormat="1" spans="1:21">
      <c r="A306" s="28" t="s">
        <v>5092</v>
      </c>
      <c r="B306" s="26" t="str">
        <f>VLOOKUP(C306,[1]干线管道!B:C,2,FALSE)</f>
        <v>一级</v>
      </c>
      <c r="C306" s="26" t="s">
        <v>61</v>
      </c>
      <c r="D306" s="26" t="s">
        <v>556</v>
      </c>
      <c r="E306" s="26" t="s">
        <v>5466</v>
      </c>
      <c r="F306" s="26" t="s">
        <v>11324</v>
      </c>
      <c r="G306" s="26" t="s">
        <v>11268</v>
      </c>
      <c r="H306" s="26" t="s">
        <v>11638</v>
      </c>
      <c r="I306" s="26" t="s">
        <v>11287</v>
      </c>
      <c r="J306" s="26" t="s">
        <v>11296</v>
      </c>
      <c r="K306" s="26" t="s">
        <v>11339</v>
      </c>
      <c r="L306" s="26" t="s">
        <v>11309</v>
      </c>
      <c r="M306" s="30" t="s">
        <v>11639</v>
      </c>
      <c r="N306" s="30" t="s">
        <v>11274</v>
      </c>
      <c r="O306" s="26">
        <v>5040</v>
      </c>
      <c r="P306" s="26" t="s">
        <v>11640</v>
      </c>
      <c r="Q306" s="33">
        <v>17</v>
      </c>
      <c r="R306" s="61" t="s">
        <v>11276</v>
      </c>
      <c r="S306" s="26"/>
      <c r="T306" s="31" t="s">
        <v>11459</v>
      </c>
      <c r="U306" s="26"/>
    </row>
    <row r="307" s="21" customFormat="1" spans="1:21">
      <c r="A307" s="28" t="s">
        <v>5092</v>
      </c>
      <c r="B307" s="26" t="str">
        <f>VLOOKUP(C307,[1]干线管道!B:C,2,FALSE)</f>
        <v>一级</v>
      </c>
      <c r="C307" s="26" t="s">
        <v>61</v>
      </c>
      <c r="D307" s="26" t="s">
        <v>556</v>
      </c>
      <c r="E307" s="26" t="s">
        <v>5466</v>
      </c>
      <c r="F307" s="26" t="s">
        <v>11324</v>
      </c>
      <c r="G307" s="26" t="s">
        <v>11176</v>
      </c>
      <c r="H307" s="26" t="s">
        <v>11641</v>
      </c>
      <c r="I307" s="26" t="s">
        <v>11287</v>
      </c>
      <c r="J307" s="26" t="s">
        <v>11296</v>
      </c>
      <c r="K307" s="26" t="s">
        <v>11339</v>
      </c>
      <c r="L307" s="26" t="s">
        <v>11309</v>
      </c>
      <c r="M307" s="30" t="s">
        <v>11639</v>
      </c>
      <c r="N307" s="30" t="s">
        <v>11274</v>
      </c>
      <c r="O307" s="26">
        <v>5040</v>
      </c>
      <c r="P307" s="26" t="s">
        <v>11640</v>
      </c>
      <c r="Q307" s="33">
        <v>17</v>
      </c>
      <c r="R307" s="61" t="s">
        <v>11276</v>
      </c>
      <c r="S307" s="26"/>
      <c r="T307" s="31" t="s">
        <v>11459</v>
      </c>
      <c r="U307" s="26"/>
    </row>
    <row r="308" s="21" customFormat="1" spans="1:21">
      <c r="A308" s="28" t="s">
        <v>5092</v>
      </c>
      <c r="B308" s="26" t="str">
        <f>VLOOKUP(C308,[1]干线管道!B:C,2,FALSE)</f>
        <v>一级</v>
      </c>
      <c r="C308" s="26" t="s">
        <v>61</v>
      </c>
      <c r="D308" s="26" t="s">
        <v>556</v>
      </c>
      <c r="E308" s="26" t="s">
        <v>5466</v>
      </c>
      <c r="F308" s="26" t="s">
        <v>11324</v>
      </c>
      <c r="G308" s="26" t="s">
        <v>9245</v>
      </c>
      <c r="H308" s="26" t="s">
        <v>11638</v>
      </c>
      <c r="I308" s="26" t="s">
        <v>11287</v>
      </c>
      <c r="J308" s="26" t="s">
        <v>11296</v>
      </c>
      <c r="K308" s="26" t="s">
        <v>11339</v>
      </c>
      <c r="L308" s="26" t="s">
        <v>11309</v>
      </c>
      <c r="M308" s="30" t="s">
        <v>11639</v>
      </c>
      <c r="N308" s="30" t="s">
        <v>11274</v>
      </c>
      <c r="O308" s="26">
        <v>5040</v>
      </c>
      <c r="P308" s="26" t="s">
        <v>11640</v>
      </c>
      <c r="Q308" s="33">
        <v>17</v>
      </c>
      <c r="R308" s="61" t="s">
        <v>11276</v>
      </c>
      <c r="S308" s="26"/>
      <c r="T308" s="31" t="s">
        <v>11459</v>
      </c>
      <c r="U308" s="26"/>
    </row>
    <row r="309" s="21" customFormat="1" spans="1:21">
      <c r="A309" s="28" t="s">
        <v>5092</v>
      </c>
      <c r="B309" s="26" t="str">
        <f>VLOOKUP(C309,[1]干线管道!B:C,2,FALSE)</f>
        <v>一级</v>
      </c>
      <c r="C309" s="26" t="s">
        <v>61</v>
      </c>
      <c r="D309" s="26" t="s">
        <v>556</v>
      </c>
      <c r="E309" s="26" t="s">
        <v>5466</v>
      </c>
      <c r="F309" s="26" t="s">
        <v>11324</v>
      </c>
      <c r="G309" s="26" t="s">
        <v>10755</v>
      </c>
      <c r="H309" s="26" t="s">
        <v>11642</v>
      </c>
      <c r="I309" s="26" t="s">
        <v>11287</v>
      </c>
      <c r="J309" s="26" t="s">
        <v>11296</v>
      </c>
      <c r="K309" s="26" t="s">
        <v>11339</v>
      </c>
      <c r="L309" s="26" t="s">
        <v>11309</v>
      </c>
      <c r="M309" s="30" t="s">
        <v>11639</v>
      </c>
      <c r="N309" s="30" t="s">
        <v>11274</v>
      </c>
      <c r="O309" s="26">
        <v>5040</v>
      </c>
      <c r="P309" s="26" t="s">
        <v>11640</v>
      </c>
      <c r="Q309" s="33">
        <v>17</v>
      </c>
      <c r="R309" s="61" t="s">
        <v>11276</v>
      </c>
      <c r="S309" s="26"/>
      <c r="T309" s="31" t="s">
        <v>11459</v>
      </c>
      <c r="U309" s="26"/>
    </row>
    <row r="310" s="21" customFormat="1" spans="1:21">
      <c r="A310" s="28" t="s">
        <v>5092</v>
      </c>
      <c r="B310" s="26" t="str">
        <f>VLOOKUP(C310,[1]干线管道!B:C,2,FALSE)</f>
        <v>一级</v>
      </c>
      <c r="C310" s="26" t="s">
        <v>61</v>
      </c>
      <c r="D310" s="26" t="s">
        <v>556</v>
      </c>
      <c r="E310" s="26" t="s">
        <v>5109</v>
      </c>
      <c r="F310" s="26" t="s">
        <v>11559</v>
      </c>
      <c r="G310" s="26" t="s">
        <v>11268</v>
      </c>
      <c r="H310" s="26" t="s">
        <v>11643</v>
      </c>
      <c r="I310" s="26" t="s">
        <v>11287</v>
      </c>
      <c r="J310" s="26" t="s">
        <v>11296</v>
      </c>
      <c r="K310" s="26" t="s">
        <v>11339</v>
      </c>
      <c r="L310" s="26" t="s">
        <v>11352</v>
      </c>
      <c r="M310" s="30" t="s">
        <v>11644</v>
      </c>
      <c r="N310" s="30" t="s">
        <v>11274</v>
      </c>
      <c r="O310" s="26">
        <v>5040</v>
      </c>
      <c r="P310" s="26" t="s">
        <v>11645</v>
      </c>
      <c r="Q310" s="33">
        <v>17</v>
      </c>
      <c r="R310" s="61" t="s">
        <v>11276</v>
      </c>
      <c r="S310" s="26"/>
      <c r="T310" s="31" t="s">
        <v>8218</v>
      </c>
      <c r="U310" s="26"/>
    </row>
    <row r="311" s="21" customFormat="1" spans="1:21">
      <c r="A311" s="28" t="s">
        <v>5092</v>
      </c>
      <c r="B311" s="26" t="str">
        <f>VLOOKUP(C311,[1]干线管道!B:C,2,FALSE)</f>
        <v>一级</v>
      </c>
      <c r="C311" s="26" t="s">
        <v>61</v>
      </c>
      <c r="D311" s="26" t="s">
        <v>556</v>
      </c>
      <c r="E311" s="26" t="s">
        <v>5109</v>
      </c>
      <c r="F311" s="26" t="s">
        <v>11559</v>
      </c>
      <c r="G311" s="26" t="s">
        <v>11176</v>
      </c>
      <c r="H311" s="26" t="s">
        <v>11643</v>
      </c>
      <c r="I311" s="26" t="s">
        <v>11287</v>
      </c>
      <c r="J311" s="26" t="s">
        <v>11296</v>
      </c>
      <c r="K311" s="26" t="s">
        <v>11339</v>
      </c>
      <c r="L311" s="26" t="s">
        <v>11352</v>
      </c>
      <c r="M311" s="30" t="s">
        <v>11644</v>
      </c>
      <c r="N311" s="30" t="s">
        <v>11274</v>
      </c>
      <c r="O311" s="26">
        <v>5040</v>
      </c>
      <c r="P311" s="26" t="s">
        <v>11645</v>
      </c>
      <c r="Q311" s="33">
        <v>17</v>
      </c>
      <c r="R311" s="61" t="s">
        <v>11276</v>
      </c>
      <c r="S311" s="26"/>
      <c r="T311" s="31" t="s">
        <v>8218</v>
      </c>
      <c r="U311" s="26"/>
    </row>
    <row r="312" s="21" customFormat="1" spans="1:21">
      <c r="A312" s="28" t="s">
        <v>5092</v>
      </c>
      <c r="B312" s="26" t="str">
        <f>VLOOKUP(C312,[1]干线管道!B:C,2,FALSE)</f>
        <v>一级</v>
      </c>
      <c r="C312" s="26" t="s">
        <v>61</v>
      </c>
      <c r="D312" s="26" t="s">
        <v>556</v>
      </c>
      <c r="E312" s="26" t="s">
        <v>5109</v>
      </c>
      <c r="F312" s="26" t="s">
        <v>11559</v>
      </c>
      <c r="G312" s="26" t="s">
        <v>9245</v>
      </c>
      <c r="H312" s="26" t="s">
        <v>11646</v>
      </c>
      <c r="I312" s="26" t="s">
        <v>11287</v>
      </c>
      <c r="J312" s="26" t="s">
        <v>11296</v>
      </c>
      <c r="K312" s="26" t="s">
        <v>11339</v>
      </c>
      <c r="L312" s="26" t="s">
        <v>11352</v>
      </c>
      <c r="M312" s="30" t="s">
        <v>11644</v>
      </c>
      <c r="N312" s="30" t="s">
        <v>11274</v>
      </c>
      <c r="O312" s="26">
        <v>5040</v>
      </c>
      <c r="P312" s="26" t="s">
        <v>11645</v>
      </c>
      <c r="Q312" s="33">
        <v>17</v>
      </c>
      <c r="R312" s="61" t="s">
        <v>11276</v>
      </c>
      <c r="S312" s="26"/>
      <c r="T312" s="31"/>
      <c r="U312" s="26"/>
    </row>
    <row r="313" s="21" customFormat="1" spans="1:21">
      <c r="A313" s="28" t="s">
        <v>1640</v>
      </c>
      <c r="B313" s="26" t="str">
        <f>VLOOKUP(C313,[1]干线管道!B:C,2,FALSE)</f>
        <v>一级</v>
      </c>
      <c r="C313" s="26" t="s">
        <v>61</v>
      </c>
      <c r="D313" s="26" t="s">
        <v>556</v>
      </c>
      <c r="E313" s="26" t="s">
        <v>11647</v>
      </c>
      <c r="F313" s="26" t="s">
        <v>11559</v>
      </c>
      <c r="G313" s="26" t="s">
        <v>11268</v>
      </c>
      <c r="H313" s="26" t="s">
        <v>11648</v>
      </c>
      <c r="I313" s="26" t="s">
        <v>11287</v>
      </c>
      <c r="J313" s="26" t="s">
        <v>11296</v>
      </c>
      <c r="K313" s="26" t="s">
        <v>11339</v>
      </c>
      <c r="L313" s="26" t="s">
        <v>11309</v>
      </c>
      <c r="M313" s="30" t="s">
        <v>11649</v>
      </c>
      <c r="N313" s="30" t="s">
        <v>11274</v>
      </c>
      <c r="O313" s="26">
        <v>5040</v>
      </c>
      <c r="P313" s="26" t="s">
        <v>11645</v>
      </c>
      <c r="Q313" s="33">
        <v>20</v>
      </c>
      <c r="R313" s="61" t="s">
        <v>11276</v>
      </c>
      <c r="S313" s="26"/>
      <c r="T313" s="31"/>
      <c r="U313" s="26"/>
    </row>
    <row r="314" s="21" customFormat="1" spans="1:21">
      <c r="A314" s="28" t="s">
        <v>1640</v>
      </c>
      <c r="B314" s="26" t="str">
        <f>VLOOKUP(C314,[1]干线管道!B:C,2,FALSE)</f>
        <v>一级</v>
      </c>
      <c r="C314" s="26" t="s">
        <v>61</v>
      </c>
      <c r="D314" s="26" t="s">
        <v>556</v>
      </c>
      <c r="E314" s="26" t="s">
        <v>11647</v>
      </c>
      <c r="F314" s="26" t="s">
        <v>11559</v>
      </c>
      <c r="G314" s="26" t="s">
        <v>11176</v>
      </c>
      <c r="H314" s="26" t="s">
        <v>11646</v>
      </c>
      <c r="I314" s="26" t="s">
        <v>11287</v>
      </c>
      <c r="J314" s="26" t="s">
        <v>11296</v>
      </c>
      <c r="K314" s="26" t="s">
        <v>11339</v>
      </c>
      <c r="L314" s="26" t="s">
        <v>11309</v>
      </c>
      <c r="M314" s="30" t="s">
        <v>11649</v>
      </c>
      <c r="N314" s="30" t="s">
        <v>11274</v>
      </c>
      <c r="O314" s="26">
        <v>5040</v>
      </c>
      <c r="P314" s="26" t="s">
        <v>11645</v>
      </c>
      <c r="Q314" s="33">
        <v>20</v>
      </c>
      <c r="R314" s="61" t="s">
        <v>11276</v>
      </c>
      <c r="S314" s="26"/>
      <c r="T314" s="31"/>
      <c r="U314" s="26"/>
    </row>
    <row r="315" s="21" customFormat="1" spans="1:21">
      <c r="A315" s="28" t="s">
        <v>1640</v>
      </c>
      <c r="B315" s="26" t="str">
        <f>VLOOKUP(C315,[1]干线管道!B:C,2,FALSE)</f>
        <v>一级</v>
      </c>
      <c r="C315" s="26" t="s">
        <v>61</v>
      </c>
      <c r="D315" s="26" t="s">
        <v>556</v>
      </c>
      <c r="E315" s="26" t="s">
        <v>11647</v>
      </c>
      <c r="F315" s="26" t="s">
        <v>11559</v>
      </c>
      <c r="G315" s="26" t="s">
        <v>9245</v>
      </c>
      <c r="H315" s="26" t="s">
        <v>11650</v>
      </c>
      <c r="I315" s="26" t="s">
        <v>11287</v>
      </c>
      <c r="J315" s="26" t="s">
        <v>11296</v>
      </c>
      <c r="K315" s="26" t="s">
        <v>11339</v>
      </c>
      <c r="L315" s="26" t="s">
        <v>11309</v>
      </c>
      <c r="M315" s="30" t="s">
        <v>11649</v>
      </c>
      <c r="N315" s="30" t="s">
        <v>11274</v>
      </c>
      <c r="O315" s="26">
        <v>5040</v>
      </c>
      <c r="P315" s="26" t="s">
        <v>11645</v>
      </c>
      <c r="Q315" s="33">
        <v>20</v>
      </c>
      <c r="R315" s="61" t="s">
        <v>11276</v>
      </c>
      <c r="S315" s="26"/>
      <c r="T315" s="31"/>
      <c r="U315" s="26"/>
    </row>
    <row r="316" s="21" customFormat="1" spans="1:21">
      <c r="A316" s="28" t="s">
        <v>1640</v>
      </c>
      <c r="B316" s="26" t="str">
        <f>VLOOKUP(C316,[1]干线管道!B:C,2,FALSE)</f>
        <v>一级</v>
      </c>
      <c r="C316" s="26" t="s">
        <v>61</v>
      </c>
      <c r="D316" s="26" t="s">
        <v>556</v>
      </c>
      <c r="E316" s="26" t="s">
        <v>5524</v>
      </c>
      <c r="F316" s="26" t="s">
        <v>11559</v>
      </c>
      <c r="G316" s="26" t="s">
        <v>11268</v>
      </c>
      <c r="H316" s="26" t="s">
        <v>11651</v>
      </c>
      <c r="I316" s="26" t="s">
        <v>11287</v>
      </c>
      <c r="J316" s="26" t="s">
        <v>11296</v>
      </c>
      <c r="K316" s="26" t="s">
        <v>11339</v>
      </c>
      <c r="L316" s="26" t="s">
        <v>11309</v>
      </c>
      <c r="M316" s="30" t="s">
        <v>11652</v>
      </c>
      <c r="N316" s="30" t="s">
        <v>11349</v>
      </c>
      <c r="O316" s="26">
        <v>5040</v>
      </c>
      <c r="P316" s="26" t="s">
        <v>11653</v>
      </c>
      <c r="Q316" s="33">
        <v>20</v>
      </c>
      <c r="R316" s="61" t="s">
        <v>11276</v>
      </c>
      <c r="S316" s="26"/>
      <c r="T316" s="31" t="s">
        <v>8218</v>
      </c>
      <c r="U316" s="26"/>
    </row>
    <row r="317" s="21" customFormat="1" spans="1:21">
      <c r="A317" s="28" t="s">
        <v>1640</v>
      </c>
      <c r="B317" s="26" t="str">
        <f>VLOOKUP(C317,[1]干线管道!B:C,2,FALSE)</f>
        <v>一级</v>
      </c>
      <c r="C317" s="26" t="s">
        <v>61</v>
      </c>
      <c r="D317" s="26" t="s">
        <v>556</v>
      </c>
      <c r="E317" s="26" t="s">
        <v>5524</v>
      </c>
      <c r="F317" s="26" t="s">
        <v>11559</v>
      </c>
      <c r="G317" s="26" t="s">
        <v>11176</v>
      </c>
      <c r="H317" s="26" t="s">
        <v>11651</v>
      </c>
      <c r="I317" s="26" t="s">
        <v>11287</v>
      </c>
      <c r="J317" s="26" t="s">
        <v>11296</v>
      </c>
      <c r="K317" s="26" t="s">
        <v>11339</v>
      </c>
      <c r="L317" s="26" t="s">
        <v>11309</v>
      </c>
      <c r="M317" s="30" t="s">
        <v>11652</v>
      </c>
      <c r="N317" s="30" t="s">
        <v>11349</v>
      </c>
      <c r="O317" s="26">
        <v>5040</v>
      </c>
      <c r="P317" s="26" t="s">
        <v>11653</v>
      </c>
      <c r="Q317" s="33">
        <v>20</v>
      </c>
      <c r="R317" s="61" t="s">
        <v>11276</v>
      </c>
      <c r="S317" s="26"/>
      <c r="T317" s="31" t="s">
        <v>8218</v>
      </c>
      <c r="U317" s="26"/>
    </row>
    <row r="318" s="21" customFormat="1" spans="1:21">
      <c r="A318" s="28" t="s">
        <v>1640</v>
      </c>
      <c r="B318" s="26" t="str">
        <f>VLOOKUP(C318,[1]干线管道!B:C,2,FALSE)</f>
        <v>一级</v>
      </c>
      <c r="C318" s="26" t="s">
        <v>61</v>
      </c>
      <c r="D318" s="26" t="s">
        <v>556</v>
      </c>
      <c r="E318" s="26" t="s">
        <v>5524</v>
      </c>
      <c r="F318" s="26" t="s">
        <v>11559</v>
      </c>
      <c r="G318" s="26" t="s">
        <v>9245</v>
      </c>
      <c r="H318" s="26" t="s">
        <v>11651</v>
      </c>
      <c r="I318" s="26" t="s">
        <v>11287</v>
      </c>
      <c r="J318" s="26" t="s">
        <v>11296</v>
      </c>
      <c r="K318" s="26" t="s">
        <v>11339</v>
      </c>
      <c r="L318" s="26" t="s">
        <v>11309</v>
      </c>
      <c r="M318" s="30" t="s">
        <v>11652</v>
      </c>
      <c r="N318" s="30" t="s">
        <v>11349</v>
      </c>
      <c r="O318" s="26">
        <v>5040</v>
      </c>
      <c r="P318" s="26" t="s">
        <v>11653</v>
      </c>
      <c r="Q318" s="33">
        <v>20</v>
      </c>
      <c r="R318" s="61" t="s">
        <v>11276</v>
      </c>
      <c r="S318" s="26"/>
      <c r="T318" s="31" t="s">
        <v>8218</v>
      </c>
      <c r="U318" s="26"/>
    </row>
    <row r="319" s="21" customFormat="1" spans="1:21">
      <c r="A319" s="28" t="s">
        <v>1640</v>
      </c>
      <c r="B319" s="26" t="str">
        <f>VLOOKUP(C319,[1]干线管道!B:C,2,FALSE)</f>
        <v>一级</v>
      </c>
      <c r="C319" s="26" t="s">
        <v>61</v>
      </c>
      <c r="D319" s="26" t="s">
        <v>556</v>
      </c>
      <c r="E319" s="26" t="s">
        <v>557</v>
      </c>
      <c r="F319" s="26" t="s">
        <v>11282</v>
      </c>
      <c r="G319" s="26" t="s">
        <v>11268</v>
      </c>
      <c r="H319" s="26" t="s">
        <v>11654</v>
      </c>
      <c r="I319" s="26" t="s">
        <v>11287</v>
      </c>
      <c r="J319" s="26" t="s">
        <v>11296</v>
      </c>
      <c r="K319" s="26" t="s">
        <v>11339</v>
      </c>
      <c r="L319" s="26" t="s">
        <v>11352</v>
      </c>
      <c r="M319" s="30" t="s">
        <v>11655</v>
      </c>
      <c r="N319" s="30" t="s">
        <v>11349</v>
      </c>
      <c r="O319" s="26">
        <v>5040</v>
      </c>
      <c r="P319" s="26" t="s">
        <v>11640</v>
      </c>
      <c r="Q319" s="33">
        <v>17</v>
      </c>
      <c r="R319" s="61" t="s">
        <v>11276</v>
      </c>
      <c r="S319" s="26"/>
      <c r="T319" s="31" t="s">
        <v>11459</v>
      </c>
      <c r="U319" s="26"/>
    </row>
    <row r="320" s="21" customFormat="1" spans="1:21">
      <c r="A320" s="28" t="s">
        <v>1640</v>
      </c>
      <c r="B320" s="26" t="str">
        <f>VLOOKUP(C320,[1]干线管道!B:C,2,FALSE)</f>
        <v>一级</v>
      </c>
      <c r="C320" s="26" t="s">
        <v>61</v>
      </c>
      <c r="D320" s="26" t="s">
        <v>556</v>
      </c>
      <c r="E320" s="26" t="s">
        <v>557</v>
      </c>
      <c r="F320" s="26" t="s">
        <v>11282</v>
      </c>
      <c r="G320" s="26" t="s">
        <v>11176</v>
      </c>
      <c r="H320" s="26" t="s">
        <v>11656</v>
      </c>
      <c r="I320" s="26" t="s">
        <v>11287</v>
      </c>
      <c r="J320" s="26" t="s">
        <v>11296</v>
      </c>
      <c r="K320" s="26" t="s">
        <v>11339</v>
      </c>
      <c r="L320" s="26" t="s">
        <v>11352</v>
      </c>
      <c r="M320" s="30" t="s">
        <v>11655</v>
      </c>
      <c r="N320" s="30" t="s">
        <v>11349</v>
      </c>
      <c r="O320" s="26">
        <v>5040</v>
      </c>
      <c r="P320" s="26" t="s">
        <v>11640</v>
      </c>
      <c r="Q320" s="33">
        <v>17</v>
      </c>
      <c r="R320" s="61" t="s">
        <v>11276</v>
      </c>
      <c r="S320" s="26"/>
      <c r="T320" s="31" t="s">
        <v>11459</v>
      </c>
      <c r="U320" s="26"/>
    </row>
    <row r="321" s="21" customFormat="1" ht="30" spans="1:21">
      <c r="A321" s="28" t="s">
        <v>2048</v>
      </c>
      <c r="B321" s="26" t="s">
        <v>29</v>
      </c>
      <c r="C321" s="26" t="s">
        <v>61</v>
      </c>
      <c r="D321" s="26" t="s">
        <v>561</v>
      </c>
      <c r="E321" s="26" t="s">
        <v>163</v>
      </c>
      <c r="F321" s="26" t="s">
        <v>11267</v>
      </c>
      <c r="G321" s="26" t="s">
        <v>11657</v>
      </c>
      <c r="H321" s="29"/>
      <c r="I321" s="26" t="s">
        <v>11287</v>
      </c>
      <c r="J321" s="26" t="s">
        <v>11296</v>
      </c>
      <c r="K321" s="26" t="s">
        <v>11443</v>
      </c>
      <c r="L321" s="26" t="s">
        <v>11658</v>
      </c>
      <c r="M321" s="26" t="s">
        <v>11659</v>
      </c>
      <c r="N321" s="26" t="s">
        <v>11274</v>
      </c>
      <c r="O321" s="26">
        <v>5040</v>
      </c>
      <c r="P321" s="26" t="s">
        <v>11660</v>
      </c>
      <c r="Q321" s="33">
        <v>20</v>
      </c>
      <c r="R321" s="61" t="s">
        <v>11276</v>
      </c>
      <c r="S321" s="26"/>
      <c r="T321" s="31" t="s">
        <v>11459</v>
      </c>
      <c r="U321" s="26"/>
    </row>
    <row r="322" s="21" customFormat="1" ht="30" spans="1:21">
      <c r="A322" s="28" t="s">
        <v>2048</v>
      </c>
      <c r="B322" s="26" t="s">
        <v>29</v>
      </c>
      <c r="C322" s="26" t="s">
        <v>61</v>
      </c>
      <c r="D322" s="26" t="s">
        <v>561</v>
      </c>
      <c r="E322" s="26" t="s">
        <v>163</v>
      </c>
      <c r="F322" s="26"/>
      <c r="G322" s="26" t="s">
        <v>11661</v>
      </c>
      <c r="H322" s="29" t="s">
        <v>11662</v>
      </c>
      <c r="I322" s="26" t="s">
        <v>11287</v>
      </c>
      <c r="J322" s="26" t="s">
        <v>11296</v>
      </c>
      <c r="K322" s="26" t="s">
        <v>11443</v>
      </c>
      <c r="L322" s="26" t="s">
        <v>11658</v>
      </c>
      <c r="M322" s="26" t="s">
        <v>11659</v>
      </c>
      <c r="N322" s="26" t="s">
        <v>11274</v>
      </c>
      <c r="O322" s="26">
        <v>5040</v>
      </c>
      <c r="P322" s="26" t="s">
        <v>11660</v>
      </c>
      <c r="Q322" s="33">
        <v>20</v>
      </c>
      <c r="R322" s="61" t="s">
        <v>11276</v>
      </c>
      <c r="S322" s="26"/>
      <c r="T322" s="31" t="s">
        <v>11459</v>
      </c>
      <c r="U322" s="26"/>
    </row>
    <row r="323" s="21" customFormat="1" ht="30" spans="1:21">
      <c r="A323" s="28" t="s">
        <v>2048</v>
      </c>
      <c r="B323" s="26" t="s">
        <v>29</v>
      </c>
      <c r="C323" s="26" t="s">
        <v>61</v>
      </c>
      <c r="D323" s="26" t="s">
        <v>561</v>
      </c>
      <c r="E323" s="26" t="s">
        <v>163</v>
      </c>
      <c r="F323" s="26"/>
      <c r="G323" s="26" t="s">
        <v>11663</v>
      </c>
      <c r="H323" s="29" t="s">
        <v>11662</v>
      </c>
      <c r="I323" s="26" t="s">
        <v>11287</v>
      </c>
      <c r="J323" s="26" t="s">
        <v>11296</v>
      </c>
      <c r="K323" s="26" t="s">
        <v>11443</v>
      </c>
      <c r="L323" s="26" t="s">
        <v>11658</v>
      </c>
      <c r="M323" s="26" t="s">
        <v>11659</v>
      </c>
      <c r="N323" s="26" t="s">
        <v>11274</v>
      </c>
      <c r="O323" s="26">
        <v>5040</v>
      </c>
      <c r="P323" s="26" t="s">
        <v>11660</v>
      </c>
      <c r="Q323" s="33">
        <v>20</v>
      </c>
      <c r="R323" s="61" t="s">
        <v>11276</v>
      </c>
      <c r="S323" s="26"/>
      <c r="T323" s="31" t="s">
        <v>11459</v>
      </c>
      <c r="U323" s="26"/>
    </row>
    <row r="324" s="21" customFormat="1" spans="1:21">
      <c r="A324" s="28" t="s">
        <v>1980</v>
      </c>
      <c r="B324" s="26" t="str">
        <f>VLOOKUP(C324,[1]干线管道!B:C,2,FALSE)</f>
        <v>一级</v>
      </c>
      <c r="C324" s="26" t="s">
        <v>61</v>
      </c>
      <c r="D324" s="26" t="s">
        <v>556</v>
      </c>
      <c r="E324" s="26" t="s">
        <v>182</v>
      </c>
      <c r="F324" s="26"/>
      <c r="G324" s="26" t="s">
        <v>11268</v>
      </c>
      <c r="H324" s="26" t="s">
        <v>11664</v>
      </c>
      <c r="I324" s="26" t="s">
        <v>11287</v>
      </c>
      <c r="J324" s="26" t="s">
        <v>11296</v>
      </c>
      <c r="K324" s="26" t="s">
        <v>11443</v>
      </c>
      <c r="L324" s="26" t="s">
        <v>11665</v>
      </c>
      <c r="M324" s="30" t="s">
        <v>11666</v>
      </c>
      <c r="N324" s="30" t="s">
        <v>11349</v>
      </c>
      <c r="O324" s="26">
        <v>5040</v>
      </c>
      <c r="P324" s="26" t="s">
        <v>11667</v>
      </c>
      <c r="Q324" s="33">
        <v>17</v>
      </c>
      <c r="R324" s="36" t="s">
        <v>11276</v>
      </c>
      <c r="S324" s="26"/>
      <c r="T324" s="31" t="s">
        <v>11459</v>
      </c>
      <c r="U324" s="26"/>
    </row>
    <row r="325" s="21" customFormat="1" spans="1:21">
      <c r="A325" s="28" t="s">
        <v>1980</v>
      </c>
      <c r="B325" s="26" t="str">
        <f>VLOOKUP(C325,[1]干线管道!B:C,2,FALSE)</f>
        <v>一级</v>
      </c>
      <c r="C325" s="26" t="s">
        <v>61</v>
      </c>
      <c r="D325" s="26" t="s">
        <v>556</v>
      </c>
      <c r="E325" s="26" t="s">
        <v>182</v>
      </c>
      <c r="F325" s="26"/>
      <c r="G325" s="26" t="s">
        <v>11176</v>
      </c>
      <c r="H325" s="26" t="s">
        <v>11668</v>
      </c>
      <c r="I325" s="26" t="s">
        <v>11287</v>
      </c>
      <c r="J325" s="26" t="s">
        <v>11296</v>
      </c>
      <c r="K325" s="26" t="s">
        <v>11443</v>
      </c>
      <c r="L325" s="26" t="s">
        <v>11665</v>
      </c>
      <c r="M325" s="30" t="s">
        <v>11666</v>
      </c>
      <c r="N325" s="30" t="s">
        <v>11349</v>
      </c>
      <c r="O325" s="26">
        <v>5040</v>
      </c>
      <c r="P325" s="26" t="s">
        <v>11667</v>
      </c>
      <c r="Q325" s="33">
        <v>17</v>
      </c>
      <c r="R325" s="36" t="s">
        <v>11276</v>
      </c>
      <c r="S325" s="26"/>
      <c r="T325" s="31" t="s">
        <v>11459</v>
      </c>
      <c r="U325" s="26"/>
    </row>
    <row r="326" s="21" customFormat="1" spans="1:21">
      <c r="A326" s="28" t="s">
        <v>5092</v>
      </c>
      <c r="B326" s="26" t="str">
        <f>VLOOKUP(C326,[1]干线管道!B:C,2,FALSE)</f>
        <v>一级</v>
      </c>
      <c r="C326" s="26" t="str">
        <f>VLOOKUP(E326,[1]站场阀室!A:D,3,FALSE)</f>
        <v>大沈线</v>
      </c>
      <c r="D326" s="26" t="str">
        <f>VLOOKUP(E326,[1]站场阀室!A:D,4,FALSE)</f>
        <v>大沈线干线</v>
      </c>
      <c r="E326" s="26" t="s">
        <v>5182</v>
      </c>
      <c r="F326" s="26" t="s">
        <v>11317</v>
      </c>
      <c r="G326" s="26" t="s">
        <v>11268</v>
      </c>
      <c r="H326" s="29" t="s">
        <v>11606</v>
      </c>
      <c r="I326" s="26" t="s">
        <v>11287</v>
      </c>
      <c r="J326" s="26" t="s">
        <v>11296</v>
      </c>
      <c r="K326" s="26" t="s">
        <v>11339</v>
      </c>
      <c r="L326" s="26" t="s">
        <v>11669</v>
      </c>
      <c r="M326" s="30" t="s">
        <v>11670</v>
      </c>
      <c r="N326" s="30" t="s">
        <v>11671</v>
      </c>
      <c r="O326" s="26">
        <v>9976</v>
      </c>
      <c r="P326" s="26" t="s">
        <v>11672</v>
      </c>
      <c r="Q326" s="33">
        <v>14</v>
      </c>
      <c r="R326" s="61" t="s">
        <v>11276</v>
      </c>
      <c r="S326" s="26" t="s">
        <v>8247</v>
      </c>
      <c r="T326" s="63" t="s">
        <v>8244</v>
      </c>
      <c r="U326" s="26"/>
    </row>
    <row r="327" s="21" customFormat="1" spans="1:21">
      <c r="A327" s="28" t="s">
        <v>5092</v>
      </c>
      <c r="B327" s="26" t="str">
        <f>VLOOKUP(C327,[1]干线管道!B:C,2,FALSE)</f>
        <v>一级</v>
      </c>
      <c r="C327" s="26" t="str">
        <f>VLOOKUP(E327,[1]站场阀室!A:D,3,FALSE)</f>
        <v>大沈线</v>
      </c>
      <c r="D327" s="26" t="str">
        <f>VLOOKUP(E327,[1]站场阀室!A:D,4,FALSE)</f>
        <v>大沈线干线</v>
      </c>
      <c r="E327" s="26" t="s">
        <v>5182</v>
      </c>
      <c r="F327" s="26" t="s">
        <v>11317</v>
      </c>
      <c r="G327" s="26" t="s">
        <v>11176</v>
      </c>
      <c r="H327" s="29" t="s">
        <v>11606</v>
      </c>
      <c r="I327" s="26" t="s">
        <v>11287</v>
      </c>
      <c r="J327" s="26" t="s">
        <v>11296</v>
      </c>
      <c r="K327" s="26" t="s">
        <v>11339</v>
      </c>
      <c r="L327" s="26" t="s">
        <v>11669</v>
      </c>
      <c r="M327" s="30" t="s">
        <v>11670</v>
      </c>
      <c r="N327" s="30" t="s">
        <v>11671</v>
      </c>
      <c r="O327" s="26">
        <v>9976</v>
      </c>
      <c r="P327" s="26" t="s">
        <v>11672</v>
      </c>
      <c r="Q327" s="33">
        <v>14</v>
      </c>
      <c r="R327" s="61" t="s">
        <v>11276</v>
      </c>
      <c r="S327" s="26"/>
      <c r="T327" s="63" t="s">
        <v>8244</v>
      </c>
      <c r="U327" s="26"/>
    </row>
    <row r="328" s="21" customFormat="1" spans="1:21">
      <c r="A328" s="28" t="s">
        <v>5092</v>
      </c>
      <c r="B328" s="26" t="str">
        <f>VLOOKUP(C328,[1]干线管道!B:C,2,FALSE)</f>
        <v>一级</v>
      </c>
      <c r="C328" s="26" t="str">
        <f>VLOOKUP(E328,[1]站场阀室!A:D,3,FALSE)</f>
        <v>秦沈线</v>
      </c>
      <c r="D328" s="26" t="str">
        <f>VLOOKUP(E328,[1]站场阀室!A:D,4,FALSE)</f>
        <v>盘锦支线</v>
      </c>
      <c r="E328" s="26" t="s">
        <v>511</v>
      </c>
      <c r="F328" s="26" t="s">
        <v>11267</v>
      </c>
      <c r="G328" s="26" t="s">
        <v>11268</v>
      </c>
      <c r="H328" s="29" t="s">
        <v>11606</v>
      </c>
      <c r="I328" s="26" t="s">
        <v>11287</v>
      </c>
      <c r="J328" s="26" t="s">
        <v>11296</v>
      </c>
      <c r="K328" s="26" t="s">
        <v>11339</v>
      </c>
      <c r="L328" s="26" t="s">
        <v>11669</v>
      </c>
      <c r="M328" s="30" t="s">
        <v>11670</v>
      </c>
      <c r="N328" s="30" t="s">
        <v>11671</v>
      </c>
      <c r="O328" s="26">
        <v>9976</v>
      </c>
      <c r="P328" s="26" t="s">
        <v>11672</v>
      </c>
      <c r="Q328" s="33">
        <v>14</v>
      </c>
      <c r="R328" s="61" t="s">
        <v>11276</v>
      </c>
      <c r="S328" s="26" t="s">
        <v>8247</v>
      </c>
      <c r="T328" s="63" t="s">
        <v>8244</v>
      </c>
      <c r="U328" s="26"/>
    </row>
    <row r="329" s="21" customFormat="1" spans="1:21">
      <c r="A329" s="28" t="s">
        <v>5092</v>
      </c>
      <c r="B329" s="26" t="str">
        <f>VLOOKUP(C329,[1]干线管道!B:C,2,FALSE)</f>
        <v>一级</v>
      </c>
      <c r="C329" s="26" t="str">
        <f>VLOOKUP(E329,[1]站场阀室!A:D,3,FALSE)</f>
        <v>秦沈线</v>
      </c>
      <c r="D329" s="26" t="str">
        <f>VLOOKUP(E329,[1]站场阀室!A:D,4,FALSE)</f>
        <v>盘锦支线</v>
      </c>
      <c r="E329" s="26" t="s">
        <v>511</v>
      </c>
      <c r="F329" s="26" t="s">
        <v>11267</v>
      </c>
      <c r="G329" s="26" t="s">
        <v>11176</v>
      </c>
      <c r="H329" s="29" t="s">
        <v>11673</v>
      </c>
      <c r="I329" s="26" t="s">
        <v>11287</v>
      </c>
      <c r="J329" s="26" t="s">
        <v>11296</v>
      </c>
      <c r="K329" s="26" t="s">
        <v>11339</v>
      </c>
      <c r="L329" s="26" t="s">
        <v>11669</v>
      </c>
      <c r="M329" s="30" t="s">
        <v>11670</v>
      </c>
      <c r="N329" s="30" t="s">
        <v>11671</v>
      </c>
      <c r="O329" s="26">
        <v>9976</v>
      </c>
      <c r="P329" s="26" t="s">
        <v>11672</v>
      </c>
      <c r="Q329" s="33">
        <v>14</v>
      </c>
      <c r="R329" s="61" t="s">
        <v>11276</v>
      </c>
      <c r="S329" s="26"/>
      <c r="T329" s="63" t="s">
        <v>8244</v>
      </c>
      <c r="U329" s="26"/>
    </row>
    <row r="330" s="21" customFormat="1" spans="1:21">
      <c r="A330" s="28" t="s">
        <v>5092</v>
      </c>
      <c r="B330" s="26" t="str">
        <f>VLOOKUP(C330,[1]干线管道!B:C,2,FALSE)</f>
        <v>一级</v>
      </c>
      <c r="C330" s="26" t="str">
        <f>VLOOKUP(E330,[1]站场阀室!A:D,3,FALSE)</f>
        <v>秦沈线</v>
      </c>
      <c r="D330" s="26" t="str">
        <f>VLOOKUP(E330,[1]站场阀室!A:D,4,FALSE)</f>
        <v>盘锦支线</v>
      </c>
      <c r="E330" s="26" t="s">
        <v>511</v>
      </c>
      <c r="F330" s="26" t="s">
        <v>11267</v>
      </c>
      <c r="G330" s="26" t="s">
        <v>9245</v>
      </c>
      <c r="H330" s="29"/>
      <c r="I330" s="26" t="s">
        <v>11287</v>
      </c>
      <c r="J330" s="26" t="s">
        <v>11296</v>
      </c>
      <c r="K330" s="26"/>
      <c r="L330" s="26"/>
      <c r="M330" s="30"/>
      <c r="N330" s="30"/>
      <c r="O330" s="26"/>
      <c r="P330" s="26"/>
      <c r="Q330" s="33"/>
      <c r="R330" s="61" t="s">
        <v>11276</v>
      </c>
      <c r="S330" s="26"/>
      <c r="T330" s="31" t="s">
        <v>11459</v>
      </c>
      <c r="U330" s="26"/>
    </row>
    <row r="331" s="21" customFormat="1" spans="1:21">
      <c r="A331" s="28" t="s">
        <v>4952</v>
      </c>
      <c r="B331" s="26" t="str">
        <f>VLOOKUP(C331,[1]干线管道!B:C,2,FALSE)</f>
        <v>一级</v>
      </c>
      <c r="C331" s="26" t="str">
        <f>VLOOKUP(E331,[1]站场阀室!A:D,3,FALSE)</f>
        <v>忠武线</v>
      </c>
      <c r="D331" s="26" t="str">
        <f>VLOOKUP(E331,[1]站场阀室!A:D,4,FALSE)</f>
        <v>忠武线干线</v>
      </c>
      <c r="E331" s="26" t="s">
        <v>491</v>
      </c>
      <c r="F331" s="26" t="s">
        <v>11317</v>
      </c>
      <c r="G331" s="30" t="s">
        <v>11268</v>
      </c>
      <c r="H331" s="29">
        <v>43011</v>
      </c>
      <c r="I331" s="26" t="s">
        <v>11269</v>
      </c>
      <c r="J331" s="26" t="s">
        <v>11270</v>
      </c>
      <c r="K331" s="26" t="s">
        <v>11314</v>
      </c>
      <c r="L331" s="26" t="s">
        <v>11674</v>
      </c>
      <c r="M331" s="26" t="s">
        <v>11675</v>
      </c>
      <c r="N331" s="26" t="s">
        <v>11676</v>
      </c>
      <c r="O331" s="26">
        <v>12000</v>
      </c>
      <c r="P331" s="26" t="s">
        <v>11677</v>
      </c>
      <c r="Q331" s="33">
        <v>7.69</v>
      </c>
      <c r="R331" s="42" t="s">
        <v>11276</v>
      </c>
      <c r="S331" s="26" t="s">
        <v>8247</v>
      </c>
      <c r="T331" s="63" t="s">
        <v>8244</v>
      </c>
      <c r="U331" s="26"/>
    </row>
    <row r="332" s="21" customFormat="1" spans="1:21">
      <c r="A332" s="28" t="s">
        <v>4952</v>
      </c>
      <c r="B332" s="26" t="str">
        <f>VLOOKUP(C332,[1]干线管道!B:C,2,FALSE)</f>
        <v>一级</v>
      </c>
      <c r="C332" s="26" t="str">
        <f>VLOOKUP(E332,[1]站场阀室!A:D,3,FALSE)</f>
        <v>忠武线</v>
      </c>
      <c r="D332" s="26" t="str">
        <f>VLOOKUP(E332,[1]站场阀室!A:D,4,FALSE)</f>
        <v>忠武线干线</v>
      </c>
      <c r="E332" s="26" t="s">
        <v>491</v>
      </c>
      <c r="F332" s="26" t="s">
        <v>11317</v>
      </c>
      <c r="G332" s="30" t="s">
        <v>11176</v>
      </c>
      <c r="H332" s="29">
        <v>43004</v>
      </c>
      <c r="I332" s="26" t="s">
        <v>11269</v>
      </c>
      <c r="J332" s="26" t="s">
        <v>11270</v>
      </c>
      <c r="K332" s="26" t="s">
        <v>11314</v>
      </c>
      <c r="L332" s="26" t="s">
        <v>11674</v>
      </c>
      <c r="M332" s="26" t="s">
        <v>11675</v>
      </c>
      <c r="N332" s="26" t="s">
        <v>11676</v>
      </c>
      <c r="O332" s="26">
        <v>12000</v>
      </c>
      <c r="P332" s="26" t="s">
        <v>11677</v>
      </c>
      <c r="Q332" s="33">
        <v>7.69</v>
      </c>
      <c r="R332" s="42" t="s">
        <v>11276</v>
      </c>
      <c r="S332" s="26"/>
      <c r="T332" s="63" t="s">
        <v>8244</v>
      </c>
      <c r="U332" s="26"/>
    </row>
    <row r="333" s="21" customFormat="1" spans="1:21">
      <c r="A333" s="28" t="s">
        <v>1384</v>
      </c>
      <c r="B333" s="26" t="str">
        <f>VLOOKUP(C333,[1]干线管道!B:C,2,FALSE)</f>
        <v>一级</v>
      </c>
      <c r="C333" s="26" t="str">
        <f>VLOOKUP(E333,[1]站场阀室!A:D,3,FALSE)</f>
        <v>涩宁兰管道</v>
      </c>
      <c r="D333" s="26" t="str">
        <f>VLOOKUP(E333,[1]站场阀室!A:D,4,FALSE)</f>
        <v>涩宁兰管道干线</v>
      </c>
      <c r="E333" s="26" t="s">
        <v>435</v>
      </c>
      <c r="F333" s="26" t="s">
        <v>11267</v>
      </c>
      <c r="G333" s="30" t="s">
        <v>11268</v>
      </c>
      <c r="H333" s="39" t="s">
        <v>11678</v>
      </c>
      <c r="I333" s="26" t="s">
        <v>11269</v>
      </c>
      <c r="J333" s="26" t="s">
        <v>11270</v>
      </c>
      <c r="K333" s="26" t="s">
        <v>11366</v>
      </c>
      <c r="L333" s="26" t="s">
        <v>11679</v>
      </c>
      <c r="M333" s="26" t="s">
        <v>11680</v>
      </c>
      <c r="N333" s="26" t="s">
        <v>11676</v>
      </c>
      <c r="O333" s="26">
        <v>12600</v>
      </c>
      <c r="P333" s="26" t="s">
        <v>11681</v>
      </c>
      <c r="Q333" s="33">
        <v>6</v>
      </c>
      <c r="R333" s="35" t="s">
        <v>11276</v>
      </c>
      <c r="S333" s="26" t="s">
        <v>8247</v>
      </c>
      <c r="T333" s="63" t="s">
        <v>8244</v>
      </c>
      <c r="U333" s="26"/>
    </row>
    <row r="334" s="21" customFormat="1" spans="1:21">
      <c r="A334" s="28" t="s">
        <v>1384</v>
      </c>
      <c r="B334" s="26" t="str">
        <f>VLOOKUP(C334,[1]干线管道!B:C,2,FALSE)</f>
        <v>一级</v>
      </c>
      <c r="C334" s="26" t="str">
        <f>VLOOKUP(E334,[1]站场阀室!A:D,3,FALSE)</f>
        <v>涩宁兰管道</v>
      </c>
      <c r="D334" s="26" t="str">
        <f>VLOOKUP(E334,[1]站场阀室!A:D,4,FALSE)</f>
        <v>涩宁兰管道干线</v>
      </c>
      <c r="E334" s="26" t="s">
        <v>435</v>
      </c>
      <c r="F334" s="26" t="s">
        <v>11267</v>
      </c>
      <c r="G334" s="30" t="s">
        <v>11176</v>
      </c>
      <c r="H334" s="39" t="s">
        <v>11678</v>
      </c>
      <c r="I334" s="26" t="s">
        <v>11269</v>
      </c>
      <c r="J334" s="26" t="s">
        <v>11270</v>
      </c>
      <c r="K334" s="26" t="s">
        <v>11366</v>
      </c>
      <c r="L334" s="26" t="s">
        <v>11679</v>
      </c>
      <c r="M334" s="26" t="s">
        <v>11680</v>
      </c>
      <c r="N334" s="26" t="s">
        <v>11676</v>
      </c>
      <c r="O334" s="26">
        <v>12600</v>
      </c>
      <c r="P334" s="26" t="s">
        <v>11681</v>
      </c>
      <c r="Q334" s="33">
        <v>6</v>
      </c>
      <c r="R334" s="35" t="s">
        <v>11276</v>
      </c>
      <c r="S334" s="26"/>
      <c r="T334" s="63" t="s">
        <v>8244</v>
      </c>
      <c r="U334" s="26"/>
    </row>
    <row r="335" s="21" customFormat="1" spans="1:21">
      <c r="A335" s="28" t="s">
        <v>1384</v>
      </c>
      <c r="B335" s="26" t="str">
        <f>VLOOKUP(C335,[1]干线管道!B:C,2,FALSE)</f>
        <v>一级</v>
      </c>
      <c r="C335" s="26" t="str">
        <f>VLOOKUP(E335,[1]站场阀室!A:D,3,FALSE)</f>
        <v>涩宁兰管道</v>
      </c>
      <c r="D335" s="26" t="str">
        <f>VLOOKUP(E335,[1]站场阀室!A:D,4,FALSE)</f>
        <v>涩宁兰管道干线</v>
      </c>
      <c r="E335" s="26" t="s">
        <v>435</v>
      </c>
      <c r="F335" s="26" t="s">
        <v>11267</v>
      </c>
      <c r="G335" s="30" t="s">
        <v>9245</v>
      </c>
      <c r="H335" s="53">
        <v>2012.12</v>
      </c>
      <c r="I335" s="26" t="s">
        <v>11269</v>
      </c>
      <c r="J335" s="26" t="s">
        <v>11270</v>
      </c>
      <c r="K335" s="26" t="s">
        <v>11366</v>
      </c>
      <c r="L335" s="26" t="s">
        <v>11679</v>
      </c>
      <c r="M335" s="26" t="s">
        <v>11680</v>
      </c>
      <c r="N335" s="26" t="s">
        <v>11676</v>
      </c>
      <c r="O335" s="26">
        <v>12600</v>
      </c>
      <c r="P335" s="26" t="s">
        <v>11681</v>
      </c>
      <c r="Q335" s="33">
        <v>6</v>
      </c>
      <c r="R335" s="35" t="s">
        <v>11276</v>
      </c>
      <c r="S335" s="26"/>
      <c r="T335" s="63" t="s">
        <v>8244</v>
      </c>
      <c r="U335" s="26"/>
    </row>
    <row r="336" s="21" customFormat="1" spans="1:21">
      <c r="A336" s="28" t="s">
        <v>1384</v>
      </c>
      <c r="B336" s="26" t="str">
        <f>VLOOKUP(C336,[1]干线管道!B:C,2,FALSE)</f>
        <v>一级</v>
      </c>
      <c r="C336" s="26" t="str">
        <f>VLOOKUP(E336,[1]站场阀室!A:D,3,FALSE)</f>
        <v>涩宁兰管道</v>
      </c>
      <c r="D336" s="26" t="str">
        <f>VLOOKUP(E336,[1]站场阀室!A:D,4,FALSE)</f>
        <v>涩宁兰管道干线</v>
      </c>
      <c r="E336" s="26" t="s">
        <v>4741</v>
      </c>
      <c r="F336" s="26" t="s">
        <v>11267</v>
      </c>
      <c r="G336" s="30" t="s">
        <v>11268</v>
      </c>
      <c r="H336" s="39" t="s">
        <v>11682</v>
      </c>
      <c r="I336" s="26" t="s">
        <v>11269</v>
      </c>
      <c r="J336" s="26" t="s">
        <v>11270</v>
      </c>
      <c r="K336" s="26" t="s">
        <v>11366</v>
      </c>
      <c r="L336" s="26" t="s">
        <v>11566</v>
      </c>
      <c r="M336" s="26" t="s">
        <v>11683</v>
      </c>
      <c r="N336" s="26" t="s">
        <v>11684</v>
      </c>
      <c r="O336" s="26">
        <v>8856</v>
      </c>
      <c r="P336" s="26" t="s">
        <v>11685</v>
      </c>
      <c r="Q336" s="33">
        <v>14</v>
      </c>
      <c r="R336" s="35" t="s">
        <v>11276</v>
      </c>
      <c r="S336" s="26" t="s">
        <v>8247</v>
      </c>
      <c r="T336" s="63" t="s">
        <v>8244</v>
      </c>
      <c r="U336" s="26"/>
    </row>
    <row r="337" s="21" customFormat="1" spans="1:21">
      <c r="A337" s="28" t="s">
        <v>1384</v>
      </c>
      <c r="B337" s="26" t="str">
        <f>VLOOKUP(C337,[1]干线管道!B:C,2,FALSE)</f>
        <v>一级</v>
      </c>
      <c r="C337" s="26" t="str">
        <f>VLOOKUP(E337,[1]站场阀室!A:D,3,FALSE)</f>
        <v>涩宁兰管道</v>
      </c>
      <c r="D337" s="26" t="str">
        <f>VLOOKUP(E337,[1]站场阀室!A:D,4,FALSE)</f>
        <v>涩宁兰管道干线</v>
      </c>
      <c r="E337" s="26" t="s">
        <v>4741</v>
      </c>
      <c r="F337" s="26" t="s">
        <v>11267</v>
      </c>
      <c r="G337" s="30" t="s">
        <v>11176</v>
      </c>
      <c r="H337" s="39" t="s">
        <v>11686</v>
      </c>
      <c r="I337" s="26" t="s">
        <v>11269</v>
      </c>
      <c r="J337" s="26" t="s">
        <v>11270</v>
      </c>
      <c r="K337" s="26" t="s">
        <v>11366</v>
      </c>
      <c r="L337" s="26" t="s">
        <v>11566</v>
      </c>
      <c r="M337" s="26" t="s">
        <v>11683</v>
      </c>
      <c r="N337" s="26" t="s">
        <v>11684</v>
      </c>
      <c r="O337" s="26">
        <v>8856</v>
      </c>
      <c r="P337" s="26" t="s">
        <v>11685</v>
      </c>
      <c r="Q337" s="33">
        <v>14</v>
      </c>
      <c r="R337" s="35" t="s">
        <v>11276</v>
      </c>
      <c r="S337" s="26"/>
      <c r="T337" s="63" t="s">
        <v>8244</v>
      </c>
      <c r="U337" s="26"/>
    </row>
    <row r="338" s="21" customFormat="1" spans="1:21">
      <c r="A338" s="28" t="s">
        <v>1384</v>
      </c>
      <c r="B338" s="26" t="str">
        <f>VLOOKUP(C338,[1]干线管道!B:C,2,FALSE)</f>
        <v>一级</v>
      </c>
      <c r="C338" s="26" t="str">
        <f>VLOOKUP(E338,[1]站场阀室!A:D,3,FALSE)</f>
        <v>涩宁兰管道</v>
      </c>
      <c r="D338" s="26" t="str">
        <f>VLOOKUP(E338,[1]站场阀室!A:D,4,FALSE)</f>
        <v>涩宁兰管道干线</v>
      </c>
      <c r="E338" s="26" t="s">
        <v>4741</v>
      </c>
      <c r="F338" s="26" t="s">
        <v>11267</v>
      </c>
      <c r="G338" s="30" t="s">
        <v>9245</v>
      </c>
      <c r="H338" s="39" t="s">
        <v>11687</v>
      </c>
      <c r="I338" s="26" t="s">
        <v>11269</v>
      </c>
      <c r="J338" s="26" t="s">
        <v>11270</v>
      </c>
      <c r="K338" s="26" t="s">
        <v>11366</v>
      </c>
      <c r="L338" s="26" t="s">
        <v>11566</v>
      </c>
      <c r="M338" s="26" t="s">
        <v>11683</v>
      </c>
      <c r="N338" s="26" t="s">
        <v>11684</v>
      </c>
      <c r="O338" s="26">
        <v>8856</v>
      </c>
      <c r="P338" s="26" t="s">
        <v>11685</v>
      </c>
      <c r="Q338" s="33">
        <v>14</v>
      </c>
      <c r="R338" s="35" t="s">
        <v>11276</v>
      </c>
      <c r="S338" s="26"/>
      <c r="T338" s="63" t="s">
        <v>8244</v>
      </c>
      <c r="U338" s="26"/>
    </row>
    <row r="339" s="21" customFormat="1" spans="1:21">
      <c r="A339" s="28" t="s">
        <v>1384</v>
      </c>
      <c r="B339" s="26" t="str">
        <f>VLOOKUP(C339,[1]干线管道!B:C,2,FALSE)</f>
        <v>一级</v>
      </c>
      <c r="C339" s="26" t="str">
        <f>VLOOKUP(E339,[1]站场阀室!A:D,3,FALSE)</f>
        <v>涩宁兰管道</v>
      </c>
      <c r="D339" s="26" t="str">
        <f>VLOOKUP(E339,[1]站场阀室!A:D,4,FALSE)</f>
        <v>涩宁兰管道干线</v>
      </c>
      <c r="E339" s="26" t="s">
        <v>4757</v>
      </c>
      <c r="F339" s="26" t="s">
        <v>11267</v>
      </c>
      <c r="G339" s="30" t="s">
        <v>11268</v>
      </c>
      <c r="H339" s="39" t="s">
        <v>11688</v>
      </c>
      <c r="I339" s="26" t="s">
        <v>11269</v>
      </c>
      <c r="J339" s="26" t="s">
        <v>11270</v>
      </c>
      <c r="K339" s="26" t="s">
        <v>11366</v>
      </c>
      <c r="L339" s="26" t="s">
        <v>11566</v>
      </c>
      <c r="M339" s="26" t="s">
        <v>11683</v>
      </c>
      <c r="N339" s="26" t="s">
        <v>11684</v>
      </c>
      <c r="O339" s="26">
        <v>8856</v>
      </c>
      <c r="P339" s="26" t="s">
        <v>11685</v>
      </c>
      <c r="Q339" s="33">
        <v>14</v>
      </c>
      <c r="R339" s="35" t="s">
        <v>11276</v>
      </c>
      <c r="S339" s="26" t="s">
        <v>8247</v>
      </c>
      <c r="T339" s="63" t="s">
        <v>8244</v>
      </c>
      <c r="U339" s="26"/>
    </row>
    <row r="340" s="21" customFormat="1" spans="1:21">
      <c r="A340" s="28" t="s">
        <v>1384</v>
      </c>
      <c r="B340" s="26" t="str">
        <f>VLOOKUP(C340,[1]干线管道!B:C,2,FALSE)</f>
        <v>一级</v>
      </c>
      <c r="C340" s="26" t="str">
        <f>VLOOKUP(E340,[1]站场阀室!A:D,3,FALSE)</f>
        <v>涩宁兰管道</v>
      </c>
      <c r="D340" s="26" t="str">
        <f>VLOOKUP(E340,[1]站场阀室!A:D,4,FALSE)</f>
        <v>涩宁兰管道干线</v>
      </c>
      <c r="E340" s="26" t="s">
        <v>4757</v>
      </c>
      <c r="F340" s="26" t="s">
        <v>11267</v>
      </c>
      <c r="G340" s="30" t="s">
        <v>11176</v>
      </c>
      <c r="H340" s="39" t="s">
        <v>11689</v>
      </c>
      <c r="I340" s="26" t="s">
        <v>11269</v>
      </c>
      <c r="J340" s="26" t="s">
        <v>11270</v>
      </c>
      <c r="K340" s="26" t="s">
        <v>11366</v>
      </c>
      <c r="L340" s="26" t="s">
        <v>11566</v>
      </c>
      <c r="M340" s="26" t="s">
        <v>11683</v>
      </c>
      <c r="N340" s="26" t="s">
        <v>11684</v>
      </c>
      <c r="O340" s="26">
        <v>8856</v>
      </c>
      <c r="P340" s="26" t="s">
        <v>11685</v>
      </c>
      <c r="Q340" s="33">
        <v>14</v>
      </c>
      <c r="R340" s="35" t="s">
        <v>11276</v>
      </c>
      <c r="S340" s="26"/>
      <c r="T340" s="63" t="s">
        <v>8244</v>
      </c>
      <c r="U340" s="26"/>
    </row>
    <row r="341" s="21" customFormat="1" spans="1:21">
      <c r="A341" s="28" t="s">
        <v>1384</v>
      </c>
      <c r="B341" s="26" t="str">
        <f>VLOOKUP(C341,[1]干线管道!B:C,2,FALSE)</f>
        <v>一级</v>
      </c>
      <c r="C341" s="26" t="str">
        <f>VLOOKUP(E341,[1]站场阀室!A:D,3,FALSE)</f>
        <v>涩宁兰管道</v>
      </c>
      <c r="D341" s="26" t="str">
        <f>VLOOKUP(E341,[1]站场阀室!A:D,4,FALSE)</f>
        <v>涩宁兰管道干线</v>
      </c>
      <c r="E341" s="26" t="s">
        <v>4757</v>
      </c>
      <c r="F341" s="26" t="s">
        <v>11267</v>
      </c>
      <c r="G341" s="30" t="s">
        <v>9245</v>
      </c>
      <c r="H341" s="39" t="s">
        <v>11690</v>
      </c>
      <c r="I341" s="26" t="s">
        <v>11269</v>
      </c>
      <c r="J341" s="26" t="s">
        <v>11270</v>
      </c>
      <c r="K341" s="26" t="s">
        <v>11366</v>
      </c>
      <c r="L341" s="26" t="s">
        <v>11566</v>
      </c>
      <c r="M341" s="26" t="s">
        <v>11683</v>
      </c>
      <c r="N341" s="26" t="s">
        <v>11684</v>
      </c>
      <c r="O341" s="26">
        <v>8856</v>
      </c>
      <c r="P341" s="26" t="s">
        <v>11685</v>
      </c>
      <c r="Q341" s="33">
        <v>14</v>
      </c>
      <c r="R341" s="35" t="s">
        <v>11276</v>
      </c>
      <c r="S341" s="26"/>
      <c r="T341" s="63" t="s">
        <v>8244</v>
      </c>
      <c r="U341" s="26"/>
    </row>
    <row r="342" s="21" customFormat="1" spans="1:21">
      <c r="A342" s="28" t="s">
        <v>1384</v>
      </c>
      <c r="B342" s="26" t="str">
        <f>VLOOKUP(C342,[1]干线管道!B:C,2,FALSE)</f>
        <v>一级</v>
      </c>
      <c r="C342" s="26" t="str">
        <f>VLOOKUP(E342,[1]站场阀室!A:D,3,FALSE)</f>
        <v>涩宁兰管道</v>
      </c>
      <c r="D342" s="26" t="str">
        <f>VLOOKUP(E342,[1]站场阀室!A:D,4,FALSE)</f>
        <v>涩宁兰管道干线</v>
      </c>
      <c r="E342" s="26" t="s">
        <v>4768</v>
      </c>
      <c r="F342" s="26" t="s">
        <v>11267</v>
      </c>
      <c r="G342" s="30" t="s">
        <v>11268</v>
      </c>
      <c r="H342" s="39" t="s">
        <v>11691</v>
      </c>
      <c r="I342" s="26" t="s">
        <v>11269</v>
      </c>
      <c r="J342" s="26" t="s">
        <v>11270</v>
      </c>
      <c r="K342" s="26" t="s">
        <v>11366</v>
      </c>
      <c r="L342" s="26" t="s">
        <v>11566</v>
      </c>
      <c r="M342" s="26" t="s">
        <v>11683</v>
      </c>
      <c r="N342" s="26" t="s">
        <v>11684</v>
      </c>
      <c r="O342" s="26">
        <v>8856</v>
      </c>
      <c r="P342" s="26" t="s">
        <v>11681</v>
      </c>
      <c r="Q342" s="33">
        <v>14</v>
      </c>
      <c r="R342" s="35" t="s">
        <v>11276</v>
      </c>
      <c r="S342" s="26" t="s">
        <v>8247</v>
      </c>
      <c r="T342" s="63" t="s">
        <v>8244</v>
      </c>
      <c r="U342" s="26"/>
    </row>
    <row r="343" s="21" customFormat="1" spans="1:21">
      <c r="A343" s="28" t="s">
        <v>1384</v>
      </c>
      <c r="B343" s="26" t="str">
        <f>VLOOKUP(C343,[1]干线管道!B:C,2,FALSE)</f>
        <v>一级</v>
      </c>
      <c r="C343" s="26" t="str">
        <f>VLOOKUP(E343,[1]站场阀室!A:D,3,FALSE)</f>
        <v>涩宁兰管道</v>
      </c>
      <c r="D343" s="26" t="str">
        <f>VLOOKUP(E343,[1]站场阀室!A:D,4,FALSE)</f>
        <v>涩宁兰管道干线</v>
      </c>
      <c r="E343" s="26" t="s">
        <v>4768</v>
      </c>
      <c r="F343" s="26" t="s">
        <v>11267</v>
      </c>
      <c r="G343" s="30" t="s">
        <v>11176</v>
      </c>
      <c r="H343" s="39" t="s">
        <v>11692</v>
      </c>
      <c r="I343" s="26" t="s">
        <v>11269</v>
      </c>
      <c r="J343" s="26" t="s">
        <v>11270</v>
      </c>
      <c r="K343" s="26" t="s">
        <v>11366</v>
      </c>
      <c r="L343" s="26" t="s">
        <v>11566</v>
      </c>
      <c r="M343" s="26" t="s">
        <v>11683</v>
      </c>
      <c r="N343" s="26" t="s">
        <v>11684</v>
      </c>
      <c r="O343" s="26">
        <v>8856</v>
      </c>
      <c r="P343" s="26" t="s">
        <v>11681</v>
      </c>
      <c r="Q343" s="33">
        <v>14</v>
      </c>
      <c r="R343" s="35" t="s">
        <v>11276</v>
      </c>
      <c r="S343" s="26"/>
      <c r="T343" s="63" t="s">
        <v>8244</v>
      </c>
      <c r="U343" s="26"/>
    </row>
    <row r="344" s="21" customFormat="1" spans="1:21">
      <c r="A344" s="28" t="s">
        <v>1384</v>
      </c>
      <c r="B344" s="26" t="str">
        <f>VLOOKUP(C344,[1]干线管道!B:C,2,FALSE)</f>
        <v>一级</v>
      </c>
      <c r="C344" s="26" t="str">
        <f>VLOOKUP(E344,[1]站场阀室!A:D,3,FALSE)</f>
        <v>涩宁兰管道</v>
      </c>
      <c r="D344" s="26" t="str">
        <f>VLOOKUP(E344,[1]站场阀室!A:D,4,FALSE)</f>
        <v>涩宁兰管道干线</v>
      </c>
      <c r="E344" s="26" t="s">
        <v>4768</v>
      </c>
      <c r="F344" s="26" t="s">
        <v>11267</v>
      </c>
      <c r="G344" s="30" t="s">
        <v>9245</v>
      </c>
      <c r="H344" s="39" t="s">
        <v>11693</v>
      </c>
      <c r="I344" s="26" t="s">
        <v>11269</v>
      </c>
      <c r="J344" s="26" t="s">
        <v>11270</v>
      </c>
      <c r="K344" s="26" t="s">
        <v>11366</v>
      </c>
      <c r="L344" s="26" t="s">
        <v>11566</v>
      </c>
      <c r="M344" s="26" t="s">
        <v>11683</v>
      </c>
      <c r="N344" s="26" t="s">
        <v>11684</v>
      </c>
      <c r="O344" s="26">
        <v>8856</v>
      </c>
      <c r="P344" s="26" t="s">
        <v>11681</v>
      </c>
      <c r="Q344" s="33">
        <v>14</v>
      </c>
      <c r="R344" s="35" t="s">
        <v>11276</v>
      </c>
      <c r="S344" s="26"/>
      <c r="T344" s="63" t="s">
        <v>8244</v>
      </c>
      <c r="U344" s="26"/>
    </row>
    <row r="345" s="21" customFormat="1" spans="1:21">
      <c r="A345" s="28" t="s">
        <v>1384</v>
      </c>
      <c r="B345" s="26" t="str">
        <f>VLOOKUP(C345,[1]干线管道!B:C,2,FALSE)</f>
        <v>一级</v>
      </c>
      <c r="C345" s="26" t="str">
        <f>VLOOKUP(E345,[1]站场阀室!A:D,3,FALSE)</f>
        <v>涩宁兰管道</v>
      </c>
      <c r="D345" s="26" t="str">
        <f>VLOOKUP(E345,[1]站场阀室!A:D,4,FALSE)</f>
        <v>古河线</v>
      </c>
      <c r="E345" s="26" t="s">
        <v>463</v>
      </c>
      <c r="F345" s="26" t="s">
        <v>11310</v>
      </c>
      <c r="G345" s="30" t="s">
        <v>11268</v>
      </c>
      <c r="H345" s="29">
        <v>39597</v>
      </c>
      <c r="I345" s="26" t="s">
        <v>11269</v>
      </c>
      <c r="J345" s="26" t="s">
        <v>11270</v>
      </c>
      <c r="K345" s="26" t="s">
        <v>11312</v>
      </c>
      <c r="L345" s="26" t="s">
        <v>11313</v>
      </c>
      <c r="M345" s="30" t="s">
        <v>11560</v>
      </c>
      <c r="N345" s="26" t="s">
        <v>11694</v>
      </c>
      <c r="O345" s="26">
        <v>12997</v>
      </c>
      <c r="P345" s="26" t="s">
        <v>11695</v>
      </c>
      <c r="Q345" s="33">
        <v>5.4</v>
      </c>
      <c r="R345" s="35" t="s">
        <v>11276</v>
      </c>
      <c r="S345" s="26" t="s">
        <v>8247</v>
      </c>
      <c r="T345" s="63" t="s">
        <v>8244</v>
      </c>
      <c r="U345" s="26"/>
    </row>
    <row r="346" s="21" customFormat="1" spans="1:21">
      <c r="A346" s="28" t="s">
        <v>1491</v>
      </c>
      <c r="B346" s="26" t="str">
        <f>VLOOKUP(C346,[1]干线管道!B:C,2,FALSE)</f>
        <v>一级</v>
      </c>
      <c r="C346" s="26" t="str">
        <f>VLOOKUP(E346,[1]站场阀室!A:D,3,FALSE)</f>
        <v>兰银线</v>
      </c>
      <c r="D346" s="26" t="str">
        <f>VLOOKUP(E346,[1]站场阀室!A:D,4,FALSE)</f>
        <v>兰银线宁夏段</v>
      </c>
      <c r="E346" s="26" t="s">
        <v>470</v>
      </c>
      <c r="F346" s="26" t="s">
        <v>11310</v>
      </c>
      <c r="G346" s="30" t="s">
        <v>11268</v>
      </c>
      <c r="H346" s="29">
        <v>39597</v>
      </c>
      <c r="I346" s="26" t="s">
        <v>11269</v>
      </c>
      <c r="J346" s="26" t="s">
        <v>11270</v>
      </c>
      <c r="K346" s="26" t="s">
        <v>11314</v>
      </c>
      <c r="L346" s="26" t="s">
        <v>11696</v>
      </c>
      <c r="M346" s="30" t="s">
        <v>11697</v>
      </c>
      <c r="N346" s="26" t="s">
        <v>11698</v>
      </c>
      <c r="O346" s="26">
        <v>15000</v>
      </c>
      <c r="P346" s="26" t="s">
        <v>11699</v>
      </c>
      <c r="Q346" s="33">
        <v>3.525</v>
      </c>
      <c r="R346" s="35" t="s">
        <v>11276</v>
      </c>
      <c r="S346" s="26" t="s">
        <v>8247</v>
      </c>
      <c r="T346" s="31" t="s">
        <v>11302</v>
      </c>
      <c r="U346" s="26"/>
    </row>
    <row r="347" s="21" customFormat="1" spans="1:21">
      <c r="A347" s="28" t="s">
        <v>1491</v>
      </c>
      <c r="B347" s="26" t="str">
        <f>VLOOKUP(C347,[1]干线管道!B:C,2,FALSE)</f>
        <v>一级</v>
      </c>
      <c r="C347" s="26" t="str">
        <f>VLOOKUP(E347,[1]站场阀室!A:D,3,FALSE)</f>
        <v>长宁线</v>
      </c>
      <c r="D347" s="26" t="str">
        <f>VLOOKUP(E347,[1]站场阀室!A:D,4,FALSE)</f>
        <v>长宁线干线</v>
      </c>
      <c r="E347" s="26" t="s">
        <v>486</v>
      </c>
      <c r="F347" s="26" t="s">
        <v>11310</v>
      </c>
      <c r="G347" s="30" t="s">
        <v>11268</v>
      </c>
      <c r="H347" s="39" t="s">
        <v>11700</v>
      </c>
      <c r="I347" s="26" t="s">
        <v>11269</v>
      </c>
      <c r="J347" s="26" t="s">
        <v>11270</v>
      </c>
      <c r="K347" s="26" t="s">
        <v>11314</v>
      </c>
      <c r="L347" s="26" t="s">
        <v>11696</v>
      </c>
      <c r="M347" s="30" t="s">
        <v>11697</v>
      </c>
      <c r="N347" s="26" t="s">
        <v>11698</v>
      </c>
      <c r="O347" s="26">
        <v>15000</v>
      </c>
      <c r="P347" s="26" t="s">
        <v>11699</v>
      </c>
      <c r="Q347" s="33">
        <v>3.525</v>
      </c>
      <c r="R347" s="35" t="s">
        <v>11276</v>
      </c>
      <c r="S347" s="26" t="s">
        <v>8247</v>
      </c>
      <c r="T347" s="31" t="s">
        <v>11302</v>
      </c>
      <c r="U347" s="26"/>
    </row>
    <row r="348" s="21" customFormat="1" spans="1:21">
      <c r="A348" s="28" t="s">
        <v>6043</v>
      </c>
      <c r="B348" s="26" t="str">
        <f>VLOOKUP(C348,[1]干线管道!B:C,2,FALSE)</f>
        <v>一级</v>
      </c>
      <c r="C348" s="26" t="str">
        <f>VLOOKUP(E348,[1]站场阀室!A:D,3,FALSE)</f>
        <v>中缅线（国内段）</v>
      </c>
      <c r="D348" s="26" t="str">
        <f>VLOOKUP(E348,[1]站场阀室!A:D,4,FALSE)</f>
        <v>中缅线（国内段）</v>
      </c>
      <c r="E348" s="26" t="s">
        <v>6074</v>
      </c>
      <c r="F348" s="26" t="s">
        <v>11282</v>
      </c>
      <c r="G348" s="30" t="s">
        <v>11268</v>
      </c>
      <c r="H348" s="29" t="s">
        <v>11466</v>
      </c>
      <c r="I348" s="26" t="s">
        <v>11287</v>
      </c>
      <c r="J348" s="26" t="s">
        <v>11270</v>
      </c>
      <c r="K348" s="26" t="s">
        <v>11312</v>
      </c>
      <c r="L348" s="26" t="s">
        <v>11701</v>
      </c>
      <c r="M348" s="30" t="s">
        <v>11702</v>
      </c>
      <c r="N348" s="29" t="s">
        <v>11703</v>
      </c>
      <c r="O348" s="26">
        <v>5460</v>
      </c>
      <c r="P348" s="26" t="s">
        <v>11376</v>
      </c>
      <c r="Q348" s="37">
        <v>11.2</v>
      </c>
      <c r="R348" s="48" t="s">
        <v>11276</v>
      </c>
      <c r="S348" s="26" t="s">
        <v>8247</v>
      </c>
      <c r="T348" s="63" t="s">
        <v>8244</v>
      </c>
      <c r="U348" s="26"/>
    </row>
    <row r="349" s="21" customFormat="1" spans="1:21">
      <c r="A349" s="28" t="s">
        <v>6043</v>
      </c>
      <c r="B349" s="26" t="str">
        <f>VLOOKUP(C349,[1]干线管道!B:C,2,FALSE)</f>
        <v>一级</v>
      </c>
      <c r="C349" s="26" t="str">
        <f>VLOOKUP(E349,[1]站场阀室!A:D,3,FALSE)</f>
        <v>中缅线（国内段）</v>
      </c>
      <c r="D349" s="26" t="str">
        <f>VLOOKUP(E349,[1]站场阀室!A:D,4,FALSE)</f>
        <v>中缅线（国内段）</v>
      </c>
      <c r="E349" s="26" t="s">
        <v>6074</v>
      </c>
      <c r="F349" s="26" t="s">
        <v>11282</v>
      </c>
      <c r="G349" s="30" t="s">
        <v>11176</v>
      </c>
      <c r="H349" s="39" t="s">
        <v>11704</v>
      </c>
      <c r="I349" s="26" t="s">
        <v>11287</v>
      </c>
      <c r="J349" s="26" t="s">
        <v>11270</v>
      </c>
      <c r="K349" s="26" t="s">
        <v>11312</v>
      </c>
      <c r="L349" s="26" t="s">
        <v>11705</v>
      </c>
      <c r="M349" s="30" t="s">
        <v>11702</v>
      </c>
      <c r="N349" s="29" t="s">
        <v>11703</v>
      </c>
      <c r="O349" s="26">
        <v>5460</v>
      </c>
      <c r="P349" s="26" t="s">
        <v>11376</v>
      </c>
      <c r="Q349" s="37">
        <v>11.2</v>
      </c>
      <c r="R349" s="48" t="s">
        <v>11276</v>
      </c>
      <c r="S349" s="26"/>
      <c r="T349" s="63" t="s">
        <v>8244</v>
      </c>
      <c r="U349" s="26"/>
    </row>
    <row r="350" s="21" customFormat="1" spans="1:21">
      <c r="A350" s="28" t="s">
        <v>3154</v>
      </c>
      <c r="B350" s="26" t="str">
        <f>VLOOKUP(C350,[1]干线管道!B:C,2,FALSE)</f>
        <v>一级</v>
      </c>
      <c r="C350" s="26" t="str">
        <f>VLOOKUP(E350,[1]站场阀室!A:D,3,FALSE)</f>
        <v>中缅线（国内段）</v>
      </c>
      <c r="D350" s="26" t="str">
        <f>VLOOKUP(E350,[1]站场阀室!A:D,4,FALSE)</f>
        <v>中缅线（国内段）</v>
      </c>
      <c r="E350" s="26" t="s">
        <v>286</v>
      </c>
      <c r="F350" s="30" t="s">
        <v>11282</v>
      </c>
      <c r="G350" s="30" t="s">
        <v>11268</v>
      </c>
      <c r="H350" s="29" t="s">
        <v>11466</v>
      </c>
      <c r="I350" s="26" t="s">
        <v>11287</v>
      </c>
      <c r="J350" s="26" t="s">
        <v>11270</v>
      </c>
      <c r="K350" s="26" t="s">
        <v>11312</v>
      </c>
      <c r="L350" s="26" t="s">
        <v>11701</v>
      </c>
      <c r="M350" s="30" t="s">
        <v>11702</v>
      </c>
      <c r="N350" s="29" t="s">
        <v>11703</v>
      </c>
      <c r="O350" s="26">
        <v>5460</v>
      </c>
      <c r="P350" s="26" t="s">
        <v>11376</v>
      </c>
      <c r="Q350" s="37">
        <v>11.2</v>
      </c>
      <c r="R350" s="48" t="s">
        <v>11276</v>
      </c>
      <c r="S350" s="26" t="s">
        <v>8247</v>
      </c>
      <c r="T350" s="63" t="s">
        <v>8244</v>
      </c>
      <c r="U350" s="30"/>
    </row>
    <row r="351" s="21" customFormat="1" spans="1:21">
      <c r="A351" s="28" t="s">
        <v>3154</v>
      </c>
      <c r="B351" s="26" t="str">
        <f>VLOOKUP(C351,[1]干线管道!B:C,2,FALSE)</f>
        <v>一级</v>
      </c>
      <c r="C351" s="26" t="str">
        <f>VLOOKUP(E351,[1]站场阀室!A:D,3,FALSE)</f>
        <v>中缅线（国内段）</v>
      </c>
      <c r="D351" s="26" t="str">
        <f>VLOOKUP(E351,[1]站场阀室!A:D,4,FALSE)</f>
        <v>中缅线（国内段）</v>
      </c>
      <c r="E351" s="26" t="s">
        <v>286</v>
      </c>
      <c r="F351" s="30" t="s">
        <v>11282</v>
      </c>
      <c r="G351" s="30" t="s">
        <v>11176</v>
      </c>
      <c r="H351" s="39" t="s">
        <v>11704</v>
      </c>
      <c r="I351" s="26" t="s">
        <v>11287</v>
      </c>
      <c r="J351" s="26" t="s">
        <v>11270</v>
      </c>
      <c r="K351" s="26" t="s">
        <v>11312</v>
      </c>
      <c r="L351" s="26" t="s">
        <v>11705</v>
      </c>
      <c r="M351" s="30" t="s">
        <v>11702</v>
      </c>
      <c r="N351" s="29" t="s">
        <v>11703</v>
      </c>
      <c r="O351" s="26">
        <v>5460</v>
      </c>
      <c r="P351" s="26" t="s">
        <v>11376</v>
      </c>
      <c r="Q351" s="37">
        <v>11.2</v>
      </c>
      <c r="R351" s="48" t="s">
        <v>11276</v>
      </c>
      <c r="S351" s="26"/>
      <c r="T351" s="63" t="s">
        <v>8244</v>
      </c>
      <c r="U351" s="30"/>
    </row>
    <row r="352" s="21" customFormat="1" spans="1:21">
      <c r="A352" s="28" t="s">
        <v>3154</v>
      </c>
      <c r="B352" s="26" t="str">
        <f>VLOOKUP(C352,[1]干线管道!B:C,2,FALSE)</f>
        <v>一级</v>
      </c>
      <c r="C352" s="26" t="str">
        <f>VLOOKUP(E352,[1]站场阀室!A:D,3,FALSE)</f>
        <v>中缅线（国内段）</v>
      </c>
      <c r="D352" s="26" t="str">
        <f>VLOOKUP(E352,[1]站场阀室!A:D,4,FALSE)</f>
        <v>中缅线（国内段）</v>
      </c>
      <c r="E352" s="26" t="s">
        <v>651</v>
      </c>
      <c r="F352" s="30" t="s">
        <v>11317</v>
      </c>
      <c r="G352" s="30" t="s">
        <v>11268</v>
      </c>
      <c r="H352" s="39" t="s">
        <v>11706</v>
      </c>
      <c r="I352" s="26" t="s">
        <v>11287</v>
      </c>
      <c r="J352" s="26" t="s">
        <v>11296</v>
      </c>
      <c r="K352" s="32" t="s">
        <v>11339</v>
      </c>
      <c r="L352" s="32" t="s">
        <v>11707</v>
      </c>
      <c r="M352" s="46" t="s">
        <v>11708</v>
      </c>
      <c r="N352" s="39" t="s">
        <v>11709</v>
      </c>
      <c r="O352" s="26">
        <v>5400</v>
      </c>
      <c r="P352" s="26" t="s">
        <v>11710</v>
      </c>
      <c r="Q352" s="37">
        <v>20</v>
      </c>
      <c r="R352" s="48" t="s">
        <v>11276</v>
      </c>
      <c r="S352" s="26" t="s">
        <v>8247</v>
      </c>
      <c r="T352" s="63" t="s">
        <v>8244</v>
      </c>
      <c r="U352" s="26"/>
    </row>
    <row r="353" s="21" customFormat="1" spans="1:21">
      <c r="A353" s="28" t="s">
        <v>3154</v>
      </c>
      <c r="B353" s="26" t="str">
        <f>VLOOKUP(C353,[1]干线管道!B:C,2,FALSE)</f>
        <v>一级</v>
      </c>
      <c r="C353" s="26" t="str">
        <f>VLOOKUP(E353,[1]站场阀室!A:D,3,FALSE)</f>
        <v>中缅线（国内段）</v>
      </c>
      <c r="D353" s="26" t="str">
        <f>VLOOKUP(E353,[1]站场阀室!A:D,4,FALSE)</f>
        <v>中缅线（国内段）</v>
      </c>
      <c r="E353" s="26" t="s">
        <v>651</v>
      </c>
      <c r="F353" s="30" t="s">
        <v>11317</v>
      </c>
      <c r="G353" s="30" t="s">
        <v>11176</v>
      </c>
      <c r="H353" s="39" t="s">
        <v>11711</v>
      </c>
      <c r="I353" s="26" t="s">
        <v>11287</v>
      </c>
      <c r="J353" s="26" t="s">
        <v>11296</v>
      </c>
      <c r="K353" s="32" t="s">
        <v>11339</v>
      </c>
      <c r="L353" s="32" t="s">
        <v>11707</v>
      </c>
      <c r="M353" s="46" t="s">
        <v>11708</v>
      </c>
      <c r="N353" s="39" t="s">
        <v>11709</v>
      </c>
      <c r="O353" s="26">
        <v>5400</v>
      </c>
      <c r="P353" s="26" t="s">
        <v>11710</v>
      </c>
      <c r="Q353" s="37">
        <v>20</v>
      </c>
      <c r="R353" s="48" t="s">
        <v>11276</v>
      </c>
      <c r="S353" s="26"/>
      <c r="T353" s="63" t="s">
        <v>8244</v>
      </c>
      <c r="U353" s="26"/>
    </row>
    <row r="354" s="21" customFormat="1" spans="1:21">
      <c r="A354" s="28" t="s">
        <v>1491</v>
      </c>
      <c r="B354" s="26" t="str">
        <f>VLOOKUP(C354,[1]干线管道!B:C,2,FALSE)</f>
        <v>一级</v>
      </c>
      <c r="C354" s="26" t="str">
        <f>VLOOKUP(E354,[1]站场阀室!A:D,3,FALSE)</f>
        <v>中贵线</v>
      </c>
      <c r="D354" s="26" t="str">
        <f>VLOOKUP(E354,[1]站场阀室!A:D,4,FALSE)</f>
        <v>中贵线干线</v>
      </c>
      <c r="E354" s="26" t="s">
        <v>627</v>
      </c>
      <c r="F354" s="26" t="s">
        <v>11267</v>
      </c>
      <c r="G354" s="30" t="s">
        <v>11268</v>
      </c>
      <c r="H354" s="39" t="s">
        <v>11712</v>
      </c>
      <c r="I354" s="26" t="s">
        <v>11287</v>
      </c>
      <c r="J354" s="26" t="s">
        <v>11270</v>
      </c>
      <c r="K354" s="26" t="s">
        <v>11277</v>
      </c>
      <c r="L354" s="26" t="s">
        <v>11707</v>
      </c>
      <c r="M354" s="30" t="s">
        <v>11713</v>
      </c>
      <c r="N354" s="30" t="s">
        <v>11714</v>
      </c>
      <c r="O354" s="26">
        <v>11991</v>
      </c>
      <c r="P354" s="26" t="s">
        <v>11376</v>
      </c>
      <c r="Q354" s="37">
        <v>18</v>
      </c>
      <c r="R354" s="42" t="s">
        <v>11276</v>
      </c>
      <c r="S354" s="26" t="s">
        <v>8247</v>
      </c>
      <c r="T354" s="63" t="s">
        <v>8244</v>
      </c>
      <c r="U354" s="26"/>
    </row>
    <row r="355" s="21" customFormat="1" spans="1:21">
      <c r="A355" s="28" t="s">
        <v>1491</v>
      </c>
      <c r="B355" s="26" t="str">
        <f>VLOOKUP(C355,[1]干线管道!B:C,2,FALSE)</f>
        <v>一级</v>
      </c>
      <c r="C355" s="26" t="str">
        <f>VLOOKUP(E355,[1]站场阀室!A:D,3,FALSE)</f>
        <v>中贵线</v>
      </c>
      <c r="D355" s="26" t="str">
        <f>VLOOKUP(E355,[1]站场阀室!A:D,4,FALSE)</f>
        <v>中贵线干线</v>
      </c>
      <c r="E355" s="26" t="s">
        <v>627</v>
      </c>
      <c r="F355" s="26" t="s">
        <v>11267</v>
      </c>
      <c r="G355" s="30" t="s">
        <v>11176</v>
      </c>
      <c r="H355" s="39" t="s">
        <v>11715</v>
      </c>
      <c r="I355" s="26" t="s">
        <v>11287</v>
      </c>
      <c r="J355" s="26" t="s">
        <v>11270</v>
      </c>
      <c r="K355" s="26" t="s">
        <v>11277</v>
      </c>
      <c r="L355" s="26" t="s">
        <v>11707</v>
      </c>
      <c r="M355" s="30" t="s">
        <v>11713</v>
      </c>
      <c r="N355" s="30" t="s">
        <v>11714</v>
      </c>
      <c r="O355" s="26">
        <v>11991</v>
      </c>
      <c r="P355" s="26" t="s">
        <v>11376</v>
      </c>
      <c r="Q355" s="37">
        <v>18</v>
      </c>
      <c r="R355" s="42" t="s">
        <v>11276</v>
      </c>
      <c r="S355" s="26"/>
      <c r="T355" s="63" t="s">
        <v>8244</v>
      </c>
      <c r="U355" s="26"/>
    </row>
    <row r="356" s="21" customFormat="1" spans="1:21">
      <c r="A356" s="28" t="s">
        <v>1491</v>
      </c>
      <c r="B356" s="26" t="str">
        <f>VLOOKUP(C356,[1]干线管道!B:C,2,FALSE)</f>
        <v>一级</v>
      </c>
      <c r="C356" s="26" t="str">
        <f>VLOOKUP(E356,[1]站场阀室!A:D,3,FALSE)</f>
        <v>中贵线</v>
      </c>
      <c r="D356" s="26" t="str">
        <f>VLOOKUP(E356,[1]站场阀室!A:D,4,FALSE)</f>
        <v>中贵线干线</v>
      </c>
      <c r="E356" s="26" t="s">
        <v>627</v>
      </c>
      <c r="F356" s="26" t="s">
        <v>11267</v>
      </c>
      <c r="G356" s="30" t="s">
        <v>9245</v>
      </c>
      <c r="H356" s="39" t="s">
        <v>11712</v>
      </c>
      <c r="I356" s="26" t="s">
        <v>11287</v>
      </c>
      <c r="J356" s="26" t="s">
        <v>11270</v>
      </c>
      <c r="K356" s="26" t="s">
        <v>11277</v>
      </c>
      <c r="L356" s="26" t="s">
        <v>11707</v>
      </c>
      <c r="M356" s="30" t="s">
        <v>11713</v>
      </c>
      <c r="N356" s="30" t="s">
        <v>11714</v>
      </c>
      <c r="O356" s="26">
        <v>11991</v>
      </c>
      <c r="P356" s="26" t="s">
        <v>11376</v>
      </c>
      <c r="Q356" s="37">
        <v>18</v>
      </c>
      <c r="R356" s="42" t="s">
        <v>11276</v>
      </c>
      <c r="S356" s="26"/>
      <c r="T356" s="63" t="s">
        <v>8244</v>
      </c>
      <c r="U356" s="26"/>
    </row>
    <row r="357" s="21" customFormat="1" spans="1:21">
      <c r="A357" s="28" t="s">
        <v>1384</v>
      </c>
      <c r="B357" s="26" t="str">
        <f>VLOOKUP(C357,[1]干线管道!B:C,2,FALSE)</f>
        <v>一级</v>
      </c>
      <c r="C357" s="26" t="str">
        <f>VLOOKUP(E357,[1]站场阀室!A:D,3,FALSE)</f>
        <v>中贵线</v>
      </c>
      <c r="D357" s="26" t="str">
        <f>VLOOKUP(E357,[1]站场阀室!A:D,4,FALSE)</f>
        <v>中贵线干线</v>
      </c>
      <c r="E357" s="26" t="s">
        <v>610</v>
      </c>
      <c r="F357" s="26" t="s">
        <v>11267</v>
      </c>
      <c r="G357" s="30" t="s">
        <v>11268</v>
      </c>
      <c r="H357" s="39" t="s">
        <v>11716</v>
      </c>
      <c r="I357" s="26" t="s">
        <v>11287</v>
      </c>
      <c r="J357" s="26" t="s">
        <v>11270</v>
      </c>
      <c r="K357" s="26" t="s">
        <v>11277</v>
      </c>
      <c r="L357" s="26" t="s">
        <v>11707</v>
      </c>
      <c r="M357" s="30" t="s">
        <v>11713</v>
      </c>
      <c r="N357" s="30" t="s">
        <v>11714</v>
      </c>
      <c r="O357" s="26">
        <v>11991</v>
      </c>
      <c r="P357" s="26" t="s">
        <v>11376</v>
      </c>
      <c r="Q357" s="37">
        <v>18</v>
      </c>
      <c r="R357" s="42" t="s">
        <v>11276</v>
      </c>
      <c r="S357" s="26" t="s">
        <v>8247</v>
      </c>
      <c r="T357" s="63" t="s">
        <v>8244</v>
      </c>
      <c r="U357" s="26"/>
    </row>
    <row r="358" s="21" customFormat="1" spans="1:21">
      <c r="A358" s="28" t="s">
        <v>1384</v>
      </c>
      <c r="B358" s="26" t="str">
        <f>VLOOKUP(C358,[1]干线管道!B:C,2,FALSE)</f>
        <v>一级</v>
      </c>
      <c r="C358" s="26" t="str">
        <f>VLOOKUP(E358,[1]站场阀室!A:D,3,FALSE)</f>
        <v>中贵线</v>
      </c>
      <c r="D358" s="26" t="str">
        <f>VLOOKUP(E358,[1]站场阀室!A:D,4,FALSE)</f>
        <v>中贵线干线</v>
      </c>
      <c r="E358" s="26" t="s">
        <v>610</v>
      </c>
      <c r="F358" s="26" t="s">
        <v>11267</v>
      </c>
      <c r="G358" s="30" t="s">
        <v>11176</v>
      </c>
      <c r="H358" s="39" t="s">
        <v>11717</v>
      </c>
      <c r="I358" s="26" t="s">
        <v>11287</v>
      </c>
      <c r="J358" s="26" t="s">
        <v>11270</v>
      </c>
      <c r="K358" s="26" t="s">
        <v>11277</v>
      </c>
      <c r="L358" s="26" t="s">
        <v>11707</v>
      </c>
      <c r="M358" s="30" t="s">
        <v>11713</v>
      </c>
      <c r="N358" s="30" t="s">
        <v>11714</v>
      </c>
      <c r="O358" s="26">
        <v>11991</v>
      </c>
      <c r="P358" s="26" t="s">
        <v>11376</v>
      </c>
      <c r="Q358" s="37">
        <v>18</v>
      </c>
      <c r="R358" s="42" t="s">
        <v>11276</v>
      </c>
      <c r="S358" s="26"/>
      <c r="T358" s="63" t="s">
        <v>8244</v>
      </c>
      <c r="U358" s="26"/>
    </row>
    <row r="359" s="21" customFormat="1" spans="1:21">
      <c r="A359" s="28" t="s">
        <v>1384</v>
      </c>
      <c r="B359" s="26" t="str">
        <f>VLOOKUP(C359,[1]干线管道!B:C,2,FALSE)</f>
        <v>一级</v>
      </c>
      <c r="C359" s="26" t="str">
        <f>VLOOKUP(E359,[1]站场阀室!A:D,3,FALSE)</f>
        <v>中贵线</v>
      </c>
      <c r="D359" s="26" t="str">
        <f>VLOOKUP(E359,[1]站场阀室!A:D,4,FALSE)</f>
        <v>中贵线干线</v>
      </c>
      <c r="E359" s="26" t="s">
        <v>610</v>
      </c>
      <c r="F359" s="26" t="s">
        <v>11267</v>
      </c>
      <c r="G359" s="30" t="s">
        <v>9245</v>
      </c>
      <c r="H359" s="39" t="s">
        <v>11437</v>
      </c>
      <c r="I359" s="26" t="s">
        <v>11287</v>
      </c>
      <c r="J359" s="26" t="s">
        <v>11270</v>
      </c>
      <c r="K359" s="26" t="s">
        <v>11277</v>
      </c>
      <c r="L359" s="26" t="s">
        <v>11707</v>
      </c>
      <c r="M359" s="30" t="s">
        <v>11713</v>
      </c>
      <c r="N359" s="30" t="s">
        <v>11714</v>
      </c>
      <c r="O359" s="26">
        <v>11991</v>
      </c>
      <c r="P359" s="26" t="s">
        <v>11376</v>
      </c>
      <c r="Q359" s="37">
        <v>18</v>
      </c>
      <c r="R359" s="42" t="s">
        <v>11276</v>
      </c>
      <c r="S359" s="26"/>
      <c r="T359" s="63" t="s">
        <v>8244</v>
      </c>
      <c r="U359" s="26"/>
    </row>
    <row r="360" s="21" customFormat="1" spans="1:21">
      <c r="A360" s="28" t="s">
        <v>4952</v>
      </c>
      <c r="B360" s="26" t="str">
        <f>VLOOKUP(C360,[1]干线管道!B:C,2,FALSE)</f>
        <v>一级</v>
      </c>
      <c r="C360" s="26" t="str">
        <f>VLOOKUP(E360,[1]站场阀室!A:D,3,FALSE)</f>
        <v>中贵线</v>
      </c>
      <c r="D360" s="26" t="str">
        <f>VLOOKUP(E360,[1]站场阀室!A:D,4,FALSE)</f>
        <v>中贵线干线</v>
      </c>
      <c r="E360" s="26" t="s">
        <v>5909</v>
      </c>
      <c r="F360" s="30" t="s">
        <v>11267</v>
      </c>
      <c r="G360" s="30" t="s">
        <v>11268</v>
      </c>
      <c r="H360" s="29" t="s">
        <v>11718</v>
      </c>
      <c r="I360" s="26" t="s">
        <v>11287</v>
      </c>
      <c r="J360" s="26" t="s">
        <v>11270</v>
      </c>
      <c r="K360" s="32" t="s">
        <v>11277</v>
      </c>
      <c r="L360" s="26" t="s">
        <v>11707</v>
      </c>
      <c r="M360" s="30" t="s">
        <v>11719</v>
      </c>
      <c r="N360" s="30" t="s">
        <v>11714</v>
      </c>
      <c r="O360" s="30">
        <v>11991</v>
      </c>
      <c r="P360" s="26" t="s">
        <v>11720</v>
      </c>
      <c r="Q360" s="72">
        <v>18</v>
      </c>
      <c r="R360" s="42" t="s">
        <v>11276</v>
      </c>
      <c r="S360" s="26" t="s">
        <v>8247</v>
      </c>
      <c r="T360" s="63" t="s">
        <v>8244</v>
      </c>
      <c r="U360" s="26"/>
    </row>
    <row r="361" s="21" customFormat="1" spans="1:21">
      <c r="A361" s="28" t="s">
        <v>4952</v>
      </c>
      <c r="B361" s="26" t="str">
        <f>VLOOKUP(C361,[1]干线管道!B:C,2,FALSE)</f>
        <v>一级</v>
      </c>
      <c r="C361" s="26" t="str">
        <f>VLOOKUP(E361,[1]站场阀室!A:D,3,FALSE)</f>
        <v>中贵线</v>
      </c>
      <c r="D361" s="26" t="str">
        <f>VLOOKUP(E361,[1]站场阀室!A:D,4,FALSE)</f>
        <v>中贵线干线</v>
      </c>
      <c r="E361" s="26" t="s">
        <v>5909</v>
      </c>
      <c r="F361" s="30" t="s">
        <v>11267</v>
      </c>
      <c r="G361" s="30" t="s">
        <v>11176</v>
      </c>
      <c r="H361" s="29" t="s">
        <v>11721</v>
      </c>
      <c r="I361" s="26" t="s">
        <v>11287</v>
      </c>
      <c r="J361" s="26" t="s">
        <v>11270</v>
      </c>
      <c r="K361" s="32" t="s">
        <v>11277</v>
      </c>
      <c r="L361" s="26" t="s">
        <v>11707</v>
      </c>
      <c r="M361" s="30" t="s">
        <v>11719</v>
      </c>
      <c r="N361" s="30" t="s">
        <v>11714</v>
      </c>
      <c r="O361" s="30">
        <v>11991</v>
      </c>
      <c r="P361" s="26" t="s">
        <v>11720</v>
      </c>
      <c r="Q361" s="72">
        <v>18</v>
      </c>
      <c r="R361" s="42" t="s">
        <v>11276</v>
      </c>
      <c r="S361" s="26"/>
      <c r="T361" s="63" t="s">
        <v>8244</v>
      </c>
      <c r="U361" s="26"/>
    </row>
    <row r="362" s="21" customFormat="1" spans="1:21">
      <c r="A362" s="28" t="s">
        <v>4952</v>
      </c>
      <c r="B362" s="26" t="str">
        <f>VLOOKUP(C362,[1]干线管道!B:C,2,FALSE)</f>
        <v>一级</v>
      </c>
      <c r="C362" s="26" t="str">
        <f>VLOOKUP(E362,[1]站场阀室!A:D,3,FALSE)</f>
        <v>中贵线</v>
      </c>
      <c r="D362" s="26" t="str">
        <f>VLOOKUP(E362,[1]站场阀室!A:D,4,FALSE)</f>
        <v>中贵线干线</v>
      </c>
      <c r="E362" s="26" t="s">
        <v>5909</v>
      </c>
      <c r="F362" s="30" t="s">
        <v>11267</v>
      </c>
      <c r="G362" s="30" t="s">
        <v>9245</v>
      </c>
      <c r="H362" s="39" t="s">
        <v>11722</v>
      </c>
      <c r="I362" s="26" t="s">
        <v>11287</v>
      </c>
      <c r="J362" s="26" t="s">
        <v>11270</v>
      </c>
      <c r="K362" s="32" t="s">
        <v>11277</v>
      </c>
      <c r="L362" s="26" t="s">
        <v>11707</v>
      </c>
      <c r="M362" s="30" t="s">
        <v>11719</v>
      </c>
      <c r="N362" s="30" t="s">
        <v>11714</v>
      </c>
      <c r="O362" s="30">
        <v>11991</v>
      </c>
      <c r="P362" s="26" t="s">
        <v>11720</v>
      </c>
      <c r="Q362" s="72">
        <v>18</v>
      </c>
      <c r="R362" s="42" t="s">
        <v>11276</v>
      </c>
      <c r="S362" s="26"/>
      <c r="T362" s="63" t="s">
        <v>8244</v>
      </c>
      <c r="U362" s="26"/>
    </row>
    <row r="363" s="21" customFormat="1" spans="1:21">
      <c r="A363" s="28" t="s">
        <v>4952</v>
      </c>
      <c r="B363" s="26" t="str">
        <f>VLOOKUP(C363,[1]干线管道!B:C,2,FALSE)</f>
        <v>一级</v>
      </c>
      <c r="C363" s="26" t="str">
        <f>VLOOKUP(E363,[1]站场阀室!A:D,3,FALSE)</f>
        <v>中贵线</v>
      </c>
      <c r="D363" s="26" t="str">
        <f>VLOOKUP(E363,[1]站场阀室!A:D,4,FALSE)</f>
        <v>中贵线干线</v>
      </c>
      <c r="E363" s="26" t="s">
        <v>5932</v>
      </c>
      <c r="F363" s="30" t="s">
        <v>11267</v>
      </c>
      <c r="G363" s="30" t="s">
        <v>11268</v>
      </c>
      <c r="H363" s="39" t="s">
        <v>11723</v>
      </c>
      <c r="I363" s="26" t="s">
        <v>11287</v>
      </c>
      <c r="J363" s="26" t="s">
        <v>11270</v>
      </c>
      <c r="K363" s="32" t="s">
        <v>11277</v>
      </c>
      <c r="L363" s="32" t="s">
        <v>11707</v>
      </c>
      <c r="M363" s="46" t="s">
        <v>11724</v>
      </c>
      <c r="N363" s="29" t="s">
        <v>11725</v>
      </c>
      <c r="O363" s="30">
        <v>11991</v>
      </c>
      <c r="P363" s="26" t="s">
        <v>11720</v>
      </c>
      <c r="Q363" s="37">
        <v>13.4</v>
      </c>
      <c r="R363" s="42" t="s">
        <v>11276</v>
      </c>
      <c r="S363" s="26" t="s">
        <v>8247</v>
      </c>
      <c r="T363" s="63" t="s">
        <v>8244</v>
      </c>
      <c r="U363" s="26"/>
    </row>
    <row r="364" s="21" customFormat="1" spans="1:21">
      <c r="A364" s="28" t="s">
        <v>4952</v>
      </c>
      <c r="B364" s="26" t="str">
        <f>VLOOKUP(C364,[1]干线管道!B:C,2,FALSE)</f>
        <v>一级</v>
      </c>
      <c r="C364" s="26" t="str">
        <f>VLOOKUP(E364,[1]站场阀室!A:D,3,FALSE)</f>
        <v>中贵线</v>
      </c>
      <c r="D364" s="26" t="str">
        <f>VLOOKUP(E364,[1]站场阀室!A:D,4,FALSE)</f>
        <v>中贵线干线</v>
      </c>
      <c r="E364" s="26" t="s">
        <v>5932</v>
      </c>
      <c r="F364" s="30" t="s">
        <v>11267</v>
      </c>
      <c r="G364" s="30" t="s">
        <v>11176</v>
      </c>
      <c r="H364" s="39" t="s">
        <v>11726</v>
      </c>
      <c r="I364" s="26" t="s">
        <v>11287</v>
      </c>
      <c r="J364" s="26" t="s">
        <v>11270</v>
      </c>
      <c r="K364" s="32" t="s">
        <v>11277</v>
      </c>
      <c r="L364" s="32" t="s">
        <v>11707</v>
      </c>
      <c r="M364" s="46" t="s">
        <v>11724</v>
      </c>
      <c r="N364" s="29" t="s">
        <v>11725</v>
      </c>
      <c r="O364" s="30">
        <v>11991</v>
      </c>
      <c r="P364" s="26" t="s">
        <v>11720</v>
      </c>
      <c r="Q364" s="37">
        <v>13.4</v>
      </c>
      <c r="R364" s="42" t="s">
        <v>11276</v>
      </c>
      <c r="S364" s="26"/>
      <c r="T364" s="63" t="s">
        <v>8244</v>
      </c>
      <c r="U364" s="26"/>
    </row>
    <row r="365" s="21" customFormat="1" spans="1:21">
      <c r="A365" s="28" t="s">
        <v>4952</v>
      </c>
      <c r="B365" s="26" t="str">
        <f>VLOOKUP(C365,[1]干线管道!B:C,2,FALSE)</f>
        <v>一级</v>
      </c>
      <c r="C365" s="26" t="str">
        <f>VLOOKUP(E365,[1]站场阀室!A:D,3,FALSE)</f>
        <v>中贵线</v>
      </c>
      <c r="D365" s="26" t="str">
        <f>VLOOKUP(E365,[1]站场阀室!A:D,4,FALSE)</f>
        <v>中贵线干线</v>
      </c>
      <c r="E365" s="26" t="s">
        <v>5932</v>
      </c>
      <c r="F365" s="30" t="s">
        <v>11267</v>
      </c>
      <c r="G365" s="30" t="s">
        <v>9245</v>
      </c>
      <c r="H365" s="39" t="s">
        <v>11727</v>
      </c>
      <c r="I365" s="26" t="s">
        <v>11287</v>
      </c>
      <c r="J365" s="26" t="s">
        <v>11270</v>
      </c>
      <c r="K365" s="32" t="s">
        <v>11277</v>
      </c>
      <c r="L365" s="32" t="s">
        <v>11707</v>
      </c>
      <c r="M365" s="46" t="s">
        <v>11724</v>
      </c>
      <c r="N365" s="29" t="s">
        <v>11725</v>
      </c>
      <c r="O365" s="30">
        <v>11991</v>
      </c>
      <c r="P365" s="26" t="s">
        <v>11720</v>
      </c>
      <c r="Q365" s="37">
        <v>13.4</v>
      </c>
      <c r="R365" s="42" t="s">
        <v>11276</v>
      </c>
      <c r="S365" s="26"/>
      <c r="T365" s="63" t="s">
        <v>8244</v>
      </c>
      <c r="U365" s="26"/>
    </row>
    <row r="366" s="21" customFormat="1" spans="1:21">
      <c r="A366" s="28" t="s">
        <v>4952</v>
      </c>
      <c r="B366" s="26" t="str">
        <f>VLOOKUP(C366,[1]干线管道!B:C,2,FALSE)</f>
        <v>一级</v>
      </c>
      <c r="C366" s="26" t="str">
        <f>VLOOKUP(E366,[1]站场阀室!A:D,3,FALSE)</f>
        <v>中贵线</v>
      </c>
      <c r="D366" s="26" t="str">
        <f>VLOOKUP(E366,[1]站场阀室!A:D,4,FALSE)</f>
        <v>中贵线干线</v>
      </c>
      <c r="E366" s="26" t="s">
        <v>618</v>
      </c>
      <c r="F366" s="30" t="s">
        <v>11267</v>
      </c>
      <c r="G366" s="30" t="s">
        <v>11268</v>
      </c>
      <c r="H366" s="29" t="s">
        <v>11728</v>
      </c>
      <c r="I366" s="26" t="s">
        <v>11287</v>
      </c>
      <c r="J366" s="26" t="s">
        <v>11296</v>
      </c>
      <c r="K366" s="32" t="s">
        <v>11339</v>
      </c>
      <c r="L366" s="32" t="s">
        <v>11278</v>
      </c>
      <c r="M366" s="46" t="s">
        <v>11708</v>
      </c>
      <c r="N366" s="29" t="s">
        <v>11729</v>
      </c>
      <c r="O366" s="26">
        <v>4750</v>
      </c>
      <c r="P366" s="26" t="s">
        <v>11720</v>
      </c>
      <c r="Q366" s="37">
        <v>14</v>
      </c>
      <c r="R366" s="42" t="s">
        <v>11276</v>
      </c>
      <c r="S366" s="26" t="s">
        <v>8247</v>
      </c>
      <c r="T366" s="63" t="s">
        <v>8244</v>
      </c>
      <c r="U366" s="26"/>
    </row>
    <row r="367" spans="1:22">
      <c r="A367" s="28" t="s">
        <v>4952</v>
      </c>
      <c r="B367" s="26" t="str">
        <f>VLOOKUP(C367,[1]干线管道!B:C,2,FALSE)</f>
        <v>一级</v>
      </c>
      <c r="C367" s="26" t="str">
        <f>VLOOKUP(E367,[1]站场阀室!A:D,3,FALSE)</f>
        <v>中贵线</v>
      </c>
      <c r="D367" s="26" t="str">
        <f>VLOOKUP(E367,[1]站场阀室!A:D,4,FALSE)</f>
        <v>中贵线干线</v>
      </c>
      <c r="E367" s="26" t="s">
        <v>618</v>
      </c>
      <c r="F367" s="30" t="s">
        <v>11267</v>
      </c>
      <c r="G367" s="30" t="s">
        <v>11176</v>
      </c>
      <c r="H367" s="29" t="s">
        <v>11730</v>
      </c>
      <c r="I367" s="26" t="s">
        <v>11287</v>
      </c>
      <c r="J367" s="26" t="s">
        <v>11296</v>
      </c>
      <c r="K367" s="32" t="s">
        <v>11339</v>
      </c>
      <c r="L367" s="32" t="s">
        <v>11278</v>
      </c>
      <c r="M367" s="46" t="s">
        <v>11708</v>
      </c>
      <c r="N367" s="29" t="s">
        <v>11729</v>
      </c>
      <c r="O367" s="26">
        <v>4750</v>
      </c>
      <c r="P367" s="26" t="s">
        <v>11720</v>
      </c>
      <c r="Q367" s="37">
        <v>14</v>
      </c>
      <c r="R367" s="42" t="s">
        <v>11276</v>
      </c>
      <c r="S367" s="26"/>
      <c r="T367" s="63" t="s">
        <v>8244</v>
      </c>
      <c r="U367" s="26"/>
      <c r="V367" s="21"/>
    </row>
    <row r="368" spans="1:22">
      <c r="A368" s="28" t="s">
        <v>4952</v>
      </c>
      <c r="B368" s="26" t="str">
        <f>VLOOKUP(C368,[1]干线管道!B:C,2,FALSE)</f>
        <v>一级</v>
      </c>
      <c r="C368" s="26" t="str">
        <f>VLOOKUP(E368,[1]站场阀室!A:D,3,FALSE)</f>
        <v>中贵线</v>
      </c>
      <c r="D368" s="26" t="str">
        <f>VLOOKUP(E368,[1]站场阀室!A:D,4,FALSE)</f>
        <v>中贵线干线</v>
      </c>
      <c r="E368" s="26" t="s">
        <v>618</v>
      </c>
      <c r="F368" s="30" t="s">
        <v>11267</v>
      </c>
      <c r="G368" s="30" t="s">
        <v>9245</v>
      </c>
      <c r="H368" s="39" t="s">
        <v>11731</v>
      </c>
      <c r="I368" s="26" t="s">
        <v>11287</v>
      </c>
      <c r="J368" s="26" t="s">
        <v>11296</v>
      </c>
      <c r="K368" s="32" t="s">
        <v>11339</v>
      </c>
      <c r="L368" s="32" t="s">
        <v>11278</v>
      </c>
      <c r="M368" s="46" t="s">
        <v>11708</v>
      </c>
      <c r="N368" s="29" t="s">
        <v>11729</v>
      </c>
      <c r="O368" s="26">
        <v>4750</v>
      </c>
      <c r="P368" s="26" t="s">
        <v>11720</v>
      </c>
      <c r="Q368" s="37">
        <v>14</v>
      </c>
      <c r="R368" s="42" t="s">
        <v>11276</v>
      </c>
      <c r="S368" s="26"/>
      <c r="T368" s="63" t="s">
        <v>8244</v>
      </c>
      <c r="U368" s="26"/>
      <c r="V368" s="21"/>
    </row>
    <row r="369" spans="1:22">
      <c r="A369" s="28" t="s">
        <v>4952</v>
      </c>
      <c r="B369" s="26" t="str">
        <f>VLOOKUP(C369,[1]干线管道!B:C,2,FALSE)</f>
        <v>一级</v>
      </c>
      <c r="C369" s="26" t="str">
        <f>VLOOKUP(E369,[1]站场阀室!A:D,3,FALSE)</f>
        <v>中贵线</v>
      </c>
      <c r="D369" s="26" t="str">
        <f>VLOOKUP(E369,[1]站场阀室!A:D,4,FALSE)</f>
        <v>中贵线干线</v>
      </c>
      <c r="E369" s="26" t="s">
        <v>1244</v>
      </c>
      <c r="F369" s="30" t="s">
        <v>11317</v>
      </c>
      <c r="G369" s="30" t="s">
        <v>11268</v>
      </c>
      <c r="H369" s="39" t="s">
        <v>11455</v>
      </c>
      <c r="I369" s="26" t="s">
        <v>11287</v>
      </c>
      <c r="J369" s="26" t="s">
        <v>11270</v>
      </c>
      <c r="K369" s="26" t="s">
        <v>11277</v>
      </c>
      <c r="L369" s="26" t="s">
        <v>11707</v>
      </c>
      <c r="M369" s="30" t="s">
        <v>11713</v>
      </c>
      <c r="N369" s="30" t="s">
        <v>11714</v>
      </c>
      <c r="O369" s="26">
        <v>11991</v>
      </c>
      <c r="P369" s="26" t="s">
        <v>11720</v>
      </c>
      <c r="Q369" s="37">
        <v>18</v>
      </c>
      <c r="R369" s="42" t="s">
        <v>11276</v>
      </c>
      <c r="S369" s="26" t="s">
        <v>8247</v>
      </c>
      <c r="T369" s="63" t="s">
        <v>8244</v>
      </c>
      <c r="U369" s="26"/>
      <c r="V369" s="21"/>
    </row>
    <row r="370" s="23" customFormat="1" spans="1:28">
      <c r="A370" s="28" t="s">
        <v>4952</v>
      </c>
      <c r="B370" s="26" t="str">
        <f>VLOOKUP(C370,[1]干线管道!B:C,2,FALSE)</f>
        <v>一级</v>
      </c>
      <c r="C370" s="26" t="str">
        <f>VLOOKUP(E370,[1]站场阀室!A:D,3,FALSE)</f>
        <v>中贵线</v>
      </c>
      <c r="D370" s="26" t="str">
        <f>VLOOKUP(E370,[1]站场阀室!A:D,4,FALSE)</f>
        <v>中贵线干线</v>
      </c>
      <c r="E370" s="26" t="s">
        <v>1244</v>
      </c>
      <c r="F370" s="30" t="s">
        <v>11317</v>
      </c>
      <c r="G370" s="30" t="s">
        <v>11176</v>
      </c>
      <c r="H370" s="39" t="s">
        <v>11732</v>
      </c>
      <c r="I370" s="26" t="s">
        <v>11287</v>
      </c>
      <c r="J370" s="26" t="s">
        <v>11270</v>
      </c>
      <c r="K370" s="26" t="s">
        <v>11277</v>
      </c>
      <c r="L370" s="26" t="s">
        <v>11707</v>
      </c>
      <c r="M370" s="30" t="s">
        <v>11713</v>
      </c>
      <c r="N370" s="30" t="s">
        <v>11714</v>
      </c>
      <c r="O370" s="26">
        <v>11991</v>
      </c>
      <c r="P370" s="26" t="s">
        <v>11720</v>
      </c>
      <c r="Q370" s="37">
        <v>18</v>
      </c>
      <c r="R370" s="42" t="s">
        <v>11276</v>
      </c>
      <c r="S370" s="26"/>
      <c r="T370" s="63" t="s">
        <v>8244</v>
      </c>
      <c r="U370" s="26"/>
      <c r="W370" s="21"/>
      <c r="X370" s="21"/>
      <c r="Y370" s="21"/>
      <c r="Z370" s="21"/>
      <c r="AA370" s="21"/>
      <c r="AB370" s="21"/>
    </row>
    <row r="371" spans="1:22">
      <c r="A371" s="28" t="s">
        <v>4952</v>
      </c>
      <c r="B371" s="26" t="str">
        <f>VLOOKUP(C371,[1]干线管道!B:C,2,FALSE)</f>
        <v>一级</v>
      </c>
      <c r="C371" s="26" t="str">
        <f>VLOOKUP(E371,[1]站场阀室!A:D,3,FALSE)</f>
        <v>中缅线（国内段）</v>
      </c>
      <c r="D371" s="26" t="str">
        <f>VLOOKUP(E371,[1]站场阀室!A:D,4,FALSE)</f>
        <v>中缅线（国内段）</v>
      </c>
      <c r="E371" s="26" t="s">
        <v>607</v>
      </c>
      <c r="F371" s="30" t="s">
        <v>11267</v>
      </c>
      <c r="G371" s="30" t="s">
        <v>11268</v>
      </c>
      <c r="H371" s="39" t="s">
        <v>11733</v>
      </c>
      <c r="I371" s="26" t="s">
        <v>11287</v>
      </c>
      <c r="J371" s="26" t="s">
        <v>11270</v>
      </c>
      <c r="K371" s="26" t="s">
        <v>11312</v>
      </c>
      <c r="L371" s="68" t="s">
        <v>11734</v>
      </c>
      <c r="M371" s="30" t="s">
        <v>11713</v>
      </c>
      <c r="N371" s="29" t="s">
        <v>11703</v>
      </c>
      <c r="O371" s="26">
        <v>5460</v>
      </c>
      <c r="P371" s="26" t="s">
        <v>11350</v>
      </c>
      <c r="Q371" s="33">
        <v>11</v>
      </c>
      <c r="R371" s="48" t="s">
        <v>11276</v>
      </c>
      <c r="S371" s="26" t="s">
        <v>8247</v>
      </c>
      <c r="T371" s="63" t="s">
        <v>8244</v>
      </c>
      <c r="U371" s="26"/>
      <c r="V371" s="21"/>
    </row>
    <row r="372" spans="1:22">
      <c r="A372" s="28" t="s">
        <v>4952</v>
      </c>
      <c r="B372" s="26" t="str">
        <f>VLOOKUP(C372,[1]干线管道!B:C,2,FALSE)</f>
        <v>一级</v>
      </c>
      <c r="C372" s="26" t="str">
        <f>VLOOKUP(E372,[1]站场阀室!A:D,3,FALSE)</f>
        <v>中缅线（国内段）</v>
      </c>
      <c r="D372" s="26" t="str">
        <f>VLOOKUP(E372,[1]站场阀室!A:D,4,FALSE)</f>
        <v>中缅线（国内段）</v>
      </c>
      <c r="E372" s="26" t="s">
        <v>607</v>
      </c>
      <c r="F372" s="30" t="s">
        <v>11267</v>
      </c>
      <c r="G372" s="30" t="s">
        <v>11176</v>
      </c>
      <c r="H372" s="39" t="s">
        <v>11733</v>
      </c>
      <c r="I372" s="26" t="s">
        <v>11287</v>
      </c>
      <c r="J372" s="26" t="s">
        <v>11270</v>
      </c>
      <c r="K372" s="26" t="s">
        <v>11312</v>
      </c>
      <c r="L372" s="68" t="s">
        <v>11734</v>
      </c>
      <c r="M372" s="30" t="s">
        <v>11713</v>
      </c>
      <c r="N372" s="29" t="s">
        <v>11703</v>
      </c>
      <c r="O372" s="26">
        <v>5460</v>
      </c>
      <c r="P372" s="26" t="s">
        <v>11350</v>
      </c>
      <c r="Q372" s="33">
        <v>11</v>
      </c>
      <c r="R372" s="48" t="s">
        <v>11276</v>
      </c>
      <c r="S372" s="26"/>
      <c r="T372" s="63" t="s">
        <v>8244</v>
      </c>
      <c r="U372" s="26"/>
      <c r="V372" s="21"/>
    </row>
    <row r="373" s="23" customFormat="1" spans="1:28">
      <c r="A373" s="28" t="s">
        <v>4952</v>
      </c>
      <c r="B373" s="26" t="str">
        <f>VLOOKUP(C373,[1]干线管道!B:C,2,FALSE)</f>
        <v>一级</v>
      </c>
      <c r="C373" s="26" t="str">
        <f>VLOOKUP(E373,[1]站场阀室!A:D,3,FALSE)</f>
        <v>中缅线（国内段）</v>
      </c>
      <c r="D373" s="26" t="str">
        <f>VLOOKUP(E373,[1]站场阀室!A:D,4,FALSE)</f>
        <v>中缅线（国内段）</v>
      </c>
      <c r="E373" s="26" t="s">
        <v>607</v>
      </c>
      <c r="F373" s="30" t="s">
        <v>11267</v>
      </c>
      <c r="G373" s="30" t="s">
        <v>9245</v>
      </c>
      <c r="H373" s="39" t="s">
        <v>11735</v>
      </c>
      <c r="I373" s="26" t="s">
        <v>11287</v>
      </c>
      <c r="J373" s="26" t="s">
        <v>11270</v>
      </c>
      <c r="K373" s="26" t="s">
        <v>11312</v>
      </c>
      <c r="L373" s="68" t="s">
        <v>11734</v>
      </c>
      <c r="M373" s="30" t="s">
        <v>11713</v>
      </c>
      <c r="N373" s="29" t="s">
        <v>11703</v>
      </c>
      <c r="O373" s="26">
        <v>5460</v>
      </c>
      <c r="P373" s="26" t="s">
        <v>11350</v>
      </c>
      <c r="Q373" s="33">
        <v>11</v>
      </c>
      <c r="R373" s="48" t="s">
        <v>11276</v>
      </c>
      <c r="S373" s="26"/>
      <c r="T373" s="63" t="s">
        <v>8244</v>
      </c>
      <c r="U373" s="26"/>
      <c r="W373" s="21"/>
      <c r="X373" s="21"/>
      <c r="Y373" s="21"/>
      <c r="Z373" s="21"/>
      <c r="AA373" s="21"/>
      <c r="AB373" s="21"/>
    </row>
    <row r="374" ht="30" spans="1:22">
      <c r="A374" s="28" t="s">
        <v>4952</v>
      </c>
      <c r="B374" s="26" t="s">
        <v>29</v>
      </c>
      <c r="C374" s="26" t="str">
        <f>VLOOKUP(E374,[1]站场阀室!A:D,3,FALSE)</f>
        <v>川气东送管道</v>
      </c>
      <c r="D374" s="26" t="str">
        <f>VLOOKUP(E374,[1]站场阀室!A:D,4,FALSE)</f>
        <v>川气东送管道干线</v>
      </c>
      <c r="E374" s="64" t="s">
        <v>689</v>
      </c>
      <c r="F374" s="65" t="s">
        <v>11267</v>
      </c>
      <c r="G374" s="64" t="s">
        <v>11543</v>
      </c>
      <c r="H374" s="64" t="s">
        <v>11736</v>
      </c>
      <c r="I374" s="64" t="s">
        <v>11287</v>
      </c>
      <c r="J374" s="68" t="s">
        <v>11270</v>
      </c>
      <c r="K374" s="26" t="s">
        <v>11277</v>
      </c>
      <c r="L374" s="68" t="s">
        <v>11669</v>
      </c>
      <c r="M374" s="68" t="s">
        <v>11737</v>
      </c>
      <c r="N374" s="69" t="s">
        <v>11738</v>
      </c>
      <c r="O374" s="70">
        <v>7127</v>
      </c>
      <c r="P374" s="71" t="s">
        <v>11429</v>
      </c>
      <c r="Q374" s="73">
        <v>7.2</v>
      </c>
      <c r="R374" s="74" t="s">
        <v>11276</v>
      </c>
      <c r="S374" s="34"/>
      <c r="T374" s="31" t="s">
        <v>8218</v>
      </c>
      <c r="U374" s="26"/>
      <c r="V374" s="21"/>
    </row>
    <row r="375" ht="30" spans="1:22">
      <c r="A375" s="28" t="s">
        <v>4952</v>
      </c>
      <c r="B375" s="26" t="s">
        <v>29</v>
      </c>
      <c r="C375" s="26" t="str">
        <f>VLOOKUP(E375,[1]站场阀室!A:D,3,FALSE)</f>
        <v>川气东送管道</v>
      </c>
      <c r="D375" s="26" t="str">
        <f>VLOOKUP(E375,[1]站场阀室!A:D,4,FALSE)</f>
        <v>川气东送管道干线</v>
      </c>
      <c r="E375" s="64" t="s">
        <v>689</v>
      </c>
      <c r="F375" s="66"/>
      <c r="G375" s="64" t="s">
        <v>11554</v>
      </c>
      <c r="H375" s="64" t="s">
        <v>11739</v>
      </c>
      <c r="I375" s="64" t="s">
        <v>11287</v>
      </c>
      <c r="J375" s="68" t="s">
        <v>11270</v>
      </c>
      <c r="K375" s="26" t="s">
        <v>11277</v>
      </c>
      <c r="L375" s="68" t="s">
        <v>11669</v>
      </c>
      <c r="M375" s="68" t="s">
        <v>11737</v>
      </c>
      <c r="N375" s="69" t="s">
        <v>11738</v>
      </c>
      <c r="O375" s="70">
        <v>7127</v>
      </c>
      <c r="P375" s="71" t="s">
        <v>11429</v>
      </c>
      <c r="Q375" s="73">
        <v>7.2</v>
      </c>
      <c r="R375" s="74" t="s">
        <v>11276</v>
      </c>
      <c r="S375" s="34"/>
      <c r="T375" s="31" t="s">
        <v>8218</v>
      </c>
      <c r="U375" s="26"/>
      <c r="V375" s="21"/>
    </row>
    <row r="376" ht="30" spans="1:22">
      <c r="A376" s="28" t="s">
        <v>4952</v>
      </c>
      <c r="B376" s="26" t="s">
        <v>29</v>
      </c>
      <c r="C376" s="26" t="str">
        <f>VLOOKUP(E376,[1]站场阀室!A:D,3,FALSE)</f>
        <v>川气东送管道</v>
      </c>
      <c r="D376" s="26" t="str">
        <f>VLOOKUP(E376,[1]站场阀室!A:D,4,FALSE)</f>
        <v>川气东送管道干线</v>
      </c>
      <c r="E376" s="64" t="s">
        <v>689</v>
      </c>
      <c r="F376" s="67"/>
      <c r="G376" s="64" t="s">
        <v>11555</v>
      </c>
      <c r="H376" s="64" t="s">
        <v>11740</v>
      </c>
      <c r="I376" s="64" t="s">
        <v>11287</v>
      </c>
      <c r="J376" s="68" t="s">
        <v>11270</v>
      </c>
      <c r="K376" s="26" t="s">
        <v>11277</v>
      </c>
      <c r="L376" s="68" t="s">
        <v>11669</v>
      </c>
      <c r="M376" s="68" t="s">
        <v>11737</v>
      </c>
      <c r="N376" s="69" t="s">
        <v>11738</v>
      </c>
      <c r="O376" s="70">
        <v>7127</v>
      </c>
      <c r="P376" s="71" t="s">
        <v>11429</v>
      </c>
      <c r="Q376" s="73">
        <v>7.2</v>
      </c>
      <c r="R376" s="74" t="s">
        <v>11276</v>
      </c>
      <c r="S376" s="34"/>
      <c r="T376" s="31" t="s">
        <v>8218</v>
      </c>
      <c r="U376" s="26"/>
      <c r="V376" s="21"/>
    </row>
    <row r="377" ht="29" spans="1:22">
      <c r="A377" s="28" t="s">
        <v>4952</v>
      </c>
      <c r="B377" s="26" t="s">
        <v>29</v>
      </c>
      <c r="C377" s="26" t="str">
        <f>VLOOKUP(E377,[1]站场阀室!A:D,3,FALSE)</f>
        <v>川气东送管道</v>
      </c>
      <c r="D377" s="26" t="str">
        <f>VLOOKUP(E377,[1]站场阀室!A:D,4,FALSE)</f>
        <v>川气东送管道干线</v>
      </c>
      <c r="E377" s="64" t="s">
        <v>6447</v>
      </c>
      <c r="F377" s="65" t="s">
        <v>11267</v>
      </c>
      <c r="G377" s="64" t="s">
        <v>11543</v>
      </c>
      <c r="H377" s="64" t="s">
        <v>11741</v>
      </c>
      <c r="I377" s="64" t="s">
        <v>11287</v>
      </c>
      <c r="J377" s="68" t="s">
        <v>11296</v>
      </c>
      <c r="K377" s="68" t="s">
        <v>11339</v>
      </c>
      <c r="L377" s="68" t="s">
        <v>11742</v>
      </c>
      <c r="M377" s="68" t="s">
        <v>11743</v>
      </c>
      <c r="N377" s="69" t="s">
        <v>11744</v>
      </c>
      <c r="O377" s="71">
        <v>9961</v>
      </c>
      <c r="P377" s="71" t="s">
        <v>11429</v>
      </c>
      <c r="Q377" s="73">
        <v>7.2</v>
      </c>
      <c r="R377" s="74" t="s">
        <v>11276</v>
      </c>
      <c r="S377" s="34"/>
      <c r="T377" s="31" t="s">
        <v>8218</v>
      </c>
      <c r="U377" s="26"/>
      <c r="V377" s="21"/>
    </row>
    <row r="378" ht="29" spans="1:22">
      <c r="A378" s="28" t="s">
        <v>4952</v>
      </c>
      <c r="B378" s="26" t="s">
        <v>29</v>
      </c>
      <c r="C378" s="26" t="str">
        <f>VLOOKUP(E378,[1]站场阀室!A:D,3,FALSE)</f>
        <v>川气东送管道</v>
      </c>
      <c r="D378" s="26" t="str">
        <f>VLOOKUP(E378,[1]站场阀室!A:D,4,FALSE)</f>
        <v>川气东送管道干线</v>
      </c>
      <c r="E378" s="64" t="s">
        <v>6447</v>
      </c>
      <c r="F378" s="66"/>
      <c r="G378" s="64" t="s">
        <v>11554</v>
      </c>
      <c r="H378" s="64" t="s">
        <v>11741</v>
      </c>
      <c r="I378" s="64" t="s">
        <v>11287</v>
      </c>
      <c r="J378" s="68" t="s">
        <v>11296</v>
      </c>
      <c r="K378" s="68" t="s">
        <v>11339</v>
      </c>
      <c r="L378" s="68" t="s">
        <v>11742</v>
      </c>
      <c r="M378" s="68" t="s">
        <v>11743</v>
      </c>
      <c r="N378" s="69" t="s">
        <v>11744</v>
      </c>
      <c r="O378" s="71">
        <v>9961</v>
      </c>
      <c r="P378" s="71" t="s">
        <v>11429</v>
      </c>
      <c r="Q378" s="73">
        <v>7.2</v>
      </c>
      <c r="R378" s="74" t="s">
        <v>11276</v>
      </c>
      <c r="S378" s="34"/>
      <c r="T378" s="31" t="s">
        <v>8218</v>
      </c>
      <c r="U378" s="26"/>
      <c r="V378" s="21"/>
    </row>
    <row r="379" ht="29" spans="1:22">
      <c r="A379" s="28" t="s">
        <v>4952</v>
      </c>
      <c r="B379" s="26" t="s">
        <v>29</v>
      </c>
      <c r="C379" s="26" t="str">
        <f>VLOOKUP(E379,[1]站场阀室!A:D,3,FALSE)</f>
        <v>川气东送管道</v>
      </c>
      <c r="D379" s="26" t="str">
        <f>VLOOKUP(E379,[1]站场阀室!A:D,4,FALSE)</f>
        <v>川气东送管道干线</v>
      </c>
      <c r="E379" s="64" t="s">
        <v>6447</v>
      </c>
      <c r="F379" s="67"/>
      <c r="G379" s="64" t="s">
        <v>11555</v>
      </c>
      <c r="H379" s="64" t="s">
        <v>11741</v>
      </c>
      <c r="I379" s="64" t="s">
        <v>11287</v>
      </c>
      <c r="J379" s="68" t="s">
        <v>11296</v>
      </c>
      <c r="K379" s="68" t="s">
        <v>11339</v>
      </c>
      <c r="L379" s="68" t="s">
        <v>11742</v>
      </c>
      <c r="M379" s="68" t="s">
        <v>11743</v>
      </c>
      <c r="N379" s="69" t="s">
        <v>11744</v>
      </c>
      <c r="O379" s="71">
        <v>9961</v>
      </c>
      <c r="P379" s="71" t="s">
        <v>11429</v>
      </c>
      <c r="Q379" s="73">
        <v>7.2</v>
      </c>
      <c r="R379" s="74" t="s">
        <v>11276</v>
      </c>
      <c r="S379" s="34"/>
      <c r="T379" s="31" t="s">
        <v>8218</v>
      </c>
      <c r="U379" s="26"/>
      <c r="V379" s="21"/>
    </row>
    <row r="380" ht="30" spans="1:22">
      <c r="A380" s="28" t="s">
        <v>2204</v>
      </c>
      <c r="B380" s="26" t="s">
        <v>29</v>
      </c>
      <c r="C380" s="26" t="str">
        <f>VLOOKUP(E380,[1]站场阀室!A:D,3,FALSE)</f>
        <v>川气东送管道</v>
      </c>
      <c r="D380" s="26" t="str">
        <f>VLOOKUP(E380,[1]站场阀室!A:D,4,FALSE)</f>
        <v>川气东送管道干线</v>
      </c>
      <c r="E380" s="64" t="s">
        <v>6461</v>
      </c>
      <c r="F380" s="65" t="s">
        <v>11745</v>
      </c>
      <c r="G380" s="64" t="s">
        <v>11543</v>
      </c>
      <c r="H380" s="64" t="s">
        <v>11746</v>
      </c>
      <c r="I380" s="64" t="s">
        <v>11287</v>
      </c>
      <c r="J380" s="68" t="s">
        <v>11270</v>
      </c>
      <c r="K380" s="26" t="s">
        <v>11277</v>
      </c>
      <c r="L380" s="68" t="s">
        <v>11669</v>
      </c>
      <c r="M380" s="68" t="s">
        <v>11737</v>
      </c>
      <c r="N380" s="69" t="s">
        <v>11738</v>
      </c>
      <c r="O380" s="71">
        <v>7127</v>
      </c>
      <c r="P380" s="71" t="s">
        <v>11747</v>
      </c>
      <c r="Q380" s="73">
        <v>7.2</v>
      </c>
      <c r="R380" s="74" t="s">
        <v>11276</v>
      </c>
      <c r="S380" s="34"/>
      <c r="T380" s="31" t="s">
        <v>8218</v>
      </c>
      <c r="U380" s="26"/>
      <c r="V380" s="21"/>
    </row>
    <row r="381" ht="30" spans="1:22">
      <c r="A381" s="28" t="s">
        <v>2204</v>
      </c>
      <c r="B381" s="26" t="s">
        <v>29</v>
      </c>
      <c r="C381" s="26" t="str">
        <f>VLOOKUP(E381,[1]站场阀室!A:D,3,FALSE)</f>
        <v>川气东送管道</v>
      </c>
      <c r="D381" s="26" t="str">
        <f>VLOOKUP(E381,[1]站场阀室!A:D,4,FALSE)</f>
        <v>川气东送管道干线</v>
      </c>
      <c r="E381" s="64" t="s">
        <v>6461</v>
      </c>
      <c r="F381" s="66"/>
      <c r="G381" s="64" t="s">
        <v>11554</v>
      </c>
      <c r="H381" s="64" t="s">
        <v>11748</v>
      </c>
      <c r="I381" s="64" t="s">
        <v>11287</v>
      </c>
      <c r="J381" s="68" t="s">
        <v>11270</v>
      </c>
      <c r="K381" s="26" t="s">
        <v>11277</v>
      </c>
      <c r="L381" s="68" t="s">
        <v>11669</v>
      </c>
      <c r="M381" s="68" t="s">
        <v>11737</v>
      </c>
      <c r="N381" s="69" t="s">
        <v>11738</v>
      </c>
      <c r="O381" s="71">
        <v>7127</v>
      </c>
      <c r="P381" s="71" t="s">
        <v>11747</v>
      </c>
      <c r="Q381" s="73">
        <v>7.2</v>
      </c>
      <c r="R381" s="74" t="s">
        <v>11276</v>
      </c>
      <c r="S381" s="34"/>
      <c r="T381" s="31" t="s">
        <v>8218</v>
      </c>
      <c r="U381" s="26"/>
      <c r="V381" s="21"/>
    </row>
    <row r="382" ht="30" spans="1:22">
      <c r="A382" s="28" t="s">
        <v>2204</v>
      </c>
      <c r="B382" s="26" t="s">
        <v>29</v>
      </c>
      <c r="C382" s="26" t="str">
        <f>VLOOKUP(E382,[1]站场阀室!A:D,3,FALSE)</f>
        <v>川气东送管道</v>
      </c>
      <c r="D382" s="26" t="str">
        <f>VLOOKUP(E382,[1]站场阀室!A:D,4,FALSE)</f>
        <v>川气东送管道干线</v>
      </c>
      <c r="E382" s="64" t="s">
        <v>6461</v>
      </c>
      <c r="F382" s="66"/>
      <c r="G382" s="64" t="s">
        <v>11555</v>
      </c>
      <c r="H382" s="64" t="s">
        <v>11749</v>
      </c>
      <c r="I382" s="64" t="s">
        <v>11287</v>
      </c>
      <c r="J382" s="68" t="s">
        <v>11270</v>
      </c>
      <c r="K382" s="26" t="s">
        <v>11277</v>
      </c>
      <c r="L382" s="68" t="s">
        <v>11669</v>
      </c>
      <c r="M382" s="68" t="s">
        <v>11737</v>
      </c>
      <c r="N382" s="69" t="s">
        <v>11738</v>
      </c>
      <c r="O382" s="71">
        <v>7127</v>
      </c>
      <c r="P382" s="71" t="s">
        <v>11747</v>
      </c>
      <c r="Q382" s="73">
        <v>7.2</v>
      </c>
      <c r="R382" s="74" t="s">
        <v>11276</v>
      </c>
      <c r="S382" s="34"/>
      <c r="T382" s="31" t="s">
        <v>8218</v>
      </c>
      <c r="U382" s="26"/>
      <c r="V382" s="21"/>
    </row>
    <row r="383" s="21" customFormat="1" ht="29" spans="1:21">
      <c r="A383" s="28" t="s">
        <v>2204</v>
      </c>
      <c r="B383" s="26" t="s">
        <v>29</v>
      </c>
      <c r="C383" s="26" t="str">
        <f>VLOOKUP(E383,[1]站场阀室!A:D,3,FALSE)</f>
        <v>川气东送管道</v>
      </c>
      <c r="D383" s="26" t="str">
        <f>VLOOKUP(E383,[1]站场阀室!A:D,4,FALSE)</f>
        <v>川气东送管道干线</v>
      </c>
      <c r="E383" s="64" t="s">
        <v>6461</v>
      </c>
      <c r="F383" s="67"/>
      <c r="G383" s="64" t="s">
        <v>11556</v>
      </c>
      <c r="H383" s="64" t="s">
        <v>11750</v>
      </c>
      <c r="I383" s="64" t="s">
        <v>11287</v>
      </c>
      <c r="J383" s="68" t="s">
        <v>11270</v>
      </c>
      <c r="K383" s="26" t="s">
        <v>11277</v>
      </c>
      <c r="L383" s="68" t="s">
        <v>11751</v>
      </c>
      <c r="M383" s="68" t="s">
        <v>11752</v>
      </c>
      <c r="N383" s="69" t="s">
        <v>11738</v>
      </c>
      <c r="O383" s="71">
        <v>7127</v>
      </c>
      <c r="P383" s="71" t="s">
        <v>11747</v>
      </c>
      <c r="Q383" s="73">
        <v>7.2</v>
      </c>
      <c r="R383" s="74" t="s">
        <v>11276</v>
      </c>
      <c r="S383" s="34"/>
      <c r="T383" s="31" t="s">
        <v>8218</v>
      </c>
      <c r="U383" s="26"/>
    </row>
    <row r="384" s="21" customFormat="1" ht="60" spans="1:21">
      <c r="A384" s="28" t="s">
        <v>2204</v>
      </c>
      <c r="B384" s="26" t="s">
        <v>29</v>
      </c>
      <c r="C384" s="26" t="str">
        <f>VLOOKUP(E384,[1]站场阀室!A:D,3,FALSE)</f>
        <v>川气东送管道</v>
      </c>
      <c r="D384" s="26" t="str">
        <f>VLOOKUP(E384,[1]站场阀室!A:D,4,FALSE)</f>
        <v>川气东送管道干线</v>
      </c>
      <c r="E384" s="64" t="s">
        <v>6477</v>
      </c>
      <c r="F384" s="66" t="s">
        <v>11267</v>
      </c>
      <c r="G384" s="64" t="s">
        <v>11543</v>
      </c>
      <c r="H384" s="64" t="s">
        <v>11753</v>
      </c>
      <c r="I384" s="64" t="s">
        <v>11287</v>
      </c>
      <c r="J384" s="68" t="s">
        <v>11296</v>
      </c>
      <c r="K384" s="68" t="s">
        <v>11339</v>
      </c>
      <c r="L384" s="71" t="s">
        <v>11742</v>
      </c>
      <c r="M384" s="68" t="s">
        <v>11754</v>
      </c>
      <c r="N384" s="69" t="s">
        <v>11755</v>
      </c>
      <c r="O384" s="68">
        <v>9456</v>
      </c>
      <c r="P384" s="71" t="s">
        <v>11756</v>
      </c>
      <c r="Q384" s="73">
        <v>11</v>
      </c>
      <c r="R384" s="74" t="s">
        <v>11276</v>
      </c>
      <c r="S384" s="34"/>
      <c r="T384" s="31" t="s">
        <v>11459</v>
      </c>
      <c r="U384" s="26"/>
    </row>
    <row r="385" s="21" customFormat="1" ht="60" spans="1:21">
      <c r="A385" s="28" t="s">
        <v>2204</v>
      </c>
      <c r="B385" s="26" t="s">
        <v>29</v>
      </c>
      <c r="C385" s="26" t="str">
        <f>VLOOKUP(E385,[1]站场阀室!A:D,3,FALSE)</f>
        <v>川气东送管道</v>
      </c>
      <c r="D385" s="26" t="str">
        <f>VLOOKUP(E385,[1]站场阀室!A:D,4,FALSE)</f>
        <v>川气东送管道干线</v>
      </c>
      <c r="E385" s="64" t="s">
        <v>6477</v>
      </c>
      <c r="F385" s="66"/>
      <c r="G385" s="64" t="s">
        <v>11554</v>
      </c>
      <c r="H385" s="64" t="s">
        <v>11753</v>
      </c>
      <c r="I385" s="64" t="s">
        <v>11287</v>
      </c>
      <c r="J385" s="68" t="s">
        <v>11296</v>
      </c>
      <c r="K385" s="68" t="s">
        <v>11339</v>
      </c>
      <c r="L385" s="71" t="s">
        <v>11742</v>
      </c>
      <c r="M385" s="68" t="s">
        <v>11754</v>
      </c>
      <c r="N385" s="69" t="s">
        <v>11755</v>
      </c>
      <c r="O385" s="68">
        <v>9456</v>
      </c>
      <c r="P385" s="71" t="s">
        <v>11756</v>
      </c>
      <c r="Q385" s="73">
        <v>11</v>
      </c>
      <c r="R385" s="74" t="s">
        <v>11276</v>
      </c>
      <c r="S385" s="34"/>
      <c r="T385" s="31" t="s">
        <v>11459</v>
      </c>
      <c r="U385" s="26"/>
    </row>
    <row r="386" s="21" customFormat="1" ht="60" spans="1:21">
      <c r="A386" s="28" t="s">
        <v>2204</v>
      </c>
      <c r="B386" s="26" t="s">
        <v>29</v>
      </c>
      <c r="C386" s="26" t="str">
        <f>VLOOKUP(E386,[1]站场阀室!A:D,3,FALSE)</f>
        <v>川气东送管道</v>
      </c>
      <c r="D386" s="26" t="str">
        <f>VLOOKUP(E386,[1]站场阀室!A:D,4,FALSE)</f>
        <v>川气东送管道干线</v>
      </c>
      <c r="E386" s="64" t="s">
        <v>6477</v>
      </c>
      <c r="F386" s="66"/>
      <c r="G386" s="64" t="s">
        <v>11555</v>
      </c>
      <c r="H386" s="64" t="s">
        <v>11641</v>
      </c>
      <c r="I386" s="64" t="s">
        <v>11287</v>
      </c>
      <c r="J386" s="68" t="s">
        <v>11296</v>
      </c>
      <c r="K386" s="68" t="s">
        <v>11339</v>
      </c>
      <c r="L386" s="71" t="s">
        <v>11742</v>
      </c>
      <c r="M386" s="68" t="s">
        <v>11754</v>
      </c>
      <c r="N386" s="69" t="s">
        <v>11755</v>
      </c>
      <c r="O386" s="68">
        <v>9456</v>
      </c>
      <c r="P386" s="71" t="s">
        <v>11756</v>
      </c>
      <c r="Q386" s="73">
        <v>11</v>
      </c>
      <c r="R386" s="74" t="s">
        <v>11276</v>
      </c>
      <c r="S386" s="34"/>
      <c r="T386" s="31" t="s">
        <v>11459</v>
      </c>
      <c r="U386" s="26"/>
    </row>
    <row r="387" s="21" customFormat="1" ht="45" spans="1:21">
      <c r="A387" s="28" t="s">
        <v>2204</v>
      </c>
      <c r="B387" s="26" t="s">
        <v>29</v>
      </c>
      <c r="C387" s="26" t="str">
        <f>VLOOKUP(E387,[1]站场阀室!A:D,3,FALSE)</f>
        <v>川气东送管道</v>
      </c>
      <c r="D387" s="26" t="str">
        <f>VLOOKUP(E387,[1]站场阀室!A:D,4,FALSE)</f>
        <v>川气东送管道干线</v>
      </c>
      <c r="E387" s="64" t="s">
        <v>6490</v>
      </c>
      <c r="F387" s="65" t="s">
        <v>11267</v>
      </c>
      <c r="G387" s="64" t="s">
        <v>11543</v>
      </c>
      <c r="H387" s="75">
        <v>42986</v>
      </c>
      <c r="I387" s="64" t="s">
        <v>11287</v>
      </c>
      <c r="J387" s="68" t="s">
        <v>11296</v>
      </c>
      <c r="K387" s="68" t="s">
        <v>11339</v>
      </c>
      <c r="L387" s="68" t="s">
        <v>11742</v>
      </c>
      <c r="M387" s="68" t="s">
        <v>11757</v>
      </c>
      <c r="N387" s="69" t="s">
        <v>11758</v>
      </c>
      <c r="O387" s="71">
        <v>9098</v>
      </c>
      <c r="P387" s="71" t="s">
        <v>11759</v>
      </c>
      <c r="Q387" s="73">
        <v>11</v>
      </c>
      <c r="R387" s="74" t="s">
        <v>11276</v>
      </c>
      <c r="S387" s="34"/>
      <c r="T387" s="31" t="s">
        <v>8218</v>
      </c>
      <c r="U387" s="26"/>
    </row>
    <row r="388" s="21" customFormat="1" ht="45" spans="1:21">
      <c r="A388" s="28" t="s">
        <v>2204</v>
      </c>
      <c r="B388" s="26" t="s">
        <v>29</v>
      </c>
      <c r="C388" s="26" t="str">
        <f>VLOOKUP(E388,[1]站场阀室!A:D,3,FALSE)</f>
        <v>川气东送管道</v>
      </c>
      <c r="D388" s="26" t="str">
        <f>VLOOKUP(E388,[1]站场阀室!A:D,4,FALSE)</f>
        <v>川气东送管道干线</v>
      </c>
      <c r="E388" s="64" t="s">
        <v>6490</v>
      </c>
      <c r="F388" s="66"/>
      <c r="G388" s="64" t="s">
        <v>11554</v>
      </c>
      <c r="H388" s="75">
        <v>43063</v>
      </c>
      <c r="I388" s="64" t="s">
        <v>11287</v>
      </c>
      <c r="J388" s="68" t="s">
        <v>11296</v>
      </c>
      <c r="K388" s="68" t="s">
        <v>11339</v>
      </c>
      <c r="L388" s="68" t="s">
        <v>11742</v>
      </c>
      <c r="M388" s="68" t="s">
        <v>11757</v>
      </c>
      <c r="N388" s="69" t="s">
        <v>11758</v>
      </c>
      <c r="O388" s="71">
        <v>9098</v>
      </c>
      <c r="P388" s="71" t="s">
        <v>11759</v>
      </c>
      <c r="Q388" s="73">
        <v>11</v>
      </c>
      <c r="R388" s="74" t="s">
        <v>11276</v>
      </c>
      <c r="S388" s="34"/>
      <c r="T388" s="31" t="s">
        <v>8218</v>
      </c>
      <c r="U388" s="26"/>
    </row>
    <row r="389" s="21" customFormat="1" ht="45" spans="1:21">
      <c r="A389" s="28" t="s">
        <v>2204</v>
      </c>
      <c r="B389" s="26" t="s">
        <v>29</v>
      </c>
      <c r="C389" s="26" t="str">
        <f>VLOOKUP(E389,[1]站场阀室!A:D,3,FALSE)</f>
        <v>川气东送管道</v>
      </c>
      <c r="D389" s="26" t="str">
        <f>VLOOKUP(E389,[1]站场阀室!A:D,4,FALSE)</f>
        <v>川气东送管道干线</v>
      </c>
      <c r="E389" s="64" t="s">
        <v>6490</v>
      </c>
      <c r="F389" s="67"/>
      <c r="G389" s="64" t="s">
        <v>11555</v>
      </c>
      <c r="H389" s="75">
        <v>42983</v>
      </c>
      <c r="I389" s="64" t="s">
        <v>11287</v>
      </c>
      <c r="J389" s="68" t="s">
        <v>11296</v>
      </c>
      <c r="K389" s="68" t="s">
        <v>11339</v>
      </c>
      <c r="L389" s="68" t="s">
        <v>11742</v>
      </c>
      <c r="M389" s="68" t="s">
        <v>11757</v>
      </c>
      <c r="N389" s="69" t="s">
        <v>11758</v>
      </c>
      <c r="O389" s="71">
        <v>9098</v>
      </c>
      <c r="P389" s="71" t="s">
        <v>11759</v>
      </c>
      <c r="Q389" s="73">
        <v>11</v>
      </c>
      <c r="R389" s="74" t="s">
        <v>11276</v>
      </c>
      <c r="S389" s="34"/>
      <c r="T389" s="31" t="s">
        <v>8218</v>
      </c>
      <c r="U389" s="26"/>
    </row>
    <row r="390" s="21" customFormat="1" ht="30" spans="1:21">
      <c r="A390" s="28" t="s">
        <v>2204</v>
      </c>
      <c r="B390" s="26" t="s">
        <v>29</v>
      </c>
      <c r="C390" s="26" t="str">
        <f>VLOOKUP(E390,[1]站场阀室!A:D,3,FALSE)</f>
        <v>川气东送管道</v>
      </c>
      <c r="D390" s="26" t="str">
        <f>VLOOKUP(E390,[1]站场阀室!A:D,4,FALSE)</f>
        <v>川气东送管道干线</v>
      </c>
      <c r="E390" s="64" t="s">
        <v>720</v>
      </c>
      <c r="F390" s="65" t="s">
        <v>11745</v>
      </c>
      <c r="G390" s="64" t="s">
        <v>11543</v>
      </c>
      <c r="H390" s="75" t="s">
        <v>11760</v>
      </c>
      <c r="I390" s="64" t="s">
        <v>11287</v>
      </c>
      <c r="J390" s="68" t="s">
        <v>11270</v>
      </c>
      <c r="K390" s="26" t="s">
        <v>11277</v>
      </c>
      <c r="L390" s="68" t="s">
        <v>11669</v>
      </c>
      <c r="M390" s="68" t="s">
        <v>11761</v>
      </c>
      <c r="N390" s="69" t="s">
        <v>11738</v>
      </c>
      <c r="O390" s="71">
        <v>7127</v>
      </c>
      <c r="P390" s="71" t="s">
        <v>11762</v>
      </c>
      <c r="Q390" s="73">
        <v>7.2</v>
      </c>
      <c r="R390" s="74" t="s">
        <v>11276</v>
      </c>
      <c r="S390" s="34"/>
      <c r="T390" s="31" t="s">
        <v>8218</v>
      </c>
      <c r="U390" s="26"/>
    </row>
    <row r="391" s="21" customFormat="1" ht="30" spans="1:21">
      <c r="A391" s="28" t="s">
        <v>2204</v>
      </c>
      <c r="B391" s="26" t="s">
        <v>29</v>
      </c>
      <c r="C391" s="26" t="str">
        <f>VLOOKUP(E391,[1]站场阀室!A:D,3,FALSE)</f>
        <v>川气东送管道</v>
      </c>
      <c r="D391" s="26" t="str">
        <f>VLOOKUP(E391,[1]站场阀室!A:D,4,FALSE)</f>
        <v>川气东送管道干线</v>
      </c>
      <c r="E391" s="64" t="s">
        <v>720</v>
      </c>
      <c r="F391" s="66"/>
      <c r="G391" s="64" t="s">
        <v>11554</v>
      </c>
      <c r="H391" s="75" t="s">
        <v>11760</v>
      </c>
      <c r="I391" s="64" t="s">
        <v>11287</v>
      </c>
      <c r="J391" s="68" t="s">
        <v>11270</v>
      </c>
      <c r="K391" s="26" t="s">
        <v>11277</v>
      </c>
      <c r="L391" s="68" t="s">
        <v>11669</v>
      </c>
      <c r="M391" s="68" t="s">
        <v>11761</v>
      </c>
      <c r="N391" s="69" t="s">
        <v>11738</v>
      </c>
      <c r="O391" s="71">
        <v>7127</v>
      </c>
      <c r="P391" s="71" t="s">
        <v>11762</v>
      </c>
      <c r="Q391" s="73">
        <v>7.2</v>
      </c>
      <c r="R391" s="74" t="s">
        <v>11276</v>
      </c>
      <c r="S391" s="34"/>
      <c r="T391" s="31" t="s">
        <v>8218</v>
      </c>
      <c r="U391" s="26"/>
    </row>
    <row r="392" s="21" customFormat="1" ht="30" spans="1:21">
      <c r="A392" s="28" t="s">
        <v>2204</v>
      </c>
      <c r="B392" s="26" t="s">
        <v>29</v>
      </c>
      <c r="C392" s="26" t="str">
        <f>VLOOKUP(E392,[1]站场阀室!A:D,3,FALSE)</f>
        <v>川气东送管道</v>
      </c>
      <c r="D392" s="26" t="str">
        <f>VLOOKUP(E392,[1]站场阀室!A:D,4,FALSE)</f>
        <v>川气东送管道干线</v>
      </c>
      <c r="E392" s="64" t="s">
        <v>720</v>
      </c>
      <c r="F392" s="66"/>
      <c r="G392" s="64" t="s">
        <v>11555</v>
      </c>
      <c r="H392" s="75" t="s">
        <v>11763</v>
      </c>
      <c r="I392" s="64" t="s">
        <v>11287</v>
      </c>
      <c r="J392" s="68" t="s">
        <v>11270</v>
      </c>
      <c r="K392" s="26" t="s">
        <v>11277</v>
      </c>
      <c r="L392" s="68" t="s">
        <v>11751</v>
      </c>
      <c r="M392" s="68" t="s">
        <v>11764</v>
      </c>
      <c r="N392" s="69" t="s">
        <v>11738</v>
      </c>
      <c r="O392" s="71">
        <v>7127</v>
      </c>
      <c r="P392" s="71" t="s">
        <v>11762</v>
      </c>
      <c r="Q392" s="73">
        <v>7.2</v>
      </c>
      <c r="R392" s="74" t="s">
        <v>11276</v>
      </c>
      <c r="S392" s="34"/>
      <c r="T392" s="31" t="s">
        <v>8218</v>
      </c>
      <c r="U392" s="26"/>
    </row>
    <row r="393" s="21" customFormat="1" ht="30" spans="1:21">
      <c r="A393" s="28" t="s">
        <v>2204</v>
      </c>
      <c r="B393" s="26" t="s">
        <v>29</v>
      </c>
      <c r="C393" s="26" t="str">
        <f>VLOOKUP(E393,[1]站场阀室!A:D,3,FALSE)</f>
        <v>川气东送管道</v>
      </c>
      <c r="D393" s="26" t="str">
        <f>VLOOKUP(E393,[1]站场阀室!A:D,4,FALSE)</f>
        <v>川气东送管道干线</v>
      </c>
      <c r="E393" s="64" t="s">
        <v>720</v>
      </c>
      <c r="F393" s="67"/>
      <c r="G393" s="64" t="s">
        <v>11556</v>
      </c>
      <c r="H393" s="75" t="s">
        <v>11765</v>
      </c>
      <c r="I393" s="64" t="s">
        <v>11287</v>
      </c>
      <c r="J393" s="68" t="s">
        <v>11270</v>
      </c>
      <c r="K393" s="26" t="s">
        <v>11277</v>
      </c>
      <c r="L393" s="68" t="s">
        <v>11751</v>
      </c>
      <c r="M393" s="68" t="s">
        <v>11764</v>
      </c>
      <c r="N393" s="69" t="s">
        <v>11738</v>
      </c>
      <c r="O393" s="71">
        <v>7127</v>
      </c>
      <c r="P393" s="71" t="s">
        <v>11762</v>
      </c>
      <c r="Q393" s="73">
        <v>7.2</v>
      </c>
      <c r="R393" s="74" t="s">
        <v>11276</v>
      </c>
      <c r="S393" s="34"/>
      <c r="T393" s="31" t="s">
        <v>8218</v>
      </c>
      <c r="U393" s="26"/>
    </row>
    <row r="394" s="21" customFormat="1" ht="45" spans="1:21">
      <c r="A394" s="28" t="s">
        <v>2204</v>
      </c>
      <c r="B394" s="26" t="s">
        <v>29</v>
      </c>
      <c r="C394" s="26" t="str">
        <f>VLOOKUP(E394,[1]站场阀室!A:D,3,FALSE)</f>
        <v>川气东送管道</v>
      </c>
      <c r="D394" s="26" t="str">
        <f>VLOOKUP(E394,[1]站场阀室!A:D,4,FALSE)</f>
        <v>川气东送管道干线</v>
      </c>
      <c r="E394" s="64" t="s">
        <v>698</v>
      </c>
      <c r="F394" s="65" t="s">
        <v>11267</v>
      </c>
      <c r="G394" s="64" t="s">
        <v>11543</v>
      </c>
      <c r="H394" s="75">
        <v>43117</v>
      </c>
      <c r="I394" s="64" t="s">
        <v>11287</v>
      </c>
      <c r="J394" s="68" t="s">
        <v>11296</v>
      </c>
      <c r="K394" s="68" t="s">
        <v>11339</v>
      </c>
      <c r="L394" s="68" t="s">
        <v>11742</v>
      </c>
      <c r="M394" s="68" t="s">
        <v>11757</v>
      </c>
      <c r="N394" s="69" t="s">
        <v>11758</v>
      </c>
      <c r="O394" s="71">
        <v>8905</v>
      </c>
      <c r="P394" s="71" t="s">
        <v>11766</v>
      </c>
      <c r="Q394" s="73">
        <v>11</v>
      </c>
      <c r="R394" s="74" t="s">
        <v>11276</v>
      </c>
      <c r="S394" s="34"/>
      <c r="T394" s="31" t="s">
        <v>8218</v>
      </c>
      <c r="U394" s="26"/>
    </row>
    <row r="395" s="21" customFormat="1" ht="45" spans="1:21">
      <c r="A395" s="28" t="s">
        <v>2204</v>
      </c>
      <c r="B395" s="26" t="s">
        <v>29</v>
      </c>
      <c r="C395" s="26" t="str">
        <f>VLOOKUP(E395,[1]站场阀室!A:D,3,FALSE)</f>
        <v>川气东送管道</v>
      </c>
      <c r="D395" s="26" t="str">
        <f>VLOOKUP(E395,[1]站场阀室!A:D,4,FALSE)</f>
        <v>川气东送管道干线</v>
      </c>
      <c r="E395" s="64" t="s">
        <v>698</v>
      </c>
      <c r="F395" s="66"/>
      <c r="G395" s="64" t="s">
        <v>11554</v>
      </c>
      <c r="H395" s="75">
        <v>43111</v>
      </c>
      <c r="I395" s="64" t="s">
        <v>11287</v>
      </c>
      <c r="J395" s="68" t="s">
        <v>11296</v>
      </c>
      <c r="K395" s="68" t="s">
        <v>11339</v>
      </c>
      <c r="L395" s="68" t="s">
        <v>11742</v>
      </c>
      <c r="M395" s="68" t="s">
        <v>11757</v>
      </c>
      <c r="N395" s="69" t="s">
        <v>11758</v>
      </c>
      <c r="O395" s="71">
        <v>8905</v>
      </c>
      <c r="P395" s="71" t="s">
        <v>11766</v>
      </c>
      <c r="Q395" s="73">
        <v>11</v>
      </c>
      <c r="R395" s="74" t="s">
        <v>11276</v>
      </c>
      <c r="S395" s="34"/>
      <c r="T395" s="31" t="s">
        <v>8218</v>
      </c>
      <c r="U395" s="26"/>
    </row>
    <row r="396" s="21" customFormat="1" ht="45" spans="1:21">
      <c r="A396" s="28" t="s">
        <v>2204</v>
      </c>
      <c r="B396" s="26" t="s">
        <v>29</v>
      </c>
      <c r="C396" s="26" t="str">
        <f>VLOOKUP(E396,[1]站场阀室!A:D,3,FALSE)</f>
        <v>川气东送管道</v>
      </c>
      <c r="D396" s="26" t="str">
        <f>VLOOKUP(E396,[1]站场阀室!A:D,4,FALSE)</f>
        <v>川气东送管道干线</v>
      </c>
      <c r="E396" s="64" t="s">
        <v>698</v>
      </c>
      <c r="F396" s="67"/>
      <c r="G396" s="64" t="s">
        <v>11555</v>
      </c>
      <c r="H396" s="75">
        <v>43114</v>
      </c>
      <c r="I396" s="64" t="s">
        <v>11287</v>
      </c>
      <c r="J396" s="68" t="s">
        <v>11296</v>
      </c>
      <c r="K396" s="68" t="s">
        <v>11339</v>
      </c>
      <c r="L396" s="68" t="s">
        <v>11742</v>
      </c>
      <c r="M396" s="68" t="s">
        <v>11757</v>
      </c>
      <c r="N396" s="69" t="s">
        <v>11758</v>
      </c>
      <c r="O396" s="71">
        <v>8905</v>
      </c>
      <c r="P396" s="71" t="s">
        <v>11766</v>
      </c>
      <c r="Q396" s="73">
        <v>11</v>
      </c>
      <c r="R396" s="74" t="s">
        <v>11276</v>
      </c>
      <c r="S396" s="34"/>
      <c r="T396" s="31" t="s">
        <v>8218</v>
      </c>
      <c r="U396" s="26"/>
    </row>
    <row r="397" s="21" customFormat="1" ht="30" spans="1:21">
      <c r="A397" s="28" t="s">
        <v>2204</v>
      </c>
      <c r="B397" s="26" t="s">
        <v>29</v>
      </c>
      <c r="C397" s="26" t="str">
        <f>VLOOKUP(E397,[1]站场阀室!A:D,3,FALSE)</f>
        <v>川气东送管道</v>
      </c>
      <c r="D397" s="26" t="str">
        <f>VLOOKUP(E397,[1]站场阀室!A:D,4,FALSE)</f>
        <v>川气东送管道干线</v>
      </c>
      <c r="E397" s="64" t="s">
        <v>701</v>
      </c>
      <c r="F397" s="65" t="s">
        <v>11267</v>
      </c>
      <c r="G397" s="64" t="s">
        <v>11543</v>
      </c>
      <c r="H397" s="75" t="s">
        <v>11767</v>
      </c>
      <c r="I397" s="64" t="s">
        <v>11287</v>
      </c>
      <c r="J397" s="68" t="s">
        <v>11296</v>
      </c>
      <c r="K397" s="68" t="s">
        <v>11339</v>
      </c>
      <c r="L397" s="68" t="s">
        <v>11742</v>
      </c>
      <c r="M397" s="68" t="s">
        <v>11768</v>
      </c>
      <c r="N397" s="69" t="s">
        <v>11769</v>
      </c>
      <c r="O397" s="68">
        <v>9238</v>
      </c>
      <c r="P397" s="68" t="s">
        <v>11770</v>
      </c>
      <c r="Q397" s="73">
        <v>7.1</v>
      </c>
      <c r="R397" s="74" t="s">
        <v>11276</v>
      </c>
      <c r="S397" s="34"/>
      <c r="T397" s="31" t="s">
        <v>8218</v>
      </c>
      <c r="U397" s="26"/>
    </row>
    <row r="398" s="21" customFormat="1" ht="30" spans="1:21">
      <c r="A398" s="28" t="s">
        <v>2204</v>
      </c>
      <c r="B398" s="26" t="s">
        <v>29</v>
      </c>
      <c r="C398" s="26" t="str">
        <f>VLOOKUP(E398,[1]站场阀室!A:D,3,FALSE)</f>
        <v>川气东送管道</v>
      </c>
      <c r="D398" s="26" t="str">
        <f>VLOOKUP(E398,[1]站场阀室!A:D,4,FALSE)</f>
        <v>川气东送管道干线</v>
      </c>
      <c r="E398" s="64" t="s">
        <v>701</v>
      </c>
      <c r="F398" s="66"/>
      <c r="G398" s="64" t="s">
        <v>11554</v>
      </c>
      <c r="H398" s="75" t="s">
        <v>11767</v>
      </c>
      <c r="I398" s="64" t="s">
        <v>11287</v>
      </c>
      <c r="J398" s="68" t="s">
        <v>11296</v>
      </c>
      <c r="K398" s="68" t="s">
        <v>11339</v>
      </c>
      <c r="L398" s="68" t="s">
        <v>11742</v>
      </c>
      <c r="M398" s="68" t="s">
        <v>11768</v>
      </c>
      <c r="N398" s="69" t="s">
        <v>11769</v>
      </c>
      <c r="O398" s="68">
        <v>9238</v>
      </c>
      <c r="P398" s="68" t="s">
        <v>11770</v>
      </c>
      <c r="Q398" s="73">
        <v>7.1</v>
      </c>
      <c r="R398" s="74" t="s">
        <v>11276</v>
      </c>
      <c r="S398" s="34"/>
      <c r="T398" s="31" t="s">
        <v>8218</v>
      </c>
      <c r="U398" s="26"/>
    </row>
    <row r="399" s="21" customFormat="1" ht="30" spans="1:21">
      <c r="A399" s="28" t="s">
        <v>2204</v>
      </c>
      <c r="B399" s="26" t="s">
        <v>29</v>
      </c>
      <c r="C399" s="26" t="str">
        <f>VLOOKUP(E399,[1]站场阀室!A:D,3,FALSE)</f>
        <v>川气东送管道</v>
      </c>
      <c r="D399" s="26" t="str">
        <f>VLOOKUP(E399,[1]站场阀室!A:D,4,FALSE)</f>
        <v>川气东送管道干线</v>
      </c>
      <c r="E399" s="64" t="s">
        <v>701</v>
      </c>
      <c r="F399" s="67"/>
      <c r="G399" s="64" t="s">
        <v>11555</v>
      </c>
      <c r="H399" s="75" t="s">
        <v>11767</v>
      </c>
      <c r="I399" s="64" t="s">
        <v>11287</v>
      </c>
      <c r="J399" s="68" t="s">
        <v>11296</v>
      </c>
      <c r="K399" s="68" t="s">
        <v>11339</v>
      </c>
      <c r="L399" s="68" t="s">
        <v>11742</v>
      </c>
      <c r="M399" s="68" t="s">
        <v>11768</v>
      </c>
      <c r="N399" s="69" t="s">
        <v>11769</v>
      </c>
      <c r="O399" s="68">
        <v>9238</v>
      </c>
      <c r="P399" s="68" t="s">
        <v>11770</v>
      </c>
      <c r="Q399" s="73">
        <v>7.1</v>
      </c>
      <c r="R399" s="74" t="s">
        <v>11276</v>
      </c>
      <c r="S399" s="34"/>
      <c r="T399" s="31" t="s">
        <v>8218</v>
      </c>
      <c r="U399" s="26"/>
    </row>
    <row r="400" s="21" customFormat="1" spans="1:21">
      <c r="A400" s="28" t="s">
        <v>4952</v>
      </c>
      <c r="B400" s="26" t="s">
        <v>29</v>
      </c>
      <c r="C400" s="26" t="str">
        <f>VLOOKUP(E400,[1]站场阀室!A:D,3,FALSE)</f>
        <v>重庆管道</v>
      </c>
      <c r="D400" s="26" t="str">
        <f>VLOOKUP(E400,[1]站场阀室!A:D,4,FALSE)</f>
        <v>涪王线</v>
      </c>
      <c r="E400" s="64" t="s">
        <v>6723</v>
      </c>
      <c r="F400" s="64" t="s">
        <v>11771</v>
      </c>
      <c r="G400" s="64" t="s">
        <v>11543</v>
      </c>
      <c r="H400" s="64">
        <v>2015.06</v>
      </c>
      <c r="I400" s="64" t="s">
        <v>11287</v>
      </c>
      <c r="J400" s="68" t="s">
        <v>11296</v>
      </c>
      <c r="K400" s="64" t="s">
        <v>11339</v>
      </c>
      <c r="L400" s="68" t="s">
        <v>11772</v>
      </c>
      <c r="M400" s="68" t="s">
        <v>11773</v>
      </c>
      <c r="N400" s="68" t="s">
        <v>11774</v>
      </c>
      <c r="O400" s="68">
        <v>13000</v>
      </c>
      <c r="P400" s="68" t="s">
        <v>8316</v>
      </c>
      <c r="Q400" s="73">
        <v>7.5</v>
      </c>
      <c r="R400" s="74" t="s">
        <v>11276</v>
      </c>
      <c r="S400" s="34"/>
      <c r="T400" s="31" t="s">
        <v>8218</v>
      </c>
      <c r="U400" s="26"/>
    </row>
    <row r="401" s="21" customFormat="1" spans="1:21">
      <c r="A401" s="28" t="s">
        <v>4952</v>
      </c>
      <c r="B401" s="26" t="s">
        <v>29</v>
      </c>
      <c r="C401" s="26" t="str">
        <f>VLOOKUP(E401,[1]站场阀室!A:D,3,FALSE)</f>
        <v>重庆管道</v>
      </c>
      <c r="D401" s="26" t="str">
        <f>VLOOKUP(E401,[1]站场阀室!A:D,4,FALSE)</f>
        <v>涪王线</v>
      </c>
      <c r="E401" s="64" t="s">
        <v>6723</v>
      </c>
      <c r="F401" s="64"/>
      <c r="G401" s="64" t="s">
        <v>11554</v>
      </c>
      <c r="H401" s="64">
        <v>2015.06</v>
      </c>
      <c r="I401" s="64" t="s">
        <v>11287</v>
      </c>
      <c r="J401" s="68" t="s">
        <v>11296</v>
      </c>
      <c r="K401" s="64" t="s">
        <v>11339</v>
      </c>
      <c r="L401" s="68" t="s">
        <v>11772</v>
      </c>
      <c r="M401" s="68" t="s">
        <v>11773</v>
      </c>
      <c r="N401" s="68" t="s">
        <v>11774</v>
      </c>
      <c r="O401" s="68">
        <v>13000</v>
      </c>
      <c r="P401" s="68" t="s">
        <v>8316</v>
      </c>
      <c r="Q401" s="73">
        <v>7.5</v>
      </c>
      <c r="R401" s="74" t="s">
        <v>11276</v>
      </c>
      <c r="S401" s="34"/>
      <c r="T401" s="31" t="s">
        <v>8218</v>
      </c>
      <c r="U401" s="26"/>
    </row>
    <row r="402" s="21" customFormat="1" spans="1:21">
      <c r="A402" s="28" t="s">
        <v>4952</v>
      </c>
      <c r="B402" s="26" t="s">
        <v>29</v>
      </c>
      <c r="C402" s="26" t="str">
        <f>VLOOKUP(E402,[1]站场阀室!A:D,3,FALSE)</f>
        <v>重庆管道</v>
      </c>
      <c r="D402" s="26" t="str">
        <f>VLOOKUP(E402,[1]站场阀室!A:D,4,FALSE)</f>
        <v>涪王线</v>
      </c>
      <c r="E402" s="64" t="s">
        <v>6723</v>
      </c>
      <c r="F402" s="64"/>
      <c r="G402" s="64" t="s">
        <v>11555</v>
      </c>
      <c r="H402" s="64">
        <v>2015.06</v>
      </c>
      <c r="I402" s="64" t="s">
        <v>11287</v>
      </c>
      <c r="J402" s="68" t="s">
        <v>11296</v>
      </c>
      <c r="K402" s="64" t="s">
        <v>11339</v>
      </c>
      <c r="L402" s="68" t="s">
        <v>11772</v>
      </c>
      <c r="M402" s="68" t="s">
        <v>11773</v>
      </c>
      <c r="N402" s="68" t="s">
        <v>11774</v>
      </c>
      <c r="O402" s="68">
        <v>13000</v>
      </c>
      <c r="P402" s="68" t="s">
        <v>8316</v>
      </c>
      <c r="Q402" s="73">
        <v>7.5</v>
      </c>
      <c r="R402" s="74" t="s">
        <v>11276</v>
      </c>
      <c r="S402" s="34"/>
      <c r="T402" s="31" t="s">
        <v>8218</v>
      </c>
      <c r="U402" s="26"/>
    </row>
    <row r="403" s="21" customFormat="1" spans="1:21">
      <c r="A403" s="28" t="s">
        <v>4952</v>
      </c>
      <c r="B403" s="26" t="s">
        <v>29</v>
      </c>
      <c r="C403" s="26" t="str">
        <f>VLOOKUP(E403,[1]站场阀室!A:D,3,FALSE)</f>
        <v>重庆管道</v>
      </c>
      <c r="D403" s="26" t="str">
        <f>VLOOKUP(E403,[1]站场阀室!A:D,4,FALSE)</f>
        <v>涪王线</v>
      </c>
      <c r="E403" s="64" t="s">
        <v>6723</v>
      </c>
      <c r="F403" s="64"/>
      <c r="G403" s="64" t="s">
        <v>11556</v>
      </c>
      <c r="H403" s="64">
        <v>2015.06</v>
      </c>
      <c r="I403" s="64" t="s">
        <v>11287</v>
      </c>
      <c r="J403" s="68" t="s">
        <v>11296</v>
      </c>
      <c r="K403" s="64" t="s">
        <v>11339</v>
      </c>
      <c r="L403" s="68" t="s">
        <v>11772</v>
      </c>
      <c r="M403" s="68" t="s">
        <v>11773</v>
      </c>
      <c r="N403" s="68" t="s">
        <v>11774</v>
      </c>
      <c r="O403" s="68">
        <v>13000</v>
      </c>
      <c r="P403" s="68" t="s">
        <v>8316</v>
      </c>
      <c r="Q403" s="73">
        <v>7.5</v>
      </c>
      <c r="R403" s="74" t="s">
        <v>11276</v>
      </c>
      <c r="S403" s="34"/>
      <c r="T403" s="31" t="s">
        <v>8218</v>
      </c>
      <c r="U403" s="26"/>
    </row>
    <row r="404" s="21" customFormat="1" spans="1:21">
      <c r="A404" s="28" t="s">
        <v>4952</v>
      </c>
      <c r="B404" s="26" t="s">
        <v>29</v>
      </c>
      <c r="C404" s="26" t="str">
        <f>VLOOKUP(E404,[1]站场阀室!A:D,3,FALSE)</f>
        <v>重庆管道</v>
      </c>
      <c r="D404" s="26" t="str">
        <f>VLOOKUP(E404,[1]站场阀室!A:D,4,FALSE)</f>
        <v>涪王线</v>
      </c>
      <c r="E404" s="64" t="s">
        <v>6723</v>
      </c>
      <c r="F404" s="64"/>
      <c r="G404" s="64" t="s">
        <v>11557</v>
      </c>
      <c r="H404" s="64">
        <v>2019.01</v>
      </c>
      <c r="I404" s="64" t="s">
        <v>11287</v>
      </c>
      <c r="J404" s="68" t="s">
        <v>11296</v>
      </c>
      <c r="K404" s="64" t="s">
        <v>11339</v>
      </c>
      <c r="L404" s="68" t="s">
        <v>11772</v>
      </c>
      <c r="M404" s="68" t="s">
        <v>11775</v>
      </c>
      <c r="N404" s="68" t="s">
        <v>11776</v>
      </c>
      <c r="O404" s="68">
        <v>13000</v>
      </c>
      <c r="P404" s="68" t="s">
        <v>8316</v>
      </c>
      <c r="Q404" s="73">
        <v>7.5</v>
      </c>
      <c r="R404" s="74" t="s">
        <v>11276</v>
      </c>
      <c r="S404" s="34"/>
      <c r="T404" s="31" t="s">
        <v>8218</v>
      </c>
      <c r="U404" s="26"/>
    </row>
    <row r="405" s="21" customFormat="1" spans="1:21">
      <c r="A405" s="28" t="s">
        <v>4952</v>
      </c>
      <c r="B405" s="26" t="s">
        <v>29</v>
      </c>
      <c r="C405" s="26" t="str">
        <f>VLOOKUP(E405,[1]站场阀室!A:D,3,FALSE)</f>
        <v>重庆管道</v>
      </c>
      <c r="D405" s="26" t="str">
        <f>VLOOKUP(E405,[1]站场阀室!A:D,4,FALSE)</f>
        <v>涪王线</v>
      </c>
      <c r="E405" s="64" t="s">
        <v>6723</v>
      </c>
      <c r="F405" s="64"/>
      <c r="G405" s="64" t="s">
        <v>11777</v>
      </c>
      <c r="H405" s="64">
        <v>2019.01</v>
      </c>
      <c r="I405" s="64" t="s">
        <v>11287</v>
      </c>
      <c r="J405" s="68" t="s">
        <v>11296</v>
      </c>
      <c r="K405" s="64" t="s">
        <v>11339</v>
      </c>
      <c r="L405" s="68" t="s">
        <v>11772</v>
      </c>
      <c r="M405" s="68" t="s">
        <v>11775</v>
      </c>
      <c r="N405" s="68" t="s">
        <v>11776</v>
      </c>
      <c r="O405" s="68">
        <v>13000</v>
      </c>
      <c r="P405" s="68" t="s">
        <v>8316</v>
      </c>
      <c r="Q405" s="73">
        <v>7.5</v>
      </c>
      <c r="R405" s="74" t="s">
        <v>11276</v>
      </c>
      <c r="S405" s="34"/>
      <c r="T405" s="31" t="s">
        <v>8218</v>
      </c>
      <c r="U405" s="26"/>
    </row>
    <row r="406" s="21" customFormat="1" spans="1:21">
      <c r="A406" s="28" t="s">
        <v>4952</v>
      </c>
      <c r="B406" s="26" t="s">
        <v>29</v>
      </c>
      <c r="C406" s="26" t="str">
        <f>VLOOKUP(E406,[1]站场阀室!A:D,3,FALSE)</f>
        <v>重庆管道</v>
      </c>
      <c r="D406" s="26" t="str">
        <f>VLOOKUP(E406,[1]站场阀室!A:D,4,FALSE)</f>
        <v>涪王线</v>
      </c>
      <c r="E406" s="64" t="s">
        <v>6723</v>
      </c>
      <c r="F406" s="64"/>
      <c r="G406" s="64" t="s">
        <v>11778</v>
      </c>
      <c r="H406" s="64">
        <v>2019.01</v>
      </c>
      <c r="I406" s="64" t="s">
        <v>11287</v>
      </c>
      <c r="J406" s="68" t="s">
        <v>11296</v>
      </c>
      <c r="K406" s="64" t="s">
        <v>11339</v>
      </c>
      <c r="L406" s="68" t="s">
        <v>11772</v>
      </c>
      <c r="M406" s="68" t="s">
        <v>11775</v>
      </c>
      <c r="N406" s="68" t="s">
        <v>11776</v>
      </c>
      <c r="O406" s="68">
        <v>13000</v>
      </c>
      <c r="P406" s="68" t="s">
        <v>8316</v>
      </c>
      <c r="Q406" s="73">
        <v>7.5</v>
      </c>
      <c r="R406" s="74" t="s">
        <v>11276</v>
      </c>
      <c r="S406" s="34"/>
      <c r="T406" s="31" t="s">
        <v>8218</v>
      </c>
      <c r="U406" s="26"/>
    </row>
    <row r="407" s="21" customFormat="1" ht="30" spans="1:21">
      <c r="A407" s="28" t="s">
        <v>4952</v>
      </c>
      <c r="B407" s="26" t="s">
        <v>29</v>
      </c>
      <c r="C407" s="26" t="s">
        <v>69</v>
      </c>
      <c r="D407" s="26" t="s">
        <v>748</v>
      </c>
      <c r="E407" s="64" t="s">
        <v>621</v>
      </c>
      <c r="F407" s="65" t="s">
        <v>11549</v>
      </c>
      <c r="G407" s="30" t="s">
        <v>11268</v>
      </c>
      <c r="H407" s="39" t="s">
        <v>11779</v>
      </c>
      <c r="I407" s="26" t="s">
        <v>11287</v>
      </c>
      <c r="J407" s="26" t="s">
        <v>11296</v>
      </c>
      <c r="K407" s="32" t="s">
        <v>11780</v>
      </c>
      <c r="L407" s="32" t="s">
        <v>11781</v>
      </c>
      <c r="M407" s="77" t="s">
        <v>11782</v>
      </c>
      <c r="N407" s="78">
        <v>996</v>
      </c>
      <c r="O407" s="79">
        <v>996</v>
      </c>
      <c r="P407" s="26" t="s">
        <v>11783</v>
      </c>
      <c r="Q407" s="37">
        <v>2.5</v>
      </c>
      <c r="R407" s="42" t="s">
        <v>11276</v>
      </c>
      <c r="S407" s="34"/>
      <c r="T407" s="31" t="s">
        <v>11302</v>
      </c>
      <c r="U407" s="26"/>
    </row>
    <row r="408" s="21" customFormat="1" ht="30" spans="1:21">
      <c r="A408" s="28" t="s">
        <v>4952</v>
      </c>
      <c r="B408" s="26" t="s">
        <v>29</v>
      </c>
      <c r="C408" s="26" t="s">
        <v>69</v>
      </c>
      <c r="D408" s="26" t="s">
        <v>748</v>
      </c>
      <c r="E408" s="64" t="s">
        <v>621</v>
      </c>
      <c r="F408" s="66"/>
      <c r="G408" s="30" t="s">
        <v>11176</v>
      </c>
      <c r="H408" s="39" t="s">
        <v>11779</v>
      </c>
      <c r="I408" s="26" t="s">
        <v>11287</v>
      </c>
      <c r="J408" s="26" t="s">
        <v>11296</v>
      </c>
      <c r="K408" s="32" t="s">
        <v>11780</v>
      </c>
      <c r="L408" s="32" t="s">
        <v>11781</v>
      </c>
      <c r="M408" s="77" t="s">
        <v>11782</v>
      </c>
      <c r="N408" s="78">
        <v>996</v>
      </c>
      <c r="O408" s="79">
        <v>996</v>
      </c>
      <c r="P408" s="26" t="s">
        <v>11783</v>
      </c>
      <c r="Q408" s="37">
        <v>2.5</v>
      </c>
      <c r="R408" s="42" t="s">
        <v>11276</v>
      </c>
      <c r="S408" s="34"/>
      <c r="T408" s="31" t="s">
        <v>11302</v>
      </c>
      <c r="U408" s="26"/>
    </row>
    <row r="409" s="21" customFormat="1" ht="30" spans="1:21">
      <c r="A409" s="28" t="s">
        <v>4952</v>
      </c>
      <c r="B409" s="26" t="s">
        <v>29</v>
      </c>
      <c r="C409" s="26" t="s">
        <v>69</v>
      </c>
      <c r="D409" s="26" t="s">
        <v>748</v>
      </c>
      <c r="E409" s="64" t="s">
        <v>621</v>
      </c>
      <c r="F409" s="66"/>
      <c r="G409" s="30" t="s">
        <v>9245</v>
      </c>
      <c r="H409" s="39" t="s">
        <v>11779</v>
      </c>
      <c r="I409" s="26" t="s">
        <v>11287</v>
      </c>
      <c r="J409" s="26" t="s">
        <v>11296</v>
      </c>
      <c r="K409" s="32" t="s">
        <v>11780</v>
      </c>
      <c r="L409" s="32" t="s">
        <v>11781</v>
      </c>
      <c r="M409" s="77" t="s">
        <v>11782</v>
      </c>
      <c r="N409" s="78">
        <v>996</v>
      </c>
      <c r="O409" s="79">
        <v>996</v>
      </c>
      <c r="P409" s="26" t="s">
        <v>11783</v>
      </c>
      <c r="Q409" s="37">
        <v>2.5</v>
      </c>
      <c r="R409" s="42" t="s">
        <v>11276</v>
      </c>
      <c r="S409" s="34"/>
      <c r="T409" s="31" t="s">
        <v>11302</v>
      </c>
      <c r="U409" s="26"/>
    </row>
    <row r="410" s="21" customFormat="1" ht="30" spans="1:21">
      <c r="A410" s="28" t="s">
        <v>4952</v>
      </c>
      <c r="B410" s="26" t="s">
        <v>29</v>
      </c>
      <c r="C410" s="26" t="s">
        <v>69</v>
      </c>
      <c r="D410" s="26" t="s">
        <v>748</v>
      </c>
      <c r="E410" s="64" t="s">
        <v>621</v>
      </c>
      <c r="F410" s="66"/>
      <c r="G410" s="30" t="s">
        <v>10755</v>
      </c>
      <c r="H410" s="29" t="s">
        <v>11779</v>
      </c>
      <c r="I410" s="26" t="s">
        <v>11287</v>
      </c>
      <c r="J410" s="26" t="s">
        <v>11296</v>
      </c>
      <c r="K410" s="32" t="s">
        <v>11780</v>
      </c>
      <c r="L410" s="32" t="s">
        <v>11781</v>
      </c>
      <c r="M410" s="77" t="s">
        <v>11782</v>
      </c>
      <c r="N410" s="78">
        <v>996</v>
      </c>
      <c r="O410" s="80">
        <v>996</v>
      </c>
      <c r="P410" s="26" t="s">
        <v>11783</v>
      </c>
      <c r="Q410" s="37">
        <v>2.5</v>
      </c>
      <c r="R410" s="42" t="s">
        <v>11276</v>
      </c>
      <c r="S410" s="34"/>
      <c r="T410" s="31" t="s">
        <v>11302</v>
      </c>
      <c r="U410" s="26"/>
    </row>
    <row r="411" s="21" customFormat="1" ht="30" spans="1:21">
      <c r="A411" s="28" t="s">
        <v>4952</v>
      </c>
      <c r="B411" s="26" t="s">
        <v>29</v>
      </c>
      <c r="C411" s="26" t="s">
        <v>69</v>
      </c>
      <c r="D411" s="26" t="s">
        <v>748</v>
      </c>
      <c r="E411" s="64" t="s">
        <v>621</v>
      </c>
      <c r="F411" s="67"/>
      <c r="G411" s="30" t="s">
        <v>11306</v>
      </c>
      <c r="H411" s="29" t="s">
        <v>11784</v>
      </c>
      <c r="I411" s="26" t="s">
        <v>11287</v>
      </c>
      <c r="J411" s="26" t="s">
        <v>11296</v>
      </c>
      <c r="K411" s="32" t="s">
        <v>11780</v>
      </c>
      <c r="L411" s="32" t="s">
        <v>11781</v>
      </c>
      <c r="M411" s="77" t="s">
        <v>11782</v>
      </c>
      <c r="N411" s="78">
        <v>996</v>
      </c>
      <c r="O411" s="80">
        <v>996</v>
      </c>
      <c r="P411" s="26" t="s">
        <v>11783</v>
      </c>
      <c r="Q411" s="37">
        <v>2.5</v>
      </c>
      <c r="R411" s="42" t="s">
        <v>11276</v>
      </c>
      <c r="S411" s="34"/>
      <c r="T411" s="31" t="s">
        <v>11302</v>
      </c>
      <c r="U411" s="26"/>
    </row>
    <row r="412" s="21" customFormat="1" spans="1:21">
      <c r="A412" s="28" t="s">
        <v>4952</v>
      </c>
      <c r="B412" s="26" t="s">
        <v>29</v>
      </c>
      <c r="C412" s="26" t="s">
        <v>11785</v>
      </c>
      <c r="D412" s="26" t="s">
        <v>11785</v>
      </c>
      <c r="E412" s="64" t="s">
        <v>742</v>
      </c>
      <c r="F412" s="66" t="s">
        <v>11324</v>
      </c>
      <c r="G412" s="30" t="s">
        <v>11268</v>
      </c>
      <c r="H412" s="29" t="s">
        <v>11786</v>
      </c>
      <c r="I412" s="26" t="s">
        <v>11287</v>
      </c>
      <c r="J412" s="26" t="s">
        <v>11296</v>
      </c>
      <c r="K412" s="32" t="s">
        <v>11443</v>
      </c>
      <c r="L412" s="32" t="s">
        <v>11665</v>
      </c>
      <c r="M412" s="77" t="s">
        <v>11787</v>
      </c>
      <c r="N412" s="68" t="s">
        <v>11349</v>
      </c>
      <c r="O412" s="80">
        <v>5292</v>
      </c>
      <c r="P412" s="26" t="s">
        <v>11788</v>
      </c>
      <c r="Q412" s="37">
        <v>15</v>
      </c>
      <c r="R412" s="42" t="s">
        <v>11276</v>
      </c>
      <c r="S412" s="34"/>
      <c r="T412" s="31"/>
      <c r="U412" s="26"/>
    </row>
    <row r="413" s="21" customFormat="1" spans="1:21">
      <c r="A413" s="28" t="s">
        <v>4952</v>
      </c>
      <c r="B413" s="26" t="s">
        <v>29</v>
      </c>
      <c r="C413" s="26" t="s">
        <v>11785</v>
      </c>
      <c r="D413" s="26" t="s">
        <v>11785</v>
      </c>
      <c r="E413" s="64" t="s">
        <v>742</v>
      </c>
      <c r="F413" s="66"/>
      <c r="G413" s="30" t="s">
        <v>11176</v>
      </c>
      <c r="H413" s="29" t="s">
        <v>11786</v>
      </c>
      <c r="I413" s="26" t="s">
        <v>11287</v>
      </c>
      <c r="J413" s="26" t="s">
        <v>11296</v>
      </c>
      <c r="K413" s="32" t="s">
        <v>11443</v>
      </c>
      <c r="L413" s="32" t="s">
        <v>11665</v>
      </c>
      <c r="M413" s="77" t="s">
        <v>11787</v>
      </c>
      <c r="N413" s="68" t="s">
        <v>11349</v>
      </c>
      <c r="O413" s="80">
        <v>5292</v>
      </c>
      <c r="P413" s="26" t="s">
        <v>11788</v>
      </c>
      <c r="Q413" s="37">
        <v>15</v>
      </c>
      <c r="R413" s="42" t="s">
        <v>11276</v>
      </c>
      <c r="S413" s="34"/>
      <c r="T413" s="31"/>
      <c r="U413" s="26"/>
    </row>
    <row r="414" s="21" customFormat="1" spans="1:21">
      <c r="A414" s="28" t="s">
        <v>4952</v>
      </c>
      <c r="B414" s="26" t="s">
        <v>29</v>
      </c>
      <c r="C414" s="26" t="s">
        <v>11785</v>
      </c>
      <c r="D414" s="26" t="s">
        <v>11785</v>
      </c>
      <c r="E414" s="64" t="s">
        <v>742</v>
      </c>
      <c r="F414" s="66"/>
      <c r="G414" s="30" t="s">
        <v>9245</v>
      </c>
      <c r="H414" s="29" t="s">
        <v>10066</v>
      </c>
      <c r="I414" s="26" t="s">
        <v>11287</v>
      </c>
      <c r="J414" s="26" t="s">
        <v>11296</v>
      </c>
      <c r="K414" s="32" t="s">
        <v>11443</v>
      </c>
      <c r="L414" s="32" t="s">
        <v>11665</v>
      </c>
      <c r="M414" s="77" t="s">
        <v>11787</v>
      </c>
      <c r="N414" s="68" t="s">
        <v>11349</v>
      </c>
      <c r="O414" s="80">
        <v>5292</v>
      </c>
      <c r="P414" s="26" t="s">
        <v>11788</v>
      </c>
      <c r="Q414" s="37">
        <v>15</v>
      </c>
      <c r="R414" s="42" t="s">
        <v>11276</v>
      </c>
      <c r="S414" s="34"/>
      <c r="T414" s="31"/>
      <c r="U414" s="26"/>
    </row>
    <row r="415" s="21" customFormat="1" spans="1:21">
      <c r="A415" s="28" t="s">
        <v>4952</v>
      </c>
      <c r="B415" s="26" t="s">
        <v>29</v>
      </c>
      <c r="C415" s="26" t="s">
        <v>11785</v>
      </c>
      <c r="D415" s="26" t="s">
        <v>11785</v>
      </c>
      <c r="E415" s="64" t="s">
        <v>742</v>
      </c>
      <c r="F415" s="67"/>
      <c r="G415" s="30" t="s">
        <v>10755</v>
      </c>
      <c r="H415" s="29" t="s">
        <v>10172</v>
      </c>
      <c r="I415" s="26" t="s">
        <v>11287</v>
      </c>
      <c r="J415" s="26" t="s">
        <v>11296</v>
      </c>
      <c r="K415" s="32" t="s">
        <v>11443</v>
      </c>
      <c r="L415" s="32" t="s">
        <v>11665</v>
      </c>
      <c r="M415" s="77" t="s">
        <v>11787</v>
      </c>
      <c r="N415" s="68" t="s">
        <v>11349</v>
      </c>
      <c r="O415" s="80">
        <v>5292</v>
      </c>
      <c r="P415" s="26" t="s">
        <v>11788</v>
      </c>
      <c r="Q415" s="37">
        <v>15</v>
      </c>
      <c r="R415" s="42" t="s">
        <v>11276</v>
      </c>
      <c r="S415" s="34"/>
      <c r="T415" s="31"/>
      <c r="U415" s="26"/>
    </row>
    <row r="416" s="21" customFormat="1" spans="1:21">
      <c r="A416" s="28" t="s">
        <v>1491</v>
      </c>
      <c r="B416" s="26" t="s">
        <v>29</v>
      </c>
      <c r="C416" s="26" t="str">
        <f>VLOOKUP(E416,[1]站场阀室!A:D,3,FALSE)</f>
        <v>榆济管道</v>
      </c>
      <c r="D416" s="26" t="str">
        <f>VLOOKUP(E416,[1]站场阀室!A:D,4,FALSE)</f>
        <v>榆济管道干线</v>
      </c>
      <c r="E416" s="26" t="s">
        <v>751</v>
      </c>
      <c r="F416" s="26" t="s">
        <v>11324</v>
      </c>
      <c r="G416" s="26" t="s">
        <v>11268</v>
      </c>
      <c r="H416" s="76" t="s">
        <v>11789</v>
      </c>
      <c r="I416" s="26" t="s">
        <v>11287</v>
      </c>
      <c r="J416" s="26" t="s">
        <v>11270</v>
      </c>
      <c r="K416" s="26" t="s">
        <v>11790</v>
      </c>
      <c r="L416" s="26" t="s">
        <v>11791</v>
      </c>
      <c r="M416" s="26" t="s">
        <v>11792</v>
      </c>
      <c r="N416" s="26" t="s">
        <v>11793</v>
      </c>
      <c r="O416" s="26">
        <v>11892</v>
      </c>
      <c r="P416" s="26" t="s">
        <v>11281</v>
      </c>
      <c r="Q416" s="33">
        <v>8</v>
      </c>
      <c r="R416" s="38" t="s">
        <v>11276</v>
      </c>
      <c r="S416" s="34"/>
      <c r="T416" s="31" t="s">
        <v>8218</v>
      </c>
      <c r="U416" s="26"/>
    </row>
    <row r="417" s="21" customFormat="1" spans="1:21">
      <c r="A417" s="28" t="s">
        <v>1491</v>
      </c>
      <c r="B417" s="26" t="s">
        <v>29</v>
      </c>
      <c r="C417" s="26" t="str">
        <f>VLOOKUP(E417,[1]站场阀室!A:D,3,FALSE)</f>
        <v>榆济管道</v>
      </c>
      <c r="D417" s="26" t="str">
        <f>VLOOKUP(E417,[1]站场阀室!A:D,4,FALSE)</f>
        <v>榆济管道干线</v>
      </c>
      <c r="E417" s="26" t="s">
        <v>751</v>
      </c>
      <c r="F417" s="26"/>
      <c r="G417" s="26" t="s">
        <v>11176</v>
      </c>
      <c r="H417" s="76" t="s">
        <v>11789</v>
      </c>
      <c r="I417" s="26" t="s">
        <v>11287</v>
      </c>
      <c r="J417" s="26" t="s">
        <v>11270</v>
      </c>
      <c r="K417" s="26" t="s">
        <v>11790</v>
      </c>
      <c r="L417" s="26" t="s">
        <v>11791</v>
      </c>
      <c r="M417" s="26" t="s">
        <v>11792</v>
      </c>
      <c r="N417" s="26" t="s">
        <v>11793</v>
      </c>
      <c r="O417" s="26">
        <v>11892</v>
      </c>
      <c r="P417" s="26" t="s">
        <v>11281</v>
      </c>
      <c r="Q417" s="33">
        <v>8</v>
      </c>
      <c r="R417" s="38" t="s">
        <v>11276</v>
      </c>
      <c r="S417" s="34"/>
      <c r="T417" s="31" t="s">
        <v>8218</v>
      </c>
      <c r="U417" s="26"/>
    </row>
    <row r="418" s="21" customFormat="1" spans="1:21">
      <c r="A418" s="28" t="s">
        <v>1491</v>
      </c>
      <c r="B418" s="26" t="s">
        <v>29</v>
      </c>
      <c r="C418" s="26" t="str">
        <f>VLOOKUP(E418,[1]站场阀室!A:D,3,FALSE)</f>
        <v>榆济管道</v>
      </c>
      <c r="D418" s="26" t="str">
        <f>VLOOKUP(E418,[1]站场阀室!A:D,4,FALSE)</f>
        <v>榆济管道干线</v>
      </c>
      <c r="E418" s="26" t="s">
        <v>751</v>
      </c>
      <c r="F418" s="26"/>
      <c r="G418" s="26" t="s">
        <v>9245</v>
      </c>
      <c r="H418" s="76" t="s">
        <v>11789</v>
      </c>
      <c r="I418" s="26" t="s">
        <v>11287</v>
      </c>
      <c r="J418" s="26" t="s">
        <v>11270</v>
      </c>
      <c r="K418" s="26" t="s">
        <v>11790</v>
      </c>
      <c r="L418" s="26" t="s">
        <v>11791</v>
      </c>
      <c r="M418" s="26" t="s">
        <v>11792</v>
      </c>
      <c r="N418" s="26" t="s">
        <v>11793</v>
      </c>
      <c r="O418" s="26">
        <v>11892</v>
      </c>
      <c r="P418" s="26" t="s">
        <v>11281</v>
      </c>
      <c r="Q418" s="33">
        <v>8</v>
      </c>
      <c r="R418" s="38" t="s">
        <v>11276</v>
      </c>
      <c r="S418" s="34"/>
      <c r="T418" s="31" t="s">
        <v>8218</v>
      </c>
      <c r="U418" s="26"/>
    </row>
    <row r="419" s="21" customFormat="1" spans="1:21">
      <c r="A419" s="28" t="s">
        <v>1491</v>
      </c>
      <c r="B419" s="26" t="s">
        <v>29</v>
      </c>
      <c r="C419" s="26" t="str">
        <f>VLOOKUP(E419,[1]站场阀室!A:D,3,FALSE)</f>
        <v>榆济管道</v>
      </c>
      <c r="D419" s="26" t="str">
        <f>VLOOKUP(E419,[1]站场阀室!A:D,4,FALSE)</f>
        <v>榆济管道干线</v>
      </c>
      <c r="E419" s="26" t="s">
        <v>751</v>
      </c>
      <c r="F419" s="26"/>
      <c r="G419" s="26" t="s">
        <v>10755</v>
      </c>
      <c r="H419" s="76" t="s">
        <v>11794</v>
      </c>
      <c r="I419" s="26" t="s">
        <v>11287</v>
      </c>
      <c r="J419" s="26" t="s">
        <v>11270</v>
      </c>
      <c r="K419" s="26" t="s">
        <v>11790</v>
      </c>
      <c r="L419" s="26" t="s">
        <v>11791</v>
      </c>
      <c r="M419" s="26" t="s">
        <v>11792</v>
      </c>
      <c r="N419" s="26" t="s">
        <v>11793</v>
      </c>
      <c r="O419" s="26">
        <v>11892</v>
      </c>
      <c r="P419" s="26" t="s">
        <v>11281</v>
      </c>
      <c r="Q419" s="33">
        <v>8</v>
      </c>
      <c r="R419" s="38" t="s">
        <v>11276</v>
      </c>
      <c r="S419" s="34"/>
      <c r="T419" s="31" t="s">
        <v>8218</v>
      </c>
      <c r="U419" s="26"/>
    </row>
    <row r="420" s="21" customFormat="1" spans="1:21">
      <c r="A420" s="28" t="s">
        <v>1491</v>
      </c>
      <c r="B420" s="26" t="s">
        <v>29</v>
      </c>
      <c r="C420" s="26" t="str">
        <f>VLOOKUP(E420,[1]站场阀室!A:D,3,FALSE)</f>
        <v>榆济管道</v>
      </c>
      <c r="D420" s="26" t="str">
        <f>VLOOKUP(E420,[1]站场阀室!A:D,4,FALSE)</f>
        <v>榆济管道干线</v>
      </c>
      <c r="E420" s="26" t="s">
        <v>6785</v>
      </c>
      <c r="F420" s="26" t="s">
        <v>11267</v>
      </c>
      <c r="G420" s="26" t="s">
        <v>11268</v>
      </c>
      <c r="H420" s="76" t="s">
        <v>11795</v>
      </c>
      <c r="I420" s="26" t="s">
        <v>11287</v>
      </c>
      <c r="J420" s="26" t="s">
        <v>11270</v>
      </c>
      <c r="K420" s="26" t="s">
        <v>11796</v>
      </c>
      <c r="L420" s="26" t="s">
        <v>11797</v>
      </c>
      <c r="M420" s="26" t="s">
        <v>11798</v>
      </c>
      <c r="N420" s="26" t="s">
        <v>11799</v>
      </c>
      <c r="O420" s="26">
        <v>11636</v>
      </c>
      <c r="P420" s="26" t="s">
        <v>11281</v>
      </c>
      <c r="Q420" s="33">
        <v>9.05</v>
      </c>
      <c r="R420" s="38" t="s">
        <v>11276</v>
      </c>
      <c r="S420" s="34"/>
      <c r="T420" s="31" t="s">
        <v>8218</v>
      </c>
      <c r="U420" s="26"/>
    </row>
    <row r="421" s="21" customFormat="1" spans="1:21">
      <c r="A421" s="28" t="s">
        <v>1491</v>
      </c>
      <c r="B421" s="26" t="s">
        <v>29</v>
      </c>
      <c r="C421" s="26" t="str">
        <f>VLOOKUP(E421,[1]站场阀室!A:D,3,FALSE)</f>
        <v>榆济管道</v>
      </c>
      <c r="D421" s="26" t="str">
        <f>VLOOKUP(E421,[1]站场阀室!A:D,4,FALSE)</f>
        <v>榆济管道干线</v>
      </c>
      <c r="E421" s="26" t="s">
        <v>6785</v>
      </c>
      <c r="F421" s="26"/>
      <c r="G421" s="26" t="s">
        <v>11176</v>
      </c>
      <c r="H421" s="76" t="s">
        <v>11800</v>
      </c>
      <c r="I421" s="26" t="s">
        <v>11287</v>
      </c>
      <c r="J421" s="26" t="s">
        <v>11270</v>
      </c>
      <c r="K421" s="26" t="s">
        <v>11796</v>
      </c>
      <c r="L421" s="26" t="s">
        <v>11797</v>
      </c>
      <c r="M421" s="26" t="s">
        <v>11798</v>
      </c>
      <c r="N421" s="26" t="s">
        <v>11799</v>
      </c>
      <c r="O421" s="26">
        <v>11636</v>
      </c>
      <c r="P421" s="26" t="s">
        <v>11281</v>
      </c>
      <c r="Q421" s="33">
        <v>9.05</v>
      </c>
      <c r="R421" s="38" t="s">
        <v>11276</v>
      </c>
      <c r="S421" s="34"/>
      <c r="T421" s="31" t="s">
        <v>8218</v>
      </c>
      <c r="U421" s="26"/>
    </row>
    <row r="422" s="21" customFormat="1" spans="1:21">
      <c r="A422" s="28" t="s">
        <v>1491</v>
      </c>
      <c r="B422" s="26" t="s">
        <v>29</v>
      </c>
      <c r="C422" s="26" t="str">
        <f>VLOOKUP(E422,[1]站场阀室!A:D,3,FALSE)</f>
        <v>榆济管道</v>
      </c>
      <c r="D422" s="26" t="str">
        <f>VLOOKUP(E422,[1]站场阀室!A:D,4,FALSE)</f>
        <v>榆济管道干线</v>
      </c>
      <c r="E422" s="26" t="s">
        <v>6785</v>
      </c>
      <c r="F422" s="26"/>
      <c r="G422" s="26" t="s">
        <v>9245</v>
      </c>
      <c r="H422" s="76" t="s">
        <v>11801</v>
      </c>
      <c r="I422" s="26" t="s">
        <v>11287</v>
      </c>
      <c r="J422" s="26" t="s">
        <v>11270</v>
      </c>
      <c r="K422" s="26" t="s">
        <v>11796</v>
      </c>
      <c r="L422" s="26" t="s">
        <v>11797</v>
      </c>
      <c r="M422" s="26" t="s">
        <v>11798</v>
      </c>
      <c r="N422" s="26" t="s">
        <v>11799</v>
      </c>
      <c r="O422" s="26">
        <v>11636</v>
      </c>
      <c r="P422" s="26" t="s">
        <v>11281</v>
      </c>
      <c r="Q422" s="33">
        <v>9.05</v>
      </c>
      <c r="R422" s="38" t="s">
        <v>11276</v>
      </c>
      <c r="S422" s="34"/>
      <c r="T422" s="31" t="s">
        <v>8218</v>
      </c>
      <c r="U422" s="26"/>
    </row>
    <row r="423" s="21" customFormat="1" ht="17.5" customHeight="1" spans="1:21">
      <c r="A423" s="31" t="s">
        <v>1291</v>
      </c>
      <c r="B423" s="26" t="s">
        <v>80</v>
      </c>
      <c r="C423" s="26" t="s">
        <v>92</v>
      </c>
      <c r="D423" s="26" t="s">
        <v>92</v>
      </c>
      <c r="E423" s="68" t="s">
        <v>11802</v>
      </c>
      <c r="F423" s="68" t="s">
        <v>11324</v>
      </c>
      <c r="G423" s="26" t="s">
        <v>11268</v>
      </c>
      <c r="H423" s="68"/>
      <c r="I423" s="68" t="s">
        <v>11269</v>
      </c>
      <c r="J423" s="68" t="s">
        <v>11270</v>
      </c>
      <c r="K423" s="26" t="s">
        <v>11312</v>
      </c>
      <c r="L423" s="26" t="s">
        <v>11803</v>
      </c>
      <c r="M423" s="26" t="s">
        <v>11804</v>
      </c>
      <c r="N423" s="26" t="s">
        <v>11452</v>
      </c>
      <c r="O423" s="26">
        <v>1200</v>
      </c>
      <c r="P423" s="26" t="s">
        <v>11805</v>
      </c>
      <c r="Q423" s="26">
        <v>1.007</v>
      </c>
      <c r="R423" s="81" t="s">
        <v>11276</v>
      </c>
      <c r="S423" s="26"/>
      <c r="T423" s="31" t="s">
        <v>11302</v>
      </c>
      <c r="U423" s="26" t="s">
        <v>11454</v>
      </c>
    </row>
    <row r="424" s="21" customFormat="1" spans="1:21">
      <c r="A424" s="31" t="s">
        <v>1291</v>
      </c>
      <c r="B424" s="26" t="s">
        <v>80</v>
      </c>
      <c r="C424" s="26" t="s">
        <v>92</v>
      </c>
      <c r="D424" s="26" t="s">
        <v>92</v>
      </c>
      <c r="E424" s="68" t="s">
        <v>11802</v>
      </c>
      <c r="F424" s="68"/>
      <c r="G424" s="26" t="s">
        <v>11176</v>
      </c>
      <c r="H424" s="68"/>
      <c r="I424" s="68" t="s">
        <v>11269</v>
      </c>
      <c r="J424" s="68" t="s">
        <v>11270</v>
      </c>
      <c r="K424" s="26" t="s">
        <v>11312</v>
      </c>
      <c r="L424" s="26" t="s">
        <v>11803</v>
      </c>
      <c r="M424" s="26" t="s">
        <v>11804</v>
      </c>
      <c r="N424" s="26" t="s">
        <v>11452</v>
      </c>
      <c r="O424" s="26">
        <v>1200</v>
      </c>
      <c r="P424" s="26" t="s">
        <v>11805</v>
      </c>
      <c r="Q424" s="26">
        <v>1.007</v>
      </c>
      <c r="R424" s="81" t="s">
        <v>11276</v>
      </c>
      <c r="S424" s="26"/>
      <c r="T424" s="31" t="s">
        <v>11302</v>
      </c>
      <c r="U424" s="26" t="s">
        <v>11454</v>
      </c>
    </row>
    <row r="425" spans="1:21">
      <c r="A425" s="31" t="s">
        <v>1291</v>
      </c>
      <c r="B425" s="26" t="s">
        <v>80</v>
      </c>
      <c r="C425" s="26" t="s">
        <v>92</v>
      </c>
      <c r="D425" s="26" t="s">
        <v>92</v>
      </c>
      <c r="E425" s="68" t="s">
        <v>11802</v>
      </c>
      <c r="F425" s="68"/>
      <c r="G425" s="26" t="s">
        <v>9245</v>
      </c>
      <c r="H425" s="68"/>
      <c r="I425" s="68" t="s">
        <v>11269</v>
      </c>
      <c r="J425" s="68" t="s">
        <v>11270</v>
      </c>
      <c r="K425" s="26" t="s">
        <v>11312</v>
      </c>
      <c r="L425" s="26" t="s">
        <v>11803</v>
      </c>
      <c r="M425" s="26" t="s">
        <v>11804</v>
      </c>
      <c r="N425" s="26" t="s">
        <v>11452</v>
      </c>
      <c r="O425" s="26">
        <v>1200</v>
      </c>
      <c r="P425" s="26" t="s">
        <v>11805</v>
      </c>
      <c r="Q425" s="26">
        <v>1.007</v>
      </c>
      <c r="R425" s="81" t="s">
        <v>11276</v>
      </c>
      <c r="T425" s="31" t="s">
        <v>11302</v>
      </c>
      <c r="U425" s="26" t="s">
        <v>11454</v>
      </c>
    </row>
    <row r="426" spans="1:21">
      <c r="A426" s="31" t="s">
        <v>1291</v>
      </c>
      <c r="B426" s="26" t="s">
        <v>80</v>
      </c>
      <c r="C426" s="26" t="s">
        <v>92</v>
      </c>
      <c r="D426" s="26" t="s">
        <v>92</v>
      </c>
      <c r="E426" s="68" t="s">
        <v>11802</v>
      </c>
      <c r="F426" s="68"/>
      <c r="G426" s="26" t="s">
        <v>10755</v>
      </c>
      <c r="H426" s="68"/>
      <c r="I426" s="68" t="s">
        <v>11269</v>
      </c>
      <c r="J426" s="68" t="s">
        <v>11270</v>
      </c>
      <c r="K426" s="26" t="s">
        <v>11312</v>
      </c>
      <c r="L426" s="26" t="s">
        <v>11803</v>
      </c>
      <c r="M426" s="26" t="s">
        <v>11804</v>
      </c>
      <c r="N426" s="26" t="s">
        <v>11452</v>
      </c>
      <c r="O426" s="26">
        <v>1200</v>
      </c>
      <c r="P426" s="26" t="s">
        <v>11805</v>
      </c>
      <c r="Q426" s="26">
        <v>1.007</v>
      </c>
      <c r="R426" s="81" t="s">
        <v>11276</v>
      </c>
      <c r="T426" s="31" t="s">
        <v>11302</v>
      </c>
      <c r="U426" s="26" t="s">
        <v>11454</v>
      </c>
    </row>
  </sheetData>
  <autoFilter ref="A1:U426">
    <extLst/>
  </autoFilter>
  <mergeCells count="161">
    <mergeCell ref="F321:F323"/>
    <mergeCell ref="F374:F376"/>
    <mergeCell ref="F377:F379"/>
    <mergeCell ref="F380:F383"/>
    <mergeCell ref="F384:F386"/>
    <mergeCell ref="F387:F389"/>
    <mergeCell ref="F390:F393"/>
    <mergeCell ref="F394:F396"/>
    <mergeCell ref="F397:F399"/>
    <mergeCell ref="F400:F406"/>
    <mergeCell ref="F407:F411"/>
    <mergeCell ref="F412:F415"/>
    <mergeCell ref="F416:F419"/>
    <mergeCell ref="F420:F422"/>
    <mergeCell ref="F423:F426"/>
    <mergeCell ref="S2:S4"/>
    <mergeCell ref="S5:S7"/>
    <mergeCell ref="S8:S9"/>
    <mergeCell ref="S10:S12"/>
    <mergeCell ref="S13:S15"/>
    <mergeCell ref="S16:S17"/>
    <mergeCell ref="S18:S20"/>
    <mergeCell ref="S21:S23"/>
    <mergeCell ref="S24:S26"/>
    <mergeCell ref="S27:S29"/>
    <mergeCell ref="S30:S32"/>
    <mergeCell ref="S33:S34"/>
    <mergeCell ref="S35:S36"/>
    <mergeCell ref="S37:S38"/>
    <mergeCell ref="S39:S41"/>
    <mergeCell ref="S42:S43"/>
    <mergeCell ref="S44:S45"/>
    <mergeCell ref="S46:S47"/>
    <mergeCell ref="S48:S49"/>
    <mergeCell ref="S50:S54"/>
    <mergeCell ref="S55:S56"/>
    <mergeCell ref="S57:S58"/>
    <mergeCell ref="S59:S60"/>
    <mergeCell ref="S62:S63"/>
    <mergeCell ref="S64:S65"/>
    <mergeCell ref="S66:S69"/>
    <mergeCell ref="S70:S72"/>
    <mergeCell ref="S73:S75"/>
    <mergeCell ref="S76:S78"/>
    <mergeCell ref="S79:S82"/>
    <mergeCell ref="S83:S85"/>
    <mergeCell ref="S86:S88"/>
    <mergeCell ref="S89:S91"/>
    <mergeCell ref="S92:S94"/>
    <mergeCell ref="S95:S98"/>
    <mergeCell ref="S99:S101"/>
    <mergeCell ref="S102:S104"/>
    <mergeCell ref="S105:S108"/>
    <mergeCell ref="S109:S111"/>
    <mergeCell ref="S112:S115"/>
    <mergeCell ref="S116:S119"/>
    <mergeCell ref="S120:S123"/>
    <mergeCell ref="S124:S127"/>
    <mergeCell ref="S128:S131"/>
    <mergeCell ref="S132:S134"/>
    <mergeCell ref="S135:S138"/>
    <mergeCell ref="S139:S141"/>
    <mergeCell ref="S142:S145"/>
    <mergeCell ref="S146:S148"/>
    <mergeCell ref="S149:S151"/>
    <mergeCell ref="S154:S155"/>
    <mergeCell ref="S156:S157"/>
    <mergeCell ref="S158:S161"/>
    <mergeCell ref="S162:S163"/>
    <mergeCell ref="S164:S165"/>
    <mergeCell ref="S166:S167"/>
    <mergeCell ref="S168:S170"/>
    <mergeCell ref="S171:S173"/>
    <mergeCell ref="S174:S175"/>
    <mergeCell ref="S176:S177"/>
    <mergeCell ref="S178:S181"/>
    <mergeCell ref="S182:S185"/>
    <mergeCell ref="S186:S188"/>
    <mergeCell ref="S189:S192"/>
    <mergeCell ref="S193:S195"/>
    <mergeCell ref="S196:S198"/>
    <mergeCell ref="S199:S201"/>
    <mergeCell ref="S202:S204"/>
    <mergeCell ref="S205:S207"/>
    <mergeCell ref="S208:S211"/>
    <mergeCell ref="S212:S215"/>
    <mergeCell ref="S216:S219"/>
    <mergeCell ref="S220:S223"/>
    <mergeCell ref="S224:S227"/>
    <mergeCell ref="S228:S230"/>
    <mergeCell ref="S235:S239"/>
    <mergeCell ref="S240:S242"/>
    <mergeCell ref="S243:S245"/>
    <mergeCell ref="S246:S250"/>
    <mergeCell ref="S251:S253"/>
    <mergeCell ref="S254:S256"/>
    <mergeCell ref="S257:S259"/>
    <mergeCell ref="S260:S262"/>
    <mergeCell ref="S263:S264"/>
    <mergeCell ref="S265:S266"/>
    <mergeCell ref="S267:S268"/>
    <mergeCell ref="S269:S272"/>
    <mergeCell ref="S277:S280"/>
    <mergeCell ref="S288:S289"/>
    <mergeCell ref="S326:S327"/>
    <mergeCell ref="S328:S329"/>
    <mergeCell ref="S331:S332"/>
    <mergeCell ref="S333:S335"/>
    <mergeCell ref="S336:S338"/>
    <mergeCell ref="S339:S341"/>
    <mergeCell ref="S342:S344"/>
    <mergeCell ref="S348:S349"/>
    <mergeCell ref="S350:S351"/>
    <mergeCell ref="S352:S353"/>
    <mergeCell ref="S354:S356"/>
    <mergeCell ref="S357:S359"/>
    <mergeCell ref="S360:S362"/>
    <mergeCell ref="S363:S365"/>
    <mergeCell ref="S366:S368"/>
    <mergeCell ref="S369:S370"/>
    <mergeCell ref="S371:S373"/>
    <mergeCell ref="U37:U38"/>
    <mergeCell ref="U44:U45"/>
    <mergeCell ref="U50:U54"/>
    <mergeCell ref="U59:U60"/>
    <mergeCell ref="U76:U78"/>
    <mergeCell ref="U79:U82"/>
    <mergeCell ref="U86:U88"/>
    <mergeCell ref="U89:U91"/>
    <mergeCell ref="U95:U98"/>
    <mergeCell ref="U102:U104"/>
    <mergeCell ref="U105:U108"/>
    <mergeCell ref="U112:U115"/>
    <mergeCell ref="U132:U134"/>
    <mergeCell ref="U139:U141"/>
    <mergeCell ref="U142:U145"/>
    <mergeCell ref="U158:U161"/>
    <mergeCell ref="U178:U181"/>
    <mergeCell ref="U182:U185"/>
    <mergeCell ref="U186:U188"/>
    <mergeCell ref="U189:U192"/>
    <mergeCell ref="U193:U195"/>
    <mergeCell ref="U196:U198"/>
    <mergeCell ref="U199:U201"/>
    <mergeCell ref="U202:U204"/>
    <mergeCell ref="U205:U207"/>
    <mergeCell ref="U208:U211"/>
    <mergeCell ref="U212:U215"/>
    <mergeCell ref="U216:U219"/>
    <mergeCell ref="U220:U223"/>
    <mergeCell ref="U224:U227"/>
    <mergeCell ref="U235:U239"/>
    <mergeCell ref="U240:U242"/>
    <mergeCell ref="U243:U245"/>
    <mergeCell ref="U246:U250"/>
    <mergeCell ref="U254:U256"/>
    <mergeCell ref="U257:U259"/>
    <mergeCell ref="U260:U262"/>
    <mergeCell ref="U263:U264"/>
    <mergeCell ref="U265:U266"/>
    <mergeCell ref="U267:U268"/>
  </mergeCells>
  <dataValidations count="5">
    <dataValidation type="list" allowBlank="1" showInputMessage="1" showErrorMessage="1" sqref="S2 S5 S8 S10 S21 S24 S27 S30 S73 S76 S86 S89 S92 S99 S102 S149 S171 S196 S199 S202 S205 S208 S216 S243 S254 S257 S260 S277 S336 S339 S342 S357 S360 S363 S366 S16:S18 S33:S39 S42:S60 S62:S70 S79:S83 S105:S109 S112:S132 S135:S139 S142:S146 S154:S161 S166:S168 S174:S186 S189:S193 S220:S228 S235:S240 S246:S251 S263:S269 S288:S289 S326:S333 S348:S354 S369:S371">
      <formula1>"有,无"</formula1>
    </dataValidation>
    <dataValidation type="list" allowBlank="1" showInputMessage="1" showErrorMessage="1" sqref="C297 C312 C316 C412:D412 C2:C296 C298:C311 C313:C315 C317:C411 C413:C426 D413:D415">
      <formula1>INDIRECT("干线管道!B2:B60")</formula1>
    </dataValidation>
    <dataValidation type="list" allowBlank="1" showInputMessage="1" showErrorMessage="1" sqref="D297 D312 D316 D2:D296 D298:D311 D313:D315 D317:D320 D321:D323 D324:D411 D416:D426">
      <formula1>INDIRECT("支线管道!C2:C400")</formula1>
    </dataValidation>
    <dataValidation type="list" allowBlank="1" showInputMessage="1" showErrorMessage="1" sqref="E297 E312 E313 E2:E49 E55:E296 E298:E311 E314:E315 E316:E320 E324:E426">
      <formula1>INDIRECT("站场阀室!A2:A2480")</formula1>
    </dataValidation>
    <dataValidation type="list" allowBlank="1" showInputMessage="1" showErrorMessage="1" sqref="J297 J2:J49 J55:J296 J298:J310 J311:J312 J313:J315 J316:J373 J407:J422">
      <formula1>"进口,国产"</formula1>
    </dataValidation>
  </dataValidation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tabSelected="1" zoomScale="85" zoomScaleNormal="85" workbookViewId="0">
      <pane ySplit="2" topLeftCell="A18" activePane="bottomLeft" state="frozen"/>
      <selection/>
      <selection pane="bottomLeft" activeCell="H25" sqref="H25"/>
    </sheetView>
  </sheetViews>
  <sheetFormatPr defaultColWidth="9" defaultRowHeight="14"/>
  <cols>
    <col min="2" max="4" width="18.9166666666667" customWidth="1"/>
    <col min="5" max="5" width="29.875" customWidth="1"/>
    <col min="6" max="6" width="18.75" customWidth="1"/>
    <col min="7" max="7" width="19.9166666666667" customWidth="1"/>
    <col min="8" max="8" width="18.75" customWidth="1"/>
  </cols>
  <sheetData>
    <row r="1" ht="42" spans="1:9">
      <c r="A1" s="1" t="s">
        <v>94</v>
      </c>
      <c r="B1" s="2" t="s">
        <v>11806</v>
      </c>
      <c r="C1" s="3"/>
      <c r="D1" s="1" t="s">
        <v>11807</v>
      </c>
      <c r="E1" s="1" t="s">
        <v>11808</v>
      </c>
      <c r="F1" s="4" t="s">
        <v>11809</v>
      </c>
      <c r="G1" s="4" t="s">
        <v>11810</v>
      </c>
      <c r="H1" s="4" t="s">
        <v>11811</v>
      </c>
      <c r="I1" s="4" t="s">
        <v>11812</v>
      </c>
    </row>
    <row r="2" spans="1:9">
      <c r="A2" s="5">
        <v>1</v>
      </c>
      <c r="B2" s="5" t="s">
        <v>8986</v>
      </c>
      <c r="C2" s="1" t="s">
        <v>11813</v>
      </c>
      <c r="D2" s="5" t="s">
        <v>11814</v>
      </c>
      <c r="E2" s="6">
        <v>36831</v>
      </c>
      <c r="F2" s="5">
        <v>30.3</v>
      </c>
      <c r="G2" s="5">
        <v>2400</v>
      </c>
      <c r="H2" s="5">
        <v>1500</v>
      </c>
      <c r="I2" s="1" t="s">
        <v>11815</v>
      </c>
    </row>
    <row r="3" spans="1:9">
      <c r="A3" s="7"/>
      <c r="B3" s="7"/>
      <c r="C3" s="1" t="s">
        <v>11816</v>
      </c>
      <c r="D3" s="7"/>
      <c r="E3" s="8">
        <v>37325</v>
      </c>
      <c r="F3" s="7"/>
      <c r="G3" s="7"/>
      <c r="H3" s="7"/>
      <c r="I3" s="1"/>
    </row>
    <row r="4" spans="1:9">
      <c r="A4" s="7"/>
      <c r="B4" s="7"/>
      <c r="C4" s="1" t="s">
        <v>11817</v>
      </c>
      <c r="D4" s="7"/>
      <c r="E4" s="8">
        <v>37802</v>
      </c>
      <c r="F4" s="7"/>
      <c r="G4" s="7"/>
      <c r="H4" s="7"/>
      <c r="I4" s="1"/>
    </row>
    <row r="5" spans="1:9">
      <c r="A5" s="7"/>
      <c r="B5" s="7"/>
      <c r="C5" s="1" t="s">
        <v>11818</v>
      </c>
      <c r="D5" s="7"/>
      <c r="E5" s="8">
        <v>38558</v>
      </c>
      <c r="F5" s="7"/>
      <c r="G5" s="7"/>
      <c r="H5" s="7"/>
      <c r="I5" s="1"/>
    </row>
    <row r="6" spans="1:9">
      <c r="A6" s="7"/>
      <c r="B6" s="7"/>
      <c r="C6" s="1" t="s">
        <v>11819</v>
      </c>
      <c r="D6" s="7"/>
      <c r="E6" s="4" t="s">
        <v>11820</v>
      </c>
      <c r="F6" s="7"/>
      <c r="G6" s="7"/>
      <c r="H6" s="7"/>
      <c r="I6" s="1"/>
    </row>
    <row r="7" spans="1:9">
      <c r="A7" s="9"/>
      <c r="B7" s="9"/>
      <c r="C7" s="1" t="s">
        <v>11821</v>
      </c>
      <c r="D7" s="9"/>
      <c r="E7" s="10">
        <v>38990</v>
      </c>
      <c r="F7" s="9"/>
      <c r="G7" s="9"/>
      <c r="H7" s="9"/>
      <c r="I7" s="1"/>
    </row>
    <row r="8" spans="1:9">
      <c r="A8" s="5">
        <v>2</v>
      </c>
      <c r="B8" s="5" t="s">
        <v>11822</v>
      </c>
      <c r="C8" s="1" t="s">
        <v>11823</v>
      </c>
      <c r="D8" s="11" t="s">
        <v>11824</v>
      </c>
      <c r="E8" s="12">
        <v>40391</v>
      </c>
      <c r="F8" s="5">
        <v>7.5</v>
      </c>
      <c r="G8" s="5">
        <v>420</v>
      </c>
      <c r="H8" s="5">
        <v>420</v>
      </c>
      <c r="I8" s="1" t="s">
        <v>11815</v>
      </c>
    </row>
    <row r="9" spans="1:9">
      <c r="A9" s="7"/>
      <c r="B9" s="7"/>
      <c r="C9" s="1" t="s">
        <v>11825</v>
      </c>
      <c r="D9" s="11" t="s">
        <v>11814</v>
      </c>
      <c r="E9" s="13"/>
      <c r="F9" s="7"/>
      <c r="G9" s="7"/>
      <c r="H9" s="7"/>
      <c r="I9" s="1"/>
    </row>
    <row r="10" spans="1:9">
      <c r="A10" s="9"/>
      <c r="B10" s="9"/>
      <c r="C10" s="1" t="s">
        <v>11826</v>
      </c>
      <c r="D10" s="11" t="s">
        <v>11827</v>
      </c>
      <c r="E10" s="14"/>
      <c r="F10" s="9"/>
      <c r="G10" s="9"/>
      <c r="H10" s="9"/>
      <c r="I10" s="1"/>
    </row>
    <row r="11" spans="1:9">
      <c r="A11" s="1">
        <v>3</v>
      </c>
      <c r="B11" s="2" t="s">
        <v>2090</v>
      </c>
      <c r="C11" s="3"/>
      <c r="D11" s="11" t="s">
        <v>11828</v>
      </c>
      <c r="E11" s="15">
        <v>40848</v>
      </c>
      <c r="F11" s="1">
        <v>2.4</v>
      </c>
      <c r="G11" s="1">
        <v>100</v>
      </c>
      <c r="H11" s="1">
        <v>150</v>
      </c>
      <c r="I11" s="1" t="s">
        <v>11829</v>
      </c>
    </row>
    <row r="12" spans="1:9">
      <c r="A12" s="5">
        <v>4</v>
      </c>
      <c r="B12" s="5" t="s">
        <v>11830</v>
      </c>
      <c r="C12" s="1" t="s">
        <v>11831</v>
      </c>
      <c r="D12" s="16" t="s">
        <v>11832</v>
      </c>
      <c r="E12" s="15">
        <v>39264</v>
      </c>
      <c r="F12" s="5">
        <v>17.1</v>
      </c>
      <c r="G12" s="5">
        <v>1500</v>
      </c>
      <c r="H12" s="5">
        <v>820</v>
      </c>
      <c r="I12" s="1" t="s">
        <v>11829</v>
      </c>
    </row>
    <row r="13" spans="1:9">
      <c r="A13" s="9"/>
      <c r="B13" s="9"/>
      <c r="C13" s="1" t="s">
        <v>11833</v>
      </c>
      <c r="D13" s="17"/>
      <c r="E13" s="15">
        <v>41539</v>
      </c>
      <c r="F13" s="9"/>
      <c r="G13" s="9"/>
      <c r="H13" s="9"/>
      <c r="I13" s="1"/>
    </row>
    <row r="14" spans="1:9">
      <c r="A14" s="1">
        <v>5</v>
      </c>
      <c r="B14" s="2" t="s">
        <v>10531</v>
      </c>
      <c r="C14" s="3"/>
      <c r="D14" s="11" t="s">
        <v>11834</v>
      </c>
      <c r="E14" s="15">
        <v>43677</v>
      </c>
      <c r="F14" s="1">
        <v>32.7</v>
      </c>
      <c r="G14" s="1">
        <v>2600</v>
      </c>
      <c r="H14" s="1">
        <v>1800</v>
      </c>
      <c r="I14" s="1" t="s">
        <v>11829</v>
      </c>
    </row>
    <row r="15" spans="1:9">
      <c r="A15" s="1">
        <v>6</v>
      </c>
      <c r="B15" s="2" t="s">
        <v>11835</v>
      </c>
      <c r="C15" s="3"/>
      <c r="D15" s="11" t="s">
        <v>11836</v>
      </c>
      <c r="E15" s="15">
        <v>41434</v>
      </c>
      <c r="F15" s="1">
        <v>45.1</v>
      </c>
      <c r="G15" s="1">
        <v>3300</v>
      </c>
      <c r="H15" s="1">
        <v>1550</v>
      </c>
      <c r="I15" s="1" t="s">
        <v>11815</v>
      </c>
    </row>
    <row r="16" spans="1:9">
      <c r="A16" s="1">
        <v>7</v>
      </c>
      <c r="B16" s="2" t="s">
        <v>11837</v>
      </c>
      <c r="C16" s="3"/>
      <c r="D16" s="11" t="s">
        <v>11828</v>
      </c>
      <c r="E16" s="15">
        <v>41456</v>
      </c>
      <c r="F16" s="1">
        <v>28</v>
      </c>
      <c r="G16" s="1">
        <v>2700</v>
      </c>
      <c r="H16" s="1">
        <v>1500</v>
      </c>
      <c r="I16" s="1" t="s">
        <v>11815</v>
      </c>
    </row>
    <row r="17" spans="1:9">
      <c r="A17" s="1">
        <v>8</v>
      </c>
      <c r="B17" s="2" t="s">
        <v>11838</v>
      </c>
      <c r="C17" s="3"/>
      <c r="D17" s="11"/>
      <c r="E17" s="15">
        <v>44105</v>
      </c>
      <c r="F17" s="1">
        <v>11.2</v>
      </c>
      <c r="G17" s="1">
        <v>200</v>
      </c>
      <c r="H17" s="1"/>
      <c r="I17" s="1" t="s">
        <v>11839</v>
      </c>
    </row>
    <row r="18" spans="1:9">
      <c r="A18" s="1">
        <v>9</v>
      </c>
      <c r="B18" s="2" t="s">
        <v>11840</v>
      </c>
      <c r="C18" s="3"/>
      <c r="D18" s="11" t="s">
        <v>11828</v>
      </c>
      <c r="E18" s="15">
        <v>41806</v>
      </c>
      <c r="F18" s="1">
        <v>5.6</v>
      </c>
      <c r="G18" s="1">
        <v>430</v>
      </c>
      <c r="H18" s="1">
        <v>310</v>
      </c>
      <c r="I18" s="1" t="s">
        <v>11839</v>
      </c>
    </row>
    <row r="19" spans="1:9">
      <c r="A19" s="1">
        <v>10</v>
      </c>
      <c r="B19" s="2" t="s">
        <v>11841</v>
      </c>
      <c r="C19" s="3"/>
      <c r="D19" s="11" t="s">
        <v>11842</v>
      </c>
      <c r="E19" s="15">
        <v>41439</v>
      </c>
      <c r="F19" s="1">
        <v>23.3</v>
      </c>
      <c r="G19" s="1">
        <v>1500</v>
      </c>
      <c r="H19" s="1">
        <v>1000</v>
      </c>
      <c r="I19" s="1" t="s">
        <v>11839</v>
      </c>
    </row>
    <row r="20" spans="1:9">
      <c r="A20" s="1">
        <v>11</v>
      </c>
      <c r="B20" s="2" t="s">
        <v>11843</v>
      </c>
      <c r="C20" s="3"/>
      <c r="D20" s="11" t="s">
        <v>11828</v>
      </c>
      <c r="E20" s="15">
        <v>44806</v>
      </c>
      <c r="F20" s="1">
        <v>5.5</v>
      </c>
      <c r="G20" s="1">
        <v>40</v>
      </c>
      <c r="H20" s="1">
        <v>330</v>
      </c>
      <c r="I20" s="1" t="s">
        <v>11839</v>
      </c>
    </row>
    <row r="21" spans="1:9">
      <c r="A21" s="1">
        <v>12</v>
      </c>
      <c r="B21" s="2" t="s">
        <v>11844</v>
      </c>
      <c r="C21" s="3"/>
      <c r="D21" s="11" t="s">
        <v>11834</v>
      </c>
      <c r="E21" s="15"/>
      <c r="F21" s="18">
        <v>2.9</v>
      </c>
      <c r="G21" s="18">
        <v>200</v>
      </c>
      <c r="H21" s="18">
        <v>180</v>
      </c>
      <c r="I21" s="1" t="s">
        <v>6840</v>
      </c>
    </row>
    <row r="22" spans="1:9">
      <c r="A22" s="1">
        <v>13</v>
      </c>
      <c r="B22" s="2" t="s">
        <v>11845</v>
      </c>
      <c r="C22" s="3"/>
      <c r="D22" s="11" t="s">
        <v>11832</v>
      </c>
      <c r="E22" s="15">
        <v>42520</v>
      </c>
      <c r="F22" s="18">
        <v>7.2</v>
      </c>
      <c r="G22" s="18">
        <v>200</v>
      </c>
      <c r="H22" s="18">
        <v>300</v>
      </c>
      <c r="I22" s="1" t="s">
        <v>6840</v>
      </c>
    </row>
    <row r="23" spans="1:9">
      <c r="A23" s="1">
        <v>14</v>
      </c>
      <c r="B23" s="2" t="s">
        <v>11846</v>
      </c>
      <c r="C23" s="3"/>
      <c r="D23" s="11" t="s">
        <v>11847</v>
      </c>
      <c r="E23" s="15">
        <v>44478</v>
      </c>
      <c r="F23" s="18">
        <v>5.1</v>
      </c>
      <c r="G23" s="18">
        <v>200</v>
      </c>
      <c r="H23" s="18">
        <v>350</v>
      </c>
      <c r="I23" s="1" t="s">
        <v>6840</v>
      </c>
    </row>
    <row r="24" spans="1:9">
      <c r="A24" s="1">
        <v>15</v>
      </c>
      <c r="B24" s="2" t="s">
        <v>11848</v>
      </c>
      <c r="C24" s="3"/>
      <c r="D24" s="11" t="s">
        <v>11828</v>
      </c>
      <c r="E24" s="19">
        <v>44652</v>
      </c>
      <c r="F24" s="18">
        <v>1.54</v>
      </c>
      <c r="G24" s="18">
        <v>50</v>
      </c>
      <c r="H24" s="18">
        <v>80</v>
      </c>
      <c r="I24" s="1" t="s">
        <v>6840</v>
      </c>
    </row>
    <row r="25" spans="1:9">
      <c r="A25" s="1">
        <v>16</v>
      </c>
      <c r="B25" s="2" t="s">
        <v>11849</v>
      </c>
      <c r="C25" s="3"/>
      <c r="D25" s="11" t="s">
        <v>11828</v>
      </c>
      <c r="E25" s="15">
        <v>44491</v>
      </c>
      <c r="F25" s="18">
        <v>1.94</v>
      </c>
      <c r="G25" s="18">
        <v>50</v>
      </c>
      <c r="H25" s="18">
        <v>80</v>
      </c>
      <c r="I25" s="1" t="s">
        <v>6840</v>
      </c>
    </row>
    <row r="26" spans="1:9">
      <c r="A26" s="1">
        <v>17</v>
      </c>
      <c r="B26" s="2" t="s">
        <v>11850</v>
      </c>
      <c r="C26" s="3"/>
      <c r="D26" s="11" t="s">
        <v>11832</v>
      </c>
      <c r="E26" s="15">
        <v>44708</v>
      </c>
      <c r="F26" s="18">
        <v>1.4</v>
      </c>
      <c r="G26" s="18">
        <v>20</v>
      </c>
      <c r="H26" s="18">
        <v>20</v>
      </c>
      <c r="I26" s="1" t="s">
        <v>6840</v>
      </c>
    </row>
    <row r="27" spans="1:9">
      <c r="A27" s="1">
        <v>18</v>
      </c>
      <c r="B27" s="2" t="s">
        <v>11851</v>
      </c>
      <c r="C27" s="3"/>
      <c r="D27" s="11" t="s">
        <v>11832</v>
      </c>
      <c r="E27" s="15">
        <v>43374</v>
      </c>
      <c r="F27" s="18">
        <v>3.1</v>
      </c>
      <c r="G27" s="18">
        <v>400</v>
      </c>
      <c r="H27" s="18">
        <v>210</v>
      </c>
      <c r="I27" s="1" t="s">
        <v>11852</v>
      </c>
    </row>
    <row r="28" spans="1:9">
      <c r="A28" s="1">
        <v>19</v>
      </c>
      <c r="B28" s="2" t="s">
        <v>11822</v>
      </c>
      <c r="C28" s="3"/>
      <c r="D28" s="11" t="s">
        <v>11828</v>
      </c>
      <c r="E28" s="15">
        <v>40391</v>
      </c>
      <c r="F28" s="18">
        <v>7.8</v>
      </c>
      <c r="G28" s="18">
        <v>600</v>
      </c>
      <c r="H28" s="18">
        <v>540</v>
      </c>
      <c r="I28" s="18" t="s">
        <v>11815</v>
      </c>
    </row>
    <row r="29" spans="1:9">
      <c r="A29" s="1">
        <v>20</v>
      </c>
      <c r="B29" s="2" t="s">
        <v>11853</v>
      </c>
      <c r="C29" s="3"/>
      <c r="D29" s="11" t="s">
        <v>11828</v>
      </c>
      <c r="E29" s="15" t="s">
        <v>11854</v>
      </c>
      <c r="F29" s="18">
        <v>54.1</v>
      </c>
      <c r="G29" s="18">
        <v>3300</v>
      </c>
      <c r="H29" s="18">
        <v>2600</v>
      </c>
      <c r="I29" s="18" t="s">
        <v>11815</v>
      </c>
    </row>
    <row r="30" spans="1:3">
      <c r="A30" s="1">
        <v>21</v>
      </c>
      <c r="B30" s="2" t="s">
        <v>11855</v>
      </c>
      <c r="C30" s="3"/>
    </row>
  </sheetData>
  <autoFilter ref="A1:I29">
    <extLst/>
  </autoFilter>
  <mergeCells count="40">
    <mergeCell ref="B1:C1"/>
    <mergeCell ref="B11:C11"/>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A2:A7"/>
    <mergeCell ref="A8:A10"/>
    <mergeCell ref="A12:A13"/>
    <mergeCell ref="B2:B7"/>
    <mergeCell ref="B8:B10"/>
    <mergeCell ref="B12:B13"/>
    <mergeCell ref="D2:D7"/>
    <mergeCell ref="D12:D13"/>
    <mergeCell ref="E8:E10"/>
    <mergeCell ref="F2:F7"/>
    <mergeCell ref="F8:F10"/>
    <mergeCell ref="F12:F13"/>
    <mergeCell ref="G2:G7"/>
    <mergeCell ref="G8:G10"/>
    <mergeCell ref="G12:G13"/>
    <mergeCell ref="H2:H7"/>
    <mergeCell ref="H8:H10"/>
    <mergeCell ref="H12:H13"/>
    <mergeCell ref="I2:I7"/>
    <mergeCell ref="I8:I10"/>
    <mergeCell ref="I12:I1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数据统计</vt:lpstr>
      <vt:lpstr>干线管道</vt:lpstr>
      <vt:lpstr>支线管道</vt:lpstr>
      <vt:lpstr>管道站场阀室关系</vt:lpstr>
      <vt:lpstr>分输口</vt:lpstr>
      <vt:lpstr>调度台</vt:lpstr>
      <vt:lpstr>压缩机</vt:lpstr>
      <vt:lpstr>储气库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xj</dc:creator>
  <cp:lastModifiedBy>lenovo</cp:lastModifiedBy>
  <dcterms:created xsi:type="dcterms:W3CDTF">2006-09-16T00:00:00Z</dcterms:created>
  <cp:lastPrinted>2019-06-07T05:54:00Z</cp:lastPrinted>
  <dcterms:modified xsi:type="dcterms:W3CDTF">2025-11-13T05:57:51Z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2052-12.8.0.16987</vt:lpwstr>
  </property>
  <property fmtid="{D5CDD505-2E9C-101B-9397-08002B2CF9AE}" pid="3" name="ICV">
    <vt:lpwstr>A73B7DCD33D3466F8B4E7B953FEFA545_13</vt:lpwstr>
  </property>
</Properties>
</file>